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usti\Claude\Projects\economics of AGI\"/>
    </mc:Choice>
  </mc:AlternateContent>
  <xr:revisionPtr revIDLastSave="0" documentId="13_ncr:1_{38F4DFAE-A3A3-4F32-A1FE-C2EDF02016DC}" xr6:coauthVersionLast="47" xr6:coauthVersionMax="47" xr10:uidLastSave="{00000000-0000-0000-0000-000000000000}"/>
  <bookViews>
    <workbookView xWindow="19090" yWindow="1230" windowWidth="19420" windowHeight="10300" tabRatio="500" firstSheet="2" activeTab="5" xr2:uid="{00000000-000D-0000-FFFF-FFFF00000000}"/>
  </bookViews>
  <sheets>
    <sheet name="Cover" sheetId="1" r:id="rId1"/>
    <sheet name="Inputs &amp; Sources" sheetId="2" r:id="rId2"/>
    <sheet name="2026 Baseline" sheetId="3" r:id="rId3"/>
    <sheet name="2031 Projection" sheetId="4" r:id="rId4"/>
    <sheet name="Scale &amp; Human" sheetId="5" r:id="rId5"/>
    <sheet name="Monte Carlo" sheetId="6" r:id="rId6"/>
    <sheet name="Scenario L-B-H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5" i="4" l="1"/>
  <c r="C28" i="4"/>
  <c r="C6" i="4"/>
  <c r="C16" i="4"/>
  <c r="C11" i="4"/>
  <c r="G15" i="7"/>
  <c r="F15" i="7"/>
  <c r="E15" i="7"/>
  <c r="G14" i="7"/>
  <c r="F14" i="7"/>
  <c r="E14" i="7"/>
  <c r="F13" i="7"/>
  <c r="E13" i="7"/>
  <c r="G13" i="7" s="1"/>
  <c r="C9" i="7"/>
  <c r="J2021" i="6"/>
  <c r="I2021" i="6"/>
  <c r="G2021" i="6"/>
  <c r="F2021" i="6"/>
  <c r="C2021" i="6"/>
  <c r="D2021" i="6" s="1"/>
  <c r="E2021" i="6" s="1"/>
  <c r="J2020" i="6"/>
  <c r="I2020" i="6"/>
  <c r="G2020" i="6"/>
  <c r="F2020" i="6"/>
  <c r="C2020" i="6"/>
  <c r="D2020" i="6" s="1"/>
  <c r="E2020" i="6" s="1"/>
  <c r="J2019" i="6"/>
  <c r="I2019" i="6"/>
  <c r="G2019" i="6"/>
  <c r="F2019" i="6"/>
  <c r="C2019" i="6"/>
  <c r="D2019" i="6" s="1"/>
  <c r="E2019" i="6" s="1"/>
  <c r="J2018" i="6"/>
  <c r="I2018" i="6"/>
  <c r="G2018" i="6"/>
  <c r="F2018" i="6"/>
  <c r="C2018" i="6"/>
  <c r="D2018" i="6" s="1"/>
  <c r="E2018" i="6" s="1"/>
  <c r="J2017" i="6"/>
  <c r="I2017" i="6"/>
  <c r="G2017" i="6"/>
  <c r="F2017" i="6"/>
  <c r="C2017" i="6"/>
  <c r="D2017" i="6" s="1"/>
  <c r="E2017" i="6" s="1"/>
  <c r="J2016" i="6"/>
  <c r="I2016" i="6"/>
  <c r="G2016" i="6"/>
  <c r="F2016" i="6"/>
  <c r="C2016" i="6"/>
  <c r="D2016" i="6" s="1"/>
  <c r="E2016" i="6" s="1"/>
  <c r="J2015" i="6"/>
  <c r="I2015" i="6"/>
  <c r="G2015" i="6"/>
  <c r="F2015" i="6"/>
  <c r="C2015" i="6"/>
  <c r="D2015" i="6" s="1"/>
  <c r="E2015" i="6" s="1"/>
  <c r="J2014" i="6"/>
  <c r="I2014" i="6"/>
  <c r="G2014" i="6"/>
  <c r="F2014" i="6"/>
  <c r="C2014" i="6"/>
  <c r="D2014" i="6" s="1"/>
  <c r="E2014" i="6" s="1"/>
  <c r="J2013" i="6"/>
  <c r="I2013" i="6"/>
  <c r="G2013" i="6"/>
  <c r="F2013" i="6"/>
  <c r="C2013" i="6"/>
  <c r="D2013" i="6" s="1"/>
  <c r="E2013" i="6" s="1"/>
  <c r="J2012" i="6"/>
  <c r="I2012" i="6"/>
  <c r="G2012" i="6"/>
  <c r="F2012" i="6"/>
  <c r="C2012" i="6"/>
  <c r="D2012" i="6" s="1"/>
  <c r="E2012" i="6" s="1"/>
  <c r="J2011" i="6"/>
  <c r="I2011" i="6"/>
  <c r="G2011" i="6"/>
  <c r="F2011" i="6"/>
  <c r="C2011" i="6"/>
  <c r="D2011" i="6" s="1"/>
  <c r="E2011" i="6" s="1"/>
  <c r="J2010" i="6"/>
  <c r="I2010" i="6"/>
  <c r="G2010" i="6"/>
  <c r="F2010" i="6"/>
  <c r="C2010" i="6"/>
  <c r="D2010" i="6" s="1"/>
  <c r="E2010" i="6" s="1"/>
  <c r="J2009" i="6"/>
  <c r="I2009" i="6"/>
  <c r="G2009" i="6"/>
  <c r="F2009" i="6"/>
  <c r="C2009" i="6"/>
  <c r="D2009" i="6" s="1"/>
  <c r="E2009" i="6" s="1"/>
  <c r="J2008" i="6"/>
  <c r="I2008" i="6"/>
  <c r="G2008" i="6"/>
  <c r="F2008" i="6"/>
  <c r="C2008" i="6"/>
  <c r="D2008" i="6" s="1"/>
  <c r="E2008" i="6" s="1"/>
  <c r="J2007" i="6"/>
  <c r="I2007" i="6"/>
  <c r="G2007" i="6"/>
  <c r="F2007" i="6"/>
  <c r="C2007" i="6"/>
  <c r="D2007" i="6" s="1"/>
  <c r="E2007" i="6" s="1"/>
  <c r="J2006" i="6"/>
  <c r="I2006" i="6"/>
  <c r="G2006" i="6"/>
  <c r="F2006" i="6"/>
  <c r="C2006" i="6"/>
  <c r="D2006" i="6" s="1"/>
  <c r="E2006" i="6" s="1"/>
  <c r="J2005" i="6"/>
  <c r="I2005" i="6"/>
  <c r="G2005" i="6"/>
  <c r="F2005" i="6"/>
  <c r="C2005" i="6"/>
  <c r="D2005" i="6" s="1"/>
  <c r="E2005" i="6" s="1"/>
  <c r="J2004" i="6"/>
  <c r="I2004" i="6"/>
  <c r="G2004" i="6"/>
  <c r="F2004" i="6"/>
  <c r="C2004" i="6"/>
  <c r="D2004" i="6" s="1"/>
  <c r="E2004" i="6" s="1"/>
  <c r="J2003" i="6"/>
  <c r="I2003" i="6"/>
  <c r="G2003" i="6"/>
  <c r="F2003" i="6"/>
  <c r="C2003" i="6"/>
  <c r="D2003" i="6" s="1"/>
  <c r="E2003" i="6" s="1"/>
  <c r="J2002" i="6"/>
  <c r="I2002" i="6"/>
  <c r="G2002" i="6"/>
  <c r="F2002" i="6"/>
  <c r="C2002" i="6"/>
  <c r="D2002" i="6" s="1"/>
  <c r="E2002" i="6" s="1"/>
  <c r="J2001" i="6"/>
  <c r="I2001" i="6"/>
  <c r="G2001" i="6"/>
  <c r="F2001" i="6"/>
  <c r="C2001" i="6"/>
  <c r="D2001" i="6" s="1"/>
  <c r="E2001" i="6" s="1"/>
  <c r="J2000" i="6"/>
  <c r="I2000" i="6"/>
  <c r="G2000" i="6"/>
  <c r="F2000" i="6"/>
  <c r="C2000" i="6"/>
  <c r="D2000" i="6" s="1"/>
  <c r="E2000" i="6" s="1"/>
  <c r="J1999" i="6"/>
  <c r="I1999" i="6"/>
  <c r="G1999" i="6"/>
  <c r="F1999" i="6"/>
  <c r="C1999" i="6"/>
  <c r="D1999" i="6" s="1"/>
  <c r="E1999" i="6" s="1"/>
  <c r="J1998" i="6"/>
  <c r="I1998" i="6"/>
  <c r="G1998" i="6"/>
  <c r="F1998" i="6"/>
  <c r="C1998" i="6"/>
  <c r="D1998" i="6" s="1"/>
  <c r="E1998" i="6" s="1"/>
  <c r="J1997" i="6"/>
  <c r="I1997" i="6"/>
  <c r="G1997" i="6"/>
  <c r="F1997" i="6"/>
  <c r="C1997" i="6"/>
  <c r="D1997" i="6" s="1"/>
  <c r="E1997" i="6" s="1"/>
  <c r="J1996" i="6"/>
  <c r="I1996" i="6"/>
  <c r="G1996" i="6"/>
  <c r="F1996" i="6"/>
  <c r="C1996" i="6"/>
  <c r="D1996" i="6" s="1"/>
  <c r="E1996" i="6" s="1"/>
  <c r="J1995" i="6"/>
  <c r="I1995" i="6"/>
  <c r="G1995" i="6"/>
  <c r="F1995" i="6"/>
  <c r="C1995" i="6"/>
  <c r="D1995" i="6" s="1"/>
  <c r="E1995" i="6" s="1"/>
  <c r="J1994" i="6"/>
  <c r="I1994" i="6"/>
  <c r="G1994" i="6"/>
  <c r="F1994" i="6"/>
  <c r="C1994" i="6"/>
  <c r="D1994" i="6" s="1"/>
  <c r="E1994" i="6" s="1"/>
  <c r="J1993" i="6"/>
  <c r="I1993" i="6"/>
  <c r="G1993" i="6"/>
  <c r="F1993" i="6"/>
  <c r="C1993" i="6"/>
  <c r="D1993" i="6" s="1"/>
  <c r="E1993" i="6" s="1"/>
  <c r="J1992" i="6"/>
  <c r="I1992" i="6"/>
  <c r="G1992" i="6"/>
  <c r="F1992" i="6"/>
  <c r="C1992" i="6"/>
  <c r="D1992" i="6" s="1"/>
  <c r="E1992" i="6" s="1"/>
  <c r="J1991" i="6"/>
  <c r="I1991" i="6"/>
  <c r="G1991" i="6"/>
  <c r="F1991" i="6"/>
  <c r="C1991" i="6"/>
  <c r="D1991" i="6" s="1"/>
  <c r="E1991" i="6" s="1"/>
  <c r="J1990" i="6"/>
  <c r="I1990" i="6"/>
  <c r="G1990" i="6"/>
  <c r="F1990" i="6"/>
  <c r="C1990" i="6"/>
  <c r="D1990" i="6" s="1"/>
  <c r="E1990" i="6" s="1"/>
  <c r="J1989" i="6"/>
  <c r="I1989" i="6"/>
  <c r="G1989" i="6"/>
  <c r="F1989" i="6"/>
  <c r="C1989" i="6"/>
  <c r="D1989" i="6" s="1"/>
  <c r="E1989" i="6" s="1"/>
  <c r="J1988" i="6"/>
  <c r="I1988" i="6"/>
  <c r="G1988" i="6"/>
  <c r="F1988" i="6"/>
  <c r="C1988" i="6"/>
  <c r="D1988" i="6" s="1"/>
  <c r="E1988" i="6" s="1"/>
  <c r="J1987" i="6"/>
  <c r="I1987" i="6"/>
  <c r="G1987" i="6"/>
  <c r="F1987" i="6"/>
  <c r="C1987" i="6"/>
  <c r="D1987" i="6" s="1"/>
  <c r="E1987" i="6" s="1"/>
  <c r="J1986" i="6"/>
  <c r="I1986" i="6"/>
  <c r="G1986" i="6"/>
  <c r="F1986" i="6"/>
  <c r="C1986" i="6"/>
  <c r="D1986" i="6" s="1"/>
  <c r="E1986" i="6" s="1"/>
  <c r="J1985" i="6"/>
  <c r="I1985" i="6"/>
  <c r="G1985" i="6"/>
  <c r="F1985" i="6"/>
  <c r="C1985" i="6"/>
  <c r="D1985" i="6" s="1"/>
  <c r="E1985" i="6" s="1"/>
  <c r="J1984" i="6"/>
  <c r="I1984" i="6"/>
  <c r="G1984" i="6"/>
  <c r="F1984" i="6"/>
  <c r="C1984" i="6"/>
  <c r="D1984" i="6" s="1"/>
  <c r="E1984" i="6" s="1"/>
  <c r="J1983" i="6"/>
  <c r="I1983" i="6"/>
  <c r="G1983" i="6"/>
  <c r="F1983" i="6"/>
  <c r="C1983" i="6"/>
  <c r="D1983" i="6" s="1"/>
  <c r="E1983" i="6" s="1"/>
  <c r="J1982" i="6"/>
  <c r="I1982" i="6"/>
  <c r="G1982" i="6"/>
  <c r="F1982" i="6"/>
  <c r="C1982" i="6"/>
  <c r="D1982" i="6" s="1"/>
  <c r="E1982" i="6" s="1"/>
  <c r="J1981" i="6"/>
  <c r="I1981" i="6"/>
  <c r="G1981" i="6"/>
  <c r="F1981" i="6"/>
  <c r="C1981" i="6"/>
  <c r="D1981" i="6" s="1"/>
  <c r="E1981" i="6" s="1"/>
  <c r="H1981" i="6" s="1"/>
  <c r="J1980" i="6"/>
  <c r="I1980" i="6"/>
  <c r="G1980" i="6"/>
  <c r="F1980" i="6"/>
  <c r="C1980" i="6"/>
  <c r="D1980" i="6" s="1"/>
  <c r="E1980" i="6" s="1"/>
  <c r="J1979" i="6"/>
  <c r="I1979" i="6"/>
  <c r="G1979" i="6"/>
  <c r="F1979" i="6"/>
  <c r="C1979" i="6"/>
  <c r="D1979" i="6" s="1"/>
  <c r="E1979" i="6" s="1"/>
  <c r="J1978" i="6"/>
  <c r="I1978" i="6"/>
  <c r="G1978" i="6"/>
  <c r="F1978" i="6"/>
  <c r="C1978" i="6"/>
  <c r="D1978" i="6" s="1"/>
  <c r="E1978" i="6" s="1"/>
  <c r="J1977" i="6"/>
  <c r="I1977" i="6"/>
  <c r="G1977" i="6"/>
  <c r="F1977" i="6"/>
  <c r="C1977" i="6"/>
  <c r="D1977" i="6" s="1"/>
  <c r="E1977" i="6" s="1"/>
  <c r="J1976" i="6"/>
  <c r="I1976" i="6"/>
  <c r="G1976" i="6"/>
  <c r="F1976" i="6"/>
  <c r="C1976" i="6"/>
  <c r="D1976" i="6" s="1"/>
  <c r="E1976" i="6" s="1"/>
  <c r="J1975" i="6"/>
  <c r="I1975" i="6"/>
  <c r="G1975" i="6"/>
  <c r="F1975" i="6"/>
  <c r="C1975" i="6"/>
  <c r="D1975" i="6" s="1"/>
  <c r="E1975" i="6" s="1"/>
  <c r="J1974" i="6"/>
  <c r="I1974" i="6"/>
  <c r="G1974" i="6"/>
  <c r="F1974" i="6"/>
  <c r="C1974" i="6"/>
  <c r="D1974" i="6" s="1"/>
  <c r="E1974" i="6" s="1"/>
  <c r="J1973" i="6"/>
  <c r="I1973" i="6"/>
  <c r="G1973" i="6"/>
  <c r="F1973" i="6"/>
  <c r="C1973" i="6"/>
  <c r="D1973" i="6" s="1"/>
  <c r="E1973" i="6" s="1"/>
  <c r="J1972" i="6"/>
  <c r="I1972" i="6"/>
  <c r="G1972" i="6"/>
  <c r="F1972" i="6"/>
  <c r="C1972" i="6"/>
  <c r="D1972" i="6" s="1"/>
  <c r="E1972" i="6" s="1"/>
  <c r="J1971" i="6"/>
  <c r="I1971" i="6"/>
  <c r="G1971" i="6"/>
  <c r="F1971" i="6"/>
  <c r="C1971" i="6"/>
  <c r="D1971" i="6" s="1"/>
  <c r="E1971" i="6" s="1"/>
  <c r="J1970" i="6"/>
  <c r="I1970" i="6"/>
  <c r="G1970" i="6"/>
  <c r="F1970" i="6"/>
  <c r="C1970" i="6"/>
  <c r="D1970" i="6" s="1"/>
  <c r="E1970" i="6" s="1"/>
  <c r="J1969" i="6"/>
  <c r="I1969" i="6"/>
  <c r="G1969" i="6"/>
  <c r="F1969" i="6"/>
  <c r="C1969" i="6"/>
  <c r="D1969" i="6" s="1"/>
  <c r="E1969" i="6" s="1"/>
  <c r="J1968" i="6"/>
  <c r="I1968" i="6"/>
  <c r="G1968" i="6"/>
  <c r="F1968" i="6"/>
  <c r="C1968" i="6"/>
  <c r="D1968" i="6" s="1"/>
  <c r="E1968" i="6" s="1"/>
  <c r="J1967" i="6"/>
  <c r="I1967" i="6"/>
  <c r="G1967" i="6"/>
  <c r="F1967" i="6"/>
  <c r="C1967" i="6"/>
  <c r="D1967" i="6" s="1"/>
  <c r="E1967" i="6" s="1"/>
  <c r="J1966" i="6"/>
  <c r="I1966" i="6"/>
  <c r="G1966" i="6"/>
  <c r="F1966" i="6"/>
  <c r="C1966" i="6"/>
  <c r="D1966" i="6" s="1"/>
  <c r="E1966" i="6" s="1"/>
  <c r="J1965" i="6"/>
  <c r="I1965" i="6"/>
  <c r="G1965" i="6"/>
  <c r="F1965" i="6"/>
  <c r="C1965" i="6"/>
  <c r="D1965" i="6" s="1"/>
  <c r="E1965" i="6" s="1"/>
  <c r="J1964" i="6"/>
  <c r="I1964" i="6"/>
  <c r="G1964" i="6"/>
  <c r="F1964" i="6"/>
  <c r="C1964" i="6"/>
  <c r="D1964" i="6" s="1"/>
  <c r="E1964" i="6" s="1"/>
  <c r="J1963" i="6"/>
  <c r="I1963" i="6"/>
  <c r="G1963" i="6"/>
  <c r="F1963" i="6"/>
  <c r="C1963" i="6"/>
  <c r="D1963" i="6" s="1"/>
  <c r="E1963" i="6" s="1"/>
  <c r="J1962" i="6"/>
  <c r="I1962" i="6"/>
  <c r="G1962" i="6"/>
  <c r="F1962" i="6"/>
  <c r="C1962" i="6"/>
  <c r="D1962" i="6" s="1"/>
  <c r="E1962" i="6" s="1"/>
  <c r="J1961" i="6"/>
  <c r="I1961" i="6"/>
  <c r="G1961" i="6"/>
  <c r="F1961" i="6"/>
  <c r="C1961" i="6"/>
  <c r="D1961" i="6" s="1"/>
  <c r="E1961" i="6" s="1"/>
  <c r="J1960" i="6"/>
  <c r="I1960" i="6"/>
  <c r="G1960" i="6"/>
  <c r="F1960" i="6"/>
  <c r="C1960" i="6"/>
  <c r="D1960" i="6" s="1"/>
  <c r="E1960" i="6" s="1"/>
  <c r="J1959" i="6"/>
  <c r="I1959" i="6"/>
  <c r="G1959" i="6"/>
  <c r="F1959" i="6"/>
  <c r="C1959" i="6"/>
  <c r="D1959" i="6" s="1"/>
  <c r="E1959" i="6" s="1"/>
  <c r="J1958" i="6"/>
  <c r="I1958" i="6"/>
  <c r="G1958" i="6"/>
  <c r="F1958" i="6"/>
  <c r="C1958" i="6"/>
  <c r="D1958" i="6" s="1"/>
  <c r="E1958" i="6" s="1"/>
  <c r="J1957" i="6"/>
  <c r="I1957" i="6"/>
  <c r="G1957" i="6"/>
  <c r="F1957" i="6"/>
  <c r="C1957" i="6"/>
  <c r="D1957" i="6" s="1"/>
  <c r="E1957" i="6" s="1"/>
  <c r="J1956" i="6"/>
  <c r="I1956" i="6"/>
  <c r="G1956" i="6"/>
  <c r="F1956" i="6"/>
  <c r="C1956" i="6"/>
  <c r="D1956" i="6" s="1"/>
  <c r="E1956" i="6" s="1"/>
  <c r="J1955" i="6"/>
  <c r="I1955" i="6"/>
  <c r="G1955" i="6"/>
  <c r="F1955" i="6"/>
  <c r="C1955" i="6"/>
  <c r="D1955" i="6" s="1"/>
  <c r="E1955" i="6" s="1"/>
  <c r="J1954" i="6"/>
  <c r="I1954" i="6"/>
  <c r="G1954" i="6"/>
  <c r="F1954" i="6"/>
  <c r="C1954" i="6"/>
  <c r="D1954" i="6" s="1"/>
  <c r="E1954" i="6" s="1"/>
  <c r="J1953" i="6"/>
  <c r="I1953" i="6"/>
  <c r="G1953" i="6"/>
  <c r="F1953" i="6"/>
  <c r="C1953" i="6"/>
  <c r="D1953" i="6" s="1"/>
  <c r="E1953" i="6" s="1"/>
  <c r="J1952" i="6"/>
  <c r="I1952" i="6"/>
  <c r="G1952" i="6"/>
  <c r="F1952" i="6"/>
  <c r="C1952" i="6"/>
  <c r="D1952" i="6" s="1"/>
  <c r="E1952" i="6" s="1"/>
  <c r="J1951" i="6"/>
  <c r="I1951" i="6"/>
  <c r="G1951" i="6"/>
  <c r="F1951" i="6"/>
  <c r="C1951" i="6"/>
  <c r="D1951" i="6" s="1"/>
  <c r="E1951" i="6" s="1"/>
  <c r="J1950" i="6"/>
  <c r="I1950" i="6"/>
  <c r="G1950" i="6"/>
  <c r="F1950" i="6"/>
  <c r="C1950" i="6"/>
  <c r="D1950" i="6" s="1"/>
  <c r="E1950" i="6" s="1"/>
  <c r="J1949" i="6"/>
  <c r="I1949" i="6"/>
  <c r="G1949" i="6"/>
  <c r="F1949" i="6"/>
  <c r="C1949" i="6"/>
  <c r="D1949" i="6" s="1"/>
  <c r="E1949" i="6" s="1"/>
  <c r="J1948" i="6"/>
  <c r="I1948" i="6"/>
  <c r="G1948" i="6"/>
  <c r="F1948" i="6"/>
  <c r="C1948" i="6"/>
  <c r="D1948" i="6" s="1"/>
  <c r="E1948" i="6" s="1"/>
  <c r="J1947" i="6"/>
  <c r="I1947" i="6"/>
  <c r="G1947" i="6"/>
  <c r="F1947" i="6"/>
  <c r="C1947" i="6"/>
  <c r="D1947" i="6" s="1"/>
  <c r="E1947" i="6" s="1"/>
  <c r="J1946" i="6"/>
  <c r="I1946" i="6"/>
  <c r="G1946" i="6"/>
  <c r="F1946" i="6"/>
  <c r="C1946" i="6"/>
  <c r="D1946" i="6" s="1"/>
  <c r="E1946" i="6" s="1"/>
  <c r="J1945" i="6"/>
  <c r="I1945" i="6"/>
  <c r="G1945" i="6"/>
  <c r="F1945" i="6"/>
  <c r="C1945" i="6"/>
  <c r="D1945" i="6" s="1"/>
  <c r="E1945" i="6" s="1"/>
  <c r="J1944" i="6"/>
  <c r="I1944" i="6"/>
  <c r="G1944" i="6"/>
  <c r="F1944" i="6"/>
  <c r="C1944" i="6"/>
  <c r="D1944" i="6" s="1"/>
  <c r="E1944" i="6" s="1"/>
  <c r="J1943" i="6"/>
  <c r="I1943" i="6"/>
  <c r="G1943" i="6"/>
  <c r="F1943" i="6"/>
  <c r="C1943" i="6"/>
  <c r="D1943" i="6" s="1"/>
  <c r="E1943" i="6" s="1"/>
  <c r="J1942" i="6"/>
  <c r="I1942" i="6"/>
  <c r="G1942" i="6"/>
  <c r="F1942" i="6"/>
  <c r="C1942" i="6"/>
  <c r="D1942" i="6" s="1"/>
  <c r="E1942" i="6" s="1"/>
  <c r="J1941" i="6"/>
  <c r="I1941" i="6"/>
  <c r="G1941" i="6"/>
  <c r="F1941" i="6"/>
  <c r="C1941" i="6"/>
  <c r="D1941" i="6" s="1"/>
  <c r="E1941" i="6" s="1"/>
  <c r="J1940" i="6"/>
  <c r="I1940" i="6"/>
  <c r="G1940" i="6"/>
  <c r="F1940" i="6"/>
  <c r="C1940" i="6"/>
  <c r="D1940" i="6" s="1"/>
  <c r="E1940" i="6" s="1"/>
  <c r="J1939" i="6"/>
  <c r="I1939" i="6"/>
  <c r="G1939" i="6"/>
  <c r="F1939" i="6"/>
  <c r="C1939" i="6"/>
  <c r="D1939" i="6" s="1"/>
  <c r="E1939" i="6" s="1"/>
  <c r="H1939" i="6" s="1"/>
  <c r="J1938" i="6"/>
  <c r="I1938" i="6"/>
  <c r="G1938" i="6"/>
  <c r="F1938" i="6"/>
  <c r="C1938" i="6"/>
  <c r="D1938" i="6" s="1"/>
  <c r="E1938" i="6" s="1"/>
  <c r="J1937" i="6"/>
  <c r="I1937" i="6"/>
  <c r="G1937" i="6"/>
  <c r="F1937" i="6"/>
  <c r="C1937" i="6"/>
  <c r="D1937" i="6" s="1"/>
  <c r="E1937" i="6" s="1"/>
  <c r="J1936" i="6"/>
  <c r="I1936" i="6"/>
  <c r="G1936" i="6"/>
  <c r="F1936" i="6"/>
  <c r="C1936" i="6"/>
  <c r="D1936" i="6" s="1"/>
  <c r="E1936" i="6" s="1"/>
  <c r="J1935" i="6"/>
  <c r="I1935" i="6"/>
  <c r="G1935" i="6"/>
  <c r="F1935" i="6"/>
  <c r="C1935" i="6"/>
  <c r="D1935" i="6" s="1"/>
  <c r="E1935" i="6" s="1"/>
  <c r="J1934" i="6"/>
  <c r="I1934" i="6"/>
  <c r="G1934" i="6"/>
  <c r="F1934" i="6"/>
  <c r="C1934" i="6"/>
  <c r="D1934" i="6" s="1"/>
  <c r="E1934" i="6" s="1"/>
  <c r="J1933" i="6"/>
  <c r="I1933" i="6"/>
  <c r="G1933" i="6"/>
  <c r="F1933" i="6"/>
  <c r="C1933" i="6"/>
  <c r="D1933" i="6" s="1"/>
  <c r="E1933" i="6" s="1"/>
  <c r="J1932" i="6"/>
  <c r="I1932" i="6"/>
  <c r="G1932" i="6"/>
  <c r="F1932" i="6"/>
  <c r="C1932" i="6"/>
  <c r="D1932" i="6" s="1"/>
  <c r="E1932" i="6" s="1"/>
  <c r="J1931" i="6"/>
  <c r="I1931" i="6"/>
  <c r="G1931" i="6"/>
  <c r="F1931" i="6"/>
  <c r="C1931" i="6"/>
  <c r="D1931" i="6" s="1"/>
  <c r="E1931" i="6" s="1"/>
  <c r="J1930" i="6"/>
  <c r="I1930" i="6"/>
  <c r="G1930" i="6"/>
  <c r="F1930" i="6"/>
  <c r="C1930" i="6"/>
  <c r="D1930" i="6" s="1"/>
  <c r="E1930" i="6" s="1"/>
  <c r="J1929" i="6"/>
  <c r="I1929" i="6"/>
  <c r="G1929" i="6"/>
  <c r="F1929" i="6"/>
  <c r="C1929" i="6"/>
  <c r="D1929" i="6" s="1"/>
  <c r="E1929" i="6" s="1"/>
  <c r="J1928" i="6"/>
  <c r="I1928" i="6"/>
  <c r="G1928" i="6"/>
  <c r="F1928" i="6"/>
  <c r="C1928" i="6"/>
  <c r="D1928" i="6" s="1"/>
  <c r="E1928" i="6" s="1"/>
  <c r="J1927" i="6"/>
  <c r="I1927" i="6"/>
  <c r="G1927" i="6"/>
  <c r="F1927" i="6"/>
  <c r="C1927" i="6"/>
  <c r="D1927" i="6" s="1"/>
  <c r="E1927" i="6" s="1"/>
  <c r="J1926" i="6"/>
  <c r="I1926" i="6"/>
  <c r="G1926" i="6"/>
  <c r="F1926" i="6"/>
  <c r="C1926" i="6"/>
  <c r="D1926" i="6" s="1"/>
  <c r="E1926" i="6" s="1"/>
  <c r="J1925" i="6"/>
  <c r="I1925" i="6"/>
  <c r="G1925" i="6"/>
  <c r="F1925" i="6"/>
  <c r="C1925" i="6"/>
  <c r="D1925" i="6" s="1"/>
  <c r="E1925" i="6" s="1"/>
  <c r="J1924" i="6"/>
  <c r="I1924" i="6"/>
  <c r="G1924" i="6"/>
  <c r="F1924" i="6"/>
  <c r="C1924" i="6"/>
  <c r="D1924" i="6" s="1"/>
  <c r="E1924" i="6" s="1"/>
  <c r="J1923" i="6"/>
  <c r="I1923" i="6"/>
  <c r="G1923" i="6"/>
  <c r="F1923" i="6"/>
  <c r="C1923" i="6"/>
  <c r="D1923" i="6" s="1"/>
  <c r="E1923" i="6" s="1"/>
  <c r="J1922" i="6"/>
  <c r="I1922" i="6"/>
  <c r="G1922" i="6"/>
  <c r="F1922" i="6"/>
  <c r="C1922" i="6"/>
  <c r="D1922" i="6" s="1"/>
  <c r="E1922" i="6" s="1"/>
  <c r="J1921" i="6"/>
  <c r="I1921" i="6"/>
  <c r="G1921" i="6"/>
  <c r="F1921" i="6"/>
  <c r="C1921" i="6"/>
  <c r="D1921" i="6" s="1"/>
  <c r="E1921" i="6" s="1"/>
  <c r="J1920" i="6"/>
  <c r="I1920" i="6"/>
  <c r="G1920" i="6"/>
  <c r="F1920" i="6"/>
  <c r="C1920" i="6"/>
  <c r="D1920" i="6" s="1"/>
  <c r="E1920" i="6" s="1"/>
  <c r="J1919" i="6"/>
  <c r="I1919" i="6"/>
  <c r="G1919" i="6"/>
  <c r="F1919" i="6"/>
  <c r="C1919" i="6"/>
  <c r="D1919" i="6" s="1"/>
  <c r="E1919" i="6" s="1"/>
  <c r="J1918" i="6"/>
  <c r="I1918" i="6"/>
  <c r="G1918" i="6"/>
  <c r="F1918" i="6"/>
  <c r="C1918" i="6"/>
  <c r="D1918" i="6" s="1"/>
  <c r="E1918" i="6" s="1"/>
  <c r="J1917" i="6"/>
  <c r="I1917" i="6"/>
  <c r="G1917" i="6"/>
  <c r="F1917" i="6"/>
  <c r="C1917" i="6"/>
  <c r="D1917" i="6" s="1"/>
  <c r="E1917" i="6" s="1"/>
  <c r="J1916" i="6"/>
  <c r="I1916" i="6"/>
  <c r="G1916" i="6"/>
  <c r="F1916" i="6"/>
  <c r="C1916" i="6"/>
  <c r="D1916" i="6" s="1"/>
  <c r="E1916" i="6" s="1"/>
  <c r="J1915" i="6"/>
  <c r="I1915" i="6"/>
  <c r="G1915" i="6"/>
  <c r="F1915" i="6"/>
  <c r="C1915" i="6"/>
  <c r="D1915" i="6" s="1"/>
  <c r="E1915" i="6" s="1"/>
  <c r="J1914" i="6"/>
  <c r="I1914" i="6"/>
  <c r="G1914" i="6"/>
  <c r="F1914" i="6"/>
  <c r="C1914" i="6"/>
  <c r="D1914" i="6" s="1"/>
  <c r="E1914" i="6" s="1"/>
  <c r="J1913" i="6"/>
  <c r="I1913" i="6"/>
  <c r="G1913" i="6"/>
  <c r="F1913" i="6"/>
  <c r="C1913" i="6"/>
  <c r="D1913" i="6" s="1"/>
  <c r="E1913" i="6" s="1"/>
  <c r="J1912" i="6"/>
  <c r="I1912" i="6"/>
  <c r="G1912" i="6"/>
  <c r="F1912" i="6"/>
  <c r="C1912" i="6"/>
  <c r="D1912" i="6" s="1"/>
  <c r="E1912" i="6" s="1"/>
  <c r="J1911" i="6"/>
  <c r="I1911" i="6"/>
  <c r="G1911" i="6"/>
  <c r="F1911" i="6"/>
  <c r="C1911" i="6"/>
  <c r="D1911" i="6" s="1"/>
  <c r="E1911" i="6" s="1"/>
  <c r="J1910" i="6"/>
  <c r="I1910" i="6"/>
  <c r="G1910" i="6"/>
  <c r="F1910" i="6"/>
  <c r="C1910" i="6"/>
  <c r="D1910" i="6" s="1"/>
  <c r="E1910" i="6" s="1"/>
  <c r="J1909" i="6"/>
  <c r="I1909" i="6"/>
  <c r="G1909" i="6"/>
  <c r="F1909" i="6"/>
  <c r="C1909" i="6"/>
  <c r="D1909" i="6" s="1"/>
  <c r="E1909" i="6" s="1"/>
  <c r="J1908" i="6"/>
  <c r="I1908" i="6"/>
  <c r="G1908" i="6"/>
  <c r="F1908" i="6"/>
  <c r="C1908" i="6"/>
  <c r="D1908" i="6" s="1"/>
  <c r="E1908" i="6" s="1"/>
  <c r="J1907" i="6"/>
  <c r="I1907" i="6"/>
  <c r="G1907" i="6"/>
  <c r="F1907" i="6"/>
  <c r="C1907" i="6"/>
  <c r="D1907" i="6" s="1"/>
  <c r="E1907" i="6" s="1"/>
  <c r="J1906" i="6"/>
  <c r="I1906" i="6"/>
  <c r="G1906" i="6"/>
  <c r="F1906" i="6"/>
  <c r="C1906" i="6"/>
  <c r="D1906" i="6" s="1"/>
  <c r="E1906" i="6" s="1"/>
  <c r="J1905" i="6"/>
  <c r="I1905" i="6"/>
  <c r="G1905" i="6"/>
  <c r="F1905" i="6"/>
  <c r="C1905" i="6"/>
  <c r="D1905" i="6" s="1"/>
  <c r="E1905" i="6" s="1"/>
  <c r="J1904" i="6"/>
  <c r="I1904" i="6"/>
  <c r="G1904" i="6"/>
  <c r="F1904" i="6"/>
  <c r="C1904" i="6"/>
  <c r="D1904" i="6" s="1"/>
  <c r="E1904" i="6" s="1"/>
  <c r="J1903" i="6"/>
  <c r="I1903" i="6"/>
  <c r="G1903" i="6"/>
  <c r="F1903" i="6"/>
  <c r="C1903" i="6"/>
  <c r="D1903" i="6" s="1"/>
  <c r="E1903" i="6" s="1"/>
  <c r="J1902" i="6"/>
  <c r="I1902" i="6"/>
  <c r="G1902" i="6"/>
  <c r="F1902" i="6"/>
  <c r="C1902" i="6"/>
  <c r="D1902" i="6" s="1"/>
  <c r="E1902" i="6" s="1"/>
  <c r="J1901" i="6"/>
  <c r="I1901" i="6"/>
  <c r="G1901" i="6"/>
  <c r="F1901" i="6"/>
  <c r="C1901" i="6"/>
  <c r="D1901" i="6" s="1"/>
  <c r="E1901" i="6" s="1"/>
  <c r="J1900" i="6"/>
  <c r="I1900" i="6"/>
  <c r="G1900" i="6"/>
  <c r="F1900" i="6"/>
  <c r="C1900" i="6"/>
  <c r="D1900" i="6" s="1"/>
  <c r="E1900" i="6" s="1"/>
  <c r="J1899" i="6"/>
  <c r="I1899" i="6"/>
  <c r="G1899" i="6"/>
  <c r="F1899" i="6"/>
  <c r="C1899" i="6"/>
  <c r="D1899" i="6" s="1"/>
  <c r="E1899" i="6" s="1"/>
  <c r="J1898" i="6"/>
  <c r="I1898" i="6"/>
  <c r="G1898" i="6"/>
  <c r="F1898" i="6"/>
  <c r="C1898" i="6"/>
  <c r="D1898" i="6" s="1"/>
  <c r="E1898" i="6" s="1"/>
  <c r="J1897" i="6"/>
  <c r="I1897" i="6"/>
  <c r="G1897" i="6"/>
  <c r="F1897" i="6"/>
  <c r="C1897" i="6"/>
  <c r="D1897" i="6" s="1"/>
  <c r="E1897" i="6" s="1"/>
  <c r="J1896" i="6"/>
  <c r="I1896" i="6"/>
  <c r="G1896" i="6"/>
  <c r="F1896" i="6"/>
  <c r="C1896" i="6"/>
  <c r="D1896" i="6" s="1"/>
  <c r="E1896" i="6" s="1"/>
  <c r="J1895" i="6"/>
  <c r="I1895" i="6"/>
  <c r="G1895" i="6"/>
  <c r="F1895" i="6"/>
  <c r="C1895" i="6"/>
  <c r="D1895" i="6" s="1"/>
  <c r="E1895" i="6" s="1"/>
  <c r="J1894" i="6"/>
  <c r="I1894" i="6"/>
  <c r="G1894" i="6"/>
  <c r="F1894" i="6"/>
  <c r="C1894" i="6"/>
  <c r="D1894" i="6" s="1"/>
  <c r="E1894" i="6" s="1"/>
  <c r="J1893" i="6"/>
  <c r="I1893" i="6"/>
  <c r="G1893" i="6"/>
  <c r="F1893" i="6"/>
  <c r="C1893" i="6"/>
  <c r="D1893" i="6" s="1"/>
  <c r="E1893" i="6" s="1"/>
  <c r="J1892" i="6"/>
  <c r="I1892" i="6"/>
  <c r="G1892" i="6"/>
  <c r="F1892" i="6"/>
  <c r="C1892" i="6"/>
  <c r="D1892" i="6" s="1"/>
  <c r="E1892" i="6" s="1"/>
  <c r="J1891" i="6"/>
  <c r="I1891" i="6"/>
  <c r="G1891" i="6"/>
  <c r="F1891" i="6"/>
  <c r="C1891" i="6"/>
  <c r="D1891" i="6" s="1"/>
  <c r="E1891" i="6" s="1"/>
  <c r="J1890" i="6"/>
  <c r="I1890" i="6"/>
  <c r="G1890" i="6"/>
  <c r="F1890" i="6"/>
  <c r="C1890" i="6"/>
  <c r="D1890" i="6" s="1"/>
  <c r="E1890" i="6" s="1"/>
  <c r="J1889" i="6"/>
  <c r="I1889" i="6"/>
  <c r="G1889" i="6"/>
  <c r="F1889" i="6"/>
  <c r="C1889" i="6"/>
  <c r="D1889" i="6" s="1"/>
  <c r="E1889" i="6" s="1"/>
  <c r="J1888" i="6"/>
  <c r="I1888" i="6"/>
  <c r="G1888" i="6"/>
  <c r="F1888" i="6"/>
  <c r="C1888" i="6"/>
  <c r="D1888" i="6" s="1"/>
  <c r="E1888" i="6" s="1"/>
  <c r="H1888" i="6" s="1"/>
  <c r="J1887" i="6"/>
  <c r="I1887" i="6"/>
  <c r="G1887" i="6"/>
  <c r="F1887" i="6"/>
  <c r="C1887" i="6"/>
  <c r="D1887" i="6" s="1"/>
  <c r="E1887" i="6" s="1"/>
  <c r="J1886" i="6"/>
  <c r="I1886" i="6"/>
  <c r="G1886" i="6"/>
  <c r="F1886" i="6"/>
  <c r="C1886" i="6"/>
  <c r="D1886" i="6" s="1"/>
  <c r="E1886" i="6" s="1"/>
  <c r="J1885" i="6"/>
  <c r="I1885" i="6"/>
  <c r="G1885" i="6"/>
  <c r="F1885" i="6"/>
  <c r="C1885" i="6"/>
  <c r="D1885" i="6" s="1"/>
  <c r="E1885" i="6" s="1"/>
  <c r="H1885" i="6" s="1"/>
  <c r="J1884" i="6"/>
  <c r="I1884" i="6"/>
  <c r="G1884" i="6"/>
  <c r="F1884" i="6"/>
  <c r="C1884" i="6"/>
  <c r="D1884" i="6" s="1"/>
  <c r="E1884" i="6" s="1"/>
  <c r="J1883" i="6"/>
  <c r="I1883" i="6"/>
  <c r="G1883" i="6"/>
  <c r="F1883" i="6"/>
  <c r="C1883" i="6"/>
  <c r="D1883" i="6" s="1"/>
  <c r="E1883" i="6" s="1"/>
  <c r="J1882" i="6"/>
  <c r="I1882" i="6"/>
  <c r="G1882" i="6"/>
  <c r="F1882" i="6"/>
  <c r="C1882" i="6"/>
  <c r="D1882" i="6" s="1"/>
  <c r="E1882" i="6" s="1"/>
  <c r="H1882" i="6" s="1"/>
  <c r="J1881" i="6"/>
  <c r="I1881" i="6"/>
  <c r="G1881" i="6"/>
  <c r="F1881" i="6"/>
  <c r="C1881" i="6"/>
  <c r="D1881" i="6" s="1"/>
  <c r="E1881" i="6" s="1"/>
  <c r="J1880" i="6"/>
  <c r="I1880" i="6"/>
  <c r="G1880" i="6"/>
  <c r="F1880" i="6"/>
  <c r="C1880" i="6"/>
  <c r="D1880" i="6" s="1"/>
  <c r="E1880" i="6" s="1"/>
  <c r="J1879" i="6"/>
  <c r="I1879" i="6"/>
  <c r="G1879" i="6"/>
  <c r="F1879" i="6"/>
  <c r="C1879" i="6"/>
  <c r="D1879" i="6" s="1"/>
  <c r="E1879" i="6" s="1"/>
  <c r="J1878" i="6"/>
  <c r="I1878" i="6"/>
  <c r="G1878" i="6"/>
  <c r="F1878" i="6"/>
  <c r="C1878" i="6"/>
  <c r="D1878" i="6" s="1"/>
  <c r="E1878" i="6" s="1"/>
  <c r="J1877" i="6"/>
  <c r="I1877" i="6"/>
  <c r="G1877" i="6"/>
  <c r="F1877" i="6"/>
  <c r="C1877" i="6"/>
  <c r="D1877" i="6" s="1"/>
  <c r="E1877" i="6" s="1"/>
  <c r="J1876" i="6"/>
  <c r="I1876" i="6"/>
  <c r="G1876" i="6"/>
  <c r="F1876" i="6"/>
  <c r="C1876" i="6"/>
  <c r="D1876" i="6" s="1"/>
  <c r="E1876" i="6" s="1"/>
  <c r="J1875" i="6"/>
  <c r="I1875" i="6"/>
  <c r="G1875" i="6"/>
  <c r="F1875" i="6"/>
  <c r="C1875" i="6"/>
  <c r="D1875" i="6" s="1"/>
  <c r="E1875" i="6" s="1"/>
  <c r="J1874" i="6"/>
  <c r="I1874" i="6"/>
  <c r="G1874" i="6"/>
  <c r="F1874" i="6"/>
  <c r="C1874" i="6"/>
  <c r="D1874" i="6" s="1"/>
  <c r="E1874" i="6" s="1"/>
  <c r="J1873" i="6"/>
  <c r="I1873" i="6"/>
  <c r="G1873" i="6"/>
  <c r="F1873" i="6"/>
  <c r="C1873" i="6"/>
  <c r="D1873" i="6" s="1"/>
  <c r="E1873" i="6" s="1"/>
  <c r="J1872" i="6"/>
  <c r="I1872" i="6"/>
  <c r="G1872" i="6"/>
  <c r="F1872" i="6"/>
  <c r="C1872" i="6"/>
  <c r="D1872" i="6" s="1"/>
  <c r="E1872" i="6" s="1"/>
  <c r="J1871" i="6"/>
  <c r="I1871" i="6"/>
  <c r="G1871" i="6"/>
  <c r="F1871" i="6"/>
  <c r="C1871" i="6"/>
  <c r="D1871" i="6" s="1"/>
  <c r="E1871" i="6" s="1"/>
  <c r="J1870" i="6"/>
  <c r="I1870" i="6"/>
  <c r="G1870" i="6"/>
  <c r="F1870" i="6"/>
  <c r="C1870" i="6"/>
  <c r="D1870" i="6" s="1"/>
  <c r="E1870" i="6" s="1"/>
  <c r="J1869" i="6"/>
  <c r="I1869" i="6"/>
  <c r="G1869" i="6"/>
  <c r="F1869" i="6"/>
  <c r="C1869" i="6"/>
  <c r="D1869" i="6" s="1"/>
  <c r="E1869" i="6" s="1"/>
  <c r="J1868" i="6"/>
  <c r="I1868" i="6"/>
  <c r="G1868" i="6"/>
  <c r="F1868" i="6"/>
  <c r="C1868" i="6"/>
  <c r="D1868" i="6" s="1"/>
  <c r="E1868" i="6" s="1"/>
  <c r="J1867" i="6"/>
  <c r="I1867" i="6"/>
  <c r="G1867" i="6"/>
  <c r="F1867" i="6"/>
  <c r="C1867" i="6"/>
  <c r="D1867" i="6" s="1"/>
  <c r="E1867" i="6" s="1"/>
  <c r="J1866" i="6"/>
  <c r="I1866" i="6"/>
  <c r="G1866" i="6"/>
  <c r="F1866" i="6"/>
  <c r="C1866" i="6"/>
  <c r="D1866" i="6" s="1"/>
  <c r="E1866" i="6" s="1"/>
  <c r="J1865" i="6"/>
  <c r="I1865" i="6"/>
  <c r="G1865" i="6"/>
  <c r="F1865" i="6"/>
  <c r="C1865" i="6"/>
  <c r="D1865" i="6" s="1"/>
  <c r="E1865" i="6" s="1"/>
  <c r="J1864" i="6"/>
  <c r="I1864" i="6"/>
  <c r="G1864" i="6"/>
  <c r="F1864" i="6"/>
  <c r="C1864" i="6"/>
  <c r="D1864" i="6" s="1"/>
  <c r="E1864" i="6" s="1"/>
  <c r="J1863" i="6"/>
  <c r="I1863" i="6"/>
  <c r="G1863" i="6"/>
  <c r="F1863" i="6"/>
  <c r="C1863" i="6"/>
  <c r="D1863" i="6" s="1"/>
  <c r="E1863" i="6" s="1"/>
  <c r="J1862" i="6"/>
  <c r="I1862" i="6"/>
  <c r="G1862" i="6"/>
  <c r="F1862" i="6"/>
  <c r="C1862" i="6"/>
  <c r="D1862" i="6" s="1"/>
  <c r="E1862" i="6" s="1"/>
  <c r="J1861" i="6"/>
  <c r="I1861" i="6"/>
  <c r="G1861" i="6"/>
  <c r="F1861" i="6"/>
  <c r="C1861" i="6"/>
  <c r="D1861" i="6" s="1"/>
  <c r="E1861" i="6" s="1"/>
  <c r="J1860" i="6"/>
  <c r="I1860" i="6"/>
  <c r="G1860" i="6"/>
  <c r="F1860" i="6"/>
  <c r="C1860" i="6"/>
  <c r="D1860" i="6" s="1"/>
  <c r="E1860" i="6" s="1"/>
  <c r="J1859" i="6"/>
  <c r="I1859" i="6"/>
  <c r="G1859" i="6"/>
  <c r="F1859" i="6"/>
  <c r="C1859" i="6"/>
  <c r="D1859" i="6" s="1"/>
  <c r="E1859" i="6" s="1"/>
  <c r="J1858" i="6"/>
  <c r="I1858" i="6"/>
  <c r="G1858" i="6"/>
  <c r="F1858" i="6"/>
  <c r="C1858" i="6"/>
  <c r="D1858" i="6" s="1"/>
  <c r="E1858" i="6" s="1"/>
  <c r="J1857" i="6"/>
  <c r="I1857" i="6"/>
  <c r="G1857" i="6"/>
  <c r="F1857" i="6"/>
  <c r="C1857" i="6"/>
  <c r="D1857" i="6" s="1"/>
  <c r="E1857" i="6" s="1"/>
  <c r="J1856" i="6"/>
  <c r="I1856" i="6"/>
  <c r="G1856" i="6"/>
  <c r="F1856" i="6"/>
  <c r="C1856" i="6"/>
  <c r="D1856" i="6" s="1"/>
  <c r="E1856" i="6" s="1"/>
  <c r="J1855" i="6"/>
  <c r="I1855" i="6"/>
  <c r="G1855" i="6"/>
  <c r="F1855" i="6"/>
  <c r="C1855" i="6"/>
  <c r="D1855" i="6" s="1"/>
  <c r="E1855" i="6" s="1"/>
  <c r="J1854" i="6"/>
  <c r="I1854" i="6"/>
  <c r="G1854" i="6"/>
  <c r="F1854" i="6"/>
  <c r="C1854" i="6"/>
  <c r="D1854" i="6" s="1"/>
  <c r="E1854" i="6" s="1"/>
  <c r="J1853" i="6"/>
  <c r="I1853" i="6"/>
  <c r="G1853" i="6"/>
  <c r="F1853" i="6"/>
  <c r="C1853" i="6"/>
  <c r="D1853" i="6" s="1"/>
  <c r="E1853" i="6" s="1"/>
  <c r="J1852" i="6"/>
  <c r="I1852" i="6"/>
  <c r="G1852" i="6"/>
  <c r="F1852" i="6"/>
  <c r="C1852" i="6"/>
  <c r="D1852" i="6" s="1"/>
  <c r="E1852" i="6" s="1"/>
  <c r="J1851" i="6"/>
  <c r="I1851" i="6"/>
  <c r="G1851" i="6"/>
  <c r="F1851" i="6"/>
  <c r="C1851" i="6"/>
  <c r="D1851" i="6" s="1"/>
  <c r="E1851" i="6" s="1"/>
  <c r="J1850" i="6"/>
  <c r="I1850" i="6"/>
  <c r="G1850" i="6"/>
  <c r="F1850" i="6"/>
  <c r="C1850" i="6"/>
  <c r="D1850" i="6" s="1"/>
  <c r="E1850" i="6" s="1"/>
  <c r="J1849" i="6"/>
  <c r="I1849" i="6"/>
  <c r="G1849" i="6"/>
  <c r="F1849" i="6"/>
  <c r="C1849" i="6"/>
  <c r="D1849" i="6" s="1"/>
  <c r="E1849" i="6" s="1"/>
  <c r="J1848" i="6"/>
  <c r="I1848" i="6"/>
  <c r="G1848" i="6"/>
  <c r="F1848" i="6"/>
  <c r="C1848" i="6"/>
  <c r="D1848" i="6" s="1"/>
  <c r="E1848" i="6" s="1"/>
  <c r="J1847" i="6"/>
  <c r="I1847" i="6"/>
  <c r="G1847" i="6"/>
  <c r="F1847" i="6"/>
  <c r="C1847" i="6"/>
  <c r="D1847" i="6" s="1"/>
  <c r="E1847" i="6" s="1"/>
  <c r="J1846" i="6"/>
  <c r="I1846" i="6"/>
  <c r="G1846" i="6"/>
  <c r="F1846" i="6"/>
  <c r="C1846" i="6"/>
  <c r="D1846" i="6" s="1"/>
  <c r="E1846" i="6" s="1"/>
  <c r="J1845" i="6"/>
  <c r="I1845" i="6"/>
  <c r="G1845" i="6"/>
  <c r="F1845" i="6"/>
  <c r="C1845" i="6"/>
  <c r="D1845" i="6" s="1"/>
  <c r="E1845" i="6" s="1"/>
  <c r="J1844" i="6"/>
  <c r="I1844" i="6"/>
  <c r="G1844" i="6"/>
  <c r="F1844" i="6"/>
  <c r="C1844" i="6"/>
  <c r="D1844" i="6" s="1"/>
  <c r="E1844" i="6" s="1"/>
  <c r="J1843" i="6"/>
  <c r="I1843" i="6"/>
  <c r="G1843" i="6"/>
  <c r="F1843" i="6"/>
  <c r="C1843" i="6"/>
  <c r="D1843" i="6" s="1"/>
  <c r="E1843" i="6" s="1"/>
  <c r="J1842" i="6"/>
  <c r="I1842" i="6"/>
  <c r="G1842" i="6"/>
  <c r="F1842" i="6"/>
  <c r="C1842" i="6"/>
  <c r="D1842" i="6" s="1"/>
  <c r="E1842" i="6" s="1"/>
  <c r="J1841" i="6"/>
  <c r="I1841" i="6"/>
  <c r="G1841" i="6"/>
  <c r="F1841" i="6"/>
  <c r="C1841" i="6"/>
  <c r="D1841" i="6" s="1"/>
  <c r="E1841" i="6" s="1"/>
  <c r="J1840" i="6"/>
  <c r="I1840" i="6"/>
  <c r="G1840" i="6"/>
  <c r="F1840" i="6"/>
  <c r="C1840" i="6"/>
  <c r="D1840" i="6" s="1"/>
  <c r="E1840" i="6" s="1"/>
  <c r="J1839" i="6"/>
  <c r="I1839" i="6"/>
  <c r="G1839" i="6"/>
  <c r="F1839" i="6"/>
  <c r="C1839" i="6"/>
  <c r="D1839" i="6" s="1"/>
  <c r="E1839" i="6" s="1"/>
  <c r="J1838" i="6"/>
  <c r="I1838" i="6"/>
  <c r="G1838" i="6"/>
  <c r="F1838" i="6"/>
  <c r="C1838" i="6"/>
  <c r="D1838" i="6" s="1"/>
  <c r="E1838" i="6" s="1"/>
  <c r="J1837" i="6"/>
  <c r="I1837" i="6"/>
  <c r="G1837" i="6"/>
  <c r="F1837" i="6"/>
  <c r="C1837" i="6"/>
  <c r="D1837" i="6" s="1"/>
  <c r="E1837" i="6" s="1"/>
  <c r="J1836" i="6"/>
  <c r="I1836" i="6"/>
  <c r="G1836" i="6"/>
  <c r="F1836" i="6"/>
  <c r="C1836" i="6"/>
  <c r="D1836" i="6" s="1"/>
  <c r="E1836" i="6" s="1"/>
  <c r="J1835" i="6"/>
  <c r="I1835" i="6"/>
  <c r="G1835" i="6"/>
  <c r="F1835" i="6"/>
  <c r="C1835" i="6"/>
  <c r="D1835" i="6" s="1"/>
  <c r="E1835" i="6" s="1"/>
  <c r="J1834" i="6"/>
  <c r="I1834" i="6"/>
  <c r="G1834" i="6"/>
  <c r="F1834" i="6"/>
  <c r="C1834" i="6"/>
  <c r="D1834" i="6" s="1"/>
  <c r="E1834" i="6" s="1"/>
  <c r="J1833" i="6"/>
  <c r="I1833" i="6"/>
  <c r="G1833" i="6"/>
  <c r="F1833" i="6"/>
  <c r="C1833" i="6"/>
  <c r="D1833" i="6" s="1"/>
  <c r="E1833" i="6" s="1"/>
  <c r="J1832" i="6"/>
  <c r="I1832" i="6"/>
  <c r="G1832" i="6"/>
  <c r="F1832" i="6"/>
  <c r="C1832" i="6"/>
  <c r="D1832" i="6" s="1"/>
  <c r="E1832" i="6" s="1"/>
  <c r="J1831" i="6"/>
  <c r="I1831" i="6"/>
  <c r="G1831" i="6"/>
  <c r="F1831" i="6"/>
  <c r="C1831" i="6"/>
  <c r="D1831" i="6" s="1"/>
  <c r="E1831" i="6" s="1"/>
  <c r="J1830" i="6"/>
  <c r="I1830" i="6"/>
  <c r="G1830" i="6"/>
  <c r="F1830" i="6"/>
  <c r="C1830" i="6"/>
  <c r="D1830" i="6" s="1"/>
  <c r="E1830" i="6" s="1"/>
  <c r="J1829" i="6"/>
  <c r="I1829" i="6"/>
  <c r="G1829" i="6"/>
  <c r="F1829" i="6"/>
  <c r="C1829" i="6"/>
  <c r="D1829" i="6" s="1"/>
  <c r="E1829" i="6" s="1"/>
  <c r="J1828" i="6"/>
  <c r="I1828" i="6"/>
  <c r="G1828" i="6"/>
  <c r="F1828" i="6"/>
  <c r="C1828" i="6"/>
  <c r="D1828" i="6" s="1"/>
  <c r="E1828" i="6" s="1"/>
  <c r="J1827" i="6"/>
  <c r="I1827" i="6"/>
  <c r="G1827" i="6"/>
  <c r="F1827" i="6"/>
  <c r="C1827" i="6"/>
  <c r="D1827" i="6" s="1"/>
  <c r="E1827" i="6" s="1"/>
  <c r="J1826" i="6"/>
  <c r="I1826" i="6"/>
  <c r="G1826" i="6"/>
  <c r="F1826" i="6"/>
  <c r="C1826" i="6"/>
  <c r="D1826" i="6" s="1"/>
  <c r="E1826" i="6" s="1"/>
  <c r="J1825" i="6"/>
  <c r="I1825" i="6"/>
  <c r="G1825" i="6"/>
  <c r="F1825" i="6"/>
  <c r="C1825" i="6"/>
  <c r="D1825" i="6" s="1"/>
  <c r="E1825" i="6" s="1"/>
  <c r="J1824" i="6"/>
  <c r="I1824" i="6"/>
  <c r="G1824" i="6"/>
  <c r="F1824" i="6"/>
  <c r="C1824" i="6"/>
  <c r="D1824" i="6" s="1"/>
  <c r="E1824" i="6" s="1"/>
  <c r="J1823" i="6"/>
  <c r="I1823" i="6"/>
  <c r="G1823" i="6"/>
  <c r="F1823" i="6"/>
  <c r="C1823" i="6"/>
  <c r="D1823" i="6" s="1"/>
  <c r="E1823" i="6" s="1"/>
  <c r="J1822" i="6"/>
  <c r="I1822" i="6"/>
  <c r="G1822" i="6"/>
  <c r="F1822" i="6"/>
  <c r="C1822" i="6"/>
  <c r="D1822" i="6" s="1"/>
  <c r="E1822" i="6" s="1"/>
  <c r="J1821" i="6"/>
  <c r="I1821" i="6"/>
  <c r="G1821" i="6"/>
  <c r="F1821" i="6"/>
  <c r="C1821" i="6"/>
  <c r="D1821" i="6" s="1"/>
  <c r="E1821" i="6" s="1"/>
  <c r="J1820" i="6"/>
  <c r="I1820" i="6"/>
  <c r="G1820" i="6"/>
  <c r="F1820" i="6"/>
  <c r="C1820" i="6"/>
  <c r="D1820" i="6" s="1"/>
  <c r="E1820" i="6" s="1"/>
  <c r="J1819" i="6"/>
  <c r="I1819" i="6"/>
  <c r="G1819" i="6"/>
  <c r="F1819" i="6"/>
  <c r="C1819" i="6"/>
  <c r="D1819" i="6" s="1"/>
  <c r="E1819" i="6" s="1"/>
  <c r="J1818" i="6"/>
  <c r="I1818" i="6"/>
  <c r="G1818" i="6"/>
  <c r="F1818" i="6"/>
  <c r="C1818" i="6"/>
  <c r="D1818" i="6" s="1"/>
  <c r="E1818" i="6" s="1"/>
  <c r="J1817" i="6"/>
  <c r="I1817" i="6"/>
  <c r="G1817" i="6"/>
  <c r="F1817" i="6"/>
  <c r="C1817" i="6"/>
  <c r="D1817" i="6" s="1"/>
  <c r="E1817" i="6" s="1"/>
  <c r="J1816" i="6"/>
  <c r="I1816" i="6"/>
  <c r="G1816" i="6"/>
  <c r="F1816" i="6"/>
  <c r="C1816" i="6"/>
  <c r="D1816" i="6" s="1"/>
  <c r="E1816" i="6" s="1"/>
  <c r="J1815" i="6"/>
  <c r="I1815" i="6"/>
  <c r="G1815" i="6"/>
  <c r="F1815" i="6"/>
  <c r="C1815" i="6"/>
  <c r="D1815" i="6" s="1"/>
  <c r="E1815" i="6" s="1"/>
  <c r="J1814" i="6"/>
  <c r="I1814" i="6"/>
  <c r="G1814" i="6"/>
  <c r="F1814" i="6"/>
  <c r="C1814" i="6"/>
  <c r="D1814" i="6" s="1"/>
  <c r="E1814" i="6" s="1"/>
  <c r="J1813" i="6"/>
  <c r="I1813" i="6"/>
  <c r="G1813" i="6"/>
  <c r="F1813" i="6"/>
  <c r="C1813" i="6"/>
  <c r="D1813" i="6" s="1"/>
  <c r="E1813" i="6" s="1"/>
  <c r="J1812" i="6"/>
  <c r="I1812" i="6"/>
  <c r="G1812" i="6"/>
  <c r="F1812" i="6"/>
  <c r="C1812" i="6"/>
  <c r="D1812" i="6" s="1"/>
  <c r="E1812" i="6" s="1"/>
  <c r="J1811" i="6"/>
  <c r="I1811" i="6"/>
  <c r="G1811" i="6"/>
  <c r="F1811" i="6"/>
  <c r="C1811" i="6"/>
  <c r="D1811" i="6" s="1"/>
  <c r="E1811" i="6" s="1"/>
  <c r="J1810" i="6"/>
  <c r="I1810" i="6"/>
  <c r="G1810" i="6"/>
  <c r="F1810" i="6"/>
  <c r="C1810" i="6"/>
  <c r="D1810" i="6" s="1"/>
  <c r="E1810" i="6" s="1"/>
  <c r="J1809" i="6"/>
  <c r="I1809" i="6"/>
  <c r="G1809" i="6"/>
  <c r="F1809" i="6"/>
  <c r="C1809" i="6"/>
  <c r="D1809" i="6" s="1"/>
  <c r="E1809" i="6" s="1"/>
  <c r="J1808" i="6"/>
  <c r="I1808" i="6"/>
  <c r="G1808" i="6"/>
  <c r="F1808" i="6"/>
  <c r="C1808" i="6"/>
  <c r="D1808" i="6" s="1"/>
  <c r="E1808" i="6" s="1"/>
  <c r="J1807" i="6"/>
  <c r="I1807" i="6"/>
  <c r="G1807" i="6"/>
  <c r="F1807" i="6"/>
  <c r="C1807" i="6"/>
  <c r="D1807" i="6" s="1"/>
  <c r="E1807" i="6" s="1"/>
  <c r="J1806" i="6"/>
  <c r="I1806" i="6"/>
  <c r="G1806" i="6"/>
  <c r="F1806" i="6"/>
  <c r="C1806" i="6"/>
  <c r="D1806" i="6" s="1"/>
  <c r="E1806" i="6" s="1"/>
  <c r="J1805" i="6"/>
  <c r="I1805" i="6"/>
  <c r="G1805" i="6"/>
  <c r="F1805" i="6"/>
  <c r="C1805" i="6"/>
  <c r="D1805" i="6" s="1"/>
  <c r="E1805" i="6" s="1"/>
  <c r="J1804" i="6"/>
  <c r="I1804" i="6"/>
  <c r="G1804" i="6"/>
  <c r="F1804" i="6"/>
  <c r="C1804" i="6"/>
  <c r="D1804" i="6" s="1"/>
  <c r="E1804" i="6" s="1"/>
  <c r="J1803" i="6"/>
  <c r="I1803" i="6"/>
  <c r="G1803" i="6"/>
  <c r="F1803" i="6"/>
  <c r="C1803" i="6"/>
  <c r="D1803" i="6" s="1"/>
  <c r="E1803" i="6" s="1"/>
  <c r="J1802" i="6"/>
  <c r="I1802" i="6"/>
  <c r="G1802" i="6"/>
  <c r="F1802" i="6"/>
  <c r="C1802" i="6"/>
  <c r="D1802" i="6" s="1"/>
  <c r="E1802" i="6" s="1"/>
  <c r="J1801" i="6"/>
  <c r="I1801" i="6"/>
  <c r="G1801" i="6"/>
  <c r="F1801" i="6"/>
  <c r="C1801" i="6"/>
  <c r="D1801" i="6" s="1"/>
  <c r="E1801" i="6" s="1"/>
  <c r="J1800" i="6"/>
  <c r="I1800" i="6"/>
  <c r="G1800" i="6"/>
  <c r="F1800" i="6"/>
  <c r="C1800" i="6"/>
  <c r="D1800" i="6" s="1"/>
  <c r="E1800" i="6" s="1"/>
  <c r="J1799" i="6"/>
  <c r="I1799" i="6"/>
  <c r="G1799" i="6"/>
  <c r="F1799" i="6"/>
  <c r="C1799" i="6"/>
  <c r="D1799" i="6" s="1"/>
  <c r="E1799" i="6" s="1"/>
  <c r="J1798" i="6"/>
  <c r="I1798" i="6"/>
  <c r="G1798" i="6"/>
  <c r="F1798" i="6"/>
  <c r="C1798" i="6"/>
  <c r="D1798" i="6" s="1"/>
  <c r="E1798" i="6" s="1"/>
  <c r="J1797" i="6"/>
  <c r="I1797" i="6"/>
  <c r="G1797" i="6"/>
  <c r="F1797" i="6"/>
  <c r="C1797" i="6"/>
  <c r="D1797" i="6" s="1"/>
  <c r="E1797" i="6" s="1"/>
  <c r="J1796" i="6"/>
  <c r="I1796" i="6"/>
  <c r="G1796" i="6"/>
  <c r="F1796" i="6"/>
  <c r="C1796" i="6"/>
  <c r="D1796" i="6" s="1"/>
  <c r="E1796" i="6" s="1"/>
  <c r="J1795" i="6"/>
  <c r="I1795" i="6"/>
  <c r="G1795" i="6"/>
  <c r="F1795" i="6"/>
  <c r="C1795" i="6"/>
  <c r="D1795" i="6" s="1"/>
  <c r="E1795" i="6" s="1"/>
  <c r="J1794" i="6"/>
  <c r="I1794" i="6"/>
  <c r="G1794" i="6"/>
  <c r="F1794" i="6"/>
  <c r="C1794" i="6"/>
  <c r="D1794" i="6" s="1"/>
  <c r="E1794" i="6" s="1"/>
  <c r="J1793" i="6"/>
  <c r="I1793" i="6"/>
  <c r="G1793" i="6"/>
  <c r="F1793" i="6"/>
  <c r="C1793" i="6"/>
  <c r="D1793" i="6" s="1"/>
  <c r="E1793" i="6" s="1"/>
  <c r="J1792" i="6"/>
  <c r="I1792" i="6"/>
  <c r="G1792" i="6"/>
  <c r="F1792" i="6"/>
  <c r="C1792" i="6"/>
  <c r="D1792" i="6" s="1"/>
  <c r="E1792" i="6" s="1"/>
  <c r="J1791" i="6"/>
  <c r="I1791" i="6"/>
  <c r="G1791" i="6"/>
  <c r="F1791" i="6"/>
  <c r="C1791" i="6"/>
  <c r="D1791" i="6" s="1"/>
  <c r="E1791" i="6" s="1"/>
  <c r="J1790" i="6"/>
  <c r="I1790" i="6"/>
  <c r="G1790" i="6"/>
  <c r="F1790" i="6"/>
  <c r="C1790" i="6"/>
  <c r="D1790" i="6" s="1"/>
  <c r="E1790" i="6" s="1"/>
  <c r="J1789" i="6"/>
  <c r="I1789" i="6"/>
  <c r="G1789" i="6"/>
  <c r="F1789" i="6"/>
  <c r="C1789" i="6"/>
  <c r="D1789" i="6" s="1"/>
  <c r="E1789" i="6" s="1"/>
  <c r="J1788" i="6"/>
  <c r="I1788" i="6"/>
  <c r="G1788" i="6"/>
  <c r="F1788" i="6"/>
  <c r="C1788" i="6"/>
  <c r="D1788" i="6" s="1"/>
  <c r="E1788" i="6" s="1"/>
  <c r="J1787" i="6"/>
  <c r="I1787" i="6"/>
  <c r="G1787" i="6"/>
  <c r="F1787" i="6"/>
  <c r="C1787" i="6"/>
  <c r="D1787" i="6" s="1"/>
  <c r="E1787" i="6" s="1"/>
  <c r="J1786" i="6"/>
  <c r="I1786" i="6"/>
  <c r="G1786" i="6"/>
  <c r="F1786" i="6"/>
  <c r="C1786" i="6"/>
  <c r="D1786" i="6" s="1"/>
  <c r="E1786" i="6" s="1"/>
  <c r="J1785" i="6"/>
  <c r="I1785" i="6"/>
  <c r="G1785" i="6"/>
  <c r="F1785" i="6"/>
  <c r="C1785" i="6"/>
  <c r="D1785" i="6" s="1"/>
  <c r="E1785" i="6" s="1"/>
  <c r="J1784" i="6"/>
  <c r="I1784" i="6"/>
  <c r="G1784" i="6"/>
  <c r="F1784" i="6"/>
  <c r="C1784" i="6"/>
  <c r="D1784" i="6" s="1"/>
  <c r="E1784" i="6" s="1"/>
  <c r="J1783" i="6"/>
  <c r="I1783" i="6"/>
  <c r="G1783" i="6"/>
  <c r="F1783" i="6"/>
  <c r="C1783" i="6"/>
  <c r="D1783" i="6" s="1"/>
  <c r="E1783" i="6" s="1"/>
  <c r="J1782" i="6"/>
  <c r="I1782" i="6"/>
  <c r="G1782" i="6"/>
  <c r="F1782" i="6"/>
  <c r="C1782" i="6"/>
  <c r="D1782" i="6" s="1"/>
  <c r="E1782" i="6" s="1"/>
  <c r="J1781" i="6"/>
  <c r="I1781" i="6"/>
  <c r="G1781" i="6"/>
  <c r="F1781" i="6"/>
  <c r="C1781" i="6"/>
  <c r="D1781" i="6" s="1"/>
  <c r="E1781" i="6" s="1"/>
  <c r="J1780" i="6"/>
  <c r="I1780" i="6"/>
  <c r="G1780" i="6"/>
  <c r="F1780" i="6"/>
  <c r="C1780" i="6"/>
  <c r="D1780" i="6" s="1"/>
  <c r="E1780" i="6" s="1"/>
  <c r="J1779" i="6"/>
  <c r="I1779" i="6"/>
  <c r="G1779" i="6"/>
  <c r="F1779" i="6"/>
  <c r="C1779" i="6"/>
  <c r="D1779" i="6" s="1"/>
  <c r="E1779" i="6" s="1"/>
  <c r="J1778" i="6"/>
  <c r="I1778" i="6"/>
  <c r="G1778" i="6"/>
  <c r="F1778" i="6"/>
  <c r="C1778" i="6"/>
  <c r="D1778" i="6" s="1"/>
  <c r="E1778" i="6" s="1"/>
  <c r="J1777" i="6"/>
  <c r="I1777" i="6"/>
  <c r="G1777" i="6"/>
  <c r="F1777" i="6"/>
  <c r="C1777" i="6"/>
  <c r="D1777" i="6" s="1"/>
  <c r="E1777" i="6" s="1"/>
  <c r="J1776" i="6"/>
  <c r="I1776" i="6"/>
  <c r="G1776" i="6"/>
  <c r="F1776" i="6"/>
  <c r="C1776" i="6"/>
  <c r="D1776" i="6" s="1"/>
  <c r="E1776" i="6" s="1"/>
  <c r="J1775" i="6"/>
  <c r="I1775" i="6"/>
  <c r="G1775" i="6"/>
  <c r="F1775" i="6"/>
  <c r="C1775" i="6"/>
  <c r="D1775" i="6" s="1"/>
  <c r="E1775" i="6" s="1"/>
  <c r="J1774" i="6"/>
  <c r="I1774" i="6"/>
  <c r="G1774" i="6"/>
  <c r="F1774" i="6"/>
  <c r="C1774" i="6"/>
  <c r="D1774" i="6" s="1"/>
  <c r="E1774" i="6" s="1"/>
  <c r="J1773" i="6"/>
  <c r="I1773" i="6"/>
  <c r="G1773" i="6"/>
  <c r="F1773" i="6"/>
  <c r="C1773" i="6"/>
  <c r="D1773" i="6" s="1"/>
  <c r="E1773" i="6" s="1"/>
  <c r="J1772" i="6"/>
  <c r="I1772" i="6"/>
  <c r="G1772" i="6"/>
  <c r="F1772" i="6"/>
  <c r="C1772" i="6"/>
  <c r="D1772" i="6" s="1"/>
  <c r="E1772" i="6" s="1"/>
  <c r="J1771" i="6"/>
  <c r="I1771" i="6"/>
  <c r="G1771" i="6"/>
  <c r="F1771" i="6"/>
  <c r="C1771" i="6"/>
  <c r="D1771" i="6" s="1"/>
  <c r="E1771" i="6" s="1"/>
  <c r="J1770" i="6"/>
  <c r="I1770" i="6"/>
  <c r="G1770" i="6"/>
  <c r="F1770" i="6"/>
  <c r="C1770" i="6"/>
  <c r="D1770" i="6" s="1"/>
  <c r="E1770" i="6" s="1"/>
  <c r="J1769" i="6"/>
  <c r="I1769" i="6"/>
  <c r="G1769" i="6"/>
  <c r="F1769" i="6"/>
  <c r="C1769" i="6"/>
  <c r="D1769" i="6" s="1"/>
  <c r="E1769" i="6" s="1"/>
  <c r="J1768" i="6"/>
  <c r="I1768" i="6"/>
  <c r="G1768" i="6"/>
  <c r="F1768" i="6"/>
  <c r="C1768" i="6"/>
  <c r="D1768" i="6" s="1"/>
  <c r="E1768" i="6" s="1"/>
  <c r="J1767" i="6"/>
  <c r="I1767" i="6"/>
  <c r="G1767" i="6"/>
  <c r="F1767" i="6"/>
  <c r="C1767" i="6"/>
  <c r="D1767" i="6" s="1"/>
  <c r="E1767" i="6" s="1"/>
  <c r="J1766" i="6"/>
  <c r="I1766" i="6"/>
  <c r="G1766" i="6"/>
  <c r="F1766" i="6"/>
  <c r="C1766" i="6"/>
  <c r="D1766" i="6" s="1"/>
  <c r="E1766" i="6" s="1"/>
  <c r="J1765" i="6"/>
  <c r="I1765" i="6"/>
  <c r="G1765" i="6"/>
  <c r="F1765" i="6"/>
  <c r="C1765" i="6"/>
  <c r="D1765" i="6" s="1"/>
  <c r="E1765" i="6" s="1"/>
  <c r="J1764" i="6"/>
  <c r="I1764" i="6"/>
  <c r="G1764" i="6"/>
  <c r="F1764" i="6"/>
  <c r="C1764" i="6"/>
  <c r="D1764" i="6" s="1"/>
  <c r="E1764" i="6" s="1"/>
  <c r="J1763" i="6"/>
  <c r="I1763" i="6"/>
  <c r="G1763" i="6"/>
  <c r="F1763" i="6"/>
  <c r="C1763" i="6"/>
  <c r="D1763" i="6" s="1"/>
  <c r="E1763" i="6" s="1"/>
  <c r="J1762" i="6"/>
  <c r="I1762" i="6"/>
  <c r="G1762" i="6"/>
  <c r="F1762" i="6"/>
  <c r="C1762" i="6"/>
  <c r="D1762" i="6" s="1"/>
  <c r="E1762" i="6" s="1"/>
  <c r="J1761" i="6"/>
  <c r="I1761" i="6"/>
  <c r="G1761" i="6"/>
  <c r="F1761" i="6"/>
  <c r="C1761" i="6"/>
  <c r="D1761" i="6" s="1"/>
  <c r="E1761" i="6" s="1"/>
  <c r="J1760" i="6"/>
  <c r="I1760" i="6"/>
  <c r="G1760" i="6"/>
  <c r="F1760" i="6"/>
  <c r="C1760" i="6"/>
  <c r="D1760" i="6" s="1"/>
  <c r="E1760" i="6" s="1"/>
  <c r="J1759" i="6"/>
  <c r="I1759" i="6"/>
  <c r="G1759" i="6"/>
  <c r="F1759" i="6"/>
  <c r="C1759" i="6"/>
  <c r="D1759" i="6" s="1"/>
  <c r="E1759" i="6" s="1"/>
  <c r="J1758" i="6"/>
  <c r="I1758" i="6"/>
  <c r="G1758" i="6"/>
  <c r="F1758" i="6"/>
  <c r="C1758" i="6"/>
  <c r="D1758" i="6" s="1"/>
  <c r="E1758" i="6" s="1"/>
  <c r="J1757" i="6"/>
  <c r="I1757" i="6"/>
  <c r="G1757" i="6"/>
  <c r="F1757" i="6"/>
  <c r="C1757" i="6"/>
  <c r="D1757" i="6" s="1"/>
  <c r="E1757" i="6" s="1"/>
  <c r="J1756" i="6"/>
  <c r="I1756" i="6"/>
  <c r="G1756" i="6"/>
  <c r="F1756" i="6"/>
  <c r="C1756" i="6"/>
  <c r="D1756" i="6" s="1"/>
  <c r="E1756" i="6" s="1"/>
  <c r="J1755" i="6"/>
  <c r="I1755" i="6"/>
  <c r="G1755" i="6"/>
  <c r="F1755" i="6"/>
  <c r="C1755" i="6"/>
  <c r="D1755" i="6" s="1"/>
  <c r="E1755" i="6" s="1"/>
  <c r="J1754" i="6"/>
  <c r="I1754" i="6"/>
  <c r="G1754" i="6"/>
  <c r="F1754" i="6"/>
  <c r="C1754" i="6"/>
  <c r="D1754" i="6" s="1"/>
  <c r="E1754" i="6" s="1"/>
  <c r="J1753" i="6"/>
  <c r="I1753" i="6"/>
  <c r="G1753" i="6"/>
  <c r="F1753" i="6"/>
  <c r="C1753" i="6"/>
  <c r="D1753" i="6" s="1"/>
  <c r="E1753" i="6" s="1"/>
  <c r="J1752" i="6"/>
  <c r="I1752" i="6"/>
  <c r="G1752" i="6"/>
  <c r="F1752" i="6"/>
  <c r="C1752" i="6"/>
  <c r="D1752" i="6" s="1"/>
  <c r="E1752" i="6" s="1"/>
  <c r="J1751" i="6"/>
  <c r="I1751" i="6"/>
  <c r="G1751" i="6"/>
  <c r="F1751" i="6"/>
  <c r="C1751" i="6"/>
  <c r="D1751" i="6" s="1"/>
  <c r="E1751" i="6" s="1"/>
  <c r="J1750" i="6"/>
  <c r="I1750" i="6"/>
  <c r="G1750" i="6"/>
  <c r="F1750" i="6"/>
  <c r="C1750" i="6"/>
  <c r="D1750" i="6" s="1"/>
  <c r="E1750" i="6" s="1"/>
  <c r="J1749" i="6"/>
  <c r="I1749" i="6"/>
  <c r="G1749" i="6"/>
  <c r="F1749" i="6"/>
  <c r="C1749" i="6"/>
  <c r="D1749" i="6" s="1"/>
  <c r="E1749" i="6" s="1"/>
  <c r="J1748" i="6"/>
  <c r="I1748" i="6"/>
  <c r="G1748" i="6"/>
  <c r="F1748" i="6"/>
  <c r="C1748" i="6"/>
  <c r="D1748" i="6" s="1"/>
  <c r="E1748" i="6" s="1"/>
  <c r="J1747" i="6"/>
  <c r="I1747" i="6"/>
  <c r="G1747" i="6"/>
  <c r="F1747" i="6"/>
  <c r="C1747" i="6"/>
  <c r="D1747" i="6" s="1"/>
  <c r="E1747" i="6" s="1"/>
  <c r="J1746" i="6"/>
  <c r="I1746" i="6"/>
  <c r="G1746" i="6"/>
  <c r="F1746" i="6"/>
  <c r="C1746" i="6"/>
  <c r="D1746" i="6" s="1"/>
  <c r="E1746" i="6" s="1"/>
  <c r="J1745" i="6"/>
  <c r="I1745" i="6"/>
  <c r="G1745" i="6"/>
  <c r="F1745" i="6"/>
  <c r="C1745" i="6"/>
  <c r="D1745" i="6" s="1"/>
  <c r="E1745" i="6" s="1"/>
  <c r="J1744" i="6"/>
  <c r="I1744" i="6"/>
  <c r="G1744" i="6"/>
  <c r="F1744" i="6"/>
  <c r="C1744" i="6"/>
  <c r="D1744" i="6" s="1"/>
  <c r="E1744" i="6" s="1"/>
  <c r="J1743" i="6"/>
  <c r="I1743" i="6"/>
  <c r="G1743" i="6"/>
  <c r="F1743" i="6"/>
  <c r="C1743" i="6"/>
  <c r="D1743" i="6" s="1"/>
  <c r="E1743" i="6" s="1"/>
  <c r="J1742" i="6"/>
  <c r="I1742" i="6"/>
  <c r="G1742" i="6"/>
  <c r="F1742" i="6"/>
  <c r="C1742" i="6"/>
  <c r="D1742" i="6" s="1"/>
  <c r="E1742" i="6" s="1"/>
  <c r="J1741" i="6"/>
  <c r="I1741" i="6"/>
  <c r="G1741" i="6"/>
  <c r="F1741" i="6"/>
  <c r="C1741" i="6"/>
  <c r="D1741" i="6" s="1"/>
  <c r="E1741" i="6" s="1"/>
  <c r="J1740" i="6"/>
  <c r="I1740" i="6"/>
  <c r="G1740" i="6"/>
  <c r="F1740" i="6"/>
  <c r="C1740" i="6"/>
  <c r="D1740" i="6" s="1"/>
  <c r="E1740" i="6" s="1"/>
  <c r="J1739" i="6"/>
  <c r="I1739" i="6"/>
  <c r="G1739" i="6"/>
  <c r="F1739" i="6"/>
  <c r="C1739" i="6"/>
  <c r="D1739" i="6" s="1"/>
  <c r="E1739" i="6" s="1"/>
  <c r="J1738" i="6"/>
  <c r="I1738" i="6"/>
  <c r="G1738" i="6"/>
  <c r="F1738" i="6"/>
  <c r="C1738" i="6"/>
  <c r="D1738" i="6" s="1"/>
  <c r="E1738" i="6" s="1"/>
  <c r="J1737" i="6"/>
  <c r="I1737" i="6"/>
  <c r="G1737" i="6"/>
  <c r="F1737" i="6"/>
  <c r="C1737" i="6"/>
  <c r="D1737" i="6" s="1"/>
  <c r="E1737" i="6" s="1"/>
  <c r="J1736" i="6"/>
  <c r="I1736" i="6"/>
  <c r="G1736" i="6"/>
  <c r="F1736" i="6"/>
  <c r="C1736" i="6"/>
  <c r="D1736" i="6" s="1"/>
  <c r="E1736" i="6" s="1"/>
  <c r="J1735" i="6"/>
  <c r="I1735" i="6"/>
  <c r="G1735" i="6"/>
  <c r="F1735" i="6"/>
  <c r="C1735" i="6"/>
  <c r="D1735" i="6" s="1"/>
  <c r="E1735" i="6" s="1"/>
  <c r="J1734" i="6"/>
  <c r="I1734" i="6"/>
  <c r="G1734" i="6"/>
  <c r="F1734" i="6"/>
  <c r="C1734" i="6"/>
  <c r="D1734" i="6" s="1"/>
  <c r="E1734" i="6" s="1"/>
  <c r="J1733" i="6"/>
  <c r="I1733" i="6"/>
  <c r="G1733" i="6"/>
  <c r="F1733" i="6"/>
  <c r="C1733" i="6"/>
  <c r="D1733" i="6" s="1"/>
  <c r="E1733" i="6" s="1"/>
  <c r="J1732" i="6"/>
  <c r="I1732" i="6"/>
  <c r="G1732" i="6"/>
  <c r="F1732" i="6"/>
  <c r="C1732" i="6"/>
  <c r="D1732" i="6" s="1"/>
  <c r="E1732" i="6" s="1"/>
  <c r="J1731" i="6"/>
  <c r="I1731" i="6"/>
  <c r="G1731" i="6"/>
  <c r="F1731" i="6"/>
  <c r="C1731" i="6"/>
  <c r="D1731" i="6" s="1"/>
  <c r="E1731" i="6" s="1"/>
  <c r="J1730" i="6"/>
  <c r="I1730" i="6"/>
  <c r="G1730" i="6"/>
  <c r="F1730" i="6"/>
  <c r="C1730" i="6"/>
  <c r="D1730" i="6" s="1"/>
  <c r="E1730" i="6" s="1"/>
  <c r="J1729" i="6"/>
  <c r="I1729" i="6"/>
  <c r="G1729" i="6"/>
  <c r="F1729" i="6"/>
  <c r="C1729" i="6"/>
  <c r="D1729" i="6" s="1"/>
  <c r="E1729" i="6" s="1"/>
  <c r="J1728" i="6"/>
  <c r="I1728" i="6"/>
  <c r="G1728" i="6"/>
  <c r="F1728" i="6"/>
  <c r="C1728" i="6"/>
  <c r="D1728" i="6" s="1"/>
  <c r="E1728" i="6" s="1"/>
  <c r="H1728" i="6" s="1"/>
  <c r="J1727" i="6"/>
  <c r="I1727" i="6"/>
  <c r="G1727" i="6"/>
  <c r="F1727" i="6"/>
  <c r="C1727" i="6"/>
  <c r="D1727" i="6" s="1"/>
  <c r="E1727" i="6" s="1"/>
  <c r="J1726" i="6"/>
  <c r="I1726" i="6"/>
  <c r="G1726" i="6"/>
  <c r="F1726" i="6"/>
  <c r="C1726" i="6"/>
  <c r="D1726" i="6" s="1"/>
  <c r="E1726" i="6" s="1"/>
  <c r="J1725" i="6"/>
  <c r="I1725" i="6"/>
  <c r="G1725" i="6"/>
  <c r="F1725" i="6"/>
  <c r="C1725" i="6"/>
  <c r="D1725" i="6" s="1"/>
  <c r="E1725" i="6" s="1"/>
  <c r="J1724" i="6"/>
  <c r="I1724" i="6"/>
  <c r="G1724" i="6"/>
  <c r="F1724" i="6"/>
  <c r="C1724" i="6"/>
  <c r="D1724" i="6" s="1"/>
  <c r="E1724" i="6" s="1"/>
  <c r="J1723" i="6"/>
  <c r="I1723" i="6"/>
  <c r="G1723" i="6"/>
  <c r="F1723" i="6"/>
  <c r="C1723" i="6"/>
  <c r="D1723" i="6" s="1"/>
  <c r="E1723" i="6" s="1"/>
  <c r="J1722" i="6"/>
  <c r="I1722" i="6"/>
  <c r="G1722" i="6"/>
  <c r="F1722" i="6"/>
  <c r="C1722" i="6"/>
  <c r="D1722" i="6" s="1"/>
  <c r="E1722" i="6" s="1"/>
  <c r="J1721" i="6"/>
  <c r="I1721" i="6"/>
  <c r="G1721" i="6"/>
  <c r="F1721" i="6"/>
  <c r="C1721" i="6"/>
  <c r="D1721" i="6" s="1"/>
  <c r="E1721" i="6" s="1"/>
  <c r="J1720" i="6"/>
  <c r="I1720" i="6"/>
  <c r="G1720" i="6"/>
  <c r="F1720" i="6"/>
  <c r="C1720" i="6"/>
  <c r="D1720" i="6" s="1"/>
  <c r="E1720" i="6" s="1"/>
  <c r="J1719" i="6"/>
  <c r="I1719" i="6"/>
  <c r="G1719" i="6"/>
  <c r="F1719" i="6"/>
  <c r="C1719" i="6"/>
  <c r="D1719" i="6" s="1"/>
  <c r="E1719" i="6" s="1"/>
  <c r="J1718" i="6"/>
  <c r="I1718" i="6"/>
  <c r="G1718" i="6"/>
  <c r="F1718" i="6"/>
  <c r="C1718" i="6"/>
  <c r="D1718" i="6" s="1"/>
  <c r="E1718" i="6" s="1"/>
  <c r="J1717" i="6"/>
  <c r="I1717" i="6"/>
  <c r="G1717" i="6"/>
  <c r="F1717" i="6"/>
  <c r="C1717" i="6"/>
  <c r="D1717" i="6" s="1"/>
  <c r="E1717" i="6" s="1"/>
  <c r="J1716" i="6"/>
  <c r="I1716" i="6"/>
  <c r="G1716" i="6"/>
  <c r="F1716" i="6"/>
  <c r="C1716" i="6"/>
  <c r="D1716" i="6" s="1"/>
  <c r="E1716" i="6" s="1"/>
  <c r="J1715" i="6"/>
  <c r="I1715" i="6"/>
  <c r="G1715" i="6"/>
  <c r="F1715" i="6"/>
  <c r="C1715" i="6"/>
  <c r="D1715" i="6" s="1"/>
  <c r="E1715" i="6" s="1"/>
  <c r="J1714" i="6"/>
  <c r="I1714" i="6"/>
  <c r="G1714" i="6"/>
  <c r="F1714" i="6"/>
  <c r="C1714" i="6"/>
  <c r="D1714" i="6" s="1"/>
  <c r="E1714" i="6" s="1"/>
  <c r="J1713" i="6"/>
  <c r="I1713" i="6"/>
  <c r="G1713" i="6"/>
  <c r="F1713" i="6"/>
  <c r="C1713" i="6"/>
  <c r="D1713" i="6" s="1"/>
  <c r="E1713" i="6" s="1"/>
  <c r="J1712" i="6"/>
  <c r="I1712" i="6"/>
  <c r="G1712" i="6"/>
  <c r="F1712" i="6"/>
  <c r="C1712" i="6"/>
  <c r="D1712" i="6" s="1"/>
  <c r="E1712" i="6" s="1"/>
  <c r="J1711" i="6"/>
  <c r="I1711" i="6"/>
  <c r="G1711" i="6"/>
  <c r="F1711" i="6"/>
  <c r="C1711" i="6"/>
  <c r="D1711" i="6" s="1"/>
  <c r="E1711" i="6" s="1"/>
  <c r="J1710" i="6"/>
  <c r="I1710" i="6"/>
  <c r="G1710" i="6"/>
  <c r="F1710" i="6"/>
  <c r="C1710" i="6"/>
  <c r="D1710" i="6" s="1"/>
  <c r="E1710" i="6" s="1"/>
  <c r="J1709" i="6"/>
  <c r="I1709" i="6"/>
  <c r="G1709" i="6"/>
  <c r="F1709" i="6"/>
  <c r="C1709" i="6"/>
  <c r="D1709" i="6" s="1"/>
  <c r="E1709" i="6" s="1"/>
  <c r="J1708" i="6"/>
  <c r="I1708" i="6"/>
  <c r="G1708" i="6"/>
  <c r="F1708" i="6"/>
  <c r="C1708" i="6"/>
  <c r="D1708" i="6" s="1"/>
  <c r="E1708" i="6" s="1"/>
  <c r="J1707" i="6"/>
  <c r="I1707" i="6"/>
  <c r="G1707" i="6"/>
  <c r="F1707" i="6"/>
  <c r="C1707" i="6"/>
  <c r="D1707" i="6" s="1"/>
  <c r="E1707" i="6" s="1"/>
  <c r="J1706" i="6"/>
  <c r="I1706" i="6"/>
  <c r="G1706" i="6"/>
  <c r="F1706" i="6"/>
  <c r="C1706" i="6"/>
  <c r="D1706" i="6" s="1"/>
  <c r="E1706" i="6" s="1"/>
  <c r="J1705" i="6"/>
  <c r="I1705" i="6"/>
  <c r="G1705" i="6"/>
  <c r="F1705" i="6"/>
  <c r="C1705" i="6"/>
  <c r="D1705" i="6" s="1"/>
  <c r="E1705" i="6" s="1"/>
  <c r="J1704" i="6"/>
  <c r="I1704" i="6"/>
  <c r="G1704" i="6"/>
  <c r="F1704" i="6"/>
  <c r="C1704" i="6"/>
  <c r="D1704" i="6" s="1"/>
  <c r="E1704" i="6" s="1"/>
  <c r="J1703" i="6"/>
  <c r="I1703" i="6"/>
  <c r="G1703" i="6"/>
  <c r="F1703" i="6"/>
  <c r="C1703" i="6"/>
  <c r="D1703" i="6" s="1"/>
  <c r="E1703" i="6" s="1"/>
  <c r="J1702" i="6"/>
  <c r="I1702" i="6"/>
  <c r="G1702" i="6"/>
  <c r="F1702" i="6"/>
  <c r="C1702" i="6"/>
  <c r="D1702" i="6" s="1"/>
  <c r="E1702" i="6" s="1"/>
  <c r="J1701" i="6"/>
  <c r="I1701" i="6"/>
  <c r="G1701" i="6"/>
  <c r="F1701" i="6"/>
  <c r="C1701" i="6"/>
  <c r="D1701" i="6" s="1"/>
  <c r="E1701" i="6" s="1"/>
  <c r="J1700" i="6"/>
  <c r="I1700" i="6"/>
  <c r="G1700" i="6"/>
  <c r="F1700" i="6"/>
  <c r="C1700" i="6"/>
  <c r="D1700" i="6" s="1"/>
  <c r="E1700" i="6" s="1"/>
  <c r="J1699" i="6"/>
  <c r="I1699" i="6"/>
  <c r="G1699" i="6"/>
  <c r="F1699" i="6"/>
  <c r="C1699" i="6"/>
  <c r="D1699" i="6" s="1"/>
  <c r="E1699" i="6" s="1"/>
  <c r="J1698" i="6"/>
  <c r="I1698" i="6"/>
  <c r="G1698" i="6"/>
  <c r="F1698" i="6"/>
  <c r="C1698" i="6"/>
  <c r="D1698" i="6" s="1"/>
  <c r="E1698" i="6" s="1"/>
  <c r="J1697" i="6"/>
  <c r="I1697" i="6"/>
  <c r="G1697" i="6"/>
  <c r="F1697" i="6"/>
  <c r="C1697" i="6"/>
  <c r="D1697" i="6" s="1"/>
  <c r="E1697" i="6" s="1"/>
  <c r="J1696" i="6"/>
  <c r="I1696" i="6"/>
  <c r="G1696" i="6"/>
  <c r="F1696" i="6"/>
  <c r="C1696" i="6"/>
  <c r="D1696" i="6" s="1"/>
  <c r="E1696" i="6" s="1"/>
  <c r="J1695" i="6"/>
  <c r="I1695" i="6"/>
  <c r="G1695" i="6"/>
  <c r="F1695" i="6"/>
  <c r="C1695" i="6"/>
  <c r="D1695" i="6" s="1"/>
  <c r="E1695" i="6" s="1"/>
  <c r="J1694" i="6"/>
  <c r="I1694" i="6"/>
  <c r="G1694" i="6"/>
  <c r="F1694" i="6"/>
  <c r="C1694" i="6"/>
  <c r="D1694" i="6" s="1"/>
  <c r="E1694" i="6" s="1"/>
  <c r="J1693" i="6"/>
  <c r="I1693" i="6"/>
  <c r="G1693" i="6"/>
  <c r="F1693" i="6"/>
  <c r="C1693" i="6"/>
  <c r="D1693" i="6" s="1"/>
  <c r="E1693" i="6" s="1"/>
  <c r="J1692" i="6"/>
  <c r="I1692" i="6"/>
  <c r="G1692" i="6"/>
  <c r="F1692" i="6"/>
  <c r="C1692" i="6"/>
  <c r="D1692" i="6" s="1"/>
  <c r="E1692" i="6" s="1"/>
  <c r="J1691" i="6"/>
  <c r="I1691" i="6"/>
  <c r="G1691" i="6"/>
  <c r="F1691" i="6"/>
  <c r="C1691" i="6"/>
  <c r="D1691" i="6" s="1"/>
  <c r="E1691" i="6" s="1"/>
  <c r="J1690" i="6"/>
  <c r="I1690" i="6"/>
  <c r="G1690" i="6"/>
  <c r="F1690" i="6"/>
  <c r="C1690" i="6"/>
  <c r="D1690" i="6" s="1"/>
  <c r="E1690" i="6" s="1"/>
  <c r="J1689" i="6"/>
  <c r="I1689" i="6"/>
  <c r="G1689" i="6"/>
  <c r="F1689" i="6"/>
  <c r="C1689" i="6"/>
  <c r="D1689" i="6" s="1"/>
  <c r="E1689" i="6" s="1"/>
  <c r="J1688" i="6"/>
  <c r="I1688" i="6"/>
  <c r="G1688" i="6"/>
  <c r="F1688" i="6"/>
  <c r="C1688" i="6"/>
  <c r="D1688" i="6" s="1"/>
  <c r="E1688" i="6" s="1"/>
  <c r="J1687" i="6"/>
  <c r="I1687" i="6"/>
  <c r="G1687" i="6"/>
  <c r="F1687" i="6"/>
  <c r="C1687" i="6"/>
  <c r="D1687" i="6" s="1"/>
  <c r="E1687" i="6" s="1"/>
  <c r="J1686" i="6"/>
  <c r="I1686" i="6"/>
  <c r="G1686" i="6"/>
  <c r="F1686" i="6"/>
  <c r="C1686" i="6"/>
  <c r="D1686" i="6" s="1"/>
  <c r="E1686" i="6" s="1"/>
  <c r="J1685" i="6"/>
  <c r="I1685" i="6"/>
  <c r="G1685" i="6"/>
  <c r="F1685" i="6"/>
  <c r="C1685" i="6"/>
  <c r="D1685" i="6" s="1"/>
  <c r="E1685" i="6" s="1"/>
  <c r="J1684" i="6"/>
  <c r="I1684" i="6"/>
  <c r="G1684" i="6"/>
  <c r="F1684" i="6"/>
  <c r="C1684" i="6"/>
  <c r="D1684" i="6" s="1"/>
  <c r="E1684" i="6" s="1"/>
  <c r="H1684" i="6" s="1"/>
  <c r="J1683" i="6"/>
  <c r="I1683" i="6"/>
  <c r="G1683" i="6"/>
  <c r="F1683" i="6"/>
  <c r="C1683" i="6"/>
  <c r="D1683" i="6" s="1"/>
  <c r="E1683" i="6" s="1"/>
  <c r="J1682" i="6"/>
  <c r="I1682" i="6"/>
  <c r="G1682" i="6"/>
  <c r="F1682" i="6"/>
  <c r="C1682" i="6"/>
  <c r="D1682" i="6" s="1"/>
  <c r="E1682" i="6" s="1"/>
  <c r="J1681" i="6"/>
  <c r="I1681" i="6"/>
  <c r="G1681" i="6"/>
  <c r="F1681" i="6"/>
  <c r="C1681" i="6"/>
  <c r="D1681" i="6" s="1"/>
  <c r="E1681" i="6" s="1"/>
  <c r="J1680" i="6"/>
  <c r="I1680" i="6"/>
  <c r="G1680" i="6"/>
  <c r="F1680" i="6"/>
  <c r="C1680" i="6"/>
  <c r="D1680" i="6" s="1"/>
  <c r="E1680" i="6" s="1"/>
  <c r="H1680" i="6" s="1"/>
  <c r="J1679" i="6"/>
  <c r="I1679" i="6"/>
  <c r="G1679" i="6"/>
  <c r="F1679" i="6"/>
  <c r="C1679" i="6"/>
  <c r="D1679" i="6" s="1"/>
  <c r="E1679" i="6" s="1"/>
  <c r="J1678" i="6"/>
  <c r="I1678" i="6"/>
  <c r="G1678" i="6"/>
  <c r="F1678" i="6"/>
  <c r="C1678" i="6"/>
  <c r="D1678" i="6" s="1"/>
  <c r="E1678" i="6" s="1"/>
  <c r="J1677" i="6"/>
  <c r="I1677" i="6"/>
  <c r="G1677" i="6"/>
  <c r="F1677" i="6"/>
  <c r="C1677" i="6"/>
  <c r="D1677" i="6" s="1"/>
  <c r="E1677" i="6" s="1"/>
  <c r="J1676" i="6"/>
  <c r="I1676" i="6"/>
  <c r="G1676" i="6"/>
  <c r="F1676" i="6"/>
  <c r="C1676" i="6"/>
  <c r="D1676" i="6" s="1"/>
  <c r="E1676" i="6" s="1"/>
  <c r="J1675" i="6"/>
  <c r="I1675" i="6"/>
  <c r="G1675" i="6"/>
  <c r="F1675" i="6"/>
  <c r="C1675" i="6"/>
  <c r="D1675" i="6" s="1"/>
  <c r="E1675" i="6" s="1"/>
  <c r="J1674" i="6"/>
  <c r="I1674" i="6"/>
  <c r="G1674" i="6"/>
  <c r="F1674" i="6"/>
  <c r="C1674" i="6"/>
  <c r="D1674" i="6" s="1"/>
  <c r="E1674" i="6" s="1"/>
  <c r="J1673" i="6"/>
  <c r="I1673" i="6"/>
  <c r="G1673" i="6"/>
  <c r="F1673" i="6"/>
  <c r="C1673" i="6"/>
  <c r="D1673" i="6" s="1"/>
  <c r="E1673" i="6" s="1"/>
  <c r="J1672" i="6"/>
  <c r="I1672" i="6"/>
  <c r="G1672" i="6"/>
  <c r="F1672" i="6"/>
  <c r="C1672" i="6"/>
  <c r="D1672" i="6" s="1"/>
  <c r="E1672" i="6" s="1"/>
  <c r="J1671" i="6"/>
  <c r="I1671" i="6"/>
  <c r="G1671" i="6"/>
  <c r="F1671" i="6"/>
  <c r="C1671" i="6"/>
  <c r="D1671" i="6" s="1"/>
  <c r="E1671" i="6" s="1"/>
  <c r="J1670" i="6"/>
  <c r="I1670" i="6"/>
  <c r="G1670" i="6"/>
  <c r="F1670" i="6"/>
  <c r="C1670" i="6"/>
  <c r="D1670" i="6" s="1"/>
  <c r="E1670" i="6" s="1"/>
  <c r="J1669" i="6"/>
  <c r="I1669" i="6"/>
  <c r="G1669" i="6"/>
  <c r="F1669" i="6"/>
  <c r="C1669" i="6"/>
  <c r="D1669" i="6" s="1"/>
  <c r="E1669" i="6" s="1"/>
  <c r="J1668" i="6"/>
  <c r="I1668" i="6"/>
  <c r="G1668" i="6"/>
  <c r="F1668" i="6"/>
  <c r="C1668" i="6"/>
  <c r="D1668" i="6" s="1"/>
  <c r="E1668" i="6" s="1"/>
  <c r="J1667" i="6"/>
  <c r="I1667" i="6"/>
  <c r="G1667" i="6"/>
  <c r="F1667" i="6"/>
  <c r="C1667" i="6"/>
  <c r="D1667" i="6" s="1"/>
  <c r="E1667" i="6" s="1"/>
  <c r="J1666" i="6"/>
  <c r="I1666" i="6"/>
  <c r="G1666" i="6"/>
  <c r="F1666" i="6"/>
  <c r="C1666" i="6"/>
  <c r="D1666" i="6" s="1"/>
  <c r="E1666" i="6" s="1"/>
  <c r="J1665" i="6"/>
  <c r="I1665" i="6"/>
  <c r="G1665" i="6"/>
  <c r="F1665" i="6"/>
  <c r="C1665" i="6"/>
  <c r="D1665" i="6" s="1"/>
  <c r="E1665" i="6" s="1"/>
  <c r="J1664" i="6"/>
  <c r="I1664" i="6"/>
  <c r="G1664" i="6"/>
  <c r="F1664" i="6"/>
  <c r="C1664" i="6"/>
  <c r="D1664" i="6" s="1"/>
  <c r="E1664" i="6" s="1"/>
  <c r="J1663" i="6"/>
  <c r="I1663" i="6"/>
  <c r="G1663" i="6"/>
  <c r="F1663" i="6"/>
  <c r="C1663" i="6"/>
  <c r="D1663" i="6" s="1"/>
  <c r="E1663" i="6" s="1"/>
  <c r="J1662" i="6"/>
  <c r="I1662" i="6"/>
  <c r="G1662" i="6"/>
  <c r="F1662" i="6"/>
  <c r="C1662" i="6"/>
  <c r="D1662" i="6" s="1"/>
  <c r="E1662" i="6" s="1"/>
  <c r="J1661" i="6"/>
  <c r="I1661" i="6"/>
  <c r="G1661" i="6"/>
  <c r="F1661" i="6"/>
  <c r="C1661" i="6"/>
  <c r="D1661" i="6" s="1"/>
  <c r="E1661" i="6" s="1"/>
  <c r="J1660" i="6"/>
  <c r="I1660" i="6"/>
  <c r="G1660" i="6"/>
  <c r="F1660" i="6"/>
  <c r="C1660" i="6"/>
  <c r="D1660" i="6" s="1"/>
  <c r="E1660" i="6" s="1"/>
  <c r="J1659" i="6"/>
  <c r="I1659" i="6"/>
  <c r="G1659" i="6"/>
  <c r="F1659" i="6"/>
  <c r="C1659" i="6"/>
  <c r="D1659" i="6" s="1"/>
  <c r="E1659" i="6" s="1"/>
  <c r="J1658" i="6"/>
  <c r="I1658" i="6"/>
  <c r="G1658" i="6"/>
  <c r="F1658" i="6"/>
  <c r="C1658" i="6"/>
  <c r="D1658" i="6" s="1"/>
  <c r="E1658" i="6" s="1"/>
  <c r="J1657" i="6"/>
  <c r="I1657" i="6"/>
  <c r="G1657" i="6"/>
  <c r="F1657" i="6"/>
  <c r="C1657" i="6"/>
  <c r="D1657" i="6" s="1"/>
  <c r="E1657" i="6" s="1"/>
  <c r="J1656" i="6"/>
  <c r="I1656" i="6"/>
  <c r="G1656" i="6"/>
  <c r="F1656" i="6"/>
  <c r="C1656" i="6"/>
  <c r="D1656" i="6" s="1"/>
  <c r="E1656" i="6" s="1"/>
  <c r="J1655" i="6"/>
  <c r="I1655" i="6"/>
  <c r="G1655" i="6"/>
  <c r="F1655" i="6"/>
  <c r="C1655" i="6"/>
  <c r="D1655" i="6" s="1"/>
  <c r="E1655" i="6" s="1"/>
  <c r="J1654" i="6"/>
  <c r="I1654" i="6"/>
  <c r="G1654" i="6"/>
  <c r="F1654" i="6"/>
  <c r="C1654" i="6"/>
  <c r="D1654" i="6" s="1"/>
  <c r="E1654" i="6" s="1"/>
  <c r="J1653" i="6"/>
  <c r="I1653" i="6"/>
  <c r="G1653" i="6"/>
  <c r="F1653" i="6"/>
  <c r="C1653" i="6"/>
  <c r="D1653" i="6" s="1"/>
  <c r="E1653" i="6" s="1"/>
  <c r="J1652" i="6"/>
  <c r="I1652" i="6"/>
  <c r="G1652" i="6"/>
  <c r="F1652" i="6"/>
  <c r="C1652" i="6"/>
  <c r="D1652" i="6" s="1"/>
  <c r="E1652" i="6" s="1"/>
  <c r="J1651" i="6"/>
  <c r="I1651" i="6"/>
  <c r="G1651" i="6"/>
  <c r="F1651" i="6"/>
  <c r="C1651" i="6"/>
  <c r="D1651" i="6" s="1"/>
  <c r="E1651" i="6" s="1"/>
  <c r="J1650" i="6"/>
  <c r="I1650" i="6"/>
  <c r="G1650" i="6"/>
  <c r="F1650" i="6"/>
  <c r="C1650" i="6"/>
  <c r="D1650" i="6" s="1"/>
  <c r="E1650" i="6" s="1"/>
  <c r="J1649" i="6"/>
  <c r="I1649" i="6"/>
  <c r="G1649" i="6"/>
  <c r="F1649" i="6"/>
  <c r="C1649" i="6"/>
  <c r="D1649" i="6" s="1"/>
  <c r="E1649" i="6" s="1"/>
  <c r="J1648" i="6"/>
  <c r="I1648" i="6"/>
  <c r="G1648" i="6"/>
  <c r="F1648" i="6"/>
  <c r="C1648" i="6"/>
  <c r="D1648" i="6" s="1"/>
  <c r="E1648" i="6" s="1"/>
  <c r="J1647" i="6"/>
  <c r="I1647" i="6"/>
  <c r="G1647" i="6"/>
  <c r="F1647" i="6"/>
  <c r="C1647" i="6"/>
  <c r="D1647" i="6" s="1"/>
  <c r="E1647" i="6" s="1"/>
  <c r="J1646" i="6"/>
  <c r="I1646" i="6"/>
  <c r="G1646" i="6"/>
  <c r="F1646" i="6"/>
  <c r="C1646" i="6"/>
  <c r="D1646" i="6" s="1"/>
  <c r="E1646" i="6" s="1"/>
  <c r="J1645" i="6"/>
  <c r="I1645" i="6"/>
  <c r="G1645" i="6"/>
  <c r="F1645" i="6"/>
  <c r="C1645" i="6"/>
  <c r="D1645" i="6" s="1"/>
  <c r="E1645" i="6" s="1"/>
  <c r="J1644" i="6"/>
  <c r="I1644" i="6"/>
  <c r="G1644" i="6"/>
  <c r="F1644" i="6"/>
  <c r="C1644" i="6"/>
  <c r="D1644" i="6" s="1"/>
  <c r="E1644" i="6" s="1"/>
  <c r="J1643" i="6"/>
  <c r="I1643" i="6"/>
  <c r="G1643" i="6"/>
  <c r="F1643" i="6"/>
  <c r="C1643" i="6"/>
  <c r="D1643" i="6" s="1"/>
  <c r="E1643" i="6" s="1"/>
  <c r="J1642" i="6"/>
  <c r="I1642" i="6"/>
  <c r="G1642" i="6"/>
  <c r="F1642" i="6"/>
  <c r="C1642" i="6"/>
  <c r="D1642" i="6" s="1"/>
  <c r="E1642" i="6" s="1"/>
  <c r="J1641" i="6"/>
  <c r="I1641" i="6"/>
  <c r="G1641" i="6"/>
  <c r="F1641" i="6"/>
  <c r="C1641" i="6"/>
  <c r="D1641" i="6" s="1"/>
  <c r="E1641" i="6" s="1"/>
  <c r="J1640" i="6"/>
  <c r="I1640" i="6"/>
  <c r="G1640" i="6"/>
  <c r="F1640" i="6"/>
  <c r="C1640" i="6"/>
  <c r="D1640" i="6" s="1"/>
  <c r="E1640" i="6" s="1"/>
  <c r="J1639" i="6"/>
  <c r="I1639" i="6"/>
  <c r="G1639" i="6"/>
  <c r="F1639" i="6"/>
  <c r="C1639" i="6"/>
  <c r="D1639" i="6" s="1"/>
  <c r="E1639" i="6" s="1"/>
  <c r="J1638" i="6"/>
  <c r="I1638" i="6"/>
  <c r="G1638" i="6"/>
  <c r="F1638" i="6"/>
  <c r="C1638" i="6"/>
  <c r="D1638" i="6" s="1"/>
  <c r="E1638" i="6" s="1"/>
  <c r="J1637" i="6"/>
  <c r="I1637" i="6"/>
  <c r="G1637" i="6"/>
  <c r="F1637" i="6"/>
  <c r="C1637" i="6"/>
  <c r="D1637" i="6" s="1"/>
  <c r="E1637" i="6" s="1"/>
  <c r="J1636" i="6"/>
  <c r="I1636" i="6"/>
  <c r="G1636" i="6"/>
  <c r="F1636" i="6"/>
  <c r="C1636" i="6"/>
  <c r="D1636" i="6" s="1"/>
  <c r="E1636" i="6" s="1"/>
  <c r="J1635" i="6"/>
  <c r="I1635" i="6"/>
  <c r="G1635" i="6"/>
  <c r="F1635" i="6"/>
  <c r="C1635" i="6"/>
  <c r="D1635" i="6" s="1"/>
  <c r="E1635" i="6" s="1"/>
  <c r="J1634" i="6"/>
  <c r="I1634" i="6"/>
  <c r="G1634" i="6"/>
  <c r="F1634" i="6"/>
  <c r="C1634" i="6"/>
  <c r="D1634" i="6" s="1"/>
  <c r="E1634" i="6" s="1"/>
  <c r="J1633" i="6"/>
  <c r="I1633" i="6"/>
  <c r="G1633" i="6"/>
  <c r="F1633" i="6"/>
  <c r="C1633" i="6"/>
  <c r="D1633" i="6" s="1"/>
  <c r="E1633" i="6" s="1"/>
  <c r="J1632" i="6"/>
  <c r="I1632" i="6"/>
  <c r="G1632" i="6"/>
  <c r="F1632" i="6"/>
  <c r="C1632" i="6"/>
  <c r="D1632" i="6" s="1"/>
  <c r="E1632" i="6" s="1"/>
  <c r="J1631" i="6"/>
  <c r="I1631" i="6"/>
  <c r="G1631" i="6"/>
  <c r="F1631" i="6"/>
  <c r="C1631" i="6"/>
  <c r="D1631" i="6" s="1"/>
  <c r="E1631" i="6" s="1"/>
  <c r="J1630" i="6"/>
  <c r="I1630" i="6"/>
  <c r="G1630" i="6"/>
  <c r="F1630" i="6"/>
  <c r="C1630" i="6"/>
  <c r="D1630" i="6" s="1"/>
  <c r="E1630" i="6" s="1"/>
  <c r="J1629" i="6"/>
  <c r="I1629" i="6"/>
  <c r="G1629" i="6"/>
  <c r="F1629" i="6"/>
  <c r="C1629" i="6"/>
  <c r="D1629" i="6" s="1"/>
  <c r="E1629" i="6" s="1"/>
  <c r="J1628" i="6"/>
  <c r="I1628" i="6"/>
  <c r="G1628" i="6"/>
  <c r="F1628" i="6"/>
  <c r="C1628" i="6"/>
  <c r="D1628" i="6" s="1"/>
  <c r="E1628" i="6" s="1"/>
  <c r="J1627" i="6"/>
  <c r="I1627" i="6"/>
  <c r="G1627" i="6"/>
  <c r="F1627" i="6"/>
  <c r="C1627" i="6"/>
  <c r="D1627" i="6" s="1"/>
  <c r="E1627" i="6" s="1"/>
  <c r="J1626" i="6"/>
  <c r="I1626" i="6"/>
  <c r="G1626" i="6"/>
  <c r="F1626" i="6"/>
  <c r="C1626" i="6"/>
  <c r="D1626" i="6" s="1"/>
  <c r="E1626" i="6" s="1"/>
  <c r="J1625" i="6"/>
  <c r="I1625" i="6"/>
  <c r="G1625" i="6"/>
  <c r="F1625" i="6"/>
  <c r="C1625" i="6"/>
  <c r="D1625" i="6" s="1"/>
  <c r="E1625" i="6" s="1"/>
  <c r="J1624" i="6"/>
  <c r="I1624" i="6"/>
  <c r="G1624" i="6"/>
  <c r="F1624" i="6"/>
  <c r="C1624" i="6"/>
  <c r="D1624" i="6" s="1"/>
  <c r="E1624" i="6" s="1"/>
  <c r="J1623" i="6"/>
  <c r="I1623" i="6"/>
  <c r="G1623" i="6"/>
  <c r="F1623" i="6"/>
  <c r="C1623" i="6"/>
  <c r="D1623" i="6" s="1"/>
  <c r="E1623" i="6" s="1"/>
  <c r="J1622" i="6"/>
  <c r="I1622" i="6"/>
  <c r="G1622" i="6"/>
  <c r="F1622" i="6"/>
  <c r="C1622" i="6"/>
  <c r="D1622" i="6" s="1"/>
  <c r="E1622" i="6" s="1"/>
  <c r="J1621" i="6"/>
  <c r="I1621" i="6"/>
  <c r="G1621" i="6"/>
  <c r="F1621" i="6"/>
  <c r="C1621" i="6"/>
  <c r="D1621" i="6" s="1"/>
  <c r="E1621" i="6" s="1"/>
  <c r="J1620" i="6"/>
  <c r="I1620" i="6"/>
  <c r="G1620" i="6"/>
  <c r="F1620" i="6"/>
  <c r="C1620" i="6"/>
  <c r="D1620" i="6" s="1"/>
  <c r="E1620" i="6" s="1"/>
  <c r="J1619" i="6"/>
  <c r="I1619" i="6"/>
  <c r="G1619" i="6"/>
  <c r="F1619" i="6"/>
  <c r="C1619" i="6"/>
  <c r="D1619" i="6" s="1"/>
  <c r="E1619" i="6" s="1"/>
  <c r="J1618" i="6"/>
  <c r="I1618" i="6"/>
  <c r="G1618" i="6"/>
  <c r="F1618" i="6"/>
  <c r="C1618" i="6"/>
  <c r="D1618" i="6" s="1"/>
  <c r="E1618" i="6" s="1"/>
  <c r="J1617" i="6"/>
  <c r="I1617" i="6"/>
  <c r="G1617" i="6"/>
  <c r="F1617" i="6"/>
  <c r="C1617" i="6"/>
  <c r="D1617" i="6" s="1"/>
  <c r="E1617" i="6" s="1"/>
  <c r="J1616" i="6"/>
  <c r="I1616" i="6"/>
  <c r="G1616" i="6"/>
  <c r="F1616" i="6"/>
  <c r="C1616" i="6"/>
  <c r="D1616" i="6" s="1"/>
  <c r="E1616" i="6" s="1"/>
  <c r="H1616" i="6" s="1"/>
  <c r="J1615" i="6"/>
  <c r="I1615" i="6"/>
  <c r="G1615" i="6"/>
  <c r="F1615" i="6"/>
  <c r="C1615" i="6"/>
  <c r="D1615" i="6" s="1"/>
  <c r="E1615" i="6" s="1"/>
  <c r="J1614" i="6"/>
  <c r="I1614" i="6"/>
  <c r="G1614" i="6"/>
  <c r="F1614" i="6"/>
  <c r="C1614" i="6"/>
  <c r="D1614" i="6" s="1"/>
  <c r="E1614" i="6" s="1"/>
  <c r="J1613" i="6"/>
  <c r="I1613" i="6"/>
  <c r="G1613" i="6"/>
  <c r="F1613" i="6"/>
  <c r="C1613" i="6"/>
  <c r="D1613" i="6" s="1"/>
  <c r="E1613" i="6" s="1"/>
  <c r="J1612" i="6"/>
  <c r="I1612" i="6"/>
  <c r="G1612" i="6"/>
  <c r="F1612" i="6"/>
  <c r="C1612" i="6"/>
  <c r="D1612" i="6" s="1"/>
  <c r="E1612" i="6" s="1"/>
  <c r="J1611" i="6"/>
  <c r="I1611" i="6"/>
  <c r="G1611" i="6"/>
  <c r="F1611" i="6"/>
  <c r="C1611" i="6"/>
  <c r="D1611" i="6" s="1"/>
  <c r="E1611" i="6" s="1"/>
  <c r="J1610" i="6"/>
  <c r="I1610" i="6"/>
  <c r="G1610" i="6"/>
  <c r="F1610" i="6"/>
  <c r="C1610" i="6"/>
  <c r="D1610" i="6" s="1"/>
  <c r="E1610" i="6" s="1"/>
  <c r="J1609" i="6"/>
  <c r="I1609" i="6"/>
  <c r="G1609" i="6"/>
  <c r="F1609" i="6"/>
  <c r="C1609" i="6"/>
  <c r="D1609" i="6" s="1"/>
  <c r="E1609" i="6" s="1"/>
  <c r="J1608" i="6"/>
  <c r="I1608" i="6"/>
  <c r="G1608" i="6"/>
  <c r="F1608" i="6"/>
  <c r="C1608" i="6"/>
  <c r="D1608" i="6" s="1"/>
  <c r="E1608" i="6" s="1"/>
  <c r="J1607" i="6"/>
  <c r="I1607" i="6"/>
  <c r="G1607" i="6"/>
  <c r="F1607" i="6"/>
  <c r="C1607" i="6"/>
  <c r="D1607" i="6" s="1"/>
  <c r="E1607" i="6" s="1"/>
  <c r="J1606" i="6"/>
  <c r="I1606" i="6"/>
  <c r="G1606" i="6"/>
  <c r="F1606" i="6"/>
  <c r="C1606" i="6"/>
  <c r="D1606" i="6" s="1"/>
  <c r="E1606" i="6" s="1"/>
  <c r="J1605" i="6"/>
  <c r="I1605" i="6"/>
  <c r="G1605" i="6"/>
  <c r="F1605" i="6"/>
  <c r="C1605" i="6"/>
  <c r="D1605" i="6" s="1"/>
  <c r="E1605" i="6" s="1"/>
  <c r="J1604" i="6"/>
  <c r="I1604" i="6"/>
  <c r="G1604" i="6"/>
  <c r="F1604" i="6"/>
  <c r="C1604" i="6"/>
  <c r="D1604" i="6" s="1"/>
  <c r="E1604" i="6" s="1"/>
  <c r="J1603" i="6"/>
  <c r="I1603" i="6"/>
  <c r="G1603" i="6"/>
  <c r="F1603" i="6"/>
  <c r="C1603" i="6"/>
  <c r="D1603" i="6" s="1"/>
  <c r="E1603" i="6" s="1"/>
  <c r="J1602" i="6"/>
  <c r="I1602" i="6"/>
  <c r="G1602" i="6"/>
  <c r="F1602" i="6"/>
  <c r="C1602" i="6"/>
  <c r="D1602" i="6" s="1"/>
  <c r="E1602" i="6" s="1"/>
  <c r="J1601" i="6"/>
  <c r="I1601" i="6"/>
  <c r="G1601" i="6"/>
  <c r="F1601" i="6"/>
  <c r="C1601" i="6"/>
  <c r="D1601" i="6" s="1"/>
  <c r="E1601" i="6" s="1"/>
  <c r="J1600" i="6"/>
  <c r="I1600" i="6"/>
  <c r="G1600" i="6"/>
  <c r="F1600" i="6"/>
  <c r="C1600" i="6"/>
  <c r="D1600" i="6" s="1"/>
  <c r="E1600" i="6" s="1"/>
  <c r="J1599" i="6"/>
  <c r="I1599" i="6"/>
  <c r="G1599" i="6"/>
  <c r="F1599" i="6"/>
  <c r="C1599" i="6"/>
  <c r="D1599" i="6" s="1"/>
  <c r="E1599" i="6" s="1"/>
  <c r="J1598" i="6"/>
  <c r="I1598" i="6"/>
  <c r="G1598" i="6"/>
  <c r="F1598" i="6"/>
  <c r="C1598" i="6"/>
  <c r="D1598" i="6" s="1"/>
  <c r="E1598" i="6" s="1"/>
  <c r="J1597" i="6"/>
  <c r="I1597" i="6"/>
  <c r="G1597" i="6"/>
  <c r="F1597" i="6"/>
  <c r="C1597" i="6"/>
  <c r="D1597" i="6" s="1"/>
  <c r="E1597" i="6" s="1"/>
  <c r="J1596" i="6"/>
  <c r="I1596" i="6"/>
  <c r="G1596" i="6"/>
  <c r="F1596" i="6"/>
  <c r="C1596" i="6"/>
  <c r="D1596" i="6" s="1"/>
  <c r="E1596" i="6" s="1"/>
  <c r="J1595" i="6"/>
  <c r="I1595" i="6"/>
  <c r="G1595" i="6"/>
  <c r="F1595" i="6"/>
  <c r="C1595" i="6"/>
  <c r="D1595" i="6" s="1"/>
  <c r="E1595" i="6" s="1"/>
  <c r="J1594" i="6"/>
  <c r="I1594" i="6"/>
  <c r="G1594" i="6"/>
  <c r="F1594" i="6"/>
  <c r="C1594" i="6"/>
  <c r="D1594" i="6" s="1"/>
  <c r="E1594" i="6" s="1"/>
  <c r="J1593" i="6"/>
  <c r="I1593" i="6"/>
  <c r="G1593" i="6"/>
  <c r="F1593" i="6"/>
  <c r="C1593" i="6"/>
  <c r="D1593" i="6" s="1"/>
  <c r="E1593" i="6" s="1"/>
  <c r="J1592" i="6"/>
  <c r="I1592" i="6"/>
  <c r="G1592" i="6"/>
  <c r="F1592" i="6"/>
  <c r="C1592" i="6"/>
  <c r="D1592" i="6" s="1"/>
  <c r="E1592" i="6" s="1"/>
  <c r="J1591" i="6"/>
  <c r="I1591" i="6"/>
  <c r="G1591" i="6"/>
  <c r="F1591" i="6"/>
  <c r="C1591" i="6"/>
  <c r="D1591" i="6" s="1"/>
  <c r="E1591" i="6" s="1"/>
  <c r="J1590" i="6"/>
  <c r="I1590" i="6"/>
  <c r="G1590" i="6"/>
  <c r="F1590" i="6"/>
  <c r="C1590" i="6"/>
  <c r="D1590" i="6" s="1"/>
  <c r="E1590" i="6" s="1"/>
  <c r="J1589" i="6"/>
  <c r="I1589" i="6"/>
  <c r="G1589" i="6"/>
  <c r="F1589" i="6"/>
  <c r="C1589" i="6"/>
  <c r="D1589" i="6" s="1"/>
  <c r="E1589" i="6" s="1"/>
  <c r="J1588" i="6"/>
  <c r="I1588" i="6"/>
  <c r="G1588" i="6"/>
  <c r="F1588" i="6"/>
  <c r="C1588" i="6"/>
  <c r="D1588" i="6" s="1"/>
  <c r="E1588" i="6" s="1"/>
  <c r="H1588" i="6" s="1"/>
  <c r="J1587" i="6"/>
  <c r="I1587" i="6"/>
  <c r="G1587" i="6"/>
  <c r="F1587" i="6"/>
  <c r="C1587" i="6"/>
  <c r="D1587" i="6" s="1"/>
  <c r="E1587" i="6" s="1"/>
  <c r="J1586" i="6"/>
  <c r="I1586" i="6"/>
  <c r="G1586" i="6"/>
  <c r="F1586" i="6"/>
  <c r="C1586" i="6"/>
  <c r="D1586" i="6" s="1"/>
  <c r="E1586" i="6" s="1"/>
  <c r="J1585" i="6"/>
  <c r="I1585" i="6"/>
  <c r="G1585" i="6"/>
  <c r="F1585" i="6"/>
  <c r="C1585" i="6"/>
  <c r="D1585" i="6" s="1"/>
  <c r="E1585" i="6" s="1"/>
  <c r="J1584" i="6"/>
  <c r="I1584" i="6"/>
  <c r="G1584" i="6"/>
  <c r="F1584" i="6"/>
  <c r="C1584" i="6"/>
  <c r="D1584" i="6" s="1"/>
  <c r="E1584" i="6" s="1"/>
  <c r="J1583" i="6"/>
  <c r="I1583" i="6"/>
  <c r="G1583" i="6"/>
  <c r="F1583" i="6"/>
  <c r="C1583" i="6"/>
  <c r="D1583" i="6" s="1"/>
  <c r="E1583" i="6" s="1"/>
  <c r="J1582" i="6"/>
  <c r="I1582" i="6"/>
  <c r="G1582" i="6"/>
  <c r="F1582" i="6"/>
  <c r="C1582" i="6"/>
  <c r="D1582" i="6" s="1"/>
  <c r="E1582" i="6" s="1"/>
  <c r="J1581" i="6"/>
  <c r="I1581" i="6"/>
  <c r="G1581" i="6"/>
  <c r="F1581" i="6"/>
  <c r="C1581" i="6"/>
  <c r="D1581" i="6" s="1"/>
  <c r="E1581" i="6" s="1"/>
  <c r="J1580" i="6"/>
  <c r="I1580" i="6"/>
  <c r="G1580" i="6"/>
  <c r="F1580" i="6"/>
  <c r="C1580" i="6"/>
  <c r="D1580" i="6" s="1"/>
  <c r="E1580" i="6" s="1"/>
  <c r="J1579" i="6"/>
  <c r="I1579" i="6"/>
  <c r="G1579" i="6"/>
  <c r="F1579" i="6"/>
  <c r="C1579" i="6"/>
  <c r="D1579" i="6" s="1"/>
  <c r="E1579" i="6" s="1"/>
  <c r="J1578" i="6"/>
  <c r="I1578" i="6"/>
  <c r="G1578" i="6"/>
  <c r="F1578" i="6"/>
  <c r="C1578" i="6"/>
  <c r="D1578" i="6" s="1"/>
  <c r="E1578" i="6" s="1"/>
  <c r="J1577" i="6"/>
  <c r="I1577" i="6"/>
  <c r="G1577" i="6"/>
  <c r="F1577" i="6"/>
  <c r="C1577" i="6"/>
  <c r="D1577" i="6" s="1"/>
  <c r="E1577" i="6" s="1"/>
  <c r="J1576" i="6"/>
  <c r="I1576" i="6"/>
  <c r="G1576" i="6"/>
  <c r="F1576" i="6"/>
  <c r="C1576" i="6"/>
  <c r="D1576" i="6" s="1"/>
  <c r="E1576" i="6" s="1"/>
  <c r="J1575" i="6"/>
  <c r="I1575" i="6"/>
  <c r="G1575" i="6"/>
  <c r="F1575" i="6"/>
  <c r="C1575" i="6"/>
  <c r="D1575" i="6" s="1"/>
  <c r="E1575" i="6" s="1"/>
  <c r="J1574" i="6"/>
  <c r="I1574" i="6"/>
  <c r="G1574" i="6"/>
  <c r="F1574" i="6"/>
  <c r="C1574" i="6"/>
  <c r="D1574" i="6" s="1"/>
  <c r="E1574" i="6" s="1"/>
  <c r="J1573" i="6"/>
  <c r="I1573" i="6"/>
  <c r="G1573" i="6"/>
  <c r="F1573" i="6"/>
  <c r="C1573" i="6"/>
  <c r="D1573" i="6" s="1"/>
  <c r="E1573" i="6" s="1"/>
  <c r="J1572" i="6"/>
  <c r="I1572" i="6"/>
  <c r="G1572" i="6"/>
  <c r="F1572" i="6"/>
  <c r="C1572" i="6"/>
  <c r="D1572" i="6" s="1"/>
  <c r="E1572" i="6" s="1"/>
  <c r="J1571" i="6"/>
  <c r="I1571" i="6"/>
  <c r="G1571" i="6"/>
  <c r="F1571" i="6"/>
  <c r="C1571" i="6"/>
  <c r="D1571" i="6" s="1"/>
  <c r="E1571" i="6" s="1"/>
  <c r="J1570" i="6"/>
  <c r="I1570" i="6"/>
  <c r="G1570" i="6"/>
  <c r="F1570" i="6"/>
  <c r="C1570" i="6"/>
  <c r="D1570" i="6" s="1"/>
  <c r="E1570" i="6" s="1"/>
  <c r="J1569" i="6"/>
  <c r="I1569" i="6"/>
  <c r="G1569" i="6"/>
  <c r="F1569" i="6"/>
  <c r="C1569" i="6"/>
  <c r="D1569" i="6" s="1"/>
  <c r="E1569" i="6" s="1"/>
  <c r="J1568" i="6"/>
  <c r="I1568" i="6"/>
  <c r="G1568" i="6"/>
  <c r="F1568" i="6"/>
  <c r="C1568" i="6"/>
  <c r="D1568" i="6" s="1"/>
  <c r="E1568" i="6" s="1"/>
  <c r="J1567" i="6"/>
  <c r="I1567" i="6"/>
  <c r="G1567" i="6"/>
  <c r="F1567" i="6"/>
  <c r="C1567" i="6"/>
  <c r="D1567" i="6" s="1"/>
  <c r="E1567" i="6" s="1"/>
  <c r="J1566" i="6"/>
  <c r="I1566" i="6"/>
  <c r="G1566" i="6"/>
  <c r="F1566" i="6"/>
  <c r="C1566" i="6"/>
  <c r="D1566" i="6" s="1"/>
  <c r="E1566" i="6" s="1"/>
  <c r="J1565" i="6"/>
  <c r="I1565" i="6"/>
  <c r="G1565" i="6"/>
  <c r="F1565" i="6"/>
  <c r="C1565" i="6"/>
  <c r="D1565" i="6" s="1"/>
  <c r="E1565" i="6" s="1"/>
  <c r="J1564" i="6"/>
  <c r="I1564" i="6"/>
  <c r="G1564" i="6"/>
  <c r="F1564" i="6"/>
  <c r="C1564" i="6"/>
  <c r="D1564" i="6" s="1"/>
  <c r="E1564" i="6" s="1"/>
  <c r="J1563" i="6"/>
  <c r="I1563" i="6"/>
  <c r="G1563" i="6"/>
  <c r="F1563" i="6"/>
  <c r="C1563" i="6"/>
  <c r="D1563" i="6" s="1"/>
  <c r="E1563" i="6" s="1"/>
  <c r="J1562" i="6"/>
  <c r="I1562" i="6"/>
  <c r="G1562" i="6"/>
  <c r="F1562" i="6"/>
  <c r="C1562" i="6"/>
  <c r="D1562" i="6" s="1"/>
  <c r="E1562" i="6" s="1"/>
  <c r="J1561" i="6"/>
  <c r="I1561" i="6"/>
  <c r="G1561" i="6"/>
  <c r="F1561" i="6"/>
  <c r="C1561" i="6"/>
  <c r="D1561" i="6" s="1"/>
  <c r="E1561" i="6" s="1"/>
  <c r="J1560" i="6"/>
  <c r="I1560" i="6"/>
  <c r="G1560" i="6"/>
  <c r="F1560" i="6"/>
  <c r="C1560" i="6"/>
  <c r="D1560" i="6" s="1"/>
  <c r="E1560" i="6" s="1"/>
  <c r="J1559" i="6"/>
  <c r="I1559" i="6"/>
  <c r="G1559" i="6"/>
  <c r="F1559" i="6"/>
  <c r="C1559" i="6"/>
  <c r="D1559" i="6" s="1"/>
  <c r="E1559" i="6" s="1"/>
  <c r="J1558" i="6"/>
  <c r="I1558" i="6"/>
  <c r="G1558" i="6"/>
  <c r="F1558" i="6"/>
  <c r="C1558" i="6"/>
  <c r="D1558" i="6" s="1"/>
  <c r="E1558" i="6" s="1"/>
  <c r="J1557" i="6"/>
  <c r="I1557" i="6"/>
  <c r="G1557" i="6"/>
  <c r="F1557" i="6"/>
  <c r="C1557" i="6"/>
  <c r="D1557" i="6" s="1"/>
  <c r="E1557" i="6" s="1"/>
  <c r="J1556" i="6"/>
  <c r="I1556" i="6"/>
  <c r="G1556" i="6"/>
  <c r="F1556" i="6"/>
  <c r="C1556" i="6"/>
  <c r="D1556" i="6" s="1"/>
  <c r="E1556" i="6" s="1"/>
  <c r="J1555" i="6"/>
  <c r="I1555" i="6"/>
  <c r="G1555" i="6"/>
  <c r="F1555" i="6"/>
  <c r="C1555" i="6"/>
  <c r="D1555" i="6" s="1"/>
  <c r="E1555" i="6" s="1"/>
  <c r="J1554" i="6"/>
  <c r="I1554" i="6"/>
  <c r="G1554" i="6"/>
  <c r="F1554" i="6"/>
  <c r="C1554" i="6"/>
  <c r="D1554" i="6" s="1"/>
  <c r="E1554" i="6" s="1"/>
  <c r="J1553" i="6"/>
  <c r="I1553" i="6"/>
  <c r="G1553" i="6"/>
  <c r="F1553" i="6"/>
  <c r="C1553" i="6"/>
  <c r="D1553" i="6" s="1"/>
  <c r="E1553" i="6" s="1"/>
  <c r="J1552" i="6"/>
  <c r="I1552" i="6"/>
  <c r="G1552" i="6"/>
  <c r="F1552" i="6"/>
  <c r="C1552" i="6"/>
  <c r="D1552" i="6" s="1"/>
  <c r="E1552" i="6" s="1"/>
  <c r="J1551" i="6"/>
  <c r="I1551" i="6"/>
  <c r="G1551" i="6"/>
  <c r="F1551" i="6"/>
  <c r="C1551" i="6"/>
  <c r="D1551" i="6" s="1"/>
  <c r="E1551" i="6" s="1"/>
  <c r="J1550" i="6"/>
  <c r="I1550" i="6"/>
  <c r="G1550" i="6"/>
  <c r="F1550" i="6"/>
  <c r="C1550" i="6"/>
  <c r="D1550" i="6" s="1"/>
  <c r="E1550" i="6" s="1"/>
  <c r="J1549" i="6"/>
  <c r="I1549" i="6"/>
  <c r="G1549" i="6"/>
  <c r="F1549" i="6"/>
  <c r="C1549" i="6"/>
  <c r="D1549" i="6" s="1"/>
  <c r="E1549" i="6" s="1"/>
  <c r="J1548" i="6"/>
  <c r="I1548" i="6"/>
  <c r="G1548" i="6"/>
  <c r="F1548" i="6"/>
  <c r="C1548" i="6"/>
  <c r="D1548" i="6" s="1"/>
  <c r="E1548" i="6" s="1"/>
  <c r="J1547" i="6"/>
  <c r="I1547" i="6"/>
  <c r="G1547" i="6"/>
  <c r="F1547" i="6"/>
  <c r="C1547" i="6"/>
  <c r="D1547" i="6" s="1"/>
  <c r="E1547" i="6" s="1"/>
  <c r="J1546" i="6"/>
  <c r="I1546" i="6"/>
  <c r="G1546" i="6"/>
  <c r="F1546" i="6"/>
  <c r="C1546" i="6"/>
  <c r="D1546" i="6" s="1"/>
  <c r="E1546" i="6" s="1"/>
  <c r="J1545" i="6"/>
  <c r="I1545" i="6"/>
  <c r="G1545" i="6"/>
  <c r="F1545" i="6"/>
  <c r="C1545" i="6"/>
  <c r="D1545" i="6" s="1"/>
  <c r="E1545" i="6" s="1"/>
  <c r="J1544" i="6"/>
  <c r="I1544" i="6"/>
  <c r="G1544" i="6"/>
  <c r="F1544" i="6"/>
  <c r="C1544" i="6"/>
  <c r="D1544" i="6" s="1"/>
  <c r="E1544" i="6" s="1"/>
  <c r="J1543" i="6"/>
  <c r="I1543" i="6"/>
  <c r="G1543" i="6"/>
  <c r="F1543" i="6"/>
  <c r="C1543" i="6"/>
  <c r="D1543" i="6" s="1"/>
  <c r="E1543" i="6" s="1"/>
  <c r="J1542" i="6"/>
  <c r="I1542" i="6"/>
  <c r="G1542" i="6"/>
  <c r="F1542" i="6"/>
  <c r="C1542" i="6"/>
  <c r="D1542" i="6" s="1"/>
  <c r="E1542" i="6" s="1"/>
  <c r="J1541" i="6"/>
  <c r="I1541" i="6"/>
  <c r="G1541" i="6"/>
  <c r="F1541" i="6"/>
  <c r="C1541" i="6"/>
  <c r="D1541" i="6" s="1"/>
  <c r="E1541" i="6" s="1"/>
  <c r="J1540" i="6"/>
  <c r="I1540" i="6"/>
  <c r="G1540" i="6"/>
  <c r="F1540" i="6"/>
  <c r="C1540" i="6"/>
  <c r="D1540" i="6" s="1"/>
  <c r="E1540" i="6" s="1"/>
  <c r="J1539" i="6"/>
  <c r="I1539" i="6"/>
  <c r="G1539" i="6"/>
  <c r="F1539" i="6"/>
  <c r="C1539" i="6"/>
  <c r="D1539" i="6" s="1"/>
  <c r="E1539" i="6" s="1"/>
  <c r="J1538" i="6"/>
  <c r="I1538" i="6"/>
  <c r="G1538" i="6"/>
  <c r="F1538" i="6"/>
  <c r="C1538" i="6"/>
  <c r="D1538" i="6" s="1"/>
  <c r="E1538" i="6" s="1"/>
  <c r="J1537" i="6"/>
  <c r="I1537" i="6"/>
  <c r="G1537" i="6"/>
  <c r="F1537" i="6"/>
  <c r="C1537" i="6"/>
  <c r="D1537" i="6" s="1"/>
  <c r="E1537" i="6" s="1"/>
  <c r="J1536" i="6"/>
  <c r="I1536" i="6"/>
  <c r="G1536" i="6"/>
  <c r="F1536" i="6"/>
  <c r="C1536" i="6"/>
  <c r="D1536" i="6" s="1"/>
  <c r="E1536" i="6" s="1"/>
  <c r="J1535" i="6"/>
  <c r="I1535" i="6"/>
  <c r="G1535" i="6"/>
  <c r="F1535" i="6"/>
  <c r="C1535" i="6"/>
  <c r="D1535" i="6" s="1"/>
  <c r="E1535" i="6" s="1"/>
  <c r="J1534" i="6"/>
  <c r="I1534" i="6"/>
  <c r="G1534" i="6"/>
  <c r="F1534" i="6"/>
  <c r="C1534" i="6"/>
  <c r="D1534" i="6" s="1"/>
  <c r="E1534" i="6" s="1"/>
  <c r="J1533" i="6"/>
  <c r="I1533" i="6"/>
  <c r="G1533" i="6"/>
  <c r="F1533" i="6"/>
  <c r="C1533" i="6"/>
  <c r="D1533" i="6" s="1"/>
  <c r="E1533" i="6" s="1"/>
  <c r="J1532" i="6"/>
  <c r="I1532" i="6"/>
  <c r="G1532" i="6"/>
  <c r="F1532" i="6"/>
  <c r="C1532" i="6"/>
  <c r="D1532" i="6" s="1"/>
  <c r="E1532" i="6" s="1"/>
  <c r="J1531" i="6"/>
  <c r="I1531" i="6"/>
  <c r="G1531" i="6"/>
  <c r="F1531" i="6"/>
  <c r="C1531" i="6"/>
  <c r="D1531" i="6" s="1"/>
  <c r="E1531" i="6" s="1"/>
  <c r="J1530" i="6"/>
  <c r="I1530" i="6"/>
  <c r="G1530" i="6"/>
  <c r="F1530" i="6"/>
  <c r="C1530" i="6"/>
  <c r="D1530" i="6" s="1"/>
  <c r="E1530" i="6" s="1"/>
  <c r="J1529" i="6"/>
  <c r="I1529" i="6"/>
  <c r="G1529" i="6"/>
  <c r="F1529" i="6"/>
  <c r="C1529" i="6"/>
  <c r="D1529" i="6" s="1"/>
  <c r="E1529" i="6" s="1"/>
  <c r="J1528" i="6"/>
  <c r="I1528" i="6"/>
  <c r="G1528" i="6"/>
  <c r="F1528" i="6"/>
  <c r="C1528" i="6"/>
  <c r="D1528" i="6" s="1"/>
  <c r="E1528" i="6" s="1"/>
  <c r="J1527" i="6"/>
  <c r="I1527" i="6"/>
  <c r="G1527" i="6"/>
  <c r="F1527" i="6"/>
  <c r="C1527" i="6"/>
  <c r="D1527" i="6" s="1"/>
  <c r="E1527" i="6" s="1"/>
  <c r="J1526" i="6"/>
  <c r="I1526" i="6"/>
  <c r="G1526" i="6"/>
  <c r="F1526" i="6"/>
  <c r="C1526" i="6"/>
  <c r="D1526" i="6" s="1"/>
  <c r="E1526" i="6" s="1"/>
  <c r="J1525" i="6"/>
  <c r="I1525" i="6"/>
  <c r="G1525" i="6"/>
  <c r="F1525" i="6"/>
  <c r="C1525" i="6"/>
  <c r="D1525" i="6" s="1"/>
  <c r="E1525" i="6" s="1"/>
  <c r="J1524" i="6"/>
  <c r="I1524" i="6"/>
  <c r="G1524" i="6"/>
  <c r="F1524" i="6"/>
  <c r="C1524" i="6"/>
  <c r="D1524" i="6" s="1"/>
  <c r="E1524" i="6" s="1"/>
  <c r="J1523" i="6"/>
  <c r="I1523" i="6"/>
  <c r="G1523" i="6"/>
  <c r="F1523" i="6"/>
  <c r="C1523" i="6"/>
  <c r="D1523" i="6" s="1"/>
  <c r="E1523" i="6" s="1"/>
  <c r="J1522" i="6"/>
  <c r="I1522" i="6"/>
  <c r="G1522" i="6"/>
  <c r="F1522" i="6"/>
  <c r="C1522" i="6"/>
  <c r="D1522" i="6" s="1"/>
  <c r="E1522" i="6" s="1"/>
  <c r="J1521" i="6"/>
  <c r="I1521" i="6"/>
  <c r="G1521" i="6"/>
  <c r="F1521" i="6"/>
  <c r="C1521" i="6"/>
  <c r="D1521" i="6" s="1"/>
  <c r="E1521" i="6" s="1"/>
  <c r="J1520" i="6"/>
  <c r="I1520" i="6"/>
  <c r="G1520" i="6"/>
  <c r="F1520" i="6"/>
  <c r="C1520" i="6"/>
  <c r="D1520" i="6" s="1"/>
  <c r="E1520" i="6" s="1"/>
  <c r="H1520" i="6" s="1"/>
  <c r="J1519" i="6"/>
  <c r="I1519" i="6"/>
  <c r="G1519" i="6"/>
  <c r="F1519" i="6"/>
  <c r="C1519" i="6"/>
  <c r="D1519" i="6" s="1"/>
  <c r="E1519" i="6" s="1"/>
  <c r="J1518" i="6"/>
  <c r="I1518" i="6"/>
  <c r="G1518" i="6"/>
  <c r="F1518" i="6"/>
  <c r="C1518" i="6"/>
  <c r="D1518" i="6" s="1"/>
  <c r="E1518" i="6" s="1"/>
  <c r="J1517" i="6"/>
  <c r="I1517" i="6"/>
  <c r="G1517" i="6"/>
  <c r="F1517" i="6"/>
  <c r="C1517" i="6"/>
  <c r="D1517" i="6" s="1"/>
  <c r="E1517" i="6" s="1"/>
  <c r="J1516" i="6"/>
  <c r="I1516" i="6"/>
  <c r="G1516" i="6"/>
  <c r="F1516" i="6"/>
  <c r="C1516" i="6"/>
  <c r="D1516" i="6" s="1"/>
  <c r="E1516" i="6" s="1"/>
  <c r="J1515" i="6"/>
  <c r="I1515" i="6"/>
  <c r="G1515" i="6"/>
  <c r="F1515" i="6"/>
  <c r="C1515" i="6"/>
  <c r="D1515" i="6" s="1"/>
  <c r="E1515" i="6" s="1"/>
  <c r="J1514" i="6"/>
  <c r="I1514" i="6"/>
  <c r="G1514" i="6"/>
  <c r="F1514" i="6"/>
  <c r="C1514" i="6"/>
  <c r="D1514" i="6" s="1"/>
  <c r="E1514" i="6" s="1"/>
  <c r="J1513" i="6"/>
  <c r="I1513" i="6"/>
  <c r="G1513" i="6"/>
  <c r="F1513" i="6"/>
  <c r="C1513" i="6"/>
  <c r="D1513" i="6" s="1"/>
  <c r="E1513" i="6" s="1"/>
  <c r="J1512" i="6"/>
  <c r="I1512" i="6"/>
  <c r="G1512" i="6"/>
  <c r="F1512" i="6"/>
  <c r="C1512" i="6"/>
  <c r="D1512" i="6" s="1"/>
  <c r="E1512" i="6" s="1"/>
  <c r="J1511" i="6"/>
  <c r="I1511" i="6"/>
  <c r="G1511" i="6"/>
  <c r="F1511" i="6"/>
  <c r="C1511" i="6"/>
  <c r="D1511" i="6" s="1"/>
  <c r="E1511" i="6" s="1"/>
  <c r="J1510" i="6"/>
  <c r="I1510" i="6"/>
  <c r="G1510" i="6"/>
  <c r="F1510" i="6"/>
  <c r="C1510" i="6"/>
  <c r="D1510" i="6" s="1"/>
  <c r="E1510" i="6" s="1"/>
  <c r="J1509" i="6"/>
  <c r="I1509" i="6"/>
  <c r="G1509" i="6"/>
  <c r="F1509" i="6"/>
  <c r="C1509" i="6"/>
  <c r="D1509" i="6" s="1"/>
  <c r="E1509" i="6" s="1"/>
  <c r="J1508" i="6"/>
  <c r="I1508" i="6"/>
  <c r="G1508" i="6"/>
  <c r="F1508" i="6"/>
  <c r="C1508" i="6"/>
  <c r="D1508" i="6" s="1"/>
  <c r="E1508" i="6" s="1"/>
  <c r="J1507" i="6"/>
  <c r="I1507" i="6"/>
  <c r="G1507" i="6"/>
  <c r="F1507" i="6"/>
  <c r="C1507" i="6"/>
  <c r="D1507" i="6" s="1"/>
  <c r="E1507" i="6" s="1"/>
  <c r="J1506" i="6"/>
  <c r="I1506" i="6"/>
  <c r="G1506" i="6"/>
  <c r="F1506" i="6"/>
  <c r="C1506" i="6"/>
  <c r="D1506" i="6" s="1"/>
  <c r="E1506" i="6" s="1"/>
  <c r="J1505" i="6"/>
  <c r="I1505" i="6"/>
  <c r="G1505" i="6"/>
  <c r="F1505" i="6"/>
  <c r="C1505" i="6"/>
  <c r="D1505" i="6" s="1"/>
  <c r="E1505" i="6" s="1"/>
  <c r="J1504" i="6"/>
  <c r="I1504" i="6"/>
  <c r="G1504" i="6"/>
  <c r="F1504" i="6"/>
  <c r="C1504" i="6"/>
  <c r="D1504" i="6" s="1"/>
  <c r="E1504" i="6" s="1"/>
  <c r="J1503" i="6"/>
  <c r="I1503" i="6"/>
  <c r="G1503" i="6"/>
  <c r="F1503" i="6"/>
  <c r="C1503" i="6"/>
  <c r="D1503" i="6" s="1"/>
  <c r="E1503" i="6" s="1"/>
  <c r="J1502" i="6"/>
  <c r="I1502" i="6"/>
  <c r="G1502" i="6"/>
  <c r="F1502" i="6"/>
  <c r="C1502" i="6"/>
  <c r="D1502" i="6" s="1"/>
  <c r="E1502" i="6" s="1"/>
  <c r="J1501" i="6"/>
  <c r="I1501" i="6"/>
  <c r="G1501" i="6"/>
  <c r="F1501" i="6"/>
  <c r="C1501" i="6"/>
  <c r="D1501" i="6" s="1"/>
  <c r="E1501" i="6" s="1"/>
  <c r="J1500" i="6"/>
  <c r="I1500" i="6"/>
  <c r="G1500" i="6"/>
  <c r="F1500" i="6"/>
  <c r="C1500" i="6"/>
  <c r="D1500" i="6" s="1"/>
  <c r="E1500" i="6" s="1"/>
  <c r="J1499" i="6"/>
  <c r="I1499" i="6"/>
  <c r="G1499" i="6"/>
  <c r="F1499" i="6"/>
  <c r="C1499" i="6"/>
  <c r="D1499" i="6" s="1"/>
  <c r="E1499" i="6" s="1"/>
  <c r="J1498" i="6"/>
  <c r="I1498" i="6"/>
  <c r="G1498" i="6"/>
  <c r="F1498" i="6"/>
  <c r="C1498" i="6"/>
  <c r="D1498" i="6" s="1"/>
  <c r="E1498" i="6" s="1"/>
  <c r="J1497" i="6"/>
  <c r="I1497" i="6"/>
  <c r="G1497" i="6"/>
  <c r="F1497" i="6"/>
  <c r="C1497" i="6"/>
  <c r="D1497" i="6" s="1"/>
  <c r="E1497" i="6" s="1"/>
  <c r="J1496" i="6"/>
  <c r="I1496" i="6"/>
  <c r="G1496" i="6"/>
  <c r="F1496" i="6"/>
  <c r="C1496" i="6"/>
  <c r="D1496" i="6" s="1"/>
  <c r="E1496" i="6" s="1"/>
  <c r="J1495" i="6"/>
  <c r="I1495" i="6"/>
  <c r="G1495" i="6"/>
  <c r="F1495" i="6"/>
  <c r="C1495" i="6"/>
  <c r="D1495" i="6" s="1"/>
  <c r="E1495" i="6" s="1"/>
  <c r="J1494" i="6"/>
  <c r="I1494" i="6"/>
  <c r="G1494" i="6"/>
  <c r="F1494" i="6"/>
  <c r="C1494" i="6"/>
  <c r="D1494" i="6" s="1"/>
  <c r="E1494" i="6" s="1"/>
  <c r="J1493" i="6"/>
  <c r="I1493" i="6"/>
  <c r="G1493" i="6"/>
  <c r="F1493" i="6"/>
  <c r="C1493" i="6"/>
  <c r="D1493" i="6" s="1"/>
  <c r="E1493" i="6" s="1"/>
  <c r="J1492" i="6"/>
  <c r="I1492" i="6"/>
  <c r="G1492" i="6"/>
  <c r="F1492" i="6"/>
  <c r="C1492" i="6"/>
  <c r="D1492" i="6" s="1"/>
  <c r="E1492" i="6" s="1"/>
  <c r="J1491" i="6"/>
  <c r="I1491" i="6"/>
  <c r="G1491" i="6"/>
  <c r="F1491" i="6"/>
  <c r="C1491" i="6"/>
  <c r="D1491" i="6" s="1"/>
  <c r="E1491" i="6" s="1"/>
  <c r="J1490" i="6"/>
  <c r="I1490" i="6"/>
  <c r="G1490" i="6"/>
  <c r="F1490" i="6"/>
  <c r="C1490" i="6"/>
  <c r="D1490" i="6" s="1"/>
  <c r="E1490" i="6" s="1"/>
  <c r="J1489" i="6"/>
  <c r="I1489" i="6"/>
  <c r="G1489" i="6"/>
  <c r="F1489" i="6"/>
  <c r="C1489" i="6"/>
  <c r="D1489" i="6" s="1"/>
  <c r="E1489" i="6" s="1"/>
  <c r="J1488" i="6"/>
  <c r="I1488" i="6"/>
  <c r="G1488" i="6"/>
  <c r="F1488" i="6"/>
  <c r="C1488" i="6"/>
  <c r="D1488" i="6" s="1"/>
  <c r="E1488" i="6" s="1"/>
  <c r="J1487" i="6"/>
  <c r="I1487" i="6"/>
  <c r="G1487" i="6"/>
  <c r="F1487" i="6"/>
  <c r="C1487" i="6"/>
  <c r="D1487" i="6" s="1"/>
  <c r="E1487" i="6" s="1"/>
  <c r="J1486" i="6"/>
  <c r="I1486" i="6"/>
  <c r="G1486" i="6"/>
  <c r="F1486" i="6"/>
  <c r="C1486" i="6"/>
  <c r="D1486" i="6" s="1"/>
  <c r="E1486" i="6" s="1"/>
  <c r="J1485" i="6"/>
  <c r="I1485" i="6"/>
  <c r="G1485" i="6"/>
  <c r="F1485" i="6"/>
  <c r="C1485" i="6"/>
  <c r="D1485" i="6" s="1"/>
  <c r="E1485" i="6" s="1"/>
  <c r="J1484" i="6"/>
  <c r="I1484" i="6"/>
  <c r="G1484" i="6"/>
  <c r="F1484" i="6"/>
  <c r="C1484" i="6"/>
  <c r="D1484" i="6" s="1"/>
  <c r="E1484" i="6" s="1"/>
  <c r="J1483" i="6"/>
  <c r="I1483" i="6"/>
  <c r="G1483" i="6"/>
  <c r="F1483" i="6"/>
  <c r="C1483" i="6"/>
  <c r="D1483" i="6" s="1"/>
  <c r="E1483" i="6" s="1"/>
  <c r="J1482" i="6"/>
  <c r="I1482" i="6"/>
  <c r="G1482" i="6"/>
  <c r="F1482" i="6"/>
  <c r="C1482" i="6"/>
  <c r="D1482" i="6" s="1"/>
  <c r="E1482" i="6" s="1"/>
  <c r="J1481" i="6"/>
  <c r="I1481" i="6"/>
  <c r="G1481" i="6"/>
  <c r="F1481" i="6"/>
  <c r="C1481" i="6"/>
  <c r="D1481" i="6" s="1"/>
  <c r="E1481" i="6" s="1"/>
  <c r="J1480" i="6"/>
  <c r="I1480" i="6"/>
  <c r="G1480" i="6"/>
  <c r="F1480" i="6"/>
  <c r="C1480" i="6"/>
  <c r="D1480" i="6" s="1"/>
  <c r="E1480" i="6" s="1"/>
  <c r="J1479" i="6"/>
  <c r="I1479" i="6"/>
  <c r="G1479" i="6"/>
  <c r="F1479" i="6"/>
  <c r="C1479" i="6"/>
  <c r="D1479" i="6" s="1"/>
  <c r="E1479" i="6" s="1"/>
  <c r="J1478" i="6"/>
  <c r="I1478" i="6"/>
  <c r="G1478" i="6"/>
  <c r="F1478" i="6"/>
  <c r="C1478" i="6"/>
  <c r="D1478" i="6" s="1"/>
  <c r="E1478" i="6" s="1"/>
  <c r="J1477" i="6"/>
  <c r="I1477" i="6"/>
  <c r="G1477" i="6"/>
  <c r="F1477" i="6"/>
  <c r="C1477" i="6"/>
  <c r="D1477" i="6" s="1"/>
  <c r="E1477" i="6" s="1"/>
  <c r="J1476" i="6"/>
  <c r="I1476" i="6"/>
  <c r="G1476" i="6"/>
  <c r="F1476" i="6"/>
  <c r="C1476" i="6"/>
  <c r="D1476" i="6" s="1"/>
  <c r="E1476" i="6" s="1"/>
  <c r="J1475" i="6"/>
  <c r="I1475" i="6"/>
  <c r="G1475" i="6"/>
  <c r="F1475" i="6"/>
  <c r="C1475" i="6"/>
  <c r="D1475" i="6" s="1"/>
  <c r="E1475" i="6" s="1"/>
  <c r="J1474" i="6"/>
  <c r="I1474" i="6"/>
  <c r="G1474" i="6"/>
  <c r="F1474" i="6"/>
  <c r="C1474" i="6"/>
  <c r="D1474" i="6" s="1"/>
  <c r="E1474" i="6" s="1"/>
  <c r="J1473" i="6"/>
  <c r="I1473" i="6"/>
  <c r="G1473" i="6"/>
  <c r="F1473" i="6"/>
  <c r="C1473" i="6"/>
  <c r="D1473" i="6" s="1"/>
  <c r="E1473" i="6" s="1"/>
  <c r="J1472" i="6"/>
  <c r="I1472" i="6"/>
  <c r="G1472" i="6"/>
  <c r="F1472" i="6"/>
  <c r="C1472" i="6"/>
  <c r="D1472" i="6" s="1"/>
  <c r="E1472" i="6" s="1"/>
  <c r="J1471" i="6"/>
  <c r="I1471" i="6"/>
  <c r="G1471" i="6"/>
  <c r="F1471" i="6"/>
  <c r="C1471" i="6"/>
  <c r="D1471" i="6" s="1"/>
  <c r="E1471" i="6" s="1"/>
  <c r="J1470" i="6"/>
  <c r="I1470" i="6"/>
  <c r="G1470" i="6"/>
  <c r="F1470" i="6"/>
  <c r="C1470" i="6"/>
  <c r="D1470" i="6" s="1"/>
  <c r="E1470" i="6" s="1"/>
  <c r="J1469" i="6"/>
  <c r="I1469" i="6"/>
  <c r="G1469" i="6"/>
  <c r="F1469" i="6"/>
  <c r="C1469" i="6"/>
  <c r="D1469" i="6" s="1"/>
  <c r="E1469" i="6" s="1"/>
  <c r="J1468" i="6"/>
  <c r="I1468" i="6"/>
  <c r="G1468" i="6"/>
  <c r="F1468" i="6"/>
  <c r="C1468" i="6"/>
  <c r="D1468" i="6" s="1"/>
  <c r="E1468" i="6" s="1"/>
  <c r="J1467" i="6"/>
  <c r="I1467" i="6"/>
  <c r="G1467" i="6"/>
  <c r="F1467" i="6"/>
  <c r="C1467" i="6"/>
  <c r="D1467" i="6" s="1"/>
  <c r="E1467" i="6" s="1"/>
  <c r="J1466" i="6"/>
  <c r="I1466" i="6"/>
  <c r="G1466" i="6"/>
  <c r="F1466" i="6"/>
  <c r="C1466" i="6"/>
  <c r="D1466" i="6" s="1"/>
  <c r="E1466" i="6" s="1"/>
  <c r="J1465" i="6"/>
  <c r="I1465" i="6"/>
  <c r="G1465" i="6"/>
  <c r="F1465" i="6"/>
  <c r="C1465" i="6"/>
  <c r="D1465" i="6" s="1"/>
  <c r="E1465" i="6" s="1"/>
  <c r="J1464" i="6"/>
  <c r="I1464" i="6"/>
  <c r="G1464" i="6"/>
  <c r="F1464" i="6"/>
  <c r="C1464" i="6"/>
  <c r="D1464" i="6" s="1"/>
  <c r="E1464" i="6" s="1"/>
  <c r="J1463" i="6"/>
  <c r="I1463" i="6"/>
  <c r="G1463" i="6"/>
  <c r="F1463" i="6"/>
  <c r="C1463" i="6"/>
  <c r="D1463" i="6" s="1"/>
  <c r="E1463" i="6" s="1"/>
  <c r="J1462" i="6"/>
  <c r="I1462" i="6"/>
  <c r="G1462" i="6"/>
  <c r="F1462" i="6"/>
  <c r="C1462" i="6"/>
  <c r="D1462" i="6" s="1"/>
  <c r="E1462" i="6" s="1"/>
  <c r="J1461" i="6"/>
  <c r="I1461" i="6"/>
  <c r="G1461" i="6"/>
  <c r="F1461" i="6"/>
  <c r="C1461" i="6"/>
  <c r="D1461" i="6" s="1"/>
  <c r="E1461" i="6" s="1"/>
  <c r="J1460" i="6"/>
  <c r="I1460" i="6"/>
  <c r="G1460" i="6"/>
  <c r="F1460" i="6"/>
  <c r="C1460" i="6"/>
  <c r="D1460" i="6" s="1"/>
  <c r="E1460" i="6" s="1"/>
  <c r="J1459" i="6"/>
  <c r="I1459" i="6"/>
  <c r="G1459" i="6"/>
  <c r="F1459" i="6"/>
  <c r="C1459" i="6"/>
  <c r="D1459" i="6" s="1"/>
  <c r="E1459" i="6" s="1"/>
  <c r="J1458" i="6"/>
  <c r="I1458" i="6"/>
  <c r="G1458" i="6"/>
  <c r="F1458" i="6"/>
  <c r="C1458" i="6"/>
  <c r="D1458" i="6" s="1"/>
  <c r="E1458" i="6" s="1"/>
  <c r="J1457" i="6"/>
  <c r="I1457" i="6"/>
  <c r="G1457" i="6"/>
  <c r="F1457" i="6"/>
  <c r="C1457" i="6"/>
  <c r="D1457" i="6" s="1"/>
  <c r="E1457" i="6" s="1"/>
  <c r="J1456" i="6"/>
  <c r="I1456" i="6"/>
  <c r="G1456" i="6"/>
  <c r="F1456" i="6"/>
  <c r="C1456" i="6"/>
  <c r="D1456" i="6" s="1"/>
  <c r="E1456" i="6" s="1"/>
  <c r="J1455" i="6"/>
  <c r="I1455" i="6"/>
  <c r="G1455" i="6"/>
  <c r="F1455" i="6"/>
  <c r="C1455" i="6"/>
  <c r="D1455" i="6" s="1"/>
  <c r="E1455" i="6" s="1"/>
  <c r="J1454" i="6"/>
  <c r="I1454" i="6"/>
  <c r="G1454" i="6"/>
  <c r="F1454" i="6"/>
  <c r="C1454" i="6"/>
  <c r="D1454" i="6" s="1"/>
  <c r="E1454" i="6" s="1"/>
  <c r="J1453" i="6"/>
  <c r="I1453" i="6"/>
  <c r="G1453" i="6"/>
  <c r="F1453" i="6"/>
  <c r="C1453" i="6"/>
  <c r="D1453" i="6" s="1"/>
  <c r="E1453" i="6" s="1"/>
  <c r="J1452" i="6"/>
  <c r="I1452" i="6"/>
  <c r="G1452" i="6"/>
  <c r="F1452" i="6"/>
  <c r="C1452" i="6"/>
  <c r="D1452" i="6" s="1"/>
  <c r="E1452" i="6" s="1"/>
  <c r="J1451" i="6"/>
  <c r="I1451" i="6"/>
  <c r="G1451" i="6"/>
  <c r="F1451" i="6"/>
  <c r="C1451" i="6"/>
  <c r="D1451" i="6" s="1"/>
  <c r="E1451" i="6" s="1"/>
  <c r="J1450" i="6"/>
  <c r="I1450" i="6"/>
  <c r="G1450" i="6"/>
  <c r="F1450" i="6"/>
  <c r="C1450" i="6"/>
  <c r="D1450" i="6" s="1"/>
  <c r="E1450" i="6" s="1"/>
  <c r="J1449" i="6"/>
  <c r="I1449" i="6"/>
  <c r="G1449" i="6"/>
  <c r="F1449" i="6"/>
  <c r="C1449" i="6"/>
  <c r="D1449" i="6" s="1"/>
  <c r="E1449" i="6" s="1"/>
  <c r="J1448" i="6"/>
  <c r="I1448" i="6"/>
  <c r="G1448" i="6"/>
  <c r="F1448" i="6"/>
  <c r="C1448" i="6"/>
  <c r="D1448" i="6" s="1"/>
  <c r="E1448" i="6" s="1"/>
  <c r="J1447" i="6"/>
  <c r="I1447" i="6"/>
  <c r="G1447" i="6"/>
  <c r="F1447" i="6"/>
  <c r="C1447" i="6"/>
  <c r="D1447" i="6" s="1"/>
  <c r="E1447" i="6" s="1"/>
  <c r="J1446" i="6"/>
  <c r="I1446" i="6"/>
  <c r="G1446" i="6"/>
  <c r="F1446" i="6"/>
  <c r="C1446" i="6"/>
  <c r="D1446" i="6" s="1"/>
  <c r="E1446" i="6" s="1"/>
  <c r="J1445" i="6"/>
  <c r="I1445" i="6"/>
  <c r="G1445" i="6"/>
  <c r="F1445" i="6"/>
  <c r="C1445" i="6"/>
  <c r="D1445" i="6" s="1"/>
  <c r="E1445" i="6" s="1"/>
  <c r="J1444" i="6"/>
  <c r="I1444" i="6"/>
  <c r="G1444" i="6"/>
  <c r="F1444" i="6"/>
  <c r="C1444" i="6"/>
  <c r="D1444" i="6" s="1"/>
  <c r="E1444" i="6" s="1"/>
  <c r="J1443" i="6"/>
  <c r="I1443" i="6"/>
  <c r="G1443" i="6"/>
  <c r="F1443" i="6"/>
  <c r="C1443" i="6"/>
  <c r="D1443" i="6" s="1"/>
  <c r="E1443" i="6" s="1"/>
  <c r="J1442" i="6"/>
  <c r="I1442" i="6"/>
  <c r="G1442" i="6"/>
  <c r="F1442" i="6"/>
  <c r="C1442" i="6"/>
  <c r="D1442" i="6" s="1"/>
  <c r="E1442" i="6" s="1"/>
  <c r="J1441" i="6"/>
  <c r="I1441" i="6"/>
  <c r="G1441" i="6"/>
  <c r="F1441" i="6"/>
  <c r="C1441" i="6"/>
  <c r="D1441" i="6" s="1"/>
  <c r="E1441" i="6" s="1"/>
  <c r="J1440" i="6"/>
  <c r="I1440" i="6"/>
  <c r="G1440" i="6"/>
  <c r="F1440" i="6"/>
  <c r="C1440" i="6"/>
  <c r="D1440" i="6" s="1"/>
  <c r="E1440" i="6" s="1"/>
  <c r="J1439" i="6"/>
  <c r="I1439" i="6"/>
  <c r="G1439" i="6"/>
  <c r="F1439" i="6"/>
  <c r="C1439" i="6"/>
  <c r="D1439" i="6" s="1"/>
  <c r="E1439" i="6" s="1"/>
  <c r="J1438" i="6"/>
  <c r="I1438" i="6"/>
  <c r="G1438" i="6"/>
  <c r="F1438" i="6"/>
  <c r="C1438" i="6"/>
  <c r="D1438" i="6" s="1"/>
  <c r="E1438" i="6" s="1"/>
  <c r="J1437" i="6"/>
  <c r="I1437" i="6"/>
  <c r="G1437" i="6"/>
  <c r="F1437" i="6"/>
  <c r="C1437" i="6"/>
  <c r="D1437" i="6" s="1"/>
  <c r="E1437" i="6" s="1"/>
  <c r="J1436" i="6"/>
  <c r="I1436" i="6"/>
  <c r="G1436" i="6"/>
  <c r="F1436" i="6"/>
  <c r="C1436" i="6"/>
  <c r="D1436" i="6" s="1"/>
  <c r="E1436" i="6" s="1"/>
  <c r="J1435" i="6"/>
  <c r="I1435" i="6"/>
  <c r="G1435" i="6"/>
  <c r="F1435" i="6"/>
  <c r="C1435" i="6"/>
  <c r="D1435" i="6" s="1"/>
  <c r="E1435" i="6" s="1"/>
  <c r="J1434" i="6"/>
  <c r="I1434" i="6"/>
  <c r="G1434" i="6"/>
  <c r="F1434" i="6"/>
  <c r="C1434" i="6"/>
  <c r="D1434" i="6" s="1"/>
  <c r="E1434" i="6" s="1"/>
  <c r="J1433" i="6"/>
  <c r="I1433" i="6"/>
  <c r="K1433" i="6" s="1"/>
  <c r="G1433" i="6"/>
  <c r="F1433" i="6"/>
  <c r="C1433" i="6"/>
  <c r="D1433" i="6" s="1"/>
  <c r="E1433" i="6" s="1"/>
  <c r="J1432" i="6"/>
  <c r="I1432" i="6"/>
  <c r="G1432" i="6"/>
  <c r="F1432" i="6"/>
  <c r="C1432" i="6"/>
  <c r="D1432" i="6" s="1"/>
  <c r="E1432" i="6" s="1"/>
  <c r="J1431" i="6"/>
  <c r="I1431" i="6"/>
  <c r="G1431" i="6"/>
  <c r="F1431" i="6"/>
  <c r="C1431" i="6"/>
  <c r="D1431" i="6" s="1"/>
  <c r="E1431" i="6" s="1"/>
  <c r="J1430" i="6"/>
  <c r="I1430" i="6"/>
  <c r="G1430" i="6"/>
  <c r="F1430" i="6"/>
  <c r="C1430" i="6"/>
  <c r="D1430" i="6" s="1"/>
  <c r="E1430" i="6" s="1"/>
  <c r="J1429" i="6"/>
  <c r="I1429" i="6"/>
  <c r="G1429" i="6"/>
  <c r="F1429" i="6"/>
  <c r="C1429" i="6"/>
  <c r="D1429" i="6" s="1"/>
  <c r="E1429" i="6" s="1"/>
  <c r="J1428" i="6"/>
  <c r="I1428" i="6"/>
  <c r="G1428" i="6"/>
  <c r="F1428" i="6"/>
  <c r="C1428" i="6"/>
  <c r="D1428" i="6" s="1"/>
  <c r="E1428" i="6" s="1"/>
  <c r="J1427" i="6"/>
  <c r="I1427" i="6"/>
  <c r="G1427" i="6"/>
  <c r="F1427" i="6"/>
  <c r="C1427" i="6"/>
  <c r="D1427" i="6" s="1"/>
  <c r="E1427" i="6" s="1"/>
  <c r="J1426" i="6"/>
  <c r="I1426" i="6"/>
  <c r="G1426" i="6"/>
  <c r="F1426" i="6"/>
  <c r="C1426" i="6"/>
  <c r="D1426" i="6" s="1"/>
  <c r="E1426" i="6" s="1"/>
  <c r="J1425" i="6"/>
  <c r="I1425" i="6"/>
  <c r="G1425" i="6"/>
  <c r="F1425" i="6"/>
  <c r="C1425" i="6"/>
  <c r="D1425" i="6" s="1"/>
  <c r="E1425" i="6" s="1"/>
  <c r="J1424" i="6"/>
  <c r="I1424" i="6"/>
  <c r="G1424" i="6"/>
  <c r="F1424" i="6"/>
  <c r="C1424" i="6"/>
  <c r="D1424" i="6" s="1"/>
  <c r="E1424" i="6" s="1"/>
  <c r="J1423" i="6"/>
  <c r="I1423" i="6"/>
  <c r="G1423" i="6"/>
  <c r="F1423" i="6"/>
  <c r="C1423" i="6"/>
  <c r="D1423" i="6" s="1"/>
  <c r="E1423" i="6" s="1"/>
  <c r="J1422" i="6"/>
  <c r="I1422" i="6"/>
  <c r="G1422" i="6"/>
  <c r="F1422" i="6"/>
  <c r="C1422" i="6"/>
  <c r="D1422" i="6" s="1"/>
  <c r="E1422" i="6" s="1"/>
  <c r="J1421" i="6"/>
  <c r="I1421" i="6"/>
  <c r="G1421" i="6"/>
  <c r="F1421" i="6"/>
  <c r="C1421" i="6"/>
  <c r="D1421" i="6" s="1"/>
  <c r="E1421" i="6" s="1"/>
  <c r="J1420" i="6"/>
  <c r="I1420" i="6"/>
  <c r="G1420" i="6"/>
  <c r="F1420" i="6"/>
  <c r="C1420" i="6"/>
  <c r="D1420" i="6" s="1"/>
  <c r="E1420" i="6" s="1"/>
  <c r="J1419" i="6"/>
  <c r="I1419" i="6"/>
  <c r="G1419" i="6"/>
  <c r="F1419" i="6"/>
  <c r="C1419" i="6"/>
  <c r="D1419" i="6" s="1"/>
  <c r="E1419" i="6" s="1"/>
  <c r="J1418" i="6"/>
  <c r="I1418" i="6"/>
  <c r="G1418" i="6"/>
  <c r="F1418" i="6"/>
  <c r="C1418" i="6"/>
  <c r="D1418" i="6" s="1"/>
  <c r="E1418" i="6" s="1"/>
  <c r="J1417" i="6"/>
  <c r="I1417" i="6"/>
  <c r="G1417" i="6"/>
  <c r="F1417" i="6"/>
  <c r="C1417" i="6"/>
  <c r="D1417" i="6" s="1"/>
  <c r="E1417" i="6" s="1"/>
  <c r="J1416" i="6"/>
  <c r="I1416" i="6"/>
  <c r="G1416" i="6"/>
  <c r="F1416" i="6"/>
  <c r="C1416" i="6"/>
  <c r="D1416" i="6" s="1"/>
  <c r="E1416" i="6" s="1"/>
  <c r="J1415" i="6"/>
  <c r="I1415" i="6"/>
  <c r="G1415" i="6"/>
  <c r="F1415" i="6"/>
  <c r="C1415" i="6"/>
  <c r="D1415" i="6" s="1"/>
  <c r="E1415" i="6" s="1"/>
  <c r="J1414" i="6"/>
  <c r="I1414" i="6"/>
  <c r="G1414" i="6"/>
  <c r="F1414" i="6"/>
  <c r="C1414" i="6"/>
  <c r="D1414" i="6" s="1"/>
  <c r="E1414" i="6" s="1"/>
  <c r="J1413" i="6"/>
  <c r="I1413" i="6"/>
  <c r="G1413" i="6"/>
  <c r="F1413" i="6"/>
  <c r="C1413" i="6"/>
  <c r="D1413" i="6" s="1"/>
  <c r="E1413" i="6" s="1"/>
  <c r="J1412" i="6"/>
  <c r="I1412" i="6"/>
  <c r="G1412" i="6"/>
  <c r="F1412" i="6"/>
  <c r="C1412" i="6"/>
  <c r="D1412" i="6" s="1"/>
  <c r="E1412" i="6" s="1"/>
  <c r="J1411" i="6"/>
  <c r="I1411" i="6"/>
  <c r="G1411" i="6"/>
  <c r="F1411" i="6"/>
  <c r="C1411" i="6"/>
  <c r="D1411" i="6" s="1"/>
  <c r="E1411" i="6" s="1"/>
  <c r="J1410" i="6"/>
  <c r="I1410" i="6"/>
  <c r="G1410" i="6"/>
  <c r="F1410" i="6"/>
  <c r="C1410" i="6"/>
  <c r="D1410" i="6" s="1"/>
  <c r="E1410" i="6" s="1"/>
  <c r="J1409" i="6"/>
  <c r="I1409" i="6"/>
  <c r="G1409" i="6"/>
  <c r="F1409" i="6"/>
  <c r="C1409" i="6"/>
  <c r="D1409" i="6" s="1"/>
  <c r="E1409" i="6" s="1"/>
  <c r="J1408" i="6"/>
  <c r="I1408" i="6"/>
  <c r="G1408" i="6"/>
  <c r="F1408" i="6"/>
  <c r="C1408" i="6"/>
  <c r="D1408" i="6" s="1"/>
  <c r="E1408" i="6" s="1"/>
  <c r="J1407" i="6"/>
  <c r="I1407" i="6"/>
  <c r="G1407" i="6"/>
  <c r="F1407" i="6"/>
  <c r="C1407" i="6"/>
  <c r="D1407" i="6" s="1"/>
  <c r="E1407" i="6" s="1"/>
  <c r="J1406" i="6"/>
  <c r="I1406" i="6"/>
  <c r="G1406" i="6"/>
  <c r="F1406" i="6"/>
  <c r="C1406" i="6"/>
  <c r="D1406" i="6" s="1"/>
  <c r="E1406" i="6" s="1"/>
  <c r="J1405" i="6"/>
  <c r="I1405" i="6"/>
  <c r="G1405" i="6"/>
  <c r="F1405" i="6"/>
  <c r="C1405" i="6"/>
  <c r="D1405" i="6" s="1"/>
  <c r="E1405" i="6" s="1"/>
  <c r="J1404" i="6"/>
  <c r="I1404" i="6"/>
  <c r="G1404" i="6"/>
  <c r="F1404" i="6"/>
  <c r="C1404" i="6"/>
  <c r="D1404" i="6" s="1"/>
  <c r="E1404" i="6" s="1"/>
  <c r="J1403" i="6"/>
  <c r="I1403" i="6"/>
  <c r="G1403" i="6"/>
  <c r="F1403" i="6"/>
  <c r="C1403" i="6"/>
  <c r="D1403" i="6" s="1"/>
  <c r="E1403" i="6" s="1"/>
  <c r="J1402" i="6"/>
  <c r="I1402" i="6"/>
  <c r="G1402" i="6"/>
  <c r="F1402" i="6"/>
  <c r="C1402" i="6"/>
  <c r="D1402" i="6" s="1"/>
  <c r="E1402" i="6" s="1"/>
  <c r="J1401" i="6"/>
  <c r="I1401" i="6"/>
  <c r="G1401" i="6"/>
  <c r="F1401" i="6"/>
  <c r="C1401" i="6"/>
  <c r="D1401" i="6" s="1"/>
  <c r="E1401" i="6" s="1"/>
  <c r="J1400" i="6"/>
  <c r="I1400" i="6"/>
  <c r="G1400" i="6"/>
  <c r="F1400" i="6"/>
  <c r="C1400" i="6"/>
  <c r="D1400" i="6" s="1"/>
  <c r="E1400" i="6" s="1"/>
  <c r="J1399" i="6"/>
  <c r="I1399" i="6"/>
  <c r="G1399" i="6"/>
  <c r="F1399" i="6"/>
  <c r="C1399" i="6"/>
  <c r="D1399" i="6" s="1"/>
  <c r="E1399" i="6" s="1"/>
  <c r="J1398" i="6"/>
  <c r="I1398" i="6"/>
  <c r="G1398" i="6"/>
  <c r="F1398" i="6"/>
  <c r="C1398" i="6"/>
  <c r="D1398" i="6" s="1"/>
  <c r="E1398" i="6" s="1"/>
  <c r="J1397" i="6"/>
  <c r="I1397" i="6"/>
  <c r="G1397" i="6"/>
  <c r="F1397" i="6"/>
  <c r="C1397" i="6"/>
  <c r="D1397" i="6" s="1"/>
  <c r="E1397" i="6" s="1"/>
  <c r="J1396" i="6"/>
  <c r="I1396" i="6"/>
  <c r="G1396" i="6"/>
  <c r="F1396" i="6"/>
  <c r="C1396" i="6"/>
  <c r="D1396" i="6" s="1"/>
  <c r="E1396" i="6" s="1"/>
  <c r="J1395" i="6"/>
  <c r="I1395" i="6"/>
  <c r="G1395" i="6"/>
  <c r="F1395" i="6"/>
  <c r="C1395" i="6"/>
  <c r="D1395" i="6" s="1"/>
  <c r="E1395" i="6" s="1"/>
  <c r="J1394" i="6"/>
  <c r="I1394" i="6"/>
  <c r="G1394" i="6"/>
  <c r="F1394" i="6"/>
  <c r="C1394" i="6"/>
  <c r="D1394" i="6" s="1"/>
  <c r="E1394" i="6" s="1"/>
  <c r="J1393" i="6"/>
  <c r="I1393" i="6"/>
  <c r="G1393" i="6"/>
  <c r="F1393" i="6"/>
  <c r="C1393" i="6"/>
  <c r="D1393" i="6" s="1"/>
  <c r="E1393" i="6" s="1"/>
  <c r="J1392" i="6"/>
  <c r="I1392" i="6"/>
  <c r="G1392" i="6"/>
  <c r="F1392" i="6"/>
  <c r="C1392" i="6"/>
  <c r="D1392" i="6" s="1"/>
  <c r="E1392" i="6" s="1"/>
  <c r="J1391" i="6"/>
  <c r="I1391" i="6"/>
  <c r="G1391" i="6"/>
  <c r="F1391" i="6"/>
  <c r="C1391" i="6"/>
  <c r="D1391" i="6" s="1"/>
  <c r="E1391" i="6" s="1"/>
  <c r="J1390" i="6"/>
  <c r="I1390" i="6"/>
  <c r="G1390" i="6"/>
  <c r="F1390" i="6"/>
  <c r="C1390" i="6"/>
  <c r="D1390" i="6" s="1"/>
  <c r="E1390" i="6" s="1"/>
  <c r="J1389" i="6"/>
  <c r="I1389" i="6"/>
  <c r="G1389" i="6"/>
  <c r="F1389" i="6"/>
  <c r="C1389" i="6"/>
  <c r="D1389" i="6" s="1"/>
  <c r="E1389" i="6" s="1"/>
  <c r="J1388" i="6"/>
  <c r="I1388" i="6"/>
  <c r="G1388" i="6"/>
  <c r="F1388" i="6"/>
  <c r="C1388" i="6"/>
  <c r="D1388" i="6" s="1"/>
  <c r="E1388" i="6" s="1"/>
  <c r="J1387" i="6"/>
  <c r="I1387" i="6"/>
  <c r="G1387" i="6"/>
  <c r="F1387" i="6"/>
  <c r="C1387" i="6"/>
  <c r="D1387" i="6" s="1"/>
  <c r="E1387" i="6" s="1"/>
  <c r="J1386" i="6"/>
  <c r="I1386" i="6"/>
  <c r="G1386" i="6"/>
  <c r="F1386" i="6"/>
  <c r="C1386" i="6"/>
  <c r="D1386" i="6" s="1"/>
  <c r="E1386" i="6" s="1"/>
  <c r="J1385" i="6"/>
  <c r="I1385" i="6"/>
  <c r="G1385" i="6"/>
  <c r="F1385" i="6"/>
  <c r="C1385" i="6"/>
  <c r="D1385" i="6" s="1"/>
  <c r="E1385" i="6" s="1"/>
  <c r="J1384" i="6"/>
  <c r="I1384" i="6"/>
  <c r="G1384" i="6"/>
  <c r="F1384" i="6"/>
  <c r="C1384" i="6"/>
  <c r="D1384" i="6" s="1"/>
  <c r="E1384" i="6" s="1"/>
  <c r="J1383" i="6"/>
  <c r="I1383" i="6"/>
  <c r="G1383" i="6"/>
  <c r="F1383" i="6"/>
  <c r="C1383" i="6"/>
  <c r="D1383" i="6" s="1"/>
  <c r="E1383" i="6" s="1"/>
  <c r="J1382" i="6"/>
  <c r="I1382" i="6"/>
  <c r="G1382" i="6"/>
  <c r="F1382" i="6"/>
  <c r="C1382" i="6"/>
  <c r="D1382" i="6" s="1"/>
  <c r="E1382" i="6" s="1"/>
  <c r="J1381" i="6"/>
  <c r="I1381" i="6"/>
  <c r="G1381" i="6"/>
  <c r="F1381" i="6"/>
  <c r="C1381" i="6"/>
  <c r="D1381" i="6" s="1"/>
  <c r="E1381" i="6" s="1"/>
  <c r="J1380" i="6"/>
  <c r="I1380" i="6"/>
  <c r="G1380" i="6"/>
  <c r="F1380" i="6"/>
  <c r="C1380" i="6"/>
  <c r="D1380" i="6" s="1"/>
  <c r="E1380" i="6" s="1"/>
  <c r="J1379" i="6"/>
  <c r="I1379" i="6"/>
  <c r="G1379" i="6"/>
  <c r="F1379" i="6"/>
  <c r="C1379" i="6"/>
  <c r="D1379" i="6" s="1"/>
  <c r="E1379" i="6" s="1"/>
  <c r="J1378" i="6"/>
  <c r="I1378" i="6"/>
  <c r="G1378" i="6"/>
  <c r="F1378" i="6"/>
  <c r="C1378" i="6"/>
  <c r="D1378" i="6" s="1"/>
  <c r="E1378" i="6" s="1"/>
  <c r="J1377" i="6"/>
  <c r="I1377" i="6"/>
  <c r="G1377" i="6"/>
  <c r="F1377" i="6"/>
  <c r="C1377" i="6"/>
  <c r="D1377" i="6" s="1"/>
  <c r="E1377" i="6" s="1"/>
  <c r="J1376" i="6"/>
  <c r="I1376" i="6"/>
  <c r="G1376" i="6"/>
  <c r="F1376" i="6"/>
  <c r="C1376" i="6"/>
  <c r="D1376" i="6" s="1"/>
  <c r="E1376" i="6" s="1"/>
  <c r="J1375" i="6"/>
  <c r="I1375" i="6"/>
  <c r="G1375" i="6"/>
  <c r="F1375" i="6"/>
  <c r="C1375" i="6"/>
  <c r="D1375" i="6" s="1"/>
  <c r="E1375" i="6" s="1"/>
  <c r="J1374" i="6"/>
  <c r="I1374" i="6"/>
  <c r="G1374" i="6"/>
  <c r="F1374" i="6"/>
  <c r="C1374" i="6"/>
  <c r="D1374" i="6" s="1"/>
  <c r="E1374" i="6" s="1"/>
  <c r="J1373" i="6"/>
  <c r="I1373" i="6"/>
  <c r="G1373" i="6"/>
  <c r="F1373" i="6"/>
  <c r="C1373" i="6"/>
  <c r="D1373" i="6" s="1"/>
  <c r="E1373" i="6" s="1"/>
  <c r="J1372" i="6"/>
  <c r="I1372" i="6"/>
  <c r="G1372" i="6"/>
  <c r="F1372" i="6"/>
  <c r="C1372" i="6"/>
  <c r="D1372" i="6" s="1"/>
  <c r="E1372" i="6" s="1"/>
  <c r="J1371" i="6"/>
  <c r="I1371" i="6"/>
  <c r="G1371" i="6"/>
  <c r="F1371" i="6"/>
  <c r="C1371" i="6"/>
  <c r="D1371" i="6" s="1"/>
  <c r="E1371" i="6" s="1"/>
  <c r="J1370" i="6"/>
  <c r="I1370" i="6"/>
  <c r="G1370" i="6"/>
  <c r="F1370" i="6"/>
  <c r="C1370" i="6"/>
  <c r="D1370" i="6" s="1"/>
  <c r="E1370" i="6" s="1"/>
  <c r="J1369" i="6"/>
  <c r="I1369" i="6"/>
  <c r="G1369" i="6"/>
  <c r="F1369" i="6"/>
  <c r="C1369" i="6"/>
  <c r="D1369" i="6" s="1"/>
  <c r="E1369" i="6" s="1"/>
  <c r="J1368" i="6"/>
  <c r="I1368" i="6"/>
  <c r="G1368" i="6"/>
  <c r="F1368" i="6"/>
  <c r="C1368" i="6"/>
  <c r="D1368" i="6" s="1"/>
  <c r="E1368" i="6" s="1"/>
  <c r="J1367" i="6"/>
  <c r="I1367" i="6"/>
  <c r="G1367" i="6"/>
  <c r="F1367" i="6"/>
  <c r="C1367" i="6"/>
  <c r="D1367" i="6" s="1"/>
  <c r="E1367" i="6" s="1"/>
  <c r="J1366" i="6"/>
  <c r="I1366" i="6"/>
  <c r="G1366" i="6"/>
  <c r="F1366" i="6"/>
  <c r="C1366" i="6"/>
  <c r="D1366" i="6" s="1"/>
  <c r="E1366" i="6" s="1"/>
  <c r="J1365" i="6"/>
  <c r="I1365" i="6"/>
  <c r="G1365" i="6"/>
  <c r="F1365" i="6"/>
  <c r="C1365" i="6"/>
  <c r="D1365" i="6" s="1"/>
  <c r="E1365" i="6" s="1"/>
  <c r="J1364" i="6"/>
  <c r="I1364" i="6"/>
  <c r="G1364" i="6"/>
  <c r="F1364" i="6"/>
  <c r="C1364" i="6"/>
  <c r="D1364" i="6" s="1"/>
  <c r="E1364" i="6" s="1"/>
  <c r="J1363" i="6"/>
  <c r="I1363" i="6"/>
  <c r="G1363" i="6"/>
  <c r="F1363" i="6"/>
  <c r="C1363" i="6"/>
  <c r="D1363" i="6" s="1"/>
  <c r="E1363" i="6" s="1"/>
  <c r="J1362" i="6"/>
  <c r="I1362" i="6"/>
  <c r="G1362" i="6"/>
  <c r="F1362" i="6"/>
  <c r="C1362" i="6"/>
  <c r="D1362" i="6" s="1"/>
  <c r="E1362" i="6" s="1"/>
  <c r="J1361" i="6"/>
  <c r="I1361" i="6"/>
  <c r="G1361" i="6"/>
  <c r="F1361" i="6"/>
  <c r="C1361" i="6"/>
  <c r="D1361" i="6" s="1"/>
  <c r="E1361" i="6" s="1"/>
  <c r="J1360" i="6"/>
  <c r="I1360" i="6"/>
  <c r="G1360" i="6"/>
  <c r="F1360" i="6"/>
  <c r="C1360" i="6"/>
  <c r="D1360" i="6" s="1"/>
  <c r="E1360" i="6" s="1"/>
  <c r="J1359" i="6"/>
  <c r="I1359" i="6"/>
  <c r="G1359" i="6"/>
  <c r="F1359" i="6"/>
  <c r="C1359" i="6"/>
  <c r="D1359" i="6" s="1"/>
  <c r="E1359" i="6" s="1"/>
  <c r="J1358" i="6"/>
  <c r="I1358" i="6"/>
  <c r="G1358" i="6"/>
  <c r="F1358" i="6"/>
  <c r="C1358" i="6"/>
  <c r="D1358" i="6" s="1"/>
  <c r="E1358" i="6" s="1"/>
  <c r="J1357" i="6"/>
  <c r="I1357" i="6"/>
  <c r="G1357" i="6"/>
  <c r="F1357" i="6"/>
  <c r="C1357" i="6"/>
  <c r="D1357" i="6" s="1"/>
  <c r="E1357" i="6" s="1"/>
  <c r="J1356" i="6"/>
  <c r="I1356" i="6"/>
  <c r="G1356" i="6"/>
  <c r="F1356" i="6"/>
  <c r="C1356" i="6"/>
  <c r="D1356" i="6" s="1"/>
  <c r="E1356" i="6" s="1"/>
  <c r="J1355" i="6"/>
  <c r="I1355" i="6"/>
  <c r="G1355" i="6"/>
  <c r="F1355" i="6"/>
  <c r="C1355" i="6"/>
  <c r="D1355" i="6" s="1"/>
  <c r="E1355" i="6" s="1"/>
  <c r="J1354" i="6"/>
  <c r="I1354" i="6"/>
  <c r="G1354" i="6"/>
  <c r="F1354" i="6"/>
  <c r="C1354" i="6"/>
  <c r="D1354" i="6" s="1"/>
  <c r="E1354" i="6" s="1"/>
  <c r="J1353" i="6"/>
  <c r="I1353" i="6"/>
  <c r="G1353" i="6"/>
  <c r="F1353" i="6"/>
  <c r="C1353" i="6"/>
  <c r="D1353" i="6" s="1"/>
  <c r="E1353" i="6" s="1"/>
  <c r="J1352" i="6"/>
  <c r="I1352" i="6"/>
  <c r="G1352" i="6"/>
  <c r="F1352" i="6"/>
  <c r="C1352" i="6"/>
  <c r="D1352" i="6" s="1"/>
  <c r="E1352" i="6" s="1"/>
  <c r="J1351" i="6"/>
  <c r="I1351" i="6"/>
  <c r="G1351" i="6"/>
  <c r="F1351" i="6"/>
  <c r="C1351" i="6"/>
  <c r="D1351" i="6" s="1"/>
  <c r="E1351" i="6" s="1"/>
  <c r="J1350" i="6"/>
  <c r="I1350" i="6"/>
  <c r="G1350" i="6"/>
  <c r="F1350" i="6"/>
  <c r="C1350" i="6"/>
  <c r="D1350" i="6" s="1"/>
  <c r="E1350" i="6" s="1"/>
  <c r="J1349" i="6"/>
  <c r="I1349" i="6"/>
  <c r="G1349" i="6"/>
  <c r="F1349" i="6"/>
  <c r="C1349" i="6"/>
  <c r="D1349" i="6" s="1"/>
  <c r="E1349" i="6" s="1"/>
  <c r="J1348" i="6"/>
  <c r="I1348" i="6"/>
  <c r="G1348" i="6"/>
  <c r="F1348" i="6"/>
  <c r="C1348" i="6"/>
  <c r="D1348" i="6" s="1"/>
  <c r="E1348" i="6" s="1"/>
  <c r="J1347" i="6"/>
  <c r="I1347" i="6"/>
  <c r="G1347" i="6"/>
  <c r="F1347" i="6"/>
  <c r="C1347" i="6"/>
  <c r="D1347" i="6" s="1"/>
  <c r="E1347" i="6" s="1"/>
  <c r="J1346" i="6"/>
  <c r="I1346" i="6"/>
  <c r="G1346" i="6"/>
  <c r="F1346" i="6"/>
  <c r="C1346" i="6"/>
  <c r="D1346" i="6" s="1"/>
  <c r="E1346" i="6" s="1"/>
  <c r="J1345" i="6"/>
  <c r="I1345" i="6"/>
  <c r="G1345" i="6"/>
  <c r="F1345" i="6"/>
  <c r="C1345" i="6"/>
  <c r="D1345" i="6" s="1"/>
  <c r="E1345" i="6" s="1"/>
  <c r="J1344" i="6"/>
  <c r="I1344" i="6"/>
  <c r="G1344" i="6"/>
  <c r="F1344" i="6"/>
  <c r="C1344" i="6"/>
  <c r="D1344" i="6" s="1"/>
  <c r="E1344" i="6" s="1"/>
  <c r="J1343" i="6"/>
  <c r="I1343" i="6"/>
  <c r="G1343" i="6"/>
  <c r="F1343" i="6"/>
  <c r="C1343" i="6"/>
  <c r="D1343" i="6" s="1"/>
  <c r="E1343" i="6" s="1"/>
  <c r="J1342" i="6"/>
  <c r="I1342" i="6"/>
  <c r="G1342" i="6"/>
  <c r="F1342" i="6"/>
  <c r="C1342" i="6"/>
  <c r="D1342" i="6" s="1"/>
  <c r="E1342" i="6" s="1"/>
  <c r="J1341" i="6"/>
  <c r="I1341" i="6"/>
  <c r="G1341" i="6"/>
  <c r="F1341" i="6"/>
  <c r="C1341" i="6"/>
  <c r="D1341" i="6" s="1"/>
  <c r="E1341" i="6" s="1"/>
  <c r="J1340" i="6"/>
  <c r="I1340" i="6"/>
  <c r="G1340" i="6"/>
  <c r="F1340" i="6"/>
  <c r="C1340" i="6"/>
  <c r="D1340" i="6" s="1"/>
  <c r="E1340" i="6" s="1"/>
  <c r="J1339" i="6"/>
  <c r="I1339" i="6"/>
  <c r="G1339" i="6"/>
  <c r="F1339" i="6"/>
  <c r="C1339" i="6"/>
  <c r="D1339" i="6" s="1"/>
  <c r="E1339" i="6" s="1"/>
  <c r="J1338" i="6"/>
  <c r="I1338" i="6"/>
  <c r="G1338" i="6"/>
  <c r="F1338" i="6"/>
  <c r="C1338" i="6"/>
  <c r="D1338" i="6" s="1"/>
  <c r="E1338" i="6" s="1"/>
  <c r="J1337" i="6"/>
  <c r="I1337" i="6"/>
  <c r="G1337" i="6"/>
  <c r="F1337" i="6"/>
  <c r="C1337" i="6"/>
  <c r="D1337" i="6" s="1"/>
  <c r="E1337" i="6" s="1"/>
  <c r="J1336" i="6"/>
  <c r="I1336" i="6"/>
  <c r="G1336" i="6"/>
  <c r="F1336" i="6"/>
  <c r="C1336" i="6"/>
  <c r="D1336" i="6" s="1"/>
  <c r="E1336" i="6" s="1"/>
  <c r="J1335" i="6"/>
  <c r="I1335" i="6"/>
  <c r="G1335" i="6"/>
  <c r="F1335" i="6"/>
  <c r="C1335" i="6"/>
  <c r="D1335" i="6" s="1"/>
  <c r="E1335" i="6" s="1"/>
  <c r="J1334" i="6"/>
  <c r="I1334" i="6"/>
  <c r="G1334" i="6"/>
  <c r="F1334" i="6"/>
  <c r="C1334" i="6"/>
  <c r="D1334" i="6" s="1"/>
  <c r="E1334" i="6" s="1"/>
  <c r="J1333" i="6"/>
  <c r="I1333" i="6"/>
  <c r="G1333" i="6"/>
  <c r="F1333" i="6"/>
  <c r="C1333" i="6"/>
  <c r="D1333" i="6" s="1"/>
  <c r="E1333" i="6" s="1"/>
  <c r="J1332" i="6"/>
  <c r="I1332" i="6"/>
  <c r="G1332" i="6"/>
  <c r="F1332" i="6"/>
  <c r="C1332" i="6"/>
  <c r="D1332" i="6" s="1"/>
  <c r="E1332" i="6" s="1"/>
  <c r="J1331" i="6"/>
  <c r="I1331" i="6"/>
  <c r="G1331" i="6"/>
  <c r="F1331" i="6"/>
  <c r="C1331" i="6"/>
  <c r="D1331" i="6" s="1"/>
  <c r="E1331" i="6" s="1"/>
  <c r="J1330" i="6"/>
  <c r="I1330" i="6"/>
  <c r="G1330" i="6"/>
  <c r="F1330" i="6"/>
  <c r="C1330" i="6"/>
  <c r="D1330" i="6" s="1"/>
  <c r="E1330" i="6" s="1"/>
  <c r="J1329" i="6"/>
  <c r="I1329" i="6"/>
  <c r="G1329" i="6"/>
  <c r="F1329" i="6"/>
  <c r="C1329" i="6"/>
  <c r="D1329" i="6" s="1"/>
  <c r="E1329" i="6" s="1"/>
  <c r="J1328" i="6"/>
  <c r="I1328" i="6"/>
  <c r="G1328" i="6"/>
  <c r="F1328" i="6"/>
  <c r="C1328" i="6"/>
  <c r="D1328" i="6" s="1"/>
  <c r="E1328" i="6" s="1"/>
  <c r="J1327" i="6"/>
  <c r="I1327" i="6"/>
  <c r="G1327" i="6"/>
  <c r="F1327" i="6"/>
  <c r="C1327" i="6"/>
  <c r="D1327" i="6" s="1"/>
  <c r="E1327" i="6" s="1"/>
  <c r="J1326" i="6"/>
  <c r="I1326" i="6"/>
  <c r="G1326" i="6"/>
  <c r="F1326" i="6"/>
  <c r="C1326" i="6"/>
  <c r="D1326" i="6" s="1"/>
  <c r="E1326" i="6" s="1"/>
  <c r="J1325" i="6"/>
  <c r="I1325" i="6"/>
  <c r="G1325" i="6"/>
  <c r="F1325" i="6"/>
  <c r="C1325" i="6"/>
  <c r="D1325" i="6" s="1"/>
  <c r="E1325" i="6" s="1"/>
  <c r="J1324" i="6"/>
  <c r="I1324" i="6"/>
  <c r="G1324" i="6"/>
  <c r="F1324" i="6"/>
  <c r="C1324" i="6"/>
  <c r="D1324" i="6" s="1"/>
  <c r="E1324" i="6" s="1"/>
  <c r="J1323" i="6"/>
  <c r="I1323" i="6"/>
  <c r="G1323" i="6"/>
  <c r="F1323" i="6"/>
  <c r="C1323" i="6"/>
  <c r="D1323" i="6" s="1"/>
  <c r="E1323" i="6" s="1"/>
  <c r="J1322" i="6"/>
  <c r="I1322" i="6"/>
  <c r="G1322" i="6"/>
  <c r="F1322" i="6"/>
  <c r="C1322" i="6"/>
  <c r="D1322" i="6" s="1"/>
  <c r="E1322" i="6" s="1"/>
  <c r="J1321" i="6"/>
  <c r="I1321" i="6"/>
  <c r="G1321" i="6"/>
  <c r="F1321" i="6"/>
  <c r="C1321" i="6"/>
  <c r="D1321" i="6" s="1"/>
  <c r="E1321" i="6" s="1"/>
  <c r="J1320" i="6"/>
  <c r="I1320" i="6"/>
  <c r="G1320" i="6"/>
  <c r="F1320" i="6"/>
  <c r="C1320" i="6"/>
  <c r="D1320" i="6" s="1"/>
  <c r="E1320" i="6" s="1"/>
  <c r="J1319" i="6"/>
  <c r="I1319" i="6"/>
  <c r="G1319" i="6"/>
  <c r="F1319" i="6"/>
  <c r="C1319" i="6"/>
  <c r="D1319" i="6" s="1"/>
  <c r="E1319" i="6" s="1"/>
  <c r="J1318" i="6"/>
  <c r="I1318" i="6"/>
  <c r="G1318" i="6"/>
  <c r="F1318" i="6"/>
  <c r="C1318" i="6"/>
  <c r="D1318" i="6" s="1"/>
  <c r="E1318" i="6" s="1"/>
  <c r="J1317" i="6"/>
  <c r="I1317" i="6"/>
  <c r="G1317" i="6"/>
  <c r="F1317" i="6"/>
  <c r="C1317" i="6"/>
  <c r="D1317" i="6" s="1"/>
  <c r="E1317" i="6" s="1"/>
  <c r="J1316" i="6"/>
  <c r="I1316" i="6"/>
  <c r="G1316" i="6"/>
  <c r="F1316" i="6"/>
  <c r="C1316" i="6"/>
  <c r="D1316" i="6" s="1"/>
  <c r="E1316" i="6" s="1"/>
  <c r="J1315" i="6"/>
  <c r="I1315" i="6"/>
  <c r="G1315" i="6"/>
  <c r="F1315" i="6"/>
  <c r="C1315" i="6"/>
  <c r="D1315" i="6" s="1"/>
  <c r="E1315" i="6" s="1"/>
  <c r="J1314" i="6"/>
  <c r="I1314" i="6"/>
  <c r="G1314" i="6"/>
  <c r="F1314" i="6"/>
  <c r="C1314" i="6"/>
  <c r="D1314" i="6" s="1"/>
  <c r="E1314" i="6" s="1"/>
  <c r="J1313" i="6"/>
  <c r="I1313" i="6"/>
  <c r="G1313" i="6"/>
  <c r="F1313" i="6"/>
  <c r="C1313" i="6"/>
  <c r="D1313" i="6" s="1"/>
  <c r="E1313" i="6" s="1"/>
  <c r="J1312" i="6"/>
  <c r="I1312" i="6"/>
  <c r="G1312" i="6"/>
  <c r="F1312" i="6"/>
  <c r="C1312" i="6"/>
  <c r="D1312" i="6" s="1"/>
  <c r="E1312" i="6" s="1"/>
  <c r="J1311" i="6"/>
  <c r="I1311" i="6"/>
  <c r="G1311" i="6"/>
  <c r="F1311" i="6"/>
  <c r="C1311" i="6"/>
  <c r="D1311" i="6" s="1"/>
  <c r="E1311" i="6" s="1"/>
  <c r="J1310" i="6"/>
  <c r="I1310" i="6"/>
  <c r="G1310" i="6"/>
  <c r="F1310" i="6"/>
  <c r="C1310" i="6"/>
  <c r="D1310" i="6" s="1"/>
  <c r="E1310" i="6" s="1"/>
  <c r="J1309" i="6"/>
  <c r="I1309" i="6"/>
  <c r="G1309" i="6"/>
  <c r="F1309" i="6"/>
  <c r="C1309" i="6"/>
  <c r="D1309" i="6" s="1"/>
  <c r="E1309" i="6" s="1"/>
  <c r="J1308" i="6"/>
  <c r="I1308" i="6"/>
  <c r="G1308" i="6"/>
  <c r="F1308" i="6"/>
  <c r="C1308" i="6"/>
  <c r="D1308" i="6" s="1"/>
  <c r="E1308" i="6" s="1"/>
  <c r="J1307" i="6"/>
  <c r="I1307" i="6"/>
  <c r="G1307" i="6"/>
  <c r="F1307" i="6"/>
  <c r="C1307" i="6"/>
  <c r="D1307" i="6" s="1"/>
  <c r="E1307" i="6" s="1"/>
  <c r="J1306" i="6"/>
  <c r="I1306" i="6"/>
  <c r="G1306" i="6"/>
  <c r="F1306" i="6"/>
  <c r="C1306" i="6"/>
  <c r="D1306" i="6" s="1"/>
  <c r="E1306" i="6" s="1"/>
  <c r="J1305" i="6"/>
  <c r="I1305" i="6"/>
  <c r="G1305" i="6"/>
  <c r="F1305" i="6"/>
  <c r="C1305" i="6"/>
  <c r="D1305" i="6" s="1"/>
  <c r="E1305" i="6" s="1"/>
  <c r="J1304" i="6"/>
  <c r="I1304" i="6"/>
  <c r="G1304" i="6"/>
  <c r="F1304" i="6"/>
  <c r="C1304" i="6"/>
  <c r="D1304" i="6" s="1"/>
  <c r="E1304" i="6" s="1"/>
  <c r="J1303" i="6"/>
  <c r="I1303" i="6"/>
  <c r="G1303" i="6"/>
  <c r="F1303" i="6"/>
  <c r="C1303" i="6"/>
  <c r="D1303" i="6" s="1"/>
  <c r="E1303" i="6" s="1"/>
  <c r="J1302" i="6"/>
  <c r="I1302" i="6"/>
  <c r="G1302" i="6"/>
  <c r="F1302" i="6"/>
  <c r="C1302" i="6"/>
  <c r="D1302" i="6" s="1"/>
  <c r="E1302" i="6" s="1"/>
  <c r="J1301" i="6"/>
  <c r="I1301" i="6"/>
  <c r="G1301" i="6"/>
  <c r="F1301" i="6"/>
  <c r="C1301" i="6"/>
  <c r="D1301" i="6" s="1"/>
  <c r="E1301" i="6" s="1"/>
  <c r="J1300" i="6"/>
  <c r="I1300" i="6"/>
  <c r="G1300" i="6"/>
  <c r="F1300" i="6"/>
  <c r="C1300" i="6"/>
  <c r="D1300" i="6" s="1"/>
  <c r="E1300" i="6" s="1"/>
  <c r="J1299" i="6"/>
  <c r="I1299" i="6"/>
  <c r="G1299" i="6"/>
  <c r="F1299" i="6"/>
  <c r="C1299" i="6"/>
  <c r="D1299" i="6" s="1"/>
  <c r="E1299" i="6" s="1"/>
  <c r="J1298" i="6"/>
  <c r="I1298" i="6"/>
  <c r="G1298" i="6"/>
  <c r="F1298" i="6"/>
  <c r="C1298" i="6"/>
  <c r="D1298" i="6" s="1"/>
  <c r="E1298" i="6" s="1"/>
  <c r="J1297" i="6"/>
  <c r="I1297" i="6"/>
  <c r="G1297" i="6"/>
  <c r="F1297" i="6"/>
  <c r="C1297" i="6"/>
  <c r="D1297" i="6" s="1"/>
  <c r="E1297" i="6" s="1"/>
  <c r="J1296" i="6"/>
  <c r="I1296" i="6"/>
  <c r="G1296" i="6"/>
  <c r="F1296" i="6"/>
  <c r="C1296" i="6"/>
  <c r="D1296" i="6" s="1"/>
  <c r="E1296" i="6" s="1"/>
  <c r="J1295" i="6"/>
  <c r="I1295" i="6"/>
  <c r="G1295" i="6"/>
  <c r="F1295" i="6"/>
  <c r="C1295" i="6"/>
  <c r="D1295" i="6" s="1"/>
  <c r="E1295" i="6" s="1"/>
  <c r="J1294" i="6"/>
  <c r="I1294" i="6"/>
  <c r="G1294" i="6"/>
  <c r="F1294" i="6"/>
  <c r="C1294" i="6"/>
  <c r="D1294" i="6" s="1"/>
  <c r="E1294" i="6" s="1"/>
  <c r="J1293" i="6"/>
  <c r="I1293" i="6"/>
  <c r="G1293" i="6"/>
  <c r="F1293" i="6"/>
  <c r="C1293" i="6"/>
  <c r="D1293" i="6" s="1"/>
  <c r="E1293" i="6" s="1"/>
  <c r="J1292" i="6"/>
  <c r="I1292" i="6"/>
  <c r="G1292" i="6"/>
  <c r="F1292" i="6"/>
  <c r="C1292" i="6"/>
  <c r="D1292" i="6" s="1"/>
  <c r="E1292" i="6" s="1"/>
  <c r="J1291" i="6"/>
  <c r="I1291" i="6"/>
  <c r="G1291" i="6"/>
  <c r="F1291" i="6"/>
  <c r="C1291" i="6"/>
  <c r="D1291" i="6" s="1"/>
  <c r="E1291" i="6" s="1"/>
  <c r="J1290" i="6"/>
  <c r="I1290" i="6"/>
  <c r="G1290" i="6"/>
  <c r="F1290" i="6"/>
  <c r="C1290" i="6"/>
  <c r="D1290" i="6" s="1"/>
  <c r="E1290" i="6" s="1"/>
  <c r="J1289" i="6"/>
  <c r="I1289" i="6"/>
  <c r="G1289" i="6"/>
  <c r="F1289" i="6"/>
  <c r="C1289" i="6"/>
  <c r="D1289" i="6" s="1"/>
  <c r="E1289" i="6" s="1"/>
  <c r="J1288" i="6"/>
  <c r="I1288" i="6"/>
  <c r="G1288" i="6"/>
  <c r="F1288" i="6"/>
  <c r="C1288" i="6"/>
  <c r="D1288" i="6" s="1"/>
  <c r="E1288" i="6" s="1"/>
  <c r="J1287" i="6"/>
  <c r="I1287" i="6"/>
  <c r="G1287" i="6"/>
  <c r="F1287" i="6"/>
  <c r="C1287" i="6"/>
  <c r="D1287" i="6" s="1"/>
  <c r="E1287" i="6" s="1"/>
  <c r="J1286" i="6"/>
  <c r="I1286" i="6"/>
  <c r="G1286" i="6"/>
  <c r="F1286" i="6"/>
  <c r="C1286" i="6"/>
  <c r="D1286" i="6" s="1"/>
  <c r="E1286" i="6" s="1"/>
  <c r="J1285" i="6"/>
  <c r="I1285" i="6"/>
  <c r="G1285" i="6"/>
  <c r="F1285" i="6"/>
  <c r="C1285" i="6"/>
  <c r="D1285" i="6" s="1"/>
  <c r="E1285" i="6" s="1"/>
  <c r="J1284" i="6"/>
  <c r="I1284" i="6"/>
  <c r="G1284" i="6"/>
  <c r="F1284" i="6"/>
  <c r="C1284" i="6"/>
  <c r="D1284" i="6" s="1"/>
  <c r="E1284" i="6" s="1"/>
  <c r="J1283" i="6"/>
  <c r="I1283" i="6"/>
  <c r="G1283" i="6"/>
  <c r="F1283" i="6"/>
  <c r="C1283" i="6"/>
  <c r="D1283" i="6" s="1"/>
  <c r="E1283" i="6" s="1"/>
  <c r="J1282" i="6"/>
  <c r="I1282" i="6"/>
  <c r="G1282" i="6"/>
  <c r="F1282" i="6"/>
  <c r="C1282" i="6"/>
  <c r="D1282" i="6" s="1"/>
  <c r="E1282" i="6" s="1"/>
  <c r="J1281" i="6"/>
  <c r="I1281" i="6"/>
  <c r="G1281" i="6"/>
  <c r="F1281" i="6"/>
  <c r="C1281" i="6"/>
  <c r="D1281" i="6" s="1"/>
  <c r="E1281" i="6" s="1"/>
  <c r="J1280" i="6"/>
  <c r="I1280" i="6"/>
  <c r="G1280" i="6"/>
  <c r="F1280" i="6"/>
  <c r="C1280" i="6"/>
  <c r="D1280" i="6" s="1"/>
  <c r="E1280" i="6" s="1"/>
  <c r="J1279" i="6"/>
  <c r="I1279" i="6"/>
  <c r="G1279" i="6"/>
  <c r="F1279" i="6"/>
  <c r="C1279" i="6"/>
  <c r="D1279" i="6" s="1"/>
  <c r="E1279" i="6" s="1"/>
  <c r="J1278" i="6"/>
  <c r="I1278" i="6"/>
  <c r="G1278" i="6"/>
  <c r="F1278" i="6"/>
  <c r="C1278" i="6"/>
  <c r="D1278" i="6" s="1"/>
  <c r="E1278" i="6" s="1"/>
  <c r="J1277" i="6"/>
  <c r="I1277" i="6"/>
  <c r="G1277" i="6"/>
  <c r="F1277" i="6"/>
  <c r="C1277" i="6"/>
  <c r="D1277" i="6" s="1"/>
  <c r="E1277" i="6" s="1"/>
  <c r="J1276" i="6"/>
  <c r="I1276" i="6"/>
  <c r="G1276" i="6"/>
  <c r="F1276" i="6"/>
  <c r="C1276" i="6"/>
  <c r="D1276" i="6" s="1"/>
  <c r="E1276" i="6" s="1"/>
  <c r="J1275" i="6"/>
  <c r="I1275" i="6"/>
  <c r="G1275" i="6"/>
  <c r="F1275" i="6"/>
  <c r="C1275" i="6"/>
  <c r="D1275" i="6" s="1"/>
  <c r="E1275" i="6" s="1"/>
  <c r="J1274" i="6"/>
  <c r="I1274" i="6"/>
  <c r="G1274" i="6"/>
  <c r="F1274" i="6"/>
  <c r="C1274" i="6"/>
  <c r="D1274" i="6" s="1"/>
  <c r="E1274" i="6" s="1"/>
  <c r="J1273" i="6"/>
  <c r="I1273" i="6"/>
  <c r="K1273" i="6" s="1"/>
  <c r="G1273" i="6"/>
  <c r="F1273" i="6"/>
  <c r="C1273" i="6"/>
  <c r="D1273" i="6" s="1"/>
  <c r="E1273" i="6" s="1"/>
  <c r="J1272" i="6"/>
  <c r="I1272" i="6"/>
  <c r="G1272" i="6"/>
  <c r="F1272" i="6"/>
  <c r="C1272" i="6"/>
  <c r="D1272" i="6" s="1"/>
  <c r="E1272" i="6" s="1"/>
  <c r="J1271" i="6"/>
  <c r="I1271" i="6"/>
  <c r="G1271" i="6"/>
  <c r="F1271" i="6"/>
  <c r="C1271" i="6"/>
  <c r="D1271" i="6" s="1"/>
  <c r="E1271" i="6" s="1"/>
  <c r="J1270" i="6"/>
  <c r="I1270" i="6"/>
  <c r="G1270" i="6"/>
  <c r="F1270" i="6"/>
  <c r="C1270" i="6"/>
  <c r="D1270" i="6" s="1"/>
  <c r="E1270" i="6" s="1"/>
  <c r="J1269" i="6"/>
  <c r="I1269" i="6"/>
  <c r="G1269" i="6"/>
  <c r="F1269" i="6"/>
  <c r="C1269" i="6"/>
  <c r="D1269" i="6" s="1"/>
  <c r="E1269" i="6" s="1"/>
  <c r="J1268" i="6"/>
  <c r="I1268" i="6"/>
  <c r="G1268" i="6"/>
  <c r="F1268" i="6"/>
  <c r="C1268" i="6"/>
  <c r="D1268" i="6" s="1"/>
  <c r="E1268" i="6" s="1"/>
  <c r="J1267" i="6"/>
  <c r="I1267" i="6"/>
  <c r="G1267" i="6"/>
  <c r="F1267" i="6"/>
  <c r="C1267" i="6"/>
  <c r="D1267" i="6" s="1"/>
  <c r="E1267" i="6" s="1"/>
  <c r="J1266" i="6"/>
  <c r="I1266" i="6"/>
  <c r="G1266" i="6"/>
  <c r="F1266" i="6"/>
  <c r="C1266" i="6"/>
  <c r="D1266" i="6" s="1"/>
  <c r="E1266" i="6" s="1"/>
  <c r="J1265" i="6"/>
  <c r="I1265" i="6"/>
  <c r="G1265" i="6"/>
  <c r="F1265" i="6"/>
  <c r="C1265" i="6"/>
  <c r="D1265" i="6" s="1"/>
  <c r="E1265" i="6" s="1"/>
  <c r="J1264" i="6"/>
  <c r="I1264" i="6"/>
  <c r="G1264" i="6"/>
  <c r="F1264" i="6"/>
  <c r="C1264" i="6"/>
  <c r="D1264" i="6" s="1"/>
  <c r="E1264" i="6" s="1"/>
  <c r="J1263" i="6"/>
  <c r="I1263" i="6"/>
  <c r="G1263" i="6"/>
  <c r="F1263" i="6"/>
  <c r="C1263" i="6"/>
  <c r="D1263" i="6" s="1"/>
  <c r="E1263" i="6" s="1"/>
  <c r="J1262" i="6"/>
  <c r="I1262" i="6"/>
  <c r="G1262" i="6"/>
  <c r="F1262" i="6"/>
  <c r="C1262" i="6"/>
  <c r="D1262" i="6" s="1"/>
  <c r="E1262" i="6" s="1"/>
  <c r="J1261" i="6"/>
  <c r="I1261" i="6"/>
  <c r="G1261" i="6"/>
  <c r="F1261" i="6"/>
  <c r="C1261" i="6"/>
  <c r="D1261" i="6" s="1"/>
  <c r="E1261" i="6" s="1"/>
  <c r="J1260" i="6"/>
  <c r="I1260" i="6"/>
  <c r="G1260" i="6"/>
  <c r="F1260" i="6"/>
  <c r="C1260" i="6"/>
  <c r="D1260" i="6" s="1"/>
  <c r="E1260" i="6" s="1"/>
  <c r="J1259" i="6"/>
  <c r="I1259" i="6"/>
  <c r="G1259" i="6"/>
  <c r="F1259" i="6"/>
  <c r="C1259" i="6"/>
  <c r="D1259" i="6" s="1"/>
  <c r="E1259" i="6" s="1"/>
  <c r="J1258" i="6"/>
  <c r="I1258" i="6"/>
  <c r="G1258" i="6"/>
  <c r="F1258" i="6"/>
  <c r="C1258" i="6"/>
  <c r="D1258" i="6" s="1"/>
  <c r="E1258" i="6" s="1"/>
  <c r="J1257" i="6"/>
  <c r="I1257" i="6"/>
  <c r="G1257" i="6"/>
  <c r="F1257" i="6"/>
  <c r="C1257" i="6"/>
  <c r="D1257" i="6" s="1"/>
  <c r="E1257" i="6" s="1"/>
  <c r="J1256" i="6"/>
  <c r="I1256" i="6"/>
  <c r="G1256" i="6"/>
  <c r="F1256" i="6"/>
  <c r="C1256" i="6"/>
  <c r="D1256" i="6" s="1"/>
  <c r="E1256" i="6" s="1"/>
  <c r="J1255" i="6"/>
  <c r="I1255" i="6"/>
  <c r="G1255" i="6"/>
  <c r="F1255" i="6"/>
  <c r="C1255" i="6"/>
  <c r="D1255" i="6" s="1"/>
  <c r="E1255" i="6" s="1"/>
  <c r="J1254" i="6"/>
  <c r="I1254" i="6"/>
  <c r="G1254" i="6"/>
  <c r="F1254" i="6"/>
  <c r="C1254" i="6"/>
  <c r="D1254" i="6" s="1"/>
  <c r="E1254" i="6" s="1"/>
  <c r="J1253" i="6"/>
  <c r="I1253" i="6"/>
  <c r="G1253" i="6"/>
  <c r="F1253" i="6"/>
  <c r="C1253" i="6"/>
  <c r="D1253" i="6" s="1"/>
  <c r="E1253" i="6" s="1"/>
  <c r="J1252" i="6"/>
  <c r="I1252" i="6"/>
  <c r="G1252" i="6"/>
  <c r="F1252" i="6"/>
  <c r="C1252" i="6"/>
  <c r="D1252" i="6" s="1"/>
  <c r="E1252" i="6" s="1"/>
  <c r="J1251" i="6"/>
  <c r="I1251" i="6"/>
  <c r="G1251" i="6"/>
  <c r="F1251" i="6"/>
  <c r="C1251" i="6"/>
  <c r="D1251" i="6" s="1"/>
  <c r="E1251" i="6" s="1"/>
  <c r="J1250" i="6"/>
  <c r="I1250" i="6"/>
  <c r="G1250" i="6"/>
  <c r="F1250" i="6"/>
  <c r="C1250" i="6"/>
  <c r="D1250" i="6" s="1"/>
  <c r="E1250" i="6" s="1"/>
  <c r="J1249" i="6"/>
  <c r="I1249" i="6"/>
  <c r="G1249" i="6"/>
  <c r="F1249" i="6"/>
  <c r="C1249" i="6"/>
  <c r="D1249" i="6" s="1"/>
  <c r="E1249" i="6" s="1"/>
  <c r="J1248" i="6"/>
  <c r="I1248" i="6"/>
  <c r="G1248" i="6"/>
  <c r="F1248" i="6"/>
  <c r="C1248" i="6"/>
  <c r="D1248" i="6" s="1"/>
  <c r="E1248" i="6" s="1"/>
  <c r="J1247" i="6"/>
  <c r="I1247" i="6"/>
  <c r="G1247" i="6"/>
  <c r="F1247" i="6"/>
  <c r="C1247" i="6"/>
  <c r="D1247" i="6" s="1"/>
  <c r="E1247" i="6" s="1"/>
  <c r="J1246" i="6"/>
  <c r="I1246" i="6"/>
  <c r="G1246" i="6"/>
  <c r="F1246" i="6"/>
  <c r="C1246" i="6"/>
  <c r="D1246" i="6" s="1"/>
  <c r="E1246" i="6" s="1"/>
  <c r="J1245" i="6"/>
  <c r="I1245" i="6"/>
  <c r="G1245" i="6"/>
  <c r="F1245" i="6"/>
  <c r="C1245" i="6"/>
  <c r="D1245" i="6" s="1"/>
  <c r="E1245" i="6" s="1"/>
  <c r="J1244" i="6"/>
  <c r="I1244" i="6"/>
  <c r="G1244" i="6"/>
  <c r="F1244" i="6"/>
  <c r="C1244" i="6"/>
  <c r="D1244" i="6" s="1"/>
  <c r="E1244" i="6" s="1"/>
  <c r="J1243" i="6"/>
  <c r="I1243" i="6"/>
  <c r="G1243" i="6"/>
  <c r="F1243" i="6"/>
  <c r="C1243" i="6"/>
  <c r="D1243" i="6" s="1"/>
  <c r="E1243" i="6" s="1"/>
  <c r="J1242" i="6"/>
  <c r="I1242" i="6"/>
  <c r="G1242" i="6"/>
  <c r="F1242" i="6"/>
  <c r="C1242" i="6"/>
  <c r="D1242" i="6" s="1"/>
  <c r="E1242" i="6" s="1"/>
  <c r="J1241" i="6"/>
  <c r="I1241" i="6"/>
  <c r="G1241" i="6"/>
  <c r="F1241" i="6"/>
  <c r="C1241" i="6"/>
  <c r="D1241" i="6" s="1"/>
  <c r="E1241" i="6" s="1"/>
  <c r="J1240" i="6"/>
  <c r="I1240" i="6"/>
  <c r="G1240" i="6"/>
  <c r="F1240" i="6"/>
  <c r="C1240" i="6"/>
  <c r="D1240" i="6" s="1"/>
  <c r="E1240" i="6" s="1"/>
  <c r="J1239" i="6"/>
  <c r="I1239" i="6"/>
  <c r="G1239" i="6"/>
  <c r="F1239" i="6"/>
  <c r="C1239" i="6"/>
  <c r="D1239" i="6" s="1"/>
  <c r="E1239" i="6" s="1"/>
  <c r="J1238" i="6"/>
  <c r="I1238" i="6"/>
  <c r="G1238" i="6"/>
  <c r="F1238" i="6"/>
  <c r="C1238" i="6"/>
  <c r="D1238" i="6" s="1"/>
  <c r="E1238" i="6" s="1"/>
  <c r="J1237" i="6"/>
  <c r="I1237" i="6"/>
  <c r="G1237" i="6"/>
  <c r="F1237" i="6"/>
  <c r="C1237" i="6"/>
  <c r="D1237" i="6" s="1"/>
  <c r="E1237" i="6" s="1"/>
  <c r="J1236" i="6"/>
  <c r="I1236" i="6"/>
  <c r="G1236" i="6"/>
  <c r="F1236" i="6"/>
  <c r="C1236" i="6"/>
  <c r="D1236" i="6" s="1"/>
  <c r="E1236" i="6" s="1"/>
  <c r="J1235" i="6"/>
  <c r="I1235" i="6"/>
  <c r="G1235" i="6"/>
  <c r="F1235" i="6"/>
  <c r="C1235" i="6"/>
  <c r="D1235" i="6" s="1"/>
  <c r="E1235" i="6" s="1"/>
  <c r="J1234" i="6"/>
  <c r="I1234" i="6"/>
  <c r="G1234" i="6"/>
  <c r="F1234" i="6"/>
  <c r="C1234" i="6"/>
  <c r="D1234" i="6" s="1"/>
  <c r="E1234" i="6" s="1"/>
  <c r="J1233" i="6"/>
  <c r="I1233" i="6"/>
  <c r="G1233" i="6"/>
  <c r="F1233" i="6"/>
  <c r="C1233" i="6"/>
  <c r="D1233" i="6" s="1"/>
  <c r="E1233" i="6" s="1"/>
  <c r="J1232" i="6"/>
  <c r="I1232" i="6"/>
  <c r="G1232" i="6"/>
  <c r="F1232" i="6"/>
  <c r="C1232" i="6"/>
  <c r="D1232" i="6" s="1"/>
  <c r="E1232" i="6" s="1"/>
  <c r="J1231" i="6"/>
  <c r="I1231" i="6"/>
  <c r="G1231" i="6"/>
  <c r="F1231" i="6"/>
  <c r="C1231" i="6"/>
  <c r="D1231" i="6" s="1"/>
  <c r="E1231" i="6" s="1"/>
  <c r="J1230" i="6"/>
  <c r="I1230" i="6"/>
  <c r="G1230" i="6"/>
  <c r="F1230" i="6"/>
  <c r="C1230" i="6"/>
  <c r="D1230" i="6" s="1"/>
  <c r="E1230" i="6" s="1"/>
  <c r="J1229" i="6"/>
  <c r="I1229" i="6"/>
  <c r="G1229" i="6"/>
  <c r="F1229" i="6"/>
  <c r="C1229" i="6"/>
  <c r="D1229" i="6" s="1"/>
  <c r="E1229" i="6" s="1"/>
  <c r="J1228" i="6"/>
  <c r="I1228" i="6"/>
  <c r="G1228" i="6"/>
  <c r="F1228" i="6"/>
  <c r="C1228" i="6"/>
  <c r="D1228" i="6" s="1"/>
  <c r="E1228" i="6" s="1"/>
  <c r="J1227" i="6"/>
  <c r="I1227" i="6"/>
  <c r="G1227" i="6"/>
  <c r="F1227" i="6"/>
  <c r="C1227" i="6"/>
  <c r="D1227" i="6" s="1"/>
  <c r="E1227" i="6" s="1"/>
  <c r="J1226" i="6"/>
  <c r="I1226" i="6"/>
  <c r="G1226" i="6"/>
  <c r="F1226" i="6"/>
  <c r="C1226" i="6"/>
  <c r="D1226" i="6" s="1"/>
  <c r="E1226" i="6" s="1"/>
  <c r="J1225" i="6"/>
  <c r="I1225" i="6"/>
  <c r="G1225" i="6"/>
  <c r="F1225" i="6"/>
  <c r="C1225" i="6"/>
  <c r="D1225" i="6" s="1"/>
  <c r="E1225" i="6" s="1"/>
  <c r="J1224" i="6"/>
  <c r="I1224" i="6"/>
  <c r="G1224" i="6"/>
  <c r="F1224" i="6"/>
  <c r="C1224" i="6"/>
  <c r="D1224" i="6" s="1"/>
  <c r="E1224" i="6" s="1"/>
  <c r="J1223" i="6"/>
  <c r="I1223" i="6"/>
  <c r="G1223" i="6"/>
  <c r="F1223" i="6"/>
  <c r="C1223" i="6"/>
  <c r="D1223" i="6" s="1"/>
  <c r="E1223" i="6" s="1"/>
  <c r="J1222" i="6"/>
  <c r="I1222" i="6"/>
  <c r="G1222" i="6"/>
  <c r="F1222" i="6"/>
  <c r="C1222" i="6"/>
  <c r="D1222" i="6" s="1"/>
  <c r="E1222" i="6" s="1"/>
  <c r="J1221" i="6"/>
  <c r="I1221" i="6"/>
  <c r="G1221" i="6"/>
  <c r="F1221" i="6"/>
  <c r="C1221" i="6"/>
  <c r="D1221" i="6" s="1"/>
  <c r="E1221" i="6" s="1"/>
  <c r="J1220" i="6"/>
  <c r="I1220" i="6"/>
  <c r="G1220" i="6"/>
  <c r="F1220" i="6"/>
  <c r="C1220" i="6"/>
  <c r="D1220" i="6" s="1"/>
  <c r="E1220" i="6" s="1"/>
  <c r="J1219" i="6"/>
  <c r="I1219" i="6"/>
  <c r="G1219" i="6"/>
  <c r="F1219" i="6"/>
  <c r="C1219" i="6"/>
  <c r="D1219" i="6" s="1"/>
  <c r="E1219" i="6" s="1"/>
  <c r="J1218" i="6"/>
  <c r="I1218" i="6"/>
  <c r="G1218" i="6"/>
  <c r="F1218" i="6"/>
  <c r="C1218" i="6"/>
  <c r="D1218" i="6" s="1"/>
  <c r="E1218" i="6" s="1"/>
  <c r="J1217" i="6"/>
  <c r="I1217" i="6"/>
  <c r="G1217" i="6"/>
  <c r="F1217" i="6"/>
  <c r="C1217" i="6"/>
  <c r="D1217" i="6" s="1"/>
  <c r="E1217" i="6" s="1"/>
  <c r="J1216" i="6"/>
  <c r="I1216" i="6"/>
  <c r="G1216" i="6"/>
  <c r="F1216" i="6"/>
  <c r="C1216" i="6"/>
  <c r="D1216" i="6" s="1"/>
  <c r="E1216" i="6" s="1"/>
  <c r="J1215" i="6"/>
  <c r="I1215" i="6"/>
  <c r="G1215" i="6"/>
  <c r="F1215" i="6"/>
  <c r="C1215" i="6"/>
  <c r="D1215" i="6" s="1"/>
  <c r="E1215" i="6" s="1"/>
  <c r="J1214" i="6"/>
  <c r="I1214" i="6"/>
  <c r="G1214" i="6"/>
  <c r="F1214" i="6"/>
  <c r="C1214" i="6"/>
  <c r="D1214" i="6" s="1"/>
  <c r="E1214" i="6" s="1"/>
  <c r="J1213" i="6"/>
  <c r="I1213" i="6"/>
  <c r="G1213" i="6"/>
  <c r="F1213" i="6"/>
  <c r="C1213" i="6"/>
  <c r="D1213" i="6" s="1"/>
  <c r="E1213" i="6" s="1"/>
  <c r="J1212" i="6"/>
  <c r="I1212" i="6"/>
  <c r="G1212" i="6"/>
  <c r="F1212" i="6"/>
  <c r="C1212" i="6"/>
  <c r="D1212" i="6" s="1"/>
  <c r="E1212" i="6" s="1"/>
  <c r="J1211" i="6"/>
  <c r="I1211" i="6"/>
  <c r="G1211" i="6"/>
  <c r="F1211" i="6"/>
  <c r="C1211" i="6"/>
  <c r="D1211" i="6" s="1"/>
  <c r="E1211" i="6" s="1"/>
  <c r="J1210" i="6"/>
  <c r="I1210" i="6"/>
  <c r="G1210" i="6"/>
  <c r="F1210" i="6"/>
  <c r="C1210" i="6"/>
  <c r="D1210" i="6" s="1"/>
  <c r="E1210" i="6" s="1"/>
  <c r="J1209" i="6"/>
  <c r="I1209" i="6"/>
  <c r="G1209" i="6"/>
  <c r="F1209" i="6"/>
  <c r="C1209" i="6"/>
  <c r="D1209" i="6" s="1"/>
  <c r="E1209" i="6" s="1"/>
  <c r="J1208" i="6"/>
  <c r="I1208" i="6"/>
  <c r="G1208" i="6"/>
  <c r="F1208" i="6"/>
  <c r="C1208" i="6"/>
  <c r="D1208" i="6" s="1"/>
  <c r="E1208" i="6" s="1"/>
  <c r="J1207" i="6"/>
  <c r="I1207" i="6"/>
  <c r="G1207" i="6"/>
  <c r="F1207" i="6"/>
  <c r="C1207" i="6"/>
  <c r="D1207" i="6" s="1"/>
  <c r="E1207" i="6" s="1"/>
  <c r="J1206" i="6"/>
  <c r="I1206" i="6"/>
  <c r="G1206" i="6"/>
  <c r="F1206" i="6"/>
  <c r="C1206" i="6"/>
  <c r="D1206" i="6" s="1"/>
  <c r="E1206" i="6" s="1"/>
  <c r="J1205" i="6"/>
  <c r="I1205" i="6"/>
  <c r="G1205" i="6"/>
  <c r="F1205" i="6"/>
  <c r="C1205" i="6"/>
  <c r="D1205" i="6" s="1"/>
  <c r="E1205" i="6" s="1"/>
  <c r="J1204" i="6"/>
  <c r="I1204" i="6"/>
  <c r="G1204" i="6"/>
  <c r="F1204" i="6"/>
  <c r="C1204" i="6"/>
  <c r="D1204" i="6" s="1"/>
  <c r="E1204" i="6" s="1"/>
  <c r="J1203" i="6"/>
  <c r="I1203" i="6"/>
  <c r="G1203" i="6"/>
  <c r="F1203" i="6"/>
  <c r="C1203" i="6"/>
  <c r="D1203" i="6" s="1"/>
  <c r="E1203" i="6" s="1"/>
  <c r="J1202" i="6"/>
  <c r="I1202" i="6"/>
  <c r="G1202" i="6"/>
  <c r="F1202" i="6"/>
  <c r="C1202" i="6"/>
  <c r="D1202" i="6" s="1"/>
  <c r="E1202" i="6" s="1"/>
  <c r="J1201" i="6"/>
  <c r="I1201" i="6"/>
  <c r="G1201" i="6"/>
  <c r="F1201" i="6"/>
  <c r="C1201" i="6"/>
  <c r="D1201" i="6" s="1"/>
  <c r="E1201" i="6" s="1"/>
  <c r="J1200" i="6"/>
  <c r="I1200" i="6"/>
  <c r="G1200" i="6"/>
  <c r="F1200" i="6"/>
  <c r="C1200" i="6"/>
  <c r="D1200" i="6" s="1"/>
  <c r="E1200" i="6" s="1"/>
  <c r="J1199" i="6"/>
  <c r="I1199" i="6"/>
  <c r="G1199" i="6"/>
  <c r="F1199" i="6"/>
  <c r="C1199" i="6"/>
  <c r="D1199" i="6" s="1"/>
  <c r="E1199" i="6" s="1"/>
  <c r="J1198" i="6"/>
  <c r="I1198" i="6"/>
  <c r="G1198" i="6"/>
  <c r="F1198" i="6"/>
  <c r="C1198" i="6"/>
  <c r="D1198" i="6" s="1"/>
  <c r="E1198" i="6" s="1"/>
  <c r="J1197" i="6"/>
  <c r="I1197" i="6"/>
  <c r="G1197" i="6"/>
  <c r="F1197" i="6"/>
  <c r="C1197" i="6"/>
  <c r="D1197" i="6" s="1"/>
  <c r="E1197" i="6" s="1"/>
  <c r="J1196" i="6"/>
  <c r="I1196" i="6"/>
  <c r="G1196" i="6"/>
  <c r="F1196" i="6"/>
  <c r="C1196" i="6"/>
  <c r="D1196" i="6" s="1"/>
  <c r="E1196" i="6" s="1"/>
  <c r="J1195" i="6"/>
  <c r="I1195" i="6"/>
  <c r="G1195" i="6"/>
  <c r="F1195" i="6"/>
  <c r="C1195" i="6"/>
  <c r="D1195" i="6" s="1"/>
  <c r="E1195" i="6" s="1"/>
  <c r="J1194" i="6"/>
  <c r="I1194" i="6"/>
  <c r="G1194" i="6"/>
  <c r="F1194" i="6"/>
  <c r="C1194" i="6"/>
  <c r="D1194" i="6" s="1"/>
  <c r="E1194" i="6" s="1"/>
  <c r="J1193" i="6"/>
  <c r="I1193" i="6"/>
  <c r="G1193" i="6"/>
  <c r="F1193" i="6"/>
  <c r="C1193" i="6"/>
  <c r="D1193" i="6" s="1"/>
  <c r="E1193" i="6" s="1"/>
  <c r="J1192" i="6"/>
  <c r="I1192" i="6"/>
  <c r="G1192" i="6"/>
  <c r="F1192" i="6"/>
  <c r="C1192" i="6"/>
  <c r="D1192" i="6" s="1"/>
  <c r="E1192" i="6" s="1"/>
  <c r="J1191" i="6"/>
  <c r="I1191" i="6"/>
  <c r="G1191" i="6"/>
  <c r="F1191" i="6"/>
  <c r="C1191" i="6"/>
  <c r="D1191" i="6" s="1"/>
  <c r="E1191" i="6" s="1"/>
  <c r="J1190" i="6"/>
  <c r="I1190" i="6"/>
  <c r="G1190" i="6"/>
  <c r="F1190" i="6"/>
  <c r="C1190" i="6"/>
  <c r="D1190" i="6" s="1"/>
  <c r="E1190" i="6" s="1"/>
  <c r="J1189" i="6"/>
  <c r="I1189" i="6"/>
  <c r="G1189" i="6"/>
  <c r="F1189" i="6"/>
  <c r="C1189" i="6"/>
  <c r="D1189" i="6" s="1"/>
  <c r="E1189" i="6" s="1"/>
  <c r="J1188" i="6"/>
  <c r="I1188" i="6"/>
  <c r="G1188" i="6"/>
  <c r="F1188" i="6"/>
  <c r="C1188" i="6"/>
  <c r="D1188" i="6" s="1"/>
  <c r="E1188" i="6" s="1"/>
  <c r="J1187" i="6"/>
  <c r="I1187" i="6"/>
  <c r="G1187" i="6"/>
  <c r="F1187" i="6"/>
  <c r="C1187" i="6"/>
  <c r="D1187" i="6" s="1"/>
  <c r="E1187" i="6" s="1"/>
  <c r="J1186" i="6"/>
  <c r="I1186" i="6"/>
  <c r="G1186" i="6"/>
  <c r="F1186" i="6"/>
  <c r="C1186" i="6"/>
  <c r="D1186" i="6" s="1"/>
  <c r="E1186" i="6" s="1"/>
  <c r="J1185" i="6"/>
  <c r="I1185" i="6"/>
  <c r="G1185" i="6"/>
  <c r="F1185" i="6"/>
  <c r="C1185" i="6"/>
  <c r="D1185" i="6" s="1"/>
  <c r="E1185" i="6" s="1"/>
  <c r="J1184" i="6"/>
  <c r="I1184" i="6"/>
  <c r="G1184" i="6"/>
  <c r="F1184" i="6"/>
  <c r="C1184" i="6"/>
  <c r="D1184" i="6" s="1"/>
  <c r="E1184" i="6" s="1"/>
  <c r="J1183" i="6"/>
  <c r="I1183" i="6"/>
  <c r="G1183" i="6"/>
  <c r="F1183" i="6"/>
  <c r="C1183" i="6"/>
  <c r="D1183" i="6" s="1"/>
  <c r="E1183" i="6" s="1"/>
  <c r="J1182" i="6"/>
  <c r="I1182" i="6"/>
  <c r="G1182" i="6"/>
  <c r="F1182" i="6"/>
  <c r="C1182" i="6"/>
  <c r="D1182" i="6" s="1"/>
  <c r="E1182" i="6" s="1"/>
  <c r="J1181" i="6"/>
  <c r="I1181" i="6"/>
  <c r="G1181" i="6"/>
  <c r="F1181" i="6"/>
  <c r="C1181" i="6"/>
  <c r="D1181" i="6" s="1"/>
  <c r="E1181" i="6" s="1"/>
  <c r="J1180" i="6"/>
  <c r="I1180" i="6"/>
  <c r="G1180" i="6"/>
  <c r="F1180" i="6"/>
  <c r="C1180" i="6"/>
  <c r="D1180" i="6" s="1"/>
  <c r="E1180" i="6" s="1"/>
  <c r="J1179" i="6"/>
  <c r="I1179" i="6"/>
  <c r="G1179" i="6"/>
  <c r="F1179" i="6"/>
  <c r="C1179" i="6"/>
  <c r="D1179" i="6" s="1"/>
  <c r="E1179" i="6" s="1"/>
  <c r="J1178" i="6"/>
  <c r="I1178" i="6"/>
  <c r="G1178" i="6"/>
  <c r="F1178" i="6"/>
  <c r="C1178" i="6"/>
  <c r="D1178" i="6" s="1"/>
  <c r="E1178" i="6" s="1"/>
  <c r="J1177" i="6"/>
  <c r="I1177" i="6"/>
  <c r="G1177" i="6"/>
  <c r="F1177" i="6"/>
  <c r="C1177" i="6"/>
  <c r="D1177" i="6" s="1"/>
  <c r="E1177" i="6" s="1"/>
  <c r="J1176" i="6"/>
  <c r="I1176" i="6"/>
  <c r="G1176" i="6"/>
  <c r="F1176" i="6"/>
  <c r="C1176" i="6"/>
  <c r="D1176" i="6" s="1"/>
  <c r="E1176" i="6" s="1"/>
  <c r="J1175" i="6"/>
  <c r="I1175" i="6"/>
  <c r="G1175" i="6"/>
  <c r="F1175" i="6"/>
  <c r="C1175" i="6"/>
  <c r="D1175" i="6" s="1"/>
  <c r="E1175" i="6" s="1"/>
  <c r="J1174" i="6"/>
  <c r="I1174" i="6"/>
  <c r="G1174" i="6"/>
  <c r="F1174" i="6"/>
  <c r="C1174" i="6"/>
  <c r="D1174" i="6" s="1"/>
  <c r="E1174" i="6" s="1"/>
  <c r="J1173" i="6"/>
  <c r="I1173" i="6"/>
  <c r="G1173" i="6"/>
  <c r="F1173" i="6"/>
  <c r="C1173" i="6"/>
  <c r="D1173" i="6" s="1"/>
  <c r="E1173" i="6" s="1"/>
  <c r="J1172" i="6"/>
  <c r="I1172" i="6"/>
  <c r="G1172" i="6"/>
  <c r="F1172" i="6"/>
  <c r="C1172" i="6"/>
  <c r="D1172" i="6" s="1"/>
  <c r="E1172" i="6" s="1"/>
  <c r="J1171" i="6"/>
  <c r="I1171" i="6"/>
  <c r="G1171" i="6"/>
  <c r="F1171" i="6"/>
  <c r="C1171" i="6"/>
  <c r="D1171" i="6" s="1"/>
  <c r="E1171" i="6" s="1"/>
  <c r="J1170" i="6"/>
  <c r="I1170" i="6"/>
  <c r="G1170" i="6"/>
  <c r="F1170" i="6"/>
  <c r="C1170" i="6"/>
  <c r="D1170" i="6" s="1"/>
  <c r="E1170" i="6" s="1"/>
  <c r="J1169" i="6"/>
  <c r="I1169" i="6"/>
  <c r="G1169" i="6"/>
  <c r="F1169" i="6"/>
  <c r="C1169" i="6"/>
  <c r="D1169" i="6" s="1"/>
  <c r="E1169" i="6" s="1"/>
  <c r="J1168" i="6"/>
  <c r="I1168" i="6"/>
  <c r="G1168" i="6"/>
  <c r="F1168" i="6"/>
  <c r="C1168" i="6"/>
  <c r="D1168" i="6" s="1"/>
  <c r="E1168" i="6" s="1"/>
  <c r="J1167" i="6"/>
  <c r="I1167" i="6"/>
  <c r="G1167" i="6"/>
  <c r="F1167" i="6"/>
  <c r="C1167" i="6"/>
  <c r="D1167" i="6" s="1"/>
  <c r="E1167" i="6" s="1"/>
  <c r="J1166" i="6"/>
  <c r="I1166" i="6"/>
  <c r="G1166" i="6"/>
  <c r="F1166" i="6"/>
  <c r="C1166" i="6"/>
  <c r="D1166" i="6" s="1"/>
  <c r="E1166" i="6" s="1"/>
  <c r="J1165" i="6"/>
  <c r="I1165" i="6"/>
  <c r="G1165" i="6"/>
  <c r="F1165" i="6"/>
  <c r="C1165" i="6"/>
  <c r="D1165" i="6" s="1"/>
  <c r="E1165" i="6" s="1"/>
  <c r="J1164" i="6"/>
  <c r="I1164" i="6"/>
  <c r="G1164" i="6"/>
  <c r="F1164" i="6"/>
  <c r="C1164" i="6"/>
  <c r="D1164" i="6" s="1"/>
  <c r="E1164" i="6" s="1"/>
  <c r="J1163" i="6"/>
  <c r="I1163" i="6"/>
  <c r="G1163" i="6"/>
  <c r="F1163" i="6"/>
  <c r="C1163" i="6"/>
  <c r="D1163" i="6" s="1"/>
  <c r="E1163" i="6" s="1"/>
  <c r="J1162" i="6"/>
  <c r="I1162" i="6"/>
  <c r="G1162" i="6"/>
  <c r="F1162" i="6"/>
  <c r="C1162" i="6"/>
  <c r="D1162" i="6" s="1"/>
  <c r="E1162" i="6" s="1"/>
  <c r="J1161" i="6"/>
  <c r="I1161" i="6"/>
  <c r="G1161" i="6"/>
  <c r="F1161" i="6"/>
  <c r="C1161" i="6"/>
  <c r="D1161" i="6" s="1"/>
  <c r="E1161" i="6" s="1"/>
  <c r="J1160" i="6"/>
  <c r="I1160" i="6"/>
  <c r="G1160" i="6"/>
  <c r="F1160" i="6"/>
  <c r="C1160" i="6"/>
  <c r="D1160" i="6" s="1"/>
  <c r="E1160" i="6" s="1"/>
  <c r="J1159" i="6"/>
  <c r="I1159" i="6"/>
  <c r="G1159" i="6"/>
  <c r="F1159" i="6"/>
  <c r="C1159" i="6"/>
  <c r="D1159" i="6" s="1"/>
  <c r="E1159" i="6" s="1"/>
  <c r="J1158" i="6"/>
  <c r="I1158" i="6"/>
  <c r="G1158" i="6"/>
  <c r="F1158" i="6"/>
  <c r="C1158" i="6"/>
  <c r="D1158" i="6" s="1"/>
  <c r="E1158" i="6" s="1"/>
  <c r="J1157" i="6"/>
  <c r="I1157" i="6"/>
  <c r="G1157" i="6"/>
  <c r="F1157" i="6"/>
  <c r="C1157" i="6"/>
  <c r="D1157" i="6" s="1"/>
  <c r="E1157" i="6" s="1"/>
  <c r="J1156" i="6"/>
  <c r="I1156" i="6"/>
  <c r="G1156" i="6"/>
  <c r="F1156" i="6"/>
  <c r="C1156" i="6"/>
  <c r="D1156" i="6" s="1"/>
  <c r="E1156" i="6" s="1"/>
  <c r="J1155" i="6"/>
  <c r="I1155" i="6"/>
  <c r="G1155" i="6"/>
  <c r="F1155" i="6"/>
  <c r="C1155" i="6"/>
  <c r="D1155" i="6" s="1"/>
  <c r="E1155" i="6" s="1"/>
  <c r="J1154" i="6"/>
  <c r="I1154" i="6"/>
  <c r="G1154" i="6"/>
  <c r="F1154" i="6"/>
  <c r="C1154" i="6"/>
  <c r="D1154" i="6" s="1"/>
  <c r="E1154" i="6" s="1"/>
  <c r="J1153" i="6"/>
  <c r="I1153" i="6"/>
  <c r="G1153" i="6"/>
  <c r="F1153" i="6"/>
  <c r="C1153" i="6"/>
  <c r="D1153" i="6" s="1"/>
  <c r="E1153" i="6" s="1"/>
  <c r="J1152" i="6"/>
  <c r="I1152" i="6"/>
  <c r="G1152" i="6"/>
  <c r="F1152" i="6"/>
  <c r="H1152" i="6" s="1"/>
  <c r="C1152" i="6"/>
  <c r="D1152" i="6" s="1"/>
  <c r="E1152" i="6" s="1"/>
  <c r="J1151" i="6"/>
  <c r="I1151" i="6"/>
  <c r="G1151" i="6"/>
  <c r="F1151" i="6"/>
  <c r="C1151" i="6"/>
  <c r="D1151" i="6" s="1"/>
  <c r="E1151" i="6" s="1"/>
  <c r="J1150" i="6"/>
  <c r="I1150" i="6"/>
  <c r="G1150" i="6"/>
  <c r="F1150" i="6"/>
  <c r="C1150" i="6"/>
  <c r="D1150" i="6" s="1"/>
  <c r="E1150" i="6" s="1"/>
  <c r="J1149" i="6"/>
  <c r="I1149" i="6"/>
  <c r="G1149" i="6"/>
  <c r="F1149" i="6"/>
  <c r="C1149" i="6"/>
  <c r="D1149" i="6" s="1"/>
  <c r="E1149" i="6" s="1"/>
  <c r="J1148" i="6"/>
  <c r="I1148" i="6"/>
  <c r="G1148" i="6"/>
  <c r="F1148" i="6"/>
  <c r="C1148" i="6"/>
  <c r="D1148" i="6" s="1"/>
  <c r="E1148" i="6" s="1"/>
  <c r="J1147" i="6"/>
  <c r="I1147" i="6"/>
  <c r="G1147" i="6"/>
  <c r="F1147" i="6"/>
  <c r="C1147" i="6"/>
  <c r="D1147" i="6" s="1"/>
  <c r="E1147" i="6" s="1"/>
  <c r="J1146" i="6"/>
  <c r="I1146" i="6"/>
  <c r="G1146" i="6"/>
  <c r="F1146" i="6"/>
  <c r="C1146" i="6"/>
  <c r="D1146" i="6" s="1"/>
  <c r="E1146" i="6" s="1"/>
  <c r="J1145" i="6"/>
  <c r="I1145" i="6"/>
  <c r="G1145" i="6"/>
  <c r="F1145" i="6"/>
  <c r="C1145" i="6"/>
  <c r="D1145" i="6" s="1"/>
  <c r="E1145" i="6" s="1"/>
  <c r="J1144" i="6"/>
  <c r="I1144" i="6"/>
  <c r="G1144" i="6"/>
  <c r="F1144" i="6"/>
  <c r="C1144" i="6"/>
  <c r="D1144" i="6" s="1"/>
  <c r="E1144" i="6" s="1"/>
  <c r="J1143" i="6"/>
  <c r="I1143" i="6"/>
  <c r="G1143" i="6"/>
  <c r="F1143" i="6"/>
  <c r="C1143" i="6"/>
  <c r="D1143" i="6" s="1"/>
  <c r="E1143" i="6" s="1"/>
  <c r="J1142" i="6"/>
  <c r="I1142" i="6"/>
  <c r="G1142" i="6"/>
  <c r="F1142" i="6"/>
  <c r="C1142" i="6"/>
  <c r="D1142" i="6" s="1"/>
  <c r="E1142" i="6" s="1"/>
  <c r="J1141" i="6"/>
  <c r="I1141" i="6"/>
  <c r="G1141" i="6"/>
  <c r="F1141" i="6"/>
  <c r="C1141" i="6"/>
  <c r="D1141" i="6" s="1"/>
  <c r="E1141" i="6" s="1"/>
  <c r="J1140" i="6"/>
  <c r="I1140" i="6"/>
  <c r="G1140" i="6"/>
  <c r="F1140" i="6"/>
  <c r="C1140" i="6"/>
  <c r="D1140" i="6" s="1"/>
  <c r="E1140" i="6" s="1"/>
  <c r="J1139" i="6"/>
  <c r="I1139" i="6"/>
  <c r="G1139" i="6"/>
  <c r="F1139" i="6"/>
  <c r="C1139" i="6"/>
  <c r="D1139" i="6" s="1"/>
  <c r="E1139" i="6" s="1"/>
  <c r="J1138" i="6"/>
  <c r="I1138" i="6"/>
  <c r="G1138" i="6"/>
  <c r="F1138" i="6"/>
  <c r="C1138" i="6"/>
  <c r="D1138" i="6" s="1"/>
  <c r="E1138" i="6" s="1"/>
  <c r="J1137" i="6"/>
  <c r="I1137" i="6"/>
  <c r="G1137" i="6"/>
  <c r="F1137" i="6"/>
  <c r="C1137" i="6"/>
  <c r="D1137" i="6" s="1"/>
  <c r="E1137" i="6" s="1"/>
  <c r="J1136" i="6"/>
  <c r="I1136" i="6"/>
  <c r="G1136" i="6"/>
  <c r="F1136" i="6"/>
  <c r="C1136" i="6"/>
  <c r="D1136" i="6" s="1"/>
  <c r="E1136" i="6" s="1"/>
  <c r="J1135" i="6"/>
  <c r="I1135" i="6"/>
  <c r="G1135" i="6"/>
  <c r="F1135" i="6"/>
  <c r="C1135" i="6"/>
  <c r="D1135" i="6" s="1"/>
  <c r="E1135" i="6" s="1"/>
  <c r="J1134" i="6"/>
  <c r="I1134" i="6"/>
  <c r="G1134" i="6"/>
  <c r="F1134" i="6"/>
  <c r="C1134" i="6"/>
  <c r="D1134" i="6" s="1"/>
  <c r="E1134" i="6" s="1"/>
  <c r="J1133" i="6"/>
  <c r="I1133" i="6"/>
  <c r="G1133" i="6"/>
  <c r="F1133" i="6"/>
  <c r="C1133" i="6"/>
  <c r="D1133" i="6" s="1"/>
  <c r="E1133" i="6" s="1"/>
  <c r="J1132" i="6"/>
  <c r="I1132" i="6"/>
  <c r="G1132" i="6"/>
  <c r="F1132" i="6"/>
  <c r="C1132" i="6"/>
  <c r="D1132" i="6" s="1"/>
  <c r="E1132" i="6" s="1"/>
  <c r="J1131" i="6"/>
  <c r="I1131" i="6"/>
  <c r="G1131" i="6"/>
  <c r="F1131" i="6"/>
  <c r="C1131" i="6"/>
  <c r="D1131" i="6" s="1"/>
  <c r="E1131" i="6" s="1"/>
  <c r="J1130" i="6"/>
  <c r="I1130" i="6"/>
  <c r="G1130" i="6"/>
  <c r="F1130" i="6"/>
  <c r="C1130" i="6"/>
  <c r="D1130" i="6" s="1"/>
  <c r="E1130" i="6" s="1"/>
  <c r="J1129" i="6"/>
  <c r="I1129" i="6"/>
  <c r="G1129" i="6"/>
  <c r="F1129" i="6"/>
  <c r="C1129" i="6"/>
  <c r="D1129" i="6" s="1"/>
  <c r="E1129" i="6" s="1"/>
  <c r="J1128" i="6"/>
  <c r="I1128" i="6"/>
  <c r="G1128" i="6"/>
  <c r="F1128" i="6"/>
  <c r="C1128" i="6"/>
  <c r="D1128" i="6" s="1"/>
  <c r="E1128" i="6" s="1"/>
  <c r="J1127" i="6"/>
  <c r="I1127" i="6"/>
  <c r="G1127" i="6"/>
  <c r="F1127" i="6"/>
  <c r="C1127" i="6"/>
  <c r="D1127" i="6" s="1"/>
  <c r="E1127" i="6" s="1"/>
  <c r="J1126" i="6"/>
  <c r="I1126" i="6"/>
  <c r="G1126" i="6"/>
  <c r="F1126" i="6"/>
  <c r="C1126" i="6"/>
  <c r="D1126" i="6" s="1"/>
  <c r="E1126" i="6" s="1"/>
  <c r="J1125" i="6"/>
  <c r="I1125" i="6"/>
  <c r="G1125" i="6"/>
  <c r="F1125" i="6"/>
  <c r="C1125" i="6"/>
  <c r="D1125" i="6" s="1"/>
  <c r="E1125" i="6" s="1"/>
  <c r="J1124" i="6"/>
  <c r="I1124" i="6"/>
  <c r="G1124" i="6"/>
  <c r="F1124" i="6"/>
  <c r="C1124" i="6"/>
  <c r="D1124" i="6" s="1"/>
  <c r="E1124" i="6" s="1"/>
  <c r="J1123" i="6"/>
  <c r="I1123" i="6"/>
  <c r="G1123" i="6"/>
  <c r="F1123" i="6"/>
  <c r="C1123" i="6"/>
  <c r="D1123" i="6" s="1"/>
  <c r="E1123" i="6" s="1"/>
  <c r="J1122" i="6"/>
  <c r="I1122" i="6"/>
  <c r="G1122" i="6"/>
  <c r="F1122" i="6"/>
  <c r="C1122" i="6"/>
  <c r="D1122" i="6" s="1"/>
  <c r="E1122" i="6" s="1"/>
  <c r="J1121" i="6"/>
  <c r="I1121" i="6"/>
  <c r="G1121" i="6"/>
  <c r="F1121" i="6"/>
  <c r="C1121" i="6"/>
  <c r="D1121" i="6" s="1"/>
  <c r="E1121" i="6" s="1"/>
  <c r="J1120" i="6"/>
  <c r="I1120" i="6"/>
  <c r="G1120" i="6"/>
  <c r="F1120" i="6"/>
  <c r="C1120" i="6"/>
  <c r="D1120" i="6" s="1"/>
  <c r="E1120" i="6" s="1"/>
  <c r="J1119" i="6"/>
  <c r="I1119" i="6"/>
  <c r="G1119" i="6"/>
  <c r="F1119" i="6"/>
  <c r="C1119" i="6"/>
  <c r="D1119" i="6" s="1"/>
  <c r="E1119" i="6" s="1"/>
  <c r="J1118" i="6"/>
  <c r="I1118" i="6"/>
  <c r="G1118" i="6"/>
  <c r="F1118" i="6"/>
  <c r="C1118" i="6"/>
  <c r="D1118" i="6" s="1"/>
  <c r="E1118" i="6" s="1"/>
  <c r="J1117" i="6"/>
  <c r="I1117" i="6"/>
  <c r="G1117" i="6"/>
  <c r="F1117" i="6"/>
  <c r="C1117" i="6"/>
  <c r="D1117" i="6" s="1"/>
  <c r="E1117" i="6" s="1"/>
  <c r="J1116" i="6"/>
  <c r="I1116" i="6"/>
  <c r="G1116" i="6"/>
  <c r="F1116" i="6"/>
  <c r="C1116" i="6"/>
  <c r="D1116" i="6" s="1"/>
  <c r="E1116" i="6" s="1"/>
  <c r="J1115" i="6"/>
  <c r="I1115" i="6"/>
  <c r="G1115" i="6"/>
  <c r="F1115" i="6"/>
  <c r="C1115" i="6"/>
  <c r="D1115" i="6" s="1"/>
  <c r="E1115" i="6" s="1"/>
  <c r="J1114" i="6"/>
  <c r="I1114" i="6"/>
  <c r="G1114" i="6"/>
  <c r="F1114" i="6"/>
  <c r="C1114" i="6"/>
  <c r="D1114" i="6" s="1"/>
  <c r="E1114" i="6" s="1"/>
  <c r="J1113" i="6"/>
  <c r="I1113" i="6"/>
  <c r="G1113" i="6"/>
  <c r="F1113" i="6"/>
  <c r="C1113" i="6"/>
  <c r="D1113" i="6" s="1"/>
  <c r="E1113" i="6" s="1"/>
  <c r="J1112" i="6"/>
  <c r="I1112" i="6"/>
  <c r="G1112" i="6"/>
  <c r="F1112" i="6"/>
  <c r="C1112" i="6"/>
  <c r="D1112" i="6" s="1"/>
  <c r="E1112" i="6" s="1"/>
  <c r="J1111" i="6"/>
  <c r="I1111" i="6"/>
  <c r="G1111" i="6"/>
  <c r="F1111" i="6"/>
  <c r="C1111" i="6"/>
  <c r="D1111" i="6" s="1"/>
  <c r="E1111" i="6" s="1"/>
  <c r="J1110" i="6"/>
  <c r="I1110" i="6"/>
  <c r="G1110" i="6"/>
  <c r="F1110" i="6"/>
  <c r="C1110" i="6"/>
  <c r="D1110" i="6" s="1"/>
  <c r="E1110" i="6" s="1"/>
  <c r="J1109" i="6"/>
  <c r="I1109" i="6"/>
  <c r="G1109" i="6"/>
  <c r="F1109" i="6"/>
  <c r="C1109" i="6"/>
  <c r="D1109" i="6" s="1"/>
  <c r="E1109" i="6" s="1"/>
  <c r="J1108" i="6"/>
  <c r="I1108" i="6"/>
  <c r="G1108" i="6"/>
  <c r="F1108" i="6"/>
  <c r="C1108" i="6"/>
  <c r="D1108" i="6" s="1"/>
  <c r="E1108" i="6" s="1"/>
  <c r="J1107" i="6"/>
  <c r="I1107" i="6"/>
  <c r="G1107" i="6"/>
  <c r="F1107" i="6"/>
  <c r="C1107" i="6"/>
  <c r="D1107" i="6" s="1"/>
  <c r="E1107" i="6" s="1"/>
  <c r="J1106" i="6"/>
  <c r="I1106" i="6"/>
  <c r="G1106" i="6"/>
  <c r="F1106" i="6"/>
  <c r="C1106" i="6"/>
  <c r="D1106" i="6" s="1"/>
  <c r="E1106" i="6" s="1"/>
  <c r="J1105" i="6"/>
  <c r="I1105" i="6"/>
  <c r="G1105" i="6"/>
  <c r="F1105" i="6"/>
  <c r="C1105" i="6"/>
  <c r="D1105" i="6" s="1"/>
  <c r="E1105" i="6" s="1"/>
  <c r="J1104" i="6"/>
  <c r="I1104" i="6"/>
  <c r="G1104" i="6"/>
  <c r="F1104" i="6"/>
  <c r="C1104" i="6"/>
  <c r="D1104" i="6" s="1"/>
  <c r="E1104" i="6" s="1"/>
  <c r="H1104" i="6" s="1"/>
  <c r="J1103" i="6"/>
  <c r="I1103" i="6"/>
  <c r="G1103" i="6"/>
  <c r="F1103" i="6"/>
  <c r="C1103" i="6"/>
  <c r="D1103" i="6" s="1"/>
  <c r="E1103" i="6" s="1"/>
  <c r="J1102" i="6"/>
  <c r="I1102" i="6"/>
  <c r="G1102" i="6"/>
  <c r="F1102" i="6"/>
  <c r="C1102" i="6"/>
  <c r="D1102" i="6" s="1"/>
  <c r="E1102" i="6" s="1"/>
  <c r="J1101" i="6"/>
  <c r="I1101" i="6"/>
  <c r="G1101" i="6"/>
  <c r="F1101" i="6"/>
  <c r="C1101" i="6"/>
  <c r="D1101" i="6" s="1"/>
  <c r="E1101" i="6" s="1"/>
  <c r="J1100" i="6"/>
  <c r="I1100" i="6"/>
  <c r="G1100" i="6"/>
  <c r="F1100" i="6"/>
  <c r="C1100" i="6"/>
  <c r="D1100" i="6" s="1"/>
  <c r="E1100" i="6" s="1"/>
  <c r="J1099" i="6"/>
  <c r="I1099" i="6"/>
  <c r="G1099" i="6"/>
  <c r="F1099" i="6"/>
  <c r="C1099" i="6"/>
  <c r="D1099" i="6" s="1"/>
  <c r="E1099" i="6" s="1"/>
  <c r="J1098" i="6"/>
  <c r="I1098" i="6"/>
  <c r="G1098" i="6"/>
  <c r="F1098" i="6"/>
  <c r="C1098" i="6"/>
  <c r="D1098" i="6" s="1"/>
  <c r="E1098" i="6" s="1"/>
  <c r="J1097" i="6"/>
  <c r="I1097" i="6"/>
  <c r="G1097" i="6"/>
  <c r="F1097" i="6"/>
  <c r="C1097" i="6"/>
  <c r="D1097" i="6" s="1"/>
  <c r="E1097" i="6" s="1"/>
  <c r="J1096" i="6"/>
  <c r="I1096" i="6"/>
  <c r="G1096" i="6"/>
  <c r="F1096" i="6"/>
  <c r="C1096" i="6"/>
  <c r="D1096" i="6" s="1"/>
  <c r="E1096" i="6" s="1"/>
  <c r="J1095" i="6"/>
  <c r="I1095" i="6"/>
  <c r="G1095" i="6"/>
  <c r="F1095" i="6"/>
  <c r="C1095" i="6"/>
  <c r="D1095" i="6" s="1"/>
  <c r="E1095" i="6" s="1"/>
  <c r="J1094" i="6"/>
  <c r="I1094" i="6"/>
  <c r="G1094" i="6"/>
  <c r="F1094" i="6"/>
  <c r="C1094" i="6"/>
  <c r="D1094" i="6" s="1"/>
  <c r="E1094" i="6" s="1"/>
  <c r="J1093" i="6"/>
  <c r="I1093" i="6"/>
  <c r="G1093" i="6"/>
  <c r="F1093" i="6"/>
  <c r="C1093" i="6"/>
  <c r="D1093" i="6" s="1"/>
  <c r="E1093" i="6" s="1"/>
  <c r="J1092" i="6"/>
  <c r="I1092" i="6"/>
  <c r="G1092" i="6"/>
  <c r="F1092" i="6"/>
  <c r="C1092" i="6"/>
  <c r="D1092" i="6" s="1"/>
  <c r="E1092" i="6" s="1"/>
  <c r="J1091" i="6"/>
  <c r="I1091" i="6"/>
  <c r="G1091" i="6"/>
  <c r="F1091" i="6"/>
  <c r="C1091" i="6"/>
  <c r="D1091" i="6" s="1"/>
  <c r="E1091" i="6" s="1"/>
  <c r="J1090" i="6"/>
  <c r="I1090" i="6"/>
  <c r="G1090" i="6"/>
  <c r="F1090" i="6"/>
  <c r="C1090" i="6"/>
  <c r="D1090" i="6" s="1"/>
  <c r="E1090" i="6" s="1"/>
  <c r="J1089" i="6"/>
  <c r="I1089" i="6"/>
  <c r="G1089" i="6"/>
  <c r="F1089" i="6"/>
  <c r="C1089" i="6"/>
  <c r="D1089" i="6" s="1"/>
  <c r="E1089" i="6" s="1"/>
  <c r="J1088" i="6"/>
  <c r="I1088" i="6"/>
  <c r="G1088" i="6"/>
  <c r="F1088" i="6"/>
  <c r="C1088" i="6"/>
  <c r="D1088" i="6" s="1"/>
  <c r="E1088" i="6" s="1"/>
  <c r="H1088" i="6" s="1"/>
  <c r="J1087" i="6"/>
  <c r="I1087" i="6"/>
  <c r="G1087" i="6"/>
  <c r="F1087" i="6"/>
  <c r="C1087" i="6"/>
  <c r="D1087" i="6" s="1"/>
  <c r="E1087" i="6" s="1"/>
  <c r="J1086" i="6"/>
  <c r="I1086" i="6"/>
  <c r="G1086" i="6"/>
  <c r="F1086" i="6"/>
  <c r="C1086" i="6"/>
  <c r="D1086" i="6" s="1"/>
  <c r="E1086" i="6" s="1"/>
  <c r="J1085" i="6"/>
  <c r="I1085" i="6"/>
  <c r="G1085" i="6"/>
  <c r="F1085" i="6"/>
  <c r="C1085" i="6"/>
  <c r="D1085" i="6" s="1"/>
  <c r="E1085" i="6" s="1"/>
  <c r="J1084" i="6"/>
  <c r="I1084" i="6"/>
  <c r="G1084" i="6"/>
  <c r="F1084" i="6"/>
  <c r="C1084" i="6"/>
  <c r="D1084" i="6" s="1"/>
  <c r="E1084" i="6" s="1"/>
  <c r="J1083" i="6"/>
  <c r="I1083" i="6"/>
  <c r="G1083" i="6"/>
  <c r="F1083" i="6"/>
  <c r="C1083" i="6"/>
  <c r="D1083" i="6" s="1"/>
  <c r="E1083" i="6" s="1"/>
  <c r="J1082" i="6"/>
  <c r="I1082" i="6"/>
  <c r="G1082" i="6"/>
  <c r="F1082" i="6"/>
  <c r="C1082" i="6"/>
  <c r="D1082" i="6" s="1"/>
  <c r="E1082" i="6" s="1"/>
  <c r="J1081" i="6"/>
  <c r="I1081" i="6"/>
  <c r="G1081" i="6"/>
  <c r="F1081" i="6"/>
  <c r="C1081" i="6"/>
  <c r="D1081" i="6" s="1"/>
  <c r="E1081" i="6" s="1"/>
  <c r="J1080" i="6"/>
  <c r="I1080" i="6"/>
  <c r="G1080" i="6"/>
  <c r="F1080" i="6"/>
  <c r="C1080" i="6"/>
  <c r="D1080" i="6" s="1"/>
  <c r="E1080" i="6" s="1"/>
  <c r="J1079" i="6"/>
  <c r="I1079" i="6"/>
  <c r="G1079" i="6"/>
  <c r="F1079" i="6"/>
  <c r="C1079" i="6"/>
  <c r="D1079" i="6" s="1"/>
  <c r="E1079" i="6" s="1"/>
  <c r="J1078" i="6"/>
  <c r="I1078" i="6"/>
  <c r="G1078" i="6"/>
  <c r="F1078" i="6"/>
  <c r="C1078" i="6"/>
  <c r="D1078" i="6" s="1"/>
  <c r="E1078" i="6" s="1"/>
  <c r="J1077" i="6"/>
  <c r="I1077" i="6"/>
  <c r="G1077" i="6"/>
  <c r="F1077" i="6"/>
  <c r="C1077" i="6"/>
  <c r="D1077" i="6" s="1"/>
  <c r="E1077" i="6" s="1"/>
  <c r="J1076" i="6"/>
  <c r="I1076" i="6"/>
  <c r="G1076" i="6"/>
  <c r="F1076" i="6"/>
  <c r="C1076" i="6"/>
  <c r="D1076" i="6" s="1"/>
  <c r="E1076" i="6" s="1"/>
  <c r="J1075" i="6"/>
  <c r="I1075" i="6"/>
  <c r="G1075" i="6"/>
  <c r="F1075" i="6"/>
  <c r="C1075" i="6"/>
  <c r="D1075" i="6" s="1"/>
  <c r="E1075" i="6" s="1"/>
  <c r="J1074" i="6"/>
  <c r="I1074" i="6"/>
  <c r="G1074" i="6"/>
  <c r="F1074" i="6"/>
  <c r="C1074" i="6"/>
  <c r="D1074" i="6" s="1"/>
  <c r="E1074" i="6" s="1"/>
  <c r="J1073" i="6"/>
  <c r="I1073" i="6"/>
  <c r="G1073" i="6"/>
  <c r="F1073" i="6"/>
  <c r="C1073" i="6"/>
  <c r="D1073" i="6" s="1"/>
  <c r="E1073" i="6" s="1"/>
  <c r="J1072" i="6"/>
  <c r="I1072" i="6"/>
  <c r="G1072" i="6"/>
  <c r="F1072" i="6"/>
  <c r="C1072" i="6"/>
  <c r="D1072" i="6" s="1"/>
  <c r="E1072" i="6" s="1"/>
  <c r="J1071" i="6"/>
  <c r="I1071" i="6"/>
  <c r="G1071" i="6"/>
  <c r="F1071" i="6"/>
  <c r="C1071" i="6"/>
  <c r="D1071" i="6" s="1"/>
  <c r="E1071" i="6" s="1"/>
  <c r="J1070" i="6"/>
  <c r="I1070" i="6"/>
  <c r="G1070" i="6"/>
  <c r="F1070" i="6"/>
  <c r="C1070" i="6"/>
  <c r="D1070" i="6" s="1"/>
  <c r="E1070" i="6" s="1"/>
  <c r="J1069" i="6"/>
  <c r="I1069" i="6"/>
  <c r="G1069" i="6"/>
  <c r="F1069" i="6"/>
  <c r="C1069" i="6"/>
  <c r="D1069" i="6" s="1"/>
  <c r="E1069" i="6" s="1"/>
  <c r="J1068" i="6"/>
  <c r="I1068" i="6"/>
  <c r="G1068" i="6"/>
  <c r="F1068" i="6"/>
  <c r="C1068" i="6"/>
  <c r="D1068" i="6" s="1"/>
  <c r="E1068" i="6" s="1"/>
  <c r="J1067" i="6"/>
  <c r="I1067" i="6"/>
  <c r="G1067" i="6"/>
  <c r="F1067" i="6"/>
  <c r="C1067" i="6"/>
  <c r="D1067" i="6" s="1"/>
  <c r="E1067" i="6" s="1"/>
  <c r="J1066" i="6"/>
  <c r="I1066" i="6"/>
  <c r="G1066" i="6"/>
  <c r="F1066" i="6"/>
  <c r="C1066" i="6"/>
  <c r="D1066" i="6" s="1"/>
  <c r="E1066" i="6" s="1"/>
  <c r="J1065" i="6"/>
  <c r="I1065" i="6"/>
  <c r="G1065" i="6"/>
  <c r="F1065" i="6"/>
  <c r="C1065" i="6"/>
  <c r="D1065" i="6" s="1"/>
  <c r="E1065" i="6" s="1"/>
  <c r="J1064" i="6"/>
  <c r="I1064" i="6"/>
  <c r="G1064" i="6"/>
  <c r="F1064" i="6"/>
  <c r="C1064" i="6"/>
  <c r="D1064" i="6" s="1"/>
  <c r="E1064" i="6" s="1"/>
  <c r="J1063" i="6"/>
  <c r="I1063" i="6"/>
  <c r="G1063" i="6"/>
  <c r="F1063" i="6"/>
  <c r="C1063" i="6"/>
  <c r="D1063" i="6" s="1"/>
  <c r="E1063" i="6" s="1"/>
  <c r="J1062" i="6"/>
  <c r="I1062" i="6"/>
  <c r="G1062" i="6"/>
  <c r="F1062" i="6"/>
  <c r="C1062" i="6"/>
  <c r="D1062" i="6" s="1"/>
  <c r="E1062" i="6" s="1"/>
  <c r="J1061" i="6"/>
  <c r="I1061" i="6"/>
  <c r="G1061" i="6"/>
  <c r="F1061" i="6"/>
  <c r="C1061" i="6"/>
  <c r="D1061" i="6" s="1"/>
  <c r="E1061" i="6" s="1"/>
  <c r="J1060" i="6"/>
  <c r="I1060" i="6"/>
  <c r="G1060" i="6"/>
  <c r="F1060" i="6"/>
  <c r="C1060" i="6"/>
  <c r="D1060" i="6" s="1"/>
  <c r="E1060" i="6" s="1"/>
  <c r="J1059" i="6"/>
  <c r="I1059" i="6"/>
  <c r="G1059" i="6"/>
  <c r="F1059" i="6"/>
  <c r="C1059" i="6"/>
  <c r="D1059" i="6" s="1"/>
  <c r="E1059" i="6" s="1"/>
  <c r="J1058" i="6"/>
  <c r="I1058" i="6"/>
  <c r="G1058" i="6"/>
  <c r="F1058" i="6"/>
  <c r="C1058" i="6"/>
  <c r="D1058" i="6" s="1"/>
  <c r="E1058" i="6" s="1"/>
  <c r="J1057" i="6"/>
  <c r="I1057" i="6"/>
  <c r="G1057" i="6"/>
  <c r="F1057" i="6"/>
  <c r="C1057" i="6"/>
  <c r="D1057" i="6" s="1"/>
  <c r="E1057" i="6" s="1"/>
  <c r="J1056" i="6"/>
  <c r="I1056" i="6"/>
  <c r="G1056" i="6"/>
  <c r="F1056" i="6"/>
  <c r="C1056" i="6"/>
  <c r="D1056" i="6" s="1"/>
  <c r="E1056" i="6" s="1"/>
  <c r="J1055" i="6"/>
  <c r="I1055" i="6"/>
  <c r="G1055" i="6"/>
  <c r="F1055" i="6"/>
  <c r="C1055" i="6"/>
  <c r="D1055" i="6" s="1"/>
  <c r="E1055" i="6" s="1"/>
  <c r="J1054" i="6"/>
  <c r="I1054" i="6"/>
  <c r="G1054" i="6"/>
  <c r="F1054" i="6"/>
  <c r="C1054" i="6"/>
  <c r="D1054" i="6" s="1"/>
  <c r="E1054" i="6" s="1"/>
  <c r="J1053" i="6"/>
  <c r="I1053" i="6"/>
  <c r="G1053" i="6"/>
  <c r="F1053" i="6"/>
  <c r="C1053" i="6"/>
  <c r="D1053" i="6" s="1"/>
  <c r="E1053" i="6" s="1"/>
  <c r="J1052" i="6"/>
  <c r="I1052" i="6"/>
  <c r="G1052" i="6"/>
  <c r="F1052" i="6"/>
  <c r="C1052" i="6"/>
  <c r="D1052" i="6" s="1"/>
  <c r="E1052" i="6" s="1"/>
  <c r="J1051" i="6"/>
  <c r="I1051" i="6"/>
  <c r="G1051" i="6"/>
  <c r="F1051" i="6"/>
  <c r="C1051" i="6"/>
  <c r="D1051" i="6" s="1"/>
  <c r="E1051" i="6" s="1"/>
  <c r="J1050" i="6"/>
  <c r="I1050" i="6"/>
  <c r="G1050" i="6"/>
  <c r="F1050" i="6"/>
  <c r="C1050" i="6"/>
  <c r="D1050" i="6" s="1"/>
  <c r="E1050" i="6" s="1"/>
  <c r="J1049" i="6"/>
  <c r="I1049" i="6"/>
  <c r="G1049" i="6"/>
  <c r="F1049" i="6"/>
  <c r="C1049" i="6"/>
  <c r="D1049" i="6" s="1"/>
  <c r="E1049" i="6" s="1"/>
  <c r="J1048" i="6"/>
  <c r="I1048" i="6"/>
  <c r="G1048" i="6"/>
  <c r="F1048" i="6"/>
  <c r="C1048" i="6"/>
  <c r="D1048" i="6" s="1"/>
  <c r="E1048" i="6" s="1"/>
  <c r="J1047" i="6"/>
  <c r="I1047" i="6"/>
  <c r="G1047" i="6"/>
  <c r="F1047" i="6"/>
  <c r="C1047" i="6"/>
  <c r="D1047" i="6" s="1"/>
  <c r="E1047" i="6" s="1"/>
  <c r="J1046" i="6"/>
  <c r="I1046" i="6"/>
  <c r="G1046" i="6"/>
  <c r="F1046" i="6"/>
  <c r="C1046" i="6"/>
  <c r="D1046" i="6" s="1"/>
  <c r="E1046" i="6" s="1"/>
  <c r="J1045" i="6"/>
  <c r="I1045" i="6"/>
  <c r="G1045" i="6"/>
  <c r="F1045" i="6"/>
  <c r="C1045" i="6"/>
  <c r="D1045" i="6" s="1"/>
  <c r="E1045" i="6" s="1"/>
  <c r="J1044" i="6"/>
  <c r="I1044" i="6"/>
  <c r="G1044" i="6"/>
  <c r="F1044" i="6"/>
  <c r="C1044" i="6"/>
  <c r="D1044" i="6" s="1"/>
  <c r="E1044" i="6" s="1"/>
  <c r="J1043" i="6"/>
  <c r="I1043" i="6"/>
  <c r="G1043" i="6"/>
  <c r="F1043" i="6"/>
  <c r="C1043" i="6"/>
  <c r="D1043" i="6" s="1"/>
  <c r="E1043" i="6" s="1"/>
  <c r="J1042" i="6"/>
  <c r="I1042" i="6"/>
  <c r="G1042" i="6"/>
  <c r="F1042" i="6"/>
  <c r="C1042" i="6"/>
  <c r="D1042" i="6" s="1"/>
  <c r="E1042" i="6" s="1"/>
  <c r="J1041" i="6"/>
  <c r="I1041" i="6"/>
  <c r="G1041" i="6"/>
  <c r="F1041" i="6"/>
  <c r="C1041" i="6"/>
  <c r="D1041" i="6" s="1"/>
  <c r="E1041" i="6" s="1"/>
  <c r="J1040" i="6"/>
  <c r="I1040" i="6"/>
  <c r="G1040" i="6"/>
  <c r="F1040" i="6"/>
  <c r="C1040" i="6"/>
  <c r="D1040" i="6" s="1"/>
  <c r="E1040" i="6" s="1"/>
  <c r="J1039" i="6"/>
  <c r="I1039" i="6"/>
  <c r="G1039" i="6"/>
  <c r="F1039" i="6"/>
  <c r="C1039" i="6"/>
  <c r="D1039" i="6" s="1"/>
  <c r="E1039" i="6" s="1"/>
  <c r="J1038" i="6"/>
  <c r="I1038" i="6"/>
  <c r="G1038" i="6"/>
  <c r="F1038" i="6"/>
  <c r="C1038" i="6"/>
  <c r="D1038" i="6" s="1"/>
  <c r="E1038" i="6" s="1"/>
  <c r="J1037" i="6"/>
  <c r="I1037" i="6"/>
  <c r="G1037" i="6"/>
  <c r="F1037" i="6"/>
  <c r="C1037" i="6"/>
  <c r="D1037" i="6" s="1"/>
  <c r="E1037" i="6" s="1"/>
  <c r="J1036" i="6"/>
  <c r="I1036" i="6"/>
  <c r="G1036" i="6"/>
  <c r="F1036" i="6"/>
  <c r="C1036" i="6"/>
  <c r="D1036" i="6" s="1"/>
  <c r="E1036" i="6" s="1"/>
  <c r="J1035" i="6"/>
  <c r="I1035" i="6"/>
  <c r="G1035" i="6"/>
  <c r="F1035" i="6"/>
  <c r="C1035" i="6"/>
  <c r="D1035" i="6" s="1"/>
  <c r="E1035" i="6" s="1"/>
  <c r="J1034" i="6"/>
  <c r="I1034" i="6"/>
  <c r="G1034" i="6"/>
  <c r="F1034" i="6"/>
  <c r="C1034" i="6"/>
  <c r="D1034" i="6" s="1"/>
  <c r="E1034" i="6" s="1"/>
  <c r="J1033" i="6"/>
  <c r="I1033" i="6"/>
  <c r="G1033" i="6"/>
  <c r="F1033" i="6"/>
  <c r="C1033" i="6"/>
  <c r="D1033" i="6" s="1"/>
  <c r="E1033" i="6" s="1"/>
  <c r="J1032" i="6"/>
  <c r="I1032" i="6"/>
  <c r="G1032" i="6"/>
  <c r="F1032" i="6"/>
  <c r="C1032" i="6"/>
  <c r="D1032" i="6" s="1"/>
  <c r="E1032" i="6" s="1"/>
  <c r="J1031" i="6"/>
  <c r="I1031" i="6"/>
  <c r="G1031" i="6"/>
  <c r="F1031" i="6"/>
  <c r="C1031" i="6"/>
  <c r="D1031" i="6" s="1"/>
  <c r="E1031" i="6" s="1"/>
  <c r="J1030" i="6"/>
  <c r="I1030" i="6"/>
  <c r="G1030" i="6"/>
  <c r="F1030" i="6"/>
  <c r="C1030" i="6"/>
  <c r="D1030" i="6" s="1"/>
  <c r="E1030" i="6" s="1"/>
  <c r="J1029" i="6"/>
  <c r="I1029" i="6"/>
  <c r="G1029" i="6"/>
  <c r="F1029" i="6"/>
  <c r="C1029" i="6"/>
  <c r="D1029" i="6" s="1"/>
  <c r="E1029" i="6" s="1"/>
  <c r="J1028" i="6"/>
  <c r="I1028" i="6"/>
  <c r="G1028" i="6"/>
  <c r="F1028" i="6"/>
  <c r="C1028" i="6"/>
  <c r="D1028" i="6" s="1"/>
  <c r="E1028" i="6" s="1"/>
  <c r="J1027" i="6"/>
  <c r="I1027" i="6"/>
  <c r="G1027" i="6"/>
  <c r="F1027" i="6"/>
  <c r="C1027" i="6"/>
  <c r="D1027" i="6" s="1"/>
  <c r="E1027" i="6" s="1"/>
  <c r="J1026" i="6"/>
  <c r="I1026" i="6"/>
  <c r="G1026" i="6"/>
  <c r="F1026" i="6"/>
  <c r="C1026" i="6"/>
  <c r="D1026" i="6" s="1"/>
  <c r="E1026" i="6" s="1"/>
  <c r="J1025" i="6"/>
  <c r="I1025" i="6"/>
  <c r="G1025" i="6"/>
  <c r="F1025" i="6"/>
  <c r="C1025" i="6"/>
  <c r="D1025" i="6" s="1"/>
  <c r="E1025" i="6" s="1"/>
  <c r="J1024" i="6"/>
  <c r="I1024" i="6"/>
  <c r="G1024" i="6"/>
  <c r="F1024" i="6"/>
  <c r="C1024" i="6"/>
  <c r="D1024" i="6" s="1"/>
  <c r="E1024" i="6" s="1"/>
  <c r="J1023" i="6"/>
  <c r="I1023" i="6"/>
  <c r="G1023" i="6"/>
  <c r="F1023" i="6"/>
  <c r="C1023" i="6"/>
  <c r="D1023" i="6" s="1"/>
  <c r="E1023" i="6" s="1"/>
  <c r="J1022" i="6"/>
  <c r="I1022" i="6"/>
  <c r="G1022" i="6"/>
  <c r="F1022" i="6"/>
  <c r="C1022" i="6"/>
  <c r="D1022" i="6" s="1"/>
  <c r="E1022" i="6" s="1"/>
  <c r="J1021" i="6"/>
  <c r="I1021" i="6"/>
  <c r="G1021" i="6"/>
  <c r="F1021" i="6"/>
  <c r="C1021" i="6"/>
  <c r="D1021" i="6" s="1"/>
  <c r="E1021" i="6" s="1"/>
  <c r="J1020" i="6"/>
  <c r="I1020" i="6"/>
  <c r="G1020" i="6"/>
  <c r="F1020" i="6"/>
  <c r="C1020" i="6"/>
  <c r="D1020" i="6" s="1"/>
  <c r="E1020" i="6" s="1"/>
  <c r="J1019" i="6"/>
  <c r="I1019" i="6"/>
  <c r="G1019" i="6"/>
  <c r="F1019" i="6"/>
  <c r="C1019" i="6"/>
  <c r="D1019" i="6" s="1"/>
  <c r="E1019" i="6" s="1"/>
  <c r="J1018" i="6"/>
  <c r="I1018" i="6"/>
  <c r="G1018" i="6"/>
  <c r="F1018" i="6"/>
  <c r="C1018" i="6"/>
  <c r="D1018" i="6" s="1"/>
  <c r="E1018" i="6" s="1"/>
  <c r="J1017" i="6"/>
  <c r="I1017" i="6"/>
  <c r="G1017" i="6"/>
  <c r="F1017" i="6"/>
  <c r="C1017" i="6"/>
  <c r="D1017" i="6" s="1"/>
  <c r="E1017" i="6" s="1"/>
  <c r="J1016" i="6"/>
  <c r="I1016" i="6"/>
  <c r="G1016" i="6"/>
  <c r="F1016" i="6"/>
  <c r="C1016" i="6"/>
  <c r="D1016" i="6" s="1"/>
  <c r="E1016" i="6" s="1"/>
  <c r="J1015" i="6"/>
  <c r="I1015" i="6"/>
  <c r="G1015" i="6"/>
  <c r="F1015" i="6"/>
  <c r="C1015" i="6"/>
  <c r="D1015" i="6" s="1"/>
  <c r="E1015" i="6" s="1"/>
  <c r="J1014" i="6"/>
  <c r="I1014" i="6"/>
  <c r="G1014" i="6"/>
  <c r="F1014" i="6"/>
  <c r="C1014" i="6"/>
  <c r="D1014" i="6" s="1"/>
  <c r="E1014" i="6" s="1"/>
  <c r="J1013" i="6"/>
  <c r="I1013" i="6"/>
  <c r="G1013" i="6"/>
  <c r="F1013" i="6"/>
  <c r="C1013" i="6"/>
  <c r="D1013" i="6" s="1"/>
  <c r="E1013" i="6" s="1"/>
  <c r="J1012" i="6"/>
  <c r="I1012" i="6"/>
  <c r="G1012" i="6"/>
  <c r="F1012" i="6"/>
  <c r="C1012" i="6"/>
  <c r="D1012" i="6" s="1"/>
  <c r="E1012" i="6" s="1"/>
  <c r="J1011" i="6"/>
  <c r="I1011" i="6"/>
  <c r="G1011" i="6"/>
  <c r="F1011" i="6"/>
  <c r="C1011" i="6"/>
  <c r="D1011" i="6" s="1"/>
  <c r="E1011" i="6" s="1"/>
  <c r="J1010" i="6"/>
  <c r="I1010" i="6"/>
  <c r="G1010" i="6"/>
  <c r="F1010" i="6"/>
  <c r="C1010" i="6"/>
  <c r="D1010" i="6" s="1"/>
  <c r="E1010" i="6" s="1"/>
  <c r="J1009" i="6"/>
  <c r="I1009" i="6"/>
  <c r="G1009" i="6"/>
  <c r="F1009" i="6"/>
  <c r="C1009" i="6"/>
  <c r="D1009" i="6" s="1"/>
  <c r="E1009" i="6" s="1"/>
  <c r="J1008" i="6"/>
  <c r="I1008" i="6"/>
  <c r="G1008" i="6"/>
  <c r="F1008" i="6"/>
  <c r="C1008" i="6"/>
  <c r="D1008" i="6" s="1"/>
  <c r="E1008" i="6" s="1"/>
  <c r="J1007" i="6"/>
  <c r="I1007" i="6"/>
  <c r="G1007" i="6"/>
  <c r="F1007" i="6"/>
  <c r="C1007" i="6"/>
  <c r="D1007" i="6" s="1"/>
  <c r="E1007" i="6" s="1"/>
  <c r="J1006" i="6"/>
  <c r="I1006" i="6"/>
  <c r="G1006" i="6"/>
  <c r="F1006" i="6"/>
  <c r="C1006" i="6"/>
  <c r="D1006" i="6" s="1"/>
  <c r="E1006" i="6" s="1"/>
  <c r="J1005" i="6"/>
  <c r="I1005" i="6"/>
  <c r="G1005" i="6"/>
  <c r="F1005" i="6"/>
  <c r="C1005" i="6"/>
  <c r="D1005" i="6" s="1"/>
  <c r="E1005" i="6" s="1"/>
  <c r="J1004" i="6"/>
  <c r="I1004" i="6"/>
  <c r="G1004" i="6"/>
  <c r="F1004" i="6"/>
  <c r="C1004" i="6"/>
  <c r="D1004" i="6" s="1"/>
  <c r="E1004" i="6" s="1"/>
  <c r="J1003" i="6"/>
  <c r="I1003" i="6"/>
  <c r="G1003" i="6"/>
  <c r="F1003" i="6"/>
  <c r="C1003" i="6"/>
  <c r="D1003" i="6" s="1"/>
  <c r="E1003" i="6" s="1"/>
  <c r="J1002" i="6"/>
  <c r="I1002" i="6"/>
  <c r="G1002" i="6"/>
  <c r="F1002" i="6"/>
  <c r="C1002" i="6"/>
  <c r="D1002" i="6" s="1"/>
  <c r="E1002" i="6" s="1"/>
  <c r="J1001" i="6"/>
  <c r="I1001" i="6"/>
  <c r="G1001" i="6"/>
  <c r="F1001" i="6"/>
  <c r="C1001" i="6"/>
  <c r="D1001" i="6" s="1"/>
  <c r="E1001" i="6" s="1"/>
  <c r="J1000" i="6"/>
  <c r="I1000" i="6"/>
  <c r="G1000" i="6"/>
  <c r="F1000" i="6"/>
  <c r="C1000" i="6"/>
  <c r="D1000" i="6" s="1"/>
  <c r="E1000" i="6" s="1"/>
  <c r="J999" i="6"/>
  <c r="I999" i="6"/>
  <c r="G999" i="6"/>
  <c r="F999" i="6"/>
  <c r="C999" i="6"/>
  <c r="D999" i="6" s="1"/>
  <c r="E999" i="6" s="1"/>
  <c r="J998" i="6"/>
  <c r="I998" i="6"/>
  <c r="G998" i="6"/>
  <c r="F998" i="6"/>
  <c r="C998" i="6"/>
  <c r="D998" i="6" s="1"/>
  <c r="E998" i="6" s="1"/>
  <c r="J997" i="6"/>
  <c r="I997" i="6"/>
  <c r="G997" i="6"/>
  <c r="F997" i="6"/>
  <c r="C997" i="6"/>
  <c r="D997" i="6" s="1"/>
  <c r="E997" i="6" s="1"/>
  <c r="J996" i="6"/>
  <c r="I996" i="6"/>
  <c r="G996" i="6"/>
  <c r="F996" i="6"/>
  <c r="C996" i="6"/>
  <c r="D996" i="6" s="1"/>
  <c r="E996" i="6" s="1"/>
  <c r="J995" i="6"/>
  <c r="I995" i="6"/>
  <c r="G995" i="6"/>
  <c r="F995" i="6"/>
  <c r="C995" i="6"/>
  <c r="D995" i="6" s="1"/>
  <c r="E995" i="6" s="1"/>
  <c r="J994" i="6"/>
  <c r="I994" i="6"/>
  <c r="G994" i="6"/>
  <c r="F994" i="6"/>
  <c r="C994" i="6"/>
  <c r="D994" i="6" s="1"/>
  <c r="E994" i="6" s="1"/>
  <c r="J993" i="6"/>
  <c r="I993" i="6"/>
  <c r="G993" i="6"/>
  <c r="F993" i="6"/>
  <c r="C993" i="6"/>
  <c r="D993" i="6" s="1"/>
  <c r="E993" i="6" s="1"/>
  <c r="J992" i="6"/>
  <c r="I992" i="6"/>
  <c r="G992" i="6"/>
  <c r="F992" i="6"/>
  <c r="C992" i="6"/>
  <c r="D992" i="6" s="1"/>
  <c r="E992" i="6" s="1"/>
  <c r="J991" i="6"/>
  <c r="I991" i="6"/>
  <c r="G991" i="6"/>
  <c r="F991" i="6"/>
  <c r="C991" i="6"/>
  <c r="D991" i="6" s="1"/>
  <c r="E991" i="6" s="1"/>
  <c r="J990" i="6"/>
  <c r="I990" i="6"/>
  <c r="G990" i="6"/>
  <c r="F990" i="6"/>
  <c r="C990" i="6"/>
  <c r="D990" i="6" s="1"/>
  <c r="E990" i="6" s="1"/>
  <c r="J989" i="6"/>
  <c r="I989" i="6"/>
  <c r="G989" i="6"/>
  <c r="F989" i="6"/>
  <c r="C989" i="6"/>
  <c r="D989" i="6" s="1"/>
  <c r="E989" i="6" s="1"/>
  <c r="J988" i="6"/>
  <c r="I988" i="6"/>
  <c r="G988" i="6"/>
  <c r="F988" i="6"/>
  <c r="C988" i="6"/>
  <c r="D988" i="6" s="1"/>
  <c r="E988" i="6" s="1"/>
  <c r="J987" i="6"/>
  <c r="I987" i="6"/>
  <c r="G987" i="6"/>
  <c r="F987" i="6"/>
  <c r="C987" i="6"/>
  <c r="D987" i="6" s="1"/>
  <c r="E987" i="6" s="1"/>
  <c r="J986" i="6"/>
  <c r="I986" i="6"/>
  <c r="G986" i="6"/>
  <c r="F986" i="6"/>
  <c r="C986" i="6"/>
  <c r="D986" i="6" s="1"/>
  <c r="E986" i="6" s="1"/>
  <c r="J985" i="6"/>
  <c r="I985" i="6"/>
  <c r="G985" i="6"/>
  <c r="F985" i="6"/>
  <c r="C985" i="6"/>
  <c r="D985" i="6" s="1"/>
  <c r="E985" i="6" s="1"/>
  <c r="J984" i="6"/>
  <c r="I984" i="6"/>
  <c r="G984" i="6"/>
  <c r="F984" i="6"/>
  <c r="C984" i="6"/>
  <c r="D984" i="6" s="1"/>
  <c r="E984" i="6" s="1"/>
  <c r="J983" i="6"/>
  <c r="I983" i="6"/>
  <c r="G983" i="6"/>
  <c r="F983" i="6"/>
  <c r="C983" i="6"/>
  <c r="D983" i="6" s="1"/>
  <c r="E983" i="6" s="1"/>
  <c r="J982" i="6"/>
  <c r="I982" i="6"/>
  <c r="G982" i="6"/>
  <c r="F982" i="6"/>
  <c r="C982" i="6"/>
  <c r="D982" i="6" s="1"/>
  <c r="E982" i="6" s="1"/>
  <c r="J981" i="6"/>
  <c r="I981" i="6"/>
  <c r="G981" i="6"/>
  <c r="F981" i="6"/>
  <c r="C981" i="6"/>
  <c r="D981" i="6" s="1"/>
  <c r="E981" i="6" s="1"/>
  <c r="J980" i="6"/>
  <c r="I980" i="6"/>
  <c r="G980" i="6"/>
  <c r="F980" i="6"/>
  <c r="C980" i="6"/>
  <c r="D980" i="6" s="1"/>
  <c r="E980" i="6" s="1"/>
  <c r="J979" i="6"/>
  <c r="I979" i="6"/>
  <c r="G979" i="6"/>
  <c r="F979" i="6"/>
  <c r="C979" i="6"/>
  <c r="D979" i="6" s="1"/>
  <c r="E979" i="6" s="1"/>
  <c r="J978" i="6"/>
  <c r="I978" i="6"/>
  <c r="G978" i="6"/>
  <c r="F978" i="6"/>
  <c r="C978" i="6"/>
  <c r="D978" i="6" s="1"/>
  <c r="E978" i="6" s="1"/>
  <c r="J977" i="6"/>
  <c r="I977" i="6"/>
  <c r="G977" i="6"/>
  <c r="F977" i="6"/>
  <c r="C977" i="6"/>
  <c r="D977" i="6" s="1"/>
  <c r="E977" i="6" s="1"/>
  <c r="J976" i="6"/>
  <c r="I976" i="6"/>
  <c r="G976" i="6"/>
  <c r="F976" i="6"/>
  <c r="C976" i="6"/>
  <c r="D976" i="6" s="1"/>
  <c r="E976" i="6" s="1"/>
  <c r="J975" i="6"/>
  <c r="I975" i="6"/>
  <c r="G975" i="6"/>
  <c r="F975" i="6"/>
  <c r="C975" i="6"/>
  <c r="D975" i="6" s="1"/>
  <c r="E975" i="6" s="1"/>
  <c r="J974" i="6"/>
  <c r="I974" i="6"/>
  <c r="G974" i="6"/>
  <c r="F974" i="6"/>
  <c r="C974" i="6"/>
  <c r="D974" i="6" s="1"/>
  <c r="E974" i="6" s="1"/>
  <c r="J973" i="6"/>
  <c r="I973" i="6"/>
  <c r="G973" i="6"/>
  <c r="F973" i="6"/>
  <c r="C973" i="6"/>
  <c r="D973" i="6" s="1"/>
  <c r="E973" i="6" s="1"/>
  <c r="J972" i="6"/>
  <c r="I972" i="6"/>
  <c r="G972" i="6"/>
  <c r="F972" i="6"/>
  <c r="C972" i="6"/>
  <c r="D972" i="6" s="1"/>
  <c r="E972" i="6" s="1"/>
  <c r="J971" i="6"/>
  <c r="I971" i="6"/>
  <c r="G971" i="6"/>
  <c r="F971" i="6"/>
  <c r="C971" i="6"/>
  <c r="D971" i="6" s="1"/>
  <c r="E971" i="6" s="1"/>
  <c r="J970" i="6"/>
  <c r="I970" i="6"/>
  <c r="G970" i="6"/>
  <c r="F970" i="6"/>
  <c r="C970" i="6"/>
  <c r="D970" i="6" s="1"/>
  <c r="E970" i="6" s="1"/>
  <c r="J969" i="6"/>
  <c r="I969" i="6"/>
  <c r="G969" i="6"/>
  <c r="F969" i="6"/>
  <c r="C969" i="6"/>
  <c r="D969" i="6" s="1"/>
  <c r="E969" i="6" s="1"/>
  <c r="J968" i="6"/>
  <c r="I968" i="6"/>
  <c r="G968" i="6"/>
  <c r="F968" i="6"/>
  <c r="C968" i="6"/>
  <c r="D968" i="6" s="1"/>
  <c r="E968" i="6" s="1"/>
  <c r="J967" i="6"/>
  <c r="I967" i="6"/>
  <c r="G967" i="6"/>
  <c r="F967" i="6"/>
  <c r="C967" i="6"/>
  <c r="D967" i="6" s="1"/>
  <c r="E967" i="6" s="1"/>
  <c r="J966" i="6"/>
  <c r="I966" i="6"/>
  <c r="G966" i="6"/>
  <c r="F966" i="6"/>
  <c r="C966" i="6"/>
  <c r="D966" i="6" s="1"/>
  <c r="E966" i="6" s="1"/>
  <c r="J965" i="6"/>
  <c r="I965" i="6"/>
  <c r="G965" i="6"/>
  <c r="F965" i="6"/>
  <c r="C965" i="6"/>
  <c r="D965" i="6" s="1"/>
  <c r="E965" i="6" s="1"/>
  <c r="J964" i="6"/>
  <c r="I964" i="6"/>
  <c r="G964" i="6"/>
  <c r="F964" i="6"/>
  <c r="C964" i="6"/>
  <c r="D964" i="6" s="1"/>
  <c r="E964" i="6" s="1"/>
  <c r="J963" i="6"/>
  <c r="I963" i="6"/>
  <c r="G963" i="6"/>
  <c r="F963" i="6"/>
  <c r="C963" i="6"/>
  <c r="D963" i="6" s="1"/>
  <c r="E963" i="6" s="1"/>
  <c r="J962" i="6"/>
  <c r="I962" i="6"/>
  <c r="G962" i="6"/>
  <c r="F962" i="6"/>
  <c r="C962" i="6"/>
  <c r="D962" i="6" s="1"/>
  <c r="E962" i="6" s="1"/>
  <c r="J961" i="6"/>
  <c r="I961" i="6"/>
  <c r="G961" i="6"/>
  <c r="F961" i="6"/>
  <c r="C961" i="6"/>
  <c r="D961" i="6" s="1"/>
  <c r="E961" i="6" s="1"/>
  <c r="J960" i="6"/>
  <c r="I960" i="6"/>
  <c r="G960" i="6"/>
  <c r="F960" i="6"/>
  <c r="C960" i="6"/>
  <c r="D960" i="6" s="1"/>
  <c r="E960" i="6" s="1"/>
  <c r="J959" i="6"/>
  <c r="I959" i="6"/>
  <c r="G959" i="6"/>
  <c r="F959" i="6"/>
  <c r="C959" i="6"/>
  <c r="D959" i="6" s="1"/>
  <c r="E959" i="6" s="1"/>
  <c r="J958" i="6"/>
  <c r="I958" i="6"/>
  <c r="G958" i="6"/>
  <c r="F958" i="6"/>
  <c r="C958" i="6"/>
  <c r="D958" i="6" s="1"/>
  <c r="E958" i="6" s="1"/>
  <c r="J957" i="6"/>
  <c r="I957" i="6"/>
  <c r="G957" i="6"/>
  <c r="F957" i="6"/>
  <c r="C957" i="6"/>
  <c r="D957" i="6" s="1"/>
  <c r="E957" i="6" s="1"/>
  <c r="J956" i="6"/>
  <c r="I956" i="6"/>
  <c r="G956" i="6"/>
  <c r="F956" i="6"/>
  <c r="C956" i="6"/>
  <c r="D956" i="6" s="1"/>
  <c r="E956" i="6" s="1"/>
  <c r="J955" i="6"/>
  <c r="I955" i="6"/>
  <c r="G955" i="6"/>
  <c r="F955" i="6"/>
  <c r="C955" i="6"/>
  <c r="D955" i="6" s="1"/>
  <c r="E955" i="6" s="1"/>
  <c r="J954" i="6"/>
  <c r="I954" i="6"/>
  <c r="G954" i="6"/>
  <c r="F954" i="6"/>
  <c r="C954" i="6"/>
  <c r="D954" i="6" s="1"/>
  <c r="E954" i="6" s="1"/>
  <c r="J953" i="6"/>
  <c r="I953" i="6"/>
  <c r="G953" i="6"/>
  <c r="F953" i="6"/>
  <c r="C953" i="6"/>
  <c r="D953" i="6" s="1"/>
  <c r="E953" i="6" s="1"/>
  <c r="J952" i="6"/>
  <c r="I952" i="6"/>
  <c r="G952" i="6"/>
  <c r="F952" i="6"/>
  <c r="C952" i="6"/>
  <c r="D952" i="6" s="1"/>
  <c r="E952" i="6" s="1"/>
  <c r="J951" i="6"/>
  <c r="I951" i="6"/>
  <c r="G951" i="6"/>
  <c r="F951" i="6"/>
  <c r="C951" i="6"/>
  <c r="D951" i="6" s="1"/>
  <c r="E951" i="6" s="1"/>
  <c r="J950" i="6"/>
  <c r="I950" i="6"/>
  <c r="G950" i="6"/>
  <c r="F950" i="6"/>
  <c r="C950" i="6"/>
  <c r="D950" i="6" s="1"/>
  <c r="E950" i="6" s="1"/>
  <c r="J949" i="6"/>
  <c r="I949" i="6"/>
  <c r="G949" i="6"/>
  <c r="F949" i="6"/>
  <c r="C949" i="6"/>
  <c r="D949" i="6" s="1"/>
  <c r="E949" i="6" s="1"/>
  <c r="J948" i="6"/>
  <c r="I948" i="6"/>
  <c r="G948" i="6"/>
  <c r="F948" i="6"/>
  <c r="C948" i="6"/>
  <c r="D948" i="6" s="1"/>
  <c r="E948" i="6" s="1"/>
  <c r="J947" i="6"/>
  <c r="I947" i="6"/>
  <c r="G947" i="6"/>
  <c r="F947" i="6"/>
  <c r="C947" i="6"/>
  <c r="D947" i="6" s="1"/>
  <c r="E947" i="6" s="1"/>
  <c r="J946" i="6"/>
  <c r="I946" i="6"/>
  <c r="G946" i="6"/>
  <c r="F946" i="6"/>
  <c r="C946" i="6"/>
  <c r="D946" i="6" s="1"/>
  <c r="E946" i="6" s="1"/>
  <c r="J945" i="6"/>
  <c r="I945" i="6"/>
  <c r="G945" i="6"/>
  <c r="F945" i="6"/>
  <c r="C945" i="6"/>
  <c r="D945" i="6" s="1"/>
  <c r="E945" i="6" s="1"/>
  <c r="J944" i="6"/>
  <c r="I944" i="6"/>
  <c r="G944" i="6"/>
  <c r="F944" i="6"/>
  <c r="C944" i="6"/>
  <c r="D944" i="6" s="1"/>
  <c r="E944" i="6" s="1"/>
  <c r="J943" i="6"/>
  <c r="I943" i="6"/>
  <c r="G943" i="6"/>
  <c r="F943" i="6"/>
  <c r="C943" i="6"/>
  <c r="D943" i="6" s="1"/>
  <c r="E943" i="6" s="1"/>
  <c r="J942" i="6"/>
  <c r="I942" i="6"/>
  <c r="G942" i="6"/>
  <c r="F942" i="6"/>
  <c r="C942" i="6"/>
  <c r="D942" i="6" s="1"/>
  <c r="E942" i="6" s="1"/>
  <c r="J941" i="6"/>
  <c r="I941" i="6"/>
  <c r="G941" i="6"/>
  <c r="F941" i="6"/>
  <c r="C941" i="6"/>
  <c r="D941" i="6" s="1"/>
  <c r="E941" i="6" s="1"/>
  <c r="J940" i="6"/>
  <c r="I940" i="6"/>
  <c r="G940" i="6"/>
  <c r="F940" i="6"/>
  <c r="C940" i="6"/>
  <c r="D940" i="6" s="1"/>
  <c r="E940" i="6" s="1"/>
  <c r="J939" i="6"/>
  <c r="I939" i="6"/>
  <c r="G939" i="6"/>
  <c r="F939" i="6"/>
  <c r="C939" i="6"/>
  <c r="D939" i="6" s="1"/>
  <c r="E939" i="6" s="1"/>
  <c r="J938" i="6"/>
  <c r="I938" i="6"/>
  <c r="G938" i="6"/>
  <c r="F938" i="6"/>
  <c r="C938" i="6"/>
  <c r="D938" i="6" s="1"/>
  <c r="E938" i="6" s="1"/>
  <c r="J937" i="6"/>
  <c r="I937" i="6"/>
  <c r="G937" i="6"/>
  <c r="F937" i="6"/>
  <c r="C937" i="6"/>
  <c r="D937" i="6" s="1"/>
  <c r="E937" i="6" s="1"/>
  <c r="J936" i="6"/>
  <c r="I936" i="6"/>
  <c r="G936" i="6"/>
  <c r="F936" i="6"/>
  <c r="C936" i="6"/>
  <c r="D936" i="6" s="1"/>
  <c r="E936" i="6" s="1"/>
  <c r="J935" i="6"/>
  <c r="I935" i="6"/>
  <c r="G935" i="6"/>
  <c r="F935" i="6"/>
  <c r="C935" i="6"/>
  <c r="D935" i="6" s="1"/>
  <c r="E935" i="6" s="1"/>
  <c r="J934" i="6"/>
  <c r="I934" i="6"/>
  <c r="G934" i="6"/>
  <c r="F934" i="6"/>
  <c r="C934" i="6"/>
  <c r="D934" i="6" s="1"/>
  <c r="E934" i="6" s="1"/>
  <c r="J933" i="6"/>
  <c r="I933" i="6"/>
  <c r="G933" i="6"/>
  <c r="F933" i="6"/>
  <c r="C933" i="6"/>
  <c r="D933" i="6" s="1"/>
  <c r="E933" i="6" s="1"/>
  <c r="J932" i="6"/>
  <c r="I932" i="6"/>
  <c r="G932" i="6"/>
  <c r="F932" i="6"/>
  <c r="C932" i="6"/>
  <c r="D932" i="6" s="1"/>
  <c r="E932" i="6" s="1"/>
  <c r="J931" i="6"/>
  <c r="I931" i="6"/>
  <c r="G931" i="6"/>
  <c r="F931" i="6"/>
  <c r="C931" i="6"/>
  <c r="D931" i="6" s="1"/>
  <c r="E931" i="6" s="1"/>
  <c r="J930" i="6"/>
  <c r="I930" i="6"/>
  <c r="G930" i="6"/>
  <c r="F930" i="6"/>
  <c r="C930" i="6"/>
  <c r="D930" i="6" s="1"/>
  <c r="E930" i="6" s="1"/>
  <c r="J929" i="6"/>
  <c r="I929" i="6"/>
  <c r="G929" i="6"/>
  <c r="F929" i="6"/>
  <c r="C929" i="6"/>
  <c r="D929" i="6" s="1"/>
  <c r="E929" i="6" s="1"/>
  <c r="J928" i="6"/>
  <c r="I928" i="6"/>
  <c r="G928" i="6"/>
  <c r="F928" i="6"/>
  <c r="C928" i="6"/>
  <c r="D928" i="6" s="1"/>
  <c r="E928" i="6" s="1"/>
  <c r="J927" i="6"/>
  <c r="I927" i="6"/>
  <c r="G927" i="6"/>
  <c r="F927" i="6"/>
  <c r="C927" i="6"/>
  <c r="D927" i="6" s="1"/>
  <c r="E927" i="6" s="1"/>
  <c r="J926" i="6"/>
  <c r="I926" i="6"/>
  <c r="G926" i="6"/>
  <c r="F926" i="6"/>
  <c r="C926" i="6"/>
  <c r="D926" i="6" s="1"/>
  <c r="E926" i="6" s="1"/>
  <c r="J925" i="6"/>
  <c r="I925" i="6"/>
  <c r="G925" i="6"/>
  <c r="F925" i="6"/>
  <c r="C925" i="6"/>
  <c r="D925" i="6" s="1"/>
  <c r="E925" i="6" s="1"/>
  <c r="J924" i="6"/>
  <c r="I924" i="6"/>
  <c r="G924" i="6"/>
  <c r="F924" i="6"/>
  <c r="C924" i="6"/>
  <c r="D924" i="6" s="1"/>
  <c r="E924" i="6" s="1"/>
  <c r="J923" i="6"/>
  <c r="I923" i="6"/>
  <c r="G923" i="6"/>
  <c r="F923" i="6"/>
  <c r="C923" i="6"/>
  <c r="D923" i="6" s="1"/>
  <c r="E923" i="6" s="1"/>
  <c r="J922" i="6"/>
  <c r="I922" i="6"/>
  <c r="G922" i="6"/>
  <c r="F922" i="6"/>
  <c r="C922" i="6"/>
  <c r="D922" i="6" s="1"/>
  <c r="E922" i="6" s="1"/>
  <c r="J921" i="6"/>
  <c r="I921" i="6"/>
  <c r="G921" i="6"/>
  <c r="F921" i="6"/>
  <c r="C921" i="6"/>
  <c r="D921" i="6" s="1"/>
  <c r="E921" i="6" s="1"/>
  <c r="J920" i="6"/>
  <c r="I920" i="6"/>
  <c r="G920" i="6"/>
  <c r="F920" i="6"/>
  <c r="C920" i="6"/>
  <c r="D920" i="6" s="1"/>
  <c r="E920" i="6" s="1"/>
  <c r="J919" i="6"/>
  <c r="I919" i="6"/>
  <c r="G919" i="6"/>
  <c r="F919" i="6"/>
  <c r="C919" i="6"/>
  <c r="D919" i="6" s="1"/>
  <c r="E919" i="6" s="1"/>
  <c r="J918" i="6"/>
  <c r="I918" i="6"/>
  <c r="K918" i="6" s="1"/>
  <c r="G918" i="6"/>
  <c r="F918" i="6"/>
  <c r="C918" i="6"/>
  <c r="D918" i="6" s="1"/>
  <c r="E918" i="6" s="1"/>
  <c r="J917" i="6"/>
  <c r="I917" i="6"/>
  <c r="G917" i="6"/>
  <c r="F917" i="6"/>
  <c r="C917" i="6"/>
  <c r="D917" i="6" s="1"/>
  <c r="E917" i="6" s="1"/>
  <c r="J916" i="6"/>
  <c r="I916" i="6"/>
  <c r="G916" i="6"/>
  <c r="F916" i="6"/>
  <c r="C916" i="6"/>
  <c r="D916" i="6" s="1"/>
  <c r="E916" i="6" s="1"/>
  <c r="J915" i="6"/>
  <c r="I915" i="6"/>
  <c r="G915" i="6"/>
  <c r="F915" i="6"/>
  <c r="C915" i="6"/>
  <c r="D915" i="6" s="1"/>
  <c r="E915" i="6" s="1"/>
  <c r="J914" i="6"/>
  <c r="I914" i="6"/>
  <c r="G914" i="6"/>
  <c r="F914" i="6"/>
  <c r="C914" i="6"/>
  <c r="D914" i="6" s="1"/>
  <c r="E914" i="6" s="1"/>
  <c r="J913" i="6"/>
  <c r="I913" i="6"/>
  <c r="G913" i="6"/>
  <c r="F913" i="6"/>
  <c r="C913" i="6"/>
  <c r="D913" i="6" s="1"/>
  <c r="E913" i="6" s="1"/>
  <c r="J912" i="6"/>
  <c r="I912" i="6"/>
  <c r="G912" i="6"/>
  <c r="F912" i="6"/>
  <c r="C912" i="6"/>
  <c r="D912" i="6" s="1"/>
  <c r="E912" i="6" s="1"/>
  <c r="J911" i="6"/>
  <c r="I911" i="6"/>
  <c r="G911" i="6"/>
  <c r="F911" i="6"/>
  <c r="C911" i="6"/>
  <c r="D911" i="6" s="1"/>
  <c r="E911" i="6" s="1"/>
  <c r="J910" i="6"/>
  <c r="I910" i="6"/>
  <c r="G910" i="6"/>
  <c r="F910" i="6"/>
  <c r="C910" i="6"/>
  <c r="D910" i="6" s="1"/>
  <c r="E910" i="6" s="1"/>
  <c r="J909" i="6"/>
  <c r="I909" i="6"/>
  <c r="G909" i="6"/>
  <c r="F909" i="6"/>
  <c r="C909" i="6"/>
  <c r="D909" i="6" s="1"/>
  <c r="E909" i="6" s="1"/>
  <c r="J908" i="6"/>
  <c r="I908" i="6"/>
  <c r="G908" i="6"/>
  <c r="F908" i="6"/>
  <c r="C908" i="6"/>
  <c r="D908" i="6" s="1"/>
  <c r="E908" i="6" s="1"/>
  <c r="J907" i="6"/>
  <c r="I907" i="6"/>
  <c r="G907" i="6"/>
  <c r="F907" i="6"/>
  <c r="C907" i="6"/>
  <c r="D907" i="6" s="1"/>
  <c r="E907" i="6" s="1"/>
  <c r="J906" i="6"/>
  <c r="I906" i="6"/>
  <c r="G906" i="6"/>
  <c r="F906" i="6"/>
  <c r="C906" i="6"/>
  <c r="D906" i="6" s="1"/>
  <c r="E906" i="6" s="1"/>
  <c r="J905" i="6"/>
  <c r="I905" i="6"/>
  <c r="G905" i="6"/>
  <c r="F905" i="6"/>
  <c r="C905" i="6"/>
  <c r="D905" i="6" s="1"/>
  <c r="E905" i="6" s="1"/>
  <c r="J904" i="6"/>
  <c r="I904" i="6"/>
  <c r="G904" i="6"/>
  <c r="F904" i="6"/>
  <c r="C904" i="6"/>
  <c r="D904" i="6" s="1"/>
  <c r="E904" i="6" s="1"/>
  <c r="J903" i="6"/>
  <c r="I903" i="6"/>
  <c r="G903" i="6"/>
  <c r="F903" i="6"/>
  <c r="C903" i="6"/>
  <c r="D903" i="6" s="1"/>
  <c r="E903" i="6" s="1"/>
  <c r="J902" i="6"/>
  <c r="I902" i="6"/>
  <c r="G902" i="6"/>
  <c r="F902" i="6"/>
  <c r="C902" i="6"/>
  <c r="D902" i="6" s="1"/>
  <c r="E902" i="6" s="1"/>
  <c r="J901" i="6"/>
  <c r="I901" i="6"/>
  <c r="G901" i="6"/>
  <c r="F901" i="6"/>
  <c r="C901" i="6"/>
  <c r="D901" i="6" s="1"/>
  <c r="E901" i="6" s="1"/>
  <c r="J900" i="6"/>
  <c r="I900" i="6"/>
  <c r="G900" i="6"/>
  <c r="F900" i="6"/>
  <c r="C900" i="6"/>
  <c r="D900" i="6" s="1"/>
  <c r="E900" i="6" s="1"/>
  <c r="H900" i="6" s="1"/>
  <c r="J899" i="6"/>
  <c r="I899" i="6"/>
  <c r="G899" i="6"/>
  <c r="F899" i="6"/>
  <c r="C899" i="6"/>
  <c r="D899" i="6" s="1"/>
  <c r="E899" i="6" s="1"/>
  <c r="J898" i="6"/>
  <c r="I898" i="6"/>
  <c r="G898" i="6"/>
  <c r="F898" i="6"/>
  <c r="C898" i="6"/>
  <c r="D898" i="6" s="1"/>
  <c r="E898" i="6" s="1"/>
  <c r="J897" i="6"/>
  <c r="I897" i="6"/>
  <c r="G897" i="6"/>
  <c r="F897" i="6"/>
  <c r="C897" i="6"/>
  <c r="D897" i="6" s="1"/>
  <c r="E897" i="6" s="1"/>
  <c r="J896" i="6"/>
  <c r="I896" i="6"/>
  <c r="G896" i="6"/>
  <c r="F896" i="6"/>
  <c r="C896" i="6"/>
  <c r="D896" i="6" s="1"/>
  <c r="E896" i="6" s="1"/>
  <c r="J895" i="6"/>
  <c r="I895" i="6"/>
  <c r="G895" i="6"/>
  <c r="F895" i="6"/>
  <c r="C895" i="6"/>
  <c r="D895" i="6" s="1"/>
  <c r="E895" i="6" s="1"/>
  <c r="J894" i="6"/>
  <c r="I894" i="6"/>
  <c r="G894" i="6"/>
  <c r="F894" i="6"/>
  <c r="C894" i="6"/>
  <c r="D894" i="6" s="1"/>
  <c r="E894" i="6" s="1"/>
  <c r="J893" i="6"/>
  <c r="I893" i="6"/>
  <c r="G893" i="6"/>
  <c r="F893" i="6"/>
  <c r="C893" i="6"/>
  <c r="D893" i="6" s="1"/>
  <c r="E893" i="6" s="1"/>
  <c r="J892" i="6"/>
  <c r="I892" i="6"/>
  <c r="G892" i="6"/>
  <c r="F892" i="6"/>
  <c r="C892" i="6"/>
  <c r="D892" i="6" s="1"/>
  <c r="E892" i="6" s="1"/>
  <c r="J891" i="6"/>
  <c r="I891" i="6"/>
  <c r="G891" i="6"/>
  <c r="F891" i="6"/>
  <c r="C891" i="6"/>
  <c r="D891" i="6" s="1"/>
  <c r="E891" i="6" s="1"/>
  <c r="J890" i="6"/>
  <c r="I890" i="6"/>
  <c r="G890" i="6"/>
  <c r="F890" i="6"/>
  <c r="C890" i="6"/>
  <c r="D890" i="6" s="1"/>
  <c r="E890" i="6" s="1"/>
  <c r="J889" i="6"/>
  <c r="I889" i="6"/>
  <c r="G889" i="6"/>
  <c r="F889" i="6"/>
  <c r="C889" i="6"/>
  <c r="D889" i="6" s="1"/>
  <c r="E889" i="6" s="1"/>
  <c r="J888" i="6"/>
  <c r="I888" i="6"/>
  <c r="G888" i="6"/>
  <c r="F888" i="6"/>
  <c r="C888" i="6"/>
  <c r="D888" i="6" s="1"/>
  <c r="E888" i="6" s="1"/>
  <c r="J887" i="6"/>
  <c r="I887" i="6"/>
  <c r="G887" i="6"/>
  <c r="F887" i="6"/>
  <c r="C887" i="6"/>
  <c r="D887" i="6" s="1"/>
  <c r="E887" i="6" s="1"/>
  <c r="J886" i="6"/>
  <c r="I886" i="6"/>
  <c r="G886" i="6"/>
  <c r="F886" i="6"/>
  <c r="C886" i="6"/>
  <c r="D886" i="6" s="1"/>
  <c r="E886" i="6" s="1"/>
  <c r="J885" i="6"/>
  <c r="I885" i="6"/>
  <c r="G885" i="6"/>
  <c r="F885" i="6"/>
  <c r="C885" i="6"/>
  <c r="D885" i="6" s="1"/>
  <c r="E885" i="6" s="1"/>
  <c r="J884" i="6"/>
  <c r="I884" i="6"/>
  <c r="G884" i="6"/>
  <c r="F884" i="6"/>
  <c r="C884" i="6"/>
  <c r="D884" i="6" s="1"/>
  <c r="E884" i="6" s="1"/>
  <c r="J883" i="6"/>
  <c r="I883" i="6"/>
  <c r="G883" i="6"/>
  <c r="F883" i="6"/>
  <c r="C883" i="6"/>
  <c r="D883" i="6" s="1"/>
  <c r="E883" i="6" s="1"/>
  <c r="J882" i="6"/>
  <c r="I882" i="6"/>
  <c r="G882" i="6"/>
  <c r="F882" i="6"/>
  <c r="C882" i="6"/>
  <c r="D882" i="6" s="1"/>
  <c r="E882" i="6" s="1"/>
  <c r="J881" i="6"/>
  <c r="I881" i="6"/>
  <c r="G881" i="6"/>
  <c r="F881" i="6"/>
  <c r="C881" i="6"/>
  <c r="D881" i="6" s="1"/>
  <c r="E881" i="6" s="1"/>
  <c r="J880" i="6"/>
  <c r="I880" i="6"/>
  <c r="G880" i="6"/>
  <c r="F880" i="6"/>
  <c r="C880" i="6"/>
  <c r="D880" i="6" s="1"/>
  <c r="E880" i="6" s="1"/>
  <c r="J879" i="6"/>
  <c r="I879" i="6"/>
  <c r="G879" i="6"/>
  <c r="F879" i="6"/>
  <c r="C879" i="6"/>
  <c r="D879" i="6" s="1"/>
  <c r="E879" i="6" s="1"/>
  <c r="J878" i="6"/>
  <c r="I878" i="6"/>
  <c r="G878" i="6"/>
  <c r="F878" i="6"/>
  <c r="C878" i="6"/>
  <c r="D878" i="6" s="1"/>
  <c r="E878" i="6" s="1"/>
  <c r="J877" i="6"/>
  <c r="I877" i="6"/>
  <c r="G877" i="6"/>
  <c r="F877" i="6"/>
  <c r="C877" i="6"/>
  <c r="D877" i="6" s="1"/>
  <c r="E877" i="6" s="1"/>
  <c r="J876" i="6"/>
  <c r="I876" i="6"/>
  <c r="G876" i="6"/>
  <c r="F876" i="6"/>
  <c r="C876" i="6"/>
  <c r="D876" i="6" s="1"/>
  <c r="E876" i="6" s="1"/>
  <c r="J875" i="6"/>
  <c r="I875" i="6"/>
  <c r="G875" i="6"/>
  <c r="F875" i="6"/>
  <c r="C875" i="6"/>
  <c r="D875" i="6" s="1"/>
  <c r="E875" i="6" s="1"/>
  <c r="J874" i="6"/>
  <c r="I874" i="6"/>
  <c r="G874" i="6"/>
  <c r="F874" i="6"/>
  <c r="C874" i="6"/>
  <c r="D874" i="6" s="1"/>
  <c r="E874" i="6" s="1"/>
  <c r="J873" i="6"/>
  <c r="I873" i="6"/>
  <c r="G873" i="6"/>
  <c r="F873" i="6"/>
  <c r="C873" i="6"/>
  <c r="D873" i="6" s="1"/>
  <c r="E873" i="6" s="1"/>
  <c r="J872" i="6"/>
  <c r="I872" i="6"/>
  <c r="G872" i="6"/>
  <c r="F872" i="6"/>
  <c r="C872" i="6"/>
  <c r="D872" i="6" s="1"/>
  <c r="E872" i="6" s="1"/>
  <c r="J871" i="6"/>
  <c r="I871" i="6"/>
  <c r="G871" i="6"/>
  <c r="F871" i="6"/>
  <c r="C871" i="6"/>
  <c r="D871" i="6" s="1"/>
  <c r="E871" i="6" s="1"/>
  <c r="J870" i="6"/>
  <c r="I870" i="6"/>
  <c r="G870" i="6"/>
  <c r="F870" i="6"/>
  <c r="C870" i="6"/>
  <c r="D870" i="6" s="1"/>
  <c r="E870" i="6" s="1"/>
  <c r="J869" i="6"/>
  <c r="I869" i="6"/>
  <c r="G869" i="6"/>
  <c r="F869" i="6"/>
  <c r="C869" i="6"/>
  <c r="D869" i="6" s="1"/>
  <c r="E869" i="6" s="1"/>
  <c r="J868" i="6"/>
  <c r="I868" i="6"/>
  <c r="G868" i="6"/>
  <c r="F868" i="6"/>
  <c r="C868" i="6"/>
  <c r="D868" i="6" s="1"/>
  <c r="E868" i="6" s="1"/>
  <c r="H868" i="6" s="1"/>
  <c r="J867" i="6"/>
  <c r="I867" i="6"/>
  <c r="G867" i="6"/>
  <c r="F867" i="6"/>
  <c r="C867" i="6"/>
  <c r="D867" i="6" s="1"/>
  <c r="E867" i="6" s="1"/>
  <c r="J866" i="6"/>
  <c r="I866" i="6"/>
  <c r="G866" i="6"/>
  <c r="F866" i="6"/>
  <c r="C866" i="6"/>
  <c r="D866" i="6" s="1"/>
  <c r="E866" i="6" s="1"/>
  <c r="J865" i="6"/>
  <c r="I865" i="6"/>
  <c r="G865" i="6"/>
  <c r="F865" i="6"/>
  <c r="C865" i="6"/>
  <c r="D865" i="6" s="1"/>
  <c r="E865" i="6" s="1"/>
  <c r="J864" i="6"/>
  <c r="I864" i="6"/>
  <c r="G864" i="6"/>
  <c r="F864" i="6"/>
  <c r="C864" i="6"/>
  <c r="D864" i="6" s="1"/>
  <c r="E864" i="6" s="1"/>
  <c r="J863" i="6"/>
  <c r="I863" i="6"/>
  <c r="G863" i="6"/>
  <c r="F863" i="6"/>
  <c r="C863" i="6"/>
  <c r="D863" i="6" s="1"/>
  <c r="E863" i="6" s="1"/>
  <c r="J862" i="6"/>
  <c r="I862" i="6"/>
  <c r="G862" i="6"/>
  <c r="F862" i="6"/>
  <c r="C862" i="6"/>
  <c r="D862" i="6" s="1"/>
  <c r="E862" i="6" s="1"/>
  <c r="J861" i="6"/>
  <c r="I861" i="6"/>
  <c r="G861" i="6"/>
  <c r="F861" i="6"/>
  <c r="C861" i="6"/>
  <c r="D861" i="6" s="1"/>
  <c r="E861" i="6" s="1"/>
  <c r="J860" i="6"/>
  <c r="I860" i="6"/>
  <c r="G860" i="6"/>
  <c r="F860" i="6"/>
  <c r="C860" i="6"/>
  <c r="D860" i="6" s="1"/>
  <c r="E860" i="6" s="1"/>
  <c r="J859" i="6"/>
  <c r="I859" i="6"/>
  <c r="G859" i="6"/>
  <c r="F859" i="6"/>
  <c r="C859" i="6"/>
  <c r="D859" i="6" s="1"/>
  <c r="E859" i="6" s="1"/>
  <c r="J858" i="6"/>
  <c r="I858" i="6"/>
  <c r="G858" i="6"/>
  <c r="F858" i="6"/>
  <c r="C858" i="6"/>
  <c r="D858" i="6" s="1"/>
  <c r="E858" i="6" s="1"/>
  <c r="J857" i="6"/>
  <c r="I857" i="6"/>
  <c r="G857" i="6"/>
  <c r="F857" i="6"/>
  <c r="C857" i="6"/>
  <c r="D857" i="6" s="1"/>
  <c r="E857" i="6" s="1"/>
  <c r="J856" i="6"/>
  <c r="I856" i="6"/>
  <c r="G856" i="6"/>
  <c r="F856" i="6"/>
  <c r="C856" i="6"/>
  <c r="D856" i="6" s="1"/>
  <c r="E856" i="6" s="1"/>
  <c r="J855" i="6"/>
  <c r="I855" i="6"/>
  <c r="G855" i="6"/>
  <c r="F855" i="6"/>
  <c r="C855" i="6"/>
  <c r="D855" i="6" s="1"/>
  <c r="E855" i="6" s="1"/>
  <c r="J854" i="6"/>
  <c r="I854" i="6"/>
  <c r="G854" i="6"/>
  <c r="F854" i="6"/>
  <c r="C854" i="6"/>
  <c r="D854" i="6" s="1"/>
  <c r="E854" i="6" s="1"/>
  <c r="J853" i="6"/>
  <c r="I853" i="6"/>
  <c r="G853" i="6"/>
  <c r="F853" i="6"/>
  <c r="C853" i="6"/>
  <c r="D853" i="6" s="1"/>
  <c r="E853" i="6" s="1"/>
  <c r="J852" i="6"/>
  <c r="I852" i="6"/>
  <c r="G852" i="6"/>
  <c r="F852" i="6"/>
  <c r="C852" i="6"/>
  <c r="D852" i="6" s="1"/>
  <c r="E852" i="6" s="1"/>
  <c r="J851" i="6"/>
  <c r="I851" i="6"/>
  <c r="G851" i="6"/>
  <c r="F851" i="6"/>
  <c r="C851" i="6"/>
  <c r="D851" i="6" s="1"/>
  <c r="E851" i="6" s="1"/>
  <c r="J850" i="6"/>
  <c r="I850" i="6"/>
  <c r="G850" i="6"/>
  <c r="F850" i="6"/>
  <c r="C850" i="6"/>
  <c r="D850" i="6" s="1"/>
  <c r="E850" i="6" s="1"/>
  <c r="J849" i="6"/>
  <c r="I849" i="6"/>
  <c r="G849" i="6"/>
  <c r="F849" i="6"/>
  <c r="C849" i="6"/>
  <c r="D849" i="6" s="1"/>
  <c r="E849" i="6" s="1"/>
  <c r="J848" i="6"/>
  <c r="I848" i="6"/>
  <c r="G848" i="6"/>
  <c r="F848" i="6"/>
  <c r="C848" i="6"/>
  <c r="D848" i="6" s="1"/>
  <c r="E848" i="6" s="1"/>
  <c r="J847" i="6"/>
  <c r="I847" i="6"/>
  <c r="G847" i="6"/>
  <c r="F847" i="6"/>
  <c r="C847" i="6"/>
  <c r="D847" i="6" s="1"/>
  <c r="E847" i="6" s="1"/>
  <c r="J846" i="6"/>
  <c r="I846" i="6"/>
  <c r="G846" i="6"/>
  <c r="F846" i="6"/>
  <c r="C846" i="6"/>
  <c r="D846" i="6" s="1"/>
  <c r="E846" i="6" s="1"/>
  <c r="J845" i="6"/>
  <c r="I845" i="6"/>
  <c r="G845" i="6"/>
  <c r="F845" i="6"/>
  <c r="C845" i="6"/>
  <c r="D845" i="6" s="1"/>
  <c r="E845" i="6" s="1"/>
  <c r="J844" i="6"/>
  <c r="I844" i="6"/>
  <c r="G844" i="6"/>
  <c r="F844" i="6"/>
  <c r="C844" i="6"/>
  <c r="D844" i="6" s="1"/>
  <c r="E844" i="6" s="1"/>
  <c r="J843" i="6"/>
  <c r="I843" i="6"/>
  <c r="G843" i="6"/>
  <c r="F843" i="6"/>
  <c r="C843" i="6"/>
  <c r="D843" i="6" s="1"/>
  <c r="E843" i="6" s="1"/>
  <c r="J842" i="6"/>
  <c r="I842" i="6"/>
  <c r="G842" i="6"/>
  <c r="F842" i="6"/>
  <c r="C842" i="6"/>
  <c r="D842" i="6" s="1"/>
  <c r="E842" i="6" s="1"/>
  <c r="J841" i="6"/>
  <c r="I841" i="6"/>
  <c r="G841" i="6"/>
  <c r="F841" i="6"/>
  <c r="C841" i="6"/>
  <c r="D841" i="6" s="1"/>
  <c r="E841" i="6" s="1"/>
  <c r="J840" i="6"/>
  <c r="I840" i="6"/>
  <c r="G840" i="6"/>
  <c r="F840" i="6"/>
  <c r="C840" i="6"/>
  <c r="D840" i="6" s="1"/>
  <c r="E840" i="6" s="1"/>
  <c r="J839" i="6"/>
  <c r="I839" i="6"/>
  <c r="G839" i="6"/>
  <c r="F839" i="6"/>
  <c r="C839" i="6"/>
  <c r="D839" i="6" s="1"/>
  <c r="E839" i="6" s="1"/>
  <c r="J838" i="6"/>
  <c r="I838" i="6"/>
  <c r="G838" i="6"/>
  <c r="F838" i="6"/>
  <c r="C838" i="6"/>
  <c r="D838" i="6" s="1"/>
  <c r="E838" i="6" s="1"/>
  <c r="J837" i="6"/>
  <c r="I837" i="6"/>
  <c r="G837" i="6"/>
  <c r="F837" i="6"/>
  <c r="C837" i="6"/>
  <c r="D837" i="6" s="1"/>
  <c r="E837" i="6" s="1"/>
  <c r="J836" i="6"/>
  <c r="I836" i="6"/>
  <c r="G836" i="6"/>
  <c r="F836" i="6"/>
  <c r="C836" i="6"/>
  <c r="D836" i="6" s="1"/>
  <c r="E836" i="6" s="1"/>
  <c r="J835" i="6"/>
  <c r="I835" i="6"/>
  <c r="G835" i="6"/>
  <c r="F835" i="6"/>
  <c r="C835" i="6"/>
  <c r="D835" i="6" s="1"/>
  <c r="E835" i="6" s="1"/>
  <c r="J834" i="6"/>
  <c r="I834" i="6"/>
  <c r="G834" i="6"/>
  <c r="F834" i="6"/>
  <c r="C834" i="6"/>
  <c r="D834" i="6" s="1"/>
  <c r="E834" i="6" s="1"/>
  <c r="J833" i="6"/>
  <c r="I833" i="6"/>
  <c r="G833" i="6"/>
  <c r="F833" i="6"/>
  <c r="C833" i="6"/>
  <c r="D833" i="6" s="1"/>
  <c r="E833" i="6" s="1"/>
  <c r="J832" i="6"/>
  <c r="I832" i="6"/>
  <c r="G832" i="6"/>
  <c r="F832" i="6"/>
  <c r="C832" i="6"/>
  <c r="D832" i="6" s="1"/>
  <c r="E832" i="6" s="1"/>
  <c r="J831" i="6"/>
  <c r="I831" i="6"/>
  <c r="G831" i="6"/>
  <c r="F831" i="6"/>
  <c r="C831" i="6"/>
  <c r="D831" i="6" s="1"/>
  <c r="E831" i="6" s="1"/>
  <c r="J830" i="6"/>
  <c r="I830" i="6"/>
  <c r="G830" i="6"/>
  <c r="F830" i="6"/>
  <c r="C830" i="6"/>
  <c r="D830" i="6" s="1"/>
  <c r="E830" i="6" s="1"/>
  <c r="J829" i="6"/>
  <c r="I829" i="6"/>
  <c r="G829" i="6"/>
  <c r="F829" i="6"/>
  <c r="C829" i="6"/>
  <c r="D829" i="6" s="1"/>
  <c r="E829" i="6" s="1"/>
  <c r="J828" i="6"/>
  <c r="I828" i="6"/>
  <c r="G828" i="6"/>
  <c r="F828" i="6"/>
  <c r="C828" i="6"/>
  <c r="D828" i="6" s="1"/>
  <c r="E828" i="6" s="1"/>
  <c r="J827" i="6"/>
  <c r="I827" i="6"/>
  <c r="G827" i="6"/>
  <c r="F827" i="6"/>
  <c r="C827" i="6"/>
  <c r="D827" i="6" s="1"/>
  <c r="E827" i="6" s="1"/>
  <c r="J826" i="6"/>
  <c r="I826" i="6"/>
  <c r="G826" i="6"/>
  <c r="F826" i="6"/>
  <c r="C826" i="6"/>
  <c r="D826" i="6" s="1"/>
  <c r="E826" i="6" s="1"/>
  <c r="J825" i="6"/>
  <c r="I825" i="6"/>
  <c r="G825" i="6"/>
  <c r="F825" i="6"/>
  <c r="C825" i="6"/>
  <c r="D825" i="6" s="1"/>
  <c r="E825" i="6" s="1"/>
  <c r="J824" i="6"/>
  <c r="I824" i="6"/>
  <c r="G824" i="6"/>
  <c r="F824" i="6"/>
  <c r="C824" i="6"/>
  <c r="D824" i="6" s="1"/>
  <c r="E824" i="6" s="1"/>
  <c r="J823" i="6"/>
  <c r="I823" i="6"/>
  <c r="G823" i="6"/>
  <c r="F823" i="6"/>
  <c r="C823" i="6"/>
  <c r="D823" i="6" s="1"/>
  <c r="E823" i="6" s="1"/>
  <c r="J822" i="6"/>
  <c r="I822" i="6"/>
  <c r="G822" i="6"/>
  <c r="F822" i="6"/>
  <c r="C822" i="6"/>
  <c r="D822" i="6" s="1"/>
  <c r="E822" i="6" s="1"/>
  <c r="J821" i="6"/>
  <c r="I821" i="6"/>
  <c r="G821" i="6"/>
  <c r="F821" i="6"/>
  <c r="C821" i="6"/>
  <c r="D821" i="6" s="1"/>
  <c r="E821" i="6" s="1"/>
  <c r="J820" i="6"/>
  <c r="I820" i="6"/>
  <c r="G820" i="6"/>
  <c r="F820" i="6"/>
  <c r="C820" i="6"/>
  <c r="D820" i="6" s="1"/>
  <c r="E820" i="6" s="1"/>
  <c r="J819" i="6"/>
  <c r="I819" i="6"/>
  <c r="G819" i="6"/>
  <c r="F819" i="6"/>
  <c r="C819" i="6"/>
  <c r="D819" i="6" s="1"/>
  <c r="E819" i="6" s="1"/>
  <c r="J818" i="6"/>
  <c r="I818" i="6"/>
  <c r="G818" i="6"/>
  <c r="F818" i="6"/>
  <c r="C818" i="6"/>
  <c r="D818" i="6" s="1"/>
  <c r="E818" i="6" s="1"/>
  <c r="J817" i="6"/>
  <c r="I817" i="6"/>
  <c r="G817" i="6"/>
  <c r="F817" i="6"/>
  <c r="C817" i="6"/>
  <c r="D817" i="6" s="1"/>
  <c r="E817" i="6" s="1"/>
  <c r="J816" i="6"/>
  <c r="I816" i="6"/>
  <c r="G816" i="6"/>
  <c r="F816" i="6"/>
  <c r="C816" i="6"/>
  <c r="D816" i="6" s="1"/>
  <c r="E816" i="6" s="1"/>
  <c r="J815" i="6"/>
  <c r="I815" i="6"/>
  <c r="G815" i="6"/>
  <c r="F815" i="6"/>
  <c r="C815" i="6"/>
  <c r="D815" i="6" s="1"/>
  <c r="E815" i="6" s="1"/>
  <c r="J814" i="6"/>
  <c r="I814" i="6"/>
  <c r="G814" i="6"/>
  <c r="F814" i="6"/>
  <c r="C814" i="6"/>
  <c r="D814" i="6" s="1"/>
  <c r="E814" i="6" s="1"/>
  <c r="J813" i="6"/>
  <c r="I813" i="6"/>
  <c r="G813" i="6"/>
  <c r="F813" i="6"/>
  <c r="C813" i="6"/>
  <c r="D813" i="6" s="1"/>
  <c r="E813" i="6" s="1"/>
  <c r="J812" i="6"/>
  <c r="I812" i="6"/>
  <c r="G812" i="6"/>
  <c r="F812" i="6"/>
  <c r="C812" i="6"/>
  <c r="D812" i="6" s="1"/>
  <c r="E812" i="6" s="1"/>
  <c r="J811" i="6"/>
  <c r="I811" i="6"/>
  <c r="G811" i="6"/>
  <c r="F811" i="6"/>
  <c r="C811" i="6"/>
  <c r="D811" i="6" s="1"/>
  <c r="E811" i="6" s="1"/>
  <c r="J810" i="6"/>
  <c r="I810" i="6"/>
  <c r="G810" i="6"/>
  <c r="F810" i="6"/>
  <c r="C810" i="6"/>
  <c r="D810" i="6" s="1"/>
  <c r="E810" i="6" s="1"/>
  <c r="J809" i="6"/>
  <c r="I809" i="6"/>
  <c r="G809" i="6"/>
  <c r="F809" i="6"/>
  <c r="C809" i="6"/>
  <c r="D809" i="6" s="1"/>
  <c r="E809" i="6" s="1"/>
  <c r="J808" i="6"/>
  <c r="I808" i="6"/>
  <c r="G808" i="6"/>
  <c r="F808" i="6"/>
  <c r="C808" i="6"/>
  <c r="D808" i="6" s="1"/>
  <c r="E808" i="6" s="1"/>
  <c r="J807" i="6"/>
  <c r="I807" i="6"/>
  <c r="G807" i="6"/>
  <c r="F807" i="6"/>
  <c r="C807" i="6"/>
  <c r="D807" i="6" s="1"/>
  <c r="E807" i="6" s="1"/>
  <c r="J806" i="6"/>
  <c r="I806" i="6"/>
  <c r="G806" i="6"/>
  <c r="F806" i="6"/>
  <c r="C806" i="6"/>
  <c r="D806" i="6" s="1"/>
  <c r="E806" i="6" s="1"/>
  <c r="J805" i="6"/>
  <c r="I805" i="6"/>
  <c r="G805" i="6"/>
  <c r="F805" i="6"/>
  <c r="C805" i="6"/>
  <c r="D805" i="6" s="1"/>
  <c r="E805" i="6" s="1"/>
  <c r="J804" i="6"/>
  <c r="I804" i="6"/>
  <c r="G804" i="6"/>
  <c r="F804" i="6"/>
  <c r="C804" i="6"/>
  <c r="D804" i="6" s="1"/>
  <c r="E804" i="6" s="1"/>
  <c r="J803" i="6"/>
  <c r="I803" i="6"/>
  <c r="G803" i="6"/>
  <c r="F803" i="6"/>
  <c r="C803" i="6"/>
  <c r="D803" i="6" s="1"/>
  <c r="E803" i="6" s="1"/>
  <c r="J802" i="6"/>
  <c r="I802" i="6"/>
  <c r="G802" i="6"/>
  <c r="F802" i="6"/>
  <c r="C802" i="6"/>
  <c r="D802" i="6" s="1"/>
  <c r="E802" i="6" s="1"/>
  <c r="J801" i="6"/>
  <c r="I801" i="6"/>
  <c r="G801" i="6"/>
  <c r="F801" i="6"/>
  <c r="C801" i="6"/>
  <c r="D801" i="6" s="1"/>
  <c r="E801" i="6" s="1"/>
  <c r="J800" i="6"/>
  <c r="I800" i="6"/>
  <c r="G800" i="6"/>
  <c r="F800" i="6"/>
  <c r="C800" i="6"/>
  <c r="D800" i="6" s="1"/>
  <c r="E800" i="6" s="1"/>
  <c r="J799" i="6"/>
  <c r="I799" i="6"/>
  <c r="G799" i="6"/>
  <c r="F799" i="6"/>
  <c r="C799" i="6"/>
  <c r="D799" i="6" s="1"/>
  <c r="E799" i="6" s="1"/>
  <c r="J798" i="6"/>
  <c r="I798" i="6"/>
  <c r="G798" i="6"/>
  <c r="F798" i="6"/>
  <c r="C798" i="6"/>
  <c r="D798" i="6" s="1"/>
  <c r="E798" i="6" s="1"/>
  <c r="J797" i="6"/>
  <c r="I797" i="6"/>
  <c r="G797" i="6"/>
  <c r="F797" i="6"/>
  <c r="C797" i="6"/>
  <c r="D797" i="6" s="1"/>
  <c r="E797" i="6" s="1"/>
  <c r="J796" i="6"/>
  <c r="I796" i="6"/>
  <c r="G796" i="6"/>
  <c r="F796" i="6"/>
  <c r="C796" i="6"/>
  <c r="D796" i="6" s="1"/>
  <c r="E796" i="6" s="1"/>
  <c r="J795" i="6"/>
  <c r="I795" i="6"/>
  <c r="G795" i="6"/>
  <c r="F795" i="6"/>
  <c r="C795" i="6"/>
  <c r="D795" i="6" s="1"/>
  <c r="E795" i="6" s="1"/>
  <c r="J794" i="6"/>
  <c r="I794" i="6"/>
  <c r="G794" i="6"/>
  <c r="F794" i="6"/>
  <c r="C794" i="6"/>
  <c r="D794" i="6" s="1"/>
  <c r="E794" i="6" s="1"/>
  <c r="J793" i="6"/>
  <c r="I793" i="6"/>
  <c r="G793" i="6"/>
  <c r="F793" i="6"/>
  <c r="C793" i="6"/>
  <c r="D793" i="6" s="1"/>
  <c r="E793" i="6" s="1"/>
  <c r="J792" i="6"/>
  <c r="I792" i="6"/>
  <c r="G792" i="6"/>
  <c r="F792" i="6"/>
  <c r="C792" i="6"/>
  <c r="D792" i="6" s="1"/>
  <c r="E792" i="6" s="1"/>
  <c r="J791" i="6"/>
  <c r="I791" i="6"/>
  <c r="G791" i="6"/>
  <c r="F791" i="6"/>
  <c r="C791" i="6"/>
  <c r="D791" i="6" s="1"/>
  <c r="E791" i="6" s="1"/>
  <c r="J790" i="6"/>
  <c r="I790" i="6"/>
  <c r="G790" i="6"/>
  <c r="F790" i="6"/>
  <c r="C790" i="6"/>
  <c r="D790" i="6" s="1"/>
  <c r="E790" i="6" s="1"/>
  <c r="J789" i="6"/>
  <c r="I789" i="6"/>
  <c r="G789" i="6"/>
  <c r="F789" i="6"/>
  <c r="C789" i="6"/>
  <c r="D789" i="6" s="1"/>
  <c r="E789" i="6" s="1"/>
  <c r="J788" i="6"/>
  <c r="I788" i="6"/>
  <c r="G788" i="6"/>
  <c r="F788" i="6"/>
  <c r="C788" i="6"/>
  <c r="D788" i="6" s="1"/>
  <c r="E788" i="6" s="1"/>
  <c r="J787" i="6"/>
  <c r="I787" i="6"/>
  <c r="G787" i="6"/>
  <c r="F787" i="6"/>
  <c r="C787" i="6"/>
  <c r="D787" i="6" s="1"/>
  <c r="E787" i="6" s="1"/>
  <c r="J786" i="6"/>
  <c r="I786" i="6"/>
  <c r="G786" i="6"/>
  <c r="F786" i="6"/>
  <c r="C786" i="6"/>
  <c r="D786" i="6" s="1"/>
  <c r="E786" i="6" s="1"/>
  <c r="J785" i="6"/>
  <c r="I785" i="6"/>
  <c r="G785" i="6"/>
  <c r="F785" i="6"/>
  <c r="C785" i="6"/>
  <c r="D785" i="6" s="1"/>
  <c r="E785" i="6" s="1"/>
  <c r="J784" i="6"/>
  <c r="I784" i="6"/>
  <c r="G784" i="6"/>
  <c r="F784" i="6"/>
  <c r="C784" i="6"/>
  <c r="D784" i="6" s="1"/>
  <c r="E784" i="6" s="1"/>
  <c r="J783" i="6"/>
  <c r="I783" i="6"/>
  <c r="G783" i="6"/>
  <c r="F783" i="6"/>
  <c r="C783" i="6"/>
  <c r="D783" i="6" s="1"/>
  <c r="E783" i="6" s="1"/>
  <c r="J782" i="6"/>
  <c r="I782" i="6"/>
  <c r="G782" i="6"/>
  <c r="F782" i="6"/>
  <c r="C782" i="6"/>
  <c r="D782" i="6" s="1"/>
  <c r="E782" i="6" s="1"/>
  <c r="J781" i="6"/>
  <c r="I781" i="6"/>
  <c r="G781" i="6"/>
  <c r="F781" i="6"/>
  <c r="C781" i="6"/>
  <c r="D781" i="6" s="1"/>
  <c r="E781" i="6" s="1"/>
  <c r="J780" i="6"/>
  <c r="I780" i="6"/>
  <c r="G780" i="6"/>
  <c r="F780" i="6"/>
  <c r="C780" i="6"/>
  <c r="D780" i="6" s="1"/>
  <c r="E780" i="6" s="1"/>
  <c r="J779" i="6"/>
  <c r="I779" i="6"/>
  <c r="G779" i="6"/>
  <c r="F779" i="6"/>
  <c r="C779" i="6"/>
  <c r="D779" i="6" s="1"/>
  <c r="E779" i="6" s="1"/>
  <c r="J778" i="6"/>
  <c r="I778" i="6"/>
  <c r="G778" i="6"/>
  <c r="F778" i="6"/>
  <c r="C778" i="6"/>
  <c r="D778" i="6" s="1"/>
  <c r="E778" i="6" s="1"/>
  <c r="J777" i="6"/>
  <c r="I777" i="6"/>
  <c r="G777" i="6"/>
  <c r="F777" i="6"/>
  <c r="C777" i="6"/>
  <c r="D777" i="6" s="1"/>
  <c r="E777" i="6" s="1"/>
  <c r="J776" i="6"/>
  <c r="I776" i="6"/>
  <c r="G776" i="6"/>
  <c r="F776" i="6"/>
  <c r="C776" i="6"/>
  <c r="D776" i="6" s="1"/>
  <c r="E776" i="6" s="1"/>
  <c r="J775" i="6"/>
  <c r="I775" i="6"/>
  <c r="G775" i="6"/>
  <c r="F775" i="6"/>
  <c r="C775" i="6"/>
  <c r="D775" i="6" s="1"/>
  <c r="E775" i="6" s="1"/>
  <c r="J774" i="6"/>
  <c r="I774" i="6"/>
  <c r="G774" i="6"/>
  <c r="F774" i="6"/>
  <c r="C774" i="6"/>
  <c r="D774" i="6" s="1"/>
  <c r="E774" i="6" s="1"/>
  <c r="J773" i="6"/>
  <c r="I773" i="6"/>
  <c r="G773" i="6"/>
  <c r="F773" i="6"/>
  <c r="C773" i="6"/>
  <c r="D773" i="6" s="1"/>
  <c r="E773" i="6" s="1"/>
  <c r="J772" i="6"/>
  <c r="I772" i="6"/>
  <c r="G772" i="6"/>
  <c r="F772" i="6"/>
  <c r="C772" i="6"/>
  <c r="D772" i="6" s="1"/>
  <c r="E772" i="6" s="1"/>
  <c r="J771" i="6"/>
  <c r="I771" i="6"/>
  <c r="G771" i="6"/>
  <c r="F771" i="6"/>
  <c r="C771" i="6"/>
  <c r="D771" i="6" s="1"/>
  <c r="E771" i="6" s="1"/>
  <c r="J770" i="6"/>
  <c r="I770" i="6"/>
  <c r="G770" i="6"/>
  <c r="F770" i="6"/>
  <c r="C770" i="6"/>
  <c r="D770" i="6" s="1"/>
  <c r="E770" i="6" s="1"/>
  <c r="J769" i="6"/>
  <c r="I769" i="6"/>
  <c r="G769" i="6"/>
  <c r="F769" i="6"/>
  <c r="C769" i="6"/>
  <c r="D769" i="6" s="1"/>
  <c r="E769" i="6" s="1"/>
  <c r="J768" i="6"/>
  <c r="I768" i="6"/>
  <c r="G768" i="6"/>
  <c r="F768" i="6"/>
  <c r="C768" i="6"/>
  <c r="D768" i="6" s="1"/>
  <c r="E768" i="6" s="1"/>
  <c r="J767" i="6"/>
  <c r="I767" i="6"/>
  <c r="G767" i="6"/>
  <c r="F767" i="6"/>
  <c r="C767" i="6"/>
  <c r="D767" i="6" s="1"/>
  <c r="E767" i="6" s="1"/>
  <c r="J766" i="6"/>
  <c r="I766" i="6"/>
  <c r="G766" i="6"/>
  <c r="F766" i="6"/>
  <c r="C766" i="6"/>
  <c r="D766" i="6" s="1"/>
  <c r="E766" i="6" s="1"/>
  <c r="J765" i="6"/>
  <c r="I765" i="6"/>
  <c r="G765" i="6"/>
  <c r="F765" i="6"/>
  <c r="C765" i="6"/>
  <c r="D765" i="6" s="1"/>
  <c r="E765" i="6" s="1"/>
  <c r="J764" i="6"/>
  <c r="I764" i="6"/>
  <c r="G764" i="6"/>
  <c r="F764" i="6"/>
  <c r="C764" i="6"/>
  <c r="D764" i="6" s="1"/>
  <c r="E764" i="6" s="1"/>
  <c r="J763" i="6"/>
  <c r="I763" i="6"/>
  <c r="G763" i="6"/>
  <c r="F763" i="6"/>
  <c r="C763" i="6"/>
  <c r="D763" i="6" s="1"/>
  <c r="E763" i="6" s="1"/>
  <c r="J762" i="6"/>
  <c r="I762" i="6"/>
  <c r="G762" i="6"/>
  <c r="F762" i="6"/>
  <c r="C762" i="6"/>
  <c r="D762" i="6" s="1"/>
  <c r="E762" i="6" s="1"/>
  <c r="J761" i="6"/>
  <c r="I761" i="6"/>
  <c r="G761" i="6"/>
  <c r="F761" i="6"/>
  <c r="C761" i="6"/>
  <c r="D761" i="6" s="1"/>
  <c r="E761" i="6" s="1"/>
  <c r="J760" i="6"/>
  <c r="I760" i="6"/>
  <c r="G760" i="6"/>
  <c r="F760" i="6"/>
  <c r="C760" i="6"/>
  <c r="D760" i="6" s="1"/>
  <c r="E760" i="6" s="1"/>
  <c r="J759" i="6"/>
  <c r="I759" i="6"/>
  <c r="G759" i="6"/>
  <c r="F759" i="6"/>
  <c r="C759" i="6"/>
  <c r="D759" i="6" s="1"/>
  <c r="E759" i="6" s="1"/>
  <c r="J758" i="6"/>
  <c r="I758" i="6"/>
  <c r="G758" i="6"/>
  <c r="F758" i="6"/>
  <c r="C758" i="6"/>
  <c r="D758" i="6" s="1"/>
  <c r="E758" i="6" s="1"/>
  <c r="J757" i="6"/>
  <c r="I757" i="6"/>
  <c r="G757" i="6"/>
  <c r="F757" i="6"/>
  <c r="C757" i="6"/>
  <c r="D757" i="6" s="1"/>
  <c r="E757" i="6" s="1"/>
  <c r="J756" i="6"/>
  <c r="I756" i="6"/>
  <c r="G756" i="6"/>
  <c r="F756" i="6"/>
  <c r="C756" i="6"/>
  <c r="D756" i="6" s="1"/>
  <c r="E756" i="6" s="1"/>
  <c r="J755" i="6"/>
  <c r="I755" i="6"/>
  <c r="G755" i="6"/>
  <c r="F755" i="6"/>
  <c r="C755" i="6"/>
  <c r="D755" i="6" s="1"/>
  <c r="E755" i="6" s="1"/>
  <c r="J754" i="6"/>
  <c r="I754" i="6"/>
  <c r="G754" i="6"/>
  <c r="F754" i="6"/>
  <c r="C754" i="6"/>
  <c r="D754" i="6" s="1"/>
  <c r="E754" i="6" s="1"/>
  <c r="J753" i="6"/>
  <c r="I753" i="6"/>
  <c r="G753" i="6"/>
  <c r="F753" i="6"/>
  <c r="C753" i="6"/>
  <c r="D753" i="6" s="1"/>
  <c r="E753" i="6" s="1"/>
  <c r="J752" i="6"/>
  <c r="I752" i="6"/>
  <c r="G752" i="6"/>
  <c r="F752" i="6"/>
  <c r="C752" i="6"/>
  <c r="D752" i="6" s="1"/>
  <c r="E752" i="6" s="1"/>
  <c r="J751" i="6"/>
  <c r="I751" i="6"/>
  <c r="G751" i="6"/>
  <c r="F751" i="6"/>
  <c r="C751" i="6"/>
  <c r="D751" i="6" s="1"/>
  <c r="E751" i="6" s="1"/>
  <c r="J750" i="6"/>
  <c r="I750" i="6"/>
  <c r="G750" i="6"/>
  <c r="F750" i="6"/>
  <c r="C750" i="6"/>
  <c r="D750" i="6" s="1"/>
  <c r="E750" i="6" s="1"/>
  <c r="J749" i="6"/>
  <c r="I749" i="6"/>
  <c r="G749" i="6"/>
  <c r="F749" i="6"/>
  <c r="C749" i="6"/>
  <c r="D749" i="6" s="1"/>
  <c r="E749" i="6" s="1"/>
  <c r="J748" i="6"/>
  <c r="I748" i="6"/>
  <c r="G748" i="6"/>
  <c r="F748" i="6"/>
  <c r="C748" i="6"/>
  <c r="D748" i="6" s="1"/>
  <c r="E748" i="6" s="1"/>
  <c r="J747" i="6"/>
  <c r="I747" i="6"/>
  <c r="G747" i="6"/>
  <c r="F747" i="6"/>
  <c r="C747" i="6"/>
  <c r="D747" i="6" s="1"/>
  <c r="E747" i="6" s="1"/>
  <c r="J746" i="6"/>
  <c r="I746" i="6"/>
  <c r="G746" i="6"/>
  <c r="F746" i="6"/>
  <c r="C746" i="6"/>
  <c r="D746" i="6" s="1"/>
  <c r="E746" i="6" s="1"/>
  <c r="J745" i="6"/>
  <c r="I745" i="6"/>
  <c r="G745" i="6"/>
  <c r="F745" i="6"/>
  <c r="C745" i="6"/>
  <c r="D745" i="6" s="1"/>
  <c r="E745" i="6" s="1"/>
  <c r="J744" i="6"/>
  <c r="I744" i="6"/>
  <c r="G744" i="6"/>
  <c r="F744" i="6"/>
  <c r="C744" i="6"/>
  <c r="D744" i="6" s="1"/>
  <c r="E744" i="6" s="1"/>
  <c r="J743" i="6"/>
  <c r="I743" i="6"/>
  <c r="G743" i="6"/>
  <c r="F743" i="6"/>
  <c r="C743" i="6"/>
  <c r="D743" i="6" s="1"/>
  <c r="E743" i="6" s="1"/>
  <c r="J742" i="6"/>
  <c r="I742" i="6"/>
  <c r="G742" i="6"/>
  <c r="F742" i="6"/>
  <c r="C742" i="6"/>
  <c r="D742" i="6" s="1"/>
  <c r="E742" i="6" s="1"/>
  <c r="J741" i="6"/>
  <c r="I741" i="6"/>
  <c r="G741" i="6"/>
  <c r="F741" i="6"/>
  <c r="C741" i="6"/>
  <c r="D741" i="6" s="1"/>
  <c r="E741" i="6" s="1"/>
  <c r="J740" i="6"/>
  <c r="I740" i="6"/>
  <c r="G740" i="6"/>
  <c r="F740" i="6"/>
  <c r="C740" i="6"/>
  <c r="D740" i="6" s="1"/>
  <c r="E740" i="6" s="1"/>
  <c r="J739" i="6"/>
  <c r="I739" i="6"/>
  <c r="G739" i="6"/>
  <c r="F739" i="6"/>
  <c r="C739" i="6"/>
  <c r="D739" i="6" s="1"/>
  <c r="E739" i="6" s="1"/>
  <c r="J738" i="6"/>
  <c r="I738" i="6"/>
  <c r="G738" i="6"/>
  <c r="F738" i="6"/>
  <c r="C738" i="6"/>
  <c r="D738" i="6" s="1"/>
  <c r="E738" i="6" s="1"/>
  <c r="J737" i="6"/>
  <c r="I737" i="6"/>
  <c r="G737" i="6"/>
  <c r="F737" i="6"/>
  <c r="C737" i="6"/>
  <c r="D737" i="6" s="1"/>
  <c r="E737" i="6" s="1"/>
  <c r="J736" i="6"/>
  <c r="I736" i="6"/>
  <c r="G736" i="6"/>
  <c r="F736" i="6"/>
  <c r="C736" i="6"/>
  <c r="D736" i="6" s="1"/>
  <c r="E736" i="6" s="1"/>
  <c r="J735" i="6"/>
  <c r="I735" i="6"/>
  <c r="G735" i="6"/>
  <c r="F735" i="6"/>
  <c r="C735" i="6"/>
  <c r="D735" i="6" s="1"/>
  <c r="E735" i="6" s="1"/>
  <c r="J734" i="6"/>
  <c r="I734" i="6"/>
  <c r="G734" i="6"/>
  <c r="F734" i="6"/>
  <c r="C734" i="6"/>
  <c r="D734" i="6" s="1"/>
  <c r="E734" i="6" s="1"/>
  <c r="J733" i="6"/>
  <c r="I733" i="6"/>
  <c r="G733" i="6"/>
  <c r="F733" i="6"/>
  <c r="C733" i="6"/>
  <c r="D733" i="6" s="1"/>
  <c r="E733" i="6" s="1"/>
  <c r="J732" i="6"/>
  <c r="I732" i="6"/>
  <c r="G732" i="6"/>
  <c r="F732" i="6"/>
  <c r="C732" i="6"/>
  <c r="D732" i="6" s="1"/>
  <c r="E732" i="6" s="1"/>
  <c r="J731" i="6"/>
  <c r="I731" i="6"/>
  <c r="G731" i="6"/>
  <c r="F731" i="6"/>
  <c r="C731" i="6"/>
  <c r="D731" i="6" s="1"/>
  <c r="E731" i="6" s="1"/>
  <c r="J730" i="6"/>
  <c r="I730" i="6"/>
  <c r="G730" i="6"/>
  <c r="F730" i="6"/>
  <c r="C730" i="6"/>
  <c r="D730" i="6" s="1"/>
  <c r="E730" i="6" s="1"/>
  <c r="J729" i="6"/>
  <c r="I729" i="6"/>
  <c r="G729" i="6"/>
  <c r="F729" i="6"/>
  <c r="C729" i="6"/>
  <c r="D729" i="6" s="1"/>
  <c r="E729" i="6" s="1"/>
  <c r="J728" i="6"/>
  <c r="I728" i="6"/>
  <c r="G728" i="6"/>
  <c r="F728" i="6"/>
  <c r="C728" i="6"/>
  <c r="D728" i="6" s="1"/>
  <c r="E728" i="6" s="1"/>
  <c r="J727" i="6"/>
  <c r="I727" i="6"/>
  <c r="G727" i="6"/>
  <c r="F727" i="6"/>
  <c r="C727" i="6"/>
  <c r="D727" i="6" s="1"/>
  <c r="E727" i="6" s="1"/>
  <c r="J726" i="6"/>
  <c r="I726" i="6"/>
  <c r="G726" i="6"/>
  <c r="F726" i="6"/>
  <c r="C726" i="6"/>
  <c r="D726" i="6" s="1"/>
  <c r="E726" i="6" s="1"/>
  <c r="J725" i="6"/>
  <c r="I725" i="6"/>
  <c r="G725" i="6"/>
  <c r="F725" i="6"/>
  <c r="C725" i="6"/>
  <c r="D725" i="6" s="1"/>
  <c r="E725" i="6" s="1"/>
  <c r="J724" i="6"/>
  <c r="I724" i="6"/>
  <c r="G724" i="6"/>
  <c r="F724" i="6"/>
  <c r="C724" i="6"/>
  <c r="D724" i="6" s="1"/>
  <c r="E724" i="6" s="1"/>
  <c r="J723" i="6"/>
  <c r="I723" i="6"/>
  <c r="G723" i="6"/>
  <c r="F723" i="6"/>
  <c r="C723" i="6"/>
  <c r="D723" i="6" s="1"/>
  <c r="E723" i="6" s="1"/>
  <c r="J722" i="6"/>
  <c r="I722" i="6"/>
  <c r="G722" i="6"/>
  <c r="F722" i="6"/>
  <c r="C722" i="6"/>
  <c r="D722" i="6" s="1"/>
  <c r="E722" i="6" s="1"/>
  <c r="J721" i="6"/>
  <c r="I721" i="6"/>
  <c r="G721" i="6"/>
  <c r="F721" i="6"/>
  <c r="C721" i="6"/>
  <c r="D721" i="6" s="1"/>
  <c r="E721" i="6" s="1"/>
  <c r="J720" i="6"/>
  <c r="I720" i="6"/>
  <c r="G720" i="6"/>
  <c r="F720" i="6"/>
  <c r="C720" i="6"/>
  <c r="D720" i="6" s="1"/>
  <c r="E720" i="6" s="1"/>
  <c r="J719" i="6"/>
  <c r="I719" i="6"/>
  <c r="G719" i="6"/>
  <c r="F719" i="6"/>
  <c r="C719" i="6"/>
  <c r="D719" i="6" s="1"/>
  <c r="E719" i="6" s="1"/>
  <c r="J718" i="6"/>
  <c r="I718" i="6"/>
  <c r="G718" i="6"/>
  <c r="F718" i="6"/>
  <c r="C718" i="6"/>
  <c r="D718" i="6" s="1"/>
  <c r="E718" i="6" s="1"/>
  <c r="J717" i="6"/>
  <c r="I717" i="6"/>
  <c r="G717" i="6"/>
  <c r="F717" i="6"/>
  <c r="C717" i="6"/>
  <c r="D717" i="6" s="1"/>
  <c r="E717" i="6" s="1"/>
  <c r="J716" i="6"/>
  <c r="I716" i="6"/>
  <c r="G716" i="6"/>
  <c r="F716" i="6"/>
  <c r="C716" i="6"/>
  <c r="D716" i="6" s="1"/>
  <c r="E716" i="6" s="1"/>
  <c r="J715" i="6"/>
  <c r="I715" i="6"/>
  <c r="G715" i="6"/>
  <c r="F715" i="6"/>
  <c r="C715" i="6"/>
  <c r="D715" i="6" s="1"/>
  <c r="E715" i="6" s="1"/>
  <c r="J714" i="6"/>
  <c r="I714" i="6"/>
  <c r="G714" i="6"/>
  <c r="F714" i="6"/>
  <c r="C714" i="6"/>
  <c r="D714" i="6" s="1"/>
  <c r="E714" i="6" s="1"/>
  <c r="J713" i="6"/>
  <c r="I713" i="6"/>
  <c r="G713" i="6"/>
  <c r="F713" i="6"/>
  <c r="C713" i="6"/>
  <c r="D713" i="6" s="1"/>
  <c r="E713" i="6" s="1"/>
  <c r="J712" i="6"/>
  <c r="I712" i="6"/>
  <c r="G712" i="6"/>
  <c r="F712" i="6"/>
  <c r="C712" i="6"/>
  <c r="D712" i="6" s="1"/>
  <c r="E712" i="6" s="1"/>
  <c r="J711" i="6"/>
  <c r="I711" i="6"/>
  <c r="G711" i="6"/>
  <c r="F711" i="6"/>
  <c r="C711" i="6"/>
  <c r="D711" i="6" s="1"/>
  <c r="E711" i="6" s="1"/>
  <c r="J710" i="6"/>
  <c r="I710" i="6"/>
  <c r="G710" i="6"/>
  <c r="F710" i="6"/>
  <c r="C710" i="6"/>
  <c r="D710" i="6" s="1"/>
  <c r="E710" i="6" s="1"/>
  <c r="J709" i="6"/>
  <c r="I709" i="6"/>
  <c r="G709" i="6"/>
  <c r="F709" i="6"/>
  <c r="C709" i="6"/>
  <c r="D709" i="6" s="1"/>
  <c r="E709" i="6" s="1"/>
  <c r="J708" i="6"/>
  <c r="I708" i="6"/>
  <c r="G708" i="6"/>
  <c r="F708" i="6"/>
  <c r="C708" i="6"/>
  <c r="D708" i="6" s="1"/>
  <c r="E708" i="6" s="1"/>
  <c r="J707" i="6"/>
  <c r="I707" i="6"/>
  <c r="G707" i="6"/>
  <c r="F707" i="6"/>
  <c r="C707" i="6"/>
  <c r="D707" i="6" s="1"/>
  <c r="E707" i="6" s="1"/>
  <c r="J706" i="6"/>
  <c r="I706" i="6"/>
  <c r="G706" i="6"/>
  <c r="F706" i="6"/>
  <c r="C706" i="6"/>
  <c r="D706" i="6" s="1"/>
  <c r="E706" i="6" s="1"/>
  <c r="J705" i="6"/>
  <c r="I705" i="6"/>
  <c r="G705" i="6"/>
  <c r="F705" i="6"/>
  <c r="C705" i="6"/>
  <c r="D705" i="6" s="1"/>
  <c r="E705" i="6" s="1"/>
  <c r="J704" i="6"/>
  <c r="I704" i="6"/>
  <c r="G704" i="6"/>
  <c r="F704" i="6"/>
  <c r="C704" i="6"/>
  <c r="D704" i="6" s="1"/>
  <c r="E704" i="6" s="1"/>
  <c r="J703" i="6"/>
  <c r="I703" i="6"/>
  <c r="G703" i="6"/>
  <c r="F703" i="6"/>
  <c r="C703" i="6"/>
  <c r="D703" i="6" s="1"/>
  <c r="E703" i="6" s="1"/>
  <c r="J702" i="6"/>
  <c r="I702" i="6"/>
  <c r="G702" i="6"/>
  <c r="F702" i="6"/>
  <c r="C702" i="6"/>
  <c r="D702" i="6" s="1"/>
  <c r="E702" i="6" s="1"/>
  <c r="J701" i="6"/>
  <c r="I701" i="6"/>
  <c r="G701" i="6"/>
  <c r="F701" i="6"/>
  <c r="C701" i="6"/>
  <c r="D701" i="6" s="1"/>
  <c r="E701" i="6" s="1"/>
  <c r="J700" i="6"/>
  <c r="I700" i="6"/>
  <c r="G700" i="6"/>
  <c r="F700" i="6"/>
  <c r="C700" i="6"/>
  <c r="D700" i="6" s="1"/>
  <c r="E700" i="6" s="1"/>
  <c r="J699" i="6"/>
  <c r="I699" i="6"/>
  <c r="G699" i="6"/>
  <c r="F699" i="6"/>
  <c r="C699" i="6"/>
  <c r="D699" i="6" s="1"/>
  <c r="E699" i="6" s="1"/>
  <c r="J698" i="6"/>
  <c r="I698" i="6"/>
  <c r="G698" i="6"/>
  <c r="F698" i="6"/>
  <c r="C698" i="6"/>
  <c r="D698" i="6" s="1"/>
  <c r="E698" i="6" s="1"/>
  <c r="J697" i="6"/>
  <c r="I697" i="6"/>
  <c r="G697" i="6"/>
  <c r="F697" i="6"/>
  <c r="C697" i="6"/>
  <c r="D697" i="6" s="1"/>
  <c r="E697" i="6" s="1"/>
  <c r="J696" i="6"/>
  <c r="I696" i="6"/>
  <c r="G696" i="6"/>
  <c r="F696" i="6"/>
  <c r="C696" i="6"/>
  <c r="D696" i="6" s="1"/>
  <c r="E696" i="6" s="1"/>
  <c r="J695" i="6"/>
  <c r="I695" i="6"/>
  <c r="G695" i="6"/>
  <c r="F695" i="6"/>
  <c r="C695" i="6"/>
  <c r="D695" i="6" s="1"/>
  <c r="E695" i="6" s="1"/>
  <c r="J694" i="6"/>
  <c r="I694" i="6"/>
  <c r="G694" i="6"/>
  <c r="F694" i="6"/>
  <c r="C694" i="6"/>
  <c r="D694" i="6" s="1"/>
  <c r="E694" i="6" s="1"/>
  <c r="J693" i="6"/>
  <c r="I693" i="6"/>
  <c r="G693" i="6"/>
  <c r="F693" i="6"/>
  <c r="C693" i="6"/>
  <c r="D693" i="6" s="1"/>
  <c r="E693" i="6" s="1"/>
  <c r="J692" i="6"/>
  <c r="I692" i="6"/>
  <c r="G692" i="6"/>
  <c r="F692" i="6"/>
  <c r="C692" i="6"/>
  <c r="D692" i="6" s="1"/>
  <c r="E692" i="6" s="1"/>
  <c r="J691" i="6"/>
  <c r="I691" i="6"/>
  <c r="G691" i="6"/>
  <c r="F691" i="6"/>
  <c r="C691" i="6"/>
  <c r="D691" i="6" s="1"/>
  <c r="E691" i="6" s="1"/>
  <c r="J690" i="6"/>
  <c r="I690" i="6"/>
  <c r="G690" i="6"/>
  <c r="F690" i="6"/>
  <c r="C690" i="6"/>
  <c r="D690" i="6" s="1"/>
  <c r="E690" i="6" s="1"/>
  <c r="J689" i="6"/>
  <c r="I689" i="6"/>
  <c r="G689" i="6"/>
  <c r="F689" i="6"/>
  <c r="C689" i="6"/>
  <c r="D689" i="6" s="1"/>
  <c r="E689" i="6" s="1"/>
  <c r="J688" i="6"/>
  <c r="I688" i="6"/>
  <c r="G688" i="6"/>
  <c r="F688" i="6"/>
  <c r="C688" i="6"/>
  <c r="D688" i="6" s="1"/>
  <c r="E688" i="6" s="1"/>
  <c r="J687" i="6"/>
  <c r="I687" i="6"/>
  <c r="G687" i="6"/>
  <c r="F687" i="6"/>
  <c r="C687" i="6"/>
  <c r="D687" i="6" s="1"/>
  <c r="E687" i="6" s="1"/>
  <c r="J686" i="6"/>
  <c r="I686" i="6"/>
  <c r="G686" i="6"/>
  <c r="F686" i="6"/>
  <c r="C686" i="6"/>
  <c r="D686" i="6" s="1"/>
  <c r="E686" i="6" s="1"/>
  <c r="J685" i="6"/>
  <c r="I685" i="6"/>
  <c r="G685" i="6"/>
  <c r="F685" i="6"/>
  <c r="C685" i="6"/>
  <c r="D685" i="6" s="1"/>
  <c r="E685" i="6" s="1"/>
  <c r="J684" i="6"/>
  <c r="I684" i="6"/>
  <c r="G684" i="6"/>
  <c r="F684" i="6"/>
  <c r="C684" i="6"/>
  <c r="D684" i="6" s="1"/>
  <c r="E684" i="6" s="1"/>
  <c r="J683" i="6"/>
  <c r="I683" i="6"/>
  <c r="G683" i="6"/>
  <c r="F683" i="6"/>
  <c r="C683" i="6"/>
  <c r="D683" i="6" s="1"/>
  <c r="E683" i="6" s="1"/>
  <c r="J682" i="6"/>
  <c r="I682" i="6"/>
  <c r="G682" i="6"/>
  <c r="F682" i="6"/>
  <c r="C682" i="6"/>
  <c r="D682" i="6" s="1"/>
  <c r="E682" i="6" s="1"/>
  <c r="J681" i="6"/>
  <c r="I681" i="6"/>
  <c r="G681" i="6"/>
  <c r="F681" i="6"/>
  <c r="C681" i="6"/>
  <c r="D681" i="6" s="1"/>
  <c r="E681" i="6" s="1"/>
  <c r="J680" i="6"/>
  <c r="I680" i="6"/>
  <c r="G680" i="6"/>
  <c r="F680" i="6"/>
  <c r="C680" i="6"/>
  <c r="D680" i="6" s="1"/>
  <c r="E680" i="6" s="1"/>
  <c r="J679" i="6"/>
  <c r="I679" i="6"/>
  <c r="G679" i="6"/>
  <c r="F679" i="6"/>
  <c r="C679" i="6"/>
  <c r="D679" i="6" s="1"/>
  <c r="E679" i="6" s="1"/>
  <c r="J678" i="6"/>
  <c r="I678" i="6"/>
  <c r="G678" i="6"/>
  <c r="F678" i="6"/>
  <c r="C678" i="6"/>
  <c r="D678" i="6" s="1"/>
  <c r="E678" i="6" s="1"/>
  <c r="J677" i="6"/>
  <c r="I677" i="6"/>
  <c r="G677" i="6"/>
  <c r="F677" i="6"/>
  <c r="C677" i="6"/>
  <c r="D677" i="6" s="1"/>
  <c r="E677" i="6" s="1"/>
  <c r="J676" i="6"/>
  <c r="I676" i="6"/>
  <c r="G676" i="6"/>
  <c r="F676" i="6"/>
  <c r="C676" i="6"/>
  <c r="D676" i="6" s="1"/>
  <c r="E676" i="6" s="1"/>
  <c r="J675" i="6"/>
  <c r="I675" i="6"/>
  <c r="G675" i="6"/>
  <c r="F675" i="6"/>
  <c r="C675" i="6"/>
  <c r="D675" i="6" s="1"/>
  <c r="E675" i="6" s="1"/>
  <c r="J674" i="6"/>
  <c r="I674" i="6"/>
  <c r="G674" i="6"/>
  <c r="F674" i="6"/>
  <c r="C674" i="6"/>
  <c r="D674" i="6" s="1"/>
  <c r="E674" i="6" s="1"/>
  <c r="J673" i="6"/>
  <c r="I673" i="6"/>
  <c r="G673" i="6"/>
  <c r="F673" i="6"/>
  <c r="C673" i="6"/>
  <c r="D673" i="6" s="1"/>
  <c r="E673" i="6" s="1"/>
  <c r="J672" i="6"/>
  <c r="I672" i="6"/>
  <c r="G672" i="6"/>
  <c r="F672" i="6"/>
  <c r="C672" i="6"/>
  <c r="D672" i="6" s="1"/>
  <c r="E672" i="6" s="1"/>
  <c r="J671" i="6"/>
  <c r="I671" i="6"/>
  <c r="G671" i="6"/>
  <c r="F671" i="6"/>
  <c r="C671" i="6"/>
  <c r="D671" i="6" s="1"/>
  <c r="E671" i="6" s="1"/>
  <c r="J670" i="6"/>
  <c r="I670" i="6"/>
  <c r="G670" i="6"/>
  <c r="F670" i="6"/>
  <c r="C670" i="6"/>
  <c r="D670" i="6" s="1"/>
  <c r="E670" i="6" s="1"/>
  <c r="J669" i="6"/>
  <c r="I669" i="6"/>
  <c r="G669" i="6"/>
  <c r="F669" i="6"/>
  <c r="C669" i="6"/>
  <c r="D669" i="6" s="1"/>
  <c r="E669" i="6" s="1"/>
  <c r="J668" i="6"/>
  <c r="I668" i="6"/>
  <c r="G668" i="6"/>
  <c r="F668" i="6"/>
  <c r="C668" i="6"/>
  <c r="D668" i="6" s="1"/>
  <c r="E668" i="6" s="1"/>
  <c r="J667" i="6"/>
  <c r="I667" i="6"/>
  <c r="G667" i="6"/>
  <c r="F667" i="6"/>
  <c r="C667" i="6"/>
  <c r="D667" i="6" s="1"/>
  <c r="E667" i="6" s="1"/>
  <c r="J666" i="6"/>
  <c r="I666" i="6"/>
  <c r="G666" i="6"/>
  <c r="F666" i="6"/>
  <c r="C666" i="6"/>
  <c r="D666" i="6" s="1"/>
  <c r="E666" i="6" s="1"/>
  <c r="J665" i="6"/>
  <c r="I665" i="6"/>
  <c r="G665" i="6"/>
  <c r="F665" i="6"/>
  <c r="C665" i="6"/>
  <c r="D665" i="6" s="1"/>
  <c r="E665" i="6" s="1"/>
  <c r="J664" i="6"/>
  <c r="I664" i="6"/>
  <c r="G664" i="6"/>
  <c r="F664" i="6"/>
  <c r="C664" i="6"/>
  <c r="D664" i="6" s="1"/>
  <c r="E664" i="6" s="1"/>
  <c r="J663" i="6"/>
  <c r="I663" i="6"/>
  <c r="G663" i="6"/>
  <c r="F663" i="6"/>
  <c r="C663" i="6"/>
  <c r="D663" i="6" s="1"/>
  <c r="E663" i="6" s="1"/>
  <c r="J662" i="6"/>
  <c r="I662" i="6"/>
  <c r="G662" i="6"/>
  <c r="F662" i="6"/>
  <c r="C662" i="6"/>
  <c r="D662" i="6" s="1"/>
  <c r="E662" i="6" s="1"/>
  <c r="J661" i="6"/>
  <c r="I661" i="6"/>
  <c r="G661" i="6"/>
  <c r="F661" i="6"/>
  <c r="C661" i="6"/>
  <c r="D661" i="6" s="1"/>
  <c r="E661" i="6" s="1"/>
  <c r="J660" i="6"/>
  <c r="I660" i="6"/>
  <c r="G660" i="6"/>
  <c r="F660" i="6"/>
  <c r="C660" i="6"/>
  <c r="D660" i="6" s="1"/>
  <c r="E660" i="6" s="1"/>
  <c r="J659" i="6"/>
  <c r="I659" i="6"/>
  <c r="G659" i="6"/>
  <c r="F659" i="6"/>
  <c r="C659" i="6"/>
  <c r="D659" i="6" s="1"/>
  <c r="E659" i="6" s="1"/>
  <c r="J658" i="6"/>
  <c r="I658" i="6"/>
  <c r="G658" i="6"/>
  <c r="F658" i="6"/>
  <c r="C658" i="6"/>
  <c r="D658" i="6" s="1"/>
  <c r="E658" i="6" s="1"/>
  <c r="J657" i="6"/>
  <c r="I657" i="6"/>
  <c r="G657" i="6"/>
  <c r="F657" i="6"/>
  <c r="C657" i="6"/>
  <c r="D657" i="6" s="1"/>
  <c r="E657" i="6" s="1"/>
  <c r="J656" i="6"/>
  <c r="I656" i="6"/>
  <c r="G656" i="6"/>
  <c r="F656" i="6"/>
  <c r="C656" i="6"/>
  <c r="D656" i="6" s="1"/>
  <c r="E656" i="6" s="1"/>
  <c r="J655" i="6"/>
  <c r="I655" i="6"/>
  <c r="G655" i="6"/>
  <c r="F655" i="6"/>
  <c r="C655" i="6"/>
  <c r="D655" i="6" s="1"/>
  <c r="E655" i="6" s="1"/>
  <c r="J654" i="6"/>
  <c r="I654" i="6"/>
  <c r="G654" i="6"/>
  <c r="F654" i="6"/>
  <c r="C654" i="6"/>
  <c r="D654" i="6" s="1"/>
  <c r="E654" i="6" s="1"/>
  <c r="J653" i="6"/>
  <c r="I653" i="6"/>
  <c r="G653" i="6"/>
  <c r="F653" i="6"/>
  <c r="C653" i="6"/>
  <c r="D653" i="6" s="1"/>
  <c r="E653" i="6" s="1"/>
  <c r="J652" i="6"/>
  <c r="I652" i="6"/>
  <c r="G652" i="6"/>
  <c r="F652" i="6"/>
  <c r="C652" i="6"/>
  <c r="D652" i="6" s="1"/>
  <c r="E652" i="6" s="1"/>
  <c r="J651" i="6"/>
  <c r="I651" i="6"/>
  <c r="G651" i="6"/>
  <c r="F651" i="6"/>
  <c r="C651" i="6"/>
  <c r="D651" i="6" s="1"/>
  <c r="E651" i="6" s="1"/>
  <c r="J650" i="6"/>
  <c r="I650" i="6"/>
  <c r="G650" i="6"/>
  <c r="F650" i="6"/>
  <c r="C650" i="6"/>
  <c r="D650" i="6" s="1"/>
  <c r="E650" i="6" s="1"/>
  <c r="J649" i="6"/>
  <c r="I649" i="6"/>
  <c r="G649" i="6"/>
  <c r="F649" i="6"/>
  <c r="C649" i="6"/>
  <c r="D649" i="6" s="1"/>
  <c r="E649" i="6" s="1"/>
  <c r="J648" i="6"/>
  <c r="I648" i="6"/>
  <c r="G648" i="6"/>
  <c r="F648" i="6"/>
  <c r="C648" i="6"/>
  <c r="D648" i="6" s="1"/>
  <c r="E648" i="6" s="1"/>
  <c r="J647" i="6"/>
  <c r="I647" i="6"/>
  <c r="G647" i="6"/>
  <c r="F647" i="6"/>
  <c r="C647" i="6"/>
  <c r="D647" i="6" s="1"/>
  <c r="E647" i="6" s="1"/>
  <c r="J646" i="6"/>
  <c r="I646" i="6"/>
  <c r="G646" i="6"/>
  <c r="F646" i="6"/>
  <c r="C646" i="6"/>
  <c r="D646" i="6" s="1"/>
  <c r="E646" i="6" s="1"/>
  <c r="J645" i="6"/>
  <c r="I645" i="6"/>
  <c r="G645" i="6"/>
  <c r="F645" i="6"/>
  <c r="C645" i="6"/>
  <c r="D645" i="6" s="1"/>
  <c r="E645" i="6" s="1"/>
  <c r="J644" i="6"/>
  <c r="I644" i="6"/>
  <c r="G644" i="6"/>
  <c r="F644" i="6"/>
  <c r="C644" i="6"/>
  <c r="D644" i="6" s="1"/>
  <c r="E644" i="6" s="1"/>
  <c r="J643" i="6"/>
  <c r="I643" i="6"/>
  <c r="G643" i="6"/>
  <c r="F643" i="6"/>
  <c r="C643" i="6"/>
  <c r="D643" i="6" s="1"/>
  <c r="E643" i="6" s="1"/>
  <c r="J642" i="6"/>
  <c r="I642" i="6"/>
  <c r="G642" i="6"/>
  <c r="F642" i="6"/>
  <c r="C642" i="6"/>
  <c r="D642" i="6" s="1"/>
  <c r="E642" i="6" s="1"/>
  <c r="J641" i="6"/>
  <c r="I641" i="6"/>
  <c r="G641" i="6"/>
  <c r="F641" i="6"/>
  <c r="C641" i="6"/>
  <c r="D641" i="6" s="1"/>
  <c r="E641" i="6" s="1"/>
  <c r="J640" i="6"/>
  <c r="I640" i="6"/>
  <c r="G640" i="6"/>
  <c r="F640" i="6"/>
  <c r="C640" i="6"/>
  <c r="D640" i="6" s="1"/>
  <c r="E640" i="6" s="1"/>
  <c r="H640" i="6" s="1"/>
  <c r="J639" i="6"/>
  <c r="I639" i="6"/>
  <c r="G639" i="6"/>
  <c r="F639" i="6"/>
  <c r="C639" i="6"/>
  <c r="D639" i="6" s="1"/>
  <c r="E639" i="6" s="1"/>
  <c r="J638" i="6"/>
  <c r="I638" i="6"/>
  <c r="G638" i="6"/>
  <c r="F638" i="6"/>
  <c r="C638" i="6"/>
  <c r="D638" i="6" s="1"/>
  <c r="E638" i="6" s="1"/>
  <c r="J637" i="6"/>
  <c r="I637" i="6"/>
  <c r="G637" i="6"/>
  <c r="F637" i="6"/>
  <c r="C637" i="6"/>
  <c r="D637" i="6" s="1"/>
  <c r="E637" i="6" s="1"/>
  <c r="J636" i="6"/>
  <c r="I636" i="6"/>
  <c r="G636" i="6"/>
  <c r="F636" i="6"/>
  <c r="C636" i="6"/>
  <c r="D636" i="6" s="1"/>
  <c r="E636" i="6" s="1"/>
  <c r="J635" i="6"/>
  <c r="I635" i="6"/>
  <c r="G635" i="6"/>
  <c r="F635" i="6"/>
  <c r="C635" i="6"/>
  <c r="D635" i="6" s="1"/>
  <c r="E635" i="6" s="1"/>
  <c r="J634" i="6"/>
  <c r="I634" i="6"/>
  <c r="G634" i="6"/>
  <c r="F634" i="6"/>
  <c r="C634" i="6"/>
  <c r="D634" i="6" s="1"/>
  <c r="E634" i="6" s="1"/>
  <c r="J633" i="6"/>
  <c r="I633" i="6"/>
  <c r="G633" i="6"/>
  <c r="F633" i="6"/>
  <c r="C633" i="6"/>
  <c r="D633" i="6" s="1"/>
  <c r="E633" i="6" s="1"/>
  <c r="J632" i="6"/>
  <c r="I632" i="6"/>
  <c r="G632" i="6"/>
  <c r="F632" i="6"/>
  <c r="C632" i="6"/>
  <c r="D632" i="6" s="1"/>
  <c r="E632" i="6" s="1"/>
  <c r="J631" i="6"/>
  <c r="I631" i="6"/>
  <c r="G631" i="6"/>
  <c r="F631" i="6"/>
  <c r="C631" i="6"/>
  <c r="D631" i="6" s="1"/>
  <c r="E631" i="6" s="1"/>
  <c r="J630" i="6"/>
  <c r="I630" i="6"/>
  <c r="G630" i="6"/>
  <c r="F630" i="6"/>
  <c r="C630" i="6"/>
  <c r="D630" i="6" s="1"/>
  <c r="E630" i="6" s="1"/>
  <c r="J629" i="6"/>
  <c r="I629" i="6"/>
  <c r="G629" i="6"/>
  <c r="F629" i="6"/>
  <c r="C629" i="6"/>
  <c r="D629" i="6" s="1"/>
  <c r="E629" i="6" s="1"/>
  <c r="J628" i="6"/>
  <c r="I628" i="6"/>
  <c r="G628" i="6"/>
  <c r="F628" i="6"/>
  <c r="C628" i="6"/>
  <c r="D628" i="6" s="1"/>
  <c r="E628" i="6" s="1"/>
  <c r="J627" i="6"/>
  <c r="I627" i="6"/>
  <c r="G627" i="6"/>
  <c r="F627" i="6"/>
  <c r="C627" i="6"/>
  <c r="D627" i="6" s="1"/>
  <c r="E627" i="6" s="1"/>
  <c r="J626" i="6"/>
  <c r="I626" i="6"/>
  <c r="G626" i="6"/>
  <c r="F626" i="6"/>
  <c r="C626" i="6"/>
  <c r="D626" i="6" s="1"/>
  <c r="E626" i="6" s="1"/>
  <c r="J625" i="6"/>
  <c r="I625" i="6"/>
  <c r="G625" i="6"/>
  <c r="F625" i="6"/>
  <c r="C625" i="6"/>
  <c r="D625" i="6" s="1"/>
  <c r="E625" i="6" s="1"/>
  <c r="J624" i="6"/>
  <c r="I624" i="6"/>
  <c r="G624" i="6"/>
  <c r="F624" i="6"/>
  <c r="C624" i="6"/>
  <c r="D624" i="6" s="1"/>
  <c r="E624" i="6" s="1"/>
  <c r="J623" i="6"/>
  <c r="I623" i="6"/>
  <c r="G623" i="6"/>
  <c r="F623" i="6"/>
  <c r="C623" i="6"/>
  <c r="D623" i="6" s="1"/>
  <c r="E623" i="6" s="1"/>
  <c r="J622" i="6"/>
  <c r="I622" i="6"/>
  <c r="G622" i="6"/>
  <c r="F622" i="6"/>
  <c r="C622" i="6"/>
  <c r="D622" i="6" s="1"/>
  <c r="E622" i="6" s="1"/>
  <c r="J621" i="6"/>
  <c r="I621" i="6"/>
  <c r="G621" i="6"/>
  <c r="F621" i="6"/>
  <c r="C621" i="6"/>
  <c r="D621" i="6" s="1"/>
  <c r="E621" i="6" s="1"/>
  <c r="J620" i="6"/>
  <c r="I620" i="6"/>
  <c r="G620" i="6"/>
  <c r="F620" i="6"/>
  <c r="C620" i="6"/>
  <c r="D620" i="6" s="1"/>
  <c r="E620" i="6" s="1"/>
  <c r="J619" i="6"/>
  <c r="I619" i="6"/>
  <c r="G619" i="6"/>
  <c r="F619" i="6"/>
  <c r="C619" i="6"/>
  <c r="D619" i="6" s="1"/>
  <c r="E619" i="6" s="1"/>
  <c r="J618" i="6"/>
  <c r="I618" i="6"/>
  <c r="G618" i="6"/>
  <c r="F618" i="6"/>
  <c r="C618" i="6"/>
  <c r="D618" i="6" s="1"/>
  <c r="E618" i="6" s="1"/>
  <c r="J617" i="6"/>
  <c r="I617" i="6"/>
  <c r="G617" i="6"/>
  <c r="F617" i="6"/>
  <c r="C617" i="6"/>
  <c r="D617" i="6" s="1"/>
  <c r="E617" i="6" s="1"/>
  <c r="J616" i="6"/>
  <c r="I616" i="6"/>
  <c r="G616" i="6"/>
  <c r="F616" i="6"/>
  <c r="C616" i="6"/>
  <c r="D616" i="6" s="1"/>
  <c r="E616" i="6" s="1"/>
  <c r="J615" i="6"/>
  <c r="I615" i="6"/>
  <c r="G615" i="6"/>
  <c r="F615" i="6"/>
  <c r="C615" i="6"/>
  <c r="D615" i="6" s="1"/>
  <c r="E615" i="6" s="1"/>
  <c r="J614" i="6"/>
  <c r="I614" i="6"/>
  <c r="G614" i="6"/>
  <c r="F614" i="6"/>
  <c r="C614" i="6"/>
  <c r="D614" i="6" s="1"/>
  <c r="E614" i="6" s="1"/>
  <c r="J613" i="6"/>
  <c r="I613" i="6"/>
  <c r="G613" i="6"/>
  <c r="F613" i="6"/>
  <c r="C613" i="6"/>
  <c r="D613" i="6" s="1"/>
  <c r="E613" i="6" s="1"/>
  <c r="J612" i="6"/>
  <c r="I612" i="6"/>
  <c r="G612" i="6"/>
  <c r="F612" i="6"/>
  <c r="C612" i="6"/>
  <c r="D612" i="6" s="1"/>
  <c r="E612" i="6" s="1"/>
  <c r="J611" i="6"/>
  <c r="I611" i="6"/>
  <c r="G611" i="6"/>
  <c r="F611" i="6"/>
  <c r="C611" i="6"/>
  <c r="D611" i="6" s="1"/>
  <c r="E611" i="6" s="1"/>
  <c r="J610" i="6"/>
  <c r="I610" i="6"/>
  <c r="G610" i="6"/>
  <c r="F610" i="6"/>
  <c r="C610" i="6"/>
  <c r="D610" i="6" s="1"/>
  <c r="E610" i="6" s="1"/>
  <c r="J609" i="6"/>
  <c r="I609" i="6"/>
  <c r="G609" i="6"/>
  <c r="F609" i="6"/>
  <c r="C609" i="6"/>
  <c r="D609" i="6" s="1"/>
  <c r="E609" i="6" s="1"/>
  <c r="J608" i="6"/>
  <c r="I608" i="6"/>
  <c r="G608" i="6"/>
  <c r="F608" i="6"/>
  <c r="C608" i="6"/>
  <c r="D608" i="6" s="1"/>
  <c r="E608" i="6" s="1"/>
  <c r="J607" i="6"/>
  <c r="I607" i="6"/>
  <c r="G607" i="6"/>
  <c r="F607" i="6"/>
  <c r="C607" i="6"/>
  <c r="D607" i="6" s="1"/>
  <c r="E607" i="6" s="1"/>
  <c r="J606" i="6"/>
  <c r="I606" i="6"/>
  <c r="G606" i="6"/>
  <c r="F606" i="6"/>
  <c r="C606" i="6"/>
  <c r="D606" i="6" s="1"/>
  <c r="E606" i="6" s="1"/>
  <c r="J605" i="6"/>
  <c r="I605" i="6"/>
  <c r="G605" i="6"/>
  <c r="F605" i="6"/>
  <c r="C605" i="6"/>
  <c r="D605" i="6" s="1"/>
  <c r="E605" i="6" s="1"/>
  <c r="J604" i="6"/>
  <c r="I604" i="6"/>
  <c r="G604" i="6"/>
  <c r="F604" i="6"/>
  <c r="C604" i="6"/>
  <c r="D604" i="6" s="1"/>
  <c r="E604" i="6" s="1"/>
  <c r="J603" i="6"/>
  <c r="I603" i="6"/>
  <c r="G603" i="6"/>
  <c r="F603" i="6"/>
  <c r="C603" i="6"/>
  <c r="D603" i="6" s="1"/>
  <c r="E603" i="6" s="1"/>
  <c r="J602" i="6"/>
  <c r="I602" i="6"/>
  <c r="G602" i="6"/>
  <c r="F602" i="6"/>
  <c r="C602" i="6"/>
  <c r="D602" i="6" s="1"/>
  <c r="E602" i="6" s="1"/>
  <c r="J601" i="6"/>
  <c r="I601" i="6"/>
  <c r="G601" i="6"/>
  <c r="F601" i="6"/>
  <c r="C601" i="6"/>
  <c r="D601" i="6" s="1"/>
  <c r="E601" i="6" s="1"/>
  <c r="J600" i="6"/>
  <c r="I600" i="6"/>
  <c r="G600" i="6"/>
  <c r="F600" i="6"/>
  <c r="C600" i="6"/>
  <c r="D600" i="6" s="1"/>
  <c r="E600" i="6" s="1"/>
  <c r="J599" i="6"/>
  <c r="I599" i="6"/>
  <c r="G599" i="6"/>
  <c r="F599" i="6"/>
  <c r="C599" i="6"/>
  <c r="D599" i="6" s="1"/>
  <c r="E599" i="6" s="1"/>
  <c r="J598" i="6"/>
  <c r="I598" i="6"/>
  <c r="G598" i="6"/>
  <c r="F598" i="6"/>
  <c r="C598" i="6"/>
  <c r="D598" i="6" s="1"/>
  <c r="E598" i="6" s="1"/>
  <c r="J597" i="6"/>
  <c r="I597" i="6"/>
  <c r="G597" i="6"/>
  <c r="F597" i="6"/>
  <c r="C597" i="6"/>
  <c r="D597" i="6" s="1"/>
  <c r="E597" i="6" s="1"/>
  <c r="J596" i="6"/>
  <c r="I596" i="6"/>
  <c r="G596" i="6"/>
  <c r="F596" i="6"/>
  <c r="C596" i="6"/>
  <c r="D596" i="6" s="1"/>
  <c r="E596" i="6" s="1"/>
  <c r="J595" i="6"/>
  <c r="I595" i="6"/>
  <c r="G595" i="6"/>
  <c r="F595" i="6"/>
  <c r="C595" i="6"/>
  <c r="D595" i="6" s="1"/>
  <c r="E595" i="6" s="1"/>
  <c r="J594" i="6"/>
  <c r="I594" i="6"/>
  <c r="G594" i="6"/>
  <c r="F594" i="6"/>
  <c r="C594" i="6"/>
  <c r="D594" i="6" s="1"/>
  <c r="E594" i="6" s="1"/>
  <c r="J593" i="6"/>
  <c r="I593" i="6"/>
  <c r="G593" i="6"/>
  <c r="F593" i="6"/>
  <c r="C593" i="6"/>
  <c r="D593" i="6" s="1"/>
  <c r="E593" i="6" s="1"/>
  <c r="J592" i="6"/>
  <c r="I592" i="6"/>
  <c r="G592" i="6"/>
  <c r="F592" i="6"/>
  <c r="C592" i="6"/>
  <c r="D592" i="6" s="1"/>
  <c r="E592" i="6" s="1"/>
  <c r="J591" i="6"/>
  <c r="I591" i="6"/>
  <c r="G591" i="6"/>
  <c r="F591" i="6"/>
  <c r="C591" i="6"/>
  <c r="D591" i="6" s="1"/>
  <c r="E591" i="6" s="1"/>
  <c r="J590" i="6"/>
  <c r="I590" i="6"/>
  <c r="G590" i="6"/>
  <c r="F590" i="6"/>
  <c r="C590" i="6"/>
  <c r="D590" i="6" s="1"/>
  <c r="E590" i="6" s="1"/>
  <c r="J589" i="6"/>
  <c r="I589" i="6"/>
  <c r="G589" i="6"/>
  <c r="F589" i="6"/>
  <c r="C589" i="6"/>
  <c r="D589" i="6" s="1"/>
  <c r="E589" i="6" s="1"/>
  <c r="J588" i="6"/>
  <c r="I588" i="6"/>
  <c r="G588" i="6"/>
  <c r="F588" i="6"/>
  <c r="C588" i="6"/>
  <c r="D588" i="6" s="1"/>
  <c r="E588" i="6" s="1"/>
  <c r="J587" i="6"/>
  <c r="I587" i="6"/>
  <c r="G587" i="6"/>
  <c r="F587" i="6"/>
  <c r="C587" i="6"/>
  <c r="D587" i="6" s="1"/>
  <c r="E587" i="6" s="1"/>
  <c r="J586" i="6"/>
  <c r="I586" i="6"/>
  <c r="G586" i="6"/>
  <c r="F586" i="6"/>
  <c r="C586" i="6"/>
  <c r="D586" i="6" s="1"/>
  <c r="E586" i="6" s="1"/>
  <c r="J585" i="6"/>
  <c r="I585" i="6"/>
  <c r="G585" i="6"/>
  <c r="F585" i="6"/>
  <c r="C585" i="6"/>
  <c r="D585" i="6" s="1"/>
  <c r="E585" i="6" s="1"/>
  <c r="J584" i="6"/>
  <c r="I584" i="6"/>
  <c r="G584" i="6"/>
  <c r="F584" i="6"/>
  <c r="C584" i="6"/>
  <c r="D584" i="6" s="1"/>
  <c r="E584" i="6" s="1"/>
  <c r="J583" i="6"/>
  <c r="I583" i="6"/>
  <c r="G583" i="6"/>
  <c r="F583" i="6"/>
  <c r="C583" i="6"/>
  <c r="D583" i="6" s="1"/>
  <c r="E583" i="6" s="1"/>
  <c r="J582" i="6"/>
  <c r="I582" i="6"/>
  <c r="G582" i="6"/>
  <c r="F582" i="6"/>
  <c r="C582" i="6"/>
  <c r="D582" i="6" s="1"/>
  <c r="E582" i="6" s="1"/>
  <c r="J581" i="6"/>
  <c r="I581" i="6"/>
  <c r="G581" i="6"/>
  <c r="F581" i="6"/>
  <c r="C581" i="6"/>
  <c r="D581" i="6" s="1"/>
  <c r="E581" i="6" s="1"/>
  <c r="J580" i="6"/>
  <c r="I580" i="6"/>
  <c r="G580" i="6"/>
  <c r="F580" i="6"/>
  <c r="C580" i="6"/>
  <c r="D580" i="6" s="1"/>
  <c r="E580" i="6" s="1"/>
  <c r="J579" i="6"/>
  <c r="I579" i="6"/>
  <c r="G579" i="6"/>
  <c r="F579" i="6"/>
  <c r="C579" i="6"/>
  <c r="D579" i="6" s="1"/>
  <c r="E579" i="6" s="1"/>
  <c r="J578" i="6"/>
  <c r="I578" i="6"/>
  <c r="G578" i="6"/>
  <c r="F578" i="6"/>
  <c r="C578" i="6"/>
  <c r="D578" i="6" s="1"/>
  <c r="E578" i="6" s="1"/>
  <c r="J577" i="6"/>
  <c r="I577" i="6"/>
  <c r="G577" i="6"/>
  <c r="F577" i="6"/>
  <c r="C577" i="6"/>
  <c r="D577" i="6" s="1"/>
  <c r="E577" i="6" s="1"/>
  <c r="J576" i="6"/>
  <c r="I576" i="6"/>
  <c r="G576" i="6"/>
  <c r="F576" i="6"/>
  <c r="C576" i="6"/>
  <c r="D576" i="6" s="1"/>
  <c r="E576" i="6" s="1"/>
  <c r="J575" i="6"/>
  <c r="I575" i="6"/>
  <c r="G575" i="6"/>
  <c r="F575" i="6"/>
  <c r="C575" i="6"/>
  <c r="D575" i="6" s="1"/>
  <c r="E575" i="6" s="1"/>
  <c r="J574" i="6"/>
  <c r="I574" i="6"/>
  <c r="G574" i="6"/>
  <c r="F574" i="6"/>
  <c r="C574" i="6"/>
  <c r="D574" i="6" s="1"/>
  <c r="E574" i="6" s="1"/>
  <c r="J573" i="6"/>
  <c r="I573" i="6"/>
  <c r="G573" i="6"/>
  <c r="F573" i="6"/>
  <c r="C573" i="6"/>
  <c r="D573" i="6" s="1"/>
  <c r="E573" i="6" s="1"/>
  <c r="J572" i="6"/>
  <c r="I572" i="6"/>
  <c r="G572" i="6"/>
  <c r="F572" i="6"/>
  <c r="C572" i="6"/>
  <c r="D572" i="6" s="1"/>
  <c r="E572" i="6" s="1"/>
  <c r="J571" i="6"/>
  <c r="I571" i="6"/>
  <c r="G571" i="6"/>
  <c r="F571" i="6"/>
  <c r="C571" i="6"/>
  <c r="D571" i="6" s="1"/>
  <c r="E571" i="6" s="1"/>
  <c r="J570" i="6"/>
  <c r="I570" i="6"/>
  <c r="G570" i="6"/>
  <c r="F570" i="6"/>
  <c r="C570" i="6"/>
  <c r="D570" i="6" s="1"/>
  <c r="E570" i="6" s="1"/>
  <c r="J569" i="6"/>
  <c r="I569" i="6"/>
  <c r="G569" i="6"/>
  <c r="F569" i="6"/>
  <c r="C569" i="6"/>
  <c r="D569" i="6" s="1"/>
  <c r="E569" i="6" s="1"/>
  <c r="J568" i="6"/>
  <c r="I568" i="6"/>
  <c r="G568" i="6"/>
  <c r="F568" i="6"/>
  <c r="C568" i="6"/>
  <c r="D568" i="6" s="1"/>
  <c r="E568" i="6" s="1"/>
  <c r="J567" i="6"/>
  <c r="I567" i="6"/>
  <c r="G567" i="6"/>
  <c r="F567" i="6"/>
  <c r="C567" i="6"/>
  <c r="D567" i="6" s="1"/>
  <c r="E567" i="6" s="1"/>
  <c r="J566" i="6"/>
  <c r="I566" i="6"/>
  <c r="G566" i="6"/>
  <c r="F566" i="6"/>
  <c r="C566" i="6"/>
  <c r="D566" i="6" s="1"/>
  <c r="E566" i="6" s="1"/>
  <c r="J565" i="6"/>
  <c r="I565" i="6"/>
  <c r="G565" i="6"/>
  <c r="F565" i="6"/>
  <c r="C565" i="6"/>
  <c r="D565" i="6" s="1"/>
  <c r="E565" i="6" s="1"/>
  <c r="J564" i="6"/>
  <c r="I564" i="6"/>
  <c r="G564" i="6"/>
  <c r="F564" i="6"/>
  <c r="C564" i="6"/>
  <c r="D564" i="6" s="1"/>
  <c r="E564" i="6" s="1"/>
  <c r="J563" i="6"/>
  <c r="I563" i="6"/>
  <c r="G563" i="6"/>
  <c r="F563" i="6"/>
  <c r="C563" i="6"/>
  <c r="D563" i="6" s="1"/>
  <c r="E563" i="6" s="1"/>
  <c r="J562" i="6"/>
  <c r="I562" i="6"/>
  <c r="G562" i="6"/>
  <c r="F562" i="6"/>
  <c r="C562" i="6"/>
  <c r="D562" i="6" s="1"/>
  <c r="E562" i="6" s="1"/>
  <c r="J561" i="6"/>
  <c r="I561" i="6"/>
  <c r="G561" i="6"/>
  <c r="F561" i="6"/>
  <c r="C561" i="6"/>
  <c r="D561" i="6" s="1"/>
  <c r="E561" i="6" s="1"/>
  <c r="J560" i="6"/>
  <c r="I560" i="6"/>
  <c r="G560" i="6"/>
  <c r="F560" i="6"/>
  <c r="C560" i="6"/>
  <c r="D560" i="6" s="1"/>
  <c r="E560" i="6" s="1"/>
  <c r="H560" i="6" s="1"/>
  <c r="J559" i="6"/>
  <c r="I559" i="6"/>
  <c r="G559" i="6"/>
  <c r="F559" i="6"/>
  <c r="C559" i="6"/>
  <c r="D559" i="6" s="1"/>
  <c r="E559" i="6" s="1"/>
  <c r="J558" i="6"/>
  <c r="I558" i="6"/>
  <c r="G558" i="6"/>
  <c r="F558" i="6"/>
  <c r="C558" i="6"/>
  <c r="D558" i="6" s="1"/>
  <c r="E558" i="6" s="1"/>
  <c r="J557" i="6"/>
  <c r="I557" i="6"/>
  <c r="G557" i="6"/>
  <c r="F557" i="6"/>
  <c r="C557" i="6"/>
  <c r="D557" i="6" s="1"/>
  <c r="E557" i="6" s="1"/>
  <c r="J556" i="6"/>
  <c r="I556" i="6"/>
  <c r="G556" i="6"/>
  <c r="F556" i="6"/>
  <c r="C556" i="6"/>
  <c r="D556" i="6" s="1"/>
  <c r="E556" i="6" s="1"/>
  <c r="J555" i="6"/>
  <c r="I555" i="6"/>
  <c r="G555" i="6"/>
  <c r="F555" i="6"/>
  <c r="C555" i="6"/>
  <c r="D555" i="6" s="1"/>
  <c r="E555" i="6" s="1"/>
  <c r="J554" i="6"/>
  <c r="I554" i="6"/>
  <c r="G554" i="6"/>
  <c r="F554" i="6"/>
  <c r="C554" i="6"/>
  <c r="D554" i="6" s="1"/>
  <c r="E554" i="6" s="1"/>
  <c r="J553" i="6"/>
  <c r="I553" i="6"/>
  <c r="G553" i="6"/>
  <c r="H553" i="6" s="1"/>
  <c r="F553" i="6"/>
  <c r="C553" i="6"/>
  <c r="D553" i="6" s="1"/>
  <c r="E553" i="6" s="1"/>
  <c r="J552" i="6"/>
  <c r="I552" i="6"/>
  <c r="G552" i="6"/>
  <c r="F552" i="6"/>
  <c r="C552" i="6"/>
  <c r="D552" i="6" s="1"/>
  <c r="E552" i="6" s="1"/>
  <c r="J551" i="6"/>
  <c r="I551" i="6"/>
  <c r="G551" i="6"/>
  <c r="F551" i="6"/>
  <c r="C551" i="6"/>
  <c r="D551" i="6" s="1"/>
  <c r="E551" i="6" s="1"/>
  <c r="J550" i="6"/>
  <c r="I550" i="6"/>
  <c r="G550" i="6"/>
  <c r="F550" i="6"/>
  <c r="C550" i="6"/>
  <c r="D550" i="6" s="1"/>
  <c r="E550" i="6" s="1"/>
  <c r="J549" i="6"/>
  <c r="I549" i="6"/>
  <c r="G549" i="6"/>
  <c r="F549" i="6"/>
  <c r="C549" i="6"/>
  <c r="D549" i="6" s="1"/>
  <c r="E549" i="6" s="1"/>
  <c r="J548" i="6"/>
  <c r="I548" i="6"/>
  <c r="G548" i="6"/>
  <c r="F548" i="6"/>
  <c r="C548" i="6"/>
  <c r="D548" i="6" s="1"/>
  <c r="E548" i="6" s="1"/>
  <c r="J547" i="6"/>
  <c r="I547" i="6"/>
  <c r="G547" i="6"/>
  <c r="F547" i="6"/>
  <c r="C547" i="6"/>
  <c r="D547" i="6" s="1"/>
  <c r="E547" i="6" s="1"/>
  <c r="J546" i="6"/>
  <c r="I546" i="6"/>
  <c r="G546" i="6"/>
  <c r="F546" i="6"/>
  <c r="C546" i="6"/>
  <c r="D546" i="6" s="1"/>
  <c r="E546" i="6" s="1"/>
  <c r="J545" i="6"/>
  <c r="I545" i="6"/>
  <c r="G545" i="6"/>
  <c r="F545" i="6"/>
  <c r="C545" i="6"/>
  <c r="D545" i="6" s="1"/>
  <c r="E545" i="6" s="1"/>
  <c r="J544" i="6"/>
  <c r="I544" i="6"/>
  <c r="G544" i="6"/>
  <c r="F544" i="6"/>
  <c r="C544" i="6"/>
  <c r="D544" i="6" s="1"/>
  <c r="E544" i="6" s="1"/>
  <c r="J543" i="6"/>
  <c r="I543" i="6"/>
  <c r="G543" i="6"/>
  <c r="F543" i="6"/>
  <c r="C543" i="6"/>
  <c r="D543" i="6" s="1"/>
  <c r="E543" i="6" s="1"/>
  <c r="J542" i="6"/>
  <c r="I542" i="6"/>
  <c r="G542" i="6"/>
  <c r="F542" i="6"/>
  <c r="C542" i="6"/>
  <c r="D542" i="6" s="1"/>
  <c r="E542" i="6" s="1"/>
  <c r="J541" i="6"/>
  <c r="I541" i="6"/>
  <c r="G541" i="6"/>
  <c r="F541" i="6"/>
  <c r="C541" i="6"/>
  <c r="D541" i="6" s="1"/>
  <c r="E541" i="6" s="1"/>
  <c r="J540" i="6"/>
  <c r="I540" i="6"/>
  <c r="G540" i="6"/>
  <c r="F540" i="6"/>
  <c r="C540" i="6"/>
  <c r="D540" i="6" s="1"/>
  <c r="E540" i="6" s="1"/>
  <c r="J539" i="6"/>
  <c r="I539" i="6"/>
  <c r="G539" i="6"/>
  <c r="F539" i="6"/>
  <c r="C539" i="6"/>
  <c r="D539" i="6" s="1"/>
  <c r="E539" i="6" s="1"/>
  <c r="J538" i="6"/>
  <c r="I538" i="6"/>
  <c r="G538" i="6"/>
  <c r="F538" i="6"/>
  <c r="C538" i="6"/>
  <c r="D538" i="6" s="1"/>
  <c r="E538" i="6" s="1"/>
  <c r="J537" i="6"/>
  <c r="I537" i="6"/>
  <c r="G537" i="6"/>
  <c r="F537" i="6"/>
  <c r="C537" i="6"/>
  <c r="D537" i="6" s="1"/>
  <c r="E537" i="6" s="1"/>
  <c r="J536" i="6"/>
  <c r="I536" i="6"/>
  <c r="G536" i="6"/>
  <c r="F536" i="6"/>
  <c r="C536" i="6"/>
  <c r="D536" i="6" s="1"/>
  <c r="E536" i="6" s="1"/>
  <c r="J535" i="6"/>
  <c r="I535" i="6"/>
  <c r="G535" i="6"/>
  <c r="F535" i="6"/>
  <c r="C535" i="6"/>
  <c r="D535" i="6" s="1"/>
  <c r="E535" i="6" s="1"/>
  <c r="J534" i="6"/>
  <c r="I534" i="6"/>
  <c r="G534" i="6"/>
  <c r="F534" i="6"/>
  <c r="C534" i="6"/>
  <c r="D534" i="6" s="1"/>
  <c r="E534" i="6" s="1"/>
  <c r="J533" i="6"/>
  <c r="I533" i="6"/>
  <c r="G533" i="6"/>
  <c r="F533" i="6"/>
  <c r="C533" i="6"/>
  <c r="D533" i="6" s="1"/>
  <c r="E533" i="6" s="1"/>
  <c r="J532" i="6"/>
  <c r="I532" i="6"/>
  <c r="G532" i="6"/>
  <c r="F532" i="6"/>
  <c r="C532" i="6"/>
  <c r="D532" i="6" s="1"/>
  <c r="E532" i="6" s="1"/>
  <c r="J531" i="6"/>
  <c r="I531" i="6"/>
  <c r="G531" i="6"/>
  <c r="F531" i="6"/>
  <c r="C531" i="6"/>
  <c r="D531" i="6" s="1"/>
  <c r="E531" i="6" s="1"/>
  <c r="J530" i="6"/>
  <c r="I530" i="6"/>
  <c r="G530" i="6"/>
  <c r="F530" i="6"/>
  <c r="C530" i="6"/>
  <c r="D530" i="6" s="1"/>
  <c r="E530" i="6" s="1"/>
  <c r="J529" i="6"/>
  <c r="I529" i="6"/>
  <c r="G529" i="6"/>
  <c r="F529" i="6"/>
  <c r="C529" i="6"/>
  <c r="D529" i="6" s="1"/>
  <c r="E529" i="6" s="1"/>
  <c r="J528" i="6"/>
  <c r="I528" i="6"/>
  <c r="G528" i="6"/>
  <c r="F528" i="6"/>
  <c r="C528" i="6"/>
  <c r="D528" i="6" s="1"/>
  <c r="E528" i="6" s="1"/>
  <c r="J527" i="6"/>
  <c r="I527" i="6"/>
  <c r="G527" i="6"/>
  <c r="F527" i="6"/>
  <c r="C527" i="6"/>
  <c r="D527" i="6" s="1"/>
  <c r="E527" i="6" s="1"/>
  <c r="J526" i="6"/>
  <c r="I526" i="6"/>
  <c r="G526" i="6"/>
  <c r="F526" i="6"/>
  <c r="C526" i="6"/>
  <c r="D526" i="6" s="1"/>
  <c r="E526" i="6" s="1"/>
  <c r="J525" i="6"/>
  <c r="I525" i="6"/>
  <c r="G525" i="6"/>
  <c r="F525" i="6"/>
  <c r="C525" i="6"/>
  <c r="D525" i="6" s="1"/>
  <c r="E525" i="6" s="1"/>
  <c r="J524" i="6"/>
  <c r="I524" i="6"/>
  <c r="G524" i="6"/>
  <c r="F524" i="6"/>
  <c r="C524" i="6"/>
  <c r="D524" i="6" s="1"/>
  <c r="E524" i="6" s="1"/>
  <c r="J523" i="6"/>
  <c r="I523" i="6"/>
  <c r="G523" i="6"/>
  <c r="F523" i="6"/>
  <c r="C523" i="6"/>
  <c r="D523" i="6" s="1"/>
  <c r="E523" i="6" s="1"/>
  <c r="J522" i="6"/>
  <c r="I522" i="6"/>
  <c r="G522" i="6"/>
  <c r="F522" i="6"/>
  <c r="C522" i="6"/>
  <c r="D522" i="6" s="1"/>
  <c r="E522" i="6" s="1"/>
  <c r="J521" i="6"/>
  <c r="I521" i="6"/>
  <c r="G521" i="6"/>
  <c r="F521" i="6"/>
  <c r="C521" i="6"/>
  <c r="D521" i="6" s="1"/>
  <c r="E521" i="6" s="1"/>
  <c r="J520" i="6"/>
  <c r="I520" i="6"/>
  <c r="G520" i="6"/>
  <c r="F520" i="6"/>
  <c r="C520" i="6"/>
  <c r="D520" i="6" s="1"/>
  <c r="E520" i="6" s="1"/>
  <c r="J519" i="6"/>
  <c r="I519" i="6"/>
  <c r="G519" i="6"/>
  <c r="F519" i="6"/>
  <c r="C519" i="6"/>
  <c r="D519" i="6" s="1"/>
  <c r="E519" i="6" s="1"/>
  <c r="J518" i="6"/>
  <c r="I518" i="6"/>
  <c r="G518" i="6"/>
  <c r="F518" i="6"/>
  <c r="C518" i="6"/>
  <c r="D518" i="6" s="1"/>
  <c r="E518" i="6" s="1"/>
  <c r="J517" i="6"/>
  <c r="I517" i="6"/>
  <c r="G517" i="6"/>
  <c r="F517" i="6"/>
  <c r="C517" i="6"/>
  <c r="D517" i="6" s="1"/>
  <c r="E517" i="6" s="1"/>
  <c r="J516" i="6"/>
  <c r="I516" i="6"/>
  <c r="G516" i="6"/>
  <c r="F516" i="6"/>
  <c r="C516" i="6"/>
  <c r="D516" i="6" s="1"/>
  <c r="E516" i="6" s="1"/>
  <c r="J515" i="6"/>
  <c r="I515" i="6"/>
  <c r="G515" i="6"/>
  <c r="F515" i="6"/>
  <c r="C515" i="6"/>
  <c r="D515" i="6" s="1"/>
  <c r="E515" i="6" s="1"/>
  <c r="J514" i="6"/>
  <c r="I514" i="6"/>
  <c r="G514" i="6"/>
  <c r="F514" i="6"/>
  <c r="C514" i="6"/>
  <c r="D514" i="6" s="1"/>
  <c r="E514" i="6" s="1"/>
  <c r="J513" i="6"/>
  <c r="I513" i="6"/>
  <c r="G513" i="6"/>
  <c r="F513" i="6"/>
  <c r="C513" i="6"/>
  <c r="D513" i="6" s="1"/>
  <c r="E513" i="6" s="1"/>
  <c r="J512" i="6"/>
  <c r="I512" i="6"/>
  <c r="G512" i="6"/>
  <c r="F512" i="6"/>
  <c r="C512" i="6"/>
  <c r="D512" i="6" s="1"/>
  <c r="E512" i="6" s="1"/>
  <c r="J511" i="6"/>
  <c r="I511" i="6"/>
  <c r="G511" i="6"/>
  <c r="F511" i="6"/>
  <c r="C511" i="6"/>
  <c r="D511" i="6" s="1"/>
  <c r="E511" i="6" s="1"/>
  <c r="J510" i="6"/>
  <c r="I510" i="6"/>
  <c r="G510" i="6"/>
  <c r="F510" i="6"/>
  <c r="C510" i="6"/>
  <c r="D510" i="6" s="1"/>
  <c r="E510" i="6" s="1"/>
  <c r="J509" i="6"/>
  <c r="I509" i="6"/>
  <c r="G509" i="6"/>
  <c r="F509" i="6"/>
  <c r="C509" i="6"/>
  <c r="D509" i="6" s="1"/>
  <c r="E509" i="6" s="1"/>
  <c r="J508" i="6"/>
  <c r="I508" i="6"/>
  <c r="G508" i="6"/>
  <c r="F508" i="6"/>
  <c r="C508" i="6"/>
  <c r="D508" i="6" s="1"/>
  <c r="E508" i="6" s="1"/>
  <c r="J507" i="6"/>
  <c r="I507" i="6"/>
  <c r="G507" i="6"/>
  <c r="F507" i="6"/>
  <c r="C507" i="6"/>
  <c r="D507" i="6" s="1"/>
  <c r="E507" i="6" s="1"/>
  <c r="J506" i="6"/>
  <c r="I506" i="6"/>
  <c r="G506" i="6"/>
  <c r="F506" i="6"/>
  <c r="C506" i="6"/>
  <c r="D506" i="6" s="1"/>
  <c r="E506" i="6" s="1"/>
  <c r="J505" i="6"/>
  <c r="I505" i="6"/>
  <c r="G505" i="6"/>
  <c r="F505" i="6"/>
  <c r="C505" i="6"/>
  <c r="D505" i="6" s="1"/>
  <c r="E505" i="6" s="1"/>
  <c r="J504" i="6"/>
  <c r="I504" i="6"/>
  <c r="G504" i="6"/>
  <c r="F504" i="6"/>
  <c r="C504" i="6"/>
  <c r="D504" i="6" s="1"/>
  <c r="E504" i="6" s="1"/>
  <c r="J503" i="6"/>
  <c r="I503" i="6"/>
  <c r="G503" i="6"/>
  <c r="F503" i="6"/>
  <c r="C503" i="6"/>
  <c r="D503" i="6" s="1"/>
  <c r="E503" i="6" s="1"/>
  <c r="J502" i="6"/>
  <c r="I502" i="6"/>
  <c r="G502" i="6"/>
  <c r="F502" i="6"/>
  <c r="C502" i="6"/>
  <c r="D502" i="6" s="1"/>
  <c r="E502" i="6" s="1"/>
  <c r="J501" i="6"/>
  <c r="I501" i="6"/>
  <c r="G501" i="6"/>
  <c r="F501" i="6"/>
  <c r="C501" i="6"/>
  <c r="D501" i="6" s="1"/>
  <c r="E501" i="6" s="1"/>
  <c r="J500" i="6"/>
  <c r="I500" i="6"/>
  <c r="G500" i="6"/>
  <c r="F500" i="6"/>
  <c r="C500" i="6"/>
  <c r="D500" i="6" s="1"/>
  <c r="E500" i="6" s="1"/>
  <c r="J499" i="6"/>
  <c r="I499" i="6"/>
  <c r="G499" i="6"/>
  <c r="F499" i="6"/>
  <c r="C499" i="6"/>
  <c r="D499" i="6" s="1"/>
  <c r="E499" i="6" s="1"/>
  <c r="J498" i="6"/>
  <c r="I498" i="6"/>
  <c r="G498" i="6"/>
  <c r="F498" i="6"/>
  <c r="C498" i="6"/>
  <c r="D498" i="6" s="1"/>
  <c r="E498" i="6" s="1"/>
  <c r="J497" i="6"/>
  <c r="I497" i="6"/>
  <c r="G497" i="6"/>
  <c r="F497" i="6"/>
  <c r="C497" i="6"/>
  <c r="D497" i="6" s="1"/>
  <c r="E497" i="6" s="1"/>
  <c r="J496" i="6"/>
  <c r="I496" i="6"/>
  <c r="G496" i="6"/>
  <c r="F496" i="6"/>
  <c r="C496" i="6"/>
  <c r="D496" i="6" s="1"/>
  <c r="E496" i="6" s="1"/>
  <c r="J495" i="6"/>
  <c r="I495" i="6"/>
  <c r="G495" i="6"/>
  <c r="F495" i="6"/>
  <c r="C495" i="6"/>
  <c r="D495" i="6" s="1"/>
  <c r="E495" i="6" s="1"/>
  <c r="J494" i="6"/>
  <c r="I494" i="6"/>
  <c r="G494" i="6"/>
  <c r="F494" i="6"/>
  <c r="C494" i="6"/>
  <c r="D494" i="6" s="1"/>
  <c r="E494" i="6" s="1"/>
  <c r="J493" i="6"/>
  <c r="I493" i="6"/>
  <c r="G493" i="6"/>
  <c r="F493" i="6"/>
  <c r="C493" i="6"/>
  <c r="D493" i="6" s="1"/>
  <c r="E493" i="6" s="1"/>
  <c r="J492" i="6"/>
  <c r="I492" i="6"/>
  <c r="G492" i="6"/>
  <c r="F492" i="6"/>
  <c r="C492" i="6"/>
  <c r="D492" i="6" s="1"/>
  <c r="E492" i="6" s="1"/>
  <c r="J491" i="6"/>
  <c r="I491" i="6"/>
  <c r="G491" i="6"/>
  <c r="F491" i="6"/>
  <c r="C491" i="6"/>
  <c r="D491" i="6" s="1"/>
  <c r="E491" i="6" s="1"/>
  <c r="J490" i="6"/>
  <c r="I490" i="6"/>
  <c r="G490" i="6"/>
  <c r="F490" i="6"/>
  <c r="C490" i="6"/>
  <c r="D490" i="6" s="1"/>
  <c r="E490" i="6" s="1"/>
  <c r="J489" i="6"/>
  <c r="I489" i="6"/>
  <c r="G489" i="6"/>
  <c r="F489" i="6"/>
  <c r="C489" i="6"/>
  <c r="D489" i="6" s="1"/>
  <c r="E489" i="6" s="1"/>
  <c r="J488" i="6"/>
  <c r="I488" i="6"/>
  <c r="G488" i="6"/>
  <c r="F488" i="6"/>
  <c r="C488" i="6"/>
  <c r="D488" i="6" s="1"/>
  <c r="E488" i="6" s="1"/>
  <c r="J487" i="6"/>
  <c r="I487" i="6"/>
  <c r="G487" i="6"/>
  <c r="F487" i="6"/>
  <c r="C487" i="6"/>
  <c r="D487" i="6" s="1"/>
  <c r="E487" i="6" s="1"/>
  <c r="J486" i="6"/>
  <c r="I486" i="6"/>
  <c r="G486" i="6"/>
  <c r="F486" i="6"/>
  <c r="C486" i="6"/>
  <c r="D486" i="6" s="1"/>
  <c r="E486" i="6" s="1"/>
  <c r="J485" i="6"/>
  <c r="I485" i="6"/>
  <c r="G485" i="6"/>
  <c r="F485" i="6"/>
  <c r="C485" i="6"/>
  <c r="D485" i="6" s="1"/>
  <c r="E485" i="6" s="1"/>
  <c r="J484" i="6"/>
  <c r="I484" i="6"/>
  <c r="G484" i="6"/>
  <c r="F484" i="6"/>
  <c r="C484" i="6"/>
  <c r="D484" i="6" s="1"/>
  <c r="E484" i="6" s="1"/>
  <c r="J483" i="6"/>
  <c r="I483" i="6"/>
  <c r="G483" i="6"/>
  <c r="F483" i="6"/>
  <c r="C483" i="6"/>
  <c r="D483" i="6" s="1"/>
  <c r="E483" i="6" s="1"/>
  <c r="J482" i="6"/>
  <c r="I482" i="6"/>
  <c r="G482" i="6"/>
  <c r="F482" i="6"/>
  <c r="C482" i="6"/>
  <c r="D482" i="6" s="1"/>
  <c r="E482" i="6" s="1"/>
  <c r="J481" i="6"/>
  <c r="I481" i="6"/>
  <c r="G481" i="6"/>
  <c r="F481" i="6"/>
  <c r="C481" i="6"/>
  <c r="D481" i="6" s="1"/>
  <c r="E481" i="6" s="1"/>
  <c r="J480" i="6"/>
  <c r="I480" i="6"/>
  <c r="G480" i="6"/>
  <c r="F480" i="6"/>
  <c r="C480" i="6"/>
  <c r="D480" i="6" s="1"/>
  <c r="E480" i="6" s="1"/>
  <c r="H480" i="6" s="1"/>
  <c r="J479" i="6"/>
  <c r="I479" i="6"/>
  <c r="G479" i="6"/>
  <c r="F479" i="6"/>
  <c r="C479" i="6"/>
  <c r="D479" i="6" s="1"/>
  <c r="E479" i="6" s="1"/>
  <c r="J478" i="6"/>
  <c r="I478" i="6"/>
  <c r="G478" i="6"/>
  <c r="F478" i="6"/>
  <c r="C478" i="6"/>
  <c r="D478" i="6" s="1"/>
  <c r="E478" i="6" s="1"/>
  <c r="J477" i="6"/>
  <c r="I477" i="6"/>
  <c r="G477" i="6"/>
  <c r="F477" i="6"/>
  <c r="C477" i="6"/>
  <c r="D477" i="6" s="1"/>
  <c r="E477" i="6" s="1"/>
  <c r="J476" i="6"/>
  <c r="I476" i="6"/>
  <c r="G476" i="6"/>
  <c r="F476" i="6"/>
  <c r="C476" i="6"/>
  <c r="D476" i="6" s="1"/>
  <c r="E476" i="6" s="1"/>
  <c r="J475" i="6"/>
  <c r="I475" i="6"/>
  <c r="G475" i="6"/>
  <c r="F475" i="6"/>
  <c r="C475" i="6"/>
  <c r="D475" i="6" s="1"/>
  <c r="E475" i="6" s="1"/>
  <c r="J474" i="6"/>
  <c r="I474" i="6"/>
  <c r="G474" i="6"/>
  <c r="F474" i="6"/>
  <c r="C474" i="6"/>
  <c r="D474" i="6" s="1"/>
  <c r="E474" i="6" s="1"/>
  <c r="J473" i="6"/>
  <c r="I473" i="6"/>
  <c r="G473" i="6"/>
  <c r="F473" i="6"/>
  <c r="C473" i="6"/>
  <c r="D473" i="6" s="1"/>
  <c r="E473" i="6" s="1"/>
  <c r="J472" i="6"/>
  <c r="I472" i="6"/>
  <c r="G472" i="6"/>
  <c r="F472" i="6"/>
  <c r="C472" i="6"/>
  <c r="D472" i="6" s="1"/>
  <c r="E472" i="6" s="1"/>
  <c r="J471" i="6"/>
  <c r="I471" i="6"/>
  <c r="G471" i="6"/>
  <c r="F471" i="6"/>
  <c r="C471" i="6"/>
  <c r="D471" i="6" s="1"/>
  <c r="E471" i="6" s="1"/>
  <c r="J470" i="6"/>
  <c r="I470" i="6"/>
  <c r="G470" i="6"/>
  <c r="F470" i="6"/>
  <c r="C470" i="6"/>
  <c r="D470" i="6" s="1"/>
  <c r="E470" i="6" s="1"/>
  <c r="J469" i="6"/>
  <c r="I469" i="6"/>
  <c r="G469" i="6"/>
  <c r="F469" i="6"/>
  <c r="C469" i="6"/>
  <c r="D469" i="6" s="1"/>
  <c r="E469" i="6" s="1"/>
  <c r="J468" i="6"/>
  <c r="I468" i="6"/>
  <c r="G468" i="6"/>
  <c r="F468" i="6"/>
  <c r="C468" i="6"/>
  <c r="D468" i="6" s="1"/>
  <c r="E468" i="6" s="1"/>
  <c r="J467" i="6"/>
  <c r="I467" i="6"/>
  <c r="G467" i="6"/>
  <c r="F467" i="6"/>
  <c r="C467" i="6"/>
  <c r="D467" i="6" s="1"/>
  <c r="E467" i="6" s="1"/>
  <c r="J466" i="6"/>
  <c r="I466" i="6"/>
  <c r="G466" i="6"/>
  <c r="F466" i="6"/>
  <c r="C466" i="6"/>
  <c r="D466" i="6" s="1"/>
  <c r="E466" i="6" s="1"/>
  <c r="J465" i="6"/>
  <c r="I465" i="6"/>
  <c r="G465" i="6"/>
  <c r="F465" i="6"/>
  <c r="C465" i="6"/>
  <c r="D465" i="6" s="1"/>
  <c r="E465" i="6" s="1"/>
  <c r="J464" i="6"/>
  <c r="I464" i="6"/>
  <c r="G464" i="6"/>
  <c r="F464" i="6"/>
  <c r="C464" i="6"/>
  <c r="D464" i="6" s="1"/>
  <c r="E464" i="6" s="1"/>
  <c r="J463" i="6"/>
  <c r="I463" i="6"/>
  <c r="G463" i="6"/>
  <c r="F463" i="6"/>
  <c r="C463" i="6"/>
  <c r="D463" i="6" s="1"/>
  <c r="E463" i="6" s="1"/>
  <c r="J462" i="6"/>
  <c r="I462" i="6"/>
  <c r="G462" i="6"/>
  <c r="F462" i="6"/>
  <c r="C462" i="6"/>
  <c r="D462" i="6" s="1"/>
  <c r="E462" i="6" s="1"/>
  <c r="J461" i="6"/>
  <c r="I461" i="6"/>
  <c r="G461" i="6"/>
  <c r="F461" i="6"/>
  <c r="C461" i="6"/>
  <c r="D461" i="6" s="1"/>
  <c r="E461" i="6" s="1"/>
  <c r="J460" i="6"/>
  <c r="I460" i="6"/>
  <c r="G460" i="6"/>
  <c r="F460" i="6"/>
  <c r="C460" i="6"/>
  <c r="D460" i="6" s="1"/>
  <c r="E460" i="6" s="1"/>
  <c r="J459" i="6"/>
  <c r="I459" i="6"/>
  <c r="G459" i="6"/>
  <c r="F459" i="6"/>
  <c r="C459" i="6"/>
  <c r="D459" i="6" s="1"/>
  <c r="E459" i="6" s="1"/>
  <c r="J458" i="6"/>
  <c r="I458" i="6"/>
  <c r="G458" i="6"/>
  <c r="F458" i="6"/>
  <c r="C458" i="6"/>
  <c r="D458" i="6" s="1"/>
  <c r="E458" i="6" s="1"/>
  <c r="J457" i="6"/>
  <c r="I457" i="6"/>
  <c r="G457" i="6"/>
  <c r="F457" i="6"/>
  <c r="C457" i="6"/>
  <c r="D457" i="6" s="1"/>
  <c r="E457" i="6" s="1"/>
  <c r="J456" i="6"/>
  <c r="I456" i="6"/>
  <c r="G456" i="6"/>
  <c r="F456" i="6"/>
  <c r="C456" i="6"/>
  <c r="D456" i="6" s="1"/>
  <c r="E456" i="6" s="1"/>
  <c r="J455" i="6"/>
  <c r="I455" i="6"/>
  <c r="G455" i="6"/>
  <c r="F455" i="6"/>
  <c r="C455" i="6"/>
  <c r="D455" i="6" s="1"/>
  <c r="E455" i="6" s="1"/>
  <c r="J454" i="6"/>
  <c r="I454" i="6"/>
  <c r="G454" i="6"/>
  <c r="F454" i="6"/>
  <c r="C454" i="6"/>
  <c r="D454" i="6" s="1"/>
  <c r="E454" i="6" s="1"/>
  <c r="J453" i="6"/>
  <c r="I453" i="6"/>
  <c r="G453" i="6"/>
  <c r="F453" i="6"/>
  <c r="C453" i="6"/>
  <c r="D453" i="6" s="1"/>
  <c r="E453" i="6" s="1"/>
  <c r="J452" i="6"/>
  <c r="I452" i="6"/>
  <c r="G452" i="6"/>
  <c r="F452" i="6"/>
  <c r="C452" i="6"/>
  <c r="D452" i="6" s="1"/>
  <c r="E452" i="6" s="1"/>
  <c r="J451" i="6"/>
  <c r="I451" i="6"/>
  <c r="G451" i="6"/>
  <c r="F451" i="6"/>
  <c r="C451" i="6"/>
  <c r="D451" i="6" s="1"/>
  <c r="E451" i="6" s="1"/>
  <c r="J450" i="6"/>
  <c r="I450" i="6"/>
  <c r="G450" i="6"/>
  <c r="F450" i="6"/>
  <c r="C450" i="6"/>
  <c r="D450" i="6" s="1"/>
  <c r="E450" i="6" s="1"/>
  <c r="J449" i="6"/>
  <c r="I449" i="6"/>
  <c r="G449" i="6"/>
  <c r="F449" i="6"/>
  <c r="C449" i="6"/>
  <c r="D449" i="6" s="1"/>
  <c r="E449" i="6" s="1"/>
  <c r="J448" i="6"/>
  <c r="I448" i="6"/>
  <c r="G448" i="6"/>
  <c r="F448" i="6"/>
  <c r="C448" i="6"/>
  <c r="D448" i="6" s="1"/>
  <c r="E448" i="6" s="1"/>
  <c r="J447" i="6"/>
  <c r="I447" i="6"/>
  <c r="G447" i="6"/>
  <c r="F447" i="6"/>
  <c r="C447" i="6"/>
  <c r="D447" i="6" s="1"/>
  <c r="E447" i="6" s="1"/>
  <c r="J446" i="6"/>
  <c r="I446" i="6"/>
  <c r="G446" i="6"/>
  <c r="F446" i="6"/>
  <c r="C446" i="6"/>
  <c r="D446" i="6" s="1"/>
  <c r="E446" i="6" s="1"/>
  <c r="J445" i="6"/>
  <c r="I445" i="6"/>
  <c r="G445" i="6"/>
  <c r="F445" i="6"/>
  <c r="C445" i="6"/>
  <c r="D445" i="6" s="1"/>
  <c r="E445" i="6" s="1"/>
  <c r="J444" i="6"/>
  <c r="I444" i="6"/>
  <c r="G444" i="6"/>
  <c r="F444" i="6"/>
  <c r="C444" i="6"/>
  <c r="D444" i="6" s="1"/>
  <c r="E444" i="6" s="1"/>
  <c r="J443" i="6"/>
  <c r="I443" i="6"/>
  <c r="G443" i="6"/>
  <c r="F443" i="6"/>
  <c r="C443" i="6"/>
  <c r="D443" i="6" s="1"/>
  <c r="E443" i="6" s="1"/>
  <c r="J442" i="6"/>
  <c r="I442" i="6"/>
  <c r="G442" i="6"/>
  <c r="F442" i="6"/>
  <c r="C442" i="6"/>
  <c r="D442" i="6" s="1"/>
  <c r="E442" i="6" s="1"/>
  <c r="J441" i="6"/>
  <c r="I441" i="6"/>
  <c r="G441" i="6"/>
  <c r="F441" i="6"/>
  <c r="C441" i="6"/>
  <c r="D441" i="6" s="1"/>
  <c r="E441" i="6" s="1"/>
  <c r="J440" i="6"/>
  <c r="I440" i="6"/>
  <c r="G440" i="6"/>
  <c r="F440" i="6"/>
  <c r="C440" i="6"/>
  <c r="D440" i="6" s="1"/>
  <c r="E440" i="6" s="1"/>
  <c r="J439" i="6"/>
  <c r="I439" i="6"/>
  <c r="G439" i="6"/>
  <c r="F439" i="6"/>
  <c r="C439" i="6"/>
  <c r="D439" i="6" s="1"/>
  <c r="E439" i="6" s="1"/>
  <c r="J438" i="6"/>
  <c r="I438" i="6"/>
  <c r="G438" i="6"/>
  <c r="F438" i="6"/>
  <c r="C438" i="6"/>
  <c r="D438" i="6" s="1"/>
  <c r="E438" i="6" s="1"/>
  <c r="J437" i="6"/>
  <c r="I437" i="6"/>
  <c r="G437" i="6"/>
  <c r="F437" i="6"/>
  <c r="C437" i="6"/>
  <c r="D437" i="6" s="1"/>
  <c r="E437" i="6" s="1"/>
  <c r="J436" i="6"/>
  <c r="I436" i="6"/>
  <c r="G436" i="6"/>
  <c r="F436" i="6"/>
  <c r="C436" i="6"/>
  <c r="D436" i="6" s="1"/>
  <c r="E436" i="6" s="1"/>
  <c r="J435" i="6"/>
  <c r="I435" i="6"/>
  <c r="G435" i="6"/>
  <c r="F435" i="6"/>
  <c r="C435" i="6"/>
  <c r="D435" i="6" s="1"/>
  <c r="E435" i="6" s="1"/>
  <c r="J434" i="6"/>
  <c r="I434" i="6"/>
  <c r="G434" i="6"/>
  <c r="F434" i="6"/>
  <c r="C434" i="6"/>
  <c r="D434" i="6" s="1"/>
  <c r="E434" i="6" s="1"/>
  <c r="J433" i="6"/>
  <c r="I433" i="6"/>
  <c r="G433" i="6"/>
  <c r="F433" i="6"/>
  <c r="C433" i="6"/>
  <c r="D433" i="6" s="1"/>
  <c r="E433" i="6" s="1"/>
  <c r="J432" i="6"/>
  <c r="I432" i="6"/>
  <c r="G432" i="6"/>
  <c r="F432" i="6"/>
  <c r="C432" i="6"/>
  <c r="D432" i="6" s="1"/>
  <c r="E432" i="6" s="1"/>
  <c r="H432" i="6" s="1"/>
  <c r="J431" i="6"/>
  <c r="I431" i="6"/>
  <c r="G431" i="6"/>
  <c r="F431" i="6"/>
  <c r="C431" i="6"/>
  <c r="D431" i="6" s="1"/>
  <c r="E431" i="6" s="1"/>
  <c r="J430" i="6"/>
  <c r="I430" i="6"/>
  <c r="G430" i="6"/>
  <c r="F430" i="6"/>
  <c r="C430" i="6"/>
  <c r="D430" i="6" s="1"/>
  <c r="E430" i="6" s="1"/>
  <c r="J429" i="6"/>
  <c r="I429" i="6"/>
  <c r="G429" i="6"/>
  <c r="F429" i="6"/>
  <c r="C429" i="6"/>
  <c r="D429" i="6" s="1"/>
  <c r="E429" i="6" s="1"/>
  <c r="J428" i="6"/>
  <c r="I428" i="6"/>
  <c r="G428" i="6"/>
  <c r="F428" i="6"/>
  <c r="C428" i="6"/>
  <c r="D428" i="6" s="1"/>
  <c r="E428" i="6" s="1"/>
  <c r="J427" i="6"/>
  <c r="I427" i="6"/>
  <c r="G427" i="6"/>
  <c r="F427" i="6"/>
  <c r="C427" i="6"/>
  <c r="D427" i="6" s="1"/>
  <c r="E427" i="6" s="1"/>
  <c r="J426" i="6"/>
  <c r="I426" i="6"/>
  <c r="G426" i="6"/>
  <c r="F426" i="6"/>
  <c r="C426" i="6"/>
  <c r="D426" i="6" s="1"/>
  <c r="E426" i="6" s="1"/>
  <c r="J425" i="6"/>
  <c r="I425" i="6"/>
  <c r="G425" i="6"/>
  <c r="F425" i="6"/>
  <c r="C425" i="6"/>
  <c r="D425" i="6" s="1"/>
  <c r="E425" i="6" s="1"/>
  <c r="J424" i="6"/>
  <c r="I424" i="6"/>
  <c r="G424" i="6"/>
  <c r="F424" i="6"/>
  <c r="C424" i="6"/>
  <c r="D424" i="6" s="1"/>
  <c r="E424" i="6" s="1"/>
  <c r="J423" i="6"/>
  <c r="I423" i="6"/>
  <c r="G423" i="6"/>
  <c r="F423" i="6"/>
  <c r="C423" i="6"/>
  <c r="D423" i="6" s="1"/>
  <c r="E423" i="6" s="1"/>
  <c r="J422" i="6"/>
  <c r="I422" i="6"/>
  <c r="G422" i="6"/>
  <c r="F422" i="6"/>
  <c r="C422" i="6"/>
  <c r="D422" i="6" s="1"/>
  <c r="E422" i="6" s="1"/>
  <c r="J421" i="6"/>
  <c r="I421" i="6"/>
  <c r="G421" i="6"/>
  <c r="F421" i="6"/>
  <c r="C421" i="6"/>
  <c r="D421" i="6" s="1"/>
  <c r="E421" i="6" s="1"/>
  <c r="J420" i="6"/>
  <c r="I420" i="6"/>
  <c r="G420" i="6"/>
  <c r="F420" i="6"/>
  <c r="C420" i="6"/>
  <c r="D420" i="6" s="1"/>
  <c r="E420" i="6" s="1"/>
  <c r="J419" i="6"/>
  <c r="I419" i="6"/>
  <c r="G419" i="6"/>
  <c r="F419" i="6"/>
  <c r="C419" i="6"/>
  <c r="D419" i="6" s="1"/>
  <c r="E419" i="6" s="1"/>
  <c r="J418" i="6"/>
  <c r="I418" i="6"/>
  <c r="G418" i="6"/>
  <c r="F418" i="6"/>
  <c r="C418" i="6"/>
  <c r="D418" i="6" s="1"/>
  <c r="E418" i="6" s="1"/>
  <c r="J417" i="6"/>
  <c r="I417" i="6"/>
  <c r="G417" i="6"/>
  <c r="F417" i="6"/>
  <c r="C417" i="6"/>
  <c r="D417" i="6" s="1"/>
  <c r="E417" i="6" s="1"/>
  <c r="J416" i="6"/>
  <c r="I416" i="6"/>
  <c r="G416" i="6"/>
  <c r="F416" i="6"/>
  <c r="C416" i="6"/>
  <c r="D416" i="6" s="1"/>
  <c r="E416" i="6" s="1"/>
  <c r="J415" i="6"/>
  <c r="I415" i="6"/>
  <c r="G415" i="6"/>
  <c r="F415" i="6"/>
  <c r="C415" i="6"/>
  <c r="D415" i="6" s="1"/>
  <c r="E415" i="6" s="1"/>
  <c r="J414" i="6"/>
  <c r="I414" i="6"/>
  <c r="G414" i="6"/>
  <c r="F414" i="6"/>
  <c r="C414" i="6"/>
  <c r="D414" i="6" s="1"/>
  <c r="E414" i="6" s="1"/>
  <c r="J413" i="6"/>
  <c r="I413" i="6"/>
  <c r="G413" i="6"/>
  <c r="F413" i="6"/>
  <c r="C413" i="6"/>
  <c r="D413" i="6" s="1"/>
  <c r="E413" i="6" s="1"/>
  <c r="J412" i="6"/>
  <c r="I412" i="6"/>
  <c r="G412" i="6"/>
  <c r="F412" i="6"/>
  <c r="C412" i="6"/>
  <c r="D412" i="6" s="1"/>
  <c r="E412" i="6" s="1"/>
  <c r="J411" i="6"/>
  <c r="I411" i="6"/>
  <c r="G411" i="6"/>
  <c r="F411" i="6"/>
  <c r="C411" i="6"/>
  <c r="D411" i="6" s="1"/>
  <c r="E411" i="6" s="1"/>
  <c r="J410" i="6"/>
  <c r="I410" i="6"/>
  <c r="G410" i="6"/>
  <c r="F410" i="6"/>
  <c r="C410" i="6"/>
  <c r="D410" i="6" s="1"/>
  <c r="E410" i="6" s="1"/>
  <c r="J409" i="6"/>
  <c r="I409" i="6"/>
  <c r="G409" i="6"/>
  <c r="F409" i="6"/>
  <c r="C409" i="6"/>
  <c r="D409" i="6" s="1"/>
  <c r="E409" i="6" s="1"/>
  <c r="J408" i="6"/>
  <c r="I408" i="6"/>
  <c r="G408" i="6"/>
  <c r="F408" i="6"/>
  <c r="C408" i="6"/>
  <c r="D408" i="6" s="1"/>
  <c r="E408" i="6" s="1"/>
  <c r="J407" i="6"/>
  <c r="I407" i="6"/>
  <c r="G407" i="6"/>
  <c r="F407" i="6"/>
  <c r="C407" i="6"/>
  <c r="D407" i="6" s="1"/>
  <c r="E407" i="6" s="1"/>
  <c r="J406" i="6"/>
  <c r="I406" i="6"/>
  <c r="G406" i="6"/>
  <c r="F406" i="6"/>
  <c r="C406" i="6"/>
  <c r="D406" i="6" s="1"/>
  <c r="E406" i="6" s="1"/>
  <c r="J405" i="6"/>
  <c r="I405" i="6"/>
  <c r="G405" i="6"/>
  <c r="F405" i="6"/>
  <c r="C405" i="6"/>
  <c r="D405" i="6" s="1"/>
  <c r="E405" i="6" s="1"/>
  <c r="J404" i="6"/>
  <c r="I404" i="6"/>
  <c r="G404" i="6"/>
  <c r="F404" i="6"/>
  <c r="C404" i="6"/>
  <c r="D404" i="6" s="1"/>
  <c r="E404" i="6" s="1"/>
  <c r="J403" i="6"/>
  <c r="I403" i="6"/>
  <c r="G403" i="6"/>
  <c r="F403" i="6"/>
  <c r="C403" i="6"/>
  <c r="D403" i="6" s="1"/>
  <c r="E403" i="6" s="1"/>
  <c r="J402" i="6"/>
  <c r="I402" i="6"/>
  <c r="G402" i="6"/>
  <c r="F402" i="6"/>
  <c r="C402" i="6"/>
  <c r="D402" i="6" s="1"/>
  <c r="E402" i="6" s="1"/>
  <c r="J401" i="6"/>
  <c r="I401" i="6"/>
  <c r="G401" i="6"/>
  <c r="F401" i="6"/>
  <c r="C401" i="6"/>
  <c r="D401" i="6" s="1"/>
  <c r="E401" i="6" s="1"/>
  <c r="J400" i="6"/>
  <c r="I400" i="6"/>
  <c r="G400" i="6"/>
  <c r="F400" i="6"/>
  <c r="C400" i="6"/>
  <c r="D400" i="6" s="1"/>
  <c r="E400" i="6" s="1"/>
  <c r="J399" i="6"/>
  <c r="I399" i="6"/>
  <c r="G399" i="6"/>
  <c r="F399" i="6"/>
  <c r="C399" i="6"/>
  <c r="D399" i="6" s="1"/>
  <c r="E399" i="6" s="1"/>
  <c r="J398" i="6"/>
  <c r="I398" i="6"/>
  <c r="G398" i="6"/>
  <c r="F398" i="6"/>
  <c r="C398" i="6"/>
  <c r="D398" i="6" s="1"/>
  <c r="E398" i="6" s="1"/>
  <c r="J397" i="6"/>
  <c r="I397" i="6"/>
  <c r="G397" i="6"/>
  <c r="F397" i="6"/>
  <c r="C397" i="6"/>
  <c r="D397" i="6" s="1"/>
  <c r="E397" i="6" s="1"/>
  <c r="J396" i="6"/>
  <c r="I396" i="6"/>
  <c r="G396" i="6"/>
  <c r="F396" i="6"/>
  <c r="C396" i="6"/>
  <c r="D396" i="6" s="1"/>
  <c r="E396" i="6" s="1"/>
  <c r="J395" i="6"/>
  <c r="I395" i="6"/>
  <c r="G395" i="6"/>
  <c r="F395" i="6"/>
  <c r="C395" i="6"/>
  <c r="D395" i="6" s="1"/>
  <c r="E395" i="6" s="1"/>
  <c r="J394" i="6"/>
  <c r="I394" i="6"/>
  <c r="G394" i="6"/>
  <c r="F394" i="6"/>
  <c r="C394" i="6"/>
  <c r="D394" i="6" s="1"/>
  <c r="E394" i="6" s="1"/>
  <c r="J393" i="6"/>
  <c r="I393" i="6"/>
  <c r="G393" i="6"/>
  <c r="F393" i="6"/>
  <c r="C393" i="6"/>
  <c r="D393" i="6" s="1"/>
  <c r="E393" i="6" s="1"/>
  <c r="J392" i="6"/>
  <c r="I392" i="6"/>
  <c r="G392" i="6"/>
  <c r="F392" i="6"/>
  <c r="C392" i="6"/>
  <c r="D392" i="6" s="1"/>
  <c r="E392" i="6" s="1"/>
  <c r="J391" i="6"/>
  <c r="I391" i="6"/>
  <c r="G391" i="6"/>
  <c r="F391" i="6"/>
  <c r="C391" i="6"/>
  <c r="D391" i="6" s="1"/>
  <c r="E391" i="6" s="1"/>
  <c r="J390" i="6"/>
  <c r="I390" i="6"/>
  <c r="G390" i="6"/>
  <c r="F390" i="6"/>
  <c r="C390" i="6"/>
  <c r="D390" i="6" s="1"/>
  <c r="E390" i="6" s="1"/>
  <c r="J389" i="6"/>
  <c r="I389" i="6"/>
  <c r="G389" i="6"/>
  <c r="F389" i="6"/>
  <c r="C389" i="6"/>
  <c r="D389" i="6" s="1"/>
  <c r="E389" i="6" s="1"/>
  <c r="J388" i="6"/>
  <c r="I388" i="6"/>
  <c r="G388" i="6"/>
  <c r="F388" i="6"/>
  <c r="C388" i="6"/>
  <c r="D388" i="6" s="1"/>
  <c r="E388" i="6" s="1"/>
  <c r="J387" i="6"/>
  <c r="I387" i="6"/>
  <c r="G387" i="6"/>
  <c r="F387" i="6"/>
  <c r="C387" i="6"/>
  <c r="D387" i="6" s="1"/>
  <c r="E387" i="6" s="1"/>
  <c r="J386" i="6"/>
  <c r="I386" i="6"/>
  <c r="G386" i="6"/>
  <c r="F386" i="6"/>
  <c r="C386" i="6"/>
  <c r="D386" i="6" s="1"/>
  <c r="E386" i="6" s="1"/>
  <c r="J385" i="6"/>
  <c r="I385" i="6"/>
  <c r="G385" i="6"/>
  <c r="F385" i="6"/>
  <c r="C385" i="6"/>
  <c r="D385" i="6" s="1"/>
  <c r="E385" i="6" s="1"/>
  <c r="J384" i="6"/>
  <c r="I384" i="6"/>
  <c r="G384" i="6"/>
  <c r="F384" i="6"/>
  <c r="C384" i="6"/>
  <c r="D384" i="6" s="1"/>
  <c r="E384" i="6" s="1"/>
  <c r="J383" i="6"/>
  <c r="I383" i="6"/>
  <c r="G383" i="6"/>
  <c r="F383" i="6"/>
  <c r="C383" i="6"/>
  <c r="D383" i="6" s="1"/>
  <c r="E383" i="6" s="1"/>
  <c r="J382" i="6"/>
  <c r="I382" i="6"/>
  <c r="G382" i="6"/>
  <c r="F382" i="6"/>
  <c r="C382" i="6"/>
  <c r="D382" i="6" s="1"/>
  <c r="E382" i="6" s="1"/>
  <c r="J381" i="6"/>
  <c r="I381" i="6"/>
  <c r="G381" i="6"/>
  <c r="F381" i="6"/>
  <c r="C381" i="6"/>
  <c r="D381" i="6" s="1"/>
  <c r="E381" i="6" s="1"/>
  <c r="J380" i="6"/>
  <c r="I380" i="6"/>
  <c r="G380" i="6"/>
  <c r="F380" i="6"/>
  <c r="C380" i="6"/>
  <c r="D380" i="6" s="1"/>
  <c r="E380" i="6" s="1"/>
  <c r="J379" i="6"/>
  <c r="I379" i="6"/>
  <c r="G379" i="6"/>
  <c r="F379" i="6"/>
  <c r="C379" i="6"/>
  <c r="D379" i="6" s="1"/>
  <c r="E379" i="6" s="1"/>
  <c r="J378" i="6"/>
  <c r="I378" i="6"/>
  <c r="G378" i="6"/>
  <c r="F378" i="6"/>
  <c r="C378" i="6"/>
  <c r="D378" i="6" s="1"/>
  <c r="E378" i="6" s="1"/>
  <c r="J377" i="6"/>
  <c r="I377" i="6"/>
  <c r="G377" i="6"/>
  <c r="F377" i="6"/>
  <c r="C377" i="6"/>
  <c r="D377" i="6" s="1"/>
  <c r="E377" i="6" s="1"/>
  <c r="J376" i="6"/>
  <c r="I376" i="6"/>
  <c r="G376" i="6"/>
  <c r="F376" i="6"/>
  <c r="C376" i="6"/>
  <c r="D376" i="6" s="1"/>
  <c r="E376" i="6" s="1"/>
  <c r="J375" i="6"/>
  <c r="I375" i="6"/>
  <c r="G375" i="6"/>
  <c r="F375" i="6"/>
  <c r="C375" i="6"/>
  <c r="D375" i="6" s="1"/>
  <c r="E375" i="6" s="1"/>
  <c r="J374" i="6"/>
  <c r="I374" i="6"/>
  <c r="G374" i="6"/>
  <c r="F374" i="6"/>
  <c r="C374" i="6"/>
  <c r="D374" i="6" s="1"/>
  <c r="E374" i="6" s="1"/>
  <c r="J373" i="6"/>
  <c r="I373" i="6"/>
  <c r="G373" i="6"/>
  <c r="F373" i="6"/>
  <c r="C373" i="6"/>
  <c r="D373" i="6" s="1"/>
  <c r="E373" i="6" s="1"/>
  <c r="J372" i="6"/>
  <c r="I372" i="6"/>
  <c r="G372" i="6"/>
  <c r="F372" i="6"/>
  <c r="C372" i="6"/>
  <c r="D372" i="6" s="1"/>
  <c r="E372" i="6" s="1"/>
  <c r="J371" i="6"/>
  <c r="I371" i="6"/>
  <c r="G371" i="6"/>
  <c r="F371" i="6"/>
  <c r="C371" i="6"/>
  <c r="D371" i="6" s="1"/>
  <c r="E371" i="6" s="1"/>
  <c r="J370" i="6"/>
  <c r="I370" i="6"/>
  <c r="G370" i="6"/>
  <c r="F370" i="6"/>
  <c r="C370" i="6"/>
  <c r="D370" i="6" s="1"/>
  <c r="E370" i="6" s="1"/>
  <c r="J369" i="6"/>
  <c r="I369" i="6"/>
  <c r="G369" i="6"/>
  <c r="F369" i="6"/>
  <c r="C369" i="6"/>
  <c r="D369" i="6" s="1"/>
  <c r="E369" i="6" s="1"/>
  <c r="J368" i="6"/>
  <c r="I368" i="6"/>
  <c r="G368" i="6"/>
  <c r="F368" i="6"/>
  <c r="C368" i="6"/>
  <c r="D368" i="6" s="1"/>
  <c r="E368" i="6" s="1"/>
  <c r="J367" i="6"/>
  <c r="I367" i="6"/>
  <c r="G367" i="6"/>
  <c r="F367" i="6"/>
  <c r="C367" i="6"/>
  <c r="D367" i="6" s="1"/>
  <c r="E367" i="6" s="1"/>
  <c r="J366" i="6"/>
  <c r="I366" i="6"/>
  <c r="G366" i="6"/>
  <c r="F366" i="6"/>
  <c r="C366" i="6"/>
  <c r="D366" i="6" s="1"/>
  <c r="E366" i="6" s="1"/>
  <c r="J365" i="6"/>
  <c r="I365" i="6"/>
  <c r="G365" i="6"/>
  <c r="F365" i="6"/>
  <c r="C365" i="6"/>
  <c r="D365" i="6" s="1"/>
  <c r="E365" i="6" s="1"/>
  <c r="J364" i="6"/>
  <c r="I364" i="6"/>
  <c r="G364" i="6"/>
  <c r="F364" i="6"/>
  <c r="C364" i="6"/>
  <c r="D364" i="6" s="1"/>
  <c r="E364" i="6" s="1"/>
  <c r="J363" i="6"/>
  <c r="I363" i="6"/>
  <c r="G363" i="6"/>
  <c r="F363" i="6"/>
  <c r="C363" i="6"/>
  <c r="D363" i="6" s="1"/>
  <c r="E363" i="6" s="1"/>
  <c r="J362" i="6"/>
  <c r="I362" i="6"/>
  <c r="G362" i="6"/>
  <c r="F362" i="6"/>
  <c r="C362" i="6"/>
  <c r="D362" i="6" s="1"/>
  <c r="E362" i="6" s="1"/>
  <c r="J361" i="6"/>
  <c r="I361" i="6"/>
  <c r="G361" i="6"/>
  <c r="F361" i="6"/>
  <c r="C361" i="6"/>
  <c r="D361" i="6" s="1"/>
  <c r="E361" i="6" s="1"/>
  <c r="J360" i="6"/>
  <c r="I360" i="6"/>
  <c r="G360" i="6"/>
  <c r="F360" i="6"/>
  <c r="C360" i="6"/>
  <c r="D360" i="6" s="1"/>
  <c r="E360" i="6" s="1"/>
  <c r="J359" i="6"/>
  <c r="I359" i="6"/>
  <c r="G359" i="6"/>
  <c r="F359" i="6"/>
  <c r="C359" i="6"/>
  <c r="D359" i="6" s="1"/>
  <c r="E359" i="6" s="1"/>
  <c r="J358" i="6"/>
  <c r="I358" i="6"/>
  <c r="G358" i="6"/>
  <c r="F358" i="6"/>
  <c r="C358" i="6"/>
  <c r="D358" i="6" s="1"/>
  <c r="E358" i="6" s="1"/>
  <c r="J357" i="6"/>
  <c r="I357" i="6"/>
  <c r="G357" i="6"/>
  <c r="F357" i="6"/>
  <c r="C357" i="6"/>
  <c r="D357" i="6" s="1"/>
  <c r="E357" i="6" s="1"/>
  <c r="J356" i="6"/>
  <c r="I356" i="6"/>
  <c r="G356" i="6"/>
  <c r="F356" i="6"/>
  <c r="C356" i="6"/>
  <c r="D356" i="6" s="1"/>
  <c r="E356" i="6" s="1"/>
  <c r="J355" i="6"/>
  <c r="I355" i="6"/>
  <c r="G355" i="6"/>
  <c r="F355" i="6"/>
  <c r="C355" i="6"/>
  <c r="D355" i="6" s="1"/>
  <c r="E355" i="6" s="1"/>
  <c r="J354" i="6"/>
  <c r="I354" i="6"/>
  <c r="G354" i="6"/>
  <c r="F354" i="6"/>
  <c r="C354" i="6"/>
  <c r="D354" i="6" s="1"/>
  <c r="E354" i="6" s="1"/>
  <c r="J353" i="6"/>
  <c r="I353" i="6"/>
  <c r="G353" i="6"/>
  <c r="F353" i="6"/>
  <c r="C353" i="6"/>
  <c r="D353" i="6" s="1"/>
  <c r="E353" i="6" s="1"/>
  <c r="J352" i="6"/>
  <c r="I352" i="6"/>
  <c r="G352" i="6"/>
  <c r="F352" i="6"/>
  <c r="C352" i="6"/>
  <c r="D352" i="6" s="1"/>
  <c r="E352" i="6" s="1"/>
  <c r="J351" i="6"/>
  <c r="I351" i="6"/>
  <c r="G351" i="6"/>
  <c r="F351" i="6"/>
  <c r="C351" i="6"/>
  <c r="D351" i="6" s="1"/>
  <c r="E351" i="6" s="1"/>
  <c r="J350" i="6"/>
  <c r="I350" i="6"/>
  <c r="G350" i="6"/>
  <c r="F350" i="6"/>
  <c r="C350" i="6"/>
  <c r="D350" i="6" s="1"/>
  <c r="E350" i="6" s="1"/>
  <c r="J349" i="6"/>
  <c r="I349" i="6"/>
  <c r="G349" i="6"/>
  <c r="F349" i="6"/>
  <c r="C349" i="6"/>
  <c r="D349" i="6" s="1"/>
  <c r="E349" i="6" s="1"/>
  <c r="J348" i="6"/>
  <c r="I348" i="6"/>
  <c r="G348" i="6"/>
  <c r="F348" i="6"/>
  <c r="C348" i="6"/>
  <c r="D348" i="6" s="1"/>
  <c r="E348" i="6" s="1"/>
  <c r="J347" i="6"/>
  <c r="I347" i="6"/>
  <c r="G347" i="6"/>
  <c r="F347" i="6"/>
  <c r="C347" i="6"/>
  <c r="D347" i="6" s="1"/>
  <c r="E347" i="6" s="1"/>
  <c r="J346" i="6"/>
  <c r="I346" i="6"/>
  <c r="G346" i="6"/>
  <c r="F346" i="6"/>
  <c r="C346" i="6"/>
  <c r="D346" i="6" s="1"/>
  <c r="E346" i="6" s="1"/>
  <c r="J345" i="6"/>
  <c r="I345" i="6"/>
  <c r="G345" i="6"/>
  <c r="F345" i="6"/>
  <c r="C345" i="6"/>
  <c r="D345" i="6" s="1"/>
  <c r="E345" i="6" s="1"/>
  <c r="J344" i="6"/>
  <c r="I344" i="6"/>
  <c r="G344" i="6"/>
  <c r="F344" i="6"/>
  <c r="C344" i="6"/>
  <c r="D344" i="6" s="1"/>
  <c r="E344" i="6" s="1"/>
  <c r="J343" i="6"/>
  <c r="I343" i="6"/>
  <c r="G343" i="6"/>
  <c r="F343" i="6"/>
  <c r="C343" i="6"/>
  <c r="D343" i="6" s="1"/>
  <c r="E343" i="6" s="1"/>
  <c r="J342" i="6"/>
  <c r="I342" i="6"/>
  <c r="G342" i="6"/>
  <c r="F342" i="6"/>
  <c r="C342" i="6"/>
  <c r="D342" i="6" s="1"/>
  <c r="E342" i="6" s="1"/>
  <c r="J341" i="6"/>
  <c r="I341" i="6"/>
  <c r="G341" i="6"/>
  <c r="F341" i="6"/>
  <c r="C341" i="6"/>
  <c r="D341" i="6" s="1"/>
  <c r="E341" i="6" s="1"/>
  <c r="J340" i="6"/>
  <c r="I340" i="6"/>
  <c r="G340" i="6"/>
  <c r="F340" i="6"/>
  <c r="C340" i="6"/>
  <c r="D340" i="6" s="1"/>
  <c r="E340" i="6" s="1"/>
  <c r="J339" i="6"/>
  <c r="I339" i="6"/>
  <c r="G339" i="6"/>
  <c r="F339" i="6"/>
  <c r="C339" i="6"/>
  <c r="D339" i="6" s="1"/>
  <c r="E339" i="6" s="1"/>
  <c r="J338" i="6"/>
  <c r="I338" i="6"/>
  <c r="G338" i="6"/>
  <c r="F338" i="6"/>
  <c r="C338" i="6"/>
  <c r="D338" i="6" s="1"/>
  <c r="E338" i="6" s="1"/>
  <c r="J337" i="6"/>
  <c r="I337" i="6"/>
  <c r="G337" i="6"/>
  <c r="F337" i="6"/>
  <c r="C337" i="6"/>
  <c r="D337" i="6" s="1"/>
  <c r="E337" i="6" s="1"/>
  <c r="J336" i="6"/>
  <c r="I336" i="6"/>
  <c r="G336" i="6"/>
  <c r="F336" i="6"/>
  <c r="C336" i="6"/>
  <c r="D336" i="6" s="1"/>
  <c r="E336" i="6" s="1"/>
  <c r="J335" i="6"/>
  <c r="I335" i="6"/>
  <c r="G335" i="6"/>
  <c r="F335" i="6"/>
  <c r="C335" i="6"/>
  <c r="D335" i="6" s="1"/>
  <c r="E335" i="6" s="1"/>
  <c r="J334" i="6"/>
  <c r="I334" i="6"/>
  <c r="G334" i="6"/>
  <c r="F334" i="6"/>
  <c r="C334" i="6"/>
  <c r="D334" i="6" s="1"/>
  <c r="E334" i="6" s="1"/>
  <c r="J333" i="6"/>
  <c r="I333" i="6"/>
  <c r="G333" i="6"/>
  <c r="F333" i="6"/>
  <c r="C333" i="6"/>
  <c r="D333" i="6" s="1"/>
  <c r="E333" i="6" s="1"/>
  <c r="J332" i="6"/>
  <c r="I332" i="6"/>
  <c r="G332" i="6"/>
  <c r="F332" i="6"/>
  <c r="C332" i="6"/>
  <c r="D332" i="6" s="1"/>
  <c r="E332" i="6" s="1"/>
  <c r="J331" i="6"/>
  <c r="I331" i="6"/>
  <c r="G331" i="6"/>
  <c r="F331" i="6"/>
  <c r="C331" i="6"/>
  <c r="D331" i="6" s="1"/>
  <c r="E331" i="6" s="1"/>
  <c r="J330" i="6"/>
  <c r="I330" i="6"/>
  <c r="G330" i="6"/>
  <c r="F330" i="6"/>
  <c r="C330" i="6"/>
  <c r="D330" i="6" s="1"/>
  <c r="E330" i="6" s="1"/>
  <c r="J329" i="6"/>
  <c r="I329" i="6"/>
  <c r="G329" i="6"/>
  <c r="F329" i="6"/>
  <c r="C329" i="6"/>
  <c r="D329" i="6" s="1"/>
  <c r="E329" i="6" s="1"/>
  <c r="J328" i="6"/>
  <c r="I328" i="6"/>
  <c r="G328" i="6"/>
  <c r="F328" i="6"/>
  <c r="C328" i="6"/>
  <c r="D328" i="6" s="1"/>
  <c r="E328" i="6" s="1"/>
  <c r="J327" i="6"/>
  <c r="I327" i="6"/>
  <c r="G327" i="6"/>
  <c r="F327" i="6"/>
  <c r="C327" i="6"/>
  <c r="D327" i="6" s="1"/>
  <c r="E327" i="6" s="1"/>
  <c r="J326" i="6"/>
  <c r="I326" i="6"/>
  <c r="G326" i="6"/>
  <c r="F326" i="6"/>
  <c r="C326" i="6"/>
  <c r="D326" i="6" s="1"/>
  <c r="E326" i="6" s="1"/>
  <c r="J325" i="6"/>
  <c r="I325" i="6"/>
  <c r="G325" i="6"/>
  <c r="F325" i="6"/>
  <c r="C325" i="6"/>
  <c r="D325" i="6" s="1"/>
  <c r="E325" i="6" s="1"/>
  <c r="J324" i="6"/>
  <c r="I324" i="6"/>
  <c r="G324" i="6"/>
  <c r="F324" i="6"/>
  <c r="C324" i="6"/>
  <c r="D324" i="6" s="1"/>
  <c r="E324" i="6" s="1"/>
  <c r="J323" i="6"/>
  <c r="I323" i="6"/>
  <c r="G323" i="6"/>
  <c r="F323" i="6"/>
  <c r="C323" i="6"/>
  <c r="D323" i="6" s="1"/>
  <c r="E323" i="6" s="1"/>
  <c r="J322" i="6"/>
  <c r="I322" i="6"/>
  <c r="G322" i="6"/>
  <c r="F322" i="6"/>
  <c r="C322" i="6"/>
  <c r="D322" i="6" s="1"/>
  <c r="E322" i="6" s="1"/>
  <c r="J321" i="6"/>
  <c r="I321" i="6"/>
  <c r="G321" i="6"/>
  <c r="F321" i="6"/>
  <c r="C321" i="6"/>
  <c r="D321" i="6" s="1"/>
  <c r="E321" i="6" s="1"/>
  <c r="J320" i="6"/>
  <c r="I320" i="6"/>
  <c r="G320" i="6"/>
  <c r="F320" i="6"/>
  <c r="C320" i="6"/>
  <c r="D320" i="6" s="1"/>
  <c r="E320" i="6" s="1"/>
  <c r="J319" i="6"/>
  <c r="I319" i="6"/>
  <c r="G319" i="6"/>
  <c r="F319" i="6"/>
  <c r="C319" i="6"/>
  <c r="D319" i="6" s="1"/>
  <c r="E319" i="6" s="1"/>
  <c r="J318" i="6"/>
  <c r="I318" i="6"/>
  <c r="G318" i="6"/>
  <c r="F318" i="6"/>
  <c r="C318" i="6"/>
  <c r="D318" i="6" s="1"/>
  <c r="E318" i="6" s="1"/>
  <c r="J317" i="6"/>
  <c r="I317" i="6"/>
  <c r="G317" i="6"/>
  <c r="F317" i="6"/>
  <c r="C317" i="6"/>
  <c r="D317" i="6" s="1"/>
  <c r="E317" i="6" s="1"/>
  <c r="J316" i="6"/>
  <c r="I316" i="6"/>
  <c r="G316" i="6"/>
  <c r="F316" i="6"/>
  <c r="C316" i="6"/>
  <c r="D316" i="6" s="1"/>
  <c r="E316" i="6" s="1"/>
  <c r="J315" i="6"/>
  <c r="I315" i="6"/>
  <c r="G315" i="6"/>
  <c r="F315" i="6"/>
  <c r="C315" i="6"/>
  <c r="D315" i="6" s="1"/>
  <c r="E315" i="6" s="1"/>
  <c r="J314" i="6"/>
  <c r="I314" i="6"/>
  <c r="G314" i="6"/>
  <c r="F314" i="6"/>
  <c r="C314" i="6"/>
  <c r="D314" i="6" s="1"/>
  <c r="E314" i="6" s="1"/>
  <c r="J313" i="6"/>
  <c r="I313" i="6"/>
  <c r="G313" i="6"/>
  <c r="F313" i="6"/>
  <c r="C313" i="6"/>
  <c r="D313" i="6" s="1"/>
  <c r="E313" i="6" s="1"/>
  <c r="J312" i="6"/>
  <c r="I312" i="6"/>
  <c r="G312" i="6"/>
  <c r="F312" i="6"/>
  <c r="C312" i="6"/>
  <c r="D312" i="6" s="1"/>
  <c r="E312" i="6" s="1"/>
  <c r="J311" i="6"/>
  <c r="I311" i="6"/>
  <c r="G311" i="6"/>
  <c r="F311" i="6"/>
  <c r="C311" i="6"/>
  <c r="D311" i="6" s="1"/>
  <c r="E311" i="6" s="1"/>
  <c r="J310" i="6"/>
  <c r="I310" i="6"/>
  <c r="G310" i="6"/>
  <c r="F310" i="6"/>
  <c r="C310" i="6"/>
  <c r="D310" i="6" s="1"/>
  <c r="E310" i="6" s="1"/>
  <c r="J309" i="6"/>
  <c r="I309" i="6"/>
  <c r="G309" i="6"/>
  <c r="F309" i="6"/>
  <c r="C309" i="6"/>
  <c r="D309" i="6" s="1"/>
  <c r="E309" i="6" s="1"/>
  <c r="J308" i="6"/>
  <c r="I308" i="6"/>
  <c r="G308" i="6"/>
  <c r="F308" i="6"/>
  <c r="C308" i="6"/>
  <c r="D308" i="6" s="1"/>
  <c r="E308" i="6" s="1"/>
  <c r="J307" i="6"/>
  <c r="I307" i="6"/>
  <c r="G307" i="6"/>
  <c r="F307" i="6"/>
  <c r="C307" i="6"/>
  <c r="D307" i="6" s="1"/>
  <c r="E307" i="6" s="1"/>
  <c r="J306" i="6"/>
  <c r="I306" i="6"/>
  <c r="G306" i="6"/>
  <c r="F306" i="6"/>
  <c r="C306" i="6"/>
  <c r="D306" i="6" s="1"/>
  <c r="E306" i="6" s="1"/>
  <c r="J305" i="6"/>
  <c r="I305" i="6"/>
  <c r="G305" i="6"/>
  <c r="F305" i="6"/>
  <c r="C305" i="6"/>
  <c r="D305" i="6" s="1"/>
  <c r="E305" i="6" s="1"/>
  <c r="J304" i="6"/>
  <c r="I304" i="6"/>
  <c r="G304" i="6"/>
  <c r="F304" i="6"/>
  <c r="C304" i="6"/>
  <c r="D304" i="6" s="1"/>
  <c r="E304" i="6" s="1"/>
  <c r="J303" i="6"/>
  <c r="I303" i="6"/>
  <c r="G303" i="6"/>
  <c r="F303" i="6"/>
  <c r="C303" i="6"/>
  <c r="D303" i="6" s="1"/>
  <c r="E303" i="6" s="1"/>
  <c r="J302" i="6"/>
  <c r="I302" i="6"/>
  <c r="G302" i="6"/>
  <c r="F302" i="6"/>
  <c r="C302" i="6"/>
  <c r="D302" i="6" s="1"/>
  <c r="E302" i="6" s="1"/>
  <c r="J301" i="6"/>
  <c r="I301" i="6"/>
  <c r="G301" i="6"/>
  <c r="F301" i="6"/>
  <c r="C301" i="6"/>
  <c r="D301" i="6" s="1"/>
  <c r="E301" i="6" s="1"/>
  <c r="J300" i="6"/>
  <c r="I300" i="6"/>
  <c r="G300" i="6"/>
  <c r="F300" i="6"/>
  <c r="C300" i="6"/>
  <c r="D300" i="6" s="1"/>
  <c r="E300" i="6" s="1"/>
  <c r="J299" i="6"/>
  <c r="I299" i="6"/>
  <c r="G299" i="6"/>
  <c r="F299" i="6"/>
  <c r="C299" i="6"/>
  <c r="D299" i="6" s="1"/>
  <c r="E299" i="6" s="1"/>
  <c r="J298" i="6"/>
  <c r="I298" i="6"/>
  <c r="G298" i="6"/>
  <c r="F298" i="6"/>
  <c r="C298" i="6"/>
  <c r="D298" i="6" s="1"/>
  <c r="E298" i="6" s="1"/>
  <c r="J297" i="6"/>
  <c r="I297" i="6"/>
  <c r="G297" i="6"/>
  <c r="F297" i="6"/>
  <c r="C297" i="6"/>
  <c r="D297" i="6" s="1"/>
  <c r="E297" i="6" s="1"/>
  <c r="J296" i="6"/>
  <c r="I296" i="6"/>
  <c r="G296" i="6"/>
  <c r="F296" i="6"/>
  <c r="C296" i="6"/>
  <c r="D296" i="6" s="1"/>
  <c r="E296" i="6" s="1"/>
  <c r="J295" i="6"/>
  <c r="I295" i="6"/>
  <c r="G295" i="6"/>
  <c r="F295" i="6"/>
  <c r="C295" i="6"/>
  <c r="D295" i="6" s="1"/>
  <c r="E295" i="6" s="1"/>
  <c r="J294" i="6"/>
  <c r="I294" i="6"/>
  <c r="G294" i="6"/>
  <c r="F294" i="6"/>
  <c r="C294" i="6"/>
  <c r="D294" i="6" s="1"/>
  <c r="E294" i="6" s="1"/>
  <c r="J293" i="6"/>
  <c r="I293" i="6"/>
  <c r="G293" i="6"/>
  <c r="F293" i="6"/>
  <c r="C293" i="6"/>
  <c r="D293" i="6" s="1"/>
  <c r="E293" i="6" s="1"/>
  <c r="J292" i="6"/>
  <c r="I292" i="6"/>
  <c r="G292" i="6"/>
  <c r="F292" i="6"/>
  <c r="C292" i="6"/>
  <c r="D292" i="6" s="1"/>
  <c r="E292" i="6" s="1"/>
  <c r="J291" i="6"/>
  <c r="I291" i="6"/>
  <c r="G291" i="6"/>
  <c r="F291" i="6"/>
  <c r="C291" i="6"/>
  <c r="D291" i="6" s="1"/>
  <c r="E291" i="6" s="1"/>
  <c r="J290" i="6"/>
  <c r="I290" i="6"/>
  <c r="G290" i="6"/>
  <c r="F290" i="6"/>
  <c r="C290" i="6"/>
  <c r="D290" i="6" s="1"/>
  <c r="E290" i="6" s="1"/>
  <c r="J289" i="6"/>
  <c r="I289" i="6"/>
  <c r="G289" i="6"/>
  <c r="F289" i="6"/>
  <c r="C289" i="6"/>
  <c r="D289" i="6" s="1"/>
  <c r="E289" i="6" s="1"/>
  <c r="J288" i="6"/>
  <c r="I288" i="6"/>
  <c r="G288" i="6"/>
  <c r="F288" i="6"/>
  <c r="C288" i="6"/>
  <c r="D288" i="6" s="1"/>
  <c r="E288" i="6" s="1"/>
  <c r="J287" i="6"/>
  <c r="I287" i="6"/>
  <c r="G287" i="6"/>
  <c r="F287" i="6"/>
  <c r="C287" i="6"/>
  <c r="D287" i="6" s="1"/>
  <c r="E287" i="6" s="1"/>
  <c r="J286" i="6"/>
  <c r="I286" i="6"/>
  <c r="G286" i="6"/>
  <c r="F286" i="6"/>
  <c r="C286" i="6"/>
  <c r="D286" i="6" s="1"/>
  <c r="E286" i="6" s="1"/>
  <c r="J285" i="6"/>
  <c r="I285" i="6"/>
  <c r="G285" i="6"/>
  <c r="F285" i="6"/>
  <c r="C285" i="6"/>
  <c r="D285" i="6" s="1"/>
  <c r="E285" i="6" s="1"/>
  <c r="J284" i="6"/>
  <c r="I284" i="6"/>
  <c r="G284" i="6"/>
  <c r="F284" i="6"/>
  <c r="C284" i="6"/>
  <c r="D284" i="6" s="1"/>
  <c r="E284" i="6" s="1"/>
  <c r="J283" i="6"/>
  <c r="I283" i="6"/>
  <c r="G283" i="6"/>
  <c r="F283" i="6"/>
  <c r="C283" i="6"/>
  <c r="D283" i="6" s="1"/>
  <c r="E283" i="6" s="1"/>
  <c r="J282" i="6"/>
  <c r="I282" i="6"/>
  <c r="G282" i="6"/>
  <c r="F282" i="6"/>
  <c r="C282" i="6"/>
  <c r="D282" i="6" s="1"/>
  <c r="E282" i="6" s="1"/>
  <c r="J281" i="6"/>
  <c r="I281" i="6"/>
  <c r="G281" i="6"/>
  <c r="F281" i="6"/>
  <c r="C281" i="6"/>
  <c r="D281" i="6" s="1"/>
  <c r="E281" i="6" s="1"/>
  <c r="J280" i="6"/>
  <c r="I280" i="6"/>
  <c r="G280" i="6"/>
  <c r="F280" i="6"/>
  <c r="C280" i="6"/>
  <c r="D280" i="6" s="1"/>
  <c r="E280" i="6" s="1"/>
  <c r="J279" i="6"/>
  <c r="I279" i="6"/>
  <c r="G279" i="6"/>
  <c r="F279" i="6"/>
  <c r="C279" i="6"/>
  <c r="D279" i="6" s="1"/>
  <c r="E279" i="6" s="1"/>
  <c r="J278" i="6"/>
  <c r="I278" i="6"/>
  <c r="G278" i="6"/>
  <c r="F278" i="6"/>
  <c r="C278" i="6"/>
  <c r="D278" i="6" s="1"/>
  <c r="E278" i="6" s="1"/>
  <c r="J277" i="6"/>
  <c r="I277" i="6"/>
  <c r="G277" i="6"/>
  <c r="F277" i="6"/>
  <c r="C277" i="6"/>
  <c r="D277" i="6" s="1"/>
  <c r="E277" i="6" s="1"/>
  <c r="J276" i="6"/>
  <c r="I276" i="6"/>
  <c r="G276" i="6"/>
  <c r="F276" i="6"/>
  <c r="C276" i="6"/>
  <c r="D276" i="6" s="1"/>
  <c r="E276" i="6" s="1"/>
  <c r="J275" i="6"/>
  <c r="I275" i="6"/>
  <c r="G275" i="6"/>
  <c r="F275" i="6"/>
  <c r="C275" i="6"/>
  <c r="D275" i="6" s="1"/>
  <c r="E275" i="6" s="1"/>
  <c r="J274" i="6"/>
  <c r="I274" i="6"/>
  <c r="G274" i="6"/>
  <c r="F274" i="6"/>
  <c r="C274" i="6"/>
  <c r="D274" i="6" s="1"/>
  <c r="E274" i="6" s="1"/>
  <c r="J273" i="6"/>
  <c r="I273" i="6"/>
  <c r="G273" i="6"/>
  <c r="F273" i="6"/>
  <c r="C273" i="6"/>
  <c r="D273" i="6" s="1"/>
  <c r="E273" i="6" s="1"/>
  <c r="J272" i="6"/>
  <c r="I272" i="6"/>
  <c r="G272" i="6"/>
  <c r="F272" i="6"/>
  <c r="C272" i="6"/>
  <c r="D272" i="6" s="1"/>
  <c r="E272" i="6" s="1"/>
  <c r="J271" i="6"/>
  <c r="I271" i="6"/>
  <c r="G271" i="6"/>
  <c r="F271" i="6"/>
  <c r="C271" i="6"/>
  <c r="D271" i="6" s="1"/>
  <c r="E271" i="6" s="1"/>
  <c r="J270" i="6"/>
  <c r="I270" i="6"/>
  <c r="G270" i="6"/>
  <c r="F270" i="6"/>
  <c r="C270" i="6"/>
  <c r="D270" i="6" s="1"/>
  <c r="E270" i="6" s="1"/>
  <c r="J269" i="6"/>
  <c r="I269" i="6"/>
  <c r="G269" i="6"/>
  <c r="F269" i="6"/>
  <c r="C269" i="6"/>
  <c r="D269" i="6" s="1"/>
  <c r="E269" i="6" s="1"/>
  <c r="J268" i="6"/>
  <c r="I268" i="6"/>
  <c r="G268" i="6"/>
  <c r="F268" i="6"/>
  <c r="C268" i="6"/>
  <c r="D268" i="6" s="1"/>
  <c r="E268" i="6" s="1"/>
  <c r="J267" i="6"/>
  <c r="I267" i="6"/>
  <c r="G267" i="6"/>
  <c r="F267" i="6"/>
  <c r="C267" i="6"/>
  <c r="D267" i="6" s="1"/>
  <c r="E267" i="6" s="1"/>
  <c r="J266" i="6"/>
  <c r="I266" i="6"/>
  <c r="G266" i="6"/>
  <c r="F266" i="6"/>
  <c r="C266" i="6"/>
  <c r="D266" i="6" s="1"/>
  <c r="E266" i="6" s="1"/>
  <c r="J265" i="6"/>
  <c r="I265" i="6"/>
  <c r="G265" i="6"/>
  <c r="F265" i="6"/>
  <c r="C265" i="6"/>
  <c r="D265" i="6" s="1"/>
  <c r="E265" i="6" s="1"/>
  <c r="J264" i="6"/>
  <c r="I264" i="6"/>
  <c r="G264" i="6"/>
  <c r="F264" i="6"/>
  <c r="C264" i="6"/>
  <c r="D264" i="6" s="1"/>
  <c r="E264" i="6" s="1"/>
  <c r="J263" i="6"/>
  <c r="I263" i="6"/>
  <c r="G263" i="6"/>
  <c r="F263" i="6"/>
  <c r="C263" i="6"/>
  <c r="D263" i="6" s="1"/>
  <c r="E263" i="6" s="1"/>
  <c r="J262" i="6"/>
  <c r="I262" i="6"/>
  <c r="G262" i="6"/>
  <c r="F262" i="6"/>
  <c r="C262" i="6"/>
  <c r="D262" i="6" s="1"/>
  <c r="E262" i="6" s="1"/>
  <c r="J261" i="6"/>
  <c r="I261" i="6"/>
  <c r="G261" i="6"/>
  <c r="F261" i="6"/>
  <c r="C261" i="6"/>
  <c r="D261" i="6" s="1"/>
  <c r="E261" i="6" s="1"/>
  <c r="J260" i="6"/>
  <c r="I260" i="6"/>
  <c r="G260" i="6"/>
  <c r="F260" i="6"/>
  <c r="C260" i="6"/>
  <c r="D260" i="6" s="1"/>
  <c r="E260" i="6" s="1"/>
  <c r="J259" i="6"/>
  <c r="I259" i="6"/>
  <c r="G259" i="6"/>
  <c r="F259" i="6"/>
  <c r="C259" i="6"/>
  <c r="D259" i="6" s="1"/>
  <c r="E259" i="6" s="1"/>
  <c r="J258" i="6"/>
  <c r="I258" i="6"/>
  <c r="G258" i="6"/>
  <c r="F258" i="6"/>
  <c r="C258" i="6"/>
  <c r="D258" i="6" s="1"/>
  <c r="E258" i="6" s="1"/>
  <c r="J257" i="6"/>
  <c r="I257" i="6"/>
  <c r="G257" i="6"/>
  <c r="F257" i="6"/>
  <c r="C257" i="6"/>
  <c r="D257" i="6" s="1"/>
  <c r="E257" i="6" s="1"/>
  <c r="J256" i="6"/>
  <c r="I256" i="6"/>
  <c r="G256" i="6"/>
  <c r="F256" i="6"/>
  <c r="C256" i="6"/>
  <c r="D256" i="6" s="1"/>
  <c r="E256" i="6" s="1"/>
  <c r="J255" i="6"/>
  <c r="I255" i="6"/>
  <c r="G255" i="6"/>
  <c r="F255" i="6"/>
  <c r="C255" i="6"/>
  <c r="D255" i="6" s="1"/>
  <c r="E255" i="6" s="1"/>
  <c r="J254" i="6"/>
  <c r="I254" i="6"/>
  <c r="G254" i="6"/>
  <c r="F254" i="6"/>
  <c r="C254" i="6"/>
  <c r="D254" i="6" s="1"/>
  <c r="E254" i="6" s="1"/>
  <c r="J253" i="6"/>
  <c r="I253" i="6"/>
  <c r="G253" i="6"/>
  <c r="F253" i="6"/>
  <c r="C253" i="6"/>
  <c r="D253" i="6" s="1"/>
  <c r="E253" i="6" s="1"/>
  <c r="H253" i="6" s="1"/>
  <c r="J252" i="6"/>
  <c r="I252" i="6"/>
  <c r="G252" i="6"/>
  <c r="F252" i="6"/>
  <c r="C252" i="6"/>
  <c r="D252" i="6" s="1"/>
  <c r="E252" i="6" s="1"/>
  <c r="J251" i="6"/>
  <c r="I251" i="6"/>
  <c r="G251" i="6"/>
  <c r="F251" i="6"/>
  <c r="C251" i="6"/>
  <c r="D251" i="6" s="1"/>
  <c r="E251" i="6" s="1"/>
  <c r="J250" i="6"/>
  <c r="I250" i="6"/>
  <c r="G250" i="6"/>
  <c r="F250" i="6"/>
  <c r="C250" i="6"/>
  <c r="D250" i="6" s="1"/>
  <c r="E250" i="6" s="1"/>
  <c r="J249" i="6"/>
  <c r="I249" i="6"/>
  <c r="G249" i="6"/>
  <c r="F249" i="6"/>
  <c r="C249" i="6"/>
  <c r="D249" i="6" s="1"/>
  <c r="E249" i="6" s="1"/>
  <c r="J248" i="6"/>
  <c r="I248" i="6"/>
  <c r="G248" i="6"/>
  <c r="F248" i="6"/>
  <c r="C248" i="6"/>
  <c r="D248" i="6" s="1"/>
  <c r="E248" i="6" s="1"/>
  <c r="J247" i="6"/>
  <c r="I247" i="6"/>
  <c r="G247" i="6"/>
  <c r="F247" i="6"/>
  <c r="C247" i="6"/>
  <c r="D247" i="6" s="1"/>
  <c r="E247" i="6" s="1"/>
  <c r="J246" i="6"/>
  <c r="I246" i="6"/>
  <c r="G246" i="6"/>
  <c r="F246" i="6"/>
  <c r="C246" i="6"/>
  <c r="D246" i="6" s="1"/>
  <c r="E246" i="6" s="1"/>
  <c r="J245" i="6"/>
  <c r="I245" i="6"/>
  <c r="G245" i="6"/>
  <c r="F245" i="6"/>
  <c r="C245" i="6"/>
  <c r="D245" i="6" s="1"/>
  <c r="E245" i="6" s="1"/>
  <c r="J244" i="6"/>
  <c r="I244" i="6"/>
  <c r="G244" i="6"/>
  <c r="F244" i="6"/>
  <c r="C244" i="6"/>
  <c r="D244" i="6" s="1"/>
  <c r="E244" i="6" s="1"/>
  <c r="J243" i="6"/>
  <c r="I243" i="6"/>
  <c r="G243" i="6"/>
  <c r="F243" i="6"/>
  <c r="C243" i="6"/>
  <c r="D243" i="6" s="1"/>
  <c r="E243" i="6" s="1"/>
  <c r="J242" i="6"/>
  <c r="I242" i="6"/>
  <c r="G242" i="6"/>
  <c r="F242" i="6"/>
  <c r="C242" i="6"/>
  <c r="D242" i="6" s="1"/>
  <c r="E242" i="6" s="1"/>
  <c r="J241" i="6"/>
  <c r="I241" i="6"/>
  <c r="G241" i="6"/>
  <c r="F241" i="6"/>
  <c r="C241" i="6"/>
  <c r="D241" i="6" s="1"/>
  <c r="E241" i="6" s="1"/>
  <c r="J240" i="6"/>
  <c r="I240" i="6"/>
  <c r="G240" i="6"/>
  <c r="F240" i="6"/>
  <c r="C240" i="6"/>
  <c r="D240" i="6" s="1"/>
  <c r="E240" i="6" s="1"/>
  <c r="J239" i="6"/>
  <c r="I239" i="6"/>
  <c r="G239" i="6"/>
  <c r="F239" i="6"/>
  <c r="C239" i="6"/>
  <c r="D239" i="6" s="1"/>
  <c r="E239" i="6" s="1"/>
  <c r="J238" i="6"/>
  <c r="I238" i="6"/>
  <c r="G238" i="6"/>
  <c r="F238" i="6"/>
  <c r="C238" i="6"/>
  <c r="D238" i="6" s="1"/>
  <c r="E238" i="6" s="1"/>
  <c r="J237" i="6"/>
  <c r="I237" i="6"/>
  <c r="G237" i="6"/>
  <c r="F237" i="6"/>
  <c r="C237" i="6"/>
  <c r="D237" i="6" s="1"/>
  <c r="E237" i="6" s="1"/>
  <c r="J236" i="6"/>
  <c r="I236" i="6"/>
  <c r="G236" i="6"/>
  <c r="F236" i="6"/>
  <c r="C236" i="6"/>
  <c r="D236" i="6" s="1"/>
  <c r="E236" i="6" s="1"/>
  <c r="J235" i="6"/>
  <c r="I235" i="6"/>
  <c r="G235" i="6"/>
  <c r="F235" i="6"/>
  <c r="C235" i="6"/>
  <c r="D235" i="6" s="1"/>
  <c r="E235" i="6" s="1"/>
  <c r="J234" i="6"/>
  <c r="I234" i="6"/>
  <c r="G234" i="6"/>
  <c r="F234" i="6"/>
  <c r="C234" i="6"/>
  <c r="D234" i="6" s="1"/>
  <c r="E234" i="6" s="1"/>
  <c r="J233" i="6"/>
  <c r="I233" i="6"/>
  <c r="G233" i="6"/>
  <c r="F233" i="6"/>
  <c r="C233" i="6"/>
  <c r="D233" i="6" s="1"/>
  <c r="E233" i="6" s="1"/>
  <c r="J232" i="6"/>
  <c r="I232" i="6"/>
  <c r="G232" i="6"/>
  <c r="F232" i="6"/>
  <c r="C232" i="6"/>
  <c r="D232" i="6" s="1"/>
  <c r="E232" i="6" s="1"/>
  <c r="J231" i="6"/>
  <c r="I231" i="6"/>
  <c r="G231" i="6"/>
  <c r="F231" i="6"/>
  <c r="C231" i="6"/>
  <c r="D231" i="6" s="1"/>
  <c r="E231" i="6" s="1"/>
  <c r="J230" i="6"/>
  <c r="I230" i="6"/>
  <c r="G230" i="6"/>
  <c r="F230" i="6"/>
  <c r="C230" i="6"/>
  <c r="D230" i="6" s="1"/>
  <c r="E230" i="6" s="1"/>
  <c r="J229" i="6"/>
  <c r="I229" i="6"/>
  <c r="G229" i="6"/>
  <c r="F229" i="6"/>
  <c r="C229" i="6"/>
  <c r="D229" i="6" s="1"/>
  <c r="E229" i="6" s="1"/>
  <c r="J228" i="6"/>
  <c r="I228" i="6"/>
  <c r="G228" i="6"/>
  <c r="F228" i="6"/>
  <c r="C228" i="6"/>
  <c r="D228" i="6" s="1"/>
  <c r="E228" i="6" s="1"/>
  <c r="J227" i="6"/>
  <c r="I227" i="6"/>
  <c r="G227" i="6"/>
  <c r="F227" i="6"/>
  <c r="C227" i="6"/>
  <c r="D227" i="6" s="1"/>
  <c r="E227" i="6" s="1"/>
  <c r="J226" i="6"/>
  <c r="I226" i="6"/>
  <c r="G226" i="6"/>
  <c r="F226" i="6"/>
  <c r="C226" i="6"/>
  <c r="D226" i="6" s="1"/>
  <c r="E226" i="6" s="1"/>
  <c r="J225" i="6"/>
  <c r="I225" i="6"/>
  <c r="G225" i="6"/>
  <c r="F225" i="6"/>
  <c r="C225" i="6"/>
  <c r="D225" i="6" s="1"/>
  <c r="E225" i="6" s="1"/>
  <c r="J224" i="6"/>
  <c r="I224" i="6"/>
  <c r="G224" i="6"/>
  <c r="F224" i="6"/>
  <c r="C224" i="6"/>
  <c r="D224" i="6" s="1"/>
  <c r="E224" i="6" s="1"/>
  <c r="J223" i="6"/>
  <c r="I223" i="6"/>
  <c r="G223" i="6"/>
  <c r="F223" i="6"/>
  <c r="C223" i="6"/>
  <c r="D223" i="6" s="1"/>
  <c r="E223" i="6" s="1"/>
  <c r="J222" i="6"/>
  <c r="I222" i="6"/>
  <c r="G222" i="6"/>
  <c r="F222" i="6"/>
  <c r="C222" i="6"/>
  <c r="D222" i="6" s="1"/>
  <c r="E222" i="6" s="1"/>
  <c r="J221" i="6"/>
  <c r="I221" i="6"/>
  <c r="G221" i="6"/>
  <c r="F221" i="6"/>
  <c r="C221" i="6"/>
  <c r="D221" i="6" s="1"/>
  <c r="E221" i="6" s="1"/>
  <c r="J220" i="6"/>
  <c r="I220" i="6"/>
  <c r="G220" i="6"/>
  <c r="F220" i="6"/>
  <c r="C220" i="6"/>
  <c r="D220" i="6" s="1"/>
  <c r="E220" i="6" s="1"/>
  <c r="J219" i="6"/>
  <c r="I219" i="6"/>
  <c r="G219" i="6"/>
  <c r="F219" i="6"/>
  <c r="C219" i="6"/>
  <c r="D219" i="6" s="1"/>
  <c r="E219" i="6" s="1"/>
  <c r="J218" i="6"/>
  <c r="I218" i="6"/>
  <c r="G218" i="6"/>
  <c r="F218" i="6"/>
  <c r="C218" i="6"/>
  <c r="D218" i="6" s="1"/>
  <c r="E218" i="6" s="1"/>
  <c r="J217" i="6"/>
  <c r="I217" i="6"/>
  <c r="G217" i="6"/>
  <c r="F217" i="6"/>
  <c r="C217" i="6"/>
  <c r="D217" i="6" s="1"/>
  <c r="E217" i="6" s="1"/>
  <c r="J216" i="6"/>
  <c r="I216" i="6"/>
  <c r="G216" i="6"/>
  <c r="F216" i="6"/>
  <c r="C216" i="6"/>
  <c r="D216" i="6" s="1"/>
  <c r="E216" i="6" s="1"/>
  <c r="J215" i="6"/>
  <c r="I215" i="6"/>
  <c r="G215" i="6"/>
  <c r="F215" i="6"/>
  <c r="C215" i="6"/>
  <c r="D215" i="6" s="1"/>
  <c r="E215" i="6" s="1"/>
  <c r="J214" i="6"/>
  <c r="I214" i="6"/>
  <c r="G214" i="6"/>
  <c r="F214" i="6"/>
  <c r="C214" i="6"/>
  <c r="D214" i="6" s="1"/>
  <c r="E214" i="6" s="1"/>
  <c r="J213" i="6"/>
  <c r="I213" i="6"/>
  <c r="G213" i="6"/>
  <c r="F213" i="6"/>
  <c r="C213" i="6"/>
  <c r="D213" i="6" s="1"/>
  <c r="E213" i="6" s="1"/>
  <c r="J212" i="6"/>
  <c r="I212" i="6"/>
  <c r="G212" i="6"/>
  <c r="F212" i="6"/>
  <c r="C212" i="6"/>
  <c r="D212" i="6" s="1"/>
  <c r="E212" i="6" s="1"/>
  <c r="J211" i="6"/>
  <c r="I211" i="6"/>
  <c r="G211" i="6"/>
  <c r="F211" i="6"/>
  <c r="C211" i="6"/>
  <c r="D211" i="6" s="1"/>
  <c r="E211" i="6" s="1"/>
  <c r="J210" i="6"/>
  <c r="I210" i="6"/>
  <c r="G210" i="6"/>
  <c r="F210" i="6"/>
  <c r="C210" i="6"/>
  <c r="D210" i="6" s="1"/>
  <c r="E210" i="6" s="1"/>
  <c r="J209" i="6"/>
  <c r="I209" i="6"/>
  <c r="G209" i="6"/>
  <c r="F209" i="6"/>
  <c r="C209" i="6"/>
  <c r="D209" i="6" s="1"/>
  <c r="E209" i="6" s="1"/>
  <c r="J208" i="6"/>
  <c r="I208" i="6"/>
  <c r="G208" i="6"/>
  <c r="F208" i="6"/>
  <c r="C208" i="6"/>
  <c r="D208" i="6" s="1"/>
  <c r="E208" i="6" s="1"/>
  <c r="J207" i="6"/>
  <c r="I207" i="6"/>
  <c r="G207" i="6"/>
  <c r="F207" i="6"/>
  <c r="C207" i="6"/>
  <c r="D207" i="6" s="1"/>
  <c r="E207" i="6" s="1"/>
  <c r="J206" i="6"/>
  <c r="I206" i="6"/>
  <c r="G206" i="6"/>
  <c r="F206" i="6"/>
  <c r="C206" i="6"/>
  <c r="D206" i="6" s="1"/>
  <c r="E206" i="6" s="1"/>
  <c r="J205" i="6"/>
  <c r="I205" i="6"/>
  <c r="G205" i="6"/>
  <c r="F205" i="6"/>
  <c r="C205" i="6"/>
  <c r="D205" i="6" s="1"/>
  <c r="E205" i="6" s="1"/>
  <c r="J204" i="6"/>
  <c r="I204" i="6"/>
  <c r="G204" i="6"/>
  <c r="F204" i="6"/>
  <c r="C204" i="6"/>
  <c r="D204" i="6" s="1"/>
  <c r="E204" i="6" s="1"/>
  <c r="J203" i="6"/>
  <c r="I203" i="6"/>
  <c r="G203" i="6"/>
  <c r="F203" i="6"/>
  <c r="C203" i="6"/>
  <c r="D203" i="6" s="1"/>
  <c r="E203" i="6" s="1"/>
  <c r="J202" i="6"/>
  <c r="I202" i="6"/>
  <c r="G202" i="6"/>
  <c r="F202" i="6"/>
  <c r="C202" i="6"/>
  <c r="D202" i="6" s="1"/>
  <c r="E202" i="6" s="1"/>
  <c r="J201" i="6"/>
  <c r="I201" i="6"/>
  <c r="G201" i="6"/>
  <c r="F201" i="6"/>
  <c r="C201" i="6"/>
  <c r="D201" i="6" s="1"/>
  <c r="E201" i="6" s="1"/>
  <c r="J200" i="6"/>
  <c r="I200" i="6"/>
  <c r="G200" i="6"/>
  <c r="F200" i="6"/>
  <c r="C200" i="6"/>
  <c r="D200" i="6" s="1"/>
  <c r="E200" i="6" s="1"/>
  <c r="J199" i="6"/>
  <c r="I199" i="6"/>
  <c r="G199" i="6"/>
  <c r="F199" i="6"/>
  <c r="C199" i="6"/>
  <c r="D199" i="6" s="1"/>
  <c r="E199" i="6" s="1"/>
  <c r="J198" i="6"/>
  <c r="I198" i="6"/>
  <c r="G198" i="6"/>
  <c r="F198" i="6"/>
  <c r="C198" i="6"/>
  <c r="D198" i="6" s="1"/>
  <c r="E198" i="6" s="1"/>
  <c r="J197" i="6"/>
  <c r="I197" i="6"/>
  <c r="G197" i="6"/>
  <c r="F197" i="6"/>
  <c r="C197" i="6"/>
  <c r="D197" i="6" s="1"/>
  <c r="E197" i="6" s="1"/>
  <c r="J196" i="6"/>
  <c r="I196" i="6"/>
  <c r="G196" i="6"/>
  <c r="F196" i="6"/>
  <c r="C196" i="6"/>
  <c r="D196" i="6" s="1"/>
  <c r="E196" i="6" s="1"/>
  <c r="J195" i="6"/>
  <c r="I195" i="6"/>
  <c r="G195" i="6"/>
  <c r="F195" i="6"/>
  <c r="C195" i="6"/>
  <c r="D195" i="6" s="1"/>
  <c r="E195" i="6" s="1"/>
  <c r="J194" i="6"/>
  <c r="I194" i="6"/>
  <c r="G194" i="6"/>
  <c r="F194" i="6"/>
  <c r="C194" i="6"/>
  <c r="D194" i="6" s="1"/>
  <c r="E194" i="6" s="1"/>
  <c r="J193" i="6"/>
  <c r="I193" i="6"/>
  <c r="G193" i="6"/>
  <c r="F193" i="6"/>
  <c r="C193" i="6"/>
  <c r="D193" i="6" s="1"/>
  <c r="E193" i="6" s="1"/>
  <c r="J192" i="6"/>
  <c r="I192" i="6"/>
  <c r="G192" i="6"/>
  <c r="F192" i="6"/>
  <c r="C192" i="6"/>
  <c r="D192" i="6" s="1"/>
  <c r="E192" i="6" s="1"/>
  <c r="J191" i="6"/>
  <c r="I191" i="6"/>
  <c r="G191" i="6"/>
  <c r="F191" i="6"/>
  <c r="C191" i="6"/>
  <c r="D191" i="6" s="1"/>
  <c r="E191" i="6" s="1"/>
  <c r="J190" i="6"/>
  <c r="I190" i="6"/>
  <c r="G190" i="6"/>
  <c r="F190" i="6"/>
  <c r="C190" i="6"/>
  <c r="D190" i="6" s="1"/>
  <c r="E190" i="6" s="1"/>
  <c r="J189" i="6"/>
  <c r="I189" i="6"/>
  <c r="G189" i="6"/>
  <c r="F189" i="6"/>
  <c r="C189" i="6"/>
  <c r="D189" i="6" s="1"/>
  <c r="E189" i="6" s="1"/>
  <c r="J188" i="6"/>
  <c r="I188" i="6"/>
  <c r="G188" i="6"/>
  <c r="F188" i="6"/>
  <c r="C188" i="6"/>
  <c r="D188" i="6" s="1"/>
  <c r="E188" i="6" s="1"/>
  <c r="J187" i="6"/>
  <c r="I187" i="6"/>
  <c r="G187" i="6"/>
  <c r="F187" i="6"/>
  <c r="C187" i="6"/>
  <c r="D187" i="6" s="1"/>
  <c r="E187" i="6" s="1"/>
  <c r="J186" i="6"/>
  <c r="I186" i="6"/>
  <c r="G186" i="6"/>
  <c r="F186" i="6"/>
  <c r="C186" i="6"/>
  <c r="D186" i="6" s="1"/>
  <c r="E186" i="6" s="1"/>
  <c r="J185" i="6"/>
  <c r="I185" i="6"/>
  <c r="G185" i="6"/>
  <c r="F185" i="6"/>
  <c r="C185" i="6"/>
  <c r="D185" i="6" s="1"/>
  <c r="E185" i="6" s="1"/>
  <c r="J184" i="6"/>
  <c r="I184" i="6"/>
  <c r="G184" i="6"/>
  <c r="F184" i="6"/>
  <c r="C184" i="6"/>
  <c r="D184" i="6" s="1"/>
  <c r="E184" i="6" s="1"/>
  <c r="J183" i="6"/>
  <c r="I183" i="6"/>
  <c r="G183" i="6"/>
  <c r="F183" i="6"/>
  <c r="C183" i="6"/>
  <c r="D183" i="6" s="1"/>
  <c r="E183" i="6" s="1"/>
  <c r="J182" i="6"/>
  <c r="I182" i="6"/>
  <c r="G182" i="6"/>
  <c r="F182" i="6"/>
  <c r="C182" i="6"/>
  <c r="D182" i="6" s="1"/>
  <c r="E182" i="6" s="1"/>
  <c r="J181" i="6"/>
  <c r="I181" i="6"/>
  <c r="G181" i="6"/>
  <c r="F181" i="6"/>
  <c r="C181" i="6"/>
  <c r="D181" i="6" s="1"/>
  <c r="E181" i="6" s="1"/>
  <c r="J180" i="6"/>
  <c r="I180" i="6"/>
  <c r="G180" i="6"/>
  <c r="F180" i="6"/>
  <c r="C180" i="6"/>
  <c r="D180" i="6" s="1"/>
  <c r="E180" i="6" s="1"/>
  <c r="J179" i="6"/>
  <c r="I179" i="6"/>
  <c r="G179" i="6"/>
  <c r="F179" i="6"/>
  <c r="C179" i="6"/>
  <c r="D179" i="6" s="1"/>
  <c r="E179" i="6" s="1"/>
  <c r="J178" i="6"/>
  <c r="I178" i="6"/>
  <c r="G178" i="6"/>
  <c r="F178" i="6"/>
  <c r="C178" i="6"/>
  <c r="D178" i="6" s="1"/>
  <c r="E178" i="6" s="1"/>
  <c r="J177" i="6"/>
  <c r="I177" i="6"/>
  <c r="G177" i="6"/>
  <c r="F177" i="6"/>
  <c r="C177" i="6"/>
  <c r="D177" i="6" s="1"/>
  <c r="E177" i="6" s="1"/>
  <c r="J176" i="6"/>
  <c r="I176" i="6"/>
  <c r="G176" i="6"/>
  <c r="F176" i="6"/>
  <c r="C176" i="6"/>
  <c r="D176" i="6" s="1"/>
  <c r="E176" i="6" s="1"/>
  <c r="J175" i="6"/>
  <c r="I175" i="6"/>
  <c r="G175" i="6"/>
  <c r="F175" i="6"/>
  <c r="C175" i="6"/>
  <c r="D175" i="6" s="1"/>
  <c r="E175" i="6" s="1"/>
  <c r="J174" i="6"/>
  <c r="I174" i="6"/>
  <c r="G174" i="6"/>
  <c r="F174" i="6"/>
  <c r="C174" i="6"/>
  <c r="D174" i="6" s="1"/>
  <c r="E174" i="6" s="1"/>
  <c r="J173" i="6"/>
  <c r="I173" i="6"/>
  <c r="G173" i="6"/>
  <c r="F173" i="6"/>
  <c r="C173" i="6"/>
  <c r="D173" i="6" s="1"/>
  <c r="E173" i="6" s="1"/>
  <c r="J172" i="6"/>
  <c r="I172" i="6"/>
  <c r="G172" i="6"/>
  <c r="F172" i="6"/>
  <c r="C172" i="6"/>
  <c r="D172" i="6" s="1"/>
  <c r="E172" i="6" s="1"/>
  <c r="J171" i="6"/>
  <c r="I171" i="6"/>
  <c r="G171" i="6"/>
  <c r="F171" i="6"/>
  <c r="C171" i="6"/>
  <c r="D171" i="6" s="1"/>
  <c r="E171" i="6" s="1"/>
  <c r="J170" i="6"/>
  <c r="I170" i="6"/>
  <c r="G170" i="6"/>
  <c r="F170" i="6"/>
  <c r="C170" i="6"/>
  <c r="D170" i="6" s="1"/>
  <c r="E170" i="6" s="1"/>
  <c r="J169" i="6"/>
  <c r="I169" i="6"/>
  <c r="G169" i="6"/>
  <c r="F169" i="6"/>
  <c r="C169" i="6"/>
  <c r="D169" i="6" s="1"/>
  <c r="E169" i="6" s="1"/>
  <c r="J168" i="6"/>
  <c r="I168" i="6"/>
  <c r="G168" i="6"/>
  <c r="F168" i="6"/>
  <c r="C168" i="6"/>
  <c r="D168" i="6" s="1"/>
  <c r="E168" i="6" s="1"/>
  <c r="J167" i="6"/>
  <c r="I167" i="6"/>
  <c r="G167" i="6"/>
  <c r="F167" i="6"/>
  <c r="C167" i="6"/>
  <c r="D167" i="6" s="1"/>
  <c r="E167" i="6" s="1"/>
  <c r="J166" i="6"/>
  <c r="I166" i="6"/>
  <c r="G166" i="6"/>
  <c r="F166" i="6"/>
  <c r="C166" i="6"/>
  <c r="D166" i="6" s="1"/>
  <c r="E166" i="6" s="1"/>
  <c r="J165" i="6"/>
  <c r="I165" i="6"/>
  <c r="G165" i="6"/>
  <c r="F165" i="6"/>
  <c r="C165" i="6"/>
  <c r="D165" i="6" s="1"/>
  <c r="E165" i="6" s="1"/>
  <c r="J164" i="6"/>
  <c r="I164" i="6"/>
  <c r="G164" i="6"/>
  <c r="F164" i="6"/>
  <c r="C164" i="6"/>
  <c r="D164" i="6" s="1"/>
  <c r="E164" i="6" s="1"/>
  <c r="J163" i="6"/>
  <c r="I163" i="6"/>
  <c r="G163" i="6"/>
  <c r="F163" i="6"/>
  <c r="C163" i="6"/>
  <c r="D163" i="6" s="1"/>
  <c r="E163" i="6" s="1"/>
  <c r="J162" i="6"/>
  <c r="I162" i="6"/>
  <c r="G162" i="6"/>
  <c r="F162" i="6"/>
  <c r="C162" i="6"/>
  <c r="D162" i="6" s="1"/>
  <c r="E162" i="6" s="1"/>
  <c r="J161" i="6"/>
  <c r="I161" i="6"/>
  <c r="G161" i="6"/>
  <c r="F161" i="6"/>
  <c r="C161" i="6"/>
  <c r="D161" i="6" s="1"/>
  <c r="E161" i="6" s="1"/>
  <c r="J160" i="6"/>
  <c r="I160" i="6"/>
  <c r="G160" i="6"/>
  <c r="F160" i="6"/>
  <c r="C160" i="6"/>
  <c r="D160" i="6" s="1"/>
  <c r="E160" i="6" s="1"/>
  <c r="J159" i="6"/>
  <c r="I159" i="6"/>
  <c r="G159" i="6"/>
  <c r="F159" i="6"/>
  <c r="C159" i="6"/>
  <c r="D159" i="6" s="1"/>
  <c r="E159" i="6" s="1"/>
  <c r="J158" i="6"/>
  <c r="I158" i="6"/>
  <c r="G158" i="6"/>
  <c r="F158" i="6"/>
  <c r="C158" i="6"/>
  <c r="D158" i="6" s="1"/>
  <c r="E158" i="6" s="1"/>
  <c r="J157" i="6"/>
  <c r="I157" i="6"/>
  <c r="G157" i="6"/>
  <c r="F157" i="6"/>
  <c r="C157" i="6"/>
  <c r="D157" i="6" s="1"/>
  <c r="E157" i="6" s="1"/>
  <c r="J156" i="6"/>
  <c r="I156" i="6"/>
  <c r="G156" i="6"/>
  <c r="F156" i="6"/>
  <c r="C156" i="6"/>
  <c r="D156" i="6" s="1"/>
  <c r="E156" i="6" s="1"/>
  <c r="J155" i="6"/>
  <c r="I155" i="6"/>
  <c r="G155" i="6"/>
  <c r="F155" i="6"/>
  <c r="C155" i="6"/>
  <c r="D155" i="6" s="1"/>
  <c r="E155" i="6" s="1"/>
  <c r="J154" i="6"/>
  <c r="I154" i="6"/>
  <c r="G154" i="6"/>
  <c r="F154" i="6"/>
  <c r="C154" i="6"/>
  <c r="D154" i="6" s="1"/>
  <c r="E154" i="6" s="1"/>
  <c r="J153" i="6"/>
  <c r="I153" i="6"/>
  <c r="G153" i="6"/>
  <c r="F153" i="6"/>
  <c r="C153" i="6"/>
  <c r="D153" i="6" s="1"/>
  <c r="E153" i="6" s="1"/>
  <c r="J152" i="6"/>
  <c r="I152" i="6"/>
  <c r="G152" i="6"/>
  <c r="F152" i="6"/>
  <c r="C152" i="6"/>
  <c r="D152" i="6" s="1"/>
  <c r="E152" i="6" s="1"/>
  <c r="J151" i="6"/>
  <c r="I151" i="6"/>
  <c r="G151" i="6"/>
  <c r="F151" i="6"/>
  <c r="C151" i="6"/>
  <c r="D151" i="6" s="1"/>
  <c r="E151" i="6" s="1"/>
  <c r="J150" i="6"/>
  <c r="I150" i="6"/>
  <c r="G150" i="6"/>
  <c r="F150" i="6"/>
  <c r="C150" i="6"/>
  <c r="D150" i="6" s="1"/>
  <c r="E150" i="6" s="1"/>
  <c r="J149" i="6"/>
  <c r="I149" i="6"/>
  <c r="G149" i="6"/>
  <c r="F149" i="6"/>
  <c r="C149" i="6"/>
  <c r="D149" i="6" s="1"/>
  <c r="E149" i="6" s="1"/>
  <c r="J148" i="6"/>
  <c r="I148" i="6"/>
  <c r="G148" i="6"/>
  <c r="F148" i="6"/>
  <c r="C148" i="6"/>
  <c r="D148" i="6" s="1"/>
  <c r="E148" i="6" s="1"/>
  <c r="J147" i="6"/>
  <c r="I147" i="6"/>
  <c r="G147" i="6"/>
  <c r="F147" i="6"/>
  <c r="C147" i="6"/>
  <c r="D147" i="6" s="1"/>
  <c r="E147" i="6" s="1"/>
  <c r="J146" i="6"/>
  <c r="I146" i="6"/>
  <c r="G146" i="6"/>
  <c r="F146" i="6"/>
  <c r="C146" i="6"/>
  <c r="D146" i="6" s="1"/>
  <c r="E146" i="6" s="1"/>
  <c r="J145" i="6"/>
  <c r="I145" i="6"/>
  <c r="G145" i="6"/>
  <c r="F145" i="6"/>
  <c r="C145" i="6"/>
  <c r="D145" i="6" s="1"/>
  <c r="E145" i="6" s="1"/>
  <c r="J144" i="6"/>
  <c r="I144" i="6"/>
  <c r="G144" i="6"/>
  <c r="F144" i="6"/>
  <c r="C144" i="6"/>
  <c r="D144" i="6" s="1"/>
  <c r="E144" i="6" s="1"/>
  <c r="J143" i="6"/>
  <c r="I143" i="6"/>
  <c r="G143" i="6"/>
  <c r="F143" i="6"/>
  <c r="C143" i="6"/>
  <c r="D143" i="6" s="1"/>
  <c r="E143" i="6" s="1"/>
  <c r="J142" i="6"/>
  <c r="I142" i="6"/>
  <c r="G142" i="6"/>
  <c r="F142" i="6"/>
  <c r="C142" i="6"/>
  <c r="D142" i="6" s="1"/>
  <c r="E142" i="6" s="1"/>
  <c r="J141" i="6"/>
  <c r="I141" i="6"/>
  <c r="G141" i="6"/>
  <c r="F141" i="6"/>
  <c r="C141" i="6"/>
  <c r="D141" i="6" s="1"/>
  <c r="E141" i="6" s="1"/>
  <c r="J140" i="6"/>
  <c r="I140" i="6"/>
  <c r="G140" i="6"/>
  <c r="F140" i="6"/>
  <c r="C140" i="6"/>
  <c r="D140" i="6" s="1"/>
  <c r="E140" i="6" s="1"/>
  <c r="J139" i="6"/>
  <c r="I139" i="6"/>
  <c r="G139" i="6"/>
  <c r="F139" i="6"/>
  <c r="C139" i="6"/>
  <c r="D139" i="6" s="1"/>
  <c r="E139" i="6" s="1"/>
  <c r="J138" i="6"/>
  <c r="I138" i="6"/>
  <c r="G138" i="6"/>
  <c r="F138" i="6"/>
  <c r="C138" i="6"/>
  <c r="D138" i="6" s="1"/>
  <c r="E138" i="6" s="1"/>
  <c r="J137" i="6"/>
  <c r="I137" i="6"/>
  <c r="G137" i="6"/>
  <c r="F137" i="6"/>
  <c r="C137" i="6"/>
  <c r="D137" i="6" s="1"/>
  <c r="E137" i="6" s="1"/>
  <c r="J136" i="6"/>
  <c r="I136" i="6"/>
  <c r="G136" i="6"/>
  <c r="F136" i="6"/>
  <c r="C136" i="6"/>
  <c r="D136" i="6" s="1"/>
  <c r="E136" i="6" s="1"/>
  <c r="J135" i="6"/>
  <c r="I135" i="6"/>
  <c r="G135" i="6"/>
  <c r="F135" i="6"/>
  <c r="C135" i="6"/>
  <c r="D135" i="6" s="1"/>
  <c r="E135" i="6" s="1"/>
  <c r="J134" i="6"/>
  <c r="I134" i="6"/>
  <c r="G134" i="6"/>
  <c r="F134" i="6"/>
  <c r="C134" i="6"/>
  <c r="D134" i="6" s="1"/>
  <c r="E134" i="6" s="1"/>
  <c r="J133" i="6"/>
  <c r="I133" i="6"/>
  <c r="G133" i="6"/>
  <c r="F133" i="6"/>
  <c r="C133" i="6"/>
  <c r="D133" i="6" s="1"/>
  <c r="E133" i="6" s="1"/>
  <c r="J132" i="6"/>
  <c r="I132" i="6"/>
  <c r="G132" i="6"/>
  <c r="F132" i="6"/>
  <c r="C132" i="6"/>
  <c r="D132" i="6" s="1"/>
  <c r="E132" i="6" s="1"/>
  <c r="J131" i="6"/>
  <c r="I131" i="6"/>
  <c r="G131" i="6"/>
  <c r="F131" i="6"/>
  <c r="C131" i="6"/>
  <c r="D131" i="6" s="1"/>
  <c r="E131" i="6" s="1"/>
  <c r="J130" i="6"/>
  <c r="I130" i="6"/>
  <c r="G130" i="6"/>
  <c r="F130" i="6"/>
  <c r="C130" i="6"/>
  <c r="D130" i="6" s="1"/>
  <c r="E130" i="6" s="1"/>
  <c r="J129" i="6"/>
  <c r="I129" i="6"/>
  <c r="G129" i="6"/>
  <c r="F129" i="6"/>
  <c r="C129" i="6"/>
  <c r="D129" i="6" s="1"/>
  <c r="E129" i="6" s="1"/>
  <c r="J128" i="6"/>
  <c r="I128" i="6"/>
  <c r="G128" i="6"/>
  <c r="F128" i="6"/>
  <c r="C128" i="6"/>
  <c r="D128" i="6" s="1"/>
  <c r="E128" i="6" s="1"/>
  <c r="J127" i="6"/>
  <c r="I127" i="6"/>
  <c r="G127" i="6"/>
  <c r="F127" i="6"/>
  <c r="C127" i="6"/>
  <c r="D127" i="6" s="1"/>
  <c r="E127" i="6" s="1"/>
  <c r="J126" i="6"/>
  <c r="I126" i="6"/>
  <c r="G126" i="6"/>
  <c r="F126" i="6"/>
  <c r="C126" i="6"/>
  <c r="D126" i="6" s="1"/>
  <c r="E126" i="6" s="1"/>
  <c r="J125" i="6"/>
  <c r="I125" i="6"/>
  <c r="G125" i="6"/>
  <c r="F125" i="6"/>
  <c r="C125" i="6"/>
  <c r="D125" i="6" s="1"/>
  <c r="E125" i="6" s="1"/>
  <c r="J124" i="6"/>
  <c r="I124" i="6"/>
  <c r="G124" i="6"/>
  <c r="F124" i="6"/>
  <c r="C124" i="6"/>
  <c r="D124" i="6" s="1"/>
  <c r="E124" i="6" s="1"/>
  <c r="J123" i="6"/>
  <c r="I123" i="6"/>
  <c r="G123" i="6"/>
  <c r="F123" i="6"/>
  <c r="C123" i="6"/>
  <c r="D123" i="6" s="1"/>
  <c r="E123" i="6" s="1"/>
  <c r="J122" i="6"/>
  <c r="I122" i="6"/>
  <c r="G122" i="6"/>
  <c r="F122" i="6"/>
  <c r="C122" i="6"/>
  <c r="D122" i="6" s="1"/>
  <c r="E122" i="6" s="1"/>
  <c r="J121" i="6"/>
  <c r="I121" i="6"/>
  <c r="G121" i="6"/>
  <c r="F121" i="6"/>
  <c r="C121" i="6"/>
  <c r="D121" i="6" s="1"/>
  <c r="E121" i="6" s="1"/>
  <c r="J120" i="6"/>
  <c r="I120" i="6"/>
  <c r="G120" i="6"/>
  <c r="F120" i="6"/>
  <c r="C120" i="6"/>
  <c r="D120" i="6" s="1"/>
  <c r="E120" i="6" s="1"/>
  <c r="J119" i="6"/>
  <c r="I119" i="6"/>
  <c r="G119" i="6"/>
  <c r="F119" i="6"/>
  <c r="C119" i="6"/>
  <c r="D119" i="6" s="1"/>
  <c r="E119" i="6" s="1"/>
  <c r="J118" i="6"/>
  <c r="I118" i="6"/>
  <c r="G118" i="6"/>
  <c r="F118" i="6"/>
  <c r="C118" i="6"/>
  <c r="D118" i="6" s="1"/>
  <c r="E118" i="6" s="1"/>
  <c r="J117" i="6"/>
  <c r="I117" i="6"/>
  <c r="G117" i="6"/>
  <c r="F117" i="6"/>
  <c r="C117" i="6"/>
  <c r="D117" i="6" s="1"/>
  <c r="E117" i="6" s="1"/>
  <c r="J116" i="6"/>
  <c r="I116" i="6"/>
  <c r="G116" i="6"/>
  <c r="F116" i="6"/>
  <c r="C116" i="6"/>
  <c r="D116" i="6" s="1"/>
  <c r="E116" i="6" s="1"/>
  <c r="J115" i="6"/>
  <c r="I115" i="6"/>
  <c r="G115" i="6"/>
  <c r="F115" i="6"/>
  <c r="C115" i="6"/>
  <c r="D115" i="6" s="1"/>
  <c r="E115" i="6" s="1"/>
  <c r="J114" i="6"/>
  <c r="I114" i="6"/>
  <c r="G114" i="6"/>
  <c r="F114" i="6"/>
  <c r="C114" i="6"/>
  <c r="D114" i="6" s="1"/>
  <c r="E114" i="6" s="1"/>
  <c r="J113" i="6"/>
  <c r="I113" i="6"/>
  <c r="G113" i="6"/>
  <c r="F113" i="6"/>
  <c r="C113" i="6"/>
  <c r="D113" i="6" s="1"/>
  <c r="E113" i="6" s="1"/>
  <c r="J112" i="6"/>
  <c r="I112" i="6"/>
  <c r="G112" i="6"/>
  <c r="F112" i="6"/>
  <c r="C112" i="6"/>
  <c r="D112" i="6" s="1"/>
  <c r="E112" i="6" s="1"/>
  <c r="J111" i="6"/>
  <c r="I111" i="6"/>
  <c r="G111" i="6"/>
  <c r="F111" i="6"/>
  <c r="C111" i="6"/>
  <c r="D111" i="6" s="1"/>
  <c r="E111" i="6" s="1"/>
  <c r="J110" i="6"/>
  <c r="I110" i="6"/>
  <c r="G110" i="6"/>
  <c r="F110" i="6"/>
  <c r="C110" i="6"/>
  <c r="D110" i="6" s="1"/>
  <c r="E110" i="6" s="1"/>
  <c r="J109" i="6"/>
  <c r="I109" i="6"/>
  <c r="G109" i="6"/>
  <c r="F109" i="6"/>
  <c r="C109" i="6"/>
  <c r="D109" i="6" s="1"/>
  <c r="E109" i="6" s="1"/>
  <c r="J108" i="6"/>
  <c r="I108" i="6"/>
  <c r="G108" i="6"/>
  <c r="F108" i="6"/>
  <c r="C108" i="6"/>
  <c r="D108" i="6" s="1"/>
  <c r="E108" i="6" s="1"/>
  <c r="J107" i="6"/>
  <c r="I107" i="6"/>
  <c r="G107" i="6"/>
  <c r="F107" i="6"/>
  <c r="C107" i="6"/>
  <c r="D107" i="6" s="1"/>
  <c r="E107" i="6" s="1"/>
  <c r="J106" i="6"/>
  <c r="I106" i="6"/>
  <c r="G106" i="6"/>
  <c r="F106" i="6"/>
  <c r="C106" i="6"/>
  <c r="D106" i="6" s="1"/>
  <c r="E106" i="6" s="1"/>
  <c r="J105" i="6"/>
  <c r="I105" i="6"/>
  <c r="G105" i="6"/>
  <c r="F105" i="6"/>
  <c r="C105" i="6"/>
  <c r="D105" i="6" s="1"/>
  <c r="E105" i="6" s="1"/>
  <c r="J104" i="6"/>
  <c r="I104" i="6"/>
  <c r="G104" i="6"/>
  <c r="F104" i="6"/>
  <c r="C104" i="6"/>
  <c r="D104" i="6" s="1"/>
  <c r="E104" i="6" s="1"/>
  <c r="J103" i="6"/>
  <c r="I103" i="6"/>
  <c r="G103" i="6"/>
  <c r="F103" i="6"/>
  <c r="C103" i="6"/>
  <c r="D103" i="6" s="1"/>
  <c r="E103" i="6" s="1"/>
  <c r="H103" i="6" s="1"/>
  <c r="J102" i="6"/>
  <c r="I102" i="6"/>
  <c r="G102" i="6"/>
  <c r="F102" i="6"/>
  <c r="C102" i="6"/>
  <c r="D102" i="6" s="1"/>
  <c r="E102" i="6" s="1"/>
  <c r="J101" i="6"/>
  <c r="I101" i="6"/>
  <c r="G101" i="6"/>
  <c r="F101" i="6"/>
  <c r="C101" i="6"/>
  <c r="D101" i="6" s="1"/>
  <c r="E101" i="6" s="1"/>
  <c r="J100" i="6"/>
  <c r="I100" i="6"/>
  <c r="G100" i="6"/>
  <c r="F100" i="6"/>
  <c r="C100" i="6"/>
  <c r="D100" i="6" s="1"/>
  <c r="E100" i="6" s="1"/>
  <c r="J99" i="6"/>
  <c r="I99" i="6"/>
  <c r="G99" i="6"/>
  <c r="F99" i="6"/>
  <c r="C99" i="6"/>
  <c r="D99" i="6" s="1"/>
  <c r="E99" i="6" s="1"/>
  <c r="J98" i="6"/>
  <c r="I98" i="6"/>
  <c r="G98" i="6"/>
  <c r="F98" i="6"/>
  <c r="C98" i="6"/>
  <c r="D98" i="6" s="1"/>
  <c r="E98" i="6" s="1"/>
  <c r="J97" i="6"/>
  <c r="I97" i="6"/>
  <c r="G97" i="6"/>
  <c r="F97" i="6"/>
  <c r="C97" i="6"/>
  <c r="D97" i="6" s="1"/>
  <c r="E97" i="6" s="1"/>
  <c r="J96" i="6"/>
  <c r="I96" i="6"/>
  <c r="G96" i="6"/>
  <c r="F96" i="6"/>
  <c r="C96" i="6"/>
  <c r="D96" i="6" s="1"/>
  <c r="E96" i="6" s="1"/>
  <c r="J95" i="6"/>
  <c r="I95" i="6"/>
  <c r="G95" i="6"/>
  <c r="F95" i="6"/>
  <c r="C95" i="6"/>
  <c r="D95" i="6" s="1"/>
  <c r="E95" i="6" s="1"/>
  <c r="J94" i="6"/>
  <c r="I94" i="6"/>
  <c r="G94" i="6"/>
  <c r="F94" i="6"/>
  <c r="C94" i="6"/>
  <c r="D94" i="6" s="1"/>
  <c r="E94" i="6" s="1"/>
  <c r="J93" i="6"/>
  <c r="I93" i="6"/>
  <c r="G93" i="6"/>
  <c r="F93" i="6"/>
  <c r="C93" i="6"/>
  <c r="D93" i="6" s="1"/>
  <c r="E93" i="6" s="1"/>
  <c r="J92" i="6"/>
  <c r="I92" i="6"/>
  <c r="G92" i="6"/>
  <c r="F92" i="6"/>
  <c r="C92" i="6"/>
  <c r="D92" i="6" s="1"/>
  <c r="E92" i="6" s="1"/>
  <c r="J91" i="6"/>
  <c r="I91" i="6"/>
  <c r="G91" i="6"/>
  <c r="F91" i="6"/>
  <c r="C91" i="6"/>
  <c r="D91" i="6" s="1"/>
  <c r="E91" i="6" s="1"/>
  <c r="J90" i="6"/>
  <c r="I90" i="6"/>
  <c r="G90" i="6"/>
  <c r="F90" i="6"/>
  <c r="C90" i="6"/>
  <c r="D90" i="6" s="1"/>
  <c r="E90" i="6" s="1"/>
  <c r="J89" i="6"/>
  <c r="I89" i="6"/>
  <c r="G89" i="6"/>
  <c r="F89" i="6"/>
  <c r="C89" i="6"/>
  <c r="D89" i="6" s="1"/>
  <c r="E89" i="6" s="1"/>
  <c r="J88" i="6"/>
  <c r="I88" i="6"/>
  <c r="G88" i="6"/>
  <c r="F88" i="6"/>
  <c r="C88" i="6"/>
  <c r="D88" i="6" s="1"/>
  <c r="E88" i="6" s="1"/>
  <c r="J87" i="6"/>
  <c r="I87" i="6"/>
  <c r="G87" i="6"/>
  <c r="F87" i="6"/>
  <c r="C87" i="6"/>
  <c r="D87" i="6" s="1"/>
  <c r="E87" i="6" s="1"/>
  <c r="J86" i="6"/>
  <c r="I86" i="6"/>
  <c r="G86" i="6"/>
  <c r="F86" i="6"/>
  <c r="C86" i="6"/>
  <c r="D86" i="6" s="1"/>
  <c r="E86" i="6" s="1"/>
  <c r="J85" i="6"/>
  <c r="I85" i="6"/>
  <c r="G85" i="6"/>
  <c r="F85" i="6"/>
  <c r="C85" i="6"/>
  <c r="D85" i="6" s="1"/>
  <c r="E85" i="6" s="1"/>
  <c r="J84" i="6"/>
  <c r="I84" i="6"/>
  <c r="G84" i="6"/>
  <c r="F84" i="6"/>
  <c r="C84" i="6"/>
  <c r="D84" i="6" s="1"/>
  <c r="E84" i="6" s="1"/>
  <c r="J83" i="6"/>
  <c r="I83" i="6"/>
  <c r="G83" i="6"/>
  <c r="F83" i="6"/>
  <c r="C83" i="6"/>
  <c r="D83" i="6" s="1"/>
  <c r="E83" i="6" s="1"/>
  <c r="J82" i="6"/>
  <c r="I82" i="6"/>
  <c r="G82" i="6"/>
  <c r="F82" i="6"/>
  <c r="C82" i="6"/>
  <c r="D82" i="6" s="1"/>
  <c r="E82" i="6" s="1"/>
  <c r="J81" i="6"/>
  <c r="I81" i="6"/>
  <c r="G81" i="6"/>
  <c r="F81" i="6"/>
  <c r="C81" i="6"/>
  <c r="D81" i="6" s="1"/>
  <c r="E81" i="6" s="1"/>
  <c r="J80" i="6"/>
  <c r="I80" i="6"/>
  <c r="G80" i="6"/>
  <c r="F80" i="6"/>
  <c r="C80" i="6"/>
  <c r="D80" i="6" s="1"/>
  <c r="E80" i="6" s="1"/>
  <c r="J79" i="6"/>
  <c r="I79" i="6"/>
  <c r="G79" i="6"/>
  <c r="F79" i="6"/>
  <c r="C79" i="6"/>
  <c r="D79" i="6" s="1"/>
  <c r="E79" i="6" s="1"/>
  <c r="J78" i="6"/>
  <c r="I78" i="6"/>
  <c r="G78" i="6"/>
  <c r="F78" i="6"/>
  <c r="C78" i="6"/>
  <c r="D78" i="6" s="1"/>
  <c r="E78" i="6" s="1"/>
  <c r="J77" i="6"/>
  <c r="I77" i="6"/>
  <c r="G77" i="6"/>
  <c r="F77" i="6"/>
  <c r="C77" i="6"/>
  <c r="D77" i="6" s="1"/>
  <c r="E77" i="6" s="1"/>
  <c r="J76" i="6"/>
  <c r="I76" i="6"/>
  <c r="G76" i="6"/>
  <c r="F76" i="6"/>
  <c r="C76" i="6"/>
  <c r="D76" i="6" s="1"/>
  <c r="E76" i="6" s="1"/>
  <c r="J75" i="6"/>
  <c r="I75" i="6"/>
  <c r="G75" i="6"/>
  <c r="F75" i="6"/>
  <c r="C75" i="6"/>
  <c r="D75" i="6" s="1"/>
  <c r="E75" i="6" s="1"/>
  <c r="J74" i="6"/>
  <c r="I74" i="6"/>
  <c r="G74" i="6"/>
  <c r="F74" i="6"/>
  <c r="C74" i="6"/>
  <c r="D74" i="6" s="1"/>
  <c r="E74" i="6" s="1"/>
  <c r="J73" i="6"/>
  <c r="I73" i="6"/>
  <c r="G73" i="6"/>
  <c r="F73" i="6"/>
  <c r="C73" i="6"/>
  <c r="D73" i="6" s="1"/>
  <c r="E73" i="6" s="1"/>
  <c r="J72" i="6"/>
  <c r="I72" i="6"/>
  <c r="G72" i="6"/>
  <c r="F72" i="6"/>
  <c r="C72" i="6"/>
  <c r="D72" i="6" s="1"/>
  <c r="E72" i="6" s="1"/>
  <c r="J71" i="6"/>
  <c r="I71" i="6"/>
  <c r="G71" i="6"/>
  <c r="F71" i="6"/>
  <c r="C71" i="6"/>
  <c r="D71" i="6" s="1"/>
  <c r="E71" i="6" s="1"/>
  <c r="J70" i="6"/>
  <c r="I70" i="6"/>
  <c r="G70" i="6"/>
  <c r="F70" i="6"/>
  <c r="C70" i="6"/>
  <c r="D70" i="6" s="1"/>
  <c r="E70" i="6" s="1"/>
  <c r="J69" i="6"/>
  <c r="I69" i="6"/>
  <c r="G69" i="6"/>
  <c r="F69" i="6"/>
  <c r="C69" i="6"/>
  <c r="D69" i="6" s="1"/>
  <c r="E69" i="6" s="1"/>
  <c r="J68" i="6"/>
  <c r="I68" i="6"/>
  <c r="G68" i="6"/>
  <c r="F68" i="6"/>
  <c r="C68" i="6"/>
  <c r="D68" i="6" s="1"/>
  <c r="E68" i="6" s="1"/>
  <c r="J67" i="6"/>
  <c r="I67" i="6"/>
  <c r="G67" i="6"/>
  <c r="F67" i="6"/>
  <c r="C67" i="6"/>
  <c r="D67" i="6" s="1"/>
  <c r="E67" i="6" s="1"/>
  <c r="J66" i="6"/>
  <c r="I66" i="6"/>
  <c r="G66" i="6"/>
  <c r="F66" i="6"/>
  <c r="C66" i="6"/>
  <c r="D66" i="6" s="1"/>
  <c r="E66" i="6" s="1"/>
  <c r="J65" i="6"/>
  <c r="I65" i="6"/>
  <c r="G65" i="6"/>
  <c r="F65" i="6"/>
  <c r="C65" i="6"/>
  <c r="D65" i="6" s="1"/>
  <c r="E65" i="6" s="1"/>
  <c r="J64" i="6"/>
  <c r="I64" i="6"/>
  <c r="G64" i="6"/>
  <c r="F64" i="6"/>
  <c r="C64" i="6"/>
  <c r="D64" i="6" s="1"/>
  <c r="E64" i="6" s="1"/>
  <c r="J63" i="6"/>
  <c r="I63" i="6"/>
  <c r="G63" i="6"/>
  <c r="F63" i="6"/>
  <c r="C63" i="6"/>
  <c r="D63" i="6" s="1"/>
  <c r="E63" i="6" s="1"/>
  <c r="J62" i="6"/>
  <c r="I62" i="6"/>
  <c r="G62" i="6"/>
  <c r="F62" i="6"/>
  <c r="C62" i="6"/>
  <c r="D62" i="6" s="1"/>
  <c r="E62" i="6" s="1"/>
  <c r="J61" i="6"/>
  <c r="I61" i="6"/>
  <c r="G61" i="6"/>
  <c r="F61" i="6"/>
  <c r="C61" i="6"/>
  <c r="D61" i="6" s="1"/>
  <c r="E61" i="6" s="1"/>
  <c r="J60" i="6"/>
  <c r="I60" i="6"/>
  <c r="G60" i="6"/>
  <c r="F60" i="6"/>
  <c r="C60" i="6"/>
  <c r="D60" i="6" s="1"/>
  <c r="E60" i="6" s="1"/>
  <c r="J59" i="6"/>
  <c r="I59" i="6"/>
  <c r="G59" i="6"/>
  <c r="F59" i="6"/>
  <c r="C59" i="6"/>
  <c r="D59" i="6" s="1"/>
  <c r="E59" i="6" s="1"/>
  <c r="J58" i="6"/>
  <c r="I58" i="6"/>
  <c r="G58" i="6"/>
  <c r="F58" i="6"/>
  <c r="C58" i="6"/>
  <c r="D58" i="6" s="1"/>
  <c r="E58" i="6" s="1"/>
  <c r="J57" i="6"/>
  <c r="I57" i="6"/>
  <c r="G57" i="6"/>
  <c r="F57" i="6"/>
  <c r="C57" i="6"/>
  <c r="D57" i="6" s="1"/>
  <c r="E57" i="6" s="1"/>
  <c r="J56" i="6"/>
  <c r="I56" i="6"/>
  <c r="G56" i="6"/>
  <c r="F56" i="6"/>
  <c r="C56" i="6"/>
  <c r="D56" i="6" s="1"/>
  <c r="E56" i="6" s="1"/>
  <c r="J55" i="6"/>
  <c r="I55" i="6"/>
  <c r="G55" i="6"/>
  <c r="F55" i="6"/>
  <c r="C55" i="6"/>
  <c r="D55" i="6" s="1"/>
  <c r="E55" i="6" s="1"/>
  <c r="J54" i="6"/>
  <c r="I54" i="6"/>
  <c r="G54" i="6"/>
  <c r="F54" i="6"/>
  <c r="C54" i="6"/>
  <c r="D54" i="6" s="1"/>
  <c r="E54" i="6" s="1"/>
  <c r="J53" i="6"/>
  <c r="I53" i="6"/>
  <c r="G53" i="6"/>
  <c r="F53" i="6"/>
  <c r="C53" i="6"/>
  <c r="D53" i="6" s="1"/>
  <c r="E53" i="6" s="1"/>
  <c r="J52" i="6"/>
  <c r="I52" i="6"/>
  <c r="G52" i="6"/>
  <c r="F52" i="6"/>
  <c r="C52" i="6"/>
  <c r="D52" i="6" s="1"/>
  <c r="E52" i="6" s="1"/>
  <c r="J51" i="6"/>
  <c r="I51" i="6"/>
  <c r="G51" i="6"/>
  <c r="F51" i="6"/>
  <c r="C51" i="6"/>
  <c r="D51" i="6" s="1"/>
  <c r="E51" i="6" s="1"/>
  <c r="J50" i="6"/>
  <c r="I50" i="6"/>
  <c r="G50" i="6"/>
  <c r="F50" i="6"/>
  <c r="C50" i="6"/>
  <c r="D50" i="6" s="1"/>
  <c r="E50" i="6" s="1"/>
  <c r="J49" i="6"/>
  <c r="I49" i="6"/>
  <c r="G49" i="6"/>
  <c r="F49" i="6"/>
  <c r="C49" i="6"/>
  <c r="D49" i="6" s="1"/>
  <c r="E49" i="6" s="1"/>
  <c r="J48" i="6"/>
  <c r="I48" i="6"/>
  <c r="G48" i="6"/>
  <c r="F48" i="6"/>
  <c r="C48" i="6"/>
  <c r="D48" i="6" s="1"/>
  <c r="E48" i="6" s="1"/>
  <c r="J47" i="6"/>
  <c r="I47" i="6"/>
  <c r="G47" i="6"/>
  <c r="F47" i="6"/>
  <c r="C47" i="6"/>
  <c r="D47" i="6" s="1"/>
  <c r="E47" i="6" s="1"/>
  <c r="J46" i="6"/>
  <c r="I46" i="6"/>
  <c r="G46" i="6"/>
  <c r="F46" i="6"/>
  <c r="C46" i="6"/>
  <c r="D46" i="6" s="1"/>
  <c r="E46" i="6" s="1"/>
  <c r="J45" i="6"/>
  <c r="I45" i="6"/>
  <c r="G45" i="6"/>
  <c r="F45" i="6"/>
  <c r="C45" i="6"/>
  <c r="D45" i="6" s="1"/>
  <c r="E45" i="6" s="1"/>
  <c r="J44" i="6"/>
  <c r="I44" i="6"/>
  <c r="G44" i="6"/>
  <c r="F44" i="6"/>
  <c r="C44" i="6"/>
  <c r="D44" i="6" s="1"/>
  <c r="E44" i="6" s="1"/>
  <c r="J43" i="6"/>
  <c r="I43" i="6"/>
  <c r="G43" i="6"/>
  <c r="F43" i="6"/>
  <c r="C43" i="6"/>
  <c r="D43" i="6" s="1"/>
  <c r="E43" i="6" s="1"/>
  <c r="J42" i="6"/>
  <c r="I42" i="6"/>
  <c r="G42" i="6"/>
  <c r="F42" i="6"/>
  <c r="C42" i="6"/>
  <c r="D42" i="6" s="1"/>
  <c r="E42" i="6" s="1"/>
  <c r="H42" i="6" s="1"/>
  <c r="J41" i="6"/>
  <c r="I41" i="6"/>
  <c r="G41" i="6"/>
  <c r="F41" i="6"/>
  <c r="C41" i="6"/>
  <c r="D41" i="6" s="1"/>
  <c r="E41" i="6" s="1"/>
  <c r="J40" i="6"/>
  <c r="I40" i="6"/>
  <c r="G40" i="6"/>
  <c r="F40" i="6"/>
  <c r="C40" i="6"/>
  <c r="D40" i="6" s="1"/>
  <c r="E40" i="6" s="1"/>
  <c r="J39" i="6"/>
  <c r="I39" i="6"/>
  <c r="G39" i="6"/>
  <c r="F39" i="6"/>
  <c r="C39" i="6"/>
  <c r="D39" i="6" s="1"/>
  <c r="E39" i="6" s="1"/>
  <c r="J38" i="6"/>
  <c r="I38" i="6"/>
  <c r="G38" i="6"/>
  <c r="F38" i="6"/>
  <c r="C38" i="6"/>
  <c r="D38" i="6" s="1"/>
  <c r="E38" i="6" s="1"/>
  <c r="J37" i="6"/>
  <c r="I37" i="6"/>
  <c r="G37" i="6"/>
  <c r="F37" i="6"/>
  <c r="C37" i="6"/>
  <c r="D37" i="6" s="1"/>
  <c r="E37" i="6" s="1"/>
  <c r="J36" i="6"/>
  <c r="I36" i="6"/>
  <c r="G36" i="6"/>
  <c r="F36" i="6"/>
  <c r="C36" i="6"/>
  <c r="D36" i="6" s="1"/>
  <c r="E36" i="6" s="1"/>
  <c r="J35" i="6"/>
  <c r="I35" i="6"/>
  <c r="G35" i="6"/>
  <c r="F35" i="6"/>
  <c r="C35" i="6"/>
  <c r="D35" i="6" s="1"/>
  <c r="E35" i="6" s="1"/>
  <c r="J34" i="6"/>
  <c r="I34" i="6"/>
  <c r="G34" i="6"/>
  <c r="F34" i="6"/>
  <c r="C34" i="6"/>
  <c r="D34" i="6" s="1"/>
  <c r="E34" i="6" s="1"/>
  <c r="J33" i="6"/>
  <c r="I33" i="6"/>
  <c r="G33" i="6"/>
  <c r="F33" i="6"/>
  <c r="C33" i="6"/>
  <c r="D33" i="6" s="1"/>
  <c r="E33" i="6" s="1"/>
  <c r="J32" i="6"/>
  <c r="I32" i="6"/>
  <c r="G32" i="6"/>
  <c r="F32" i="6"/>
  <c r="C32" i="6"/>
  <c r="D32" i="6" s="1"/>
  <c r="E32" i="6" s="1"/>
  <c r="J31" i="6"/>
  <c r="I31" i="6"/>
  <c r="G31" i="6"/>
  <c r="F31" i="6"/>
  <c r="C31" i="6"/>
  <c r="D31" i="6" s="1"/>
  <c r="E31" i="6" s="1"/>
  <c r="J30" i="6"/>
  <c r="I30" i="6"/>
  <c r="G30" i="6"/>
  <c r="F30" i="6"/>
  <c r="C30" i="6"/>
  <c r="D30" i="6" s="1"/>
  <c r="E30" i="6" s="1"/>
  <c r="J29" i="6"/>
  <c r="I29" i="6"/>
  <c r="G29" i="6"/>
  <c r="F29" i="6"/>
  <c r="C29" i="6"/>
  <c r="D29" i="6" s="1"/>
  <c r="E29" i="6" s="1"/>
  <c r="J28" i="6"/>
  <c r="I28" i="6"/>
  <c r="G28" i="6"/>
  <c r="F28" i="6"/>
  <c r="C28" i="6"/>
  <c r="D28" i="6" s="1"/>
  <c r="E28" i="6" s="1"/>
  <c r="J27" i="6"/>
  <c r="I27" i="6"/>
  <c r="G27" i="6"/>
  <c r="F27" i="6"/>
  <c r="C27" i="6"/>
  <c r="D27" i="6" s="1"/>
  <c r="E27" i="6" s="1"/>
  <c r="J26" i="6"/>
  <c r="I26" i="6"/>
  <c r="G26" i="6"/>
  <c r="F26" i="6"/>
  <c r="C26" i="6"/>
  <c r="D26" i="6" s="1"/>
  <c r="E26" i="6" s="1"/>
  <c r="J25" i="6"/>
  <c r="I25" i="6"/>
  <c r="G25" i="6"/>
  <c r="F25" i="6"/>
  <c r="C25" i="6"/>
  <c r="D25" i="6" s="1"/>
  <c r="E25" i="6" s="1"/>
  <c r="J24" i="6"/>
  <c r="I24" i="6"/>
  <c r="G24" i="6"/>
  <c r="F24" i="6"/>
  <c r="C24" i="6"/>
  <c r="D24" i="6" s="1"/>
  <c r="E24" i="6" s="1"/>
  <c r="J23" i="6"/>
  <c r="I23" i="6"/>
  <c r="G23" i="6"/>
  <c r="F23" i="6"/>
  <c r="C23" i="6"/>
  <c r="D23" i="6" s="1"/>
  <c r="E23" i="6" s="1"/>
  <c r="J22" i="6"/>
  <c r="I22" i="6"/>
  <c r="G22" i="6"/>
  <c r="F22" i="6"/>
  <c r="C22" i="6"/>
  <c r="D22" i="6" s="1"/>
  <c r="E22" i="6" s="1"/>
  <c r="C18" i="5"/>
  <c r="C13" i="5"/>
  <c r="C9" i="5"/>
  <c r="C19" i="4"/>
  <c r="C20" i="4" s="1"/>
  <c r="C12" i="4"/>
  <c r="C7" i="4"/>
  <c r="C15" i="3"/>
  <c r="C16" i="3" s="1"/>
  <c r="C17" i="3" s="1"/>
  <c r="C18" i="3" s="1"/>
  <c r="C11" i="3"/>
  <c r="C12" i="3" s="1"/>
  <c r="C10" i="3"/>
  <c r="C7" i="3"/>
  <c r="C6" i="3"/>
  <c r="H39" i="6" l="1"/>
  <c r="H87" i="6"/>
  <c r="H106" i="6"/>
  <c r="H503" i="6"/>
  <c r="H1804" i="6"/>
  <c r="N7" i="6"/>
  <c r="H1495" i="6"/>
  <c r="H1032" i="6"/>
  <c r="H51" i="6"/>
  <c r="H163" i="6"/>
  <c r="K652" i="6"/>
  <c r="H675" i="6"/>
  <c r="H1065" i="6"/>
  <c r="H1683" i="6"/>
  <c r="H1827" i="6"/>
  <c r="K1836" i="6"/>
  <c r="K1868" i="6"/>
  <c r="H1891" i="6"/>
  <c r="H479" i="6"/>
  <c r="H716" i="6"/>
  <c r="H551" i="6"/>
  <c r="H1207" i="6"/>
  <c r="H1335" i="6"/>
  <c r="H1895" i="6"/>
  <c r="H123" i="6"/>
  <c r="H1553" i="6"/>
  <c r="H1526" i="6"/>
  <c r="H407" i="6"/>
  <c r="H455" i="6"/>
  <c r="K544" i="6"/>
  <c r="K1040" i="6"/>
  <c r="H891" i="6"/>
  <c r="H1779" i="6"/>
  <c r="H90" i="6"/>
  <c r="H1178" i="6"/>
  <c r="K157" i="6"/>
  <c r="H164" i="6"/>
  <c r="H180" i="6"/>
  <c r="H196" i="6"/>
  <c r="K365" i="6"/>
  <c r="K397" i="6"/>
  <c r="K413" i="6"/>
  <c r="H420" i="6"/>
  <c r="K445" i="6"/>
  <c r="H628" i="6"/>
  <c r="K637" i="6"/>
  <c r="H772" i="6"/>
  <c r="H852" i="6"/>
  <c r="K877" i="6"/>
  <c r="H27" i="6"/>
  <c r="H59" i="6"/>
  <c r="H91" i="6"/>
  <c r="K116" i="6"/>
  <c r="H283" i="6"/>
  <c r="H315" i="6"/>
  <c r="H427" i="6"/>
  <c r="H1932" i="6"/>
  <c r="H1923" i="6"/>
  <c r="H154" i="6"/>
  <c r="H287" i="6"/>
  <c r="H1445" i="6"/>
  <c r="H796" i="6"/>
  <c r="H1337" i="6"/>
  <c r="H1785" i="6"/>
  <c r="H550" i="6"/>
  <c r="H1126" i="6"/>
  <c r="H1558" i="6"/>
  <c r="H1654" i="6"/>
  <c r="K1887" i="6"/>
  <c r="K1999" i="6"/>
  <c r="H148" i="6"/>
  <c r="H276" i="6"/>
  <c r="H570" i="6"/>
  <c r="H52" i="6"/>
  <c r="H1361" i="6"/>
  <c r="H1859" i="6"/>
  <c r="K39" i="6"/>
  <c r="H78" i="6"/>
  <c r="H94" i="6"/>
  <c r="K103" i="6"/>
  <c r="K119" i="6"/>
  <c r="K231" i="6"/>
  <c r="H254" i="6"/>
  <c r="K327" i="6"/>
  <c r="H478" i="6"/>
  <c r="H545" i="6"/>
  <c r="H1486" i="6"/>
  <c r="H1694" i="6"/>
  <c r="H1758" i="6"/>
  <c r="H1563" i="6"/>
  <c r="H1195" i="6"/>
  <c r="H1640" i="6"/>
  <c r="H594" i="6"/>
  <c r="H95" i="6"/>
  <c r="K120" i="6"/>
  <c r="H271" i="6"/>
  <c r="H543" i="6"/>
  <c r="H815" i="6"/>
  <c r="K197" i="6"/>
  <c r="H284" i="6"/>
  <c r="H335" i="6"/>
  <c r="H492" i="6"/>
  <c r="H636" i="6"/>
  <c r="H1004" i="6"/>
  <c r="K1605" i="6"/>
  <c r="H1612" i="6"/>
  <c r="H329" i="6"/>
  <c r="H1881" i="6"/>
  <c r="H730" i="6"/>
  <c r="H762" i="6"/>
  <c r="H625" i="6"/>
  <c r="H647" i="6"/>
  <c r="H993" i="6"/>
  <c r="H1009" i="6"/>
  <c r="H1332" i="6"/>
  <c r="H1505" i="6"/>
  <c r="H1665" i="6"/>
  <c r="H1793" i="6"/>
  <c r="H1841" i="6"/>
  <c r="K1866" i="6"/>
  <c r="H1953" i="6"/>
  <c r="H1123" i="6"/>
  <c r="H1157" i="6"/>
  <c r="H1829" i="6"/>
  <c r="H178" i="6"/>
  <c r="H789" i="6"/>
  <c r="H1394" i="6"/>
  <c r="H1439" i="6"/>
  <c r="H233" i="6"/>
  <c r="H313" i="6"/>
  <c r="H473" i="6"/>
  <c r="H969" i="6"/>
  <c r="K1218" i="6"/>
  <c r="H1225" i="6"/>
  <c r="K1762" i="6"/>
  <c r="K2018" i="6"/>
  <c r="H1353" i="6"/>
  <c r="H963" i="6"/>
  <c r="K563" i="6"/>
  <c r="H682" i="6"/>
  <c r="K707" i="6"/>
  <c r="H1914" i="6"/>
  <c r="H576" i="6"/>
  <c r="K506" i="6"/>
  <c r="H817" i="6"/>
  <c r="K842" i="6"/>
  <c r="K1162" i="6"/>
  <c r="K1194" i="6"/>
  <c r="H1284" i="6"/>
  <c r="H1508" i="6"/>
  <c r="K436" i="6"/>
  <c r="K452" i="6"/>
  <c r="K468" i="6"/>
  <c r="K516" i="6"/>
  <c r="K2004" i="6"/>
  <c r="H1347" i="6"/>
  <c r="H824" i="6"/>
  <c r="H984" i="6"/>
  <c r="H1467" i="6"/>
  <c r="H1912" i="6"/>
  <c r="H1029" i="6"/>
  <c r="H1189" i="6"/>
  <c r="H2005" i="6"/>
  <c r="H2006" i="6"/>
  <c r="H850" i="6"/>
  <c r="H1234" i="6"/>
  <c r="H1346" i="6"/>
  <c r="H1762" i="6"/>
  <c r="K1787" i="6"/>
  <c r="H1426" i="6"/>
  <c r="H1775" i="6"/>
  <c r="H1072" i="6"/>
  <c r="H1791" i="6"/>
  <c r="H1127" i="6"/>
  <c r="K1814" i="6"/>
  <c r="K2006" i="6"/>
  <c r="H631" i="6"/>
  <c r="H1391" i="6"/>
  <c r="H673" i="6"/>
  <c r="H897" i="6"/>
  <c r="K1376" i="6"/>
  <c r="H835" i="6"/>
  <c r="H1110" i="6"/>
  <c r="H1142" i="6"/>
  <c r="H1903" i="6"/>
  <c r="H1951" i="6"/>
  <c r="H1593" i="6"/>
  <c r="K334" i="6"/>
  <c r="H357" i="6"/>
  <c r="K366" i="6"/>
  <c r="H533" i="6"/>
  <c r="H677" i="6"/>
  <c r="H904" i="6"/>
  <c r="K993" i="6"/>
  <c r="H1246" i="6"/>
  <c r="H1287" i="6"/>
  <c r="H1428" i="6"/>
  <c r="H1460" i="6"/>
  <c r="H1962" i="6"/>
  <c r="K683" i="6"/>
  <c r="K699" i="6"/>
  <c r="H805" i="6"/>
  <c r="H1502" i="6"/>
  <c r="H1713" i="6"/>
  <c r="H191" i="6"/>
  <c r="H418" i="6"/>
  <c r="H658" i="6"/>
  <c r="H1240" i="6"/>
  <c r="H1787" i="6"/>
  <c r="H140" i="6"/>
  <c r="H601" i="6"/>
  <c r="H1250" i="6"/>
  <c r="H1688" i="6"/>
  <c r="K1515" i="6"/>
  <c r="H266" i="6"/>
  <c r="K31" i="6"/>
  <c r="K47" i="6"/>
  <c r="K255" i="6"/>
  <c r="H358" i="6"/>
  <c r="H374" i="6"/>
  <c r="K479" i="6"/>
  <c r="H742" i="6"/>
  <c r="K799" i="6"/>
  <c r="H806" i="6"/>
  <c r="H822" i="6"/>
  <c r="H988" i="6"/>
  <c r="H1161" i="6"/>
  <c r="H1228" i="6"/>
  <c r="H1231" i="6"/>
  <c r="K1240" i="6"/>
  <c r="K1793" i="6"/>
  <c r="H1644" i="6"/>
  <c r="H1692" i="6"/>
  <c r="H1861" i="6"/>
  <c r="H113" i="6"/>
  <c r="H129" i="6"/>
  <c r="K138" i="6"/>
  <c r="K218" i="6"/>
  <c r="H247" i="6"/>
  <c r="H321" i="6"/>
  <c r="K362" i="6"/>
  <c r="K525" i="6"/>
  <c r="K541" i="6"/>
  <c r="K560" i="6"/>
  <c r="H797" i="6"/>
  <c r="H877" i="6"/>
  <c r="H944" i="6"/>
  <c r="H1117" i="6"/>
  <c r="K1139" i="6"/>
  <c r="H1162" i="6"/>
  <c r="H1283" i="6"/>
  <c r="H1299" i="6"/>
  <c r="K1429" i="6"/>
  <c r="H1513" i="6"/>
  <c r="K1864" i="6"/>
  <c r="H2021" i="6"/>
  <c r="H584" i="6"/>
  <c r="H760" i="6"/>
  <c r="H1038" i="6"/>
  <c r="H1274" i="6"/>
  <c r="H1450" i="6"/>
  <c r="K1539" i="6"/>
  <c r="K1993" i="6"/>
  <c r="H2016" i="6"/>
  <c r="H328" i="6"/>
  <c r="K133" i="6"/>
  <c r="H258" i="6"/>
  <c r="H386" i="6"/>
  <c r="K779" i="6"/>
  <c r="H866" i="6"/>
  <c r="H1268" i="6"/>
  <c r="H1524" i="6"/>
  <c r="H804" i="6"/>
  <c r="H756" i="6"/>
  <c r="K130" i="6"/>
  <c r="K242" i="6"/>
  <c r="K533" i="6"/>
  <c r="K549" i="6"/>
  <c r="H591" i="6"/>
  <c r="H738" i="6"/>
  <c r="K776" i="6"/>
  <c r="H914" i="6"/>
  <c r="H917" i="6"/>
  <c r="H949" i="6"/>
  <c r="K1163" i="6"/>
  <c r="H1291" i="6"/>
  <c r="H1390" i="6"/>
  <c r="H1441" i="6"/>
  <c r="H1847" i="6"/>
  <c r="H1866" i="6"/>
  <c r="H1911" i="6"/>
  <c r="H1366" i="6"/>
  <c r="H1253" i="6"/>
  <c r="K1265" i="6"/>
  <c r="H1617" i="6"/>
  <c r="K1770" i="6"/>
  <c r="H841" i="6"/>
  <c r="H889" i="6"/>
  <c r="H956" i="6"/>
  <c r="K1029" i="6"/>
  <c r="H1454" i="6"/>
  <c r="H564" i="6"/>
  <c r="H1089" i="6"/>
  <c r="H35" i="6"/>
  <c r="H227" i="6"/>
  <c r="H652" i="6"/>
  <c r="K38" i="6"/>
  <c r="K684" i="6"/>
  <c r="H905" i="6"/>
  <c r="H1656" i="6"/>
  <c r="H125" i="6"/>
  <c r="H378" i="6"/>
  <c r="H426" i="6"/>
  <c r="H1410" i="6"/>
  <c r="H1733" i="6"/>
  <c r="H633" i="6"/>
  <c r="H894" i="6"/>
  <c r="K1695" i="6"/>
  <c r="H1909" i="6"/>
  <c r="H208" i="6"/>
  <c r="H224" i="6"/>
  <c r="H435" i="6"/>
  <c r="K505" i="6"/>
  <c r="K623" i="6"/>
  <c r="H630" i="6"/>
  <c r="H929" i="6"/>
  <c r="H974" i="6"/>
  <c r="H1542" i="6"/>
  <c r="K1182" i="6"/>
  <c r="H29" i="6"/>
  <c r="K211" i="6"/>
  <c r="K227" i="6"/>
  <c r="K435" i="6"/>
  <c r="K467" i="6"/>
  <c r="H869" i="6"/>
  <c r="K1012" i="6"/>
  <c r="K1060" i="6"/>
  <c r="H1067" i="6"/>
  <c r="H1402" i="6"/>
  <c r="H1405" i="6"/>
  <c r="K1625" i="6"/>
  <c r="H1670" i="6"/>
  <c r="K1746" i="6"/>
  <c r="H1756" i="6"/>
  <c r="K1979" i="6"/>
  <c r="H2002" i="6"/>
  <c r="H2018" i="6"/>
  <c r="H509" i="6"/>
  <c r="H1048" i="6"/>
  <c r="K1134" i="6"/>
  <c r="H1674" i="6"/>
  <c r="K1115" i="6"/>
  <c r="H1374" i="6"/>
  <c r="H1543" i="6"/>
  <c r="K1600" i="6"/>
  <c r="H1773" i="6"/>
  <c r="H1151" i="6"/>
  <c r="K1715" i="6"/>
  <c r="H1910" i="6"/>
  <c r="H24" i="6"/>
  <c r="H168" i="6"/>
  <c r="K273" i="6"/>
  <c r="H392" i="6"/>
  <c r="K484" i="6"/>
  <c r="H542" i="6"/>
  <c r="K551" i="6"/>
  <c r="K554" i="6"/>
  <c r="K586" i="6"/>
  <c r="K618" i="6"/>
  <c r="H711" i="6"/>
  <c r="H746" i="6"/>
  <c r="H857" i="6"/>
  <c r="K994" i="6"/>
  <c r="K1074" i="6"/>
  <c r="H1100" i="6"/>
  <c r="K1109" i="6"/>
  <c r="H1129" i="6"/>
  <c r="H1451" i="6"/>
  <c r="K1760" i="6"/>
  <c r="H1265" i="6"/>
  <c r="H933" i="6"/>
  <c r="H494" i="6"/>
  <c r="H574" i="6"/>
  <c r="H1317" i="6"/>
  <c r="H1416" i="6"/>
  <c r="H1515" i="6"/>
  <c r="K1575" i="6"/>
  <c r="H1585" i="6"/>
  <c r="H1812" i="6"/>
  <c r="H375" i="6"/>
  <c r="K1721" i="6"/>
  <c r="H114" i="6"/>
  <c r="K139" i="6"/>
  <c r="H146" i="6"/>
  <c r="H162" i="6"/>
  <c r="K171" i="6"/>
  <c r="H210" i="6"/>
  <c r="H370" i="6"/>
  <c r="H501" i="6"/>
  <c r="H641" i="6"/>
  <c r="H686" i="6"/>
  <c r="H1362" i="6"/>
  <c r="K1438" i="6"/>
  <c r="H1624" i="6"/>
  <c r="K312" i="6"/>
  <c r="K905" i="6"/>
  <c r="H976" i="6"/>
  <c r="H1011" i="6"/>
  <c r="H1024" i="6"/>
  <c r="K1033" i="6"/>
  <c r="H1056" i="6"/>
  <c r="H1238" i="6"/>
  <c r="H1273" i="6"/>
  <c r="H1653" i="6"/>
  <c r="K1732" i="6"/>
  <c r="H1898" i="6"/>
  <c r="K1965" i="6"/>
  <c r="H1972" i="6"/>
  <c r="K1997" i="6"/>
  <c r="H1197" i="6"/>
  <c r="K1225" i="6"/>
  <c r="K1480" i="6"/>
  <c r="H1503" i="6"/>
  <c r="H1538" i="6"/>
  <c r="K1627" i="6"/>
  <c r="K1863" i="6"/>
  <c r="H2007" i="6"/>
  <c r="K902" i="6"/>
  <c r="H1452" i="6"/>
  <c r="K1911" i="6"/>
  <c r="H903" i="6"/>
  <c r="H1261" i="6"/>
  <c r="H324" i="6"/>
  <c r="H997" i="6"/>
  <c r="H28" i="6"/>
  <c r="H246" i="6"/>
  <c r="H575" i="6"/>
  <c r="H693" i="6"/>
  <c r="H230" i="6"/>
  <c r="H307" i="6"/>
  <c r="H406" i="6"/>
  <c r="H451" i="6"/>
  <c r="H671" i="6"/>
  <c r="K680" i="6"/>
  <c r="H827" i="6"/>
  <c r="H865" i="6"/>
  <c r="K925" i="6"/>
  <c r="H932" i="6"/>
  <c r="H1012" i="6"/>
  <c r="H1242" i="6"/>
  <c r="K1471" i="6"/>
  <c r="K1602" i="6"/>
  <c r="H1864" i="6"/>
  <c r="K32" i="6"/>
  <c r="H58" i="6"/>
  <c r="H205" i="6"/>
  <c r="K230" i="6"/>
  <c r="H320" i="6"/>
  <c r="K482" i="6"/>
  <c r="K501" i="6"/>
  <c r="K590" i="6"/>
  <c r="K622" i="6"/>
  <c r="H635" i="6"/>
  <c r="H899" i="6"/>
  <c r="H921" i="6"/>
  <c r="K927" i="6"/>
  <c r="H1205" i="6"/>
  <c r="H1471" i="6"/>
  <c r="H1490" i="6"/>
  <c r="H1789" i="6"/>
  <c r="H1805" i="6"/>
  <c r="H1843" i="6"/>
  <c r="K1969" i="6"/>
  <c r="H1979" i="6"/>
  <c r="H2008" i="6"/>
  <c r="H295" i="6"/>
  <c r="K438" i="6"/>
  <c r="K1719" i="6"/>
  <c r="H1459" i="6"/>
  <c r="H234" i="6"/>
  <c r="H505" i="6"/>
  <c r="H785" i="6"/>
  <c r="H1154" i="6"/>
  <c r="H1487" i="6"/>
  <c r="H1786" i="6"/>
  <c r="H1802" i="6"/>
  <c r="H36" i="6"/>
  <c r="H49" i="6"/>
  <c r="K128" i="6"/>
  <c r="H135" i="6"/>
  <c r="K144" i="6"/>
  <c r="K160" i="6"/>
  <c r="K176" i="6"/>
  <c r="H186" i="6"/>
  <c r="H218" i="6"/>
  <c r="K307" i="6"/>
  <c r="H314" i="6"/>
  <c r="H330" i="6"/>
  <c r="K393" i="6"/>
  <c r="K409" i="6"/>
  <c r="H464" i="6"/>
  <c r="K473" i="6"/>
  <c r="H524" i="6"/>
  <c r="H572" i="6"/>
  <c r="K705" i="6"/>
  <c r="K1141" i="6"/>
  <c r="H1183" i="6"/>
  <c r="H1230" i="6"/>
  <c r="H1294" i="6"/>
  <c r="K1303" i="6"/>
  <c r="K1341" i="6"/>
  <c r="K1379" i="6"/>
  <c r="H1408" i="6"/>
  <c r="H1414" i="6"/>
  <c r="H1449" i="6"/>
  <c r="K1576" i="6"/>
  <c r="K1684" i="6"/>
  <c r="H1691" i="6"/>
  <c r="H1732" i="6"/>
  <c r="K1795" i="6"/>
  <c r="H1799" i="6"/>
  <c r="H1818" i="6"/>
  <c r="K1827" i="6"/>
  <c r="H1897" i="6"/>
  <c r="H1919" i="6"/>
  <c r="H1922" i="6"/>
  <c r="K1960" i="6"/>
  <c r="H1973" i="6"/>
  <c r="H184" i="6"/>
  <c r="H187" i="6"/>
  <c r="K260" i="6"/>
  <c r="K276" i="6"/>
  <c r="K308" i="6"/>
  <c r="H331" i="6"/>
  <c r="H452" i="6"/>
  <c r="H487" i="6"/>
  <c r="K515" i="6"/>
  <c r="H595" i="6"/>
  <c r="H703" i="6"/>
  <c r="H840" i="6"/>
  <c r="H856" i="6"/>
  <c r="H961" i="6"/>
  <c r="K976" i="6"/>
  <c r="H1050" i="6"/>
  <c r="H1075" i="6"/>
  <c r="K1078" i="6"/>
  <c r="K1110" i="6"/>
  <c r="H1139" i="6"/>
  <c r="K1161" i="6"/>
  <c r="H1187" i="6"/>
  <c r="K1193" i="6"/>
  <c r="H1301" i="6"/>
  <c r="H1371" i="6"/>
  <c r="H1584" i="6"/>
  <c r="H1872" i="6"/>
  <c r="H1901" i="6"/>
  <c r="K1967" i="6"/>
  <c r="H1990" i="6"/>
  <c r="H75" i="6"/>
  <c r="H439" i="6"/>
  <c r="K1935" i="6"/>
  <c r="H853" i="6"/>
  <c r="H1133" i="6"/>
  <c r="H1241" i="6"/>
  <c r="K1301" i="6"/>
  <c r="K1491" i="6"/>
  <c r="H1622" i="6"/>
  <c r="H1813" i="6"/>
  <c r="K1825" i="6"/>
  <c r="H1857" i="6"/>
  <c r="H60" i="6"/>
  <c r="K85" i="6"/>
  <c r="H108" i="6"/>
  <c r="K117" i="6"/>
  <c r="K136" i="6"/>
  <c r="K152" i="6"/>
  <c r="K184" i="6"/>
  <c r="H194" i="6"/>
  <c r="K200" i="6"/>
  <c r="H239" i="6"/>
  <c r="K283" i="6"/>
  <c r="K331" i="6"/>
  <c r="K347" i="6"/>
  <c r="H529" i="6"/>
  <c r="K592" i="6"/>
  <c r="H726" i="6"/>
  <c r="K913" i="6"/>
  <c r="K929" i="6"/>
  <c r="H1140" i="6"/>
  <c r="K1222" i="6"/>
  <c r="K1295" i="6"/>
  <c r="K1317" i="6"/>
  <c r="H1324" i="6"/>
  <c r="K1384" i="6"/>
  <c r="K1472" i="6"/>
  <c r="H1530" i="6"/>
  <c r="K1536" i="6"/>
  <c r="H1594" i="6"/>
  <c r="H1730" i="6"/>
  <c r="K1857" i="6"/>
  <c r="H1873" i="6"/>
  <c r="H1959" i="6"/>
  <c r="K1015" i="6"/>
  <c r="H1172" i="6"/>
  <c r="H1204" i="6"/>
  <c r="K1349" i="6"/>
  <c r="K1686" i="6"/>
  <c r="K1705" i="6"/>
  <c r="K1813" i="6"/>
  <c r="H1924" i="6"/>
  <c r="K1933" i="6"/>
  <c r="H231" i="6"/>
  <c r="H1046" i="6"/>
  <c r="H1516" i="6"/>
  <c r="H1580" i="6"/>
  <c r="H1008" i="6"/>
  <c r="K1103" i="6"/>
  <c r="H1440" i="6"/>
  <c r="H1761" i="6"/>
  <c r="H289" i="6"/>
  <c r="H436" i="6"/>
  <c r="H22" i="6"/>
  <c r="H236" i="6"/>
  <c r="K309" i="6"/>
  <c r="K354" i="6"/>
  <c r="H377" i="6"/>
  <c r="K389" i="6"/>
  <c r="K392" i="6"/>
  <c r="K494" i="6"/>
  <c r="H510" i="6"/>
  <c r="H536" i="6"/>
  <c r="H612" i="6"/>
  <c r="K675" i="6"/>
  <c r="H698" i="6"/>
  <c r="H714" i="6"/>
  <c r="K752" i="6"/>
  <c r="H778" i="6"/>
  <c r="K796" i="6"/>
  <c r="H803" i="6"/>
  <c r="K847" i="6"/>
  <c r="H876" i="6"/>
  <c r="H892" i="6"/>
  <c r="H978" i="6"/>
  <c r="K1025" i="6"/>
  <c r="H1137" i="6"/>
  <c r="K1159" i="6"/>
  <c r="K1175" i="6"/>
  <c r="K1229" i="6"/>
  <c r="H1280" i="6"/>
  <c r="K1327" i="6"/>
  <c r="K1378" i="6"/>
  <c r="H1687" i="6"/>
  <c r="H1693" i="6"/>
  <c r="H1706" i="6"/>
  <c r="H1709" i="6"/>
  <c r="H1747" i="6"/>
  <c r="H1880" i="6"/>
  <c r="H1896" i="6"/>
  <c r="H1950" i="6"/>
  <c r="K1959" i="6"/>
  <c r="K1962" i="6"/>
  <c r="H1985" i="6"/>
  <c r="H2020" i="6"/>
  <c r="H1500" i="6"/>
  <c r="H547" i="6"/>
  <c r="H1561" i="6"/>
  <c r="H1828" i="6"/>
  <c r="H849" i="6"/>
  <c r="H1377" i="6"/>
  <c r="H1698" i="6"/>
  <c r="H245" i="6"/>
  <c r="K758" i="6"/>
  <c r="K140" i="6"/>
  <c r="K204" i="6"/>
  <c r="H243" i="6"/>
  <c r="K367" i="6"/>
  <c r="K386" i="6"/>
  <c r="H396" i="6"/>
  <c r="K453" i="6"/>
  <c r="K491" i="6"/>
  <c r="K787" i="6"/>
  <c r="K790" i="6"/>
  <c r="K809" i="6"/>
  <c r="H816" i="6"/>
  <c r="K825" i="6"/>
  <c r="H867" i="6"/>
  <c r="K895" i="6"/>
  <c r="K1003" i="6"/>
  <c r="H1010" i="6"/>
  <c r="H1080" i="6"/>
  <c r="K1089" i="6"/>
  <c r="H1220" i="6"/>
  <c r="H1363" i="6"/>
  <c r="H1442" i="6"/>
  <c r="H1458" i="6"/>
  <c r="H1547" i="6"/>
  <c r="H1655" i="6"/>
  <c r="H1820" i="6"/>
  <c r="H1867" i="6"/>
  <c r="K934" i="6"/>
  <c r="H1218" i="6"/>
  <c r="H1564" i="6"/>
  <c r="H225" i="6"/>
  <c r="H1081" i="6"/>
  <c r="H1701" i="6"/>
  <c r="K1986" i="6"/>
  <c r="H1955" i="6"/>
  <c r="H85" i="6"/>
  <c r="H844" i="6"/>
  <c r="K35" i="6"/>
  <c r="H83" i="6"/>
  <c r="K137" i="6"/>
  <c r="H144" i="6"/>
  <c r="K233" i="6"/>
  <c r="H259" i="6"/>
  <c r="K284" i="6"/>
  <c r="H291" i="6"/>
  <c r="H323" i="6"/>
  <c r="H409" i="6"/>
  <c r="H412" i="6"/>
  <c r="K434" i="6"/>
  <c r="H457" i="6"/>
  <c r="H724" i="6"/>
  <c r="K746" i="6"/>
  <c r="K762" i="6"/>
  <c r="K822" i="6"/>
  <c r="K962" i="6"/>
  <c r="H1061" i="6"/>
  <c r="H1109" i="6"/>
  <c r="K1201" i="6"/>
  <c r="H1214" i="6"/>
  <c r="K1280" i="6"/>
  <c r="H1420" i="6"/>
  <c r="H1662" i="6"/>
  <c r="H1700" i="6"/>
  <c r="H1725" i="6"/>
  <c r="H40" i="6"/>
  <c r="K889" i="6"/>
  <c r="K961" i="6"/>
  <c r="H971" i="6"/>
  <c r="K1059" i="6"/>
  <c r="H1145" i="6"/>
  <c r="K1154" i="6"/>
  <c r="H1177" i="6"/>
  <c r="H1196" i="6"/>
  <c r="K1211" i="6"/>
  <c r="K1214" i="6"/>
  <c r="K1239" i="6"/>
  <c r="H1249" i="6"/>
  <c r="K1401" i="6"/>
  <c r="K1563" i="6"/>
  <c r="K1566" i="6"/>
  <c r="H1623" i="6"/>
  <c r="K1725" i="6"/>
  <c r="H1754" i="6"/>
  <c r="H1792" i="6"/>
  <c r="K1807" i="6"/>
  <c r="K1829" i="6"/>
  <c r="H1942" i="6"/>
  <c r="H1964" i="6"/>
  <c r="H1986" i="6"/>
  <c r="K2017" i="6"/>
  <c r="H538" i="6"/>
  <c r="H718" i="6"/>
  <c r="H160" i="6"/>
  <c r="H525" i="6"/>
  <c r="H702" i="6"/>
  <c r="H736" i="6"/>
  <c r="H771" i="6"/>
  <c r="H874" i="6"/>
  <c r="H1358" i="6"/>
  <c r="H1417" i="6"/>
  <c r="H1652" i="6"/>
  <c r="H1833" i="6"/>
  <c r="H1980" i="6"/>
  <c r="H1646" i="6"/>
  <c r="K90" i="6"/>
  <c r="K106" i="6"/>
  <c r="K131" i="6"/>
  <c r="K134" i="6"/>
  <c r="K166" i="6"/>
  <c r="H211" i="6"/>
  <c r="K271" i="6"/>
  <c r="K376" i="6"/>
  <c r="H405" i="6"/>
  <c r="K430" i="6"/>
  <c r="H440" i="6"/>
  <c r="K462" i="6"/>
  <c r="H522" i="6"/>
  <c r="K531" i="6"/>
  <c r="K534" i="6"/>
  <c r="H557" i="6"/>
  <c r="K620" i="6"/>
  <c r="K645" i="6"/>
  <c r="K708" i="6"/>
  <c r="K717" i="6"/>
  <c r="K855" i="6"/>
  <c r="K864" i="6"/>
  <c r="K933" i="6"/>
  <c r="H1025" i="6"/>
  <c r="K1075" i="6"/>
  <c r="K1145" i="6"/>
  <c r="H1155" i="6"/>
  <c r="K1164" i="6"/>
  <c r="K1323" i="6"/>
  <c r="K1326" i="6"/>
  <c r="H1411" i="6"/>
  <c r="H1430" i="6"/>
  <c r="H1511" i="6"/>
  <c r="K1516" i="6"/>
  <c r="K1554" i="6"/>
  <c r="H1592" i="6"/>
  <c r="K1595" i="6"/>
  <c r="K1617" i="6"/>
  <c r="H1633" i="6"/>
  <c r="H1649" i="6"/>
  <c r="K1679" i="6"/>
  <c r="K1713" i="6"/>
  <c r="K1744" i="6"/>
  <c r="K1798" i="6"/>
  <c r="H1830" i="6"/>
  <c r="H1846" i="6"/>
  <c r="K1885" i="6"/>
  <c r="K1945" i="6"/>
  <c r="H1974" i="6"/>
  <c r="H1996" i="6"/>
  <c r="K1399" i="6"/>
  <c r="H1840" i="6"/>
  <c r="H1886" i="6"/>
  <c r="H1930" i="6"/>
  <c r="K56" i="6"/>
  <c r="K75" i="6"/>
  <c r="K91" i="6"/>
  <c r="K123" i="6"/>
  <c r="H193" i="6"/>
  <c r="K275" i="6"/>
  <c r="H317" i="6"/>
  <c r="K326" i="6"/>
  <c r="K345" i="6"/>
  <c r="H352" i="6"/>
  <c r="K361" i="6"/>
  <c r="H384" i="6"/>
  <c r="H444" i="6"/>
  <c r="H520" i="6"/>
  <c r="H526" i="6"/>
  <c r="K529" i="6"/>
  <c r="K532" i="6"/>
  <c r="K548" i="6"/>
  <c r="K621" i="6"/>
  <c r="H656" i="6"/>
  <c r="K662" i="6"/>
  <c r="H766" i="6"/>
  <c r="K812" i="6"/>
  <c r="H881" i="6"/>
  <c r="K884" i="6"/>
  <c r="H994" i="6"/>
  <c r="K1092" i="6"/>
  <c r="H1099" i="6"/>
  <c r="H1134" i="6"/>
  <c r="H1143" i="6"/>
  <c r="K1146" i="6"/>
  <c r="K1165" i="6"/>
  <c r="K1203" i="6"/>
  <c r="H1222" i="6"/>
  <c r="H1293" i="6"/>
  <c r="H1309" i="6"/>
  <c r="K1371" i="6"/>
  <c r="K1387" i="6"/>
  <c r="K1390" i="6"/>
  <c r="H1462" i="6"/>
  <c r="K1477" i="6"/>
  <c r="H1484" i="6"/>
  <c r="K1505" i="6"/>
  <c r="H1546" i="6"/>
  <c r="H1555" i="6"/>
  <c r="H1565" i="6"/>
  <c r="H1587" i="6"/>
  <c r="H1634" i="6"/>
  <c r="K1640" i="6"/>
  <c r="H1650" i="6"/>
  <c r="H1659" i="6"/>
  <c r="K1761" i="6"/>
  <c r="H1815" i="6"/>
  <c r="H1853" i="6"/>
  <c r="K1886" i="6"/>
  <c r="H1893" i="6"/>
  <c r="H1905" i="6"/>
  <c r="H1915" i="6"/>
  <c r="H1937" i="6"/>
  <c r="H1965" i="6"/>
  <c r="H1975" i="6"/>
  <c r="H1978" i="6"/>
  <c r="K1990" i="6"/>
  <c r="H2019" i="6"/>
  <c r="H981" i="6"/>
  <c r="H1780" i="6"/>
  <c r="K1495" i="6"/>
  <c r="H1677" i="6"/>
  <c r="H834" i="6"/>
  <c r="K1105" i="6"/>
  <c r="H1266" i="6"/>
  <c r="K1421" i="6"/>
  <c r="H1443" i="6"/>
  <c r="H1521" i="6"/>
  <c r="H1540" i="6"/>
  <c r="H1718" i="6"/>
  <c r="H1721" i="6"/>
  <c r="K1837" i="6"/>
  <c r="H48" i="6"/>
  <c r="K63" i="6"/>
  <c r="H70" i="6"/>
  <c r="K82" i="6"/>
  <c r="H133" i="6"/>
  <c r="H139" i="6"/>
  <c r="H181" i="6"/>
  <c r="K193" i="6"/>
  <c r="H200" i="6"/>
  <c r="H206" i="6"/>
  <c r="H251" i="6"/>
  <c r="K263" i="6"/>
  <c r="H270" i="6"/>
  <c r="K298" i="6"/>
  <c r="H343" i="6"/>
  <c r="H445" i="6"/>
  <c r="K656" i="6"/>
  <c r="H669" i="6"/>
  <c r="K681" i="6"/>
  <c r="K697" i="6"/>
  <c r="H707" i="6"/>
  <c r="H713" i="6"/>
  <c r="K744" i="6"/>
  <c r="H973" i="6"/>
  <c r="K1045" i="6"/>
  <c r="H1058" i="6"/>
  <c r="K1061" i="6"/>
  <c r="H1112" i="6"/>
  <c r="K1131" i="6"/>
  <c r="H1166" i="6"/>
  <c r="H1185" i="6"/>
  <c r="H1331" i="6"/>
  <c r="H1341" i="6"/>
  <c r="H1409" i="6"/>
  <c r="H1422" i="6"/>
  <c r="H1437" i="6"/>
  <c r="K1493" i="6"/>
  <c r="H1556" i="6"/>
  <c r="K1718" i="6"/>
  <c r="K1809" i="6"/>
  <c r="H1838" i="6"/>
  <c r="H1884" i="6"/>
  <c r="H1928" i="6"/>
  <c r="H1931" i="6"/>
  <c r="K1975" i="6"/>
  <c r="H2010" i="6"/>
  <c r="K724" i="6"/>
  <c r="H98" i="6"/>
  <c r="K492" i="6"/>
  <c r="K508" i="6"/>
  <c r="H527" i="6"/>
  <c r="K552" i="6"/>
  <c r="H606" i="6"/>
  <c r="K650" i="6"/>
  <c r="K694" i="6"/>
  <c r="K791" i="6"/>
  <c r="K794" i="6"/>
  <c r="H801" i="6"/>
  <c r="K841" i="6"/>
  <c r="K941" i="6"/>
  <c r="H1001" i="6"/>
  <c r="H1049" i="6"/>
  <c r="K1058" i="6"/>
  <c r="H1160" i="6"/>
  <c r="K1169" i="6"/>
  <c r="H1176" i="6"/>
  <c r="H1198" i="6"/>
  <c r="H1251" i="6"/>
  <c r="K1260" i="6"/>
  <c r="K1275" i="6"/>
  <c r="H1285" i="6"/>
  <c r="H1328" i="6"/>
  <c r="K1350" i="6"/>
  <c r="K1391" i="6"/>
  <c r="K1394" i="6"/>
  <c r="H1419" i="6"/>
  <c r="H1447" i="6"/>
  <c r="K1481" i="6"/>
  <c r="H1559" i="6"/>
  <c r="H1591" i="6"/>
  <c r="K1603" i="6"/>
  <c r="K1628" i="6"/>
  <c r="H1635" i="6"/>
  <c r="H1734" i="6"/>
  <c r="H1740" i="6"/>
  <c r="H1947" i="6"/>
  <c r="H157" i="6"/>
  <c r="K777" i="6"/>
  <c r="H349" i="6"/>
  <c r="K810" i="6"/>
  <c r="K935" i="6"/>
  <c r="H945" i="6"/>
  <c r="K1001" i="6"/>
  <c r="K1093" i="6"/>
  <c r="K1125" i="6"/>
  <c r="H1135" i="6"/>
  <c r="K1366" i="6"/>
  <c r="K1388" i="6"/>
  <c r="H415" i="6"/>
  <c r="H1525" i="6"/>
  <c r="K1559" i="6"/>
  <c r="H1731" i="6"/>
  <c r="K1841" i="6"/>
  <c r="K1991" i="6"/>
  <c r="K601" i="6"/>
  <c r="H1184" i="6"/>
  <c r="K1757" i="6"/>
  <c r="H909" i="6"/>
  <c r="H1349" i="6"/>
  <c r="K1573" i="6"/>
  <c r="H1643" i="6"/>
  <c r="K1308" i="6"/>
  <c r="K1393" i="6"/>
  <c r="H44" i="6"/>
  <c r="H111" i="6"/>
  <c r="H394" i="6"/>
  <c r="K86" i="6"/>
  <c r="H112" i="6"/>
  <c r="H264" i="6"/>
  <c r="H274" i="6"/>
  <c r="K305" i="6"/>
  <c r="K324" i="6"/>
  <c r="K340" i="6"/>
  <c r="H369" i="6"/>
  <c r="K372" i="6"/>
  <c r="H471" i="6"/>
  <c r="H518" i="6"/>
  <c r="H597" i="6"/>
  <c r="H798" i="6"/>
  <c r="K848" i="6"/>
  <c r="H886" i="6"/>
  <c r="H1043" i="6"/>
  <c r="H1084" i="6"/>
  <c r="K1232" i="6"/>
  <c r="H1282" i="6"/>
  <c r="H1379" i="6"/>
  <c r="K1447" i="6"/>
  <c r="H1463" i="6"/>
  <c r="K1500" i="6"/>
  <c r="H1535" i="6"/>
  <c r="H1569" i="6"/>
  <c r="H1604" i="6"/>
  <c r="K1638" i="6"/>
  <c r="H1660" i="6"/>
  <c r="H1679" i="6"/>
  <c r="H1685" i="6"/>
  <c r="H1722" i="6"/>
  <c r="H1842" i="6"/>
  <c r="H1851" i="6"/>
  <c r="H1894" i="6"/>
  <c r="H1938" i="6"/>
  <c r="H1976" i="6"/>
  <c r="H348" i="6"/>
  <c r="H1933" i="6"/>
  <c r="K113" i="6"/>
  <c r="H934" i="6"/>
  <c r="H1549" i="6"/>
  <c r="K1032" i="6"/>
  <c r="H267" i="6"/>
  <c r="K26" i="6"/>
  <c r="K42" i="6"/>
  <c r="K83" i="6"/>
  <c r="K159" i="6"/>
  <c r="H169" i="6"/>
  <c r="K194" i="6"/>
  <c r="H220" i="6"/>
  <c r="K264" i="6"/>
  <c r="K318" i="6"/>
  <c r="K388" i="6"/>
  <c r="H430" i="6"/>
  <c r="H446" i="6"/>
  <c r="K455" i="6"/>
  <c r="H528" i="6"/>
  <c r="H531" i="6"/>
  <c r="H569" i="6"/>
  <c r="H607" i="6"/>
  <c r="K613" i="6"/>
  <c r="K632" i="6"/>
  <c r="H645" i="6"/>
  <c r="H661" i="6"/>
  <c r="H667" i="6"/>
  <c r="K748" i="6"/>
  <c r="K798" i="6"/>
  <c r="H814" i="6"/>
  <c r="H858" i="6"/>
  <c r="K892" i="6"/>
  <c r="H983" i="6"/>
  <c r="K989" i="6"/>
  <c r="H996" i="6"/>
  <c r="K1220" i="6"/>
  <c r="K1264" i="6"/>
  <c r="K1282" i="6"/>
  <c r="K1291" i="6"/>
  <c r="K1316" i="6"/>
  <c r="H1326" i="6"/>
  <c r="K1416" i="6"/>
  <c r="K1485" i="6"/>
  <c r="H1532" i="6"/>
  <c r="K1632" i="6"/>
  <c r="H1782" i="6"/>
  <c r="K1976" i="6"/>
  <c r="K110" i="6"/>
  <c r="H419" i="6"/>
  <c r="H839" i="6"/>
  <c r="H1550" i="6"/>
  <c r="K66" i="6"/>
  <c r="H79" i="6"/>
  <c r="K343" i="6"/>
  <c r="H353" i="6"/>
  <c r="H359" i="6"/>
  <c r="H391" i="6"/>
  <c r="K425" i="6"/>
  <c r="H864" i="6"/>
  <c r="K873" i="6"/>
  <c r="K1332" i="6"/>
  <c r="K1889" i="6"/>
  <c r="K1917" i="6"/>
  <c r="K306" i="6"/>
  <c r="H354" i="6"/>
  <c r="H360" i="6"/>
  <c r="K520" i="6"/>
  <c r="H665" i="6"/>
  <c r="H734" i="6"/>
  <c r="K1002" i="6"/>
  <c r="K1700" i="6"/>
  <c r="H1704" i="6"/>
  <c r="H1716" i="6"/>
  <c r="K1850" i="6"/>
  <c r="K1915" i="6"/>
  <c r="K1921" i="6"/>
  <c r="H1997" i="6"/>
  <c r="H32" i="6"/>
  <c r="H363" i="6"/>
  <c r="H589" i="6"/>
  <c r="K526" i="6"/>
  <c r="H687" i="6"/>
  <c r="H965" i="6"/>
  <c r="H172" i="6"/>
  <c r="K187" i="6"/>
  <c r="H257" i="6"/>
  <c r="K266" i="6"/>
  <c r="H273" i="6"/>
  <c r="H282" i="6"/>
  <c r="K294" i="6"/>
  <c r="K527" i="6"/>
  <c r="K709" i="6"/>
  <c r="H922" i="6"/>
  <c r="K1173" i="6"/>
  <c r="K1414" i="6"/>
  <c r="H1421" i="6"/>
  <c r="H1627" i="6"/>
  <c r="K1673" i="6"/>
  <c r="H1695" i="6"/>
  <c r="H260" i="6"/>
  <c r="H285" i="6"/>
  <c r="H456" i="6"/>
  <c r="K483" i="6"/>
  <c r="H916" i="6"/>
  <c r="K1006" i="6"/>
  <c r="K1633" i="6"/>
  <c r="K1661" i="6"/>
  <c r="K375" i="6"/>
  <c r="H213" i="6"/>
  <c r="K897" i="6"/>
  <c r="H512" i="6"/>
  <c r="H638" i="6"/>
  <c r="H134" i="6"/>
  <c r="H982" i="6"/>
  <c r="H1531" i="6"/>
  <c r="H76" i="6"/>
  <c r="H290" i="6"/>
  <c r="K1112" i="6"/>
  <c r="H155" i="6"/>
  <c r="H366" i="6"/>
  <c r="K1968" i="6"/>
  <c r="K111" i="6"/>
  <c r="H122" i="6"/>
  <c r="H150" i="6"/>
  <c r="H232" i="6"/>
  <c r="H107" i="6"/>
  <c r="K216" i="6"/>
  <c r="H229" i="6"/>
  <c r="H472" i="6"/>
  <c r="H957" i="6"/>
  <c r="H960" i="6"/>
  <c r="H979" i="6"/>
  <c r="K59" i="6"/>
  <c r="H141" i="6"/>
  <c r="K179" i="6"/>
  <c r="K191" i="6"/>
  <c r="K210" i="6"/>
  <c r="K245" i="6"/>
  <c r="K399" i="6"/>
  <c r="H466" i="6"/>
  <c r="H469" i="6"/>
  <c r="H648" i="6"/>
  <c r="H848" i="6"/>
  <c r="K1127" i="6"/>
  <c r="K1130" i="6"/>
  <c r="K1133" i="6"/>
  <c r="K1136" i="6"/>
  <c r="H1146" i="6"/>
  <c r="K1158" i="6"/>
  <c r="K1568" i="6"/>
  <c r="K1571" i="6"/>
  <c r="K356" i="6"/>
  <c r="K359" i="6"/>
  <c r="K396" i="6"/>
  <c r="K412" i="6"/>
  <c r="K415" i="6"/>
  <c r="K437" i="6"/>
  <c r="K440" i="6"/>
  <c r="H493" i="6"/>
  <c r="K545" i="6"/>
  <c r="H552" i="6"/>
  <c r="H567" i="6"/>
  <c r="H586" i="6"/>
  <c r="K780" i="6"/>
  <c r="H820" i="6"/>
  <c r="K832" i="6"/>
  <c r="K885" i="6"/>
  <c r="H919" i="6"/>
  <c r="K1043" i="6"/>
  <c r="K1046" i="6"/>
  <c r="K1062" i="6"/>
  <c r="K1065" i="6"/>
  <c r="K1148" i="6"/>
  <c r="H1158" i="6"/>
  <c r="K1188" i="6"/>
  <c r="K1200" i="6"/>
  <c r="H1203" i="6"/>
  <c r="K1279" i="6"/>
  <c r="K1297" i="6"/>
  <c r="H1357" i="6"/>
  <c r="K1381" i="6"/>
  <c r="H1388" i="6"/>
  <c r="H1424" i="6"/>
  <c r="H1661" i="6"/>
  <c r="K1682" i="6"/>
  <c r="H1744" i="6"/>
  <c r="H1753" i="6"/>
  <c r="H1759" i="6"/>
  <c r="K1815" i="6"/>
  <c r="H1902" i="6"/>
  <c r="H537" i="6"/>
  <c r="H577" i="6"/>
  <c r="K583" i="6"/>
  <c r="H614" i="6"/>
  <c r="H985" i="6"/>
  <c r="H1101" i="6"/>
  <c r="H1119" i="6"/>
  <c r="K1122" i="6"/>
  <c r="H1128" i="6"/>
  <c r="K1167" i="6"/>
  <c r="H1213" i="6"/>
  <c r="H1216" i="6"/>
  <c r="K1259" i="6"/>
  <c r="K1342" i="6"/>
  <c r="K1348" i="6"/>
  <c r="H1364" i="6"/>
  <c r="H1367" i="6"/>
  <c r="H1483" i="6"/>
  <c r="K1522" i="6"/>
  <c r="H1578" i="6"/>
  <c r="H1581" i="6"/>
  <c r="K1587" i="6"/>
  <c r="K1590" i="6"/>
  <c r="K1630" i="6"/>
  <c r="K1677" i="6"/>
  <c r="H1717" i="6"/>
  <c r="K1875" i="6"/>
  <c r="K391" i="6"/>
  <c r="H33" i="6"/>
  <c r="H105" i="6"/>
  <c r="H161" i="6"/>
  <c r="H242" i="6"/>
  <c r="H301" i="6"/>
  <c r="H345" i="6"/>
  <c r="H376" i="6"/>
  <c r="H507" i="6"/>
  <c r="H821" i="6"/>
  <c r="K883" i="6"/>
  <c r="H1603" i="6"/>
  <c r="K95" i="6"/>
  <c r="H145" i="6"/>
  <c r="K148" i="6"/>
  <c r="H177" i="6"/>
  <c r="K229" i="6"/>
  <c r="K310" i="6"/>
  <c r="K407" i="6"/>
  <c r="H414" i="6"/>
  <c r="K429" i="6"/>
  <c r="H433" i="6"/>
  <c r="K451" i="6"/>
  <c r="H488" i="6"/>
  <c r="H646" i="6"/>
  <c r="K661" i="6"/>
  <c r="K664" i="6"/>
  <c r="K673" i="6"/>
  <c r="H689" i="6"/>
  <c r="H720" i="6"/>
  <c r="K732" i="6"/>
  <c r="H739" i="6"/>
  <c r="H751" i="6"/>
  <c r="K760" i="6"/>
  <c r="H782" i="6"/>
  <c r="K821" i="6"/>
  <c r="H893" i="6"/>
  <c r="K1016" i="6"/>
  <c r="H1045" i="6"/>
  <c r="K1085" i="6"/>
  <c r="H1098" i="6"/>
  <c r="H1113" i="6"/>
  <c r="K1140" i="6"/>
  <c r="H1171" i="6"/>
  <c r="H1235" i="6"/>
  <c r="K1311" i="6"/>
  <c r="H1343" i="6"/>
  <c r="K1449" i="6"/>
  <c r="K1470" i="6"/>
  <c r="K1473" i="6"/>
  <c r="K1501" i="6"/>
  <c r="H1529" i="6"/>
  <c r="K1547" i="6"/>
  <c r="K1553" i="6"/>
  <c r="H1560" i="6"/>
  <c r="H1597" i="6"/>
  <c r="K1606" i="6"/>
  <c r="K528" i="6"/>
  <c r="K602" i="6"/>
  <c r="H637" i="6"/>
  <c r="K701" i="6"/>
  <c r="H770" i="6"/>
  <c r="H800" i="6"/>
  <c r="H908" i="6"/>
  <c r="K911" i="6"/>
  <c r="H955" i="6"/>
  <c r="H964" i="6"/>
  <c r="H1076" i="6"/>
  <c r="H1079" i="6"/>
  <c r="K1137" i="6"/>
  <c r="H1168" i="6"/>
  <c r="H1281" i="6"/>
  <c r="K1302" i="6"/>
  <c r="H1312" i="6"/>
  <c r="H1321" i="6"/>
  <c r="K1333" i="6"/>
  <c r="H1365" i="6"/>
  <c r="K1431" i="6"/>
  <c r="K1437" i="6"/>
  <c r="K1455" i="6"/>
  <c r="K1483" i="6"/>
  <c r="K1529" i="6"/>
  <c r="K1572" i="6"/>
  <c r="H1678" i="6"/>
  <c r="K1851" i="6"/>
  <c r="K1954" i="6"/>
  <c r="H1967" i="6"/>
  <c r="K214" i="6"/>
  <c r="H980" i="6"/>
  <c r="H986" i="6"/>
  <c r="H1017" i="6"/>
  <c r="H1042" i="6"/>
  <c r="K1079" i="6"/>
  <c r="K1095" i="6"/>
  <c r="H1163" i="6"/>
  <c r="H1269" i="6"/>
  <c r="K1631" i="6"/>
  <c r="K161" i="6"/>
  <c r="K967" i="6"/>
  <c r="K1290" i="6"/>
  <c r="H1423" i="6"/>
  <c r="H411" i="6"/>
  <c r="H174" i="6"/>
  <c r="K723" i="6"/>
  <c r="H779" i="6"/>
  <c r="K788" i="6"/>
  <c r="H96" i="6"/>
  <c r="H308" i="6"/>
  <c r="K773" i="6"/>
  <c r="K837" i="6"/>
  <c r="H878" i="6"/>
  <c r="H977" i="6"/>
  <c r="H159" i="6"/>
  <c r="H293" i="6"/>
  <c r="H696" i="6"/>
  <c r="H740" i="6"/>
  <c r="H838" i="6"/>
  <c r="K850" i="6"/>
  <c r="H906" i="6"/>
  <c r="H925" i="6"/>
  <c r="H1771" i="6"/>
  <c r="K1783" i="6"/>
  <c r="H1958" i="6"/>
  <c r="K301" i="6"/>
  <c r="K105" i="6"/>
  <c r="H355" i="6"/>
  <c r="H767" i="6"/>
  <c r="H566" i="6"/>
  <c r="K581" i="6"/>
  <c r="K646" i="6"/>
  <c r="H1055" i="6"/>
  <c r="K68" i="6"/>
  <c r="K121" i="6"/>
  <c r="K127" i="6"/>
  <c r="H212" i="6"/>
  <c r="K34" i="6"/>
  <c r="K37" i="6"/>
  <c r="H69" i="6"/>
  <c r="H72" i="6"/>
  <c r="H81" i="6"/>
  <c r="K96" i="6"/>
  <c r="K112" i="6"/>
  <c r="K168" i="6"/>
  <c r="H175" i="6"/>
  <c r="H203" i="6"/>
  <c r="H215" i="6"/>
  <c r="K221" i="6"/>
  <c r="H281" i="6"/>
  <c r="K302" i="6"/>
  <c r="K408" i="6"/>
  <c r="H431" i="6"/>
  <c r="H514" i="6"/>
  <c r="K517" i="6"/>
  <c r="H532" i="6"/>
  <c r="H554" i="6"/>
  <c r="K557" i="6"/>
  <c r="K572" i="6"/>
  <c r="K594" i="6"/>
  <c r="K597" i="6"/>
  <c r="K603" i="6"/>
  <c r="K606" i="6"/>
  <c r="K612" i="6"/>
  <c r="H644" i="6"/>
  <c r="K696" i="6"/>
  <c r="K730" i="6"/>
  <c r="K755" i="6"/>
  <c r="H777" i="6"/>
  <c r="H792" i="6"/>
  <c r="K816" i="6"/>
  <c r="H851" i="6"/>
  <c r="K875" i="6"/>
  <c r="H885" i="6"/>
  <c r="K894" i="6"/>
  <c r="K949" i="6"/>
  <c r="H987" i="6"/>
  <c r="K1008" i="6"/>
  <c r="H1018" i="6"/>
  <c r="H1062" i="6"/>
  <c r="H1090" i="6"/>
  <c r="K1099" i="6"/>
  <c r="H1111" i="6"/>
  <c r="K1138" i="6"/>
  <c r="K1245" i="6"/>
  <c r="H1252" i="6"/>
  <c r="H1264" i="6"/>
  <c r="K1423" i="6"/>
  <c r="K1426" i="6"/>
  <c r="H1784" i="6"/>
  <c r="K1817" i="6"/>
  <c r="H1848" i="6"/>
  <c r="H1863" i="6"/>
  <c r="H1875" i="6"/>
  <c r="K1923" i="6"/>
  <c r="K1929" i="6"/>
  <c r="K1932" i="6"/>
  <c r="K1258" i="6"/>
  <c r="K1318" i="6"/>
  <c r="K1324" i="6"/>
  <c r="K1385" i="6"/>
  <c r="K1450" i="6"/>
  <c r="H1509" i="6"/>
  <c r="H1533" i="6"/>
  <c r="H1536" i="6"/>
  <c r="H1573" i="6"/>
  <c r="H1610" i="6"/>
  <c r="K1634" i="6"/>
  <c r="K1637" i="6"/>
  <c r="K1643" i="6"/>
  <c r="K1674" i="6"/>
  <c r="H1711" i="6"/>
  <c r="H1738" i="6"/>
  <c r="H1772" i="6"/>
  <c r="H1778" i="6"/>
  <c r="H1788" i="6"/>
  <c r="H1794" i="6"/>
  <c r="K1879" i="6"/>
  <c r="H1906" i="6"/>
  <c r="H1921" i="6"/>
  <c r="K1927" i="6"/>
  <c r="H1943" i="6"/>
  <c r="K274" i="6"/>
  <c r="K277" i="6"/>
  <c r="H299" i="6"/>
  <c r="K332" i="6"/>
  <c r="H380" i="6"/>
  <c r="H448" i="6"/>
  <c r="K457" i="6"/>
  <c r="K460" i="6"/>
  <c r="H530" i="6"/>
  <c r="K536" i="6"/>
  <c r="K542" i="6"/>
  <c r="K558" i="6"/>
  <c r="H580" i="6"/>
  <c r="H583" i="6"/>
  <c r="H617" i="6"/>
  <c r="H626" i="6"/>
  <c r="H629" i="6"/>
  <c r="K638" i="6"/>
  <c r="H709" i="6"/>
  <c r="H712" i="6"/>
  <c r="K715" i="6"/>
  <c r="H725" i="6"/>
  <c r="H744" i="6"/>
  <c r="K806" i="6"/>
  <c r="H846" i="6"/>
  <c r="H935" i="6"/>
  <c r="K947" i="6"/>
  <c r="K1052" i="6"/>
  <c r="H1074" i="6"/>
  <c r="H1083" i="6"/>
  <c r="H1096" i="6"/>
  <c r="K1102" i="6"/>
  <c r="H1138" i="6"/>
  <c r="H1262" i="6"/>
  <c r="K1334" i="6"/>
  <c r="H1359" i="6"/>
  <c r="K1389" i="6"/>
  <c r="K1392" i="6"/>
  <c r="K1398" i="6"/>
  <c r="K1409" i="6"/>
  <c r="H1413" i="6"/>
  <c r="K1430" i="6"/>
  <c r="K1487" i="6"/>
  <c r="K1509" i="6"/>
  <c r="K1533" i="6"/>
  <c r="K1579" i="6"/>
  <c r="H1595" i="6"/>
  <c r="K1622" i="6"/>
  <c r="H1632" i="6"/>
  <c r="H1638" i="6"/>
  <c r="K1723" i="6"/>
  <c r="K1738" i="6"/>
  <c r="H1748" i="6"/>
  <c r="H1751" i="6"/>
  <c r="H1763" i="6"/>
  <c r="H1822" i="6"/>
  <c r="K1849" i="6"/>
  <c r="K1912" i="6"/>
  <c r="H1934" i="6"/>
  <c r="K1985" i="6"/>
  <c r="K2000" i="6"/>
  <c r="H2004" i="6"/>
  <c r="H1295" i="6"/>
  <c r="H1316" i="6"/>
  <c r="H1319" i="6"/>
  <c r="K1448" i="6"/>
  <c r="H1482" i="6"/>
  <c r="H1626" i="6"/>
  <c r="H1651" i="6"/>
  <c r="H1669" i="6"/>
  <c r="H1672" i="6"/>
  <c r="K1690" i="6"/>
  <c r="K1693" i="6"/>
  <c r="H1724" i="6"/>
  <c r="H1739" i="6"/>
  <c r="K1766" i="6"/>
  <c r="K1769" i="6"/>
  <c r="K1785" i="6"/>
  <c r="H1834" i="6"/>
  <c r="H1874" i="6"/>
  <c r="H1907" i="6"/>
  <c r="H1916" i="6"/>
  <c r="H2001" i="6"/>
  <c r="K1247" i="6"/>
  <c r="K1253" i="6"/>
  <c r="K1322" i="6"/>
  <c r="K1325" i="6"/>
  <c r="K1356" i="6"/>
  <c r="K1359" i="6"/>
  <c r="K1503" i="6"/>
  <c r="K1598" i="6"/>
  <c r="K1641" i="6"/>
  <c r="H1715" i="6"/>
  <c r="H1971" i="6"/>
  <c r="K212" i="6"/>
  <c r="H237" i="6"/>
  <c r="K265" i="6"/>
  <c r="H275" i="6"/>
  <c r="K311" i="6"/>
  <c r="H387" i="6"/>
  <c r="H393" i="6"/>
  <c r="H504" i="6"/>
  <c r="H556" i="6"/>
  <c r="K571" i="6"/>
  <c r="K577" i="6"/>
  <c r="K580" i="6"/>
  <c r="H605" i="6"/>
  <c r="K691" i="6"/>
  <c r="H719" i="6"/>
  <c r="K747" i="6"/>
  <c r="H930" i="6"/>
  <c r="K985" i="6"/>
  <c r="K997" i="6"/>
  <c r="H1182" i="6"/>
  <c r="H1314" i="6"/>
  <c r="K1377" i="6"/>
  <c r="H1476" i="6"/>
  <c r="H1491" i="6"/>
  <c r="K1543" i="6"/>
  <c r="K1558" i="6"/>
  <c r="H1602" i="6"/>
  <c r="K1629" i="6"/>
  <c r="H1727" i="6"/>
  <c r="K1810" i="6"/>
  <c r="K1831" i="6"/>
  <c r="K1862" i="6"/>
  <c r="H1871" i="6"/>
  <c r="K1913" i="6"/>
  <c r="K1928" i="6"/>
  <c r="H1977" i="6"/>
  <c r="K2001" i="6"/>
  <c r="K2007" i="6"/>
  <c r="K206" i="6"/>
  <c r="K234" i="6"/>
  <c r="K262" i="6"/>
  <c r="H269" i="6"/>
  <c r="K333" i="6"/>
  <c r="K349" i="6"/>
  <c r="H362" i="6"/>
  <c r="H365" i="6"/>
  <c r="H371" i="6"/>
  <c r="H424" i="6"/>
  <c r="K461" i="6"/>
  <c r="K488" i="6"/>
  <c r="H495" i="6"/>
  <c r="K562" i="6"/>
  <c r="K568" i="6"/>
  <c r="K639" i="6"/>
  <c r="K642" i="6"/>
  <c r="K676" i="6"/>
  <c r="K682" i="6"/>
  <c r="H692" i="6"/>
  <c r="H701" i="6"/>
  <c r="H745" i="6"/>
  <c r="H757" i="6"/>
  <c r="K819" i="6"/>
  <c r="K865" i="6"/>
  <c r="K887" i="6"/>
  <c r="K914" i="6"/>
  <c r="H939" i="6"/>
  <c r="H970" i="6"/>
  <c r="H1007" i="6"/>
  <c r="K1031" i="6"/>
  <c r="K1056" i="6"/>
  <c r="H1060" i="6"/>
  <c r="H1066" i="6"/>
  <c r="H1078" i="6"/>
  <c r="K1090" i="6"/>
  <c r="H1106" i="6"/>
  <c r="H1115" i="6"/>
  <c r="K1205" i="6"/>
  <c r="K1223" i="6"/>
  <c r="K1235" i="6"/>
  <c r="K1241" i="6"/>
  <c r="H1260" i="6"/>
  <c r="H1278" i="6"/>
  <c r="H1342" i="6"/>
  <c r="H1354" i="6"/>
  <c r="H1378" i="6"/>
  <c r="H1461" i="6"/>
  <c r="K1519" i="6"/>
  <c r="K1528" i="6"/>
  <c r="K1531" i="6"/>
  <c r="H1541" i="6"/>
  <c r="K1608" i="6"/>
  <c r="K1611" i="6"/>
  <c r="H1667" i="6"/>
  <c r="H1697" i="6"/>
  <c r="K1703" i="6"/>
  <c r="K1706" i="6"/>
  <c r="K1709" i="6"/>
  <c r="K1724" i="6"/>
  <c r="H1743" i="6"/>
  <c r="H1749" i="6"/>
  <c r="K1776" i="6"/>
  <c r="K1789" i="6"/>
  <c r="K1910" i="6"/>
  <c r="H1926" i="6"/>
  <c r="H1929" i="6"/>
  <c r="K1950" i="6"/>
  <c r="K1974" i="6"/>
  <c r="H100" i="6"/>
  <c r="K360" i="6"/>
  <c r="H460" i="6"/>
  <c r="H759" i="6"/>
  <c r="H923" i="6"/>
  <c r="H84" i="6"/>
  <c r="H63" i="6"/>
  <c r="K81" i="6"/>
  <c r="K84" i="6"/>
  <c r="K248" i="6"/>
  <c r="K288" i="6"/>
  <c r="K351" i="6"/>
  <c r="H615" i="6"/>
  <c r="H679" i="6"/>
  <c r="K829" i="6"/>
  <c r="H920" i="6"/>
  <c r="H222" i="6"/>
  <c r="K322" i="6"/>
  <c r="K325" i="6"/>
  <c r="K328" i="6"/>
  <c r="K337" i="6"/>
  <c r="K358" i="6"/>
  <c r="H389" i="6"/>
  <c r="K421" i="6"/>
  <c r="K424" i="6"/>
  <c r="K427" i="6"/>
  <c r="H807" i="6"/>
  <c r="K908" i="6"/>
  <c r="K979" i="6"/>
  <c r="H1506" i="6"/>
  <c r="H1702" i="6"/>
  <c r="K348" i="6"/>
  <c r="K364" i="6"/>
  <c r="H189" i="6"/>
  <c r="H195" i="6"/>
  <c r="H198" i="6"/>
  <c r="H216" i="6"/>
  <c r="H659" i="6"/>
  <c r="H126" i="6"/>
  <c r="H138" i="6"/>
  <c r="H147" i="6"/>
  <c r="K150" i="6"/>
  <c r="K177" i="6"/>
  <c r="K183" i="6"/>
  <c r="K186" i="6"/>
  <c r="K189" i="6"/>
  <c r="K192" i="6"/>
  <c r="K198" i="6"/>
  <c r="K292" i="6"/>
  <c r="K304" i="6"/>
  <c r="K319" i="6"/>
  <c r="K380" i="6"/>
  <c r="K403" i="6"/>
  <c r="H425" i="6"/>
  <c r="H516" i="6"/>
  <c r="K726" i="6"/>
  <c r="K1365" i="6"/>
  <c r="K1368" i="6"/>
  <c r="H513" i="6"/>
  <c r="K644" i="6"/>
  <c r="K647" i="6"/>
  <c r="H989" i="6"/>
  <c r="H2009" i="6"/>
  <c r="K958" i="6"/>
  <c r="K1084" i="6"/>
  <c r="K1157" i="6"/>
  <c r="H1248" i="6"/>
  <c r="K1268" i="6"/>
  <c r="K1274" i="6"/>
  <c r="H381" i="6"/>
  <c r="K41" i="6"/>
  <c r="K69" i="6"/>
  <c r="K185" i="6"/>
  <c r="H204" i="6"/>
  <c r="H280" i="6"/>
  <c r="H319" i="6"/>
  <c r="H397" i="6"/>
  <c r="K655" i="6"/>
  <c r="K125" i="6"/>
  <c r="H326" i="6"/>
  <c r="H434" i="6"/>
  <c r="H132" i="6"/>
  <c r="H344" i="6"/>
  <c r="H793" i="6"/>
  <c r="K43" i="6"/>
  <c r="H53" i="6"/>
  <c r="H68" i="6"/>
  <c r="K80" i="6"/>
  <c r="K126" i="6"/>
  <c r="K129" i="6"/>
  <c r="K132" i="6"/>
  <c r="K135" i="6"/>
  <c r="K247" i="6"/>
  <c r="K278" i="6"/>
  <c r="K281" i="6"/>
  <c r="H296" i="6"/>
  <c r="K395" i="6"/>
  <c r="H639" i="6"/>
  <c r="K862" i="6"/>
  <c r="H54" i="6"/>
  <c r="H750" i="6"/>
  <c r="H171" i="6"/>
  <c r="H337" i="6"/>
  <c r="H398" i="6"/>
  <c r="H302" i="6"/>
  <c r="H25" i="6"/>
  <c r="K40" i="6"/>
  <c r="H56" i="6"/>
  <c r="K71" i="6"/>
  <c r="K102" i="6"/>
  <c r="H121" i="6"/>
  <c r="H124" i="6"/>
  <c r="K220" i="6"/>
  <c r="K235" i="6"/>
  <c r="K241" i="6"/>
  <c r="H263" i="6"/>
  <c r="K296" i="6"/>
  <c r="H372" i="6"/>
  <c r="K381" i="6"/>
  <c r="H483" i="6"/>
  <c r="H486" i="6"/>
  <c r="K764" i="6"/>
  <c r="K1026" i="6"/>
  <c r="H1051" i="6"/>
  <c r="K1054" i="6"/>
  <c r="H364" i="6"/>
  <c r="H166" i="6"/>
  <c r="H350" i="6"/>
  <c r="K89" i="6"/>
  <c r="K65" i="6"/>
  <c r="K99" i="6"/>
  <c r="H115" i="6"/>
  <c r="H248" i="6"/>
  <c r="K269" i="6"/>
  <c r="H279" i="6"/>
  <c r="H288" i="6"/>
  <c r="H351" i="6"/>
  <c r="K363" i="6"/>
  <c r="K387" i="6"/>
  <c r="K477" i="6"/>
  <c r="H621" i="6"/>
  <c r="H691" i="6"/>
  <c r="H860" i="6"/>
  <c r="K940" i="6"/>
  <c r="K509" i="6"/>
  <c r="H599" i="6"/>
  <c r="K643" i="6"/>
  <c r="H773" i="6"/>
  <c r="K778" i="6"/>
  <c r="K792" i="6"/>
  <c r="H826" i="6"/>
  <c r="H882" i="6"/>
  <c r="K936" i="6"/>
  <c r="H958" i="6"/>
  <c r="K963" i="6"/>
  <c r="H468" i="6"/>
  <c r="H776" i="6"/>
  <c r="H818" i="6"/>
  <c r="H829" i="6"/>
  <c r="H870" i="6"/>
  <c r="K882" i="6"/>
  <c r="K919" i="6"/>
  <c r="H940" i="6"/>
  <c r="K996" i="6"/>
  <c r="K1010" i="6"/>
  <c r="K1013" i="6"/>
  <c r="K1044" i="6"/>
  <c r="K1047" i="6"/>
  <c r="K1050" i="6"/>
  <c r="K1181" i="6"/>
  <c r="H1395" i="6"/>
  <c r="H1398" i="6"/>
  <c r="H1539" i="6"/>
  <c r="H400" i="6"/>
  <c r="H403" i="6"/>
  <c r="K441" i="6"/>
  <c r="K444" i="6"/>
  <c r="K447" i="6"/>
  <c r="K456" i="6"/>
  <c r="H465" i="6"/>
  <c r="K497" i="6"/>
  <c r="K500" i="6"/>
  <c r="K512" i="6"/>
  <c r="K596" i="6"/>
  <c r="K608" i="6"/>
  <c r="K611" i="6"/>
  <c r="H670" i="6"/>
  <c r="H723" i="6"/>
  <c r="H729" i="6"/>
  <c r="H732" i="6"/>
  <c r="H764" i="6"/>
  <c r="K767" i="6"/>
  <c r="K781" i="6"/>
  <c r="K795" i="6"/>
  <c r="K844" i="6"/>
  <c r="K891" i="6"/>
  <c r="H937" i="6"/>
  <c r="K1038" i="6"/>
  <c r="H1057" i="6"/>
  <c r="K1063" i="6"/>
  <c r="K1178" i="6"/>
  <c r="K1184" i="6"/>
  <c r="K1199" i="6"/>
  <c r="H1386" i="6"/>
  <c r="K1400" i="6"/>
  <c r="H1545" i="6"/>
  <c r="K1698" i="6"/>
  <c r="H1720" i="6"/>
  <c r="H401" i="6"/>
  <c r="H410" i="6"/>
  <c r="H416" i="6"/>
  <c r="H475" i="6"/>
  <c r="K486" i="6"/>
  <c r="K513" i="6"/>
  <c r="K530" i="6"/>
  <c r="H539" i="6"/>
  <c r="K553" i="6"/>
  <c r="K559" i="6"/>
  <c r="H562" i="6"/>
  <c r="H568" i="6"/>
  <c r="K591" i="6"/>
  <c r="K609" i="6"/>
  <c r="K688" i="6"/>
  <c r="K793" i="6"/>
  <c r="H836" i="6"/>
  <c r="K845" i="6"/>
  <c r="K871" i="6"/>
  <c r="H1003" i="6"/>
  <c r="H1030" i="6"/>
  <c r="K1051" i="6"/>
  <c r="K1067" i="6"/>
  <c r="H1125" i="6"/>
  <c r="K1257" i="6"/>
  <c r="H1263" i="6"/>
  <c r="K1506" i="6"/>
  <c r="K556" i="6"/>
  <c r="K636" i="6"/>
  <c r="K824" i="6"/>
  <c r="H875" i="6"/>
  <c r="H1360" i="6"/>
  <c r="K48" i="6"/>
  <c r="K51" i="6"/>
  <c r="K54" i="6"/>
  <c r="K60" i="6"/>
  <c r="H73" i="6"/>
  <c r="K100" i="6"/>
  <c r="K109" i="6"/>
  <c r="K115" i="6"/>
  <c r="H136" i="6"/>
  <c r="K145" i="6"/>
  <c r="K169" i="6"/>
  <c r="H190" i="6"/>
  <c r="K201" i="6"/>
  <c r="K213" i="6"/>
  <c r="K225" i="6"/>
  <c r="K246" i="6"/>
  <c r="K249" i="6"/>
  <c r="H268" i="6"/>
  <c r="K285" i="6"/>
  <c r="H300" i="6"/>
  <c r="H303" i="6"/>
  <c r="K317" i="6"/>
  <c r="K320" i="6"/>
  <c r="K323" i="6"/>
  <c r="K373" i="6"/>
  <c r="K379" i="6"/>
  <c r="K390" i="6"/>
  <c r="H399" i="6"/>
  <c r="K404" i="6"/>
  <c r="K419" i="6"/>
  <c r="K428" i="6"/>
  <c r="H437" i="6"/>
  <c r="H443" i="6"/>
  <c r="H458" i="6"/>
  <c r="H508" i="6"/>
  <c r="K574" i="6"/>
  <c r="H610" i="6"/>
  <c r="H616" i="6"/>
  <c r="K633" i="6"/>
  <c r="K671" i="6"/>
  <c r="H695" i="6"/>
  <c r="K721" i="6"/>
  <c r="K915" i="6"/>
  <c r="K971" i="6"/>
  <c r="K974" i="6"/>
  <c r="K977" i="6"/>
  <c r="K983" i="6"/>
  <c r="H995" i="6"/>
  <c r="K1021" i="6"/>
  <c r="K1030" i="6"/>
  <c r="K1236" i="6"/>
  <c r="H1330" i="6"/>
  <c r="K1467" i="6"/>
  <c r="K1958" i="6"/>
  <c r="H704" i="6"/>
  <c r="H775" i="6"/>
  <c r="H808" i="6"/>
  <c r="K995" i="6"/>
  <c r="H998" i="6"/>
  <c r="K1018" i="6"/>
  <c r="K1024" i="6"/>
  <c r="H1105" i="6"/>
  <c r="H1605" i="6"/>
  <c r="H297" i="6"/>
  <c r="H499" i="6"/>
  <c r="K45" i="6"/>
  <c r="K142" i="6"/>
  <c r="K190" i="6"/>
  <c r="K237" i="6"/>
  <c r="H408" i="6"/>
  <c r="K502" i="6"/>
  <c r="K668" i="6"/>
  <c r="H46" i="6"/>
  <c r="K79" i="6"/>
  <c r="H92" i="6"/>
  <c r="H101" i="6"/>
  <c r="H143" i="6"/>
  <c r="H173" i="6"/>
  <c r="K196" i="6"/>
  <c r="K208" i="6"/>
  <c r="H262" i="6"/>
  <c r="K291" i="6"/>
  <c r="K297" i="6"/>
  <c r="K300" i="6"/>
  <c r="H327" i="6"/>
  <c r="H339" i="6"/>
  <c r="H383" i="6"/>
  <c r="H423" i="6"/>
  <c r="K449" i="6"/>
  <c r="H540" i="6"/>
  <c r="H634" i="6"/>
  <c r="H681" i="6"/>
  <c r="K698" i="6"/>
  <c r="K740" i="6"/>
  <c r="H755" i="6"/>
  <c r="H769" i="6"/>
  <c r="H966" i="6"/>
  <c r="K1599" i="6"/>
  <c r="K1859" i="6"/>
  <c r="H622" i="6"/>
  <c r="K228" i="6"/>
  <c r="H356" i="6"/>
  <c r="K382" i="6"/>
  <c r="H470" i="6"/>
  <c r="K472" i="6"/>
  <c r="K24" i="6"/>
  <c r="K27" i="6"/>
  <c r="H55" i="6"/>
  <c r="K64" i="6"/>
  <c r="K67" i="6"/>
  <c r="K70" i="6"/>
  <c r="K76" i="6"/>
  <c r="H86" i="6"/>
  <c r="K104" i="6"/>
  <c r="H137" i="6"/>
  <c r="K149" i="6"/>
  <c r="K155" i="6"/>
  <c r="K164" i="6"/>
  <c r="K167" i="6"/>
  <c r="K170" i="6"/>
  <c r="K173" i="6"/>
  <c r="H179" i="6"/>
  <c r="H182" i="6"/>
  <c r="H185" i="6"/>
  <c r="K199" i="6"/>
  <c r="K256" i="6"/>
  <c r="K259" i="6"/>
  <c r="H272" i="6"/>
  <c r="K286" i="6"/>
  <c r="H292" i="6"/>
  <c r="H309" i="6"/>
  <c r="K339" i="6"/>
  <c r="K368" i="6"/>
  <c r="K402" i="6"/>
  <c r="K420" i="6"/>
  <c r="K426" i="6"/>
  <c r="K446" i="6"/>
  <c r="H453" i="6"/>
  <c r="K470" i="6"/>
  <c r="K493" i="6"/>
  <c r="H549" i="6"/>
  <c r="K566" i="6"/>
  <c r="K575" i="6"/>
  <c r="H590" i="6"/>
  <c r="H593" i="6"/>
  <c r="K595" i="6"/>
  <c r="K604" i="6"/>
  <c r="H611" i="6"/>
  <c r="H666" i="6"/>
  <c r="K713" i="6"/>
  <c r="K731" i="6"/>
  <c r="H741" i="6"/>
  <c r="K763" i="6"/>
  <c r="K769" i="6"/>
  <c r="K775" i="6"/>
  <c r="H831" i="6"/>
  <c r="K843" i="6"/>
  <c r="H879" i="6"/>
  <c r="H936" i="6"/>
  <c r="K942" i="6"/>
  <c r="K960" i="6"/>
  <c r="K975" i="6"/>
  <c r="K998" i="6"/>
  <c r="K1083" i="6"/>
  <c r="H1114" i="6"/>
  <c r="K1192" i="6"/>
  <c r="K1195" i="6"/>
  <c r="K1210" i="6"/>
  <c r="K1213" i="6"/>
  <c r="H1572" i="6"/>
  <c r="K1596" i="6"/>
  <c r="K1853" i="6"/>
  <c r="K481" i="6"/>
  <c r="H31" i="6"/>
  <c r="H43" i="6"/>
  <c r="K49" i="6"/>
  <c r="K52" i="6"/>
  <c r="K55" i="6"/>
  <c r="K58" i="6"/>
  <c r="H74" i="6"/>
  <c r="K101" i="6"/>
  <c r="K122" i="6"/>
  <c r="K146" i="6"/>
  <c r="K226" i="6"/>
  <c r="K253" i="6"/>
  <c r="K289" i="6"/>
  <c r="K321" i="6"/>
  <c r="K374" i="6"/>
  <c r="K377" i="6"/>
  <c r="H447" i="6"/>
  <c r="K476" i="6"/>
  <c r="H506" i="6"/>
  <c r="K537" i="6"/>
  <c r="K543" i="6"/>
  <c r="H558" i="6"/>
  <c r="K587" i="6"/>
  <c r="K654" i="6"/>
  <c r="K663" i="6"/>
  <c r="K672" i="6"/>
  <c r="H678" i="6"/>
  <c r="K725" i="6"/>
  <c r="K728" i="6"/>
  <c r="H758" i="6"/>
  <c r="H795" i="6"/>
  <c r="K800" i="6"/>
  <c r="K831" i="6"/>
  <c r="K834" i="6"/>
  <c r="K907" i="6"/>
  <c r="K945" i="6"/>
  <c r="K972" i="6"/>
  <c r="K981" i="6"/>
  <c r="K1285" i="6"/>
  <c r="H1304" i="6"/>
  <c r="K1104" i="6"/>
  <c r="K1107" i="6"/>
  <c r="K1180" i="6"/>
  <c r="K1183" i="6"/>
  <c r="K1238" i="6"/>
  <c r="K1314" i="6"/>
  <c r="H1329" i="6"/>
  <c r="K1344" i="6"/>
  <c r="H1385" i="6"/>
  <c r="K1402" i="6"/>
  <c r="K1440" i="6"/>
  <c r="K1496" i="6"/>
  <c r="H1512" i="6"/>
  <c r="K1517" i="6"/>
  <c r="K1565" i="6"/>
  <c r="K1577" i="6"/>
  <c r="H1970" i="6"/>
  <c r="H1400" i="6"/>
  <c r="H1403" i="6"/>
  <c r="H1620" i="6"/>
  <c r="H1668" i="6"/>
  <c r="K1704" i="6"/>
  <c r="K1707" i="6"/>
  <c r="H1811" i="6"/>
  <c r="H1108" i="6"/>
  <c r="H1136" i="6"/>
  <c r="H1201" i="6"/>
  <c r="K1209" i="6"/>
  <c r="H1215" i="6"/>
  <c r="H1227" i="6"/>
  <c r="K1300" i="6"/>
  <c r="K1362" i="6"/>
  <c r="K1382" i="6"/>
  <c r="H1464" i="6"/>
  <c r="H1518" i="6"/>
  <c r="H1544" i="6"/>
  <c r="H1575" i="6"/>
  <c r="H1657" i="6"/>
  <c r="H1862" i="6"/>
  <c r="K1336" i="6"/>
  <c r="K1354" i="6"/>
  <c r="K1360" i="6"/>
  <c r="K1363" i="6"/>
  <c r="K1374" i="6"/>
  <c r="K1380" i="6"/>
  <c r="K1461" i="6"/>
  <c r="H1480" i="6"/>
  <c r="K1494" i="6"/>
  <c r="H1548" i="6"/>
  <c r="K1645" i="6"/>
  <c r="K1756" i="6"/>
  <c r="K1796" i="6"/>
  <c r="H1845" i="6"/>
  <c r="K1919" i="6"/>
  <c r="H1956" i="6"/>
  <c r="H887" i="6"/>
  <c r="K1064" i="6"/>
  <c r="K1196" i="6"/>
  <c r="H1453" i="6"/>
  <c r="H1468" i="6"/>
  <c r="H1477" i="6"/>
  <c r="K1542" i="6"/>
  <c r="K1551" i="6"/>
  <c r="K1642" i="6"/>
  <c r="K521" i="6"/>
  <c r="K524" i="6"/>
  <c r="H544" i="6"/>
  <c r="K564" i="6"/>
  <c r="H608" i="6"/>
  <c r="K628" i="6"/>
  <c r="K631" i="6"/>
  <c r="K634" i="6"/>
  <c r="H657" i="6"/>
  <c r="H672" i="6"/>
  <c r="H721" i="6"/>
  <c r="K739" i="6"/>
  <c r="H748" i="6"/>
  <c r="K849" i="6"/>
  <c r="K858" i="6"/>
  <c r="K932" i="6"/>
  <c r="H941" i="6"/>
  <c r="K973" i="6"/>
  <c r="K990" i="6"/>
  <c r="H1016" i="6"/>
  <c r="H1019" i="6"/>
  <c r="K1114" i="6"/>
  <c r="K1123" i="6"/>
  <c r="H1164" i="6"/>
  <c r="H1217" i="6"/>
  <c r="K1228" i="6"/>
  <c r="H1258" i="6"/>
  <c r="H1302" i="6"/>
  <c r="H1399" i="6"/>
  <c r="K1413" i="6"/>
  <c r="H1448" i="6"/>
  <c r="K1453" i="6"/>
  <c r="K1456" i="6"/>
  <c r="K1468" i="6"/>
  <c r="H1682" i="6"/>
  <c r="K1833" i="6"/>
  <c r="K1091" i="6"/>
  <c r="K1094" i="6"/>
  <c r="K1117" i="6"/>
  <c r="K1231" i="6"/>
  <c r="K1234" i="6"/>
  <c r="K1249" i="6"/>
  <c r="K1269" i="6"/>
  <c r="H1311" i="6"/>
  <c r="K1343" i="6"/>
  <c r="K1355" i="6"/>
  <c r="K1442" i="6"/>
  <c r="K1445" i="6"/>
  <c r="K1585" i="6"/>
  <c r="H1948" i="6"/>
  <c r="K1667" i="6"/>
  <c r="K1742" i="6"/>
  <c r="K1745" i="6"/>
  <c r="H1816" i="6"/>
  <c r="H1819" i="6"/>
  <c r="H1954" i="6"/>
  <c r="H1984" i="6"/>
  <c r="H1998" i="6"/>
  <c r="H950" i="6"/>
  <c r="H968" i="6"/>
  <c r="K999" i="6"/>
  <c r="H1044" i="6"/>
  <c r="K1152" i="6"/>
  <c r="K1176" i="6"/>
  <c r="K1422" i="6"/>
  <c r="H1628" i="6"/>
  <c r="K582" i="6"/>
  <c r="K588" i="6"/>
  <c r="H618" i="6"/>
  <c r="H632" i="6"/>
  <c r="K649" i="6"/>
  <c r="H655" i="6"/>
  <c r="K666" i="6"/>
  <c r="H676" i="6"/>
  <c r="K678" i="6"/>
  <c r="H699" i="6"/>
  <c r="H705" i="6"/>
  <c r="H708" i="6"/>
  <c r="H728" i="6"/>
  <c r="K751" i="6"/>
  <c r="K774" i="6"/>
  <c r="H780" i="6"/>
  <c r="H783" i="6"/>
  <c r="H799" i="6"/>
  <c r="K807" i="6"/>
  <c r="H830" i="6"/>
  <c r="K838" i="6"/>
  <c r="K870" i="6"/>
  <c r="H902" i="6"/>
  <c r="H907" i="6"/>
  <c r="H910" i="6"/>
  <c r="K924" i="6"/>
  <c r="K938" i="6"/>
  <c r="K950" i="6"/>
  <c r="H962" i="6"/>
  <c r="K982" i="6"/>
  <c r="H1077" i="6"/>
  <c r="H1086" i="6"/>
  <c r="K1126" i="6"/>
  <c r="H1153" i="6"/>
  <c r="H1206" i="6"/>
  <c r="H1279" i="6"/>
  <c r="K1287" i="6"/>
  <c r="K1296" i="6"/>
  <c r="K1305" i="6"/>
  <c r="H1320" i="6"/>
  <c r="H1373" i="6"/>
  <c r="H1431" i="6"/>
  <c r="K1451" i="6"/>
  <c r="H1457" i="6"/>
  <c r="H1577" i="6"/>
  <c r="K1613" i="6"/>
  <c r="H1625" i="6"/>
  <c r="K1670" i="6"/>
  <c r="K1736" i="6"/>
  <c r="H1746" i="6"/>
  <c r="H1764" i="6"/>
  <c r="K1779" i="6"/>
  <c r="K1819" i="6"/>
  <c r="H1876" i="6"/>
  <c r="K1936" i="6"/>
  <c r="K1942" i="6"/>
  <c r="H1987" i="6"/>
  <c r="H1000" i="6"/>
  <c r="K1077" i="6"/>
  <c r="K1098" i="6"/>
  <c r="K1101" i="6"/>
  <c r="K1121" i="6"/>
  <c r="K1132" i="6"/>
  <c r="H1165" i="6"/>
  <c r="H1878" i="6"/>
  <c r="K1584" i="6"/>
  <c r="H1590" i="6"/>
  <c r="K1653" i="6"/>
  <c r="K1672" i="6"/>
  <c r="K1778" i="6"/>
  <c r="K1821" i="6"/>
  <c r="K2020" i="6"/>
  <c r="K1530" i="6"/>
  <c r="K1550" i="6"/>
  <c r="H1571" i="6"/>
  <c r="H1599" i="6"/>
  <c r="K1610" i="6"/>
  <c r="H1642" i="6"/>
  <c r="H1645" i="6"/>
  <c r="H1648" i="6"/>
  <c r="K1664" i="6"/>
  <c r="K1727" i="6"/>
  <c r="K1750" i="6"/>
  <c r="K1764" i="6"/>
  <c r="K1767" i="6"/>
  <c r="H1796" i="6"/>
  <c r="K1804" i="6"/>
  <c r="H1825" i="6"/>
  <c r="K1847" i="6"/>
  <c r="K1861" i="6"/>
  <c r="K1869" i="6"/>
  <c r="K1872" i="6"/>
  <c r="K1878" i="6"/>
  <c r="K1895" i="6"/>
  <c r="H1908" i="6"/>
  <c r="K1930" i="6"/>
  <c r="H1608" i="6"/>
  <c r="H1637" i="6"/>
  <c r="H1708" i="6"/>
  <c r="K1748" i="6"/>
  <c r="H1768" i="6"/>
  <c r="H1774" i="6"/>
  <c r="H1783" i="6"/>
  <c r="K1799" i="6"/>
  <c r="K1805" i="6"/>
  <c r="K1811" i="6"/>
  <c r="H1823" i="6"/>
  <c r="H1826" i="6"/>
  <c r="K1848" i="6"/>
  <c r="H1865" i="6"/>
  <c r="K1876" i="6"/>
  <c r="K1931" i="6"/>
  <c r="K1961" i="6"/>
  <c r="K1970" i="6"/>
  <c r="K1987" i="6"/>
  <c r="K2012" i="6"/>
  <c r="K2015" i="6"/>
  <c r="K1143" i="6"/>
  <c r="H1179" i="6"/>
  <c r="H1315" i="6"/>
  <c r="H1375" i="6"/>
  <c r="K1386" i="6"/>
  <c r="H1406" i="6"/>
  <c r="K1443" i="6"/>
  <c r="K1446" i="6"/>
  <c r="H1489" i="6"/>
  <c r="H1498" i="6"/>
  <c r="K1512" i="6"/>
  <c r="K1520" i="6"/>
  <c r="H1537" i="6"/>
  <c r="K1657" i="6"/>
  <c r="H1714" i="6"/>
  <c r="K1734" i="6"/>
  <c r="H1757" i="6"/>
  <c r="K1768" i="6"/>
  <c r="K1920" i="6"/>
  <c r="K1964" i="6"/>
  <c r="K1019" i="6"/>
  <c r="K1022" i="6"/>
  <c r="H1031" i="6"/>
  <c r="K1048" i="6"/>
  <c r="K1072" i="6"/>
  <c r="K1113" i="6"/>
  <c r="H1122" i="6"/>
  <c r="H1144" i="6"/>
  <c r="H1147" i="6"/>
  <c r="H1167" i="6"/>
  <c r="H1210" i="6"/>
  <c r="K1306" i="6"/>
  <c r="K1372" i="6"/>
  <c r="K1420" i="6"/>
  <c r="H1432" i="6"/>
  <c r="H1444" i="6"/>
  <c r="K1454" i="6"/>
  <c r="H1466" i="6"/>
  <c r="K1489" i="6"/>
  <c r="K1498" i="6"/>
  <c r="K1557" i="6"/>
  <c r="K1569" i="6"/>
  <c r="K1586" i="6"/>
  <c r="K1646" i="6"/>
  <c r="K1668" i="6"/>
  <c r="K1702" i="6"/>
  <c r="K1717" i="6"/>
  <c r="H1729" i="6"/>
  <c r="H1766" i="6"/>
  <c r="K1797" i="6"/>
  <c r="H1806" i="6"/>
  <c r="H1817" i="6"/>
  <c r="K1826" i="6"/>
  <c r="H1849" i="6"/>
  <c r="H1883" i="6"/>
  <c r="H1946" i="6"/>
  <c r="K1948" i="6"/>
  <c r="K1951" i="6"/>
  <c r="H1988" i="6"/>
  <c r="K1406" i="6"/>
  <c r="K1432" i="6"/>
  <c r="K1523" i="6"/>
  <c r="H1567" i="6"/>
  <c r="H1589" i="6"/>
  <c r="K1594" i="6"/>
  <c r="K1626" i="6"/>
  <c r="H1663" i="6"/>
  <c r="H1666" i="6"/>
  <c r="H1686" i="6"/>
  <c r="H1803" i="6"/>
  <c r="H1809" i="6"/>
  <c r="H1858" i="6"/>
  <c r="H1900" i="6"/>
  <c r="K1926" i="6"/>
  <c r="H1957" i="6"/>
  <c r="H1968" i="6"/>
  <c r="K1971" i="6"/>
  <c r="H2013" i="6"/>
  <c r="K2016" i="6"/>
  <c r="K2019" i="6"/>
  <c r="K1763" i="6"/>
  <c r="H1781" i="6"/>
  <c r="K1786" i="6"/>
  <c r="K1800" i="6"/>
  <c r="K1806" i="6"/>
  <c r="K1843" i="6"/>
  <c r="K1871" i="6"/>
  <c r="K1897" i="6"/>
  <c r="K1943" i="6"/>
  <c r="K1982" i="6"/>
  <c r="K2013" i="6"/>
  <c r="H1455" i="6"/>
  <c r="K1466" i="6"/>
  <c r="H1481" i="6"/>
  <c r="K1510" i="6"/>
  <c r="H1712" i="6"/>
  <c r="K1070" i="6"/>
  <c r="K1073" i="6"/>
  <c r="H1131" i="6"/>
  <c r="K1170" i="6"/>
  <c r="H1191" i="6"/>
  <c r="K1221" i="6"/>
  <c r="H1327" i="6"/>
  <c r="H1345" i="6"/>
  <c r="H1376" i="6"/>
  <c r="K1396" i="6"/>
  <c r="K1424" i="6"/>
  <c r="K1441" i="6"/>
  <c r="K1526" i="6"/>
  <c r="K1581" i="6"/>
  <c r="K1612" i="6"/>
  <c r="K1658" i="6"/>
  <c r="K1663" i="6"/>
  <c r="H1741" i="6"/>
  <c r="H1807" i="6"/>
  <c r="H1821" i="6"/>
  <c r="K1852" i="6"/>
  <c r="H1892" i="6"/>
  <c r="K1918" i="6"/>
  <c r="H1944" i="6"/>
  <c r="H1969" i="6"/>
  <c r="H2014" i="6"/>
  <c r="K1014" i="6"/>
  <c r="K1020" i="6"/>
  <c r="K1023" i="6"/>
  <c r="H1026" i="6"/>
  <c r="H1068" i="6"/>
  <c r="H1094" i="6"/>
  <c r="H1120" i="6"/>
  <c r="H1174" i="6"/>
  <c r="H1211" i="6"/>
  <c r="K1216" i="6"/>
  <c r="K1227" i="6"/>
  <c r="H1290" i="6"/>
  <c r="H1296" i="6"/>
  <c r="H1322" i="6"/>
  <c r="H1333" i="6"/>
  <c r="H1436" i="6"/>
  <c r="K1478" i="6"/>
  <c r="H1493" i="6"/>
  <c r="K1499" i="6"/>
  <c r="K1532" i="6"/>
  <c r="H1576" i="6"/>
  <c r="K1592" i="6"/>
  <c r="K1650" i="6"/>
  <c r="H1664" i="6"/>
  <c r="K1669" i="6"/>
  <c r="K1678" i="6"/>
  <c r="K1741" i="6"/>
  <c r="K1755" i="6"/>
  <c r="K1772" i="6"/>
  <c r="H1790" i="6"/>
  <c r="H1810" i="6"/>
  <c r="H1832" i="6"/>
  <c r="H1966" i="6"/>
  <c r="H2000" i="6"/>
  <c r="K2002" i="6"/>
  <c r="H521" i="6"/>
  <c r="H127" i="6"/>
  <c r="K205" i="6"/>
  <c r="K295" i="6"/>
  <c r="H298" i="6"/>
  <c r="H346" i="6"/>
  <c r="K433" i="6"/>
  <c r="H463" i="6"/>
  <c r="K511" i="6"/>
  <c r="K851" i="6"/>
  <c r="H854" i="6"/>
  <c r="K860" i="6"/>
  <c r="K78" i="6"/>
  <c r="K217" i="6"/>
  <c r="H519" i="6"/>
  <c r="H228" i="6"/>
  <c r="K250" i="6"/>
  <c r="H117" i="6"/>
  <c r="H790" i="6"/>
  <c r="K114" i="6"/>
  <c r="H226" i="6"/>
  <c r="H555" i="6"/>
  <c r="K700" i="6"/>
  <c r="H938" i="6"/>
  <c r="H240" i="6"/>
  <c r="K422" i="6"/>
  <c r="H603" i="6"/>
  <c r="H710" i="6"/>
  <c r="K854" i="6"/>
  <c r="H928" i="6"/>
  <c r="K158" i="6"/>
  <c r="K163" i="6"/>
  <c r="H183" i="6"/>
  <c r="H717" i="6"/>
  <c r="H62" i="6"/>
  <c r="K202" i="6"/>
  <c r="K268" i="6"/>
  <c r="K62" i="6"/>
  <c r="H511" i="6"/>
  <c r="H1703" i="6"/>
  <c r="H41" i="6"/>
  <c r="K57" i="6"/>
  <c r="K107" i="6"/>
  <c r="H118" i="6"/>
  <c r="H38" i="6"/>
  <c r="K88" i="6"/>
  <c r="H102" i="6"/>
  <c r="H110" i="6"/>
  <c r="K143" i="6"/>
  <c r="K175" i="6"/>
  <c r="K178" i="6"/>
  <c r="K181" i="6"/>
  <c r="K195" i="6"/>
  <c r="K224" i="6"/>
  <c r="H255" i="6"/>
  <c r="K346" i="6"/>
  <c r="H382" i="6"/>
  <c r="H461" i="6"/>
  <c r="K463" i="6"/>
  <c r="K466" i="6"/>
  <c r="K539" i="6"/>
  <c r="K679" i="6"/>
  <c r="K741" i="6"/>
  <c r="H788" i="6"/>
  <c r="K928" i="6"/>
  <c r="K46" i="6"/>
  <c r="K93" i="6"/>
  <c r="H690" i="6"/>
  <c r="K162" i="6"/>
  <c r="K615" i="6"/>
  <c r="K626" i="6"/>
  <c r="K772" i="6"/>
  <c r="H1300" i="6"/>
  <c r="H847" i="6"/>
  <c r="K1263" i="6"/>
  <c r="H156" i="6"/>
  <c r="H731" i="6"/>
  <c r="H120" i="6"/>
  <c r="H223" i="6"/>
  <c r="H474" i="6"/>
  <c r="K153" i="6"/>
  <c r="K239" i="6"/>
  <c r="H422" i="6"/>
  <c r="H650" i="6"/>
  <c r="H1149" i="6"/>
  <c r="K2021" i="6"/>
  <c r="K341" i="6"/>
  <c r="H523" i="6"/>
  <c r="H450" i="6"/>
  <c r="K33" i="6"/>
  <c r="K36" i="6"/>
  <c r="H64" i="6"/>
  <c r="H67" i="6"/>
  <c r="K94" i="6"/>
  <c r="H97" i="6"/>
  <c r="H158" i="6"/>
  <c r="K165" i="6"/>
  <c r="H176" i="6"/>
  <c r="H201" i="6"/>
  <c r="K258" i="6"/>
  <c r="K280" i="6"/>
  <c r="H286" i="6"/>
  <c r="H316" i="6"/>
  <c r="H442" i="6"/>
  <c r="K450" i="6"/>
  <c r="H490" i="6"/>
  <c r="H613" i="6"/>
  <c r="H753" i="6"/>
  <c r="K886" i="6"/>
  <c r="K980" i="6"/>
  <c r="H65" i="6"/>
  <c r="K30" i="6"/>
  <c r="H219" i="6"/>
  <c r="N9" i="6"/>
  <c r="K72" i="6"/>
  <c r="H207" i="6"/>
  <c r="H250" i="6"/>
  <c r="H256" i="6"/>
  <c r="K336" i="6"/>
  <c r="K439" i="6"/>
  <c r="H565" i="6"/>
  <c r="K573" i="6"/>
  <c r="K576" i="6"/>
  <c r="K610" i="6"/>
  <c r="H663" i="6"/>
  <c r="K665" i="6"/>
  <c r="K719" i="6"/>
  <c r="K742" i="6"/>
  <c r="K900" i="6"/>
  <c r="K951" i="6"/>
  <c r="H165" i="6"/>
  <c r="H170" i="6"/>
  <c r="K180" i="6"/>
  <c r="K188" i="6"/>
  <c r="K207" i="6"/>
  <c r="H217" i="6"/>
  <c r="K219" i="6"/>
  <c r="K236" i="6"/>
  <c r="K244" i="6"/>
  <c r="K252" i="6"/>
  <c r="K270" i="6"/>
  <c r="H305" i="6"/>
  <c r="K335" i="6"/>
  <c r="K338" i="6"/>
  <c r="K353" i="6"/>
  <c r="H367" i="6"/>
  <c r="K369" i="6"/>
  <c r="K489" i="6"/>
  <c r="H497" i="6"/>
  <c r="K510" i="6"/>
  <c r="K518" i="6"/>
  <c r="H573" i="6"/>
  <c r="K578" i="6"/>
  <c r="H581" i="6"/>
  <c r="H623" i="6"/>
  <c r="K692" i="6"/>
  <c r="K695" i="6"/>
  <c r="K714" i="6"/>
  <c r="K823" i="6"/>
  <c r="H873" i="6"/>
  <c r="K878" i="6"/>
  <c r="K881" i="6"/>
  <c r="K991" i="6"/>
  <c r="K1049" i="6"/>
  <c r="H1382" i="6"/>
  <c r="H467" i="6"/>
  <c r="H534" i="6"/>
  <c r="K863" i="6"/>
  <c r="H931" i="6"/>
  <c r="H967" i="6"/>
  <c r="K1425" i="6"/>
  <c r="K22" i="6"/>
  <c r="K25" i="6"/>
  <c r="K28" i="6"/>
  <c r="H34" i="6"/>
  <c r="H50" i="6"/>
  <c r="K73" i="6"/>
  <c r="K97" i="6"/>
  <c r="K141" i="6"/>
  <c r="H149" i="6"/>
  <c r="K151" i="6"/>
  <c r="H192" i="6"/>
  <c r="H199" i="6"/>
  <c r="K222" i="6"/>
  <c r="H235" i="6"/>
  <c r="K261" i="6"/>
  <c r="K400" i="6"/>
  <c r="K405" i="6"/>
  <c r="K418" i="6"/>
  <c r="H428" i="6"/>
  <c r="K495" i="6"/>
  <c r="H498" i="6"/>
  <c r="H517" i="6"/>
  <c r="K547" i="6"/>
  <c r="K555" i="6"/>
  <c r="K585" i="6"/>
  <c r="K600" i="6"/>
  <c r="H619" i="6"/>
  <c r="K658" i="6"/>
  <c r="K677" i="6"/>
  <c r="H680" i="6"/>
  <c r="H754" i="6"/>
  <c r="K759" i="6"/>
  <c r="K830" i="6"/>
  <c r="K833" i="6"/>
  <c r="H845" i="6"/>
  <c r="H871" i="6"/>
  <c r="K909" i="6"/>
  <c r="K917" i="6"/>
  <c r="H1028" i="6"/>
  <c r="K1088" i="6"/>
  <c r="K1957" i="6"/>
  <c r="H347" i="6"/>
  <c r="K411" i="6"/>
  <c r="K443" i="6"/>
  <c r="H462" i="6"/>
  <c r="K475" i="6"/>
  <c r="K550" i="6"/>
  <c r="K624" i="6"/>
  <c r="H694" i="6"/>
  <c r="K743" i="6"/>
  <c r="H842" i="6"/>
  <c r="K893" i="6"/>
  <c r="K912" i="6"/>
  <c r="K920" i="6"/>
  <c r="H942" i="6"/>
  <c r="H990" i="6"/>
  <c r="K1017" i="6"/>
  <c r="H1020" i="6"/>
  <c r="K1242" i="6"/>
  <c r="H1372" i="6"/>
  <c r="K619" i="6"/>
  <c r="K640" i="6"/>
  <c r="H643" i="6"/>
  <c r="K648" i="6"/>
  <c r="K653" i="6"/>
  <c r="K669" i="6"/>
  <c r="K729" i="6"/>
  <c r="H828" i="6"/>
  <c r="K866" i="6"/>
  <c r="K888" i="6"/>
  <c r="K896" i="6"/>
  <c r="H915" i="6"/>
  <c r="K923" i="6"/>
  <c r="K939" i="6"/>
  <c r="K959" i="6"/>
  <c r="K1009" i="6"/>
  <c r="H1226" i="6"/>
  <c r="H1229" i="6"/>
  <c r="K1636" i="6"/>
  <c r="K240" i="6"/>
  <c r="R8" i="6"/>
  <c r="H131" i="6"/>
  <c r="K50" i="6"/>
  <c r="H197" i="6"/>
  <c r="K383" i="6"/>
  <c r="H37" i="6"/>
  <c r="K53" i="6"/>
  <c r="H61" i="6"/>
  <c r="K74" i="6"/>
  <c r="H77" i="6"/>
  <c r="H93" i="6"/>
  <c r="H142" i="6"/>
  <c r="K154" i="6"/>
  <c r="K174" i="6"/>
  <c r="K232" i="6"/>
  <c r="H238" i="6"/>
  <c r="K398" i="6"/>
  <c r="K431" i="6"/>
  <c r="K480" i="6"/>
  <c r="H598" i="6"/>
  <c r="H802" i="6"/>
  <c r="H883" i="6"/>
  <c r="H954" i="6"/>
  <c r="H1387" i="6"/>
  <c r="H1554" i="6"/>
  <c r="H209" i="6"/>
  <c r="K303" i="6"/>
  <c r="H311" i="6"/>
  <c r="K344" i="6"/>
  <c r="K423" i="6"/>
  <c r="K23" i="6"/>
  <c r="H45" i="6"/>
  <c r="K87" i="6"/>
  <c r="H109" i="6"/>
  <c r="H167" i="6"/>
  <c r="H202" i="6"/>
  <c r="K209" i="6"/>
  <c r="H221" i="6"/>
  <c r="K238" i="6"/>
  <c r="K243" i="6"/>
  <c r="K254" i="6"/>
  <c r="H277" i="6"/>
  <c r="K279" i="6"/>
  <c r="K355" i="6"/>
  <c r="H361" i="6"/>
  <c r="H449" i="6"/>
  <c r="K454" i="6"/>
  <c r="K465" i="6"/>
  <c r="H535" i="6"/>
  <c r="H548" i="6"/>
  <c r="K569" i="6"/>
  <c r="K598" i="6"/>
  <c r="K614" i="6"/>
  <c r="K630" i="6"/>
  <c r="K635" i="6"/>
  <c r="H649" i="6"/>
  <c r="K651" i="6"/>
  <c r="H654" i="6"/>
  <c r="H787" i="6"/>
  <c r="K789" i="6"/>
  <c r="H823" i="6"/>
  <c r="K828" i="6"/>
  <c r="K899" i="6"/>
  <c r="H943" i="6"/>
  <c r="H951" i="6"/>
  <c r="H1339" i="6"/>
  <c r="K1353" i="6"/>
  <c r="H47" i="6"/>
  <c r="H306" i="6"/>
  <c r="H294" i="6"/>
  <c r="K316" i="6"/>
  <c r="K29" i="6"/>
  <c r="K61" i="6"/>
  <c r="K77" i="6"/>
  <c r="H80" i="6"/>
  <c r="K98" i="6"/>
  <c r="H116" i="6"/>
  <c r="K118" i="6"/>
  <c r="K147" i="6"/>
  <c r="K182" i="6"/>
  <c r="K223" i="6"/>
  <c r="H249" i="6"/>
  <c r="H252" i="6"/>
  <c r="K257" i="6"/>
  <c r="H265" i="6"/>
  <c r="K287" i="6"/>
  <c r="H304" i="6"/>
  <c r="K350" i="6"/>
  <c r="K371" i="6"/>
  <c r="H379" i="6"/>
  <c r="H481" i="6"/>
  <c r="K499" i="6"/>
  <c r="H578" i="6"/>
  <c r="H596" i="6"/>
  <c r="K659" i="6"/>
  <c r="H662" i="6"/>
  <c r="K711" i="6"/>
  <c r="K727" i="6"/>
  <c r="K735" i="6"/>
  <c r="K749" i="6"/>
  <c r="K784" i="6"/>
  <c r="K872" i="6"/>
  <c r="H913" i="6"/>
  <c r="K954" i="6"/>
  <c r="K965" i="6"/>
  <c r="H991" i="6"/>
  <c r="H1002" i="6"/>
  <c r="H1348" i="6"/>
  <c r="K1534" i="6"/>
  <c r="K1537" i="6"/>
  <c r="H1107" i="6"/>
  <c r="K1147" i="6"/>
  <c r="K1189" i="6"/>
  <c r="K1293" i="6"/>
  <c r="K1361" i="6"/>
  <c r="K1004" i="6"/>
  <c r="K1007" i="6"/>
  <c r="H1013" i="6"/>
  <c r="H1034" i="6"/>
  <c r="K1039" i="6"/>
  <c r="K1042" i="6"/>
  <c r="H1070" i="6"/>
  <c r="K1080" i="6"/>
  <c r="K1096" i="6"/>
  <c r="H1121" i="6"/>
  <c r="K1212" i="6"/>
  <c r="K1251" i="6"/>
  <c r="K1256" i="6"/>
  <c r="H1325" i="6"/>
  <c r="H1397" i="6"/>
  <c r="H1527" i="6"/>
  <c r="H1941" i="6"/>
  <c r="H476" i="6"/>
  <c r="K478" i="6"/>
  <c r="K485" i="6"/>
  <c r="H491" i="6"/>
  <c r="K498" i="6"/>
  <c r="K523" i="6"/>
  <c r="K540" i="6"/>
  <c r="K565" i="6"/>
  <c r="H571" i="6"/>
  <c r="K584" i="6"/>
  <c r="K589" i="6"/>
  <c r="H627" i="6"/>
  <c r="K629" i="6"/>
  <c r="K685" i="6"/>
  <c r="H697" i="6"/>
  <c r="K702" i="6"/>
  <c r="K712" i="6"/>
  <c r="H715" i="6"/>
  <c r="K720" i="6"/>
  <c r="K736" i="6"/>
  <c r="H752" i="6"/>
  <c r="K757" i="6"/>
  <c r="H786" i="6"/>
  <c r="K815" i="6"/>
  <c r="K836" i="6"/>
  <c r="K876" i="6"/>
  <c r="H884" i="6"/>
  <c r="K903" i="6"/>
  <c r="K944" i="6"/>
  <c r="H947" i="6"/>
  <c r="K955" i="6"/>
  <c r="K986" i="6"/>
  <c r="K1086" i="6"/>
  <c r="H1116" i="6"/>
  <c r="K1118" i="6"/>
  <c r="H1194" i="6"/>
  <c r="K1215" i="6"/>
  <c r="K1328" i="6"/>
  <c r="H1340" i="6"/>
  <c r="H1380" i="6"/>
  <c r="H1298" i="6"/>
  <c r="H1073" i="6"/>
  <c r="K1097" i="6"/>
  <c r="H1186" i="6"/>
  <c r="H1224" i="6"/>
  <c r="H1469" i="6"/>
  <c r="K1609" i="6"/>
  <c r="K342" i="6"/>
  <c r="K401" i="6"/>
  <c r="K406" i="6"/>
  <c r="H429" i="6"/>
  <c r="H546" i="6"/>
  <c r="H561" i="6"/>
  <c r="H579" i="6"/>
  <c r="H620" i="6"/>
  <c r="K710" i="6"/>
  <c r="K803" i="6"/>
  <c r="H813" i="6"/>
  <c r="H819" i="6"/>
  <c r="H859" i="6"/>
  <c r="H890" i="6"/>
  <c r="H992" i="6"/>
  <c r="H1202" i="6"/>
  <c r="K1312" i="6"/>
  <c r="H1369" i="6"/>
  <c r="H1389" i="6"/>
  <c r="H1433" i="6"/>
  <c r="H1598" i="6"/>
  <c r="K293" i="6"/>
  <c r="K315" i="6"/>
  <c r="K352" i="6"/>
  <c r="K357" i="6"/>
  <c r="H368" i="6"/>
  <c r="K370" i="6"/>
  <c r="H385" i="6"/>
  <c r="H404" i="6"/>
  <c r="K414" i="6"/>
  <c r="H417" i="6"/>
  <c r="K459" i="6"/>
  <c r="K496" i="6"/>
  <c r="K504" i="6"/>
  <c r="K507" i="6"/>
  <c r="K538" i="6"/>
  <c r="K561" i="6"/>
  <c r="K579" i="6"/>
  <c r="K607" i="6"/>
  <c r="K617" i="6"/>
  <c r="K627" i="6"/>
  <c r="K667" i="6"/>
  <c r="K670" i="6"/>
  <c r="H743" i="6"/>
  <c r="K745" i="6"/>
  <c r="K808" i="6"/>
  <c r="K826" i="6"/>
  <c r="K859" i="6"/>
  <c r="H953" i="6"/>
  <c r="K966" i="6"/>
  <c r="K1000" i="6"/>
  <c r="H1014" i="6"/>
  <c r="H1022" i="6"/>
  <c r="K1027" i="6"/>
  <c r="K1035" i="6"/>
  <c r="K1119" i="6"/>
  <c r="K1168" i="6"/>
  <c r="K1186" i="6"/>
  <c r="K1202" i="6"/>
  <c r="K1204" i="6"/>
  <c r="K1270" i="6"/>
  <c r="H1276" i="6"/>
  <c r="K1281" i="6"/>
  <c r="K1292" i="6"/>
  <c r="H1310" i="6"/>
  <c r="H1601" i="6"/>
  <c r="K385" i="6"/>
  <c r="H402" i="6"/>
  <c r="K417" i="6"/>
  <c r="H454" i="6"/>
  <c r="K464" i="6"/>
  <c r="K469" i="6"/>
  <c r="K514" i="6"/>
  <c r="K546" i="6"/>
  <c r="H559" i="6"/>
  <c r="H592" i="6"/>
  <c r="H653" i="6"/>
  <c r="K660" i="6"/>
  <c r="K686" i="6"/>
  <c r="K718" i="6"/>
  <c r="K737" i="6"/>
  <c r="K771" i="6"/>
  <c r="H784" i="6"/>
  <c r="H794" i="6"/>
  <c r="K801" i="6"/>
  <c r="K869" i="6"/>
  <c r="H880" i="6"/>
  <c r="K906" i="6"/>
  <c r="K922" i="6"/>
  <c r="K969" i="6"/>
  <c r="H1041" i="6"/>
  <c r="H1052" i="6"/>
  <c r="K1057" i="6"/>
  <c r="K1076" i="6"/>
  <c r="K1106" i="6"/>
  <c r="K1197" i="6"/>
  <c r="H1200" i="6"/>
  <c r="H1244" i="6"/>
  <c r="K1284" i="6"/>
  <c r="K1358" i="6"/>
  <c r="K1436" i="6"/>
  <c r="K1458" i="6"/>
  <c r="K1794" i="6"/>
  <c r="H1350" i="6"/>
  <c r="K1444" i="6"/>
  <c r="K1474" i="6"/>
  <c r="K1545" i="6"/>
  <c r="K1561" i="6"/>
  <c r="H1631" i="6"/>
  <c r="K1708" i="6"/>
  <c r="K1711" i="6"/>
  <c r="K1801" i="6"/>
  <c r="K1981" i="6"/>
  <c r="H660" i="6"/>
  <c r="H685" i="6"/>
  <c r="K687" i="6"/>
  <c r="K690" i="6"/>
  <c r="K693" i="6"/>
  <c r="K753" i="6"/>
  <c r="K765" i="6"/>
  <c r="H768" i="6"/>
  <c r="K785" i="6"/>
  <c r="K797" i="6"/>
  <c r="K804" i="6"/>
  <c r="H809" i="6"/>
  <c r="H811" i="6"/>
  <c r="H837" i="6"/>
  <c r="H918" i="6"/>
  <c r="K930" i="6"/>
  <c r="K984" i="6"/>
  <c r="H1005" i="6"/>
  <c r="K1081" i="6"/>
  <c r="H1219" i="6"/>
  <c r="H1232" i="6"/>
  <c r="H1404" i="6"/>
  <c r="K1574" i="6"/>
  <c r="K1654" i="6"/>
  <c r="K1676" i="6"/>
  <c r="H688" i="6"/>
  <c r="K733" i="6"/>
  <c r="K768" i="6"/>
  <c r="K811" i="6"/>
  <c r="H872" i="6"/>
  <c r="K874" i="6"/>
  <c r="H911" i="6"/>
  <c r="K937" i="6"/>
  <c r="K952" i="6"/>
  <c r="K957" i="6"/>
  <c r="K992" i="6"/>
  <c r="K1036" i="6"/>
  <c r="K1055" i="6"/>
  <c r="H1063" i="6"/>
  <c r="K1068" i="6"/>
  <c r="H1118" i="6"/>
  <c r="K1128" i="6"/>
  <c r="K1155" i="6"/>
  <c r="K1208" i="6"/>
  <c r="K1307" i="6"/>
  <c r="H1318" i="6"/>
  <c r="H1351" i="6"/>
  <c r="K1397" i="6"/>
  <c r="K1535" i="6"/>
  <c r="H1566" i="6"/>
  <c r="K1884" i="6"/>
  <c r="K1916" i="6"/>
  <c r="K1922" i="6"/>
  <c r="H1305" i="6"/>
  <c r="K1591" i="6"/>
  <c r="H1750" i="6"/>
  <c r="K1179" i="6"/>
  <c r="K1198" i="6"/>
  <c r="K1243" i="6"/>
  <c r="K1246" i="6"/>
  <c r="H1267" i="6"/>
  <c r="H1289" i="6"/>
  <c r="K1415" i="6"/>
  <c r="H1429" i="6"/>
  <c r="H1485" i="6"/>
  <c r="K1527" i="6"/>
  <c r="K1624" i="6"/>
  <c r="K1823" i="6"/>
  <c r="K1854" i="6"/>
  <c r="H1870" i="6"/>
  <c r="K1908" i="6"/>
  <c r="H668" i="6"/>
  <c r="K756" i="6"/>
  <c r="K761" i="6"/>
  <c r="H774" i="6"/>
  <c r="K783" i="6"/>
  <c r="K805" i="6"/>
  <c r="H812" i="6"/>
  <c r="K817" i="6"/>
  <c r="H825" i="6"/>
  <c r="K827" i="6"/>
  <c r="K835" i="6"/>
  <c r="K846" i="6"/>
  <c r="H898" i="6"/>
  <c r="H901" i="6"/>
  <c r="K921" i="6"/>
  <c r="H926" i="6"/>
  <c r="K968" i="6"/>
  <c r="K978" i="6"/>
  <c r="K1011" i="6"/>
  <c r="K1034" i="6"/>
  <c r="K1053" i="6"/>
  <c r="K1082" i="6"/>
  <c r="H1085" i="6"/>
  <c r="K1087" i="6"/>
  <c r="H1093" i="6"/>
  <c r="K1116" i="6"/>
  <c r="H1148" i="6"/>
  <c r="K1171" i="6"/>
  <c r="K1185" i="6"/>
  <c r="K1230" i="6"/>
  <c r="K1286" i="6"/>
  <c r="K1335" i="6"/>
  <c r="H1338" i="6"/>
  <c r="H1384" i="6"/>
  <c r="K1459" i="6"/>
  <c r="K1462" i="6"/>
  <c r="K1479" i="6"/>
  <c r="K1504" i="6"/>
  <c r="K1507" i="6"/>
  <c r="H1528" i="6"/>
  <c r="H1636" i="6"/>
  <c r="H1860" i="6"/>
  <c r="H674" i="6"/>
  <c r="K704" i="6"/>
  <c r="K716" i="6"/>
  <c r="H722" i="6"/>
  <c r="H749" i="6"/>
  <c r="H781" i="6"/>
  <c r="K820" i="6"/>
  <c r="H833" i="6"/>
  <c r="K853" i="6"/>
  <c r="K861" i="6"/>
  <c r="K868" i="6"/>
  <c r="K880" i="6"/>
  <c r="H888" i="6"/>
  <c r="K898" i="6"/>
  <c r="H912" i="6"/>
  <c r="K926" i="6"/>
  <c r="K931" i="6"/>
  <c r="K943" i="6"/>
  <c r="H946" i="6"/>
  <c r="K948" i="6"/>
  <c r="K953" i="6"/>
  <c r="H1006" i="6"/>
  <c r="K1037" i="6"/>
  <c r="H1040" i="6"/>
  <c r="H1064" i="6"/>
  <c r="K1069" i="6"/>
  <c r="K1111" i="6"/>
  <c r="H1159" i="6"/>
  <c r="K1166" i="6"/>
  <c r="K1174" i="6"/>
  <c r="H1212" i="6"/>
  <c r="K1217" i="6"/>
  <c r="H1239" i="6"/>
  <c r="K1278" i="6"/>
  <c r="H1292" i="6"/>
  <c r="H1303" i="6"/>
  <c r="K1338" i="6"/>
  <c r="K1373" i="6"/>
  <c r="K1410" i="6"/>
  <c r="H1699" i="6"/>
  <c r="K1812" i="6"/>
  <c r="H1844" i="6"/>
  <c r="K1578" i="6"/>
  <c r="H1607" i="6"/>
  <c r="H1618" i="6"/>
  <c r="K1639" i="6"/>
  <c r="K1791" i="6"/>
  <c r="K1844" i="6"/>
  <c r="K1947" i="6"/>
  <c r="H1963" i="6"/>
  <c r="K1124" i="6"/>
  <c r="K1144" i="6"/>
  <c r="K1149" i="6"/>
  <c r="H1175" i="6"/>
  <c r="K1177" i="6"/>
  <c r="K1190" i="6"/>
  <c r="H1233" i="6"/>
  <c r="H1254" i="6"/>
  <c r="H1259" i="6"/>
  <c r="H1272" i="6"/>
  <c r="K1315" i="6"/>
  <c r="K1320" i="6"/>
  <c r="K1367" i="6"/>
  <c r="H1407" i="6"/>
  <c r="K1417" i="6"/>
  <c r="K1428" i="6"/>
  <c r="H1456" i="6"/>
  <c r="H1494" i="6"/>
  <c r="H1497" i="6"/>
  <c r="H1523" i="6"/>
  <c r="K1549" i="6"/>
  <c r="H1552" i="6"/>
  <c r="H1797" i="6"/>
  <c r="H1839" i="6"/>
  <c r="K2005" i="6"/>
  <c r="H1023" i="6"/>
  <c r="H1033" i="6"/>
  <c r="K1066" i="6"/>
  <c r="K1071" i="6"/>
  <c r="H1082" i="6"/>
  <c r="H1087" i="6"/>
  <c r="H1092" i="6"/>
  <c r="H1097" i="6"/>
  <c r="K1129" i="6"/>
  <c r="H1132" i="6"/>
  <c r="K1160" i="6"/>
  <c r="H1236" i="6"/>
  <c r="H1247" i="6"/>
  <c r="K1252" i="6"/>
  <c r="K1254" i="6"/>
  <c r="K1313" i="6"/>
  <c r="H1368" i="6"/>
  <c r="H1393" i="6"/>
  <c r="K1475" i="6"/>
  <c r="K1502" i="6"/>
  <c r="K1513" i="6"/>
  <c r="K1544" i="6"/>
  <c r="K1560" i="6"/>
  <c r="H1579" i="6"/>
  <c r="H1582" i="6"/>
  <c r="H1600" i="6"/>
  <c r="H1611" i="6"/>
  <c r="K1737" i="6"/>
  <c r="K1839" i="6"/>
  <c r="K1894" i="6"/>
  <c r="K1900" i="6"/>
  <c r="H2003" i="6"/>
  <c r="K1226" i="6"/>
  <c r="H1245" i="6"/>
  <c r="H1255" i="6"/>
  <c r="K1405" i="6"/>
  <c r="H1446" i="6"/>
  <c r="H1465" i="6"/>
  <c r="K1729" i="6"/>
  <c r="K1978" i="6"/>
  <c r="K1005" i="6"/>
  <c r="K1028" i="6"/>
  <c r="H1036" i="6"/>
  <c r="K1041" i="6"/>
  <c r="K1100" i="6"/>
  <c r="K1120" i="6"/>
  <c r="H1130" i="6"/>
  <c r="K1135" i="6"/>
  <c r="K1142" i="6"/>
  <c r="H1173" i="6"/>
  <c r="K1219" i="6"/>
  <c r="H1237" i="6"/>
  <c r="K1250" i="6"/>
  <c r="K1267" i="6"/>
  <c r="H1270" i="6"/>
  <c r="K1283" i="6"/>
  <c r="K1321" i="6"/>
  <c r="K1345" i="6"/>
  <c r="H1383" i="6"/>
  <c r="K1408" i="6"/>
  <c r="H1517" i="6"/>
  <c r="K1555" i="6"/>
  <c r="K1651" i="6"/>
  <c r="K1735" i="6"/>
  <c r="K1614" i="6"/>
  <c r="K1691" i="6"/>
  <c r="K1714" i="6"/>
  <c r="H1769" i="6"/>
  <c r="K1771" i="6"/>
  <c r="H1777" i="6"/>
  <c r="K1782" i="6"/>
  <c r="K1802" i="6"/>
  <c r="K1860" i="6"/>
  <c r="K1865" i="6"/>
  <c r="H1868" i="6"/>
  <c r="K1892" i="6"/>
  <c r="K2003" i="6"/>
  <c r="K2010" i="6"/>
  <c r="H1344" i="6"/>
  <c r="K1375" i="6"/>
  <c r="K1395" i="6"/>
  <c r="K1411" i="6"/>
  <c r="K1418" i="6"/>
  <c r="K1434" i="6"/>
  <c r="K1463" i="6"/>
  <c r="K1484" i="6"/>
  <c r="H1519" i="6"/>
  <c r="K1619" i="6"/>
  <c r="K1792" i="6"/>
  <c r="K1808" i="6"/>
  <c r="H1837" i="6"/>
  <c r="K1842" i="6"/>
  <c r="H1890" i="6"/>
  <c r="H1188" i="6"/>
  <c r="H1190" i="6"/>
  <c r="H1193" i="6"/>
  <c r="H1208" i="6"/>
  <c r="H1257" i="6"/>
  <c r="K1271" i="6"/>
  <c r="K1276" i="6"/>
  <c r="K1298" i="6"/>
  <c r="H1307" i="6"/>
  <c r="K1339" i="6"/>
  <c r="K1351" i="6"/>
  <c r="H1427" i="6"/>
  <c r="H1474" i="6"/>
  <c r="H1479" i="6"/>
  <c r="K1492" i="6"/>
  <c r="H1710" i="6"/>
  <c r="K1743" i="6"/>
  <c r="K1751" i="6"/>
  <c r="K1759" i="6"/>
  <c r="K1774" i="6"/>
  <c r="K1777" i="6"/>
  <c r="K1834" i="6"/>
  <c r="K1845" i="6"/>
  <c r="H1961" i="6"/>
  <c r="K1988" i="6"/>
  <c r="H1991" i="6"/>
  <c r="K1998" i="6"/>
  <c r="H1767" i="6"/>
  <c r="K1662" i="6"/>
  <c r="K1689" i="6"/>
  <c r="K1754" i="6"/>
  <c r="K1790" i="6"/>
  <c r="H1798" i="6"/>
  <c r="K1816" i="6"/>
  <c r="H1835" i="6"/>
  <c r="K1840" i="6"/>
  <c r="K1874" i="6"/>
  <c r="K1877" i="6"/>
  <c r="K1882" i="6"/>
  <c r="K1890" i="6"/>
  <c r="H1918" i="6"/>
  <c r="K1949" i="6"/>
  <c r="H1983" i="6"/>
  <c r="K1150" i="6"/>
  <c r="K1153" i="6"/>
  <c r="H1170" i="6"/>
  <c r="K1294" i="6"/>
  <c r="K1329" i="6"/>
  <c r="K1347" i="6"/>
  <c r="H1352" i="6"/>
  <c r="K1357" i="6"/>
  <c r="K1364" i="6"/>
  <c r="K1383" i="6"/>
  <c r="K1407" i="6"/>
  <c r="K1427" i="6"/>
  <c r="H1435" i="6"/>
  <c r="H1438" i="6"/>
  <c r="K1469" i="6"/>
  <c r="H1472" i="6"/>
  <c r="H1488" i="6"/>
  <c r="H1522" i="6"/>
  <c r="H1562" i="6"/>
  <c r="K1564" i="6"/>
  <c r="K1580" i="6"/>
  <c r="K1597" i="6"/>
  <c r="K1655" i="6"/>
  <c r="H1658" i="6"/>
  <c r="K1675" i="6"/>
  <c r="K1692" i="6"/>
  <c r="K1720" i="6"/>
  <c r="H1723" i="6"/>
  <c r="H1726" i="6"/>
  <c r="H1752" i="6"/>
  <c r="H1760" i="6"/>
  <c r="H1770" i="6"/>
  <c r="H1814" i="6"/>
  <c r="K1905" i="6"/>
  <c r="K1983" i="6"/>
  <c r="H1994" i="6"/>
  <c r="H1209" i="6"/>
  <c r="H1223" i="6"/>
  <c r="H1243" i="6"/>
  <c r="K1248" i="6"/>
  <c r="K1262" i="6"/>
  <c r="K1272" i="6"/>
  <c r="H1275" i="6"/>
  <c r="K1289" i="6"/>
  <c r="H1297" i="6"/>
  <c r="H1313" i="6"/>
  <c r="K1319" i="6"/>
  <c r="K1337" i="6"/>
  <c r="K1340" i="6"/>
  <c r="K1369" i="6"/>
  <c r="K1412" i="6"/>
  <c r="K1419" i="6"/>
  <c r="H1425" i="6"/>
  <c r="K1464" i="6"/>
  <c r="K1490" i="6"/>
  <c r="H1510" i="6"/>
  <c r="K1583" i="6"/>
  <c r="H1673" i="6"/>
  <c r="K1680" i="6"/>
  <c r="K1687" i="6"/>
  <c r="K1749" i="6"/>
  <c r="K1822" i="6"/>
  <c r="K1830" i="6"/>
  <c r="K1832" i="6"/>
  <c r="K1835" i="6"/>
  <c r="H1869" i="6"/>
  <c r="K1902" i="6"/>
  <c r="H1989" i="6"/>
  <c r="K1855" i="6"/>
  <c r="K1903" i="6"/>
  <c r="H1936" i="6"/>
  <c r="K1938" i="6"/>
  <c r="K1941" i="6"/>
  <c r="K1966" i="6"/>
  <c r="K1984" i="6"/>
  <c r="K1996" i="6"/>
  <c r="K2008" i="6"/>
  <c r="K1511" i="6"/>
  <c r="K1518" i="6"/>
  <c r="K1525" i="6"/>
  <c r="K1593" i="6"/>
  <c r="H1613" i="6"/>
  <c r="K1644" i="6"/>
  <c r="K1665" i="6"/>
  <c r="H1676" i="6"/>
  <c r="H1745" i="6"/>
  <c r="K1747" i="6"/>
  <c r="K1752" i="6"/>
  <c r="H1755" i="6"/>
  <c r="K1765" i="6"/>
  <c r="H1795" i="6"/>
  <c r="H1808" i="6"/>
  <c r="K1820" i="6"/>
  <c r="K1828" i="6"/>
  <c r="K1838" i="6"/>
  <c r="K1858" i="6"/>
  <c r="K1880" i="6"/>
  <c r="K1906" i="6"/>
  <c r="H1917" i="6"/>
  <c r="K1955" i="6"/>
  <c r="K1989" i="6"/>
  <c r="K1994" i="6"/>
  <c r="K2011" i="6"/>
  <c r="H2017" i="6"/>
  <c r="H1800" i="6"/>
  <c r="K1870" i="6"/>
  <c r="K1883" i="6"/>
  <c r="K1901" i="6"/>
  <c r="H1904" i="6"/>
  <c r="K1914" i="6"/>
  <c r="K1939" i="6"/>
  <c r="H1982" i="6"/>
  <c r="K1888" i="6"/>
  <c r="H1927" i="6"/>
  <c r="K1934" i="6"/>
  <c r="K1946" i="6"/>
  <c r="K1953" i="6"/>
  <c r="H1960" i="6"/>
  <c r="K2014" i="6"/>
  <c r="K1452" i="6"/>
  <c r="K1457" i="6"/>
  <c r="H1501" i="6"/>
  <c r="H1514" i="6"/>
  <c r="K1538" i="6"/>
  <c r="K1546" i="6"/>
  <c r="K1548" i="6"/>
  <c r="K1567" i="6"/>
  <c r="K1589" i="6"/>
  <c r="K1601" i="6"/>
  <c r="K1616" i="6"/>
  <c r="K1618" i="6"/>
  <c r="H1621" i="6"/>
  <c r="K1623" i="6"/>
  <c r="K1647" i="6"/>
  <c r="K1681" i="6"/>
  <c r="K1688" i="6"/>
  <c r="K1697" i="6"/>
  <c r="H1705" i="6"/>
  <c r="K1730" i="6"/>
  <c r="K1740" i="6"/>
  <c r="K1873" i="6"/>
  <c r="H1879" i="6"/>
  <c r="H1920" i="6"/>
  <c r="H1935" i="6"/>
  <c r="K1937" i="6"/>
  <c r="H1940" i="6"/>
  <c r="K1977" i="6"/>
  <c r="K1992" i="6"/>
  <c r="H1995" i="6"/>
  <c r="K2009" i="6"/>
  <c r="H2015" i="6"/>
  <c r="K1486" i="6"/>
  <c r="H1496" i="6"/>
  <c r="H1499" i="6"/>
  <c r="H1504" i="6"/>
  <c r="H1507" i="6"/>
  <c r="K1514" i="6"/>
  <c r="K1521" i="6"/>
  <c r="K1562" i="6"/>
  <c r="H1570" i="6"/>
  <c r="K1582" i="6"/>
  <c r="H1596" i="6"/>
  <c r="H1609" i="6"/>
  <c r="H1614" i="6"/>
  <c r="K1635" i="6"/>
  <c r="K1733" i="6"/>
  <c r="K1753" i="6"/>
  <c r="K1788" i="6"/>
  <c r="K1803" i="6"/>
  <c r="K1846" i="6"/>
  <c r="H1854" i="6"/>
  <c r="K1881" i="6"/>
  <c r="K1891" i="6"/>
  <c r="K1896" i="6"/>
  <c r="K1899" i="6"/>
  <c r="K1907" i="6"/>
  <c r="K1925" i="6"/>
  <c r="K1944" i="6"/>
  <c r="K1995" i="6"/>
  <c r="H2012" i="6"/>
  <c r="H152" i="6"/>
  <c r="C14" i="5"/>
  <c r="C15" i="5" s="1"/>
  <c r="C10" i="5"/>
  <c r="C6" i="5"/>
  <c r="C25" i="4"/>
  <c r="C24" i="4"/>
  <c r="C22" i="4"/>
  <c r="C23" i="4" s="1"/>
  <c r="S7" i="6"/>
  <c r="R7" i="6"/>
  <c r="H88" i="6"/>
  <c r="H244" i="6"/>
  <c r="H99" i="6"/>
  <c r="H104" i="6"/>
  <c r="H188" i="6"/>
  <c r="H30" i="6"/>
  <c r="H332" i="6"/>
  <c r="Q7" i="6"/>
  <c r="H82" i="6"/>
  <c r="K124" i="6"/>
  <c r="H502" i="6"/>
  <c r="K605" i="6"/>
  <c r="R9" i="6"/>
  <c r="H26" i="6"/>
  <c r="H57" i="6"/>
  <c r="O7" i="6"/>
  <c r="C8" i="4"/>
  <c r="H441" i="6"/>
  <c r="H310" i="6"/>
  <c r="S9" i="6"/>
  <c r="P7" i="6"/>
  <c r="K156" i="6"/>
  <c r="K203" i="6"/>
  <c r="H261" i="6"/>
  <c r="H322" i="6"/>
  <c r="K448" i="6"/>
  <c r="H515" i="6"/>
  <c r="H413" i="6"/>
  <c r="H541" i="6"/>
  <c r="H23" i="6"/>
  <c r="H71" i="6"/>
  <c r="K215" i="6"/>
  <c r="H241" i="6"/>
  <c r="K290" i="6"/>
  <c r="H342" i="6"/>
  <c r="K44" i="6"/>
  <c r="K92" i="6"/>
  <c r="H318" i="6"/>
  <c r="H338" i="6"/>
  <c r="H151" i="6"/>
  <c r="K172" i="6"/>
  <c r="H278" i="6"/>
  <c r="N8" i="6"/>
  <c r="H66" i="6"/>
  <c r="H153" i="6"/>
  <c r="H336" i="6"/>
  <c r="H496" i="6"/>
  <c r="H312" i="6"/>
  <c r="H334" i="6"/>
  <c r="O8" i="6"/>
  <c r="H89" i="6"/>
  <c r="H421" i="6"/>
  <c r="H585" i="6"/>
  <c r="P9" i="6"/>
  <c r="O9" i="6"/>
  <c r="H119" i="6"/>
  <c r="P8" i="6"/>
  <c r="Q8" i="6"/>
  <c r="H214" i="6"/>
  <c r="Q9" i="6"/>
  <c r="S8" i="6"/>
  <c r="K108" i="6"/>
  <c r="H128" i="6"/>
  <c r="H130" i="6"/>
  <c r="K272" i="6"/>
  <c r="H489" i="6"/>
  <c r="K410" i="6"/>
  <c r="K458" i="6"/>
  <c r="H482" i="6"/>
  <c r="H484" i="6"/>
  <c r="H683" i="6"/>
  <c r="K471" i="6"/>
  <c r="H563" i="6"/>
  <c r="K570" i="6"/>
  <c r="H582" i="6"/>
  <c r="H587" i="6"/>
  <c r="H624" i="6"/>
  <c r="H737" i="6"/>
  <c r="H791" i="6"/>
  <c r="H664" i="6"/>
  <c r="H727" i="6"/>
  <c r="H810" i="6"/>
  <c r="K314" i="6"/>
  <c r="K330" i="6"/>
  <c r="H340" i="6"/>
  <c r="H373" i="6"/>
  <c r="K394" i="6"/>
  <c r="K442" i="6"/>
  <c r="H459" i="6"/>
  <c r="K474" i="6"/>
  <c r="K519" i="6"/>
  <c r="H642" i="6"/>
  <c r="H388" i="6"/>
  <c r="H390" i="6"/>
  <c r="H438" i="6"/>
  <c r="H500" i="6"/>
  <c r="H485" i="6"/>
  <c r="H735" i="6"/>
  <c r="H896" i="6"/>
  <c r="K267" i="6"/>
  <c r="K282" i="6"/>
  <c r="K299" i="6"/>
  <c r="K487" i="6"/>
  <c r="K599" i="6"/>
  <c r="K813" i="6"/>
  <c r="K384" i="6"/>
  <c r="H395" i="6"/>
  <c r="K432" i="6"/>
  <c r="H477" i="6"/>
  <c r="K522" i="6"/>
  <c r="K378" i="6"/>
  <c r="H602" i="6"/>
  <c r="K625" i="6"/>
  <c r="H325" i="6"/>
  <c r="H333" i="6"/>
  <c r="H341" i="6"/>
  <c r="K490" i="6"/>
  <c r="K535" i="6"/>
  <c r="H609" i="6"/>
  <c r="K616" i="6"/>
  <c r="K703" i="6"/>
  <c r="H706" i="6"/>
  <c r="K251" i="6"/>
  <c r="K313" i="6"/>
  <c r="K329" i="6"/>
  <c r="K416" i="6"/>
  <c r="K503" i="6"/>
  <c r="K567" i="6"/>
  <c r="H600" i="6"/>
  <c r="H651" i="6"/>
  <c r="H684" i="6"/>
  <c r="K857" i="6"/>
  <c r="H761" i="6"/>
  <c r="H765" i="6"/>
  <c r="H832" i="6"/>
  <c r="H843" i="6"/>
  <c r="H862" i="6"/>
  <c r="H972" i="6"/>
  <c r="H733" i="6"/>
  <c r="H763" i="6"/>
  <c r="H948" i="6"/>
  <c r="H1037" i="6"/>
  <c r="H1103" i="6"/>
  <c r="H747" i="6"/>
  <c r="H1035" i="6"/>
  <c r="H1053" i="6"/>
  <c r="H924" i="6"/>
  <c r="H1027" i="6"/>
  <c r="H1091" i="6"/>
  <c r="H604" i="6"/>
  <c r="H700" i="6"/>
  <c r="K818" i="6"/>
  <c r="K839" i="6"/>
  <c r="K879" i="6"/>
  <c r="K901" i="6"/>
  <c r="K910" i="6"/>
  <c r="K946" i="6"/>
  <c r="K593" i="6"/>
  <c r="K657" i="6"/>
  <c r="K706" i="6"/>
  <c r="K856" i="6"/>
  <c r="K890" i="6"/>
  <c r="K970" i="6"/>
  <c r="K987" i="6"/>
  <c r="K1151" i="6"/>
  <c r="H588" i="6"/>
  <c r="K674" i="6"/>
  <c r="K689" i="6"/>
  <c r="K802" i="6"/>
  <c r="K814" i="6"/>
  <c r="H861" i="6"/>
  <c r="K641" i="6"/>
  <c r="K722" i="6"/>
  <c r="K738" i="6"/>
  <c r="K754" i="6"/>
  <c r="K770" i="6"/>
  <c r="K786" i="6"/>
  <c r="K867" i="6"/>
  <c r="K904" i="6"/>
  <c r="H1069" i="6"/>
  <c r="H959" i="6"/>
  <c r="H1059" i="6"/>
  <c r="K734" i="6"/>
  <c r="K750" i="6"/>
  <c r="K766" i="6"/>
  <c r="K782" i="6"/>
  <c r="K840" i="6"/>
  <c r="H855" i="6"/>
  <c r="H952" i="6"/>
  <c r="H1021" i="6"/>
  <c r="H1192" i="6"/>
  <c r="H1221" i="6"/>
  <c r="K1237" i="6"/>
  <c r="H1306" i="6"/>
  <c r="H999" i="6"/>
  <c r="H1015" i="6"/>
  <c r="H1039" i="6"/>
  <c r="H1047" i="6"/>
  <c r="H1071" i="6"/>
  <c r="H1095" i="6"/>
  <c r="H1141" i="6"/>
  <c r="H1181" i="6"/>
  <c r="H895" i="6"/>
  <c r="H1124" i="6"/>
  <c r="H1156" i="6"/>
  <c r="K1435" i="6"/>
  <c r="H1277" i="6"/>
  <c r="K1156" i="6"/>
  <c r="K1224" i="6"/>
  <c r="K1331" i="6"/>
  <c r="H1415" i="6"/>
  <c r="H1169" i="6"/>
  <c r="H1199" i="6"/>
  <c r="K1233" i="6"/>
  <c r="K956" i="6"/>
  <c r="H975" i="6"/>
  <c r="K988" i="6"/>
  <c r="H1150" i="6"/>
  <c r="H1102" i="6"/>
  <c r="K1108" i="6"/>
  <c r="H863" i="6"/>
  <c r="H927" i="6"/>
  <c r="H1054" i="6"/>
  <c r="K1172" i="6"/>
  <c r="K1244" i="6"/>
  <c r="H1180" i="6"/>
  <c r="K852" i="6"/>
  <c r="K916" i="6"/>
  <c r="K964" i="6"/>
  <c r="K1187" i="6"/>
  <c r="K1206" i="6"/>
  <c r="H1271" i="6"/>
  <c r="H1355" i="6"/>
  <c r="K1191" i="6"/>
  <c r="K1255" i="6"/>
  <c r="K1309" i="6"/>
  <c r="H1370" i="6"/>
  <c r="K1261" i="6"/>
  <c r="K1288" i="6"/>
  <c r="K1370" i="6"/>
  <c r="H1308" i="6"/>
  <c r="H1256" i="6"/>
  <c r="H1381" i="6"/>
  <c r="K1277" i="6"/>
  <c r="K1304" i="6"/>
  <c r="K1310" i="6"/>
  <c r="K1404" i="6"/>
  <c r="H1478" i="6"/>
  <c r="H1334" i="6"/>
  <c r="H1356" i="6"/>
  <c r="K1207" i="6"/>
  <c r="K1330" i="6"/>
  <c r="H1401" i="6"/>
  <c r="K1266" i="6"/>
  <c r="K1299" i="6"/>
  <c r="K1346" i="6"/>
  <c r="K1352" i="6"/>
  <c r="H1412" i="6"/>
  <c r="H1286" i="6"/>
  <c r="H1323" i="6"/>
  <c r="K1403" i="6"/>
  <c r="K1439" i="6"/>
  <c r="K1607" i="6"/>
  <c r="H1586" i="6"/>
  <c r="K1541" i="6"/>
  <c r="H1568" i="6"/>
  <c r="H1475" i="6"/>
  <c r="H1557" i="6"/>
  <c r="H1288" i="6"/>
  <c r="H1392" i="6"/>
  <c r="H1473" i="6"/>
  <c r="K1508" i="6"/>
  <c r="H1396" i="6"/>
  <c r="H1534" i="6"/>
  <c r="K1656" i="6"/>
  <c r="H1336" i="6"/>
  <c r="K1465" i="6"/>
  <c r="K1482" i="6"/>
  <c r="H1707" i="6"/>
  <c r="H1574" i="6"/>
  <c r="H1470" i="6"/>
  <c r="K1476" i="6"/>
  <c r="K1497" i="6"/>
  <c r="K1524" i="6"/>
  <c r="K1540" i="6"/>
  <c r="H1681" i="6"/>
  <c r="K1660" i="6"/>
  <c r="K1683" i="6"/>
  <c r="K1716" i="6"/>
  <c r="K1699" i="6"/>
  <c r="H1434" i="6"/>
  <c r="K1552" i="6"/>
  <c r="H1629" i="6"/>
  <c r="H1492" i="6"/>
  <c r="H1742" i="6"/>
  <c r="K1488" i="6"/>
  <c r="K1588" i="6"/>
  <c r="H1606" i="6"/>
  <c r="K1652" i="6"/>
  <c r="H1671" i="6"/>
  <c r="H1689" i="6"/>
  <c r="H1418" i="6"/>
  <c r="H1619" i="6"/>
  <c r="K1460" i="6"/>
  <c r="K1570" i="6"/>
  <c r="K1621" i="6"/>
  <c r="K1722" i="6"/>
  <c r="H1630" i="6"/>
  <c r="H1639" i="6"/>
  <c r="K1648" i="6"/>
  <c r="K1666" i="6"/>
  <c r="H1583" i="6"/>
  <c r="H1615" i="6"/>
  <c r="K1615" i="6"/>
  <c r="H1690" i="6"/>
  <c r="K1701" i="6"/>
  <c r="K1784" i="6"/>
  <c r="K1685" i="6"/>
  <c r="H1736" i="6"/>
  <c r="K1818" i="6"/>
  <c r="H1675" i="6"/>
  <c r="H1719" i="6"/>
  <c r="H1801" i="6"/>
  <c r="H1641" i="6"/>
  <c r="H1696" i="6"/>
  <c r="K1775" i="6"/>
  <c r="K1780" i="6"/>
  <c r="H1836" i="6"/>
  <c r="K1556" i="6"/>
  <c r="K1671" i="6"/>
  <c r="K1898" i="6"/>
  <c r="H1647" i="6"/>
  <c r="H1551" i="6"/>
  <c r="K1604" i="6"/>
  <c r="K1649" i="6"/>
  <c r="K1659" i="6"/>
  <c r="K1773" i="6"/>
  <c r="H1735" i="6"/>
  <c r="H1765" i="6"/>
  <c r="H1831" i="6"/>
  <c r="H1850" i="6"/>
  <c r="H1855" i="6"/>
  <c r="H1776" i="6"/>
  <c r="H1877" i="6"/>
  <c r="H1949" i="6"/>
  <c r="K1620" i="6"/>
  <c r="K1731" i="6"/>
  <c r="K1739" i="6"/>
  <c r="K1904" i="6"/>
  <c r="H1889" i="6"/>
  <c r="K1963" i="6"/>
  <c r="H1992" i="6"/>
  <c r="K1867" i="6"/>
  <c r="H1887" i="6"/>
  <c r="H1824" i="6"/>
  <c r="H1925" i="6"/>
  <c r="K1710" i="6"/>
  <c r="K1712" i="6"/>
  <c r="K1824" i="6"/>
  <c r="H1852" i="6"/>
  <c r="K1924" i="6"/>
  <c r="K1973" i="6"/>
  <c r="H2011" i="6"/>
  <c r="H1945" i="6"/>
  <c r="H1999" i="6"/>
  <c r="H1856" i="6"/>
  <c r="H1737" i="6"/>
  <c r="K1856" i="6"/>
  <c r="H1899" i="6"/>
  <c r="H1913" i="6"/>
  <c r="K1972" i="6"/>
  <c r="K1893" i="6"/>
  <c r="K1909" i="6"/>
  <c r="K1980" i="6"/>
  <c r="H1993" i="6"/>
  <c r="K1694" i="6"/>
  <c r="K1696" i="6"/>
  <c r="K1726" i="6"/>
  <c r="K1728" i="6"/>
  <c r="K1758" i="6"/>
  <c r="K1781" i="6"/>
  <c r="H1952" i="6"/>
  <c r="K1956" i="6"/>
  <c r="K1940" i="6"/>
  <c r="K1952" i="6"/>
  <c r="N19" i="6" l="1"/>
  <c r="P10" i="6"/>
  <c r="O10" i="6"/>
  <c r="N18" i="6"/>
  <c r="N15" i="6"/>
  <c r="N14" i="6"/>
  <c r="N13" i="6"/>
  <c r="N10" i="6"/>
  <c r="R10" i="6"/>
  <c r="Q10" i="6"/>
  <c r="S10" i="6"/>
</calcChain>
</file>

<file path=xl/sharedStrings.xml><?xml version="1.0" encoding="utf-8"?>
<sst xmlns="http://schemas.openxmlformats.org/spreadsheetml/2006/main" count="352" uniqueCount="298">
  <si>
    <t>The Economics of Transformative AI</t>
  </si>
  <si>
    <t>Reproducible model of the "Back-of-napkin" AI compute &amp; revenue calculations</t>
  </si>
  <si>
    <t>Companion workbook to the Part 1+2 report. Prepared for Justin (Arcadia Impact). Build date 2026-06-14.</t>
  </si>
  <si>
    <t xml:space="preserve">  Purpose</t>
  </si>
  <si>
    <t>Faithfully reproduces every figure in the source Google Doc, documents and sources all inputs, runs the</t>
  </si>
  <si>
    <t>logic three independent ways for 2031, and stress-tests the tenuous parameters with a live Monte Carlo.</t>
  </si>
  <si>
    <t xml:space="preserve">  Sheet guide</t>
  </si>
  <si>
    <t>Inputs &amp; Sources</t>
  </si>
  <si>
    <t>Every hardcoded input, its value, units, source link and a confidence flag. Single source of truth.</t>
  </si>
  <si>
    <t>2026 Baseline</t>
  </si>
  <si>
    <t>Concurrent copies, revenue-per-chip, and the Anthropic &amp; DeepSeek per-model case studies.</t>
  </si>
  <si>
    <t>2031 Projection</t>
  </si>
  <si>
    <t>Compute stock, copies, and the three revenue estimates (GPU/chip, model-based, token-based).</t>
  </si>
  <si>
    <t>Scale &amp; Human</t>
  </si>
  <si>
    <t>Internet-equivalent output and the LLM-vs-human-cognition comparison.</t>
  </si>
  <si>
    <t>Monte Carlo</t>
  </si>
  <si>
    <t>Live 2,000-trial in-sheet simulation of 2031 revenue + human-parity, with percentiles &amp; sensitivity.</t>
  </si>
  <si>
    <t>Scenario L/B/H</t>
  </si>
  <si>
    <t>Deterministic low / base / high tornado on each uncertain driver.</t>
  </si>
  <si>
    <t xml:space="preserve">  Colour legend (financial-model convention)</t>
  </si>
  <si>
    <t>Blue text</t>
  </si>
  <si>
    <t>Hardcoded input / assumption you can change</t>
  </si>
  <si>
    <t>Black text</t>
  </si>
  <si>
    <t>Formula / calculation</t>
  </si>
  <si>
    <t>Green text</t>
  </si>
  <si>
    <t>Link to another sheet in this workbook</t>
  </si>
  <si>
    <t>Yellow fill</t>
  </si>
  <si>
    <t>Key assumption that most needs scrutiny</t>
  </si>
  <si>
    <t>NOTE: Headline figures (e.g. $2T) reproduce the doc exactly. Cells flagged purple carry an analyst note (hover).</t>
  </si>
  <si>
    <t>All hardcoded inputs. Blue = change these. Sources are live links; confidence: [E]stablished / [C]ontested / [S]peculative.</t>
  </si>
  <si>
    <t>Parameter</t>
  </si>
  <si>
    <t>Value</t>
  </si>
  <si>
    <t>Unit</t>
  </si>
  <si>
    <t>Source</t>
  </si>
  <si>
    <t>Conf.</t>
  </si>
  <si>
    <t>Analyst note</t>
  </si>
  <si>
    <t xml:space="preserve">  2026 BASELINE</t>
  </si>
  <si>
    <t>Global AI compute stock, 2026</t>
  </si>
  <si>
    <t>H100e</t>
  </si>
  <si>
    <t>Epoch AI (2025 report: ~16.5M end-2025)</t>
  </si>
  <si>
    <t>C</t>
  </si>
  <si>
    <t>Doc uses 20M. Epoch published ~16.5M at end-2025; 20M is plausible/slightly conservative for mid-2026 at 3.3x/yr.</t>
  </si>
  <si>
    <t>H100e to run one frontier copy (1.6T params)</t>
  </si>
  <si>
    <t>DeepSeek V4 (1.6T MoE) deploy footprint</t>
  </si>
  <si>
    <t>~1.6TB FP8 weights / 80GB = 20 GPUs + KV/overhead ~ 24. Order-of-magnitude.</t>
  </si>
  <si>
    <t>Industry LLM-serving revenue, 2026</t>
  </si>
  <si>
    <t>USD/yr</t>
  </si>
  <si>
    <t>Anthropic ~$45B + OpenAI ~$25B + others</t>
  </si>
  <si>
    <t>OpenAI+Anthropic alone ~$70B (doc said $80B). $100B incl. Google/MSFT/xAI/DeepSeek is reasonable.</t>
  </si>
  <si>
    <t>Anthropic ARR, 2026</t>
  </si>
  <si>
    <t>SemiAnalysis / Simon Willison (run-rate ~$45-47B)</t>
  </si>
  <si>
    <t>E</t>
  </si>
  <si>
    <t>Matches doc.</t>
  </si>
  <si>
    <t>Anthropic inference fleet</t>
  </si>
  <si>
    <t>Inferred; total fleet ~2M H100e (1.3M Trn2 + 1M TPUv7 + ~220k GPU)</t>
  </si>
  <si>
    <t>Doc treats 1M as inference-only. Total fleet ~2M, so rev/TOTAL-chip ~$22k.</t>
  </si>
  <si>
    <t>DeepSeek output throughput</t>
  </si>
  <si>
    <t>tok/s/GPU</t>
  </si>
  <si>
    <t>Doc (FP4/8 batch inference)</t>
  </si>
  <si>
    <t>Aggregate batched throughput; per-user is far lower.</t>
  </si>
  <si>
    <t>DeepSeek blended price (doc)</t>
  </si>
  <si>
    <t>$/Mtok</t>
  </si>
  <si>
    <t>Doc figure</t>
  </si>
  <si>
    <t>PROBLEM: equals pre-discount OUTPUT price ($3.48). Current V4 output ~$0.87, blended ~$2.17.</t>
  </si>
  <si>
    <t>DeepSeek utilisation (doc)</t>
  </si>
  <si>
    <t>frac</t>
  </si>
  <si>
    <t>Doc "realistic" figure</t>
  </si>
  <si>
    <t>Epoch assumes 5-30% inference utilisation; 40% is optimistic.</t>
  </si>
  <si>
    <t>Seconds per year</t>
  </si>
  <si>
    <t>s</t>
  </si>
  <si>
    <t>365*24*3600</t>
  </si>
  <si>
    <t xml:space="preserve">  2031 PROJECTION</t>
  </si>
  <si>
    <t>Compute growth rate</t>
  </si>
  <si>
    <t>x/yr</t>
  </si>
  <si>
    <t>Epoch 3.3x/yr; Dario (Dwarkesh) ~3x/yr</t>
  </si>
  <si>
    <t>Doc 3x is slightly below Epoch 3.3x. Conservative.</t>
  </si>
  <si>
    <t>Projection horizon</t>
  </si>
  <si>
    <t>yr</t>
  </si>
  <si>
    <t>2026 -&gt; 2031</t>
  </si>
  <si>
    <t>H100e per frontier copy, 2031</t>
  </si>
  <si>
    <t>Doc (8x the 2026 footprint)</t>
  </si>
  <si>
    <t>S</t>
  </si>
  <si>
    <t>Assumes models get ~8x more compute-hungry per copy.</t>
  </si>
  <si>
    <t>GPU serving frontier models, 2031</t>
  </si>
  <si>
    <t>Doc assumption (~40% of 4.86B fleet)</t>
  </si>
  <si>
    <t>Rev/chip HIGH (DeepSeek-derived)</t>
  </si>
  <si>
    <t>Doc DeepSeek case (held flat to 2031)</t>
  </si>
  <si>
    <t>Held constant to 2031 despite falling token prices -&gt; overstates.</t>
  </si>
  <si>
    <t>Rev/chip LOW (macro avg)</t>
  </si>
  <si>
    <t>Doc macro case ($100B/20M)</t>
  </si>
  <si>
    <t>Concurrent copies, model method</t>
  </si>
  <si>
    <t>copies</t>
  </si>
  <si>
    <t>Doc assumption</t>
  </si>
  <si>
    <t>Revenue per copy, 2031</t>
  </si>
  <si>
    <t>Doc "same as today"</t>
  </si>
  <si>
    <t>INCONSISTENT: 2026 case studies were $1.07M &amp; $2.16M/model, not $200k.</t>
  </si>
  <si>
    <t>Token capacity, 2031</t>
  </si>
  <si>
    <t>tok/s</t>
  </si>
  <si>
    <t>Doc attributes to Epoch</t>
  </si>
  <si>
    <t>Epoch states Q4-2025 capacity 0.5-20B tok/s &amp; 3x/yr; 1T/s by 2031 is consistent but not a direct Epoch quote.</t>
  </si>
  <si>
    <t>Utilisation, token method</t>
  </si>
  <si>
    <t>Doc</t>
  </si>
  <si>
    <t>Internet size</t>
  </si>
  <si>
    <t>tokens</t>
  </si>
  <si>
    <t>EducatingSilicon / chat-log estimates</t>
  </si>
  <si>
    <t>Order-of-magnitude.</t>
  </si>
  <si>
    <t>White-collar workers, 2031</t>
  </si>
  <si>
    <t>workers</t>
  </si>
  <si>
    <t>Forrester ~1.25B info workers (2018)</t>
  </si>
  <si>
    <t>Doc 1.5B; current estimates ~1-1.25B.</t>
  </si>
  <si>
    <t>Human cognition rate (doc)</t>
  </si>
  <si>
    <t>tok/min</t>
  </si>
  <si>
    <t>Epoch uses 380 wpm thinking ~500 tok/min, 240k tok/day.</t>
  </si>
  <si>
    <t>Human cognition rate (Epoch)</t>
  </si>
  <si>
    <t>tok/day</t>
  </si>
  <si>
    <t>Epoch digital-workers piece</t>
  </si>
  <si>
    <t>Alternative basis for cross-check.</t>
  </si>
  <si>
    <t>Global human wages</t>
  </si>
  <si>
    <t>Dario Amodei (Dwarkesh, 2026)</t>
  </si>
  <si>
    <t>For "% of wages" comparison.</t>
  </si>
  <si>
    <t>Green = links to Inputs sheet. "Doc" column = the figure stated in the source Google Doc.</t>
  </si>
  <si>
    <t>Result</t>
  </si>
  <si>
    <t>Doc says</t>
  </si>
  <si>
    <t>Note</t>
  </si>
  <si>
    <t xml:space="preserve">  Compute capacity</t>
  </si>
  <si>
    <t>Concurrent frontier copies</t>
  </si>
  <si>
    <t>830,000</t>
  </si>
  <si>
    <t>20M / 24. Reproduces (rounded).</t>
  </si>
  <si>
    <t>Macro revenue per H100e</t>
  </si>
  <si>
    <t>$5,000</t>
  </si>
  <si>
    <t>$100B / 20M chips.</t>
  </si>
  <si>
    <t xml:space="preserve">  Case study 1: Anthropic (empirical)</t>
  </si>
  <si>
    <t>Revenue per chip</t>
  </si>
  <si>
    <t>$45,000</t>
  </si>
  <si>
    <t>$45B / 1M inference chips.</t>
  </si>
  <si>
    <t>Number of model copies hosted</t>
  </si>
  <si>
    <t>42,000</t>
  </si>
  <si>
    <t>1M / 24.</t>
  </si>
  <si>
    <t>Revenue per model copy / yr</t>
  </si>
  <si>
    <t>$1.07M</t>
  </si>
  <si>
    <t>$45B / 41,667.</t>
  </si>
  <si>
    <t xml:space="preserve">  Case study 2: DeepSeek V4 (bottom-up)</t>
  </si>
  <si>
    <t>Output tokens per GPU / yr</t>
  </si>
  <si>
    <t>66.2B</t>
  </si>
  <si>
    <t>2,100 tok/s * 31.5M s.</t>
  </si>
  <si>
    <t>Revenue per GPU / yr @ 100% util</t>
  </si>
  <si>
    <t>$230k</t>
  </si>
  <si>
    <t>tokens/1e6 * $3.5/Mtok.</t>
  </si>
  <si>
    <t>Revenue per GPU / yr @ 40% util</t>
  </si>
  <si>
    <t>$90k</t>
  </si>
  <si>
    <t>* 40% utilisation.</t>
  </si>
  <si>
    <t>$2.16M</t>
  </si>
  <si>
    <t>$90k * 24 GPUs.</t>
  </si>
  <si>
    <t>Reconciliation: all figures reproduce the doc within rounding. See Note column for the two embedded pricing/fleet caveats (flagged on Inputs sheet).</t>
  </si>
  <si>
    <t>Three independent revenue estimates. The doc adopts the model-based ~$2T figure as its headline.</t>
  </si>
  <si>
    <t xml:space="preserve">  Compute scale</t>
  </si>
  <si>
    <t>Global compute stock, 2031</t>
  </si>
  <si>
    <t>4.8B</t>
  </si>
  <si>
    <t>20M * 3^5.</t>
  </si>
  <si>
    <t>Concurrent frontier copies, 2031</t>
  </si>
  <si>
    <t>24.3M</t>
  </si>
  <si>
    <t>4.86B / 200.</t>
  </si>
  <si>
    <t xml:space="preserve">  ...ratio vs 2026</t>
  </si>
  <si>
    <t>29x</t>
  </si>
  <si>
    <t xml:space="preserve">  Method 1 - GPU / revenue-per-chip</t>
  </si>
  <si>
    <t>Revenue @ $90k/chip (high)</t>
  </si>
  <si>
    <t>$180T</t>
  </si>
  <si>
    <t>2B chips * $90k. = 1.6x world GDP -&gt; not credible; method breaks down.</t>
  </si>
  <si>
    <t>Revenue @ $5k/chip (low)</t>
  </si>
  <si>
    <t>$10T</t>
  </si>
  <si>
    <t>2B chips * $5k.</t>
  </si>
  <si>
    <t xml:space="preserve">  Method 2 - Model-based (doc headline)</t>
  </si>
  <si>
    <t>Revenue (10M copies * $200k)</t>
  </si>
  <si>
    <t>$2T</t>
  </si>
  <si>
    <t>INCONSISTENCY: $200k/copy contradicts the 2026 $1.07M-$2.16M/model case studies.</t>
  </si>
  <si>
    <t xml:space="preserve">  ...if per-copy = $1.07M (2026 Anthropic)</t>
  </si>
  <si>
    <t>-</t>
  </si>
  <si>
    <t>Shows headline depends entirely on the low $200k figure.</t>
  </si>
  <si>
    <t xml:space="preserve">  Method 3 - Token-based</t>
  </si>
  <si>
    <t>Effective tokens/sec @10% util</t>
  </si>
  <si>
    <t>100B</t>
  </si>
  <si>
    <t>Tokens per minute</t>
  </si>
  <si>
    <t>6T</t>
  </si>
  <si>
    <t>Price assumed (implied by doc $5M/min)</t>
  </si>
  <si>
    <t>$0.83/Mtok</t>
  </si>
  <si>
    <t>INCONSISTENT with $3.5/Mtok used in DeepSeek calc. Cross-checks below.</t>
  </si>
  <si>
    <t>Revenue per minute</t>
  </si>
  <si>
    <t>$5M</t>
  </si>
  <si>
    <t>Revenue per year</t>
  </si>
  <si>
    <t>$2.6T</t>
  </si>
  <si>
    <t>Annualised. Matches doc.</t>
  </si>
  <si>
    <t xml:space="preserve">  cross-check @ $3.5/Mtok</t>
  </si>
  <si>
    <t>If DeepSeek price used -&gt; $11T.</t>
  </si>
  <si>
    <t xml:space="preserve">  cross-check @ $0.50/Mtok</t>
  </si>
  <si>
    <t>If current DeepSeek output price -&gt; $1.6T.</t>
  </si>
  <si>
    <t xml:space="preserve">  Trajectory check</t>
  </si>
  <si>
    <t>Implied 2026-&gt;2031 revenue CAGR</t>
  </si>
  <si>
    <t>~82%</t>
  </si>
  <si>
    <t>Compute grows 243x but revenue only ~20x -&gt; revenue per unit compute falls ~12x (price deflation). Coherent but implicit.</t>
  </si>
  <si>
    <t>Cross-source: Dario Amodei (Dwarkesh 2026) expects "multiple trillions/yr by 2028-29" -&gt; the doc's $2T-by-2031 is conservative vs frontier-lab guidance.</t>
  </si>
  <si>
    <t>Scale &amp; Human comparison</t>
  </si>
  <si>
    <t>Putting 2031 token volumes in human terms.</t>
  </si>
  <si>
    <t xml:space="preserve">  Internet-scale output</t>
  </si>
  <si>
    <t>Hours to emit one "whole internet"</t>
  </si>
  <si>
    <t>few hours</t>
  </si>
  <si>
    <t>500T / (6T/min) / 60.</t>
  </si>
  <si>
    <t xml:space="preserve">  vs human cognition (doc basis: 1000 tok/min)</t>
  </si>
  <si>
    <t>Human token-equiv / min</t>
  </si>
  <si>
    <t>1.5T</t>
  </si>
  <si>
    <t>1.5B workers * 1000 tok/min.</t>
  </si>
  <si>
    <t>LLM : human token ratio</t>
  </si>
  <si>
    <t>4x</t>
  </si>
  <si>
    <t>LLM 6T/min vs human 1.5T/min.</t>
  </si>
  <si>
    <t xml:space="preserve">  vs human cognition (Epoch basis: 240k tok/day)</t>
  </si>
  <si>
    <t>Human token-equiv / day</t>
  </si>
  <si>
    <t>1.5B * 240k.</t>
  </si>
  <si>
    <t>LLM tokens / day</t>
  </si>
  <si>
    <t>6T/min * 1440.</t>
  </si>
  <si>
    <t>LLM : human ratio (Epoch basis)</t>
  </si>
  <si>
    <t>~24x, not 4x: conclusion is sensitive to the human-cognition assumption.</t>
  </si>
  <si>
    <t xml:space="preserve">  Revenue vs global wages</t>
  </si>
  <si>
    <t>Model-based revenue as % of wages</t>
  </si>
  <si>
    <t>&gt;5%</t>
  </si>
  <si>
    <t>$2T / $50T wages = 4%. Doc says "&gt;5% of wages".</t>
  </si>
  <si>
    <t>Monte Carlo - 2031 revenue &amp; human parity</t>
  </si>
  <si>
    <t>LIVE 2,000-trial simulation (recalculates on open / F9). Authoritative 300k-trial run is in reproduce.py.</t>
  </si>
  <si>
    <t xml:space="preserve">  Distribution parameters (blue = editable)</t>
  </si>
  <si>
    <t>SUMMARY (recalculates live)</t>
  </si>
  <si>
    <t>p1</t>
  </si>
  <si>
    <t>p2</t>
  </si>
  <si>
    <t>Distribution</t>
  </si>
  <si>
    <t>Estimate</t>
  </si>
  <si>
    <t>P5</t>
  </si>
  <si>
    <t>P25</t>
  </si>
  <si>
    <t>P50</t>
  </si>
  <si>
    <t>P75</t>
  </si>
  <si>
    <t>P95</t>
  </si>
  <si>
    <t>Mean</t>
  </si>
  <si>
    <t>growth mean / sd</t>
  </si>
  <si>
    <t>Normal, clipped [1.8,4.5]</t>
  </si>
  <si>
    <t>M1 GPU</t>
  </si>
  <si>
    <t>h100_2026 lo / hi</t>
  </si>
  <si>
    <t>Uniform</t>
  </si>
  <si>
    <t>M2 model</t>
  </si>
  <si>
    <t>M1 rev/chip mu / sigma</t>
  </si>
  <si>
    <t>Lognormal (90% CI $5k-$60k)</t>
  </si>
  <si>
    <t>M3 token</t>
  </si>
  <si>
    <t>M1 serving-share lo/hi</t>
  </si>
  <si>
    <t>POOLED</t>
  </si>
  <si>
    <t>M1 price-decline lo/hi</t>
  </si>
  <si>
    <t>Uniform (rev/chip multiplier to 2031)</t>
  </si>
  <si>
    <t>M2 copies mu / sigma</t>
  </si>
  <si>
    <t>Lognormal (90% CI 3M-30M)</t>
  </si>
  <si>
    <t>Probabilities (pooled)</t>
  </si>
  <si>
    <t>M2 rev/copy mu / sigma</t>
  </si>
  <si>
    <t>Lognormal (90% CI $80k-$1.2M)</t>
  </si>
  <si>
    <t>P(revenue &gt; $2T)</t>
  </si>
  <si>
    <t>M3 tok/s mu / sigma</t>
  </si>
  <si>
    <t>Lognormal (80% CI 0.2T-5T)</t>
  </si>
  <si>
    <t>P(revenue &gt; $1T)</t>
  </si>
  <si>
    <t>M3 util lo / hi</t>
  </si>
  <si>
    <t>Uniform (Epoch range)</t>
  </si>
  <si>
    <t>P(revenue &gt; $10T)</t>
  </si>
  <si>
    <t>M3 price mu / sigma</t>
  </si>
  <si>
    <t>Lognormal (90% CI $0.4-$3.5/Mtok)</t>
  </si>
  <si>
    <t>human workers lo/hi</t>
  </si>
  <si>
    <t>Human-parity ratio</t>
  </si>
  <si>
    <t>human tok/min lo/hi</t>
  </si>
  <si>
    <t>P50 ratio</t>
  </si>
  <si>
    <t>P(LLM &gt; human-equiv)</t>
  </si>
  <si>
    <t xml:space="preserve">  Trials (2,000)  -  columns C..G are the three method revenues + pooled draw + human-parity ratio</t>
  </si>
  <si>
    <t>Trial</t>
  </si>
  <si>
    <t>growth</t>
  </si>
  <si>
    <t>H_2031</t>
  </si>
  <si>
    <t>M1 GPU ($)</t>
  </si>
  <si>
    <t>M2 model ($)</t>
  </si>
  <si>
    <t>M3 token ($)</t>
  </si>
  <si>
    <t>Pooled ($)</t>
  </si>
  <si>
    <t>LLM tok/min</t>
  </si>
  <si>
    <t>Human/min</t>
  </si>
  <si>
    <t>Parity x</t>
  </si>
  <si>
    <t>Doc headline = $2T sits near the 25th percentile of the pooled distribution (i.e. conservative).</t>
  </si>
  <si>
    <t>Deterministic scenario / tornado</t>
  </si>
  <si>
    <t>Token-method revenue ($/yr), one driver at a time low/high, others at base. Shows what moves the answer.</t>
  </si>
  <si>
    <t xml:space="preserve">  Base case (token method)</t>
  </si>
  <si>
    <t>tok/s capacity</t>
  </si>
  <si>
    <t>utilisation</t>
  </si>
  <si>
    <t>price $/Mtok</t>
  </si>
  <si>
    <t>Base revenue/yr</t>
  </si>
  <si>
    <t xml:space="preserve">  Tornado (hold others at base)</t>
  </si>
  <si>
    <t>Driver</t>
  </si>
  <si>
    <t>Low</t>
  </si>
  <si>
    <t>High</t>
  </si>
  <si>
    <t>Rev @ Low</t>
  </si>
  <si>
    <t>Rev @ High</t>
  </si>
  <si>
    <t>Swing</t>
  </si>
  <si>
    <t>Capacity and price dominate the spread; utilisation matters least. Mirrors the Spearman ranks in reproduce.py.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</si>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</sst>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"/>
    <numFmt numFmtId="165" formatCode="0.0\x"/>
    <numFmt numFmtId="166" formatCode="0.0%"/>
    <numFmt numFmtId="167" formatCode="#,##0.0"/>
    <numFmt numFmtId="168" formatCode="0.0"/>
  </numFmts>
  <fonts count="16" x14ac:knownFonts="1">
    <font>
      <sz val="11"/>
      <color theme="1"/>
      <name val="Calibri"/>
      <family val="2"/>
      <charset val="1"/>
    </font>
    <font>
      <b/>
      <sz val="18"/>
      <color rgb="FF1F3864"/>
      <name val="Arial"/>
      <charset val="1"/>
    </font>
    <font>
      <i/>
      <sz val="10"/>
      <color rgb="FF595959"/>
      <name val="Arial"/>
      <charset val="1"/>
    </font>
    <font>
      <b/>
      <sz val="11"/>
      <color rgb="FF1F3864"/>
      <name val="Arial"/>
      <charset val="1"/>
    </font>
    <font>
      <sz val="10"/>
      <color rgb="FF000000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sz val="10"/>
      <color rgb="FF008000"/>
      <name val="Arial"/>
      <charset val="1"/>
    </font>
    <font>
      <sz val="9"/>
      <color rgb="FF7030A0"/>
      <name val="Arial"/>
      <charset val="1"/>
    </font>
    <font>
      <b/>
      <sz val="15"/>
      <color rgb="FF1F3864"/>
      <name val="Arial"/>
      <charset val="1"/>
    </font>
    <font>
      <b/>
      <sz val="11"/>
      <color rgb="FFFFFFFF"/>
      <name val="Arial"/>
      <charset val="1"/>
    </font>
    <font>
      <b/>
      <sz val="10"/>
      <color rgb="FF0000FF"/>
      <name val="Arial"/>
      <charset val="1"/>
    </font>
    <font>
      <u/>
      <sz val="9"/>
      <color rgb="FF0563C1"/>
      <name val="Arial"/>
      <charset val="1"/>
    </font>
    <font>
      <i/>
      <sz val="8"/>
      <color rgb="FF808080"/>
      <name val="Arial"/>
      <charset val="1"/>
    </font>
    <font>
      <b/>
      <sz val="10"/>
      <color rgb="FFFFFFFF"/>
      <name val="Arial"/>
      <charset val="1"/>
    </font>
    <font>
      <b/>
      <sz val="12"/>
      <color rgb="FF1F3864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4" fillId="3" borderId="0" xfId="0" applyFont="1" applyFill="1"/>
    <xf numFmtId="0" fontId="8" fillId="0" borderId="0" xfId="0" applyFont="1"/>
    <xf numFmtId="0" fontId="9" fillId="0" borderId="0" xfId="0" applyFont="1"/>
    <xf numFmtId="0" fontId="0" fillId="0" borderId="1" xfId="0" applyBorder="1"/>
    <xf numFmtId="0" fontId="10" fillId="4" borderId="0" xfId="0" applyFont="1" applyFill="1" applyAlignment="1">
      <alignment horizontal="center" vertical="center"/>
    </xf>
    <xf numFmtId="0" fontId="4" fillId="0" borderId="2" xfId="0" applyFont="1" applyBorder="1"/>
    <xf numFmtId="3" fontId="11" fillId="3" borderId="2" xfId="0" applyNumberFormat="1" applyFont="1" applyFill="1" applyBorder="1"/>
    <xf numFmtId="0" fontId="12" fillId="0" borderId="2" xfId="0" applyFont="1" applyBorder="1"/>
    <xf numFmtId="0" fontId="5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vertical="top" wrapText="1"/>
    </xf>
    <xf numFmtId="3" fontId="11" fillId="0" borderId="2" xfId="0" applyNumberFormat="1" applyFont="1" applyBorder="1"/>
    <xf numFmtId="2" fontId="11" fillId="3" borderId="2" xfId="0" applyNumberFormat="1" applyFont="1" applyFill="1" applyBorder="1"/>
    <xf numFmtId="2" fontId="11" fillId="0" borderId="2" xfId="0" applyNumberFormat="1" applyFont="1" applyBorder="1"/>
    <xf numFmtId="0" fontId="14" fillId="4" borderId="0" xfId="0" applyFont="1" applyFill="1"/>
    <xf numFmtId="3" fontId="7" fillId="0" borderId="0" xfId="0" applyNumberFormat="1" applyFont="1"/>
    <xf numFmtId="0" fontId="13" fillId="0" borderId="0" xfId="0" applyFont="1"/>
    <xf numFmtId="0" fontId="13" fillId="0" borderId="0" xfId="0" applyFont="1" applyAlignment="1">
      <alignment vertical="top" wrapText="1"/>
    </xf>
    <xf numFmtId="164" fontId="7" fillId="0" borderId="0" xfId="0" applyNumberFormat="1" applyFont="1"/>
    <xf numFmtId="0" fontId="8" fillId="0" borderId="0" xfId="0" applyFont="1" applyAlignment="1">
      <alignment vertical="top" wrapText="1"/>
    </xf>
    <xf numFmtId="165" fontId="7" fillId="0" borderId="0" xfId="0" applyNumberFormat="1" applyFont="1"/>
    <xf numFmtId="2" fontId="11" fillId="3" borderId="0" xfId="0" applyNumberFormat="1" applyFont="1" applyFill="1"/>
    <xf numFmtId="166" fontId="7" fillId="0" borderId="0" xfId="0" applyNumberFormat="1" applyFont="1"/>
    <xf numFmtId="167" fontId="7" fillId="0" borderId="0" xfId="0" applyNumberFormat="1" applyFont="1"/>
    <xf numFmtId="0" fontId="15" fillId="0" borderId="0" xfId="0" applyFont="1"/>
    <xf numFmtId="0" fontId="11" fillId="3" borderId="0" xfId="0" applyFont="1" applyFill="1"/>
    <xf numFmtId="164" fontId="4" fillId="0" borderId="0" xfId="0" applyNumberFormat="1" applyFont="1"/>
    <xf numFmtId="0" fontId="3" fillId="0" borderId="0" xfId="0" applyFont="1"/>
    <xf numFmtId="166" fontId="4" fillId="0" borderId="0" xfId="0" applyNumberFormat="1" applyFont="1"/>
    <xf numFmtId="168" fontId="4" fillId="0" borderId="0" xfId="0" applyNumberFormat="1" applyFont="1"/>
    <xf numFmtId="0" fontId="14" fillId="4" borderId="0" xfId="0" applyFont="1" applyFill="1" applyAlignment="1">
      <alignment horizontal="center"/>
    </xf>
    <xf numFmtId="2" fontId="0" fillId="0" borderId="0" xfId="0" applyNumberFormat="1"/>
    <xf numFmtId="1" fontId="0" fillId="0" borderId="0" xfId="0" applyNumberFormat="1"/>
    <xf numFmtId="168" fontId="0" fillId="0" borderId="0" xfId="0" applyNumberFormat="1"/>
    <xf numFmtId="3" fontId="11" fillId="3" borderId="0" xfId="0" applyNumberFormat="1" applyFont="1" applyFill="1"/>
    <xf numFmtId="166" fontId="11" fillId="3" borderId="0" xfId="0" applyNumberFormat="1" applyFont="1" applyFill="1"/>
    <xf numFmtId="3" fontId="6" fillId="0" borderId="0" xfId="0" applyNumberFormat="1" applyFont="1"/>
    <xf numFmtId="164" fontId="0" fillId="0" borderId="0" xfId="0" applyNumberFormat="1"/>
    <xf numFmtId="166" fontId="6" fillId="0" borderId="0" xfId="0" applyNumberFormat="1" applyFont="1"/>
    <xf numFmtId="2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FCC"/>
      <rgbColor rgb="FFD9E1F2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B3B3B3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GB" sz="1800" b="1" u="none" strike="noStrike">
                <a:solidFill>
                  <a:srgbClr val="000000"/>
                </a:solidFill>
                <a:uFillTx/>
                <a:latin typeface="Calibri"/>
              </a:rPr>
              <a:t>Pooled 2031 revenue - percentiles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'Monte Carlo'!$N$6:$R$6</c:f>
              <c:strCache>
                <c:ptCount val="5"/>
                <c:pt idx="0">
                  <c:v>P5</c:v>
                </c:pt>
                <c:pt idx="1">
                  <c:v>P25</c:v>
                </c:pt>
                <c:pt idx="2">
                  <c:v>P50</c:v>
                </c:pt>
                <c:pt idx="3">
                  <c:v>P75</c:v>
                </c:pt>
                <c:pt idx="4">
                  <c:v>P95</c:v>
                </c:pt>
              </c:strCache>
            </c:strRef>
          </c:cat>
          <c:val>
            <c:numRef>
              <c:f>'Monte Carlo'!$N$9:$R$9</c:f>
              <c:numCache>
                <c:formatCode>\$#,##0</c:formatCode>
                <c:ptCount val="5"/>
                <c:pt idx="0">
                  <c:v>472372949168.08136</c:v>
                </c:pt>
                <c:pt idx="1">
                  <c:v>2165195517503.6624</c:v>
                </c:pt>
                <c:pt idx="2">
                  <c:v>5443563996390.041</c:v>
                </c:pt>
                <c:pt idx="3">
                  <c:v>14893704784904.49</c:v>
                </c:pt>
                <c:pt idx="4">
                  <c:v>61582223019797.555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5D-4BB2-A6B0-B6736464C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200397"/>
        <c:axId val="35063669"/>
      </c:barChart>
      <c:catAx>
        <c:axId val="442003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5063669"/>
        <c:crosses val="autoZero"/>
        <c:auto val="1"/>
        <c:lblAlgn val="ctr"/>
        <c:lblOffset val="100"/>
        <c:noMultiLvlLbl val="0"/>
      </c:catAx>
      <c:valAx>
        <c:axId val="3506366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420039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Token-method revenue swing by driver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'Scenario L-B-H'!$B$14:$B$16</c:f>
              <c:strCache>
                <c:ptCount val="2"/>
                <c:pt idx="0">
                  <c:v>utilisation</c:v>
                </c:pt>
                <c:pt idx="1">
                  <c:v>price $/Mtok</c:v>
                </c:pt>
              </c:strCache>
            </c:strRef>
          </c:cat>
          <c:val>
            <c:numRef>
              <c:f>'Scenario L-B-H'!$G$14:$G$16</c:f>
              <c:numCache>
                <c:formatCode>\$#,##0</c:formatCode>
                <c:ptCount val="3"/>
                <c:pt idx="0">
                  <c:v>6543720000000</c:v>
                </c:pt>
                <c:pt idx="1">
                  <c:v>9776160000000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5F-4036-B198-017331830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055637"/>
        <c:axId val="10588550"/>
      </c:barChart>
      <c:catAx>
        <c:axId val="8705563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0588550"/>
        <c:crosses val="autoZero"/>
        <c:auto val="1"/>
        <c:lblAlgn val="ctr"/>
        <c:lblOffset val="100"/>
        <c:noMultiLvlLbl val="0"/>
      </c:catAx>
      <c:valAx>
        <c:axId val="10588550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\$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705563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24</xdr:row>
      <xdr:rowOff>0</xdr:rowOff>
    </xdr:from>
    <xdr:to>
      <xdr:col>15</xdr:col>
      <xdr:colOff>896900</xdr:colOff>
      <xdr:row>37</xdr:row>
      <xdr:rowOff>43200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0</xdr:rowOff>
    </xdr:from>
    <xdr:to>
      <xdr:col>4</xdr:col>
      <xdr:colOff>873720</xdr:colOff>
      <xdr:row>30</xdr:row>
      <xdr:rowOff>64080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epoch.ai/gradient-updates/how-many-digital-workers-could-openai-deploy" TargetMode="External"/><Relationship Id="rId13" Type="http://schemas.openxmlformats.org/officeDocument/2006/relationships/hyperlink" Target="https://epoch.ai/gradient-updates/how-many-digital-workers-could-openai-deploy" TargetMode="External"/><Relationship Id="rId3" Type="http://schemas.openxmlformats.org/officeDocument/2006/relationships/hyperlink" Target="https://sacra.com/c/anthropic/" TargetMode="External"/><Relationship Id="rId7" Type="http://schemas.openxmlformats.org/officeDocument/2006/relationships/hyperlink" Target="https://www.morphllm.com/deepseek-v4" TargetMode="External"/><Relationship Id="rId12" Type="http://schemas.openxmlformats.org/officeDocument/2006/relationships/hyperlink" Target="https://www.forrester.com/blogs/the-global-information-worker-population-swells-to-1-25-billion-in-2018" TargetMode="External"/><Relationship Id="rId2" Type="http://schemas.openxmlformats.org/officeDocument/2006/relationships/hyperlink" Target="https://www.morphllm.com/deepseek-v4" TargetMode="External"/><Relationship Id="rId1" Type="http://schemas.openxmlformats.org/officeDocument/2006/relationships/hyperlink" Target="https://epoch.ai/data/ai-chip-sales" TargetMode="External"/><Relationship Id="rId6" Type="http://schemas.openxmlformats.org/officeDocument/2006/relationships/hyperlink" Target="https://developer.nvidia.com/blog/nvidia-blackwell-delivers-world-record-deepseek-r1-inference-performance/" TargetMode="External"/><Relationship Id="rId11" Type="http://schemas.openxmlformats.org/officeDocument/2006/relationships/hyperlink" Target="https://www.educatingsilicon.com/2024/05/09/how-much-llm-training-data-is-there-in-the-limit/" TargetMode="External"/><Relationship Id="rId5" Type="http://schemas.openxmlformats.org/officeDocument/2006/relationships/hyperlink" Target="https://epoch.ai/data/ai-chip-owners" TargetMode="External"/><Relationship Id="rId10" Type="http://schemas.openxmlformats.org/officeDocument/2006/relationships/hyperlink" Target="https://epoch.ai/gradient-updates/is-a-compute-crunch-coming" TargetMode="External"/><Relationship Id="rId4" Type="http://schemas.openxmlformats.org/officeDocument/2006/relationships/hyperlink" Target="https://simonwillison.net/2026/May/29/anthropic/" TargetMode="External"/><Relationship Id="rId9" Type="http://schemas.openxmlformats.org/officeDocument/2006/relationships/hyperlink" Target="https://epoch.ai/data-insights/ai-chip-production" TargetMode="External"/><Relationship Id="rId14" Type="http://schemas.openxmlformats.org/officeDocument/2006/relationships/hyperlink" Target="https://www.dwarkesh.com/p/dario-amodei-2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4"/>
  <sheetViews>
    <sheetView zoomScaleNormal="100" workbookViewId="0"/>
  </sheetViews>
  <sheetFormatPr defaultColWidth="8.6328125" defaultRowHeight="14.5" x14ac:dyDescent="0.35"/>
  <cols>
    <col min="1" max="1" width="3" customWidth="1"/>
    <col min="2" max="2" width="20" customWidth="1"/>
    <col min="3" max="3" width="16" customWidth="1"/>
    <col min="4" max="7" width="14" customWidth="1"/>
    <col min="8" max="8" width="20" customWidth="1"/>
  </cols>
  <sheetData>
    <row r="2" spans="1:8" ht="21.75" customHeight="1" x14ac:dyDescent="0.5">
      <c r="B2" s="1" t="s">
        <v>0</v>
      </c>
    </row>
    <row r="3" spans="1:8" ht="15" customHeight="1" x14ac:dyDescent="0.35">
      <c r="B3" s="2" t="s">
        <v>1</v>
      </c>
    </row>
    <row r="4" spans="1:8" ht="15" customHeight="1" x14ac:dyDescent="0.35">
      <c r="B4" s="2" t="s">
        <v>2</v>
      </c>
    </row>
    <row r="6" spans="1:8" ht="15" customHeight="1" x14ac:dyDescent="0.35">
      <c r="A6" s="3" t="s">
        <v>3</v>
      </c>
      <c r="B6" s="4"/>
      <c r="C6" s="4"/>
      <c r="D6" s="4"/>
      <c r="E6" s="4"/>
      <c r="F6" s="4"/>
      <c r="G6" s="4"/>
      <c r="H6" s="4"/>
    </row>
    <row r="7" spans="1:8" ht="15" customHeight="1" x14ac:dyDescent="0.35">
      <c r="B7" s="5" t="s">
        <v>4</v>
      </c>
    </row>
    <row r="8" spans="1:8" ht="15" customHeight="1" x14ac:dyDescent="0.35">
      <c r="B8" s="5" t="s">
        <v>5</v>
      </c>
    </row>
    <row r="10" spans="1:8" ht="15" customHeight="1" x14ac:dyDescent="0.35">
      <c r="A10" s="3" t="s">
        <v>6</v>
      </c>
      <c r="B10" s="4"/>
      <c r="C10" s="4"/>
      <c r="D10" s="4"/>
      <c r="E10" s="4"/>
      <c r="F10" s="4"/>
      <c r="G10" s="4"/>
      <c r="H10" s="4"/>
    </row>
    <row r="11" spans="1:8" ht="15" customHeight="1" x14ac:dyDescent="0.35">
      <c r="B11" s="6" t="s">
        <v>7</v>
      </c>
      <c r="C11" s="5" t="s">
        <v>8</v>
      </c>
    </row>
    <row r="12" spans="1:8" ht="15" customHeight="1" x14ac:dyDescent="0.35">
      <c r="B12" s="6" t="s">
        <v>9</v>
      </c>
      <c r="C12" s="5" t="s">
        <v>10</v>
      </c>
    </row>
    <row r="13" spans="1:8" ht="15" customHeight="1" x14ac:dyDescent="0.35">
      <c r="B13" s="6" t="s">
        <v>11</v>
      </c>
      <c r="C13" s="5" t="s">
        <v>12</v>
      </c>
    </row>
    <row r="14" spans="1:8" ht="15" customHeight="1" x14ac:dyDescent="0.35">
      <c r="B14" s="6" t="s">
        <v>13</v>
      </c>
      <c r="C14" s="5" t="s">
        <v>14</v>
      </c>
    </row>
    <row r="15" spans="1:8" ht="15" customHeight="1" x14ac:dyDescent="0.35">
      <c r="B15" s="6" t="s">
        <v>15</v>
      </c>
      <c r="C15" s="5" t="s">
        <v>16</v>
      </c>
    </row>
    <row r="16" spans="1:8" ht="15" customHeight="1" x14ac:dyDescent="0.35">
      <c r="B16" s="6" t="s">
        <v>17</v>
      </c>
      <c r="C16" s="5" t="s">
        <v>18</v>
      </c>
    </row>
    <row r="18" spans="1:8" ht="15" customHeight="1" x14ac:dyDescent="0.35">
      <c r="A18" s="3" t="s">
        <v>19</v>
      </c>
      <c r="B18" s="4"/>
      <c r="C18" s="4"/>
      <c r="D18" s="4"/>
      <c r="E18" s="4"/>
      <c r="F18" s="4"/>
      <c r="G18" s="4"/>
      <c r="H18" s="4"/>
    </row>
    <row r="19" spans="1:8" ht="15" customHeight="1" x14ac:dyDescent="0.35">
      <c r="B19" s="7" t="s">
        <v>20</v>
      </c>
      <c r="C19" s="5" t="s">
        <v>21</v>
      </c>
    </row>
    <row r="20" spans="1:8" ht="15" customHeight="1" x14ac:dyDescent="0.35">
      <c r="B20" s="5" t="s">
        <v>22</v>
      </c>
      <c r="C20" s="5" t="s">
        <v>23</v>
      </c>
    </row>
    <row r="21" spans="1:8" ht="15" customHeight="1" x14ac:dyDescent="0.35">
      <c r="B21" s="8" t="s">
        <v>24</v>
      </c>
      <c r="C21" s="5" t="s">
        <v>25</v>
      </c>
    </row>
    <row r="22" spans="1:8" ht="15" customHeight="1" x14ac:dyDescent="0.35">
      <c r="B22" s="9" t="s">
        <v>26</v>
      </c>
      <c r="C22" s="5" t="s">
        <v>27</v>
      </c>
    </row>
    <row r="24" spans="1:8" ht="15" customHeight="1" x14ac:dyDescent="0.35">
      <c r="B24" s="10" t="s">
        <v>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"/>
  <sheetViews>
    <sheetView zoomScaleNormal="100" workbookViewId="0">
      <pane ySplit="4" topLeftCell="A5" activePane="bottomLeft" state="frozen"/>
      <selection pane="bottomLeft" activeCell="C18" sqref="C18"/>
    </sheetView>
  </sheetViews>
  <sheetFormatPr defaultColWidth="8.6328125" defaultRowHeight="14.5" x14ac:dyDescent="0.35"/>
  <cols>
    <col min="1" max="1" width="2" customWidth="1"/>
    <col min="2" max="2" width="40" customWidth="1"/>
    <col min="3" max="3" width="16" customWidth="1"/>
    <col min="4" max="4" width="12" customWidth="1"/>
    <col min="5" max="5" width="46" customWidth="1"/>
    <col min="6" max="6" width="8" customWidth="1"/>
    <col min="7" max="7" width="34" customWidth="1"/>
  </cols>
  <sheetData>
    <row r="1" spans="1:8" ht="18" customHeight="1" x14ac:dyDescent="0.4">
      <c r="A1" s="11" t="s">
        <v>7</v>
      </c>
    </row>
    <row r="2" spans="1:8" ht="15" customHeight="1" x14ac:dyDescent="0.35">
      <c r="A2" s="2" t="s">
        <v>29</v>
      </c>
    </row>
    <row r="3" spans="1:8" ht="15" customHeight="1" x14ac:dyDescent="0.35">
      <c r="A3" s="12"/>
      <c r="B3" s="12"/>
      <c r="C3" s="12"/>
      <c r="D3" s="12"/>
      <c r="E3" s="12"/>
      <c r="F3" s="12"/>
      <c r="G3" s="12"/>
      <c r="H3" s="12"/>
    </row>
    <row r="4" spans="1:8" ht="15" customHeight="1" x14ac:dyDescent="0.35">
      <c r="A4" s="13"/>
      <c r="B4" s="13" t="s">
        <v>30</v>
      </c>
      <c r="C4" s="13" t="s">
        <v>31</v>
      </c>
      <c r="D4" s="13" t="s">
        <v>32</v>
      </c>
      <c r="E4" s="13" t="s">
        <v>33</v>
      </c>
      <c r="F4" s="13" t="s">
        <v>34</v>
      </c>
      <c r="G4" s="13" t="s">
        <v>35</v>
      </c>
    </row>
    <row r="5" spans="1:8" ht="15" customHeight="1" x14ac:dyDescent="0.35">
      <c r="A5" s="3" t="s">
        <v>36</v>
      </c>
      <c r="B5" s="4"/>
      <c r="C5" s="4"/>
      <c r="D5" s="4"/>
      <c r="E5" s="4"/>
      <c r="F5" s="4"/>
      <c r="G5" s="4"/>
      <c r="H5" s="4"/>
    </row>
    <row r="6" spans="1:8" ht="27.75" customHeight="1" x14ac:dyDescent="0.35">
      <c r="B6" s="14" t="s">
        <v>37</v>
      </c>
      <c r="C6" s="15">
        <v>20000000</v>
      </c>
      <c r="D6" s="14" t="s">
        <v>38</v>
      </c>
      <c r="E6" s="16" t="s">
        <v>39</v>
      </c>
      <c r="F6" s="17" t="s">
        <v>40</v>
      </c>
      <c r="G6" s="18" t="s">
        <v>41</v>
      </c>
    </row>
    <row r="7" spans="1:8" ht="18.75" customHeight="1" x14ac:dyDescent="0.35">
      <c r="B7" s="14" t="s">
        <v>42</v>
      </c>
      <c r="C7" s="19">
        <v>24</v>
      </c>
      <c r="D7" s="14" t="s">
        <v>38</v>
      </c>
      <c r="E7" s="16" t="s">
        <v>43</v>
      </c>
      <c r="F7" s="17" t="s">
        <v>40</v>
      </c>
      <c r="G7" s="18" t="s">
        <v>44</v>
      </c>
    </row>
    <row r="8" spans="1:8" ht="27.75" customHeight="1" x14ac:dyDescent="0.35">
      <c r="B8" s="14" t="s">
        <v>45</v>
      </c>
      <c r="C8" s="15">
        <v>100000000000</v>
      </c>
      <c r="D8" s="14" t="s">
        <v>46</v>
      </c>
      <c r="E8" s="16" t="s">
        <v>47</v>
      </c>
      <c r="F8" s="17" t="s">
        <v>40</v>
      </c>
      <c r="G8" s="18" t="s">
        <v>48</v>
      </c>
    </row>
    <row r="9" spans="1:8" ht="15" customHeight="1" x14ac:dyDescent="0.35">
      <c r="B9" s="14" t="s">
        <v>49</v>
      </c>
      <c r="C9" s="19">
        <v>45000000000</v>
      </c>
      <c r="D9" s="14" t="s">
        <v>46</v>
      </c>
      <c r="E9" s="16" t="s">
        <v>50</v>
      </c>
      <c r="F9" s="17" t="s">
        <v>51</v>
      </c>
      <c r="G9" s="18" t="s">
        <v>52</v>
      </c>
    </row>
    <row r="10" spans="1:8" ht="18.75" customHeight="1" x14ac:dyDescent="0.35">
      <c r="B10" s="14" t="s">
        <v>53</v>
      </c>
      <c r="C10" s="15">
        <v>1000000</v>
      </c>
      <c r="D10" s="14" t="s">
        <v>38</v>
      </c>
      <c r="E10" s="16" t="s">
        <v>54</v>
      </c>
      <c r="F10" s="17" t="s">
        <v>40</v>
      </c>
      <c r="G10" s="18" t="s">
        <v>55</v>
      </c>
    </row>
    <row r="11" spans="1:8" ht="18.75" customHeight="1" x14ac:dyDescent="0.35">
      <c r="B11" s="14" t="s">
        <v>56</v>
      </c>
      <c r="C11" s="19">
        <v>2100</v>
      </c>
      <c r="D11" s="14" t="s">
        <v>57</v>
      </c>
      <c r="E11" s="16" t="s">
        <v>58</v>
      </c>
      <c r="F11" s="17" t="s">
        <v>40</v>
      </c>
      <c r="G11" s="18" t="s">
        <v>59</v>
      </c>
    </row>
    <row r="12" spans="1:8" ht="27.75" customHeight="1" x14ac:dyDescent="0.35">
      <c r="B12" s="14" t="s">
        <v>60</v>
      </c>
      <c r="C12" s="20">
        <v>3.5</v>
      </c>
      <c r="D12" s="14" t="s">
        <v>61</v>
      </c>
      <c r="E12" s="16" t="s">
        <v>62</v>
      </c>
      <c r="F12" s="17" t="s">
        <v>40</v>
      </c>
      <c r="G12" s="18" t="s">
        <v>63</v>
      </c>
    </row>
    <row r="13" spans="1:8" ht="18.75" customHeight="1" x14ac:dyDescent="0.35">
      <c r="B13" s="14" t="s">
        <v>64</v>
      </c>
      <c r="C13" s="20">
        <v>0.4</v>
      </c>
      <c r="D13" s="14" t="s">
        <v>65</v>
      </c>
      <c r="E13" s="16" t="s">
        <v>66</v>
      </c>
      <c r="F13" s="17" t="s">
        <v>40</v>
      </c>
      <c r="G13" s="18" t="s">
        <v>67</v>
      </c>
    </row>
    <row r="14" spans="1:8" ht="15" customHeight="1" x14ac:dyDescent="0.35">
      <c r="B14" s="14" t="s">
        <v>68</v>
      </c>
      <c r="C14" s="19">
        <v>31536000</v>
      </c>
      <c r="D14" s="14" t="s">
        <v>69</v>
      </c>
      <c r="E14" s="14" t="s">
        <v>70</v>
      </c>
      <c r="F14" s="17" t="s">
        <v>51</v>
      </c>
      <c r="G14" s="18"/>
    </row>
    <row r="15" spans="1:8" ht="15" customHeight="1" x14ac:dyDescent="0.35">
      <c r="A15" s="3" t="s">
        <v>71</v>
      </c>
      <c r="B15" s="4"/>
      <c r="C15" s="4"/>
      <c r="D15" s="4"/>
      <c r="E15" s="4"/>
      <c r="F15" s="4"/>
      <c r="G15" s="4"/>
      <c r="H15" s="4"/>
    </row>
    <row r="16" spans="1:8" ht="18.75" customHeight="1" x14ac:dyDescent="0.35">
      <c r="B16" s="14" t="s">
        <v>72</v>
      </c>
      <c r="C16" s="21">
        <v>3</v>
      </c>
      <c r="D16" s="14" t="s">
        <v>73</v>
      </c>
      <c r="E16" s="16" t="s">
        <v>74</v>
      </c>
      <c r="F16" s="17" t="s">
        <v>51</v>
      </c>
      <c r="G16" s="18" t="s">
        <v>75</v>
      </c>
    </row>
    <row r="17" spans="2:7" ht="15" customHeight="1" x14ac:dyDescent="0.35">
      <c r="B17" s="14" t="s">
        <v>76</v>
      </c>
      <c r="C17" s="19">
        <v>5</v>
      </c>
      <c r="D17" s="14" t="s">
        <v>77</v>
      </c>
      <c r="E17" s="14" t="s">
        <v>78</v>
      </c>
      <c r="F17" s="17" t="s">
        <v>51</v>
      </c>
      <c r="G17" s="18"/>
    </row>
    <row r="18" spans="2:7" ht="18.75" customHeight="1" x14ac:dyDescent="0.35">
      <c r="B18" s="14" t="s">
        <v>79</v>
      </c>
      <c r="C18" s="15">
        <v>200</v>
      </c>
      <c r="D18" s="14" t="s">
        <v>38</v>
      </c>
      <c r="E18" s="14" t="s">
        <v>80</v>
      </c>
      <c r="F18" s="17" t="s">
        <v>81</v>
      </c>
      <c r="G18" s="18" t="s">
        <v>82</v>
      </c>
    </row>
    <row r="19" spans="2:7" ht="15" customHeight="1" x14ac:dyDescent="0.35">
      <c r="B19" s="14" t="s">
        <v>83</v>
      </c>
      <c r="C19" s="15">
        <v>2000000000</v>
      </c>
      <c r="D19" s="14" t="s">
        <v>38</v>
      </c>
      <c r="E19" s="14" t="s">
        <v>84</v>
      </c>
      <c r="F19" s="17" t="s">
        <v>81</v>
      </c>
      <c r="G19" s="18"/>
    </row>
    <row r="20" spans="2:7" ht="18.75" customHeight="1" x14ac:dyDescent="0.35">
      <c r="B20" s="14" t="s">
        <v>85</v>
      </c>
      <c r="C20" s="15">
        <v>90000</v>
      </c>
      <c r="D20" s="14" t="s">
        <v>46</v>
      </c>
      <c r="E20" s="14" t="s">
        <v>86</v>
      </c>
      <c r="F20" s="17" t="s">
        <v>81</v>
      </c>
      <c r="G20" s="18" t="s">
        <v>87</v>
      </c>
    </row>
    <row r="21" spans="2:7" ht="15" customHeight="1" x14ac:dyDescent="0.35">
      <c r="B21" s="14" t="s">
        <v>88</v>
      </c>
      <c r="C21" s="19">
        <v>5000</v>
      </c>
      <c r="D21" s="14" t="s">
        <v>46</v>
      </c>
      <c r="E21" s="14" t="s">
        <v>89</v>
      </c>
      <c r="F21" s="17" t="s">
        <v>40</v>
      </c>
      <c r="G21" s="18"/>
    </row>
    <row r="22" spans="2:7" ht="15" customHeight="1" x14ac:dyDescent="0.35">
      <c r="B22" s="14" t="s">
        <v>90</v>
      </c>
      <c r="C22" s="15">
        <v>10000000</v>
      </c>
      <c r="D22" s="14" t="s">
        <v>91</v>
      </c>
      <c r="E22" s="14" t="s">
        <v>92</v>
      </c>
      <c r="F22" s="17" t="s">
        <v>81</v>
      </c>
      <c r="G22" s="18"/>
    </row>
    <row r="23" spans="2:7" ht="18.75" customHeight="1" x14ac:dyDescent="0.35">
      <c r="B23" s="14" t="s">
        <v>93</v>
      </c>
      <c r="C23" s="15">
        <v>200000</v>
      </c>
      <c r="D23" s="14" t="s">
        <v>46</v>
      </c>
      <c r="E23" s="14" t="s">
        <v>94</v>
      </c>
      <c r="F23" s="17" t="s">
        <v>81</v>
      </c>
      <c r="G23" s="18" t="s">
        <v>95</v>
      </c>
    </row>
    <row r="24" spans="2:7" ht="27.75" customHeight="1" x14ac:dyDescent="0.35">
      <c r="B24" s="14" t="s">
        <v>96</v>
      </c>
      <c r="C24" s="15">
        <v>1000000000000</v>
      </c>
      <c r="D24" s="14" t="s">
        <v>97</v>
      </c>
      <c r="E24" s="16" t="s">
        <v>98</v>
      </c>
      <c r="F24" s="17" t="s">
        <v>81</v>
      </c>
      <c r="G24" s="18" t="s">
        <v>99</v>
      </c>
    </row>
    <row r="25" spans="2:7" ht="15" customHeight="1" x14ac:dyDescent="0.35">
      <c r="B25" s="14" t="s">
        <v>100</v>
      </c>
      <c r="C25" s="20">
        <v>0.1</v>
      </c>
      <c r="D25" s="14" t="s">
        <v>65</v>
      </c>
      <c r="E25" s="14" t="s">
        <v>101</v>
      </c>
      <c r="F25" s="17" t="s">
        <v>40</v>
      </c>
      <c r="G25" s="18"/>
    </row>
    <row r="26" spans="2:7" ht="15" customHeight="1" x14ac:dyDescent="0.35">
      <c r="B26" s="14" t="s">
        <v>102</v>
      </c>
      <c r="C26" s="19">
        <v>500000000000000</v>
      </c>
      <c r="D26" s="14" t="s">
        <v>103</v>
      </c>
      <c r="E26" s="16" t="s">
        <v>104</v>
      </c>
      <c r="F26" s="17" t="s">
        <v>40</v>
      </c>
      <c r="G26" s="18" t="s">
        <v>105</v>
      </c>
    </row>
    <row r="27" spans="2:7" ht="15" customHeight="1" x14ac:dyDescent="0.35">
      <c r="B27" s="14" t="s">
        <v>106</v>
      </c>
      <c r="C27" s="15">
        <v>1500000000</v>
      </c>
      <c r="D27" s="14" t="s">
        <v>107</v>
      </c>
      <c r="E27" s="16" t="s">
        <v>108</v>
      </c>
      <c r="F27" s="17" t="s">
        <v>40</v>
      </c>
      <c r="G27" s="18" t="s">
        <v>109</v>
      </c>
    </row>
    <row r="28" spans="2:7" ht="18.75" customHeight="1" x14ac:dyDescent="0.35">
      <c r="B28" s="14" t="s">
        <v>110</v>
      </c>
      <c r="C28" s="15">
        <v>1000</v>
      </c>
      <c r="D28" s="14" t="s">
        <v>111</v>
      </c>
      <c r="E28" s="14" t="s">
        <v>101</v>
      </c>
      <c r="F28" s="17" t="s">
        <v>81</v>
      </c>
      <c r="G28" s="18" t="s">
        <v>112</v>
      </c>
    </row>
    <row r="29" spans="2:7" ht="15" customHeight="1" x14ac:dyDescent="0.35">
      <c r="B29" s="14" t="s">
        <v>113</v>
      </c>
      <c r="C29" s="19">
        <v>240000</v>
      </c>
      <c r="D29" s="14" t="s">
        <v>114</v>
      </c>
      <c r="E29" s="16" t="s">
        <v>115</v>
      </c>
      <c r="F29" s="17" t="s">
        <v>40</v>
      </c>
      <c r="G29" s="18" t="s">
        <v>116</v>
      </c>
    </row>
    <row r="30" spans="2:7" ht="15" customHeight="1" x14ac:dyDescent="0.35">
      <c r="B30" s="14" t="s">
        <v>117</v>
      </c>
      <c r="C30" s="19">
        <v>50000000000000</v>
      </c>
      <c r="D30" s="14" t="s">
        <v>46</v>
      </c>
      <c r="E30" s="16" t="s">
        <v>118</v>
      </c>
      <c r="F30" s="17" t="s">
        <v>51</v>
      </c>
      <c r="G30" s="18" t="s">
        <v>119</v>
      </c>
    </row>
  </sheetData>
  <hyperlinks>
    <hyperlink ref="E6" r:id="rId1" xr:uid="{00000000-0004-0000-0100-000000000000}"/>
    <hyperlink ref="E7" r:id="rId2" xr:uid="{00000000-0004-0000-0100-000001000000}"/>
    <hyperlink ref="E8" r:id="rId3" xr:uid="{00000000-0004-0000-0100-000002000000}"/>
    <hyperlink ref="E9" r:id="rId4" xr:uid="{00000000-0004-0000-0100-000003000000}"/>
    <hyperlink ref="E10" r:id="rId5" xr:uid="{00000000-0004-0000-0100-000004000000}"/>
    <hyperlink ref="E11" r:id="rId6" xr:uid="{00000000-0004-0000-0100-000005000000}"/>
    <hyperlink ref="E12" r:id="rId7" xr:uid="{00000000-0004-0000-0100-000006000000}"/>
    <hyperlink ref="E13" r:id="rId8" xr:uid="{00000000-0004-0000-0100-000007000000}"/>
    <hyperlink ref="E16" r:id="rId9" xr:uid="{00000000-0004-0000-0100-000008000000}"/>
    <hyperlink ref="E24" r:id="rId10" xr:uid="{00000000-0004-0000-0100-000009000000}"/>
    <hyperlink ref="E26" r:id="rId11" xr:uid="{00000000-0004-0000-0100-00000A000000}"/>
    <hyperlink ref="E27" r:id="rId12" xr:uid="{00000000-0004-0000-0100-00000B000000}"/>
    <hyperlink ref="E29" r:id="rId13" xr:uid="{00000000-0004-0000-0100-00000C000000}"/>
    <hyperlink ref="E30" r:id="rId14" xr:uid="{00000000-0004-0000-0100-00000D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zoomScaleNormal="100" workbookViewId="0"/>
  </sheetViews>
  <sheetFormatPr defaultColWidth="8.6328125" defaultRowHeight="14.5" x14ac:dyDescent="0.35"/>
  <cols>
    <col min="1" max="1" width="2" customWidth="1"/>
    <col min="2" max="2" width="40" customWidth="1"/>
    <col min="3" max="3" width="18" customWidth="1"/>
    <col min="4" max="4" width="4" customWidth="1"/>
    <col min="5" max="5" width="16" customWidth="1"/>
    <col min="6" max="6" width="40" customWidth="1"/>
  </cols>
  <sheetData>
    <row r="1" spans="1:8" ht="18" customHeight="1" x14ac:dyDescent="0.4">
      <c r="A1" s="11" t="s">
        <v>9</v>
      </c>
    </row>
    <row r="2" spans="1:8" ht="15" customHeight="1" x14ac:dyDescent="0.35">
      <c r="A2" s="2" t="s">
        <v>120</v>
      </c>
    </row>
    <row r="3" spans="1:8" ht="15" customHeight="1" x14ac:dyDescent="0.35">
      <c r="A3" s="12"/>
      <c r="B3" s="12"/>
      <c r="C3" s="12"/>
      <c r="D3" s="12"/>
      <c r="E3" s="12"/>
      <c r="F3" s="12"/>
      <c r="G3" s="12"/>
      <c r="H3" s="12"/>
    </row>
    <row r="4" spans="1:8" ht="15" customHeight="1" x14ac:dyDescent="0.35">
      <c r="C4" s="22" t="s">
        <v>121</v>
      </c>
      <c r="E4" s="22" t="s">
        <v>122</v>
      </c>
      <c r="F4" s="22" t="s">
        <v>123</v>
      </c>
    </row>
    <row r="5" spans="1:8" ht="15" customHeight="1" x14ac:dyDescent="0.35">
      <c r="A5" s="3" t="s">
        <v>124</v>
      </c>
      <c r="B5" s="4"/>
      <c r="C5" s="4"/>
      <c r="D5" s="4"/>
      <c r="E5" s="4"/>
      <c r="F5" s="4"/>
      <c r="G5" s="4"/>
      <c r="H5" s="4"/>
    </row>
    <row r="6" spans="1:8" ht="15" customHeight="1" x14ac:dyDescent="0.35">
      <c r="B6" s="5" t="s">
        <v>125</v>
      </c>
      <c r="C6" s="23">
        <f>'Inputs &amp; Sources'!$C$6/'Inputs &amp; Sources'!$C$7</f>
        <v>833333.33333333337</v>
      </c>
      <c r="E6" s="24" t="s">
        <v>126</v>
      </c>
      <c r="F6" s="25" t="s">
        <v>127</v>
      </c>
    </row>
    <row r="7" spans="1:8" ht="15" customHeight="1" x14ac:dyDescent="0.35">
      <c r="B7" s="5" t="s">
        <v>128</v>
      </c>
      <c r="C7" s="26">
        <f>'Inputs &amp; Sources'!$C$8/'Inputs &amp; Sources'!$C$6</f>
        <v>5000</v>
      </c>
      <c r="E7" s="24" t="s">
        <v>129</v>
      </c>
      <c r="F7" s="25" t="s">
        <v>130</v>
      </c>
    </row>
    <row r="9" spans="1:8" ht="15" customHeight="1" x14ac:dyDescent="0.35">
      <c r="A9" s="3" t="s">
        <v>131</v>
      </c>
      <c r="B9" s="4"/>
      <c r="C9" s="4"/>
      <c r="D9" s="4"/>
      <c r="E9" s="4"/>
      <c r="F9" s="4"/>
      <c r="G9" s="4"/>
      <c r="H9" s="4"/>
    </row>
    <row r="10" spans="1:8" ht="15" customHeight="1" x14ac:dyDescent="0.35">
      <c r="B10" s="5" t="s">
        <v>132</v>
      </c>
      <c r="C10" s="26">
        <f>'Inputs &amp; Sources'!$C$9/'Inputs &amp; Sources'!$C$10</f>
        <v>45000</v>
      </c>
      <c r="E10" s="24" t="s">
        <v>133</v>
      </c>
      <c r="F10" s="25" t="s">
        <v>134</v>
      </c>
    </row>
    <row r="11" spans="1:8" ht="15" customHeight="1" x14ac:dyDescent="0.35">
      <c r="B11" s="5" t="s">
        <v>135</v>
      </c>
      <c r="C11" s="23">
        <f>'Inputs &amp; Sources'!$C$10/'Inputs &amp; Sources'!$C$7</f>
        <v>41666.666666666664</v>
      </c>
      <c r="E11" s="24" t="s">
        <v>136</v>
      </c>
      <c r="F11" s="25" t="s">
        <v>137</v>
      </c>
    </row>
    <row r="12" spans="1:8" ht="15" customHeight="1" x14ac:dyDescent="0.35">
      <c r="B12" s="5" t="s">
        <v>138</v>
      </c>
      <c r="C12" s="26">
        <f>'Inputs &amp; Sources'!$C$9/C11</f>
        <v>1080000</v>
      </c>
      <c r="E12" s="24" t="s">
        <v>139</v>
      </c>
      <c r="F12" s="25" t="s">
        <v>140</v>
      </c>
    </row>
    <row r="14" spans="1:8" ht="15" customHeight="1" x14ac:dyDescent="0.35">
      <c r="A14" s="3" t="s">
        <v>141</v>
      </c>
      <c r="B14" s="4"/>
      <c r="C14" s="4"/>
      <c r="D14" s="4"/>
      <c r="E14" s="4"/>
      <c r="F14" s="4"/>
      <c r="G14" s="4"/>
      <c r="H14" s="4"/>
    </row>
    <row r="15" spans="1:8" ht="15" customHeight="1" x14ac:dyDescent="0.35">
      <c r="B15" s="5" t="s">
        <v>142</v>
      </c>
      <c r="C15" s="23">
        <f>'Inputs &amp; Sources'!$C$11*'Inputs &amp; Sources'!$C$14</f>
        <v>66225600000</v>
      </c>
      <c r="E15" s="24" t="s">
        <v>143</v>
      </c>
      <c r="F15" s="25" t="s">
        <v>144</v>
      </c>
    </row>
    <row r="16" spans="1:8" ht="15" customHeight="1" x14ac:dyDescent="0.35">
      <c r="B16" s="5" t="s">
        <v>145</v>
      </c>
      <c r="C16" s="26">
        <f>C15/1000000*'Inputs &amp; Sources'!$C$12</f>
        <v>231789.60000000003</v>
      </c>
      <c r="E16" s="24" t="s">
        <v>146</v>
      </c>
      <c r="F16" s="25" t="s">
        <v>147</v>
      </c>
    </row>
    <row r="17" spans="2:6" ht="15" customHeight="1" x14ac:dyDescent="0.35">
      <c r="B17" s="5" t="s">
        <v>148</v>
      </c>
      <c r="C17" s="26">
        <f>C16*'Inputs &amp; Sources'!$C$13</f>
        <v>92715.840000000026</v>
      </c>
      <c r="E17" s="24" t="s">
        <v>149</v>
      </c>
      <c r="F17" s="25" t="s">
        <v>150</v>
      </c>
    </row>
    <row r="18" spans="2:6" ht="15" customHeight="1" x14ac:dyDescent="0.35">
      <c r="B18" s="5" t="s">
        <v>138</v>
      </c>
      <c r="C18" s="26">
        <f>C17*'Inputs &amp; Sources'!$C$7</f>
        <v>2225180.1600000006</v>
      </c>
      <c r="E18" s="24" t="s">
        <v>151</v>
      </c>
      <c r="F18" s="25" t="s">
        <v>152</v>
      </c>
    </row>
    <row r="20" spans="2:6" ht="32.25" customHeight="1" x14ac:dyDescent="0.35">
      <c r="B20" s="27" t="s">
        <v>153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9"/>
  <sheetViews>
    <sheetView topLeftCell="A17" zoomScaleNormal="100" workbookViewId="0">
      <selection activeCell="E16" sqref="E16"/>
    </sheetView>
  </sheetViews>
  <sheetFormatPr defaultColWidth="8.6328125" defaultRowHeight="14.5" x14ac:dyDescent="0.35"/>
  <cols>
    <col min="1" max="1" width="2" customWidth="1"/>
    <col min="2" max="2" width="42" customWidth="1"/>
    <col min="3" max="3" width="26.26953125" customWidth="1"/>
    <col min="4" max="4" width="4" customWidth="1"/>
    <col min="5" max="5" width="16" customWidth="1"/>
    <col min="6" max="6" width="42" customWidth="1"/>
  </cols>
  <sheetData>
    <row r="1" spans="1:8" ht="18" customHeight="1" x14ac:dyDescent="0.4">
      <c r="A1" s="11" t="s">
        <v>11</v>
      </c>
    </row>
    <row r="2" spans="1:8" ht="15" customHeight="1" x14ac:dyDescent="0.35">
      <c r="A2" s="2" t="s">
        <v>154</v>
      </c>
    </row>
    <row r="3" spans="1:8" ht="15" customHeight="1" x14ac:dyDescent="0.35">
      <c r="A3" s="12"/>
      <c r="B3" s="12"/>
      <c r="C3" s="12"/>
      <c r="D3" s="12"/>
      <c r="E3" s="12"/>
      <c r="F3" s="12"/>
      <c r="G3" s="12"/>
      <c r="H3" s="12"/>
    </row>
    <row r="4" spans="1:8" ht="15" customHeight="1" x14ac:dyDescent="0.35">
      <c r="C4" s="22" t="s">
        <v>121</v>
      </c>
      <c r="E4" s="22" t="s">
        <v>122</v>
      </c>
      <c r="F4" s="22" t="s">
        <v>123</v>
      </c>
    </row>
    <row r="5" spans="1:8" ht="15" customHeight="1" x14ac:dyDescent="0.35">
      <c r="A5" s="3" t="s">
        <v>155</v>
      </c>
      <c r="B5" s="4"/>
      <c r="C5" s="4"/>
      <c r="D5" s="4"/>
      <c r="E5" s="4"/>
      <c r="F5" s="4"/>
      <c r="G5" s="4"/>
      <c r="H5" s="4"/>
    </row>
    <row r="6" spans="1:8" ht="15" customHeight="1" x14ac:dyDescent="0.35">
      <c r="B6" s="5" t="s">
        <v>156</v>
      </c>
      <c r="C6" s="23">
        <f>'Inputs &amp; Sources'!$C$6*'Inputs &amp; Sources'!$C$16^'Inputs &amp; Sources'!$C$17</f>
        <v>4860000000</v>
      </c>
      <c r="E6" s="24" t="s">
        <v>157</v>
      </c>
      <c r="F6" s="25" t="s">
        <v>158</v>
      </c>
    </row>
    <row r="7" spans="1:8" ht="15" customHeight="1" x14ac:dyDescent="0.35">
      <c r="B7" s="5" t="s">
        <v>159</v>
      </c>
      <c r="C7" s="23">
        <f>C6/'Inputs &amp; Sources'!$C$18</f>
        <v>24300000</v>
      </c>
      <c r="E7" s="24" t="s">
        <v>160</v>
      </c>
      <c r="F7" s="25" t="s">
        <v>161</v>
      </c>
    </row>
    <row r="8" spans="1:8" ht="15" customHeight="1" x14ac:dyDescent="0.35">
      <c r="B8" s="5" t="s">
        <v>162</v>
      </c>
      <c r="C8" s="28">
        <f>C7/'2026 Baseline'!C6</f>
        <v>29.16</v>
      </c>
      <c r="E8" s="24" t="s">
        <v>163</v>
      </c>
    </row>
    <row r="10" spans="1:8" ht="15" customHeight="1" x14ac:dyDescent="0.35">
      <c r="A10" s="3" t="s">
        <v>164</v>
      </c>
      <c r="B10" s="4"/>
      <c r="C10" s="4"/>
      <c r="D10" s="4"/>
      <c r="E10" s="4"/>
      <c r="F10" s="4"/>
      <c r="G10" s="4"/>
      <c r="H10" s="4"/>
    </row>
    <row r="11" spans="1:8" ht="18.75" customHeight="1" x14ac:dyDescent="0.35">
      <c r="B11" s="5" t="s">
        <v>165</v>
      </c>
      <c r="C11" s="26">
        <f>'Inputs &amp; Sources'!$C$19*'Inputs &amp; Sources'!$C$20</f>
        <v>180000000000000</v>
      </c>
      <c r="E11" s="24" t="s">
        <v>166</v>
      </c>
      <c r="F11" s="25" t="s">
        <v>167</v>
      </c>
    </row>
    <row r="12" spans="1:8" ht="15" customHeight="1" x14ac:dyDescent="0.35">
      <c r="B12" s="5" t="s">
        <v>168</v>
      </c>
      <c r="C12" s="26">
        <f>'Inputs &amp; Sources'!$C$19*'Inputs &amp; Sources'!$C$21</f>
        <v>10000000000000</v>
      </c>
      <c r="E12" s="24" t="s">
        <v>169</v>
      </c>
      <c r="F12" s="25" t="s">
        <v>170</v>
      </c>
    </row>
    <row r="14" spans="1:8" ht="15" customHeight="1" x14ac:dyDescent="0.35">
      <c r="A14" s="3" t="s">
        <v>171</v>
      </c>
      <c r="B14" s="4"/>
      <c r="C14" s="4"/>
      <c r="D14" s="4"/>
      <c r="E14" s="4"/>
      <c r="F14" s="4"/>
      <c r="G14" s="4"/>
      <c r="H14" s="4"/>
    </row>
    <row r="15" spans="1:8" ht="26.5" customHeight="1" x14ac:dyDescent="0.35">
      <c r="B15" s="5" t="s">
        <v>172</v>
      </c>
      <c r="C15" s="26">
        <f>'Inputs &amp; Sources'!$C$22*'Inputs &amp; Sources'!$C$23</f>
        <v>2000000000000</v>
      </c>
      <c r="E15" s="24" t="s">
        <v>173</v>
      </c>
      <c r="F15" s="25" t="s">
        <v>174</v>
      </c>
    </row>
    <row r="16" spans="1:8" ht="15" customHeight="1" x14ac:dyDescent="0.35">
      <c r="B16" s="5" t="s">
        <v>175</v>
      </c>
      <c r="C16" s="26">
        <f>'Inputs &amp; Sources'!$C$22*'2026 Baseline'!C12</f>
        <v>10800000000000</v>
      </c>
      <c r="E16" s="24" t="s">
        <v>176</v>
      </c>
      <c r="F16" s="25" t="s">
        <v>177</v>
      </c>
    </row>
    <row r="18" spans="1:8" ht="15" customHeight="1" x14ac:dyDescent="0.35">
      <c r="A18" s="3" t="s">
        <v>178</v>
      </c>
      <c r="B18" s="4"/>
      <c r="C18" s="4"/>
      <c r="D18" s="4"/>
      <c r="E18" s="4"/>
      <c r="F18" s="4"/>
      <c r="G18" s="4"/>
      <c r="H18" s="4"/>
    </row>
    <row r="19" spans="1:8" ht="15" customHeight="1" x14ac:dyDescent="0.35">
      <c r="B19" s="5" t="s">
        <v>179</v>
      </c>
      <c r="C19" s="23">
        <f>'Inputs &amp; Sources'!$C$24*'Inputs &amp; Sources'!$C$25</f>
        <v>100000000000</v>
      </c>
      <c r="E19" s="24" t="s">
        <v>180</v>
      </c>
    </row>
    <row r="20" spans="1:8" ht="15" customHeight="1" x14ac:dyDescent="0.35">
      <c r="B20" s="5" t="s">
        <v>181</v>
      </c>
      <c r="C20" s="23">
        <f>C19*60</f>
        <v>6000000000000</v>
      </c>
      <c r="E20" s="24" t="s">
        <v>182</v>
      </c>
    </row>
    <row r="21" spans="1:8" ht="18.75" customHeight="1" x14ac:dyDescent="0.35">
      <c r="B21" s="5" t="s">
        <v>183</v>
      </c>
      <c r="C21" s="29">
        <v>0.83</v>
      </c>
      <c r="E21" s="24" t="s">
        <v>184</v>
      </c>
      <c r="F21" s="25" t="s">
        <v>185</v>
      </c>
    </row>
    <row r="22" spans="1:8" ht="15" customHeight="1" x14ac:dyDescent="0.35">
      <c r="B22" s="5" t="s">
        <v>186</v>
      </c>
      <c r="C22" s="26">
        <f>C20/1000000*C21</f>
        <v>4980000</v>
      </c>
      <c r="E22" s="24" t="s">
        <v>187</v>
      </c>
    </row>
    <row r="23" spans="1:8" ht="15" customHeight="1" x14ac:dyDescent="0.35">
      <c r="B23" s="5" t="s">
        <v>188</v>
      </c>
      <c r="C23" s="26">
        <f>C22*60*24*365</f>
        <v>2617488000000</v>
      </c>
      <c r="E23" s="24" t="s">
        <v>189</v>
      </c>
      <c r="F23" s="25" t="s">
        <v>190</v>
      </c>
    </row>
    <row r="24" spans="1:8" ht="15" customHeight="1" x14ac:dyDescent="0.35">
      <c r="B24" s="5" t="s">
        <v>191</v>
      </c>
      <c r="C24" s="26">
        <f>C20/1000000*3.5*60*24*365</f>
        <v>11037600000000</v>
      </c>
      <c r="E24" s="24" t="s">
        <v>176</v>
      </c>
      <c r="F24" s="25" t="s">
        <v>192</v>
      </c>
    </row>
    <row r="25" spans="1:8" ht="15" customHeight="1" x14ac:dyDescent="0.35">
      <c r="B25" s="5" t="s">
        <v>193</v>
      </c>
      <c r="C25" s="26">
        <f>C20/1000000*0.5*60*24*365</f>
        <v>1576800000000</v>
      </c>
      <c r="E25" s="24" t="s">
        <v>176</v>
      </c>
      <c r="F25" s="25" t="s">
        <v>194</v>
      </c>
    </row>
    <row r="27" spans="1:8" ht="15" customHeight="1" x14ac:dyDescent="0.35">
      <c r="A27" s="3" t="s">
        <v>195</v>
      </c>
      <c r="B27" s="4"/>
      <c r="C27" s="4"/>
      <c r="D27" s="4"/>
      <c r="E27" s="4"/>
      <c r="F27" s="4"/>
      <c r="G27" s="4"/>
      <c r="H27" s="4"/>
    </row>
    <row r="28" spans="1:8" ht="27.75" customHeight="1" x14ac:dyDescent="0.35">
      <c r="B28" s="5" t="s">
        <v>196</v>
      </c>
      <c r="C28" s="30">
        <f>(C15/'Inputs &amp; Sources'!$C$8)^(1/'Inputs &amp; Sources'!$C$17)-1</f>
        <v>0.82056420302608024</v>
      </c>
      <c r="E28" s="24" t="s">
        <v>197</v>
      </c>
      <c r="F28" s="25" t="s">
        <v>198</v>
      </c>
    </row>
    <row r="29" spans="1:8" ht="32.25" customHeight="1" x14ac:dyDescent="0.35">
      <c r="B29" s="27" t="s">
        <v>199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8"/>
  <sheetViews>
    <sheetView zoomScaleNormal="100" workbookViewId="0"/>
  </sheetViews>
  <sheetFormatPr defaultColWidth="8.6328125" defaultRowHeight="14.5" x14ac:dyDescent="0.35"/>
  <cols>
    <col min="1" max="1" width="2" customWidth="1"/>
    <col min="2" max="2" width="44" customWidth="1"/>
    <col min="3" max="3" width="18" customWidth="1"/>
    <col min="4" max="4" width="4" customWidth="1"/>
    <col min="5" max="5" width="16" customWidth="1"/>
    <col min="6" max="6" width="42" customWidth="1"/>
  </cols>
  <sheetData>
    <row r="1" spans="1:8" ht="18" customHeight="1" x14ac:dyDescent="0.4">
      <c r="A1" s="11" t="s">
        <v>200</v>
      </c>
    </row>
    <row r="2" spans="1:8" ht="15" customHeight="1" x14ac:dyDescent="0.35">
      <c r="A2" s="2" t="s">
        <v>201</v>
      </c>
    </row>
    <row r="3" spans="1:8" ht="15" customHeight="1" x14ac:dyDescent="0.35">
      <c r="A3" s="12"/>
      <c r="B3" s="12"/>
      <c r="C3" s="12"/>
      <c r="D3" s="12"/>
      <c r="E3" s="12"/>
      <c r="F3" s="12"/>
      <c r="G3" s="12"/>
      <c r="H3" s="12"/>
    </row>
    <row r="4" spans="1:8" ht="15" customHeight="1" x14ac:dyDescent="0.35">
      <c r="C4" s="22" t="s">
        <v>121</v>
      </c>
      <c r="E4" s="22" t="s">
        <v>122</v>
      </c>
      <c r="F4" s="22" t="s">
        <v>123</v>
      </c>
    </row>
    <row r="5" spans="1:8" ht="15" customHeight="1" x14ac:dyDescent="0.35">
      <c r="A5" s="3" t="s">
        <v>202</v>
      </c>
      <c r="B5" s="4"/>
      <c r="C5" s="4"/>
      <c r="D5" s="4"/>
      <c r="E5" s="4"/>
      <c r="F5" s="4"/>
      <c r="G5" s="4"/>
      <c r="H5" s="4"/>
    </row>
    <row r="6" spans="1:8" ht="15" customHeight="1" x14ac:dyDescent="0.35">
      <c r="B6" s="5" t="s">
        <v>203</v>
      </c>
      <c r="C6" s="31">
        <f>'Inputs &amp; Sources'!$C$26/'2031 Projection'!C20/60</f>
        <v>1.3888888888888888</v>
      </c>
      <c r="E6" s="24" t="s">
        <v>204</v>
      </c>
      <c r="F6" s="25" t="s">
        <v>205</v>
      </c>
    </row>
    <row r="8" spans="1:8" ht="15" customHeight="1" x14ac:dyDescent="0.35">
      <c r="A8" s="3" t="s">
        <v>206</v>
      </c>
      <c r="B8" s="4"/>
      <c r="C8" s="4"/>
      <c r="D8" s="4"/>
      <c r="E8" s="4"/>
      <c r="F8" s="4"/>
      <c r="G8" s="4"/>
      <c r="H8" s="4"/>
    </row>
    <row r="9" spans="1:8" ht="15" customHeight="1" x14ac:dyDescent="0.35">
      <c r="B9" s="5" t="s">
        <v>207</v>
      </c>
      <c r="C9" s="23">
        <f>'Inputs &amp; Sources'!$C$27*'Inputs &amp; Sources'!$C$28</f>
        <v>1500000000000</v>
      </c>
      <c r="E9" s="24" t="s">
        <v>208</v>
      </c>
      <c r="F9" s="25" t="s">
        <v>209</v>
      </c>
    </row>
    <row r="10" spans="1:8" ht="15" customHeight="1" x14ac:dyDescent="0.35">
      <c r="B10" s="5" t="s">
        <v>210</v>
      </c>
      <c r="C10" s="28">
        <f>'2031 Projection'!C20/C9</f>
        <v>4</v>
      </c>
      <c r="E10" s="24" t="s">
        <v>211</v>
      </c>
      <c r="F10" s="25" t="s">
        <v>212</v>
      </c>
    </row>
    <row r="12" spans="1:8" ht="15" customHeight="1" x14ac:dyDescent="0.35">
      <c r="A12" s="3" t="s">
        <v>213</v>
      </c>
      <c r="B12" s="4"/>
      <c r="C12" s="4"/>
      <c r="D12" s="4"/>
      <c r="E12" s="4"/>
      <c r="F12" s="4"/>
      <c r="G12" s="4"/>
      <c r="H12" s="4"/>
    </row>
    <row r="13" spans="1:8" ht="15" customHeight="1" x14ac:dyDescent="0.35">
      <c r="B13" s="5" t="s">
        <v>214</v>
      </c>
      <c r="C13" s="23">
        <f>'Inputs &amp; Sources'!$C$27*'Inputs &amp; Sources'!$C$29</f>
        <v>360000000000000</v>
      </c>
      <c r="E13" s="24" t="s">
        <v>176</v>
      </c>
      <c r="F13" s="25" t="s">
        <v>215</v>
      </c>
    </row>
    <row r="14" spans="1:8" ht="15" customHeight="1" x14ac:dyDescent="0.35">
      <c r="B14" s="5" t="s">
        <v>216</v>
      </c>
      <c r="C14" s="23">
        <f>'2031 Projection'!C20*1440</f>
        <v>8640000000000000</v>
      </c>
      <c r="E14" s="24" t="s">
        <v>176</v>
      </c>
      <c r="F14" s="25" t="s">
        <v>217</v>
      </c>
    </row>
    <row r="15" spans="1:8" ht="18.75" customHeight="1" x14ac:dyDescent="0.35">
      <c r="B15" s="5" t="s">
        <v>218</v>
      </c>
      <c r="C15" s="28">
        <f>C14/C13</f>
        <v>24</v>
      </c>
      <c r="E15" s="24" t="s">
        <v>176</v>
      </c>
      <c r="F15" s="25" t="s">
        <v>219</v>
      </c>
    </row>
    <row r="17" spans="1:8" ht="15" customHeight="1" x14ac:dyDescent="0.35">
      <c r="A17" s="3" t="s">
        <v>220</v>
      </c>
      <c r="B17" s="4"/>
      <c r="C17" s="4"/>
      <c r="D17" s="4"/>
      <c r="E17" s="4"/>
      <c r="F17" s="4"/>
      <c r="G17" s="4"/>
      <c r="H17" s="4"/>
    </row>
    <row r="18" spans="1:8" ht="15" customHeight="1" x14ac:dyDescent="0.35">
      <c r="B18" s="5" t="s">
        <v>221</v>
      </c>
      <c r="C18" s="30">
        <f>'2031 Projection'!C15/'Inputs &amp; Sources'!$C$30</f>
        <v>0.04</v>
      </c>
      <c r="E18" s="24" t="s">
        <v>222</v>
      </c>
      <c r="F18" s="25" t="s">
        <v>223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2021"/>
  <sheetViews>
    <sheetView tabSelected="1" zoomScaleNormal="100" workbookViewId="0">
      <pane ySplit="21" topLeftCell="A48" activePane="bottomLeft" state="frozen"/>
      <selection pane="bottomLeft" activeCell="F7" sqref="F7"/>
    </sheetView>
  </sheetViews>
  <sheetFormatPr defaultColWidth="8.6328125" defaultRowHeight="14.5" x14ac:dyDescent="0.35"/>
  <cols>
    <col min="1" max="1" width="2" customWidth="1"/>
    <col min="2" max="2" width="22" customWidth="1"/>
    <col min="3" max="3" width="15.26953125" customWidth="1"/>
    <col min="4" max="4" width="13.26953125" customWidth="1"/>
    <col min="5" max="5" width="15.26953125" customWidth="1"/>
    <col min="6" max="6" width="14.7265625" customWidth="1"/>
    <col min="7" max="7" width="15.26953125" customWidth="1"/>
    <col min="8" max="8" width="15.453125" customWidth="1"/>
    <col min="9" max="9" width="15.36328125" customWidth="1"/>
    <col min="10" max="10" width="18.54296875" customWidth="1"/>
    <col min="11" max="11" width="13" customWidth="1"/>
    <col min="13" max="13" width="18.6328125" customWidth="1"/>
    <col min="14" max="14" width="21.1796875" customWidth="1"/>
    <col min="15" max="15" width="18.54296875" customWidth="1"/>
    <col min="16" max="16" width="21.1796875" customWidth="1"/>
    <col min="17" max="17" width="23.1796875" customWidth="1"/>
    <col min="18" max="18" width="23.90625" customWidth="1"/>
    <col min="19" max="19" width="21.26953125" customWidth="1"/>
  </cols>
  <sheetData>
    <row r="1" spans="1:19" ht="18" customHeight="1" x14ac:dyDescent="0.4">
      <c r="A1" s="11" t="s">
        <v>224</v>
      </c>
    </row>
    <row r="2" spans="1:19" ht="15" customHeight="1" x14ac:dyDescent="0.35">
      <c r="A2" s="2" t="s">
        <v>225</v>
      </c>
    </row>
    <row r="3" spans="1:19" ht="15" customHeight="1" x14ac:dyDescent="0.3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</row>
    <row r="5" spans="1:19" ht="15" customHeight="1" x14ac:dyDescent="0.35">
      <c r="A5" s="3" t="s">
        <v>226</v>
      </c>
      <c r="B5" s="4"/>
      <c r="C5" s="4"/>
      <c r="D5" s="4"/>
      <c r="E5" s="4"/>
      <c r="F5" s="4"/>
      <c r="G5" s="4"/>
      <c r="H5" s="4"/>
      <c r="I5" s="4"/>
      <c r="J5" s="4"/>
      <c r="K5" s="4"/>
      <c r="M5" s="32" t="s">
        <v>227</v>
      </c>
    </row>
    <row r="6" spans="1:19" ht="15" customHeight="1" x14ac:dyDescent="0.35">
      <c r="B6" s="22" t="s">
        <v>30</v>
      </c>
      <c r="C6" s="22" t="s">
        <v>228</v>
      </c>
      <c r="D6" s="22" t="s">
        <v>229</v>
      </c>
      <c r="E6" s="22" t="s">
        <v>230</v>
      </c>
      <c r="F6" s="22" t="s">
        <v>297</v>
      </c>
      <c r="M6" s="22" t="s">
        <v>231</v>
      </c>
      <c r="N6" s="22" t="s">
        <v>232</v>
      </c>
      <c r="O6" s="22" t="s">
        <v>233</v>
      </c>
      <c r="P6" s="22" t="s">
        <v>234</v>
      </c>
      <c r="Q6" s="22" t="s">
        <v>235</v>
      </c>
      <c r="R6" s="22" t="s">
        <v>236</v>
      </c>
      <c r="S6" s="22" t="s">
        <v>237</v>
      </c>
    </row>
    <row r="7" spans="1:19" ht="15" customHeight="1" x14ac:dyDescent="0.35">
      <c r="B7" s="5" t="s">
        <v>238</v>
      </c>
      <c r="C7" s="33">
        <v>3</v>
      </c>
      <c r="D7" s="33">
        <v>0.45</v>
      </c>
      <c r="E7" s="24" t="s">
        <v>239</v>
      </c>
      <c r="M7" s="6" t="s">
        <v>240</v>
      </c>
      <c r="N7" s="34">
        <f ca="1">PERCENTILE(E22:E2021,0.05)</f>
        <v>2371970200449.7437</v>
      </c>
      <c r="O7" s="34">
        <f ca="1">PERCENTILE(E22:E2021,0.25)</f>
        <v>8107203962114.0137</v>
      </c>
      <c r="P7" s="34">
        <f ca="1">PERCENTILE(E22:E2021,0.5)</f>
        <v>16676812782786.191</v>
      </c>
      <c r="Q7" s="34">
        <f ca="1">PERCENTILE(E22:E2021,0.75)</f>
        <v>36402398124521.75</v>
      </c>
      <c r="R7" s="34">
        <f ca="1">PERCENTILE(E22:E2021,0.95)</f>
        <v>108322248816454.52</v>
      </c>
      <c r="S7" s="34">
        <f ca="1">AVERAGE(E22:E2021)</f>
        <v>31373791792423.621</v>
      </c>
    </row>
    <row r="8" spans="1:19" ht="15" customHeight="1" x14ac:dyDescent="0.35">
      <c r="B8" s="5" t="s">
        <v>241</v>
      </c>
      <c r="C8" s="33">
        <v>16000000</v>
      </c>
      <c r="D8" s="33">
        <v>24000000</v>
      </c>
      <c r="E8" s="24" t="s">
        <v>242</v>
      </c>
      <c r="M8" s="6" t="s">
        <v>243</v>
      </c>
      <c r="N8" s="34">
        <f ca="1">PERCENTILE(F22:F2021,0.05)</f>
        <v>491310785634.59686</v>
      </c>
      <c r="O8" s="34">
        <f ca="1">PERCENTILE(F22:F2021,0.25)</f>
        <v>1425366422040.0122</v>
      </c>
      <c r="P8" s="34">
        <f ca="1">PERCENTILE(F22:F2021,0.5)</f>
        <v>2755781124454.3818</v>
      </c>
      <c r="Q8" s="34">
        <f ca="1">PERCENTILE(F22:F2021,0.75)</f>
        <v>5782894343237.8945</v>
      </c>
      <c r="R8" s="34">
        <f ca="1">PERCENTILE(F22:F2021,0.95)</f>
        <v>17989008020445.258</v>
      </c>
      <c r="S8" s="34">
        <f ca="1">AVERAGE(F22:F2021)</f>
        <v>5364952392587.4443</v>
      </c>
    </row>
    <row r="9" spans="1:19" ht="15" customHeight="1" x14ac:dyDescent="0.35">
      <c r="B9" s="5" t="s">
        <v>244</v>
      </c>
      <c r="C9" s="33">
        <v>9.7596469999999993</v>
      </c>
      <c r="D9" s="33">
        <v>0.75529100000000005</v>
      </c>
      <c r="E9" s="24" t="s">
        <v>245</v>
      </c>
      <c r="M9" s="6" t="s">
        <v>246</v>
      </c>
      <c r="N9" s="34">
        <f ca="1">PERCENTILE(G22:G2021,0.05)</f>
        <v>472372949168.08136</v>
      </c>
      <c r="O9" s="34">
        <f ca="1">PERCENTILE(G22:G2021,0.25)</f>
        <v>2165195517503.6624</v>
      </c>
      <c r="P9" s="34">
        <f ca="1">PERCENTILE(G22:G2021,0.5)</f>
        <v>5443563996390.041</v>
      </c>
      <c r="Q9" s="34">
        <f ca="1">PERCENTILE(G22:G2021,0.75)</f>
        <v>14893704784904.49</v>
      </c>
      <c r="R9" s="34">
        <f ca="1">PERCENTILE(G22:G2021,0.95)</f>
        <v>61582223019797.555</v>
      </c>
      <c r="S9" s="34">
        <f ca="1">AVERAGE(G22:G2021)</f>
        <v>16517518700017.975</v>
      </c>
    </row>
    <row r="10" spans="1:19" ht="15" customHeight="1" x14ac:dyDescent="0.35">
      <c r="B10" s="5" t="s">
        <v>247</v>
      </c>
      <c r="C10" s="33">
        <v>0.25</v>
      </c>
      <c r="D10" s="33">
        <v>0.55000000000000004</v>
      </c>
      <c r="E10" s="24" t="s">
        <v>242</v>
      </c>
      <c r="M10" s="6" t="s">
        <v>248</v>
      </c>
      <c r="N10" s="34">
        <f ca="1">PERCENTILE(H22:H2021,0.05)</f>
        <v>625060829819.0426</v>
      </c>
      <c r="O10" s="34">
        <f ca="1">PERCENTILE(H22:H2021,0.25)</f>
        <v>2417062538919.0308</v>
      </c>
      <c r="P10" s="34">
        <f ca="1">PERCENTILE(H22:H2021,0.5)</f>
        <v>6304334249794.0938</v>
      </c>
      <c r="Q10" s="34">
        <f ca="1">PERCENTILE(H22:H2021,0.75)</f>
        <v>16986008519778.539</v>
      </c>
      <c r="R10" s="34">
        <f ca="1">PERCENTILE(H22:H2021,0.95)</f>
        <v>67013610302890.656</v>
      </c>
      <c r="S10" s="34">
        <f ca="1">AVERAGE(H22:H2021)</f>
        <v>17165616157911.055</v>
      </c>
    </row>
    <row r="11" spans="1:19" ht="15" customHeight="1" x14ac:dyDescent="0.35">
      <c r="B11" s="5" t="s">
        <v>249</v>
      </c>
      <c r="C11" s="33">
        <v>0.25</v>
      </c>
      <c r="D11" s="33">
        <v>0.9</v>
      </c>
      <c r="E11" s="24" t="s">
        <v>250</v>
      </c>
    </row>
    <row r="12" spans="1:19" ht="15" customHeight="1" x14ac:dyDescent="0.35">
      <c r="B12" s="5" t="s">
        <v>251</v>
      </c>
      <c r="C12" s="33">
        <v>16.065415000000002</v>
      </c>
      <c r="D12" s="33">
        <v>0.699874</v>
      </c>
      <c r="E12" s="24" t="s">
        <v>252</v>
      </c>
      <c r="M12" s="35" t="s">
        <v>253</v>
      </c>
    </row>
    <row r="13" spans="1:19" ht="15" customHeight="1" x14ac:dyDescent="0.35">
      <c r="B13" s="5" t="s">
        <v>254</v>
      </c>
      <c r="C13" s="33">
        <v>12.643807000000001</v>
      </c>
      <c r="D13" s="33">
        <v>0.82311599999999996</v>
      </c>
      <c r="E13" s="24" t="s">
        <v>255</v>
      </c>
      <c r="M13" s="5" t="s">
        <v>256</v>
      </c>
      <c r="N13" s="36">
        <f ca="1">COUNTIF(H22:H2021,"&gt;2000000000000")/2000</f>
        <v>0.79200000000000004</v>
      </c>
    </row>
    <row r="14" spans="1:19" ht="15" customHeight="1" x14ac:dyDescent="0.35">
      <c r="B14" s="5" t="s">
        <v>257</v>
      </c>
      <c r="C14" s="33">
        <v>27.631021</v>
      </c>
      <c r="D14" s="33">
        <v>1.255412</v>
      </c>
      <c r="E14" s="24" t="s">
        <v>258</v>
      </c>
      <c r="M14" s="5" t="s">
        <v>259</v>
      </c>
      <c r="N14" s="36">
        <f ca="1">COUNTIF(H22:H2021,"&gt;1000000000000")/2000</f>
        <v>0.90900000000000003</v>
      </c>
    </row>
    <row r="15" spans="1:19" ht="15" customHeight="1" x14ac:dyDescent="0.35">
      <c r="B15" s="5" t="s">
        <v>260</v>
      </c>
      <c r="C15" s="33">
        <v>0.05</v>
      </c>
      <c r="D15" s="33">
        <v>0.3</v>
      </c>
      <c r="E15" s="24" t="s">
        <v>261</v>
      </c>
      <c r="M15" s="5" t="s">
        <v>262</v>
      </c>
      <c r="N15" s="36">
        <f ca="1">COUNTIF(H22:H2021,"&gt;10000000000000")/2000</f>
        <v>0.38250000000000001</v>
      </c>
    </row>
    <row r="16" spans="1:19" ht="15" customHeight="1" x14ac:dyDescent="0.35">
      <c r="B16" s="5" t="s">
        <v>263</v>
      </c>
      <c r="C16" s="33">
        <v>0.168236</v>
      </c>
      <c r="D16" s="33">
        <v>0.65928699999999996</v>
      </c>
      <c r="E16" s="24" t="s">
        <v>264</v>
      </c>
    </row>
    <row r="17" spans="1:14" ht="15" customHeight="1" x14ac:dyDescent="0.35">
      <c r="B17" s="5" t="s">
        <v>265</v>
      </c>
      <c r="C17" s="33">
        <v>1000000000</v>
      </c>
      <c r="D17" s="33">
        <v>1600000000</v>
      </c>
      <c r="E17" s="24" t="s">
        <v>242</v>
      </c>
      <c r="M17" s="35" t="s">
        <v>266</v>
      </c>
    </row>
    <row r="18" spans="1:14" ht="15" customHeight="1" x14ac:dyDescent="0.35">
      <c r="B18" s="5" t="s">
        <v>267</v>
      </c>
      <c r="C18" s="33">
        <v>400</v>
      </c>
      <c r="D18" s="33">
        <v>1200</v>
      </c>
      <c r="E18" s="24" t="s">
        <v>242</v>
      </c>
      <c r="M18" s="5" t="s">
        <v>268</v>
      </c>
      <c r="N18" s="37">
        <f ca="1">MEDIAN(K22:K2021)</f>
        <v>9.2615685413452304</v>
      </c>
    </row>
    <row r="19" spans="1:14" ht="15" customHeight="1" x14ac:dyDescent="0.35">
      <c r="M19" s="5" t="s">
        <v>269</v>
      </c>
      <c r="N19" s="36">
        <f ca="1">COUNTIF(K22:K2021,"&gt;1")/2000</f>
        <v>0.94550000000000001</v>
      </c>
    </row>
    <row r="20" spans="1:14" ht="15" customHeight="1" x14ac:dyDescent="0.35">
      <c r="A20" s="3" t="s">
        <v>270</v>
      </c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4" ht="126.75" customHeight="1" x14ac:dyDescent="0.35">
      <c r="B21" s="38" t="s">
        <v>271</v>
      </c>
      <c r="C21" s="38" t="s">
        <v>272</v>
      </c>
      <c r="D21" s="38" t="s">
        <v>273</v>
      </c>
      <c r="E21" s="38" t="s">
        <v>274</v>
      </c>
      <c r="F21" s="38" t="s">
        <v>275</v>
      </c>
      <c r="G21" s="38" t="s">
        <v>276</v>
      </c>
      <c r="H21" s="38" t="s">
        <v>277</v>
      </c>
      <c r="I21" s="38" t="s">
        <v>278</v>
      </c>
      <c r="J21" s="38" t="s">
        <v>279</v>
      </c>
      <c r="K21" s="38" t="s">
        <v>280</v>
      </c>
      <c r="M21" s="27" t="s">
        <v>281</v>
      </c>
    </row>
    <row r="22" spans="1:14" ht="15" customHeight="1" x14ac:dyDescent="0.35">
      <c r="B22" s="5">
        <v>1</v>
      </c>
      <c r="C22" s="39">
        <f t="shared" ref="C22:C85" ca="1" si="0">MEDIAN(1.8,NORMINV(RAND(),$C$7,$D$7),4.5)</f>
        <v>3.9809099857885526</v>
      </c>
      <c r="D22" s="40">
        <f t="shared" ref="D22:D85" ca="1" si="1">($C$8+RAND()*($D$8-$C$8))*C22^5</f>
        <v>18598828946.478439</v>
      </c>
      <c r="E22" s="40">
        <f t="shared" ref="E22:E85" ca="1" si="2">D22*($C$10+RAND()*($D$10-$C$10))*EXP(NORMINV(RAND(),$C$9,$D$9))*($C$11+RAND()*($D$11-$C$11))</f>
        <v>32122686411570.336</v>
      </c>
      <c r="F22" s="40">
        <f t="shared" ref="F22:F85" ca="1" si="3">EXP(NORMINV(RAND(),$C$12,$D$12))*EXP(NORMINV(RAND(),$C$13,$D$13))</f>
        <v>1995277172253.8501</v>
      </c>
      <c r="G22" s="40">
        <f t="shared" ref="G22:G85" ca="1" si="4">EXP(NORMINV(RAND(),$C$14,$D$14))*($C$15+RAND()*($D$15-$C$15))*EXP(NORMINV(RAND(),$C$16,$D$16))/1000000*31536000</f>
        <v>1511753567384.1482</v>
      </c>
      <c r="H22" s="40">
        <f t="shared" ref="H22:H85" ca="1" si="5">CHOOSE(RANDBETWEEN(1,3),E22,F22,G22)</f>
        <v>1511753567384.1482</v>
      </c>
      <c r="I22" s="40">
        <f t="shared" ref="I22:I85" ca="1" si="6">EXP(NORMINV(RAND(),$C$14,$D$14))*($C$15+RAND()*($D$15-$C$15))*60</f>
        <v>1857799152162.6023</v>
      </c>
      <c r="J22" s="40">
        <f t="shared" ref="J22:J85" ca="1" si="7">($C$17+RAND()*($D$17-$C$17))*($C$18+RAND()*($D$18-$C$18))</f>
        <v>569869884699.68225</v>
      </c>
      <c r="K22" s="41">
        <f t="shared" ref="K22:K85" ca="1" si="8">I22/J22</f>
        <v>3.2600409357333393</v>
      </c>
    </row>
    <row r="23" spans="1:14" ht="15" customHeight="1" x14ac:dyDescent="0.35">
      <c r="B23" s="5">
        <v>2</v>
      </c>
      <c r="C23" s="39">
        <f t="shared" ca="1" si="0"/>
        <v>2.4439673277047387</v>
      </c>
      <c r="D23" s="40">
        <f t="shared" ca="1" si="1"/>
        <v>1881465889.8460636</v>
      </c>
      <c r="E23" s="40">
        <f t="shared" ca="1" si="2"/>
        <v>877884469023.75562</v>
      </c>
      <c r="F23" s="40">
        <f t="shared" ca="1" si="3"/>
        <v>1281162813846.2219</v>
      </c>
      <c r="G23" s="40">
        <f t="shared" ca="1" si="4"/>
        <v>2313752922564.2202</v>
      </c>
      <c r="H23" s="40">
        <f t="shared" ca="1" si="5"/>
        <v>877884469023.75562</v>
      </c>
      <c r="I23" s="40">
        <f t="shared" ca="1" si="6"/>
        <v>14325707489966.523</v>
      </c>
      <c r="J23" s="40">
        <f t="shared" ca="1" si="7"/>
        <v>586549577938.40588</v>
      </c>
      <c r="K23" s="41">
        <f t="shared" ca="1" si="8"/>
        <v>24.423694140771982</v>
      </c>
    </row>
    <row r="24" spans="1:14" ht="15" customHeight="1" x14ac:dyDescent="0.35">
      <c r="B24" s="5">
        <v>3</v>
      </c>
      <c r="C24" s="39">
        <f t="shared" ca="1" si="0"/>
        <v>3.1712410855889384</v>
      </c>
      <c r="D24" s="40">
        <f t="shared" ca="1" si="1"/>
        <v>7145090206.7721405</v>
      </c>
      <c r="E24" s="40">
        <f t="shared" ca="1" si="2"/>
        <v>47415105161266.227</v>
      </c>
      <c r="F24" s="40">
        <f t="shared" ca="1" si="3"/>
        <v>773319886938.06848</v>
      </c>
      <c r="G24" s="40">
        <f t="shared" ca="1" si="4"/>
        <v>6003525780640.3438</v>
      </c>
      <c r="H24" s="40">
        <f t="shared" ca="1" si="5"/>
        <v>6003525780640.3438</v>
      </c>
      <c r="I24" s="40">
        <f t="shared" ca="1" si="6"/>
        <v>15933717827220.793</v>
      </c>
      <c r="J24" s="40">
        <f t="shared" ca="1" si="7"/>
        <v>507714560107.94965</v>
      </c>
      <c r="K24" s="41">
        <f t="shared" ca="1" si="8"/>
        <v>31.383220177559977</v>
      </c>
    </row>
    <row r="25" spans="1:14" ht="15" customHeight="1" x14ac:dyDescent="0.35">
      <c r="B25" s="5">
        <v>4</v>
      </c>
      <c r="C25" s="39">
        <f t="shared" ca="1" si="0"/>
        <v>2.9683080962480632</v>
      </c>
      <c r="D25" s="40">
        <f t="shared" ca="1" si="1"/>
        <v>3943708161.50278</v>
      </c>
      <c r="E25" s="40">
        <f t="shared" ca="1" si="2"/>
        <v>9447569390237.8926</v>
      </c>
      <c r="F25" s="40">
        <f t="shared" ca="1" si="3"/>
        <v>1900174158047.7014</v>
      </c>
      <c r="G25" s="40">
        <f t="shared" ca="1" si="4"/>
        <v>6129759690719.2109</v>
      </c>
      <c r="H25" s="40">
        <f t="shared" ca="1" si="5"/>
        <v>6129759690719.2109</v>
      </c>
      <c r="I25" s="40">
        <f t="shared" ca="1" si="6"/>
        <v>1840804711830.1191</v>
      </c>
      <c r="J25" s="40">
        <f t="shared" ca="1" si="7"/>
        <v>1055147041372.944</v>
      </c>
      <c r="K25" s="41">
        <f t="shared" ca="1" si="8"/>
        <v>1.7445954351868223</v>
      </c>
    </row>
    <row r="26" spans="1:14" ht="15" customHeight="1" x14ac:dyDescent="0.35">
      <c r="B26" s="5">
        <v>5</v>
      </c>
      <c r="C26" s="39">
        <f t="shared" ca="1" si="0"/>
        <v>2.6914979548112976</v>
      </c>
      <c r="D26" s="40">
        <f t="shared" ca="1" si="1"/>
        <v>3164353462.7529817</v>
      </c>
      <c r="E26" s="40">
        <f t="shared" ca="1" si="2"/>
        <v>2372066143052.103</v>
      </c>
      <c r="F26" s="40">
        <f t="shared" ca="1" si="3"/>
        <v>579514102621.57104</v>
      </c>
      <c r="G26" s="40">
        <f t="shared" ca="1" si="4"/>
        <v>3422502400937.5449</v>
      </c>
      <c r="H26" s="40">
        <f t="shared" ca="1" si="5"/>
        <v>3422502400937.5449</v>
      </c>
      <c r="I26" s="40">
        <f t="shared" ca="1" si="6"/>
        <v>11177218931453.971</v>
      </c>
      <c r="J26" s="40">
        <f t="shared" ca="1" si="7"/>
        <v>792099852489.91187</v>
      </c>
      <c r="K26" s="41">
        <f t="shared" ca="1" si="8"/>
        <v>14.110871118482279</v>
      </c>
    </row>
    <row r="27" spans="1:14" ht="15" customHeight="1" x14ac:dyDescent="0.35">
      <c r="B27" s="5">
        <v>6</v>
      </c>
      <c r="C27" s="39">
        <f t="shared" ca="1" si="0"/>
        <v>2.6652453914271468</v>
      </c>
      <c r="D27" s="40">
        <f t="shared" ca="1" si="1"/>
        <v>2174497227.213285</v>
      </c>
      <c r="E27" s="40">
        <f t="shared" ca="1" si="2"/>
        <v>8936848412105.4375</v>
      </c>
      <c r="F27" s="40">
        <f t="shared" ca="1" si="3"/>
        <v>9907464187752.6641</v>
      </c>
      <c r="G27" s="40">
        <f t="shared" ca="1" si="4"/>
        <v>111732150220101.81</v>
      </c>
      <c r="H27" s="40">
        <f t="shared" ca="1" si="5"/>
        <v>111732150220101.81</v>
      </c>
      <c r="I27" s="40">
        <f t="shared" ca="1" si="6"/>
        <v>19366819454332.211</v>
      </c>
      <c r="J27" s="40">
        <f t="shared" ca="1" si="7"/>
        <v>1196087709663.5825</v>
      </c>
      <c r="K27" s="41">
        <f t="shared" ca="1" si="8"/>
        <v>16.191805415155898</v>
      </c>
    </row>
    <row r="28" spans="1:14" ht="15" customHeight="1" x14ac:dyDescent="0.35">
      <c r="B28" s="5">
        <v>7</v>
      </c>
      <c r="C28" s="39">
        <f t="shared" ca="1" si="0"/>
        <v>2.8217398401527598</v>
      </c>
      <c r="D28" s="40">
        <f t="shared" ca="1" si="1"/>
        <v>3272907883.1688089</v>
      </c>
      <c r="E28" s="40">
        <f t="shared" ca="1" si="2"/>
        <v>15327432700500.729</v>
      </c>
      <c r="F28" s="40">
        <f t="shared" ca="1" si="3"/>
        <v>1425233327342.2104</v>
      </c>
      <c r="G28" s="40">
        <f t="shared" ca="1" si="4"/>
        <v>25503360053354.051</v>
      </c>
      <c r="H28" s="40">
        <f t="shared" ca="1" si="5"/>
        <v>15327432700500.729</v>
      </c>
      <c r="I28" s="40">
        <f t="shared" ca="1" si="6"/>
        <v>1484507289510.6206</v>
      </c>
      <c r="J28" s="40">
        <f t="shared" ca="1" si="7"/>
        <v>1184054516294.6116</v>
      </c>
      <c r="K28" s="41">
        <f t="shared" ca="1" si="8"/>
        <v>1.2537491045228628</v>
      </c>
    </row>
    <row r="29" spans="1:14" ht="15" customHeight="1" x14ac:dyDescent="0.35">
      <c r="B29" s="5">
        <v>8</v>
      </c>
      <c r="C29" s="39">
        <f t="shared" ca="1" si="0"/>
        <v>3.2787765714320893</v>
      </c>
      <c r="D29" s="40">
        <f t="shared" ca="1" si="1"/>
        <v>6375682882.5596075</v>
      </c>
      <c r="E29" s="40">
        <f t="shared" ca="1" si="2"/>
        <v>10786453143261.926</v>
      </c>
      <c r="F29" s="40">
        <f t="shared" ca="1" si="3"/>
        <v>1100540185507.0554</v>
      </c>
      <c r="G29" s="40">
        <f t="shared" ca="1" si="4"/>
        <v>2221633167814.4585</v>
      </c>
      <c r="H29" s="40">
        <f t="shared" ca="1" si="5"/>
        <v>10786453143261.926</v>
      </c>
      <c r="I29" s="40">
        <f t="shared" ca="1" si="6"/>
        <v>44673085238708.383</v>
      </c>
      <c r="J29" s="40">
        <f t="shared" ca="1" si="7"/>
        <v>1351176713479.2419</v>
      </c>
      <c r="K29" s="41">
        <f t="shared" ca="1" si="8"/>
        <v>33.062355791846386</v>
      </c>
    </row>
    <row r="30" spans="1:14" ht="15" customHeight="1" x14ac:dyDescent="0.35">
      <c r="B30" s="5">
        <v>9</v>
      </c>
      <c r="C30" s="39">
        <f t="shared" ca="1" si="0"/>
        <v>2.4866992828751693</v>
      </c>
      <c r="D30" s="40">
        <f t="shared" ca="1" si="1"/>
        <v>1636063518.4799571</v>
      </c>
      <c r="E30" s="40">
        <f t="shared" ca="1" si="2"/>
        <v>4909421203891.1914</v>
      </c>
      <c r="F30" s="40">
        <f t="shared" ca="1" si="3"/>
        <v>9570263191171.25</v>
      </c>
      <c r="G30" s="40">
        <f t="shared" ca="1" si="4"/>
        <v>47019158401329.984</v>
      </c>
      <c r="H30" s="40">
        <f t="shared" ca="1" si="5"/>
        <v>47019158401329.984</v>
      </c>
      <c r="I30" s="40">
        <f t="shared" ca="1" si="6"/>
        <v>7010421261898.4043</v>
      </c>
      <c r="J30" s="40">
        <f t="shared" ca="1" si="7"/>
        <v>1123401649844.6619</v>
      </c>
      <c r="K30" s="41">
        <f t="shared" ca="1" si="8"/>
        <v>6.240351581171141</v>
      </c>
    </row>
    <row r="31" spans="1:14" ht="15" customHeight="1" x14ac:dyDescent="0.35">
      <c r="B31" s="5">
        <v>10</v>
      </c>
      <c r="C31" s="39">
        <f t="shared" ca="1" si="0"/>
        <v>2.76223204837</v>
      </c>
      <c r="D31" s="40">
        <f t="shared" ca="1" si="1"/>
        <v>2984489497.7445188</v>
      </c>
      <c r="E31" s="40">
        <f t="shared" ca="1" si="2"/>
        <v>19675284164965.215</v>
      </c>
      <c r="F31" s="40">
        <f t="shared" ca="1" si="3"/>
        <v>20306768435726.555</v>
      </c>
      <c r="G31" s="40">
        <f t="shared" ca="1" si="4"/>
        <v>6505482426404.1602</v>
      </c>
      <c r="H31" s="40">
        <f t="shared" ca="1" si="5"/>
        <v>6505482426404.1602</v>
      </c>
      <c r="I31" s="40">
        <f t="shared" ca="1" si="6"/>
        <v>22768310519477.898</v>
      </c>
      <c r="J31" s="40">
        <f t="shared" ca="1" si="7"/>
        <v>1544474363434.6777</v>
      </c>
      <c r="K31" s="41">
        <f t="shared" ca="1" si="8"/>
        <v>14.741785981377259</v>
      </c>
    </row>
    <row r="32" spans="1:14" ht="15" customHeight="1" x14ac:dyDescent="0.35">
      <c r="B32" s="5">
        <v>11</v>
      </c>
      <c r="C32" s="39">
        <f t="shared" ca="1" si="0"/>
        <v>2.5799880451574713</v>
      </c>
      <c r="D32" s="40">
        <f t="shared" ca="1" si="1"/>
        <v>2472103952.0684748</v>
      </c>
      <c r="E32" s="40">
        <f t="shared" ca="1" si="2"/>
        <v>14532921719286.514</v>
      </c>
      <c r="F32" s="40">
        <f t="shared" ca="1" si="3"/>
        <v>2218329532824.1636</v>
      </c>
      <c r="G32" s="40">
        <f t="shared" ca="1" si="4"/>
        <v>1777474888883.6277</v>
      </c>
      <c r="H32" s="40">
        <f t="shared" ca="1" si="5"/>
        <v>14532921719286.514</v>
      </c>
      <c r="I32" s="40">
        <f t="shared" ca="1" si="6"/>
        <v>16553201731066.699</v>
      </c>
      <c r="J32" s="40">
        <f t="shared" ca="1" si="7"/>
        <v>667177595618.59009</v>
      </c>
      <c r="K32" s="41">
        <f t="shared" ca="1" si="8"/>
        <v>24.810787771911002</v>
      </c>
    </row>
    <row r="33" spans="2:11" ht="15" customHeight="1" x14ac:dyDescent="0.35">
      <c r="B33" s="5">
        <v>12</v>
      </c>
      <c r="C33" s="39">
        <f t="shared" ca="1" si="0"/>
        <v>3.2096040206268923</v>
      </c>
      <c r="D33" s="40">
        <f t="shared" ca="1" si="1"/>
        <v>7847093563.5797777</v>
      </c>
      <c r="E33" s="40">
        <f t="shared" ca="1" si="2"/>
        <v>34254038354273.109</v>
      </c>
      <c r="F33" s="40">
        <f t="shared" ca="1" si="3"/>
        <v>2404578321001.9814</v>
      </c>
      <c r="G33" s="40">
        <f t="shared" ca="1" si="4"/>
        <v>3041778299452.6968</v>
      </c>
      <c r="H33" s="40">
        <f t="shared" ca="1" si="5"/>
        <v>3041778299452.6968</v>
      </c>
      <c r="I33" s="40">
        <f t="shared" ca="1" si="6"/>
        <v>26099830119132.473</v>
      </c>
      <c r="J33" s="40">
        <f t="shared" ca="1" si="7"/>
        <v>1102165755845.2651</v>
      </c>
      <c r="K33" s="41">
        <f t="shared" ca="1" si="8"/>
        <v>23.680494499773474</v>
      </c>
    </row>
    <row r="34" spans="2:11" ht="15" customHeight="1" x14ac:dyDescent="0.35">
      <c r="B34" s="5">
        <v>13</v>
      </c>
      <c r="C34" s="39">
        <f t="shared" ca="1" si="0"/>
        <v>2.6066784961817246</v>
      </c>
      <c r="D34" s="40">
        <f t="shared" ca="1" si="1"/>
        <v>2742547635.6391392</v>
      </c>
      <c r="E34" s="40">
        <f t="shared" ca="1" si="2"/>
        <v>5486212597194.0996</v>
      </c>
      <c r="F34" s="40">
        <f t="shared" ca="1" si="3"/>
        <v>11519922575669.168</v>
      </c>
      <c r="G34" s="40">
        <f t="shared" ca="1" si="4"/>
        <v>25483339374373.336</v>
      </c>
      <c r="H34" s="40">
        <f t="shared" ca="1" si="5"/>
        <v>25483339374373.336</v>
      </c>
      <c r="I34" s="40">
        <f t="shared" ca="1" si="6"/>
        <v>6254041489866.3369</v>
      </c>
      <c r="J34" s="40">
        <f t="shared" ca="1" si="7"/>
        <v>703911518851.81799</v>
      </c>
      <c r="K34" s="41">
        <f t="shared" ca="1" si="8"/>
        <v>8.884698321271383</v>
      </c>
    </row>
    <row r="35" spans="2:11" ht="15" customHeight="1" x14ac:dyDescent="0.35">
      <c r="B35" s="5">
        <v>14</v>
      </c>
      <c r="C35" s="39">
        <f t="shared" ca="1" si="0"/>
        <v>3.1236140342128946</v>
      </c>
      <c r="D35" s="40">
        <f t="shared" ca="1" si="1"/>
        <v>6721842512.6766148</v>
      </c>
      <c r="E35" s="40">
        <f t="shared" ca="1" si="2"/>
        <v>38248946531303.078</v>
      </c>
      <c r="F35" s="40">
        <f t="shared" ca="1" si="3"/>
        <v>3915318902056.5649</v>
      </c>
      <c r="G35" s="40">
        <f t="shared" ca="1" si="4"/>
        <v>26962195749773.27</v>
      </c>
      <c r="H35" s="40">
        <f t="shared" ca="1" si="5"/>
        <v>38248946531303.078</v>
      </c>
      <c r="I35" s="40">
        <f t="shared" ca="1" si="6"/>
        <v>12901728812212.85</v>
      </c>
      <c r="J35" s="40">
        <f t="shared" ca="1" si="7"/>
        <v>723295619307.76526</v>
      </c>
      <c r="K35" s="41">
        <f t="shared" ca="1" si="8"/>
        <v>17.837421474445723</v>
      </c>
    </row>
    <row r="36" spans="2:11" ht="15" customHeight="1" x14ac:dyDescent="0.35">
      <c r="B36" s="5">
        <v>15</v>
      </c>
      <c r="C36" s="39">
        <f t="shared" ca="1" si="0"/>
        <v>3.2652308518024755</v>
      </c>
      <c r="D36" s="40">
        <f t="shared" ca="1" si="1"/>
        <v>8586036724.6939583</v>
      </c>
      <c r="E36" s="40">
        <f t="shared" ca="1" si="2"/>
        <v>16459430155538.65</v>
      </c>
      <c r="F36" s="40">
        <f t="shared" ca="1" si="3"/>
        <v>4581616312187.8584</v>
      </c>
      <c r="G36" s="40">
        <f t="shared" ca="1" si="4"/>
        <v>67403479596089.539</v>
      </c>
      <c r="H36" s="40">
        <f t="shared" ca="1" si="5"/>
        <v>67403479596089.539</v>
      </c>
      <c r="I36" s="40">
        <f t="shared" ca="1" si="6"/>
        <v>5334247874894.2598</v>
      </c>
      <c r="J36" s="40">
        <f t="shared" ca="1" si="7"/>
        <v>480481150592.36536</v>
      </c>
      <c r="K36" s="41">
        <f t="shared" ca="1" si="8"/>
        <v>11.10188790614967</v>
      </c>
    </row>
    <row r="37" spans="2:11" ht="15" customHeight="1" x14ac:dyDescent="0.35">
      <c r="B37" s="5">
        <v>16</v>
      </c>
      <c r="C37" s="39">
        <f t="shared" ca="1" si="0"/>
        <v>2.7706599148823243</v>
      </c>
      <c r="D37" s="40">
        <f t="shared" ca="1" si="1"/>
        <v>3802843446.2559433</v>
      </c>
      <c r="E37" s="40">
        <f t="shared" ca="1" si="2"/>
        <v>15701645156273.234</v>
      </c>
      <c r="F37" s="40">
        <f t="shared" ca="1" si="3"/>
        <v>2326348513791.9478</v>
      </c>
      <c r="G37" s="40">
        <f t="shared" ca="1" si="4"/>
        <v>7639863689910.7686</v>
      </c>
      <c r="H37" s="40">
        <f t="shared" ca="1" si="5"/>
        <v>7639863689910.7686</v>
      </c>
      <c r="I37" s="40">
        <f t="shared" ca="1" si="6"/>
        <v>6901696175872.5059</v>
      </c>
      <c r="J37" s="40">
        <f t="shared" ca="1" si="7"/>
        <v>580449372967.28284</v>
      </c>
      <c r="K37" s="41">
        <f t="shared" ca="1" si="8"/>
        <v>11.890263815069229</v>
      </c>
    </row>
    <row r="38" spans="2:11" ht="15" customHeight="1" x14ac:dyDescent="0.35">
      <c r="B38" s="5">
        <v>17</v>
      </c>
      <c r="C38" s="39">
        <f t="shared" ca="1" si="0"/>
        <v>3.1024124570768787</v>
      </c>
      <c r="D38" s="40">
        <f t="shared" ca="1" si="1"/>
        <v>5520603821.8673887</v>
      </c>
      <c r="E38" s="40">
        <f t="shared" ca="1" si="2"/>
        <v>3765820720129.5498</v>
      </c>
      <c r="F38" s="40">
        <f t="shared" ca="1" si="3"/>
        <v>7002355028084.0684</v>
      </c>
      <c r="G38" s="40">
        <f t="shared" ca="1" si="4"/>
        <v>4484238364997.0068</v>
      </c>
      <c r="H38" s="40">
        <f t="shared" ca="1" si="5"/>
        <v>3765820720129.5498</v>
      </c>
      <c r="I38" s="40">
        <f t="shared" ca="1" si="6"/>
        <v>43072190614134.773</v>
      </c>
      <c r="J38" s="40">
        <f t="shared" ca="1" si="7"/>
        <v>863549813761.25708</v>
      </c>
      <c r="K38" s="41">
        <f t="shared" ca="1" si="8"/>
        <v>49.878061378451996</v>
      </c>
    </row>
    <row r="39" spans="2:11" ht="15" customHeight="1" x14ac:dyDescent="0.35">
      <c r="B39" s="5">
        <v>18</v>
      </c>
      <c r="C39" s="39">
        <f t="shared" ca="1" si="0"/>
        <v>3.7653853415675207</v>
      </c>
      <c r="D39" s="40">
        <f t="shared" ca="1" si="1"/>
        <v>15415099193.915339</v>
      </c>
      <c r="E39" s="40">
        <f t="shared" ca="1" si="2"/>
        <v>67018538749192.211</v>
      </c>
      <c r="F39" s="40">
        <f t="shared" ca="1" si="3"/>
        <v>830694973828.86487</v>
      </c>
      <c r="G39" s="40">
        <f t="shared" ca="1" si="4"/>
        <v>5208758260203.0703</v>
      </c>
      <c r="H39" s="40">
        <f t="shared" ca="1" si="5"/>
        <v>5208758260203.0703</v>
      </c>
      <c r="I39" s="40">
        <f t="shared" ca="1" si="6"/>
        <v>8033370853217.0664</v>
      </c>
      <c r="J39" s="40">
        <f t="shared" ca="1" si="7"/>
        <v>611846893754.79211</v>
      </c>
      <c r="K39" s="41">
        <f t="shared" ca="1" si="8"/>
        <v>13.129707669050575</v>
      </c>
    </row>
    <row r="40" spans="2:11" ht="15" customHeight="1" x14ac:dyDescent="0.35">
      <c r="B40" s="5">
        <v>19</v>
      </c>
      <c r="C40" s="39">
        <f t="shared" ca="1" si="0"/>
        <v>3.2154952708928422</v>
      </c>
      <c r="D40" s="40">
        <f t="shared" ca="1" si="1"/>
        <v>6703232496.2430992</v>
      </c>
      <c r="E40" s="40">
        <f t="shared" ca="1" si="2"/>
        <v>11083149805637.434</v>
      </c>
      <c r="F40" s="40">
        <f t="shared" ca="1" si="3"/>
        <v>1061691503012.7965</v>
      </c>
      <c r="G40" s="40">
        <f t="shared" ca="1" si="4"/>
        <v>730444268886.84937</v>
      </c>
      <c r="H40" s="40">
        <f t="shared" ca="1" si="5"/>
        <v>11083149805637.434</v>
      </c>
      <c r="I40" s="40">
        <f t="shared" ca="1" si="6"/>
        <v>6139289130657.8545</v>
      </c>
      <c r="J40" s="40">
        <f t="shared" ca="1" si="7"/>
        <v>504441117349.13354</v>
      </c>
      <c r="K40" s="41">
        <f t="shared" ca="1" si="8"/>
        <v>12.170477226202662</v>
      </c>
    </row>
    <row r="41" spans="2:11" ht="15" customHeight="1" x14ac:dyDescent="0.35">
      <c r="B41" s="5">
        <v>20</v>
      </c>
      <c r="C41" s="39">
        <f t="shared" ca="1" si="0"/>
        <v>3.4309201320684659</v>
      </c>
      <c r="D41" s="40">
        <f t="shared" ca="1" si="1"/>
        <v>9885421103.7481823</v>
      </c>
      <c r="E41" s="40">
        <f t="shared" ca="1" si="2"/>
        <v>59543898121176.008</v>
      </c>
      <c r="F41" s="40">
        <f t="shared" ca="1" si="3"/>
        <v>586378647611.64233</v>
      </c>
      <c r="G41" s="40">
        <f t="shared" ca="1" si="4"/>
        <v>4905958328087.791</v>
      </c>
      <c r="H41" s="40">
        <f t="shared" ca="1" si="5"/>
        <v>59543898121176.008</v>
      </c>
      <c r="I41" s="40">
        <f t="shared" ca="1" si="6"/>
        <v>18813954384400.625</v>
      </c>
      <c r="J41" s="40">
        <f t="shared" ca="1" si="7"/>
        <v>1200846184359.8149</v>
      </c>
      <c r="K41" s="41">
        <f t="shared" ca="1" si="8"/>
        <v>15.667247503834609</v>
      </c>
    </row>
    <row r="42" spans="2:11" ht="15" customHeight="1" x14ac:dyDescent="0.35">
      <c r="B42" s="5">
        <v>21</v>
      </c>
      <c r="C42" s="39">
        <f t="shared" ca="1" si="0"/>
        <v>3.5753074079569913</v>
      </c>
      <c r="D42" s="40">
        <f t="shared" ca="1" si="1"/>
        <v>9735066210.118969</v>
      </c>
      <c r="E42" s="40">
        <f t="shared" ca="1" si="2"/>
        <v>22771769166049.879</v>
      </c>
      <c r="F42" s="40">
        <f t="shared" ca="1" si="3"/>
        <v>5931184011018.5791</v>
      </c>
      <c r="G42" s="40">
        <f t="shared" ca="1" si="4"/>
        <v>22380574380081.766</v>
      </c>
      <c r="H42" s="40">
        <f t="shared" ca="1" si="5"/>
        <v>22771769166049.879</v>
      </c>
      <c r="I42" s="40">
        <f t="shared" ca="1" si="6"/>
        <v>6706535986905.4023</v>
      </c>
      <c r="J42" s="40">
        <f t="shared" ca="1" si="7"/>
        <v>1248084297256.7844</v>
      </c>
      <c r="K42" s="41">
        <f t="shared" ca="1" si="8"/>
        <v>5.3734639572390845</v>
      </c>
    </row>
    <row r="43" spans="2:11" ht="15" customHeight="1" x14ac:dyDescent="0.35">
      <c r="B43" s="5">
        <v>22</v>
      </c>
      <c r="C43" s="39">
        <f t="shared" ca="1" si="0"/>
        <v>2.2089214441947349</v>
      </c>
      <c r="D43" s="40">
        <f t="shared" ca="1" si="1"/>
        <v>1035610662.6718134</v>
      </c>
      <c r="E43" s="40">
        <f t="shared" ca="1" si="2"/>
        <v>10558362498617.006</v>
      </c>
      <c r="F43" s="40">
        <f t="shared" ca="1" si="3"/>
        <v>10487415914025.281</v>
      </c>
      <c r="G43" s="40">
        <f t="shared" ca="1" si="4"/>
        <v>4046203045312.9189</v>
      </c>
      <c r="H43" s="40">
        <f t="shared" ca="1" si="5"/>
        <v>4046203045312.9189</v>
      </c>
      <c r="I43" s="40">
        <f t="shared" ca="1" si="6"/>
        <v>399451084695.4198</v>
      </c>
      <c r="J43" s="40">
        <f t="shared" ca="1" si="7"/>
        <v>554678806504.4364</v>
      </c>
      <c r="K43" s="41">
        <f t="shared" ca="1" si="8"/>
        <v>0.72014845350364931</v>
      </c>
    </row>
    <row r="44" spans="2:11" ht="15" customHeight="1" x14ac:dyDescent="0.35">
      <c r="B44" s="5">
        <v>23</v>
      </c>
      <c r="C44" s="39">
        <f t="shared" ca="1" si="0"/>
        <v>3.271393330348225</v>
      </c>
      <c r="D44" s="40">
        <f t="shared" ca="1" si="1"/>
        <v>8053245072.0930471</v>
      </c>
      <c r="E44" s="40">
        <f t="shared" ca="1" si="2"/>
        <v>21430815907016.031</v>
      </c>
      <c r="F44" s="40">
        <f t="shared" ca="1" si="3"/>
        <v>1543753627058.8323</v>
      </c>
      <c r="G44" s="40">
        <f t="shared" ca="1" si="4"/>
        <v>8839322832126.0723</v>
      </c>
      <c r="H44" s="40">
        <f t="shared" ca="1" si="5"/>
        <v>8839322832126.0723</v>
      </c>
      <c r="I44" s="40">
        <f t="shared" ca="1" si="6"/>
        <v>26489138617881.391</v>
      </c>
      <c r="J44" s="40">
        <f t="shared" ca="1" si="7"/>
        <v>1348148659976.3054</v>
      </c>
      <c r="K44" s="41">
        <f t="shared" ca="1" si="8"/>
        <v>19.648529427271733</v>
      </c>
    </row>
    <row r="45" spans="2:11" ht="15" customHeight="1" x14ac:dyDescent="0.35">
      <c r="B45" s="5">
        <v>24</v>
      </c>
      <c r="C45" s="39">
        <f t="shared" ca="1" si="0"/>
        <v>3.3930746440834922</v>
      </c>
      <c r="D45" s="40">
        <f t="shared" ca="1" si="1"/>
        <v>7836349688.289567</v>
      </c>
      <c r="E45" s="40">
        <f t="shared" ca="1" si="2"/>
        <v>67703950682866.273</v>
      </c>
      <c r="F45" s="40">
        <f t="shared" ca="1" si="3"/>
        <v>10134492144819.348</v>
      </c>
      <c r="G45" s="40">
        <f t="shared" ca="1" si="4"/>
        <v>3029592621513.8765</v>
      </c>
      <c r="H45" s="40">
        <f t="shared" ca="1" si="5"/>
        <v>67703950682866.273</v>
      </c>
      <c r="I45" s="40">
        <f t="shared" ca="1" si="6"/>
        <v>2421407218697.3066</v>
      </c>
      <c r="J45" s="40">
        <f t="shared" ca="1" si="7"/>
        <v>812325334647.7782</v>
      </c>
      <c r="K45" s="41">
        <f t="shared" ca="1" si="8"/>
        <v>2.9808342980552509</v>
      </c>
    </row>
    <row r="46" spans="2:11" ht="15" customHeight="1" x14ac:dyDescent="0.35">
      <c r="B46" s="5">
        <v>25</v>
      </c>
      <c r="C46" s="39">
        <f t="shared" ca="1" si="0"/>
        <v>2.7360473781995878</v>
      </c>
      <c r="D46" s="40">
        <f t="shared" ca="1" si="1"/>
        <v>3004480868.9500446</v>
      </c>
      <c r="E46" s="40">
        <f t="shared" ca="1" si="2"/>
        <v>24526178737934.414</v>
      </c>
      <c r="F46" s="40">
        <f t="shared" ca="1" si="3"/>
        <v>36175363697333.813</v>
      </c>
      <c r="G46" s="40">
        <f t="shared" ca="1" si="4"/>
        <v>8636429131372.6992</v>
      </c>
      <c r="H46" s="40">
        <f t="shared" ca="1" si="5"/>
        <v>8636429131372.6992</v>
      </c>
      <c r="I46" s="40">
        <f t="shared" ca="1" si="6"/>
        <v>10882928203476.615</v>
      </c>
      <c r="J46" s="40">
        <f t="shared" ca="1" si="7"/>
        <v>883942777987.03796</v>
      </c>
      <c r="K46" s="41">
        <f t="shared" ca="1" si="8"/>
        <v>12.311801707639724</v>
      </c>
    </row>
    <row r="47" spans="2:11" ht="15" customHeight="1" x14ac:dyDescent="0.35">
      <c r="B47" s="5">
        <v>26</v>
      </c>
      <c r="C47" s="39">
        <f t="shared" ca="1" si="0"/>
        <v>2.4938097799975263</v>
      </c>
      <c r="D47" s="40">
        <f t="shared" ca="1" si="1"/>
        <v>1948167703.3810394</v>
      </c>
      <c r="E47" s="40">
        <f t="shared" ca="1" si="2"/>
        <v>4448328124666.7568</v>
      </c>
      <c r="F47" s="40">
        <f t="shared" ca="1" si="3"/>
        <v>1115031145327.2434</v>
      </c>
      <c r="G47" s="40">
        <f t="shared" ca="1" si="4"/>
        <v>14757438582217.227</v>
      </c>
      <c r="H47" s="40">
        <f t="shared" ca="1" si="5"/>
        <v>4448328124666.7568</v>
      </c>
      <c r="I47" s="40">
        <f t="shared" ca="1" si="6"/>
        <v>49166424686392.758</v>
      </c>
      <c r="J47" s="40">
        <f t="shared" ca="1" si="7"/>
        <v>1164441051763.699</v>
      </c>
      <c r="K47" s="41">
        <f t="shared" ca="1" si="8"/>
        <v>42.223197655152873</v>
      </c>
    </row>
    <row r="48" spans="2:11" ht="15" customHeight="1" x14ac:dyDescent="0.35">
      <c r="B48" s="5">
        <v>27</v>
      </c>
      <c r="C48" s="39">
        <f t="shared" ca="1" si="0"/>
        <v>2.601585473215887</v>
      </c>
      <c r="D48" s="40">
        <f t="shared" ca="1" si="1"/>
        <v>2341315474.2769647</v>
      </c>
      <c r="E48" s="40">
        <f t="shared" ca="1" si="2"/>
        <v>11873354194824.516</v>
      </c>
      <c r="F48" s="40">
        <f t="shared" ca="1" si="3"/>
        <v>5260388364538.1553</v>
      </c>
      <c r="G48" s="40">
        <f t="shared" ca="1" si="4"/>
        <v>6429364732543.082</v>
      </c>
      <c r="H48" s="40">
        <f t="shared" ca="1" si="5"/>
        <v>5260388364538.1553</v>
      </c>
      <c r="I48" s="40">
        <f t="shared" ca="1" si="6"/>
        <v>960361085251.32056</v>
      </c>
      <c r="J48" s="40">
        <f t="shared" ca="1" si="7"/>
        <v>692698230062.55652</v>
      </c>
      <c r="K48" s="41">
        <f t="shared" ca="1" si="8"/>
        <v>1.3864061485541717</v>
      </c>
    </row>
    <row r="49" spans="2:11" ht="15" customHeight="1" x14ac:dyDescent="0.35">
      <c r="B49" s="5">
        <v>28</v>
      </c>
      <c r="C49" s="39">
        <f t="shared" ca="1" si="0"/>
        <v>3.792501805154977</v>
      </c>
      <c r="D49" s="40">
        <f t="shared" ca="1" si="1"/>
        <v>13895835751.159853</v>
      </c>
      <c r="E49" s="40">
        <f t="shared" ca="1" si="2"/>
        <v>43616851276376.703</v>
      </c>
      <c r="F49" s="40">
        <f t="shared" ca="1" si="3"/>
        <v>1422206893288.7134</v>
      </c>
      <c r="G49" s="40">
        <f t="shared" ca="1" si="4"/>
        <v>2519143186735.8584</v>
      </c>
      <c r="H49" s="40">
        <f t="shared" ca="1" si="5"/>
        <v>2519143186735.8584</v>
      </c>
      <c r="I49" s="40">
        <f t="shared" ca="1" si="6"/>
        <v>2699779470211.8042</v>
      </c>
      <c r="J49" s="40">
        <f t="shared" ca="1" si="7"/>
        <v>972435674630.06665</v>
      </c>
      <c r="K49" s="41">
        <f t="shared" ca="1" si="8"/>
        <v>2.776306485504918</v>
      </c>
    </row>
    <row r="50" spans="2:11" ht="15" customHeight="1" x14ac:dyDescent="0.35">
      <c r="B50" s="5">
        <v>29</v>
      </c>
      <c r="C50" s="39">
        <f t="shared" ca="1" si="0"/>
        <v>2.4141554131131042</v>
      </c>
      <c r="D50" s="40">
        <f t="shared" ca="1" si="1"/>
        <v>1335736716.539427</v>
      </c>
      <c r="E50" s="40">
        <f t="shared" ca="1" si="2"/>
        <v>14631756225437.9</v>
      </c>
      <c r="F50" s="40">
        <f t="shared" ca="1" si="3"/>
        <v>10385847772197.537</v>
      </c>
      <c r="G50" s="40">
        <f t="shared" ca="1" si="4"/>
        <v>341830655457.17993</v>
      </c>
      <c r="H50" s="40">
        <f t="shared" ca="1" si="5"/>
        <v>14631756225437.9</v>
      </c>
      <c r="I50" s="40">
        <f t="shared" ca="1" si="6"/>
        <v>659901964877.67078</v>
      </c>
      <c r="J50" s="40">
        <f t="shared" ca="1" si="7"/>
        <v>768478330133.31421</v>
      </c>
      <c r="K50" s="41">
        <f t="shared" ca="1" si="8"/>
        <v>0.8587125218783882</v>
      </c>
    </row>
    <row r="51" spans="2:11" ht="15" customHeight="1" x14ac:dyDescent="0.35">
      <c r="B51" s="5">
        <v>30</v>
      </c>
      <c r="C51" s="39">
        <f t="shared" ca="1" si="0"/>
        <v>2.809199632805206</v>
      </c>
      <c r="D51" s="40">
        <f t="shared" ca="1" si="1"/>
        <v>3706134768.9661393</v>
      </c>
      <c r="E51" s="40">
        <f t="shared" ca="1" si="2"/>
        <v>22203294299130.754</v>
      </c>
      <c r="F51" s="40">
        <f t="shared" ca="1" si="3"/>
        <v>18288447698656.914</v>
      </c>
      <c r="G51" s="40">
        <f t="shared" ca="1" si="4"/>
        <v>19335078480568.102</v>
      </c>
      <c r="H51" s="40">
        <f t="shared" ca="1" si="5"/>
        <v>22203294299130.754</v>
      </c>
      <c r="I51" s="40">
        <f t="shared" ca="1" si="6"/>
        <v>10745513445107.955</v>
      </c>
      <c r="J51" s="40">
        <f t="shared" ca="1" si="7"/>
        <v>787656987766.14124</v>
      </c>
      <c r="K51" s="41">
        <f t="shared" ca="1" si="8"/>
        <v>13.642376836626687</v>
      </c>
    </row>
    <row r="52" spans="2:11" ht="15" customHeight="1" x14ac:dyDescent="0.35">
      <c r="B52" s="5">
        <v>31</v>
      </c>
      <c r="C52" s="39">
        <f t="shared" ca="1" si="0"/>
        <v>2.69846082576146</v>
      </c>
      <c r="D52" s="40">
        <f t="shared" ca="1" si="1"/>
        <v>2932233798.0999498</v>
      </c>
      <c r="E52" s="40">
        <f t="shared" ca="1" si="2"/>
        <v>6776631843147.3564</v>
      </c>
      <c r="F52" s="40">
        <f t="shared" ca="1" si="3"/>
        <v>597413867158.16174</v>
      </c>
      <c r="G52" s="40">
        <f t="shared" ca="1" si="4"/>
        <v>11087178245518.98</v>
      </c>
      <c r="H52" s="40">
        <f t="shared" ca="1" si="5"/>
        <v>597413867158.16174</v>
      </c>
      <c r="I52" s="40">
        <f t="shared" ca="1" si="6"/>
        <v>3807880661409.2012</v>
      </c>
      <c r="J52" s="40">
        <f t="shared" ca="1" si="7"/>
        <v>699473732994.28784</v>
      </c>
      <c r="K52" s="41">
        <f t="shared" ca="1" si="8"/>
        <v>5.4439223115763484</v>
      </c>
    </row>
    <row r="53" spans="2:11" ht="15" customHeight="1" x14ac:dyDescent="0.35">
      <c r="B53" s="5">
        <v>32</v>
      </c>
      <c r="C53" s="39">
        <f t="shared" ca="1" si="0"/>
        <v>2.0316385159676731</v>
      </c>
      <c r="D53" s="40">
        <f t="shared" ca="1" si="1"/>
        <v>606312531.53226924</v>
      </c>
      <c r="E53" s="40">
        <f t="shared" ca="1" si="2"/>
        <v>1756194816972.6653</v>
      </c>
      <c r="F53" s="40">
        <f t="shared" ca="1" si="3"/>
        <v>958219405578.85461</v>
      </c>
      <c r="G53" s="40">
        <f t="shared" ca="1" si="4"/>
        <v>1147517062294.6694</v>
      </c>
      <c r="H53" s="40">
        <f t="shared" ca="1" si="5"/>
        <v>1756194816972.6653</v>
      </c>
      <c r="I53" s="40">
        <f t="shared" ca="1" si="6"/>
        <v>4834209806730.9297</v>
      </c>
      <c r="J53" s="40">
        <f t="shared" ca="1" si="7"/>
        <v>541722575980.75043</v>
      </c>
      <c r="K53" s="41">
        <f t="shared" ca="1" si="8"/>
        <v>8.9237739408938879</v>
      </c>
    </row>
    <row r="54" spans="2:11" ht="15" customHeight="1" x14ac:dyDescent="0.35">
      <c r="B54" s="5">
        <v>33</v>
      </c>
      <c r="C54" s="39">
        <f t="shared" ca="1" si="0"/>
        <v>3.4238766971027972</v>
      </c>
      <c r="D54" s="40">
        <f t="shared" ca="1" si="1"/>
        <v>7969586798.8852901</v>
      </c>
      <c r="E54" s="40">
        <f t="shared" ca="1" si="2"/>
        <v>40687797371825.156</v>
      </c>
      <c r="F54" s="40">
        <f t="shared" ca="1" si="3"/>
        <v>12305224347671.252</v>
      </c>
      <c r="G54" s="40">
        <f t="shared" ca="1" si="4"/>
        <v>27596194369570.957</v>
      </c>
      <c r="H54" s="40">
        <f t="shared" ca="1" si="5"/>
        <v>12305224347671.252</v>
      </c>
      <c r="I54" s="40">
        <f t="shared" ca="1" si="6"/>
        <v>7274862286231.3398</v>
      </c>
      <c r="J54" s="40">
        <f t="shared" ca="1" si="7"/>
        <v>1002458510854.332</v>
      </c>
      <c r="K54" s="41">
        <f t="shared" ca="1" si="8"/>
        <v>7.2570208217709027</v>
      </c>
    </row>
    <row r="55" spans="2:11" ht="15" customHeight="1" x14ac:dyDescent="0.35">
      <c r="B55" s="5">
        <v>34</v>
      </c>
      <c r="C55" s="39">
        <f t="shared" ca="1" si="0"/>
        <v>3.3413462363285307</v>
      </c>
      <c r="D55" s="40">
        <f t="shared" ca="1" si="1"/>
        <v>7960357249.8887386</v>
      </c>
      <c r="E55" s="40">
        <f t="shared" ca="1" si="2"/>
        <v>22134790081793.805</v>
      </c>
      <c r="F55" s="40">
        <f t="shared" ca="1" si="3"/>
        <v>3617858382990.9258</v>
      </c>
      <c r="G55" s="40">
        <f t="shared" ca="1" si="4"/>
        <v>8953705519775.5</v>
      </c>
      <c r="H55" s="40">
        <f t="shared" ca="1" si="5"/>
        <v>3617858382990.9258</v>
      </c>
      <c r="I55" s="40">
        <f t="shared" ca="1" si="6"/>
        <v>2756816068260.5459</v>
      </c>
      <c r="J55" s="40">
        <f t="shared" ca="1" si="7"/>
        <v>953796858591.38403</v>
      </c>
      <c r="K55" s="41">
        <f t="shared" ca="1" si="8"/>
        <v>2.8903597694082919</v>
      </c>
    </row>
    <row r="56" spans="2:11" ht="15" customHeight="1" x14ac:dyDescent="0.35">
      <c r="B56" s="5">
        <v>35</v>
      </c>
      <c r="C56" s="39">
        <f t="shared" ca="1" si="0"/>
        <v>3.0853830255918244</v>
      </c>
      <c r="D56" s="40">
        <f t="shared" ca="1" si="1"/>
        <v>5283643081.9066048</v>
      </c>
      <c r="E56" s="40">
        <f t="shared" ca="1" si="2"/>
        <v>15554492378773.982</v>
      </c>
      <c r="F56" s="40">
        <f t="shared" ca="1" si="3"/>
        <v>3574660856780.4292</v>
      </c>
      <c r="G56" s="40">
        <f t="shared" ca="1" si="4"/>
        <v>6780569788377.2354</v>
      </c>
      <c r="H56" s="40">
        <f t="shared" ca="1" si="5"/>
        <v>6780569788377.2354</v>
      </c>
      <c r="I56" s="40">
        <f t="shared" ca="1" si="6"/>
        <v>8433450792987.1709</v>
      </c>
      <c r="J56" s="40">
        <f t="shared" ca="1" si="7"/>
        <v>597442216635.19653</v>
      </c>
      <c r="K56" s="41">
        <f t="shared" ca="1" si="8"/>
        <v>14.115927127621633</v>
      </c>
    </row>
    <row r="57" spans="2:11" ht="15" customHeight="1" x14ac:dyDescent="0.35">
      <c r="B57" s="5">
        <v>36</v>
      </c>
      <c r="C57" s="39">
        <f t="shared" ca="1" si="0"/>
        <v>2.8833974337110537</v>
      </c>
      <c r="D57" s="40">
        <f t="shared" ca="1" si="1"/>
        <v>4048355556.7533498</v>
      </c>
      <c r="E57" s="40">
        <f t="shared" ca="1" si="2"/>
        <v>10147647060199.992</v>
      </c>
      <c r="F57" s="40">
        <f t="shared" ca="1" si="3"/>
        <v>1319576834148.7229</v>
      </c>
      <c r="G57" s="40">
        <f t="shared" ca="1" si="4"/>
        <v>18045571363236.844</v>
      </c>
      <c r="H57" s="40">
        <f t="shared" ca="1" si="5"/>
        <v>10147647060199.992</v>
      </c>
      <c r="I57" s="40">
        <f t="shared" ca="1" si="6"/>
        <v>7230627774849.3457</v>
      </c>
      <c r="J57" s="40">
        <f t="shared" ca="1" si="7"/>
        <v>436529483084.03516</v>
      </c>
      <c r="K57" s="41">
        <f t="shared" ca="1" si="8"/>
        <v>16.563893287953235</v>
      </c>
    </row>
    <row r="58" spans="2:11" ht="15" customHeight="1" x14ac:dyDescent="0.35">
      <c r="B58" s="5">
        <v>37</v>
      </c>
      <c r="C58" s="39">
        <f t="shared" ca="1" si="0"/>
        <v>2.5621981346872431</v>
      </c>
      <c r="D58" s="40">
        <f t="shared" ca="1" si="1"/>
        <v>2387062010.6152315</v>
      </c>
      <c r="E58" s="40">
        <f t="shared" ca="1" si="2"/>
        <v>24292775159535.891</v>
      </c>
      <c r="F58" s="40">
        <f t="shared" ca="1" si="3"/>
        <v>941201415458.70093</v>
      </c>
      <c r="G58" s="40">
        <f t="shared" ca="1" si="4"/>
        <v>4251669123455.7344</v>
      </c>
      <c r="H58" s="40">
        <f t="shared" ca="1" si="5"/>
        <v>24292775159535.891</v>
      </c>
      <c r="I58" s="40">
        <f t="shared" ca="1" si="6"/>
        <v>11946606391164.289</v>
      </c>
      <c r="J58" s="40">
        <f t="shared" ca="1" si="7"/>
        <v>733114546390.95862</v>
      </c>
      <c r="K58" s="41">
        <f t="shared" ca="1" si="8"/>
        <v>16.295688647805591</v>
      </c>
    </row>
    <row r="59" spans="2:11" ht="15" customHeight="1" x14ac:dyDescent="0.35">
      <c r="B59" s="5">
        <v>38</v>
      </c>
      <c r="C59" s="39">
        <f t="shared" ca="1" si="0"/>
        <v>3.5767994639227298</v>
      </c>
      <c r="D59" s="40">
        <f t="shared" ca="1" si="1"/>
        <v>12110099290.251059</v>
      </c>
      <c r="E59" s="40">
        <f t="shared" ca="1" si="2"/>
        <v>36797010520527.422</v>
      </c>
      <c r="F59" s="40">
        <f t="shared" ca="1" si="3"/>
        <v>3401387487091.395</v>
      </c>
      <c r="G59" s="40">
        <f t="shared" ca="1" si="4"/>
        <v>832825180588.75415</v>
      </c>
      <c r="H59" s="40">
        <f t="shared" ca="1" si="5"/>
        <v>3401387487091.395</v>
      </c>
      <c r="I59" s="40">
        <f t="shared" ca="1" si="6"/>
        <v>1505268089496.8303</v>
      </c>
      <c r="J59" s="40">
        <f t="shared" ca="1" si="7"/>
        <v>733717054260.89099</v>
      </c>
      <c r="K59" s="41">
        <f t="shared" ca="1" si="8"/>
        <v>2.0515648106519215</v>
      </c>
    </row>
    <row r="60" spans="2:11" ht="15" customHeight="1" x14ac:dyDescent="0.35">
      <c r="B60" s="5">
        <v>39</v>
      </c>
      <c r="C60" s="39">
        <f t="shared" ca="1" si="0"/>
        <v>3.1011149672151541</v>
      </c>
      <c r="D60" s="40">
        <f t="shared" ca="1" si="1"/>
        <v>6358950793.8417549</v>
      </c>
      <c r="E60" s="40">
        <f t="shared" ca="1" si="2"/>
        <v>31065999879198.5</v>
      </c>
      <c r="F60" s="40">
        <f t="shared" ca="1" si="3"/>
        <v>11763014575991.969</v>
      </c>
      <c r="G60" s="40">
        <f t="shared" ca="1" si="4"/>
        <v>3341447635935.8164</v>
      </c>
      <c r="H60" s="40">
        <f t="shared" ca="1" si="5"/>
        <v>3341447635935.8164</v>
      </c>
      <c r="I60" s="40">
        <f t="shared" ca="1" si="6"/>
        <v>3407765449501.4951</v>
      </c>
      <c r="J60" s="40">
        <f t="shared" ca="1" si="7"/>
        <v>1289238549621.8481</v>
      </c>
      <c r="K60" s="41">
        <f t="shared" ca="1" si="8"/>
        <v>2.6432388718915059</v>
      </c>
    </row>
    <row r="61" spans="2:11" ht="15" customHeight="1" x14ac:dyDescent="0.35">
      <c r="B61" s="5">
        <v>40</v>
      </c>
      <c r="C61" s="39">
        <f t="shared" ca="1" si="0"/>
        <v>3.2570835005657268</v>
      </c>
      <c r="D61" s="40">
        <f t="shared" ca="1" si="1"/>
        <v>8788786100.3786392</v>
      </c>
      <c r="E61" s="40">
        <f t="shared" ca="1" si="2"/>
        <v>52528227400836.305</v>
      </c>
      <c r="F61" s="40">
        <f t="shared" ca="1" si="3"/>
        <v>5056301556969.7773</v>
      </c>
      <c r="G61" s="40">
        <f t="shared" ca="1" si="4"/>
        <v>22073729253020.246</v>
      </c>
      <c r="H61" s="40">
        <f t="shared" ca="1" si="5"/>
        <v>52528227400836.305</v>
      </c>
      <c r="I61" s="40">
        <f t="shared" ca="1" si="6"/>
        <v>33508621313206.098</v>
      </c>
      <c r="J61" s="40">
        <f t="shared" ca="1" si="7"/>
        <v>1313605390503.8252</v>
      </c>
      <c r="K61" s="41">
        <f t="shared" ca="1" si="8"/>
        <v>25.508894494071825</v>
      </c>
    </row>
    <row r="62" spans="2:11" ht="15" customHeight="1" x14ac:dyDescent="0.35">
      <c r="B62" s="5">
        <v>41</v>
      </c>
      <c r="C62" s="39">
        <f t="shared" ca="1" si="0"/>
        <v>3.1306492603090215</v>
      </c>
      <c r="D62" s="40">
        <f t="shared" ca="1" si="1"/>
        <v>6816281164.4623795</v>
      </c>
      <c r="E62" s="40">
        <f t="shared" ca="1" si="2"/>
        <v>2500075020393.0908</v>
      </c>
      <c r="F62" s="40">
        <f t="shared" ca="1" si="3"/>
        <v>388384040801.7085</v>
      </c>
      <c r="G62" s="40">
        <f t="shared" ca="1" si="4"/>
        <v>1845157767475.6375</v>
      </c>
      <c r="H62" s="40">
        <f t="shared" ca="1" si="5"/>
        <v>1845157767475.6375</v>
      </c>
      <c r="I62" s="40">
        <f t="shared" ca="1" si="6"/>
        <v>4316519276818.5947</v>
      </c>
      <c r="J62" s="40">
        <f t="shared" ca="1" si="7"/>
        <v>1635639442480.9238</v>
      </c>
      <c r="K62" s="41">
        <f t="shared" ca="1" si="8"/>
        <v>2.6390408330281736</v>
      </c>
    </row>
    <row r="63" spans="2:11" ht="15" customHeight="1" x14ac:dyDescent="0.35">
      <c r="B63" s="5">
        <v>42</v>
      </c>
      <c r="C63" s="39">
        <f t="shared" ca="1" si="0"/>
        <v>3.4101929567475349</v>
      </c>
      <c r="D63" s="40">
        <f t="shared" ca="1" si="1"/>
        <v>10387072433.247814</v>
      </c>
      <c r="E63" s="40">
        <f t="shared" ca="1" si="2"/>
        <v>8536142860256.9209</v>
      </c>
      <c r="F63" s="40">
        <f t="shared" ca="1" si="3"/>
        <v>3245762027937.8008</v>
      </c>
      <c r="G63" s="40">
        <f t="shared" ca="1" si="4"/>
        <v>6919190356368.167</v>
      </c>
      <c r="H63" s="40">
        <f t="shared" ca="1" si="5"/>
        <v>6919190356368.167</v>
      </c>
      <c r="I63" s="40">
        <f t="shared" ca="1" si="6"/>
        <v>49742178137723.375</v>
      </c>
      <c r="J63" s="40">
        <f t="shared" ca="1" si="7"/>
        <v>1014354271460.5964</v>
      </c>
      <c r="K63" s="41">
        <f t="shared" ca="1" si="8"/>
        <v>49.0382695052866</v>
      </c>
    </row>
    <row r="64" spans="2:11" ht="15" customHeight="1" x14ac:dyDescent="0.35">
      <c r="B64" s="5">
        <v>43</v>
      </c>
      <c r="C64" s="39">
        <f t="shared" ca="1" si="0"/>
        <v>2.6492205447178874</v>
      </c>
      <c r="D64" s="40">
        <f t="shared" ca="1" si="1"/>
        <v>2747950360.2530966</v>
      </c>
      <c r="E64" s="40">
        <f t="shared" ca="1" si="2"/>
        <v>23016442912139.793</v>
      </c>
      <c r="F64" s="40">
        <f t="shared" ca="1" si="3"/>
        <v>6017800016739.5244</v>
      </c>
      <c r="G64" s="40">
        <f t="shared" ca="1" si="4"/>
        <v>2605576133044.1816</v>
      </c>
      <c r="H64" s="40">
        <f t="shared" ca="1" si="5"/>
        <v>2605576133044.1816</v>
      </c>
      <c r="I64" s="40">
        <f t="shared" ca="1" si="6"/>
        <v>5159324919331.1768</v>
      </c>
      <c r="J64" s="40">
        <f t="shared" ca="1" si="7"/>
        <v>1441904571519.5852</v>
      </c>
      <c r="K64" s="41">
        <f t="shared" ca="1" si="8"/>
        <v>3.5781320215206063</v>
      </c>
    </row>
    <row r="65" spans="2:11" ht="15" customHeight="1" x14ac:dyDescent="0.35">
      <c r="B65" s="5">
        <v>44</v>
      </c>
      <c r="C65" s="39">
        <f t="shared" ca="1" si="0"/>
        <v>2.8247289882631752</v>
      </c>
      <c r="D65" s="40">
        <f t="shared" ca="1" si="1"/>
        <v>4043894958.4291496</v>
      </c>
      <c r="E65" s="40">
        <f t="shared" ca="1" si="2"/>
        <v>14875749533502.32</v>
      </c>
      <c r="F65" s="40">
        <f t="shared" ca="1" si="3"/>
        <v>1877979128399.9785</v>
      </c>
      <c r="G65" s="40">
        <f t="shared" ca="1" si="4"/>
        <v>209449827980.79877</v>
      </c>
      <c r="H65" s="40">
        <f t="shared" ca="1" si="5"/>
        <v>1877979128399.9785</v>
      </c>
      <c r="I65" s="40">
        <f t="shared" ca="1" si="6"/>
        <v>1914797479201.0632</v>
      </c>
      <c r="J65" s="40">
        <f t="shared" ca="1" si="7"/>
        <v>899145892940.4447</v>
      </c>
      <c r="K65" s="41">
        <f t="shared" ca="1" si="8"/>
        <v>2.1295737368483878</v>
      </c>
    </row>
    <row r="66" spans="2:11" ht="15" customHeight="1" x14ac:dyDescent="0.35">
      <c r="B66" s="5">
        <v>45</v>
      </c>
      <c r="C66" s="39">
        <f t="shared" ca="1" si="0"/>
        <v>2.8370740374787551</v>
      </c>
      <c r="D66" s="40">
        <f t="shared" ca="1" si="1"/>
        <v>3516290192.424778</v>
      </c>
      <c r="E66" s="40">
        <f t="shared" ca="1" si="2"/>
        <v>10158174017033.297</v>
      </c>
      <c r="F66" s="40">
        <f t="shared" ca="1" si="3"/>
        <v>2572047236078.3862</v>
      </c>
      <c r="G66" s="40">
        <f t="shared" ca="1" si="4"/>
        <v>28517423640812.34</v>
      </c>
      <c r="H66" s="40">
        <f t="shared" ca="1" si="5"/>
        <v>10158174017033.297</v>
      </c>
      <c r="I66" s="40">
        <f t="shared" ca="1" si="6"/>
        <v>5753462068597.9424</v>
      </c>
      <c r="J66" s="40">
        <f t="shared" ca="1" si="7"/>
        <v>1548044746750.0813</v>
      </c>
      <c r="K66" s="41">
        <f t="shared" ca="1" si="8"/>
        <v>3.7165993300107041</v>
      </c>
    </row>
    <row r="67" spans="2:11" ht="15" customHeight="1" x14ac:dyDescent="0.35">
      <c r="B67" s="5">
        <v>46</v>
      </c>
      <c r="C67" s="39">
        <f t="shared" ca="1" si="0"/>
        <v>3.1471121322791071</v>
      </c>
      <c r="D67" s="40">
        <f t="shared" ca="1" si="1"/>
        <v>5675650877.1134663</v>
      </c>
      <c r="E67" s="40">
        <f t="shared" ca="1" si="2"/>
        <v>83066680494265.063</v>
      </c>
      <c r="F67" s="40">
        <f t="shared" ca="1" si="3"/>
        <v>3966951124412.126</v>
      </c>
      <c r="G67" s="40">
        <f t="shared" ca="1" si="4"/>
        <v>3014842260989.7002</v>
      </c>
      <c r="H67" s="40">
        <f t="shared" ca="1" si="5"/>
        <v>3966951124412.126</v>
      </c>
      <c r="I67" s="40">
        <f t="shared" ca="1" si="6"/>
        <v>3581666737343.5635</v>
      </c>
      <c r="J67" s="40">
        <f t="shared" ca="1" si="7"/>
        <v>1253871401012.5034</v>
      </c>
      <c r="K67" s="41">
        <f t="shared" ca="1" si="8"/>
        <v>2.856486506073399</v>
      </c>
    </row>
    <row r="68" spans="2:11" ht="15" customHeight="1" x14ac:dyDescent="0.35">
      <c r="B68" s="5">
        <v>47</v>
      </c>
      <c r="C68" s="39">
        <f t="shared" ca="1" si="0"/>
        <v>2.9563515269793172</v>
      </c>
      <c r="D68" s="40">
        <f t="shared" ca="1" si="1"/>
        <v>4325128578.0692263</v>
      </c>
      <c r="E68" s="40">
        <f t="shared" ca="1" si="2"/>
        <v>5200304357814.207</v>
      </c>
      <c r="F68" s="40">
        <f t="shared" ca="1" si="3"/>
        <v>19835938232341.531</v>
      </c>
      <c r="G68" s="40">
        <f t="shared" ca="1" si="4"/>
        <v>5063183242528.8271</v>
      </c>
      <c r="H68" s="40">
        <f t="shared" ca="1" si="5"/>
        <v>19835938232341.531</v>
      </c>
      <c r="I68" s="40">
        <f t="shared" ca="1" si="6"/>
        <v>7630878509598.585</v>
      </c>
      <c r="J68" s="40">
        <f t="shared" ca="1" si="7"/>
        <v>987308625964.30469</v>
      </c>
      <c r="K68" s="41">
        <f t="shared" ca="1" si="8"/>
        <v>7.7289697556784773</v>
      </c>
    </row>
    <row r="69" spans="2:11" ht="15" customHeight="1" x14ac:dyDescent="0.35">
      <c r="B69" s="5">
        <v>48</v>
      </c>
      <c r="C69" s="39">
        <f t="shared" ca="1" si="0"/>
        <v>2.7833826011129199</v>
      </c>
      <c r="D69" s="40">
        <f t="shared" ca="1" si="1"/>
        <v>3179044489.9903464</v>
      </c>
      <c r="E69" s="40">
        <f t="shared" ca="1" si="2"/>
        <v>15574933993889.65</v>
      </c>
      <c r="F69" s="40">
        <f t="shared" ca="1" si="3"/>
        <v>1981500932579.918</v>
      </c>
      <c r="G69" s="40">
        <f t="shared" ca="1" si="4"/>
        <v>10211697511269.574</v>
      </c>
      <c r="H69" s="40">
        <f t="shared" ca="1" si="5"/>
        <v>10211697511269.574</v>
      </c>
      <c r="I69" s="40">
        <f t="shared" ca="1" si="6"/>
        <v>3772754992284.6416</v>
      </c>
      <c r="J69" s="40">
        <f t="shared" ca="1" si="7"/>
        <v>1348922843259.7087</v>
      </c>
      <c r="K69" s="41">
        <f t="shared" ca="1" si="8"/>
        <v>2.7968649290330623</v>
      </c>
    </row>
    <row r="70" spans="2:11" ht="15" customHeight="1" x14ac:dyDescent="0.35">
      <c r="B70" s="5">
        <v>49</v>
      </c>
      <c r="C70" s="39">
        <f t="shared" ca="1" si="0"/>
        <v>3.4312316353177885</v>
      </c>
      <c r="D70" s="40">
        <f t="shared" ca="1" si="1"/>
        <v>10129336954.982244</v>
      </c>
      <c r="E70" s="40">
        <f t="shared" ca="1" si="2"/>
        <v>53793554841608.508</v>
      </c>
      <c r="F70" s="40">
        <f t="shared" ca="1" si="3"/>
        <v>3217472571173.8706</v>
      </c>
      <c r="G70" s="40">
        <f t="shared" ca="1" si="4"/>
        <v>17744128631854.258</v>
      </c>
      <c r="H70" s="40">
        <f t="shared" ca="1" si="5"/>
        <v>3217472571173.8706</v>
      </c>
      <c r="I70" s="40">
        <f t="shared" ca="1" si="6"/>
        <v>9340455527504.8047</v>
      </c>
      <c r="J70" s="40">
        <f t="shared" ca="1" si="7"/>
        <v>1415375087019.4402</v>
      </c>
      <c r="K70" s="41">
        <f t="shared" ca="1" si="8"/>
        <v>6.5992793098925819</v>
      </c>
    </row>
    <row r="71" spans="2:11" ht="15" customHeight="1" x14ac:dyDescent="0.35">
      <c r="B71" s="5">
        <v>50</v>
      </c>
      <c r="C71" s="39">
        <f t="shared" ca="1" si="0"/>
        <v>3.3383999813683132</v>
      </c>
      <c r="D71" s="40">
        <f t="shared" ca="1" si="1"/>
        <v>7138000015.3323374</v>
      </c>
      <c r="E71" s="40">
        <f t="shared" ca="1" si="2"/>
        <v>10635680601906.93</v>
      </c>
      <c r="F71" s="40">
        <f t="shared" ca="1" si="3"/>
        <v>1864198203307.7607</v>
      </c>
      <c r="G71" s="40">
        <f t="shared" ca="1" si="4"/>
        <v>19210636518807.34</v>
      </c>
      <c r="H71" s="40">
        <f t="shared" ca="1" si="5"/>
        <v>19210636518807.34</v>
      </c>
      <c r="I71" s="40">
        <f t="shared" ca="1" si="6"/>
        <v>40534665268538.359</v>
      </c>
      <c r="J71" s="40">
        <f t="shared" ca="1" si="7"/>
        <v>1454665817778.696</v>
      </c>
      <c r="K71" s="41">
        <f t="shared" ca="1" si="8"/>
        <v>27.865276528210174</v>
      </c>
    </row>
    <row r="72" spans="2:11" ht="15" customHeight="1" x14ac:dyDescent="0.35">
      <c r="B72" s="5">
        <v>51</v>
      </c>
      <c r="C72" s="39">
        <f t="shared" ca="1" si="0"/>
        <v>2.9523561517484276</v>
      </c>
      <c r="D72" s="40">
        <f t="shared" ca="1" si="1"/>
        <v>4361174895.1218348</v>
      </c>
      <c r="E72" s="40">
        <f t="shared" ca="1" si="2"/>
        <v>12202511631430.563</v>
      </c>
      <c r="F72" s="40">
        <f t="shared" ca="1" si="3"/>
        <v>11171715283493.455</v>
      </c>
      <c r="G72" s="40">
        <f t="shared" ca="1" si="4"/>
        <v>5975281045427.4043</v>
      </c>
      <c r="H72" s="40">
        <f t="shared" ca="1" si="5"/>
        <v>5975281045427.4043</v>
      </c>
      <c r="I72" s="40">
        <f t="shared" ca="1" si="6"/>
        <v>3367685103811.8447</v>
      </c>
      <c r="J72" s="40">
        <f t="shared" ca="1" si="7"/>
        <v>1348798533961.8052</v>
      </c>
      <c r="K72" s="41">
        <f t="shared" ca="1" si="8"/>
        <v>2.4968036508165494</v>
      </c>
    </row>
    <row r="73" spans="2:11" ht="15" customHeight="1" x14ac:dyDescent="0.35">
      <c r="B73" s="5">
        <v>52</v>
      </c>
      <c r="C73" s="39">
        <f t="shared" ca="1" si="0"/>
        <v>3.1458305231097321</v>
      </c>
      <c r="D73" s="40">
        <f t="shared" ca="1" si="1"/>
        <v>5393967931.1422625</v>
      </c>
      <c r="E73" s="40">
        <f t="shared" ca="1" si="2"/>
        <v>11734424979966.73</v>
      </c>
      <c r="F73" s="40">
        <f t="shared" ca="1" si="3"/>
        <v>1150775696883.3936</v>
      </c>
      <c r="G73" s="40">
        <f t="shared" ca="1" si="4"/>
        <v>2804809786039.1768</v>
      </c>
      <c r="H73" s="40">
        <f t="shared" ca="1" si="5"/>
        <v>11734424979966.73</v>
      </c>
      <c r="I73" s="40">
        <f t="shared" ca="1" si="6"/>
        <v>4962934942469.7422</v>
      </c>
      <c r="J73" s="40">
        <f t="shared" ca="1" si="7"/>
        <v>1127158927049.051</v>
      </c>
      <c r="K73" s="41">
        <f t="shared" ca="1" si="8"/>
        <v>4.4030480736757438</v>
      </c>
    </row>
    <row r="74" spans="2:11" ht="15" customHeight="1" x14ac:dyDescent="0.35">
      <c r="B74" s="5">
        <v>53</v>
      </c>
      <c r="C74" s="39">
        <f t="shared" ca="1" si="0"/>
        <v>3.0157889062801559</v>
      </c>
      <c r="D74" s="40">
        <f t="shared" ca="1" si="1"/>
        <v>5468878411.9036493</v>
      </c>
      <c r="E74" s="40">
        <f t="shared" ca="1" si="2"/>
        <v>32041806396895.301</v>
      </c>
      <c r="F74" s="40">
        <f t="shared" ca="1" si="3"/>
        <v>27279312696561.855</v>
      </c>
      <c r="G74" s="40">
        <f t="shared" ca="1" si="4"/>
        <v>4432456790078.3936</v>
      </c>
      <c r="H74" s="40">
        <f t="shared" ca="1" si="5"/>
        <v>32041806396895.301</v>
      </c>
      <c r="I74" s="40">
        <f t="shared" ca="1" si="6"/>
        <v>1323379903383.5559</v>
      </c>
      <c r="J74" s="40">
        <f t="shared" ca="1" si="7"/>
        <v>1037592332251.8412</v>
      </c>
      <c r="K74" s="41">
        <f t="shared" ca="1" si="8"/>
        <v>1.2754333877077546</v>
      </c>
    </row>
    <row r="75" spans="2:11" ht="15" customHeight="1" x14ac:dyDescent="0.35">
      <c r="B75" s="5">
        <v>54</v>
      </c>
      <c r="C75" s="39">
        <f t="shared" ca="1" si="0"/>
        <v>2.6453108922901176</v>
      </c>
      <c r="D75" s="40">
        <f t="shared" ca="1" si="1"/>
        <v>2609067098.8403873</v>
      </c>
      <c r="E75" s="40">
        <f t="shared" ca="1" si="2"/>
        <v>22036888500406.242</v>
      </c>
      <c r="F75" s="40">
        <f t="shared" ca="1" si="3"/>
        <v>2447654705788.9624</v>
      </c>
      <c r="G75" s="40">
        <f t="shared" ca="1" si="4"/>
        <v>23171263840563.309</v>
      </c>
      <c r="H75" s="40">
        <f t="shared" ca="1" si="5"/>
        <v>22036888500406.242</v>
      </c>
      <c r="I75" s="40">
        <f t="shared" ca="1" si="6"/>
        <v>5276654200299.6836</v>
      </c>
      <c r="J75" s="40">
        <f t="shared" ca="1" si="7"/>
        <v>871655376224.54578</v>
      </c>
      <c r="K75" s="41">
        <f t="shared" ca="1" si="8"/>
        <v>6.0536013936548851</v>
      </c>
    </row>
    <row r="76" spans="2:11" ht="15" customHeight="1" x14ac:dyDescent="0.35">
      <c r="B76" s="5">
        <v>55</v>
      </c>
      <c r="C76" s="39">
        <f t="shared" ca="1" si="0"/>
        <v>3.6804191624784033</v>
      </c>
      <c r="D76" s="40">
        <f t="shared" ca="1" si="1"/>
        <v>14069805972.56249</v>
      </c>
      <c r="E76" s="40">
        <f t="shared" ca="1" si="2"/>
        <v>17548871969607.693</v>
      </c>
      <c r="F76" s="40">
        <f t="shared" ca="1" si="3"/>
        <v>4450956178012.4463</v>
      </c>
      <c r="G76" s="40">
        <f t="shared" ca="1" si="4"/>
        <v>43909742710483.719</v>
      </c>
      <c r="H76" s="40">
        <f t="shared" ca="1" si="5"/>
        <v>43909742710483.719</v>
      </c>
      <c r="I76" s="40">
        <f t="shared" ca="1" si="6"/>
        <v>89427662321193.219</v>
      </c>
      <c r="J76" s="40">
        <f t="shared" ca="1" si="7"/>
        <v>1527440641417.5625</v>
      </c>
      <c r="K76" s="41">
        <f t="shared" ca="1" si="8"/>
        <v>58.547389598196517</v>
      </c>
    </row>
    <row r="77" spans="2:11" ht="15" customHeight="1" x14ac:dyDescent="0.35">
      <c r="B77" s="5">
        <v>56</v>
      </c>
      <c r="C77" s="39">
        <f t="shared" ca="1" si="0"/>
        <v>3.3314959432054341</v>
      </c>
      <c r="D77" s="40">
        <f t="shared" ca="1" si="1"/>
        <v>8168387985.6704855</v>
      </c>
      <c r="E77" s="40">
        <f t="shared" ca="1" si="2"/>
        <v>120555038440928.13</v>
      </c>
      <c r="F77" s="40">
        <f t="shared" ca="1" si="3"/>
        <v>3140736720037.999</v>
      </c>
      <c r="G77" s="40">
        <f t="shared" ca="1" si="4"/>
        <v>40916253212557.977</v>
      </c>
      <c r="H77" s="40">
        <f t="shared" ca="1" si="5"/>
        <v>3140736720037.999</v>
      </c>
      <c r="I77" s="40">
        <f t="shared" ca="1" si="6"/>
        <v>60165988727177.984</v>
      </c>
      <c r="J77" s="40">
        <f t="shared" ca="1" si="7"/>
        <v>722126736409.34753</v>
      </c>
      <c r="K77" s="41">
        <f t="shared" ca="1" si="8"/>
        <v>83.317769158282573</v>
      </c>
    </row>
    <row r="78" spans="2:11" ht="15" customHeight="1" x14ac:dyDescent="0.35">
      <c r="B78" s="5">
        <v>57</v>
      </c>
      <c r="C78" s="39">
        <f t="shared" ca="1" si="0"/>
        <v>2.797805075026317</v>
      </c>
      <c r="D78" s="40">
        <f t="shared" ca="1" si="1"/>
        <v>3202841606.4116907</v>
      </c>
      <c r="E78" s="40">
        <f t="shared" ca="1" si="2"/>
        <v>14275423515713.986</v>
      </c>
      <c r="F78" s="40">
        <f t="shared" ca="1" si="3"/>
        <v>959517155943.4425</v>
      </c>
      <c r="G78" s="40">
        <f t="shared" ca="1" si="4"/>
        <v>2053172633410.2083</v>
      </c>
      <c r="H78" s="40">
        <f t="shared" ca="1" si="5"/>
        <v>14275423515713.986</v>
      </c>
      <c r="I78" s="40">
        <f t="shared" ca="1" si="6"/>
        <v>15849573434864.027</v>
      </c>
      <c r="J78" s="40">
        <f t="shared" ca="1" si="7"/>
        <v>1591821974638.7332</v>
      </c>
      <c r="K78" s="41">
        <f t="shared" ca="1" si="8"/>
        <v>9.9568756352048204</v>
      </c>
    </row>
    <row r="79" spans="2:11" ht="15" customHeight="1" x14ac:dyDescent="0.35">
      <c r="B79" s="5">
        <v>58</v>
      </c>
      <c r="C79" s="39">
        <f t="shared" ca="1" si="0"/>
        <v>3.2200098144868794</v>
      </c>
      <c r="D79" s="40">
        <f t="shared" ca="1" si="1"/>
        <v>6174169976.9833107</v>
      </c>
      <c r="E79" s="40">
        <f t="shared" ca="1" si="2"/>
        <v>57249448965710.148</v>
      </c>
      <c r="F79" s="40">
        <f t="shared" ca="1" si="3"/>
        <v>7229471247181.8389</v>
      </c>
      <c r="G79" s="40">
        <f t="shared" ca="1" si="4"/>
        <v>486703982407.20465</v>
      </c>
      <c r="H79" s="40">
        <f t="shared" ca="1" si="5"/>
        <v>7229471247181.8389</v>
      </c>
      <c r="I79" s="40">
        <f t="shared" ca="1" si="6"/>
        <v>17972433530429.219</v>
      </c>
      <c r="J79" s="40">
        <f t="shared" ca="1" si="7"/>
        <v>1603022912770.4038</v>
      </c>
      <c r="K79" s="41">
        <f t="shared" ca="1" si="8"/>
        <v>11.211588672409299</v>
      </c>
    </row>
    <row r="80" spans="2:11" ht="15" customHeight="1" x14ac:dyDescent="0.35">
      <c r="B80" s="5">
        <v>59</v>
      </c>
      <c r="C80" s="39">
        <f t="shared" ca="1" si="0"/>
        <v>3.2853830680783545</v>
      </c>
      <c r="D80" s="40">
        <f t="shared" ca="1" si="1"/>
        <v>7467014341.3979406</v>
      </c>
      <c r="E80" s="40">
        <f t="shared" ca="1" si="2"/>
        <v>29206912371896.305</v>
      </c>
      <c r="F80" s="40">
        <f t="shared" ca="1" si="3"/>
        <v>625336104283.53223</v>
      </c>
      <c r="G80" s="40">
        <f t="shared" ca="1" si="4"/>
        <v>737837724371.97327</v>
      </c>
      <c r="H80" s="40">
        <f t="shared" ca="1" si="5"/>
        <v>625336104283.53223</v>
      </c>
      <c r="I80" s="40">
        <f t="shared" ca="1" si="6"/>
        <v>6825445964698.6875</v>
      </c>
      <c r="J80" s="40">
        <f t="shared" ca="1" si="7"/>
        <v>445397157176.46442</v>
      </c>
      <c r="K80" s="41">
        <f t="shared" ca="1" si="8"/>
        <v>15.324403972328174</v>
      </c>
    </row>
    <row r="81" spans="2:11" ht="15" customHeight="1" x14ac:dyDescent="0.35">
      <c r="B81" s="5">
        <v>60</v>
      </c>
      <c r="C81" s="39">
        <f t="shared" ca="1" si="0"/>
        <v>3.082689532526532</v>
      </c>
      <c r="D81" s="40">
        <f t="shared" ca="1" si="1"/>
        <v>6503159008.7631607</v>
      </c>
      <c r="E81" s="40">
        <f t="shared" ca="1" si="2"/>
        <v>115229900055524.67</v>
      </c>
      <c r="F81" s="40">
        <f t="shared" ca="1" si="3"/>
        <v>7184685833629.335</v>
      </c>
      <c r="G81" s="40">
        <f t="shared" ca="1" si="4"/>
        <v>4368239172224.9937</v>
      </c>
      <c r="H81" s="40">
        <f t="shared" ca="1" si="5"/>
        <v>115229900055524.67</v>
      </c>
      <c r="I81" s="40">
        <f t="shared" ca="1" si="6"/>
        <v>16170149574756.689</v>
      </c>
      <c r="J81" s="40">
        <f t="shared" ca="1" si="7"/>
        <v>644081339406.25244</v>
      </c>
      <c r="K81" s="41">
        <f t="shared" ca="1" si="8"/>
        <v>25.10575696799906</v>
      </c>
    </row>
    <row r="82" spans="2:11" ht="15" customHeight="1" x14ac:dyDescent="0.35">
      <c r="B82" s="5">
        <v>61</v>
      </c>
      <c r="C82" s="39">
        <f t="shared" ca="1" si="0"/>
        <v>3.720092936292426</v>
      </c>
      <c r="D82" s="40">
        <f t="shared" ca="1" si="1"/>
        <v>12074917228.24082</v>
      </c>
      <c r="E82" s="40">
        <f t="shared" ca="1" si="2"/>
        <v>266434831205222.25</v>
      </c>
      <c r="F82" s="40">
        <f t="shared" ca="1" si="3"/>
        <v>915597936784.18372</v>
      </c>
      <c r="G82" s="40">
        <f t="shared" ca="1" si="4"/>
        <v>2066435238467.2104</v>
      </c>
      <c r="H82" s="40">
        <f t="shared" ca="1" si="5"/>
        <v>915597936784.18372</v>
      </c>
      <c r="I82" s="40">
        <f t="shared" ca="1" si="6"/>
        <v>128617852497787.34</v>
      </c>
      <c r="J82" s="40">
        <f t="shared" ca="1" si="7"/>
        <v>553797268051.19202</v>
      </c>
      <c r="K82" s="41">
        <f t="shared" ca="1" si="8"/>
        <v>232.24717765472641</v>
      </c>
    </row>
    <row r="83" spans="2:11" ht="15" customHeight="1" x14ac:dyDescent="0.35">
      <c r="B83" s="5">
        <v>62</v>
      </c>
      <c r="C83" s="39">
        <f t="shared" ca="1" si="0"/>
        <v>3.4752349363187411</v>
      </c>
      <c r="D83" s="40">
        <f t="shared" ca="1" si="1"/>
        <v>10543752540.556564</v>
      </c>
      <c r="E83" s="40">
        <f t="shared" ca="1" si="2"/>
        <v>42486007767843.398</v>
      </c>
      <c r="F83" s="40">
        <f t="shared" ca="1" si="3"/>
        <v>3612681012801.021</v>
      </c>
      <c r="G83" s="40">
        <f t="shared" ca="1" si="4"/>
        <v>2984589054798.3022</v>
      </c>
      <c r="H83" s="40">
        <f t="shared" ca="1" si="5"/>
        <v>3612681012801.021</v>
      </c>
      <c r="I83" s="40">
        <f t="shared" ca="1" si="6"/>
        <v>4761646100853.8818</v>
      </c>
      <c r="J83" s="40">
        <f t="shared" ca="1" si="7"/>
        <v>829442626633.63025</v>
      </c>
      <c r="K83" s="41">
        <f t="shared" ca="1" si="8"/>
        <v>5.740778141798021</v>
      </c>
    </row>
    <row r="84" spans="2:11" ht="15" customHeight="1" x14ac:dyDescent="0.35">
      <c r="B84" s="5">
        <v>63</v>
      </c>
      <c r="C84" s="39">
        <f t="shared" ca="1" si="0"/>
        <v>3.1193176266415166</v>
      </c>
      <c r="D84" s="40">
        <f t="shared" ca="1" si="1"/>
        <v>5132564241.3007927</v>
      </c>
      <c r="E84" s="40">
        <f t="shared" ca="1" si="2"/>
        <v>5946130928838.9043</v>
      </c>
      <c r="F84" s="40">
        <f t="shared" ca="1" si="3"/>
        <v>2490059711832.4873</v>
      </c>
      <c r="G84" s="40">
        <f t="shared" ca="1" si="4"/>
        <v>5754761250707.9609</v>
      </c>
      <c r="H84" s="40">
        <f t="shared" ca="1" si="5"/>
        <v>2490059711832.4873</v>
      </c>
      <c r="I84" s="40">
        <f t="shared" ca="1" si="6"/>
        <v>2129482248994.4558</v>
      </c>
      <c r="J84" s="40">
        <f t="shared" ca="1" si="7"/>
        <v>801836554125.00586</v>
      </c>
      <c r="K84" s="41">
        <f t="shared" ca="1" si="8"/>
        <v>2.6557560116702672</v>
      </c>
    </row>
    <row r="85" spans="2:11" ht="15" customHeight="1" x14ac:dyDescent="0.35">
      <c r="B85" s="5">
        <v>64</v>
      </c>
      <c r="C85" s="39">
        <f t="shared" ca="1" si="0"/>
        <v>2.6142639248773274</v>
      </c>
      <c r="D85" s="40">
        <f t="shared" ca="1" si="1"/>
        <v>2845733247.4922528</v>
      </c>
      <c r="E85" s="40">
        <f t="shared" ca="1" si="2"/>
        <v>9206240761388.3184</v>
      </c>
      <c r="F85" s="40">
        <f t="shared" ca="1" si="3"/>
        <v>1422721542068.9465</v>
      </c>
      <c r="G85" s="40">
        <f t="shared" ca="1" si="4"/>
        <v>1102010414645.1777</v>
      </c>
      <c r="H85" s="40">
        <f t="shared" ca="1" si="5"/>
        <v>9206240761388.3184</v>
      </c>
      <c r="I85" s="40">
        <f t="shared" ca="1" si="6"/>
        <v>2715480230155.6426</v>
      </c>
      <c r="J85" s="40">
        <f t="shared" ca="1" si="7"/>
        <v>1234146354690.999</v>
      </c>
      <c r="K85" s="41">
        <f t="shared" ca="1" si="8"/>
        <v>2.200290281484107</v>
      </c>
    </row>
    <row r="86" spans="2:11" ht="15" customHeight="1" x14ac:dyDescent="0.35">
      <c r="B86" s="5">
        <v>65</v>
      </c>
      <c r="C86" s="39">
        <f t="shared" ref="C86:C149" ca="1" si="9">MEDIAN(1.8,NORMINV(RAND(),$C$7,$D$7),4.5)</f>
        <v>2.4638938243746793</v>
      </c>
      <c r="D86" s="40">
        <f t="shared" ref="D86:D149" ca="1" si="10">($C$8+RAND()*($D$8-$C$8))*C86^5</f>
        <v>1870250959.6947474</v>
      </c>
      <c r="E86" s="40">
        <f t="shared" ref="E86:E149" ca="1" si="11">D86*($C$10+RAND()*($D$10-$C$10))*EXP(NORMINV(RAND(),$C$9,$D$9))*($C$11+RAND()*($D$11-$C$11))</f>
        <v>17659244798593.164</v>
      </c>
      <c r="F86" s="40">
        <f t="shared" ref="F86:F149" ca="1" si="12">EXP(NORMINV(RAND(),$C$12,$D$12))*EXP(NORMINV(RAND(),$C$13,$D$13))</f>
        <v>3642472352687.4653</v>
      </c>
      <c r="G86" s="40">
        <f t="shared" ref="G86:G149" ca="1" si="13">EXP(NORMINV(RAND(),$C$14,$D$14))*($C$15+RAND()*($D$15-$C$15))*EXP(NORMINV(RAND(),$C$16,$D$16))/1000000*31536000</f>
        <v>16852226655883.818</v>
      </c>
      <c r="H86" s="40">
        <f t="shared" ref="H86:H149" ca="1" si="14">CHOOSE(RANDBETWEEN(1,3),E86,F86,G86)</f>
        <v>17659244798593.164</v>
      </c>
      <c r="I86" s="40">
        <f t="shared" ref="I86:I149" ca="1" si="15">EXP(NORMINV(RAND(),$C$14,$D$14))*($C$15+RAND()*($D$15-$C$15))*60</f>
        <v>32506714502017.898</v>
      </c>
      <c r="J86" s="40">
        <f t="shared" ref="J86:J149" ca="1" si="16">($C$17+RAND()*($D$17-$C$17))*($C$18+RAND()*($D$18-$C$18))</f>
        <v>1782439932049.8733</v>
      </c>
      <c r="K86" s="41">
        <f t="shared" ref="K86:K149" ca="1" si="17">I86/J86</f>
        <v>18.237200546014446</v>
      </c>
    </row>
    <row r="87" spans="2:11" ht="15" customHeight="1" x14ac:dyDescent="0.35">
      <c r="B87" s="5">
        <v>66</v>
      </c>
      <c r="C87" s="39">
        <f t="shared" ca="1" si="9"/>
        <v>3.0102462572031361</v>
      </c>
      <c r="D87" s="40">
        <f t="shared" ca="1" si="10"/>
        <v>5686035856.7467871</v>
      </c>
      <c r="E87" s="40">
        <f t="shared" ca="1" si="11"/>
        <v>34789594785394.195</v>
      </c>
      <c r="F87" s="40">
        <f t="shared" ca="1" si="12"/>
        <v>2905759962558.7378</v>
      </c>
      <c r="G87" s="40">
        <f t="shared" ca="1" si="13"/>
        <v>5434525179280.8428</v>
      </c>
      <c r="H87" s="40">
        <f t="shared" ca="1" si="14"/>
        <v>5434525179280.8428</v>
      </c>
      <c r="I87" s="40">
        <f t="shared" ca="1" si="15"/>
        <v>67553594286378.047</v>
      </c>
      <c r="J87" s="40">
        <f t="shared" ca="1" si="16"/>
        <v>1175527248593.554</v>
      </c>
      <c r="K87" s="41">
        <f t="shared" ca="1" si="17"/>
        <v>57.46663411435317</v>
      </c>
    </row>
    <row r="88" spans="2:11" ht="15" customHeight="1" x14ac:dyDescent="0.35">
      <c r="B88" s="5">
        <v>67</v>
      </c>
      <c r="C88" s="39">
        <f t="shared" ca="1" si="9"/>
        <v>2.9040474244739816</v>
      </c>
      <c r="D88" s="40">
        <f t="shared" ca="1" si="10"/>
        <v>4242020911.7001681</v>
      </c>
      <c r="E88" s="40">
        <f t="shared" ca="1" si="11"/>
        <v>6526980573104.7529</v>
      </c>
      <c r="F88" s="40">
        <f t="shared" ca="1" si="12"/>
        <v>2267887597009.2349</v>
      </c>
      <c r="G88" s="40">
        <f t="shared" ca="1" si="13"/>
        <v>2575605728416.5</v>
      </c>
      <c r="H88" s="40">
        <f t="shared" ca="1" si="14"/>
        <v>6526980573104.7529</v>
      </c>
      <c r="I88" s="40">
        <f t="shared" ca="1" si="15"/>
        <v>1229416766376.2808</v>
      </c>
      <c r="J88" s="40">
        <f t="shared" ca="1" si="16"/>
        <v>556283661505.4342</v>
      </c>
      <c r="K88" s="41">
        <f t="shared" ca="1" si="17"/>
        <v>2.2100537036252157</v>
      </c>
    </row>
    <row r="89" spans="2:11" ht="15" customHeight="1" x14ac:dyDescent="0.35">
      <c r="B89" s="5">
        <v>68</v>
      </c>
      <c r="C89" s="39">
        <f t="shared" ca="1" si="9"/>
        <v>4.0122354494607215</v>
      </c>
      <c r="D89" s="40">
        <f t="shared" ca="1" si="10"/>
        <v>22554202299.170719</v>
      </c>
      <c r="E89" s="40">
        <f t="shared" ca="1" si="11"/>
        <v>47028775537369.672</v>
      </c>
      <c r="F89" s="40">
        <f t="shared" ca="1" si="12"/>
        <v>3050796204527.0479</v>
      </c>
      <c r="G89" s="40">
        <f t="shared" ca="1" si="13"/>
        <v>7378490444347.2051</v>
      </c>
      <c r="H89" s="40">
        <f t="shared" ca="1" si="14"/>
        <v>7378490444347.2051</v>
      </c>
      <c r="I89" s="40">
        <f t="shared" ca="1" si="15"/>
        <v>874855815023.24683</v>
      </c>
      <c r="J89" s="40">
        <f t="shared" ca="1" si="16"/>
        <v>1689548444914.2471</v>
      </c>
      <c r="K89" s="41">
        <f t="shared" ca="1" si="17"/>
        <v>0.51780451614552558</v>
      </c>
    </row>
    <row r="90" spans="2:11" ht="15" customHeight="1" x14ac:dyDescent="0.35">
      <c r="B90" s="5">
        <v>69</v>
      </c>
      <c r="C90" s="39">
        <f t="shared" ca="1" si="9"/>
        <v>3.2988308882629158</v>
      </c>
      <c r="D90" s="40">
        <f t="shared" ca="1" si="10"/>
        <v>6824484680.5467691</v>
      </c>
      <c r="E90" s="40">
        <f t="shared" ca="1" si="11"/>
        <v>38253248470281.977</v>
      </c>
      <c r="F90" s="40">
        <f t="shared" ca="1" si="12"/>
        <v>797103778039.95728</v>
      </c>
      <c r="G90" s="40">
        <f t="shared" ca="1" si="13"/>
        <v>2552800324845.561</v>
      </c>
      <c r="H90" s="40">
        <f t="shared" ca="1" si="14"/>
        <v>2552800324845.561</v>
      </c>
      <c r="I90" s="40">
        <f t="shared" ca="1" si="15"/>
        <v>104402402176419.14</v>
      </c>
      <c r="J90" s="40">
        <f t="shared" ca="1" si="16"/>
        <v>1305802045230.9531</v>
      </c>
      <c r="K90" s="41">
        <f t="shared" ca="1" si="17"/>
        <v>79.952702293366229</v>
      </c>
    </row>
    <row r="91" spans="2:11" ht="15" customHeight="1" x14ac:dyDescent="0.35">
      <c r="B91" s="5">
        <v>70</v>
      </c>
      <c r="C91" s="39">
        <f t="shared" ca="1" si="9"/>
        <v>2.9282482447004634</v>
      </c>
      <c r="D91" s="40">
        <f t="shared" ca="1" si="10"/>
        <v>4312803209.0047646</v>
      </c>
      <c r="E91" s="40">
        <f t="shared" ca="1" si="11"/>
        <v>3268431806349.709</v>
      </c>
      <c r="F91" s="40">
        <f t="shared" ca="1" si="12"/>
        <v>2418976737037.6279</v>
      </c>
      <c r="G91" s="40">
        <f t="shared" ca="1" si="13"/>
        <v>715290237399.25012</v>
      </c>
      <c r="H91" s="40">
        <f t="shared" ca="1" si="14"/>
        <v>2418976737037.6279</v>
      </c>
      <c r="I91" s="40">
        <f t="shared" ca="1" si="15"/>
        <v>923523918670.50391</v>
      </c>
      <c r="J91" s="40">
        <f t="shared" ca="1" si="16"/>
        <v>1353927284721.9731</v>
      </c>
      <c r="K91" s="41">
        <f t="shared" ca="1" si="17"/>
        <v>0.68210747289884777</v>
      </c>
    </row>
    <row r="92" spans="2:11" ht="15" customHeight="1" x14ac:dyDescent="0.35">
      <c r="B92" s="5">
        <v>71</v>
      </c>
      <c r="C92" s="39">
        <f t="shared" ca="1" si="9"/>
        <v>2.926998652303697</v>
      </c>
      <c r="D92" s="40">
        <f t="shared" ca="1" si="10"/>
        <v>3534308380.5286298</v>
      </c>
      <c r="E92" s="40">
        <f t="shared" ca="1" si="11"/>
        <v>19440470612856.875</v>
      </c>
      <c r="F92" s="40">
        <f t="shared" ca="1" si="12"/>
        <v>1955050563221.343</v>
      </c>
      <c r="G92" s="40">
        <f t="shared" ca="1" si="13"/>
        <v>340322026884602.5</v>
      </c>
      <c r="H92" s="40">
        <f t="shared" ca="1" si="14"/>
        <v>19440470612856.875</v>
      </c>
      <c r="I92" s="40">
        <f t="shared" ca="1" si="15"/>
        <v>2975409634006.5215</v>
      </c>
      <c r="J92" s="40">
        <f t="shared" ca="1" si="16"/>
        <v>1053013587307.1353</v>
      </c>
      <c r="K92" s="41">
        <f t="shared" ca="1" si="17"/>
        <v>2.825613714648751</v>
      </c>
    </row>
    <row r="93" spans="2:11" ht="15" customHeight="1" x14ac:dyDescent="0.35">
      <c r="B93" s="5">
        <v>72</v>
      </c>
      <c r="C93" s="39">
        <f t="shared" ca="1" si="9"/>
        <v>2.951674975899707</v>
      </c>
      <c r="D93" s="40">
        <f t="shared" ca="1" si="10"/>
        <v>3944564773.4915156</v>
      </c>
      <c r="E93" s="40">
        <f t="shared" ca="1" si="11"/>
        <v>7110812514050.0625</v>
      </c>
      <c r="F93" s="40">
        <f t="shared" ca="1" si="12"/>
        <v>3764389794062.1445</v>
      </c>
      <c r="G93" s="40">
        <f t="shared" ca="1" si="13"/>
        <v>10680474408730.01</v>
      </c>
      <c r="H93" s="40">
        <f t="shared" ca="1" si="14"/>
        <v>3764389794062.1445</v>
      </c>
      <c r="I93" s="40">
        <f t="shared" ca="1" si="15"/>
        <v>74797986587083.047</v>
      </c>
      <c r="J93" s="40">
        <f t="shared" ca="1" si="16"/>
        <v>1614991329076.9536</v>
      </c>
      <c r="K93" s="41">
        <f t="shared" ca="1" si="17"/>
        <v>46.314791442152043</v>
      </c>
    </row>
    <row r="94" spans="2:11" ht="15" customHeight="1" x14ac:dyDescent="0.35">
      <c r="B94" s="5">
        <v>73</v>
      </c>
      <c r="C94" s="39">
        <f t="shared" ca="1" si="9"/>
        <v>2.9965016942214318</v>
      </c>
      <c r="D94" s="40">
        <f t="shared" ca="1" si="10"/>
        <v>4136846902.9965448</v>
      </c>
      <c r="E94" s="40">
        <f t="shared" ca="1" si="11"/>
        <v>31808784653171.891</v>
      </c>
      <c r="F94" s="40">
        <f t="shared" ca="1" si="12"/>
        <v>667014394711.25952</v>
      </c>
      <c r="G94" s="40">
        <f t="shared" ca="1" si="13"/>
        <v>44634221387401.445</v>
      </c>
      <c r="H94" s="40">
        <f t="shared" ca="1" si="14"/>
        <v>667014394711.25952</v>
      </c>
      <c r="I94" s="40">
        <f t="shared" ca="1" si="15"/>
        <v>64416994776154.547</v>
      </c>
      <c r="J94" s="40">
        <f t="shared" ca="1" si="16"/>
        <v>1269774885150.4756</v>
      </c>
      <c r="K94" s="41">
        <f t="shared" ca="1" si="17"/>
        <v>50.731035500454688</v>
      </c>
    </row>
    <row r="95" spans="2:11" ht="15" customHeight="1" x14ac:dyDescent="0.35">
      <c r="B95" s="5">
        <v>74</v>
      </c>
      <c r="C95" s="39">
        <f t="shared" ca="1" si="9"/>
        <v>3.5542108649797277</v>
      </c>
      <c r="D95" s="40">
        <f t="shared" ca="1" si="10"/>
        <v>10562975747.70783</v>
      </c>
      <c r="E95" s="40">
        <f t="shared" ca="1" si="11"/>
        <v>90553358188369.016</v>
      </c>
      <c r="F95" s="40">
        <f t="shared" ca="1" si="12"/>
        <v>7457935443171.9873</v>
      </c>
      <c r="G95" s="40">
        <f t="shared" ca="1" si="13"/>
        <v>22740360276146.969</v>
      </c>
      <c r="H95" s="40">
        <f t="shared" ca="1" si="14"/>
        <v>22740360276146.969</v>
      </c>
      <c r="I95" s="40">
        <f t="shared" ca="1" si="15"/>
        <v>24551858173217.379</v>
      </c>
      <c r="J95" s="40">
        <f t="shared" ca="1" si="16"/>
        <v>1428146437324.9255</v>
      </c>
      <c r="K95" s="41">
        <f t="shared" ca="1" si="17"/>
        <v>17.191415061893579</v>
      </c>
    </row>
    <row r="96" spans="2:11" ht="15" customHeight="1" x14ac:dyDescent="0.35">
      <c r="B96" s="5">
        <v>75</v>
      </c>
      <c r="C96" s="39">
        <f t="shared" ca="1" si="9"/>
        <v>2.9411518932109049</v>
      </c>
      <c r="D96" s="40">
        <f t="shared" ca="1" si="10"/>
        <v>3575825766.4429731</v>
      </c>
      <c r="E96" s="40">
        <f t="shared" ca="1" si="11"/>
        <v>2370147291004.9126</v>
      </c>
      <c r="F96" s="40">
        <f t="shared" ca="1" si="12"/>
        <v>1245237379661.4917</v>
      </c>
      <c r="G96" s="40">
        <f t="shared" ca="1" si="13"/>
        <v>1048130653405.5906</v>
      </c>
      <c r="H96" s="40">
        <f t="shared" ca="1" si="14"/>
        <v>1245237379661.4917</v>
      </c>
      <c r="I96" s="40">
        <f t="shared" ca="1" si="15"/>
        <v>28815764027758.945</v>
      </c>
      <c r="J96" s="40">
        <f t="shared" ca="1" si="16"/>
        <v>1575764911553.4631</v>
      </c>
      <c r="K96" s="41">
        <f t="shared" ca="1" si="17"/>
        <v>18.286842038734704</v>
      </c>
    </row>
    <row r="97" spans="2:11" ht="15" customHeight="1" x14ac:dyDescent="0.35">
      <c r="B97" s="5">
        <v>76</v>
      </c>
      <c r="C97" s="39">
        <f t="shared" ca="1" si="9"/>
        <v>3.2799696286614797</v>
      </c>
      <c r="D97" s="40">
        <f t="shared" ca="1" si="10"/>
        <v>8091091457.9124136</v>
      </c>
      <c r="E97" s="40">
        <f t="shared" ca="1" si="11"/>
        <v>35120653133872.203</v>
      </c>
      <c r="F97" s="40">
        <f t="shared" ca="1" si="12"/>
        <v>1915890747904.4563</v>
      </c>
      <c r="G97" s="40">
        <f t="shared" ca="1" si="13"/>
        <v>2411319944563.2388</v>
      </c>
      <c r="H97" s="40">
        <f t="shared" ca="1" si="14"/>
        <v>2411319944563.2388</v>
      </c>
      <c r="I97" s="40">
        <f t="shared" ca="1" si="15"/>
        <v>195691611435246.72</v>
      </c>
      <c r="J97" s="40">
        <f t="shared" ca="1" si="16"/>
        <v>1222504234496.5952</v>
      </c>
      <c r="K97" s="41">
        <f t="shared" ca="1" si="17"/>
        <v>160.07438331355058</v>
      </c>
    </row>
    <row r="98" spans="2:11" ht="15" customHeight="1" x14ac:dyDescent="0.35">
      <c r="B98" s="5">
        <v>77</v>
      </c>
      <c r="C98" s="39">
        <f t="shared" ca="1" si="9"/>
        <v>3.4388722456441512</v>
      </c>
      <c r="D98" s="40">
        <f t="shared" ca="1" si="10"/>
        <v>9721235607.0508099</v>
      </c>
      <c r="E98" s="40">
        <f t="shared" ca="1" si="11"/>
        <v>19435897331198.301</v>
      </c>
      <c r="F98" s="40">
        <f t="shared" ca="1" si="12"/>
        <v>4145281539716.5142</v>
      </c>
      <c r="G98" s="40">
        <f t="shared" ca="1" si="13"/>
        <v>6980669778404.1074</v>
      </c>
      <c r="H98" s="40">
        <f t="shared" ca="1" si="14"/>
        <v>19435897331198.301</v>
      </c>
      <c r="I98" s="40">
        <f t="shared" ca="1" si="15"/>
        <v>15066747607550.133</v>
      </c>
      <c r="J98" s="40">
        <f t="shared" ca="1" si="16"/>
        <v>1123055047008.8645</v>
      </c>
      <c r="K98" s="41">
        <f t="shared" ca="1" si="17"/>
        <v>13.415858508163765</v>
      </c>
    </row>
    <row r="99" spans="2:11" ht="15" customHeight="1" x14ac:dyDescent="0.35">
      <c r="B99" s="5">
        <v>78</v>
      </c>
      <c r="C99" s="39">
        <f t="shared" ca="1" si="9"/>
        <v>3.0210089412420311</v>
      </c>
      <c r="D99" s="40">
        <f t="shared" ca="1" si="10"/>
        <v>4342948898.3254328</v>
      </c>
      <c r="E99" s="40">
        <f t="shared" ca="1" si="11"/>
        <v>16117997682605.641</v>
      </c>
      <c r="F99" s="40">
        <f t="shared" ca="1" si="12"/>
        <v>3721622309198.2441</v>
      </c>
      <c r="G99" s="40">
        <f t="shared" ca="1" si="13"/>
        <v>1586050208595.5513</v>
      </c>
      <c r="H99" s="40">
        <f t="shared" ca="1" si="14"/>
        <v>3721622309198.2441</v>
      </c>
      <c r="I99" s="40">
        <f t="shared" ca="1" si="15"/>
        <v>163582035429708.19</v>
      </c>
      <c r="J99" s="40">
        <f t="shared" ca="1" si="16"/>
        <v>800661641492.28418</v>
      </c>
      <c r="K99" s="41">
        <f t="shared" ca="1" si="17"/>
        <v>204.30857050279283</v>
      </c>
    </row>
    <row r="100" spans="2:11" ht="15" customHeight="1" x14ac:dyDescent="0.35">
      <c r="B100" s="5">
        <v>79</v>
      </c>
      <c r="C100" s="39">
        <f t="shared" ca="1" si="9"/>
        <v>2.599873643334218</v>
      </c>
      <c r="D100" s="40">
        <f t="shared" ca="1" si="10"/>
        <v>2277742560.7017674</v>
      </c>
      <c r="E100" s="40">
        <f t="shared" ca="1" si="11"/>
        <v>1836788278968.6538</v>
      </c>
      <c r="F100" s="40">
        <f t="shared" ca="1" si="12"/>
        <v>848555800110.80127</v>
      </c>
      <c r="G100" s="40">
        <f t="shared" ca="1" si="13"/>
        <v>2422327133446.0571</v>
      </c>
      <c r="H100" s="40">
        <f t="shared" ca="1" si="14"/>
        <v>848555800110.80127</v>
      </c>
      <c r="I100" s="40">
        <f t="shared" ca="1" si="15"/>
        <v>183438541620601.75</v>
      </c>
      <c r="J100" s="40">
        <f t="shared" ca="1" si="16"/>
        <v>652407168561.91772</v>
      </c>
      <c r="K100" s="41">
        <f t="shared" ca="1" si="17"/>
        <v>281.17186698752869</v>
      </c>
    </row>
    <row r="101" spans="2:11" ht="15" customHeight="1" x14ac:dyDescent="0.35">
      <c r="B101" s="5">
        <v>80</v>
      </c>
      <c r="C101" s="39">
        <f t="shared" ca="1" si="9"/>
        <v>2.7640837249508099</v>
      </c>
      <c r="D101" s="40">
        <f t="shared" ca="1" si="10"/>
        <v>2630829011.0661111</v>
      </c>
      <c r="E101" s="40">
        <f t="shared" ca="1" si="11"/>
        <v>16698394333968.113</v>
      </c>
      <c r="F101" s="40">
        <f t="shared" ca="1" si="12"/>
        <v>13050125142383.242</v>
      </c>
      <c r="G101" s="40">
        <f t="shared" ca="1" si="13"/>
        <v>8117014459480.0264</v>
      </c>
      <c r="H101" s="40">
        <f t="shared" ca="1" si="14"/>
        <v>16698394333968.113</v>
      </c>
      <c r="I101" s="40">
        <f t="shared" ca="1" si="15"/>
        <v>18451149678504.852</v>
      </c>
      <c r="J101" s="40">
        <f t="shared" ca="1" si="16"/>
        <v>685667247606.31592</v>
      </c>
      <c r="K101" s="41">
        <f t="shared" ca="1" si="17"/>
        <v>26.909772550633484</v>
      </c>
    </row>
    <row r="102" spans="2:11" ht="15" customHeight="1" x14ac:dyDescent="0.35">
      <c r="B102" s="5">
        <v>81</v>
      </c>
      <c r="C102" s="39">
        <f t="shared" ca="1" si="9"/>
        <v>3.2826063710216329</v>
      </c>
      <c r="D102" s="40">
        <f t="shared" ca="1" si="10"/>
        <v>8859486714.3506565</v>
      </c>
      <c r="E102" s="40">
        <f t="shared" ca="1" si="11"/>
        <v>45083928883296.797</v>
      </c>
      <c r="F102" s="40">
        <f t="shared" ca="1" si="12"/>
        <v>1457686630111.0391</v>
      </c>
      <c r="G102" s="40">
        <f t="shared" ca="1" si="13"/>
        <v>3575363281299.854</v>
      </c>
      <c r="H102" s="40">
        <f t="shared" ca="1" si="14"/>
        <v>1457686630111.0391</v>
      </c>
      <c r="I102" s="40">
        <f t="shared" ca="1" si="15"/>
        <v>9972897876231.8945</v>
      </c>
      <c r="J102" s="40">
        <f t="shared" ca="1" si="16"/>
        <v>969847721227.47949</v>
      </c>
      <c r="K102" s="41">
        <f t="shared" ca="1" si="17"/>
        <v>10.282952321226039</v>
      </c>
    </row>
    <row r="103" spans="2:11" ht="15" customHeight="1" x14ac:dyDescent="0.35">
      <c r="B103" s="5">
        <v>82</v>
      </c>
      <c r="C103" s="39">
        <f t="shared" ca="1" si="9"/>
        <v>3.1140712223122109</v>
      </c>
      <c r="D103" s="40">
        <f t="shared" ca="1" si="10"/>
        <v>6741798684.522809</v>
      </c>
      <c r="E103" s="40">
        <f t="shared" ca="1" si="11"/>
        <v>79611269316011.625</v>
      </c>
      <c r="F103" s="40">
        <f t="shared" ca="1" si="12"/>
        <v>1606614194881.2373</v>
      </c>
      <c r="G103" s="40">
        <f t="shared" ca="1" si="13"/>
        <v>974091176631.46216</v>
      </c>
      <c r="H103" s="40">
        <f t="shared" ca="1" si="14"/>
        <v>79611269316011.625</v>
      </c>
      <c r="I103" s="40">
        <f t="shared" ca="1" si="15"/>
        <v>82141344605808.266</v>
      </c>
      <c r="J103" s="40">
        <f t="shared" ca="1" si="16"/>
        <v>1045170182994.5253</v>
      </c>
      <c r="K103" s="41">
        <f t="shared" ca="1" si="17"/>
        <v>78.591358557956994</v>
      </c>
    </row>
    <row r="104" spans="2:11" ht="15" customHeight="1" x14ac:dyDescent="0.35">
      <c r="B104" s="5">
        <v>83</v>
      </c>
      <c r="C104" s="39">
        <f t="shared" ca="1" si="9"/>
        <v>3.758108818603378</v>
      </c>
      <c r="D104" s="40">
        <f t="shared" ca="1" si="10"/>
        <v>16898491311.253769</v>
      </c>
      <c r="E104" s="40">
        <f t="shared" ca="1" si="11"/>
        <v>164469310650350.34</v>
      </c>
      <c r="F104" s="40">
        <f t="shared" ca="1" si="12"/>
        <v>1412496579606.5466</v>
      </c>
      <c r="G104" s="40">
        <f t="shared" ca="1" si="13"/>
        <v>1536937242172.1499</v>
      </c>
      <c r="H104" s="40">
        <f t="shared" ca="1" si="14"/>
        <v>1412496579606.5466</v>
      </c>
      <c r="I104" s="40">
        <f t="shared" ca="1" si="15"/>
        <v>17711179209072.945</v>
      </c>
      <c r="J104" s="40">
        <f t="shared" ca="1" si="16"/>
        <v>580493653393.59326</v>
      </c>
      <c r="K104" s="41">
        <f t="shared" ca="1" si="17"/>
        <v>30.51054754092927</v>
      </c>
    </row>
    <row r="105" spans="2:11" ht="15" customHeight="1" x14ac:dyDescent="0.35">
      <c r="B105" s="5">
        <v>84</v>
      </c>
      <c r="C105" s="39">
        <f t="shared" ca="1" si="9"/>
        <v>2.6101375255164201</v>
      </c>
      <c r="D105" s="40">
        <f t="shared" ca="1" si="10"/>
        <v>2705936170.4132051</v>
      </c>
      <c r="E105" s="40">
        <f t="shared" ca="1" si="11"/>
        <v>9628622484836.1855</v>
      </c>
      <c r="F105" s="40">
        <f t="shared" ca="1" si="12"/>
        <v>3544710272019.3081</v>
      </c>
      <c r="G105" s="40">
        <f t="shared" ca="1" si="13"/>
        <v>9651585725984.5703</v>
      </c>
      <c r="H105" s="40">
        <f t="shared" ca="1" si="14"/>
        <v>3544710272019.3081</v>
      </c>
      <c r="I105" s="40">
        <f t="shared" ca="1" si="15"/>
        <v>5262441361323.3311</v>
      </c>
      <c r="J105" s="40">
        <f t="shared" ca="1" si="16"/>
        <v>1181820257247.2583</v>
      </c>
      <c r="K105" s="41">
        <f t="shared" ca="1" si="17"/>
        <v>4.4528271782892048</v>
      </c>
    </row>
    <row r="106" spans="2:11" ht="15" customHeight="1" x14ac:dyDescent="0.35">
      <c r="B106" s="5">
        <v>85</v>
      </c>
      <c r="C106" s="39">
        <f t="shared" ca="1" si="9"/>
        <v>2.7598849252389677</v>
      </c>
      <c r="D106" s="40">
        <f t="shared" ca="1" si="10"/>
        <v>3376432574.9821157</v>
      </c>
      <c r="E106" s="40">
        <f t="shared" ca="1" si="11"/>
        <v>18823984460280.664</v>
      </c>
      <c r="F106" s="40">
        <f t="shared" ca="1" si="12"/>
        <v>1154423042044.2881</v>
      </c>
      <c r="G106" s="40">
        <f t="shared" ca="1" si="13"/>
        <v>23392201398630.836</v>
      </c>
      <c r="H106" s="40">
        <f t="shared" ca="1" si="14"/>
        <v>1154423042044.2881</v>
      </c>
      <c r="I106" s="40">
        <f t="shared" ca="1" si="15"/>
        <v>28510657422147.332</v>
      </c>
      <c r="J106" s="40">
        <f t="shared" ca="1" si="16"/>
        <v>465041467315.89496</v>
      </c>
      <c r="K106" s="41">
        <f t="shared" ca="1" si="17"/>
        <v>61.307774523213681</v>
      </c>
    </row>
    <row r="107" spans="2:11" ht="15" customHeight="1" x14ac:dyDescent="0.35">
      <c r="B107" s="5">
        <v>86</v>
      </c>
      <c r="C107" s="39">
        <f t="shared" ca="1" si="9"/>
        <v>3.0684998018367295</v>
      </c>
      <c r="D107" s="40">
        <f t="shared" ca="1" si="10"/>
        <v>6262226073.1570654</v>
      </c>
      <c r="E107" s="40">
        <f t="shared" ca="1" si="11"/>
        <v>101631994288604.89</v>
      </c>
      <c r="F107" s="40">
        <f t="shared" ca="1" si="12"/>
        <v>1785348177907.4399</v>
      </c>
      <c r="G107" s="40">
        <f t="shared" ca="1" si="13"/>
        <v>8082395201036.4785</v>
      </c>
      <c r="H107" s="40">
        <f t="shared" ca="1" si="14"/>
        <v>1785348177907.4399</v>
      </c>
      <c r="I107" s="40">
        <f t="shared" ca="1" si="15"/>
        <v>13896804534970.445</v>
      </c>
      <c r="J107" s="40">
        <f t="shared" ca="1" si="16"/>
        <v>1247439632709.6262</v>
      </c>
      <c r="K107" s="41">
        <f t="shared" ca="1" si="17"/>
        <v>11.140262158245283</v>
      </c>
    </row>
    <row r="108" spans="2:11" ht="15" customHeight="1" x14ac:dyDescent="0.35">
      <c r="B108" s="5">
        <v>87</v>
      </c>
      <c r="C108" s="39">
        <f t="shared" ca="1" si="9"/>
        <v>3.4368740241967082</v>
      </c>
      <c r="D108" s="40">
        <f t="shared" ca="1" si="10"/>
        <v>7832582070.3695183</v>
      </c>
      <c r="E108" s="40">
        <f t="shared" ca="1" si="11"/>
        <v>28813775812861.09</v>
      </c>
      <c r="F108" s="40">
        <f t="shared" ca="1" si="12"/>
        <v>1214124508758.2734</v>
      </c>
      <c r="G108" s="40">
        <f t="shared" ca="1" si="13"/>
        <v>19814185821430.496</v>
      </c>
      <c r="H108" s="40">
        <f t="shared" ca="1" si="14"/>
        <v>19814185821430.496</v>
      </c>
      <c r="I108" s="40">
        <f t="shared" ca="1" si="15"/>
        <v>23757034567308.309</v>
      </c>
      <c r="J108" s="40">
        <f t="shared" ca="1" si="16"/>
        <v>907018005442.02466</v>
      </c>
      <c r="K108" s="41">
        <f t="shared" ca="1" si="17"/>
        <v>26.192461918912617</v>
      </c>
    </row>
    <row r="109" spans="2:11" ht="15" customHeight="1" x14ac:dyDescent="0.35">
      <c r="B109" s="5">
        <v>88</v>
      </c>
      <c r="C109" s="39">
        <f t="shared" ca="1" si="9"/>
        <v>3.1869688579382744</v>
      </c>
      <c r="D109" s="40">
        <f t="shared" ca="1" si="10"/>
        <v>6094628697.3227587</v>
      </c>
      <c r="E109" s="40">
        <f t="shared" ca="1" si="11"/>
        <v>125042041537563.58</v>
      </c>
      <c r="F109" s="40">
        <f t="shared" ca="1" si="12"/>
        <v>4058616954786.3145</v>
      </c>
      <c r="G109" s="40">
        <f t="shared" ca="1" si="13"/>
        <v>157113180165952.44</v>
      </c>
      <c r="H109" s="40">
        <f t="shared" ca="1" si="14"/>
        <v>125042041537563.58</v>
      </c>
      <c r="I109" s="40">
        <f t="shared" ca="1" si="15"/>
        <v>33640028386119.652</v>
      </c>
      <c r="J109" s="40">
        <f t="shared" ca="1" si="16"/>
        <v>1715433805789.1345</v>
      </c>
      <c r="K109" s="41">
        <f t="shared" ca="1" si="17"/>
        <v>19.61021653682787</v>
      </c>
    </row>
    <row r="110" spans="2:11" ht="15" customHeight="1" x14ac:dyDescent="0.35">
      <c r="B110" s="5">
        <v>89</v>
      </c>
      <c r="C110" s="39">
        <f t="shared" ca="1" si="9"/>
        <v>2.5033348299849774</v>
      </c>
      <c r="D110" s="40">
        <f t="shared" ca="1" si="10"/>
        <v>2265563989.7701011</v>
      </c>
      <c r="E110" s="40">
        <f t="shared" ca="1" si="11"/>
        <v>15517100715682.834</v>
      </c>
      <c r="F110" s="40">
        <f t="shared" ca="1" si="12"/>
        <v>3829422672007.9619</v>
      </c>
      <c r="G110" s="40">
        <f t="shared" ca="1" si="13"/>
        <v>2992969805389.6978</v>
      </c>
      <c r="H110" s="40">
        <f t="shared" ca="1" si="14"/>
        <v>2992969805389.6978</v>
      </c>
      <c r="I110" s="40">
        <f t="shared" ca="1" si="15"/>
        <v>1132310914876.4048</v>
      </c>
      <c r="J110" s="40">
        <f t="shared" ca="1" si="16"/>
        <v>1054728066084.3848</v>
      </c>
      <c r="K110" s="41">
        <f t="shared" ca="1" si="17"/>
        <v>1.0735572052046001</v>
      </c>
    </row>
    <row r="111" spans="2:11" ht="15" customHeight="1" x14ac:dyDescent="0.35">
      <c r="B111" s="5">
        <v>90</v>
      </c>
      <c r="C111" s="39">
        <f t="shared" ca="1" si="9"/>
        <v>3.0951689148512962</v>
      </c>
      <c r="D111" s="40">
        <f t="shared" ca="1" si="10"/>
        <v>5241724468.5923786</v>
      </c>
      <c r="E111" s="40">
        <f t="shared" ca="1" si="11"/>
        <v>17245464870310.152</v>
      </c>
      <c r="F111" s="40">
        <f t="shared" ca="1" si="12"/>
        <v>10783166603307.848</v>
      </c>
      <c r="G111" s="40">
        <f t="shared" ca="1" si="13"/>
        <v>5674272242820.0127</v>
      </c>
      <c r="H111" s="40">
        <f t="shared" ca="1" si="14"/>
        <v>10783166603307.848</v>
      </c>
      <c r="I111" s="40">
        <f t="shared" ca="1" si="15"/>
        <v>9583526435797.2598</v>
      </c>
      <c r="J111" s="40">
        <f t="shared" ca="1" si="16"/>
        <v>822227157192.39563</v>
      </c>
      <c r="K111" s="41">
        <f t="shared" ca="1" si="17"/>
        <v>11.655570303128261</v>
      </c>
    </row>
    <row r="112" spans="2:11" ht="15" customHeight="1" x14ac:dyDescent="0.35">
      <c r="B112" s="5">
        <v>91</v>
      </c>
      <c r="C112" s="39">
        <f t="shared" ca="1" si="9"/>
        <v>2.6612371934507624</v>
      </c>
      <c r="D112" s="40">
        <f t="shared" ca="1" si="10"/>
        <v>2951127471.0131803</v>
      </c>
      <c r="E112" s="40">
        <f t="shared" ca="1" si="11"/>
        <v>44702591527083.508</v>
      </c>
      <c r="F112" s="40">
        <f t="shared" ca="1" si="12"/>
        <v>1062366229948.16</v>
      </c>
      <c r="G112" s="40">
        <f t="shared" ca="1" si="13"/>
        <v>2400089412725.9878</v>
      </c>
      <c r="H112" s="40">
        <f t="shared" ca="1" si="14"/>
        <v>44702591527083.508</v>
      </c>
      <c r="I112" s="40">
        <f t="shared" ca="1" si="15"/>
        <v>107626915351407.09</v>
      </c>
      <c r="J112" s="40">
        <f t="shared" ca="1" si="16"/>
        <v>586703829091.9989</v>
      </c>
      <c r="K112" s="41">
        <f t="shared" ca="1" si="17"/>
        <v>183.44334912211815</v>
      </c>
    </row>
    <row r="113" spans="2:11" ht="15" customHeight="1" x14ac:dyDescent="0.35">
      <c r="B113" s="5">
        <v>92</v>
      </c>
      <c r="C113" s="39">
        <f t="shared" ca="1" si="9"/>
        <v>2.7573202974992848</v>
      </c>
      <c r="D113" s="40">
        <f t="shared" ca="1" si="10"/>
        <v>2707795964.9312434</v>
      </c>
      <c r="E113" s="40">
        <f t="shared" ca="1" si="11"/>
        <v>39388080098479.352</v>
      </c>
      <c r="F113" s="40">
        <f t="shared" ca="1" si="12"/>
        <v>3583030358491.6489</v>
      </c>
      <c r="G113" s="40">
        <f t="shared" ca="1" si="13"/>
        <v>3135624056405.6045</v>
      </c>
      <c r="H113" s="40">
        <f t="shared" ca="1" si="14"/>
        <v>3583030358491.6489</v>
      </c>
      <c r="I113" s="40">
        <f t="shared" ca="1" si="15"/>
        <v>6423575566842.2715</v>
      </c>
      <c r="J113" s="40">
        <f t="shared" ca="1" si="16"/>
        <v>632414255264.38721</v>
      </c>
      <c r="K113" s="41">
        <f t="shared" ca="1" si="17"/>
        <v>10.157227661095069</v>
      </c>
    </row>
    <row r="114" spans="2:11" ht="15" customHeight="1" x14ac:dyDescent="0.35">
      <c r="B114" s="5">
        <v>93</v>
      </c>
      <c r="C114" s="39">
        <f t="shared" ca="1" si="9"/>
        <v>2.7791551328578028</v>
      </c>
      <c r="D114" s="40">
        <f t="shared" ca="1" si="10"/>
        <v>3576366950.5665345</v>
      </c>
      <c r="E114" s="40">
        <f t="shared" ca="1" si="11"/>
        <v>47554620822687.391</v>
      </c>
      <c r="F114" s="40">
        <f t="shared" ca="1" si="12"/>
        <v>4381012950206.6255</v>
      </c>
      <c r="G114" s="40">
        <f t="shared" ca="1" si="13"/>
        <v>7337740528817.9551</v>
      </c>
      <c r="H114" s="40">
        <f t="shared" ca="1" si="14"/>
        <v>47554620822687.391</v>
      </c>
      <c r="I114" s="40">
        <f t="shared" ca="1" si="15"/>
        <v>3712665039270.4829</v>
      </c>
      <c r="J114" s="40">
        <f t="shared" ca="1" si="16"/>
        <v>786791643091.16541</v>
      </c>
      <c r="K114" s="41">
        <f t="shared" ca="1" si="17"/>
        <v>4.7187397983589117</v>
      </c>
    </row>
    <row r="115" spans="2:11" ht="15" customHeight="1" x14ac:dyDescent="0.35">
      <c r="B115" s="5">
        <v>94</v>
      </c>
      <c r="C115" s="39">
        <f t="shared" ca="1" si="9"/>
        <v>2.8020919089277827</v>
      </c>
      <c r="D115" s="40">
        <f t="shared" ca="1" si="10"/>
        <v>3967186108.7839684</v>
      </c>
      <c r="E115" s="40">
        <f t="shared" ca="1" si="11"/>
        <v>16568775132056.791</v>
      </c>
      <c r="F115" s="40">
        <f t="shared" ca="1" si="12"/>
        <v>15424695410849.5</v>
      </c>
      <c r="G115" s="40">
        <f t="shared" ca="1" si="13"/>
        <v>1750687483685.8853</v>
      </c>
      <c r="H115" s="40">
        <f t="shared" ca="1" si="14"/>
        <v>1750687483685.8853</v>
      </c>
      <c r="I115" s="40">
        <f t="shared" ca="1" si="15"/>
        <v>13574843247564.84</v>
      </c>
      <c r="J115" s="40">
        <f t="shared" ca="1" si="16"/>
        <v>1278738009764.2588</v>
      </c>
      <c r="K115" s="41">
        <f t="shared" ca="1" si="17"/>
        <v>10.615812734046612</v>
      </c>
    </row>
    <row r="116" spans="2:11" ht="15" customHeight="1" x14ac:dyDescent="0.35">
      <c r="B116" s="5">
        <v>95</v>
      </c>
      <c r="C116" s="39">
        <f t="shared" ca="1" si="9"/>
        <v>3.0555710795720028</v>
      </c>
      <c r="D116" s="40">
        <f t="shared" ca="1" si="10"/>
        <v>5917197273.0152311</v>
      </c>
      <c r="E116" s="40">
        <f t="shared" ca="1" si="11"/>
        <v>9710602132407.9512</v>
      </c>
      <c r="F116" s="40">
        <f t="shared" ca="1" si="12"/>
        <v>280371038778.03772</v>
      </c>
      <c r="G116" s="40">
        <f t="shared" ca="1" si="13"/>
        <v>234191834086783.28</v>
      </c>
      <c r="H116" s="40">
        <f t="shared" ca="1" si="14"/>
        <v>280371038778.03772</v>
      </c>
      <c r="I116" s="40">
        <f t="shared" ca="1" si="15"/>
        <v>2287562491818.2476</v>
      </c>
      <c r="J116" s="40">
        <f t="shared" ca="1" si="16"/>
        <v>1057986187861.4398</v>
      </c>
      <c r="K116" s="41">
        <f t="shared" ca="1" si="17"/>
        <v>2.1621855918953079</v>
      </c>
    </row>
    <row r="117" spans="2:11" ht="15" customHeight="1" x14ac:dyDescent="0.35">
      <c r="B117" s="5">
        <v>96</v>
      </c>
      <c r="C117" s="39">
        <f t="shared" ca="1" si="9"/>
        <v>3.0045931921658178</v>
      </c>
      <c r="D117" s="40">
        <f t="shared" ca="1" si="10"/>
        <v>5324481658.8342972</v>
      </c>
      <c r="E117" s="40">
        <f t="shared" ca="1" si="11"/>
        <v>6772928857714.7441</v>
      </c>
      <c r="F117" s="40">
        <f t="shared" ca="1" si="12"/>
        <v>28433726835434.945</v>
      </c>
      <c r="G117" s="40">
        <f t="shared" ca="1" si="13"/>
        <v>5891427455350.0977</v>
      </c>
      <c r="H117" s="40">
        <f t="shared" ca="1" si="14"/>
        <v>28433726835434.945</v>
      </c>
      <c r="I117" s="40">
        <f t="shared" ca="1" si="15"/>
        <v>4536953286861.3428</v>
      </c>
      <c r="J117" s="40">
        <f t="shared" ca="1" si="16"/>
        <v>1133115322145.7878</v>
      </c>
      <c r="K117" s="41">
        <f t="shared" ca="1" si="17"/>
        <v>4.0039642904745874</v>
      </c>
    </row>
    <row r="118" spans="2:11" ht="15" customHeight="1" x14ac:dyDescent="0.35">
      <c r="B118" s="5">
        <v>97</v>
      </c>
      <c r="C118" s="39">
        <f t="shared" ca="1" si="9"/>
        <v>3.1510642846958907</v>
      </c>
      <c r="D118" s="40">
        <f t="shared" ca="1" si="10"/>
        <v>5656595133.0526838</v>
      </c>
      <c r="E118" s="40">
        <f t="shared" ca="1" si="11"/>
        <v>114612719310041.45</v>
      </c>
      <c r="F118" s="40">
        <f t="shared" ca="1" si="12"/>
        <v>1355253633260.4597</v>
      </c>
      <c r="G118" s="40">
        <f t="shared" ca="1" si="13"/>
        <v>30951579192266.789</v>
      </c>
      <c r="H118" s="40">
        <f t="shared" ca="1" si="14"/>
        <v>114612719310041.45</v>
      </c>
      <c r="I118" s="40">
        <f t="shared" ca="1" si="15"/>
        <v>7128855696298.498</v>
      </c>
      <c r="J118" s="40">
        <f t="shared" ca="1" si="16"/>
        <v>571206568398.55505</v>
      </c>
      <c r="K118" s="41">
        <f t="shared" ca="1" si="17"/>
        <v>12.48034614917872</v>
      </c>
    </row>
    <row r="119" spans="2:11" ht="15" customHeight="1" x14ac:dyDescent="0.35">
      <c r="B119" s="5">
        <v>98</v>
      </c>
      <c r="C119" s="39">
        <f t="shared" ca="1" si="9"/>
        <v>2.7398113254520737</v>
      </c>
      <c r="D119" s="40">
        <f t="shared" ca="1" si="10"/>
        <v>3243496217.1474004</v>
      </c>
      <c r="E119" s="40">
        <f t="shared" ca="1" si="11"/>
        <v>6349661883071.7988</v>
      </c>
      <c r="F119" s="40">
        <f t="shared" ca="1" si="12"/>
        <v>17173837207724.844</v>
      </c>
      <c r="G119" s="40">
        <f t="shared" ca="1" si="13"/>
        <v>3449766574964.563</v>
      </c>
      <c r="H119" s="40">
        <f t="shared" ca="1" si="14"/>
        <v>3449766574964.563</v>
      </c>
      <c r="I119" s="40">
        <f t="shared" ca="1" si="15"/>
        <v>110690385266953.7</v>
      </c>
      <c r="J119" s="40">
        <f t="shared" ca="1" si="16"/>
        <v>673232336408.47314</v>
      </c>
      <c r="K119" s="41">
        <f t="shared" ca="1" si="17"/>
        <v>164.41632298510694</v>
      </c>
    </row>
    <row r="120" spans="2:11" ht="15" customHeight="1" x14ac:dyDescent="0.35">
      <c r="B120" s="5">
        <v>99</v>
      </c>
      <c r="C120" s="39">
        <f t="shared" ca="1" si="9"/>
        <v>2.5334605719523902</v>
      </c>
      <c r="D120" s="40">
        <f t="shared" ca="1" si="10"/>
        <v>2440947293.9560709</v>
      </c>
      <c r="E120" s="40">
        <f t="shared" ca="1" si="11"/>
        <v>7484196360227.7686</v>
      </c>
      <c r="F120" s="40">
        <f t="shared" ca="1" si="12"/>
        <v>159738514036.76782</v>
      </c>
      <c r="G120" s="40">
        <f t="shared" ca="1" si="13"/>
        <v>27918275669108.152</v>
      </c>
      <c r="H120" s="40">
        <f t="shared" ca="1" si="14"/>
        <v>27918275669108.152</v>
      </c>
      <c r="I120" s="40">
        <f t="shared" ca="1" si="15"/>
        <v>1974099384733.8811</v>
      </c>
      <c r="J120" s="40">
        <f t="shared" ca="1" si="16"/>
        <v>772657546791.43494</v>
      </c>
      <c r="K120" s="41">
        <f t="shared" ca="1" si="17"/>
        <v>2.554947392841235</v>
      </c>
    </row>
    <row r="121" spans="2:11" ht="15" customHeight="1" x14ac:dyDescent="0.35">
      <c r="B121" s="5">
        <v>100</v>
      </c>
      <c r="C121" s="39">
        <f t="shared" ca="1" si="9"/>
        <v>2.9666555007227551</v>
      </c>
      <c r="D121" s="40">
        <f t="shared" ca="1" si="10"/>
        <v>5098301778.7480841</v>
      </c>
      <c r="E121" s="40">
        <f t="shared" ca="1" si="11"/>
        <v>15544950456302.986</v>
      </c>
      <c r="F121" s="40">
        <f t="shared" ca="1" si="12"/>
        <v>2205237699770.5327</v>
      </c>
      <c r="G121" s="40">
        <f t="shared" ca="1" si="13"/>
        <v>13324789747453.115</v>
      </c>
      <c r="H121" s="40">
        <f t="shared" ca="1" si="14"/>
        <v>2205237699770.5327</v>
      </c>
      <c r="I121" s="40">
        <f t="shared" ca="1" si="15"/>
        <v>8224483095222.0371</v>
      </c>
      <c r="J121" s="40">
        <f t="shared" ca="1" si="16"/>
        <v>1038613746565.7341</v>
      </c>
      <c r="K121" s="41">
        <f t="shared" ca="1" si="17"/>
        <v>7.9187119585283741</v>
      </c>
    </row>
    <row r="122" spans="2:11" ht="15" customHeight="1" x14ac:dyDescent="0.35">
      <c r="B122" s="5">
        <v>101</v>
      </c>
      <c r="C122" s="39">
        <f t="shared" ca="1" si="9"/>
        <v>2.9155560739978252</v>
      </c>
      <c r="D122" s="40">
        <f t="shared" ca="1" si="10"/>
        <v>3545750796.2425284</v>
      </c>
      <c r="E122" s="40">
        <f t="shared" ca="1" si="11"/>
        <v>7547297462469.8301</v>
      </c>
      <c r="F122" s="40">
        <f t="shared" ca="1" si="12"/>
        <v>3432270714543.3662</v>
      </c>
      <c r="G122" s="40">
        <f t="shared" ca="1" si="13"/>
        <v>2079674040003.5789</v>
      </c>
      <c r="H122" s="40">
        <f t="shared" ca="1" si="14"/>
        <v>3432270714543.3662</v>
      </c>
      <c r="I122" s="40">
        <f t="shared" ca="1" si="15"/>
        <v>15251518845598.189</v>
      </c>
      <c r="J122" s="40">
        <f t="shared" ca="1" si="16"/>
        <v>1023626672292.2593</v>
      </c>
      <c r="K122" s="41">
        <f t="shared" ca="1" si="17"/>
        <v>14.899493397768435</v>
      </c>
    </row>
    <row r="123" spans="2:11" ht="15" customHeight="1" x14ac:dyDescent="0.35">
      <c r="B123" s="5">
        <v>102</v>
      </c>
      <c r="C123" s="39">
        <f t="shared" ca="1" si="9"/>
        <v>2.3648209860383846</v>
      </c>
      <c r="D123" s="40">
        <f t="shared" ca="1" si="10"/>
        <v>1335065285.6078017</v>
      </c>
      <c r="E123" s="40">
        <f t="shared" ca="1" si="11"/>
        <v>6295504461490.8613</v>
      </c>
      <c r="F123" s="40">
        <f t="shared" ca="1" si="12"/>
        <v>3834474656876.4219</v>
      </c>
      <c r="G123" s="40">
        <f t="shared" ca="1" si="13"/>
        <v>1532093028480.802</v>
      </c>
      <c r="H123" s="40">
        <f t="shared" ca="1" si="14"/>
        <v>6295504461490.8613</v>
      </c>
      <c r="I123" s="40">
        <f t="shared" ca="1" si="15"/>
        <v>3170372916843.6143</v>
      </c>
      <c r="J123" s="40">
        <f t="shared" ca="1" si="16"/>
        <v>1072211442151.7158</v>
      </c>
      <c r="K123" s="41">
        <f t="shared" ca="1" si="17"/>
        <v>2.9568542100999262</v>
      </c>
    </row>
    <row r="124" spans="2:11" ht="15" customHeight="1" x14ac:dyDescent="0.35">
      <c r="B124" s="5">
        <v>103</v>
      </c>
      <c r="C124" s="39">
        <f t="shared" ca="1" si="9"/>
        <v>3.376524166055535</v>
      </c>
      <c r="D124" s="40">
        <f t="shared" ca="1" si="10"/>
        <v>8935566658.5038204</v>
      </c>
      <c r="E124" s="40">
        <f t="shared" ca="1" si="11"/>
        <v>34230326084748.934</v>
      </c>
      <c r="F124" s="40">
        <f t="shared" ca="1" si="12"/>
        <v>9362291835895.334</v>
      </c>
      <c r="G124" s="40">
        <f t="shared" ca="1" si="13"/>
        <v>2702977101482.7529</v>
      </c>
      <c r="H124" s="40">
        <f t="shared" ca="1" si="14"/>
        <v>2702977101482.7529</v>
      </c>
      <c r="I124" s="40">
        <f t="shared" ca="1" si="15"/>
        <v>143930352209259.41</v>
      </c>
      <c r="J124" s="40">
        <f t="shared" ca="1" si="16"/>
        <v>668813471560.87122</v>
      </c>
      <c r="K124" s="41">
        <f t="shared" ca="1" si="17"/>
        <v>215.2025315419499</v>
      </c>
    </row>
    <row r="125" spans="2:11" ht="15" customHeight="1" x14ac:dyDescent="0.35">
      <c r="B125" s="5">
        <v>104</v>
      </c>
      <c r="C125" s="39">
        <f t="shared" ca="1" si="9"/>
        <v>2.2303545220704075</v>
      </c>
      <c r="D125" s="40">
        <f t="shared" ca="1" si="10"/>
        <v>1162924081.5220001</v>
      </c>
      <c r="E125" s="40">
        <f t="shared" ca="1" si="11"/>
        <v>1401402242792.5293</v>
      </c>
      <c r="F125" s="40">
        <f t="shared" ca="1" si="12"/>
        <v>981142866105.34277</v>
      </c>
      <c r="G125" s="40">
        <f t="shared" ca="1" si="13"/>
        <v>6081741770317.0537</v>
      </c>
      <c r="H125" s="40">
        <f t="shared" ca="1" si="14"/>
        <v>6081741770317.0537</v>
      </c>
      <c r="I125" s="40">
        <f t="shared" ca="1" si="15"/>
        <v>77804094212467.016</v>
      </c>
      <c r="J125" s="40">
        <f t="shared" ca="1" si="16"/>
        <v>930016441919.79431</v>
      </c>
      <c r="K125" s="41">
        <f t="shared" ca="1" si="17"/>
        <v>83.658837312444987</v>
      </c>
    </row>
    <row r="126" spans="2:11" ht="15" customHeight="1" x14ac:dyDescent="0.35">
      <c r="B126" s="5">
        <v>105</v>
      </c>
      <c r="C126" s="39">
        <f t="shared" ca="1" si="9"/>
        <v>2.9141873742409601</v>
      </c>
      <c r="D126" s="40">
        <f t="shared" ca="1" si="10"/>
        <v>4795349710.7873936</v>
      </c>
      <c r="E126" s="40">
        <f t="shared" ca="1" si="11"/>
        <v>45453618240529.555</v>
      </c>
      <c r="F126" s="40">
        <f t="shared" ca="1" si="12"/>
        <v>1097642038592.2383</v>
      </c>
      <c r="G126" s="40">
        <f t="shared" ca="1" si="13"/>
        <v>114294331497344.31</v>
      </c>
      <c r="H126" s="40">
        <f t="shared" ca="1" si="14"/>
        <v>1097642038592.2383</v>
      </c>
      <c r="I126" s="40">
        <f t="shared" ca="1" si="15"/>
        <v>128049509042.38083</v>
      </c>
      <c r="J126" s="40">
        <f t="shared" ca="1" si="16"/>
        <v>1437792902366.75</v>
      </c>
      <c r="K126" s="41">
        <f t="shared" ca="1" si="17"/>
        <v>8.9059772677691357E-2</v>
      </c>
    </row>
    <row r="127" spans="2:11" ht="15" customHeight="1" x14ac:dyDescent="0.35">
      <c r="B127" s="5">
        <v>106</v>
      </c>
      <c r="C127" s="39">
        <f t="shared" ca="1" si="9"/>
        <v>3.4113643358303074</v>
      </c>
      <c r="D127" s="40">
        <f t="shared" ca="1" si="10"/>
        <v>8966529508.4285831</v>
      </c>
      <c r="E127" s="40">
        <f t="shared" ca="1" si="11"/>
        <v>67833957680630.656</v>
      </c>
      <c r="F127" s="40">
        <f t="shared" ca="1" si="12"/>
        <v>5761803439385.8867</v>
      </c>
      <c r="G127" s="40">
        <f t="shared" ca="1" si="13"/>
        <v>416092456591.72729</v>
      </c>
      <c r="H127" s="40">
        <f t="shared" ca="1" si="14"/>
        <v>416092456591.72729</v>
      </c>
      <c r="I127" s="40">
        <f t="shared" ca="1" si="15"/>
        <v>17787590808816.648</v>
      </c>
      <c r="J127" s="40">
        <f t="shared" ca="1" si="16"/>
        <v>1068096503298.3657</v>
      </c>
      <c r="K127" s="41">
        <f t="shared" ca="1" si="17"/>
        <v>16.653542778098398</v>
      </c>
    </row>
    <row r="128" spans="2:11" ht="15" customHeight="1" x14ac:dyDescent="0.35">
      <c r="B128" s="5">
        <v>107</v>
      </c>
      <c r="C128" s="39">
        <f t="shared" ca="1" si="9"/>
        <v>2.9591536139318109</v>
      </c>
      <c r="D128" s="40">
        <f t="shared" ca="1" si="10"/>
        <v>5198505999.5714054</v>
      </c>
      <c r="E128" s="40">
        <f t="shared" ca="1" si="11"/>
        <v>42625316336671.07</v>
      </c>
      <c r="F128" s="40">
        <f t="shared" ca="1" si="12"/>
        <v>448297182351.95319</v>
      </c>
      <c r="G128" s="40">
        <f t="shared" ca="1" si="13"/>
        <v>21023440423673.973</v>
      </c>
      <c r="H128" s="40">
        <f t="shared" ca="1" si="14"/>
        <v>21023440423673.973</v>
      </c>
      <c r="I128" s="40">
        <f t="shared" ca="1" si="15"/>
        <v>3864526130661.7358</v>
      </c>
      <c r="J128" s="40">
        <f t="shared" ca="1" si="16"/>
        <v>1349549090128.8767</v>
      </c>
      <c r="K128" s="41">
        <f t="shared" ca="1" si="17"/>
        <v>2.8635684014226475</v>
      </c>
    </row>
    <row r="129" spans="2:11" ht="15" customHeight="1" x14ac:dyDescent="0.35">
      <c r="B129" s="5">
        <v>108</v>
      </c>
      <c r="C129" s="39">
        <f t="shared" ca="1" si="9"/>
        <v>2.6169378140414423</v>
      </c>
      <c r="D129" s="40">
        <f t="shared" ca="1" si="10"/>
        <v>2449592264.0569463</v>
      </c>
      <c r="E129" s="40">
        <f t="shared" ca="1" si="11"/>
        <v>4340977438299.4531</v>
      </c>
      <c r="F129" s="40">
        <f t="shared" ca="1" si="12"/>
        <v>2142522828899.5508</v>
      </c>
      <c r="G129" s="40">
        <f t="shared" ca="1" si="13"/>
        <v>4437447656496.3545</v>
      </c>
      <c r="H129" s="40">
        <f t="shared" ca="1" si="14"/>
        <v>4340977438299.4531</v>
      </c>
      <c r="I129" s="40">
        <f t="shared" ca="1" si="15"/>
        <v>3781287185001.5464</v>
      </c>
      <c r="J129" s="40">
        <f t="shared" ca="1" si="16"/>
        <v>948329387305.54443</v>
      </c>
      <c r="K129" s="41">
        <f t="shared" ca="1" si="17"/>
        <v>3.9873141501448006</v>
      </c>
    </row>
    <row r="130" spans="2:11" ht="15" customHeight="1" x14ac:dyDescent="0.35">
      <c r="B130" s="5">
        <v>109</v>
      </c>
      <c r="C130" s="39">
        <f t="shared" ca="1" si="9"/>
        <v>3.1590039755056329</v>
      </c>
      <c r="D130" s="40">
        <f t="shared" ca="1" si="10"/>
        <v>6321916395.1540928</v>
      </c>
      <c r="E130" s="40">
        <f t="shared" ca="1" si="11"/>
        <v>21059637015036.449</v>
      </c>
      <c r="F130" s="40">
        <f t="shared" ca="1" si="12"/>
        <v>2080681629383.5464</v>
      </c>
      <c r="G130" s="40">
        <f t="shared" ca="1" si="13"/>
        <v>4526691045374.9502</v>
      </c>
      <c r="H130" s="40">
        <f t="shared" ca="1" si="14"/>
        <v>2080681629383.5464</v>
      </c>
      <c r="I130" s="40">
        <f t="shared" ca="1" si="15"/>
        <v>1014412028653.4829</v>
      </c>
      <c r="J130" s="40">
        <f t="shared" ca="1" si="16"/>
        <v>620885920930.98865</v>
      </c>
      <c r="K130" s="41">
        <f t="shared" ca="1" si="17"/>
        <v>1.6338138689510318</v>
      </c>
    </row>
    <row r="131" spans="2:11" ht="15" customHeight="1" x14ac:dyDescent="0.35">
      <c r="B131" s="5">
        <v>110</v>
      </c>
      <c r="C131" s="39">
        <f t="shared" ca="1" si="9"/>
        <v>3.0383337252325879</v>
      </c>
      <c r="D131" s="40">
        <f t="shared" ca="1" si="10"/>
        <v>5696174248.4202557</v>
      </c>
      <c r="E131" s="40">
        <f t="shared" ca="1" si="11"/>
        <v>8792981234792.5225</v>
      </c>
      <c r="F131" s="40">
        <f t="shared" ca="1" si="12"/>
        <v>6152189311571.3398</v>
      </c>
      <c r="G131" s="40">
        <f t="shared" ca="1" si="13"/>
        <v>54525740444503.258</v>
      </c>
      <c r="H131" s="40">
        <f t="shared" ca="1" si="14"/>
        <v>54525740444503.258</v>
      </c>
      <c r="I131" s="40">
        <f t="shared" ca="1" si="15"/>
        <v>7320975454484.5684</v>
      </c>
      <c r="J131" s="40">
        <f t="shared" ca="1" si="16"/>
        <v>651851296909.58118</v>
      </c>
      <c r="K131" s="41">
        <f t="shared" ca="1" si="17"/>
        <v>11.23105145175475</v>
      </c>
    </row>
    <row r="132" spans="2:11" ht="15" customHeight="1" x14ac:dyDescent="0.35">
      <c r="B132" s="5">
        <v>111</v>
      </c>
      <c r="C132" s="39">
        <f t="shared" ca="1" si="9"/>
        <v>2.9796258914313207</v>
      </c>
      <c r="D132" s="40">
        <f t="shared" ca="1" si="10"/>
        <v>5529562521.8843498</v>
      </c>
      <c r="E132" s="40">
        <f t="shared" ca="1" si="11"/>
        <v>4971280019986.7529</v>
      </c>
      <c r="F132" s="40">
        <f t="shared" ca="1" si="12"/>
        <v>29225263961358.781</v>
      </c>
      <c r="G132" s="40">
        <f t="shared" ca="1" si="13"/>
        <v>8880723616756.1113</v>
      </c>
      <c r="H132" s="40">
        <f t="shared" ca="1" si="14"/>
        <v>8880723616756.1113</v>
      </c>
      <c r="I132" s="40">
        <f t="shared" ca="1" si="15"/>
        <v>5421478088540.3242</v>
      </c>
      <c r="J132" s="40">
        <f t="shared" ca="1" si="16"/>
        <v>921448145020.88684</v>
      </c>
      <c r="K132" s="41">
        <f t="shared" ca="1" si="17"/>
        <v>5.8836496853737046</v>
      </c>
    </row>
    <row r="133" spans="2:11" ht="15" customHeight="1" x14ac:dyDescent="0.35">
      <c r="B133" s="5">
        <v>112</v>
      </c>
      <c r="C133" s="39">
        <f t="shared" ca="1" si="9"/>
        <v>2.9756071805997562</v>
      </c>
      <c r="D133" s="40">
        <f t="shared" ca="1" si="10"/>
        <v>4644940923.6906366</v>
      </c>
      <c r="E133" s="40">
        <f t="shared" ca="1" si="11"/>
        <v>7405929361761.5156</v>
      </c>
      <c r="F133" s="40">
        <f t="shared" ca="1" si="12"/>
        <v>15851231911429.623</v>
      </c>
      <c r="G133" s="40">
        <f t="shared" ca="1" si="13"/>
        <v>7575147151570.4893</v>
      </c>
      <c r="H133" s="40">
        <f t="shared" ca="1" si="14"/>
        <v>15851231911429.623</v>
      </c>
      <c r="I133" s="40">
        <f t="shared" ca="1" si="15"/>
        <v>2508708927276.79</v>
      </c>
      <c r="J133" s="40">
        <f t="shared" ca="1" si="16"/>
        <v>426990896818.15692</v>
      </c>
      <c r="K133" s="41">
        <f t="shared" ca="1" si="17"/>
        <v>5.8753218065563972</v>
      </c>
    </row>
    <row r="134" spans="2:11" ht="15" customHeight="1" x14ac:dyDescent="0.35">
      <c r="B134" s="5">
        <v>113</v>
      </c>
      <c r="C134" s="39">
        <f t="shared" ca="1" si="9"/>
        <v>3.4516218970090513</v>
      </c>
      <c r="D134" s="40">
        <f t="shared" ca="1" si="10"/>
        <v>11444560926.503784</v>
      </c>
      <c r="E134" s="40">
        <f t="shared" ca="1" si="11"/>
        <v>3858648464349.75</v>
      </c>
      <c r="F134" s="40">
        <f t="shared" ca="1" si="12"/>
        <v>6532981900380.6582</v>
      </c>
      <c r="G134" s="40">
        <f t="shared" ca="1" si="13"/>
        <v>2262955170766.8076</v>
      </c>
      <c r="H134" s="40">
        <f t="shared" ca="1" si="14"/>
        <v>6532981900380.6582</v>
      </c>
      <c r="I134" s="40">
        <f t="shared" ca="1" si="15"/>
        <v>5789198317851.249</v>
      </c>
      <c r="J134" s="40">
        <f t="shared" ca="1" si="16"/>
        <v>798649685023.95764</v>
      </c>
      <c r="K134" s="41">
        <f t="shared" ca="1" si="17"/>
        <v>7.2487329882031899</v>
      </c>
    </row>
    <row r="135" spans="2:11" ht="15" customHeight="1" x14ac:dyDescent="0.35">
      <c r="B135" s="5">
        <v>114</v>
      </c>
      <c r="C135" s="39">
        <f t="shared" ca="1" si="9"/>
        <v>2.8933964816214019</v>
      </c>
      <c r="D135" s="40">
        <f t="shared" ca="1" si="10"/>
        <v>4223125791.5543432</v>
      </c>
      <c r="E135" s="40">
        <f t="shared" ca="1" si="11"/>
        <v>38197162519965.422</v>
      </c>
      <c r="F135" s="40">
        <f t="shared" ca="1" si="12"/>
        <v>8919542234256.6855</v>
      </c>
      <c r="G135" s="40">
        <f t="shared" ca="1" si="13"/>
        <v>9123993844812.7148</v>
      </c>
      <c r="H135" s="40">
        <f t="shared" ca="1" si="14"/>
        <v>9123993844812.7148</v>
      </c>
      <c r="I135" s="40">
        <f t="shared" ca="1" si="15"/>
        <v>1742796961454.2612</v>
      </c>
      <c r="J135" s="40">
        <f t="shared" ca="1" si="16"/>
        <v>1698978564464.7317</v>
      </c>
      <c r="K135" s="41">
        <f t="shared" ca="1" si="17"/>
        <v>1.0257910240340993</v>
      </c>
    </row>
    <row r="136" spans="2:11" ht="15" customHeight="1" x14ac:dyDescent="0.35">
      <c r="B136" s="5">
        <v>115</v>
      </c>
      <c r="C136" s="39">
        <f t="shared" ca="1" si="9"/>
        <v>2.9378605792926789</v>
      </c>
      <c r="D136" s="40">
        <f t="shared" ca="1" si="10"/>
        <v>4164576454.0890627</v>
      </c>
      <c r="E136" s="40">
        <f t="shared" ca="1" si="11"/>
        <v>10709866025920.83</v>
      </c>
      <c r="F136" s="40">
        <f t="shared" ca="1" si="12"/>
        <v>1058899737991.1085</v>
      </c>
      <c r="G136" s="40">
        <f t="shared" ca="1" si="13"/>
        <v>2931340297620.7617</v>
      </c>
      <c r="H136" s="40">
        <f t="shared" ca="1" si="14"/>
        <v>1058899737991.1085</v>
      </c>
      <c r="I136" s="40">
        <f t="shared" ca="1" si="15"/>
        <v>7573781247628.8984</v>
      </c>
      <c r="J136" s="40">
        <f t="shared" ca="1" si="16"/>
        <v>623387209261.60022</v>
      </c>
      <c r="K136" s="41">
        <f t="shared" ca="1" si="17"/>
        <v>12.14940110272717</v>
      </c>
    </row>
    <row r="137" spans="2:11" ht="15" customHeight="1" x14ac:dyDescent="0.35">
      <c r="B137" s="5">
        <v>116</v>
      </c>
      <c r="C137" s="39">
        <f t="shared" ca="1" si="9"/>
        <v>2.9967283392966904</v>
      </c>
      <c r="D137" s="40">
        <f t="shared" ca="1" si="10"/>
        <v>5350537132.4510241</v>
      </c>
      <c r="E137" s="40">
        <f t="shared" ca="1" si="11"/>
        <v>35027134693614.773</v>
      </c>
      <c r="F137" s="40">
        <f t="shared" ca="1" si="12"/>
        <v>1996458076402.0496</v>
      </c>
      <c r="G137" s="40">
        <f t="shared" ca="1" si="13"/>
        <v>11718996502542.014</v>
      </c>
      <c r="H137" s="40">
        <f t="shared" ca="1" si="14"/>
        <v>11718996502542.014</v>
      </c>
      <c r="I137" s="40">
        <f t="shared" ca="1" si="15"/>
        <v>1734199009493.9456</v>
      </c>
      <c r="J137" s="40">
        <f t="shared" ca="1" si="16"/>
        <v>1277760765280.967</v>
      </c>
      <c r="K137" s="41">
        <f t="shared" ca="1" si="17"/>
        <v>1.357217294986055</v>
      </c>
    </row>
    <row r="138" spans="2:11" ht="15" customHeight="1" x14ac:dyDescent="0.35">
      <c r="B138" s="5">
        <v>117</v>
      </c>
      <c r="C138" s="39">
        <f t="shared" ca="1" si="9"/>
        <v>2.8772763896752886</v>
      </c>
      <c r="D138" s="40">
        <f t="shared" ca="1" si="10"/>
        <v>4430760045.6511517</v>
      </c>
      <c r="E138" s="40">
        <f t="shared" ca="1" si="11"/>
        <v>24837661407107.063</v>
      </c>
      <c r="F138" s="40">
        <f t="shared" ca="1" si="12"/>
        <v>619336860905.06519</v>
      </c>
      <c r="G138" s="40">
        <f t="shared" ca="1" si="13"/>
        <v>158952619355317.63</v>
      </c>
      <c r="H138" s="40">
        <f t="shared" ca="1" si="14"/>
        <v>619336860905.06519</v>
      </c>
      <c r="I138" s="40">
        <f t="shared" ca="1" si="15"/>
        <v>15380600353919.883</v>
      </c>
      <c r="J138" s="40">
        <f t="shared" ca="1" si="16"/>
        <v>1566790092506.6375</v>
      </c>
      <c r="K138" s="41">
        <f t="shared" ca="1" si="17"/>
        <v>9.8166311029661593</v>
      </c>
    </row>
    <row r="139" spans="2:11" ht="15" customHeight="1" x14ac:dyDescent="0.35">
      <c r="B139" s="5">
        <v>118</v>
      </c>
      <c r="C139" s="39">
        <f t="shared" ca="1" si="9"/>
        <v>3.6424002589640039</v>
      </c>
      <c r="D139" s="40">
        <f t="shared" ca="1" si="10"/>
        <v>11495607622.85759</v>
      </c>
      <c r="E139" s="40">
        <f t="shared" ca="1" si="11"/>
        <v>18355057716614.414</v>
      </c>
      <c r="F139" s="40">
        <f t="shared" ca="1" si="12"/>
        <v>3727679753566.9678</v>
      </c>
      <c r="G139" s="40">
        <f t="shared" ca="1" si="13"/>
        <v>4181461092851.8296</v>
      </c>
      <c r="H139" s="40">
        <f t="shared" ca="1" si="14"/>
        <v>18355057716614.414</v>
      </c>
      <c r="I139" s="40">
        <f t="shared" ca="1" si="15"/>
        <v>39667421913990.508</v>
      </c>
      <c r="J139" s="40">
        <f t="shared" ca="1" si="16"/>
        <v>1523668122107.5889</v>
      </c>
      <c r="K139" s="41">
        <f t="shared" ca="1" si="17"/>
        <v>26.034161467604374</v>
      </c>
    </row>
    <row r="140" spans="2:11" ht="15" customHeight="1" x14ac:dyDescent="0.35">
      <c r="B140" s="5">
        <v>119</v>
      </c>
      <c r="C140" s="39">
        <f t="shared" ca="1" si="9"/>
        <v>2.5612155060536286</v>
      </c>
      <c r="D140" s="40">
        <f t="shared" ca="1" si="10"/>
        <v>2296226662.4139442</v>
      </c>
      <c r="E140" s="40">
        <f t="shared" ca="1" si="11"/>
        <v>7091370013468.0088</v>
      </c>
      <c r="F140" s="40">
        <f t="shared" ca="1" si="12"/>
        <v>7892496135124.4512</v>
      </c>
      <c r="G140" s="40">
        <f t="shared" ca="1" si="13"/>
        <v>12391708064065.219</v>
      </c>
      <c r="H140" s="40">
        <f t="shared" ca="1" si="14"/>
        <v>12391708064065.219</v>
      </c>
      <c r="I140" s="40">
        <f t="shared" ca="1" si="15"/>
        <v>1966957500573.2754</v>
      </c>
      <c r="J140" s="40">
        <f t="shared" ca="1" si="16"/>
        <v>1095754841813.9703</v>
      </c>
      <c r="K140" s="41">
        <f t="shared" ca="1" si="17"/>
        <v>1.7950707818156388</v>
      </c>
    </row>
    <row r="141" spans="2:11" ht="15" customHeight="1" x14ac:dyDescent="0.35">
      <c r="B141" s="5">
        <v>120</v>
      </c>
      <c r="C141" s="39">
        <f t="shared" ca="1" si="9"/>
        <v>3.242102564772896</v>
      </c>
      <c r="D141" s="40">
        <f t="shared" ca="1" si="10"/>
        <v>5844490674.4078531</v>
      </c>
      <c r="E141" s="40">
        <f t="shared" ca="1" si="11"/>
        <v>28590141151449.363</v>
      </c>
      <c r="F141" s="40">
        <f t="shared" ca="1" si="12"/>
        <v>2434383565613.249</v>
      </c>
      <c r="G141" s="40">
        <f t="shared" ca="1" si="13"/>
        <v>1375461880559.8677</v>
      </c>
      <c r="H141" s="40">
        <f t="shared" ca="1" si="14"/>
        <v>1375461880559.8677</v>
      </c>
      <c r="I141" s="40">
        <f t="shared" ca="1" si="15"/>
        <v>20776061741693.137</v>
      </c>
      <c r="J141" s="40">
        <f t="shared" ca="1" si="16"/>
        <v>1718065409980.1392</v>
      </c>
      <c r="K141" s="41">
        <f t="shared" ca="1" si="17"/>
        <v>12.092707076812232</v>
      </c>
    </row>
    <row r="142" spans="2:11" ht="15" customHeight="1" x14ac:dyDescent="0.35">
      <c r="B142" s="5">
        <v>121</v>
      </c>
      <c r="C142" s="39">
        <f t="shared" ca="1" si="9"/>
        <v>3.296359081969181</v>
      </c>
      <c r="D142" s="40">
        <f t="shared" ca="1" si="10"/>
        <v>7832601466.6772327</v>
      </c>
      <c r="E142" s="40">
        <f t="shared" ca="1" si="11"/>
        <v>125221847293268.45</v>
      </c>
      <c r="F142" s="40">
        <f t="shared" ca="1" si="12"/>
        <v>3497173810038.0659</v>
      </c>
      <c r="G142" s="40">
        <f t="shared" ca="1" si="13"/>
        <v>5608197409858.6367</v>
      </c>
      <c r="H142" s="40">
        <f t="shared" ca="1" si="14"/>
        <v>3497173810038.0659</v>
      </c>
      <c r="I142" s="40">
        <f t="shared" ca="1" si="15"/>
        <v>71726486369885.422</v>
      </c>
      <c r="J142" s="40">
        <f t="shared" ca="1" si="16"/>
        <v>1766580092235.7268</v>
      </c>
      <c r="K142" s="41">
        <f t="shared" ca="1" si="17"/>
        <v>40.601887616151437</v>
      </c>
    </row>
    <row r="143" spans="2:11" ht="15" customHeight="1" x14ac:dyDescent="0.35">
      <c r="B143" s="5">
        <v>122</v>
      </c>
      <c r="C143" s="39">
        <f t="shared" ca="1" si="9"/>
        <v>2.9808053522314992</v>
      </c>
      <c r="D143" s="40">
        <f t="shared" ca="1" si="10"/>
        <v>5338767943.5469284</v>
      </c>
      <c r="E143" s="40">
        <f t="shared" ca="1" si="11"/>
        <v>94243989465564.922</v>
      </c>
      <c r="F143" s="40">
        <f t="shared" ca="1" si="12"/>
        <v>3740434268947.7007</v>
      </c>
      <c r="G143" s="40">
        <f t="shared" ca="1" si="13"/>
        <v>35140613368121.617</v>
      </c>
      <c r="H143" s="40">
        <f t="shared" ca="1" si="14"/>
        <v>35140613368121.617</v>
      </c>
      <c r="I143" s="40">
        <f t="shared" ca="1" si="15"/>
        <v>10469761825462.277</v>
      </c>
      <c r="J143" s="40">
        <f t="shared" ca="1" si="16"/>
        <v>1666486429317.2148</v>
      </c>
      <c r="K143" s="41">
        <f t="shared" ca="1" si="17"/>
        <v>6.2825365039137466</v>
      </c>
    </row>
    <row r="144" spans="2:11" ht="15" customHeight="1" x14ac:dyDescent="0.35">
      <c r="B144" s="5">
        <v>123</v>
      </c>
      <c r="C144" s="39">
        <f t="shared" ca="1" si="9"/>
        <v>3.5746489592199211</v>
      </c>
      <c r="D144" s="40">
        <f t="shared" ca="1" si="10"/>
        <v>10248370619.211931</v>
      </c>
      <c r="E144" s="40">
        <f t="shared" ca="1" si="11"/>
        <v>3643821152615.4614</v>
      </c>
      <c r="F144" s="40">
        <f t="shared" ca="1" si="12"/>
        <v>1350292997321.7063</v>
      </c>
      <c r="G144" s="40">
        <f t="shared" ca="1" si="13"/>
        <v>9301062417932.8164</v>
      </c>
      <c r="H144" s="40">
        <f t="shared" ca="1" si="14"/>
        <v>9301062417932.8164</v>
      </c>
      <c r="I144" s="40">
        <f t="shared" ca="1" si="15"/>
        <v>4145757670057.1191</v>
      </c>
      <c r="J144" s="40">
        <f t="shared" ca="1" si="16"/>
        <v>810665076899.85461</v>
      </c>
      <c r="K144" s="41">
        <f t="shared" ca="1" si="17"/>
        <v>5.1140203126935297</v>
      </c>
    </row>
    <row r="145" spans="2:11" ht="15" customHeight="1" x14ac:dyDescent="0.35">
      <c r="B145" s="5">
        <v>124</v>
      </c>
      <c r="C145" s="39">
        <f t="shared" ca="1" si="9"/>
        <v>2.6672851691299306</v>
      </c>
      <c r="D145" s="40">
        <f t="shared" ca="1" si="10"/>
        <v>2855761607.1177578</v>
      </c>
      <c r="E145" s="40">
        <f t="shared" ca="1" si="11"/>
        <v>3402021755903.0952</v>
      </c>
      <c r="F145" s="40">
        <f t="shared" ca="1" si="12"/>
        <v>8261159148674.9873</v>
      </c>
      <c r="G145" s="40">
        <f t="shared" ca="1" si="13"/>
        <v>42241539992252.953</v>
      </c>
      <c r="H145" s="40">
        <f t="shared" ca="1" si="14"/>
        <v>8261159148674.9873</v>
      </c>
      <c r="I145" s="40">
        <f t="shared" ca="1" si="15"/>
        <v>10144654939905.273</v>
      </c>
      <c r="J145" s="40">
        <f t="shared" ca="1" si="16"/>
        <v>695004343498.99158</v>
      </c>
      <c r="K145" s="41">
        <f t="shared" ca="1" si="17"/>
        <v>14.596534589743888</v>
      </c>
    </row>
    <row r="146" spans="2:11" ht="15" customHeight="1" x14ac:dyDescent="0.35">
      <c r="B146" s="5">
        <v>125</v>
      </c>
      <c r="C146" s="39">
        <f t="shared" ca="1" si="9"/>
        <v>2.6066008260478024</v>
      </c>
      <c r="D146" s="40">
        <f t="shared" ca="1" si="10"/>
        <v>2115054635.8618913</v>
      </c>
      <c r="E146" s="40">
        <f t="shared" ca="1" si="11"/>
        <v>8526022035485.3711</v>
      </c>
      <c r="F146" s="40">
        <f t="shared" ca="1" si="12"/>
        <v>13891550348694.238</v>
      </c>
      <c r="G146" s="40">
        <f t="shared" ca="1" si="13"/>
        <v>68459077885690.477</v>
      </c>
      <c r="H146" s="40">
        <f t="shared" ca="1" si="14"/>
        <v>68459077885690.477</v>
      </c>
      <c r="I146" s="40">
        <f t="shared" ca="1" si="15"/>
        <v>57699710806116.633</v>
      </c>
      <c r="J146" s="40">
        <f t="shared" ca="1" si="16"/>
        <v>759816533638.16211</v>
      </c>
      <c r="K146" s="41">
        <f t="shared" ca="1" si="17"/>
        <v>75.939004024877192</v>
      </c>
    </row>
    <row r="147" spans="2:11" ht="15" customHeight="1" x14ac:dyDescent="0.35">
      <c r="B147" s="5">
        <v>126</v>
      </c>
      <c r="C147" s="39">
        <f t="shared" ca="1" si="9"/>
        <v>2.019856625461864</v>
      </c>
      <c r="D147" s="40">
        <f t="shared" ca="1" si="10"/>
        <v>799283090.8391552</v>
      </c>
      <c r="E147" s="40">
        <f t="shared" ca="1" si="11"/>
        <v>3644960784541.4824</v>
      </c>
      <c r="F147" s="40">
        <f t="shared" ca="1" si="12"/>
        <v>522065791884.95599</v>
      </c>
      <c r="G147" s="40">
        <f t="shared" ca="1" si="13"/>
        <v>1874084623845.0015</v>
      </c>
      <c r="H147" s="40">
        <f t="shared" ca="1" si="14"/>
        <v>1874084623845.0015</v>
      </c>
      <c r="I147" s="40">
        <f t="shared" ca="1" si="15"/>
        <v>34516008852547.758</v>
      </c>
      <c r="J147" s="40">
        <f t="shared" ca="1" si="16"/>
        <v>1119549520424.1494</v>
      </c>
      <c r="K147" s="41">
        <f t="shared" ca="1" si="17"/>
        <v>30.830265408421699</v>
      </c>
    </row>
    <row r="148" spans="2:11" ht="15" customHeight="1" x14ac:dyDescent="0.35">
      <c r="B148" s="5">
        <v>127</v>
      </c>
      <c r="C148" s="39">
        <f t="shared" ca="1" si="9"/>
        <v>2.8129359085541754</v>
      </c>
      <c r="D148" s="40">
        <f t="shared" ca="1" si="10"/>
        <v>2986541288.3466268</v>
      </c>
      <c r="E148" s="40">
        <f t="shared" ca="1" si="11"/>
        <v>9854515360118.5391</v>
      </c>
      <c r="F148" s="40">
        <f t="shared" ca="1" si="12"/>
        <v>1427856155208.8271</v>
      </c>
      <c r="G148" s="40">
        <f t="shared" ca="1" si="13"/>
        <v>2162173462105.7124</v>
      </c>
      <c r="H148" s="40">
        <f t="shared" ca="1" si="14"/>
        <v>2162173462105.7124</v>
      </c>
      <c r="I148" s="40">
        <f t="shared" ca="1" si="15"/>
        <v>108339610495599.39</v>
      </c>
      <c r="J148" s="40">
        <f t="shared" ca="1" si="16"/>
        <v>523968000517.81482</v>
      </c>
      <c r="K148" s="41">
        <f t="shared" ca="1" si="17"/>
        <v>206.76760868704207</v>
      </c>
    </row>
    <row r="149" spans="2:11" ht="15" customHeight="1" x14ac:dyDescent="0.35">
      <c r="B149" s="5">
        <v>128</v>
      </c>
      <c r="C149" s="39">
        <f t="shared" ca="1" si="9"/>
        <v>3.8099773782688628</v>
      </c>
      <c r="D149" s="40">
        <f t="shared" ca="1" si="10"/>
        <v>18694837228.023891</v>
      </c>
      <c r="E149" s="40">
        <f t="shared" ca="1" si="11"/>
        <v>78057265749251.766</v>
      </c>
      <c r="F149" s="40">
        <f t="shared" ca="1" si="12"/>
        <v>5845748837038.6191</v>
      </c>
      <c r="G149" s="40">
        <f t="shared" ca="1" si="13"/>
        <v>8290646772497.4346</v>
      </c>
      <c r="H149" s="40">
        <f t="shared" ca="1" si="14"/>
        <v>5845748837038.6191</v>
      </c>
      <c r="I149" s="40">
        <f t="shared" ca="1" si="15"/>
        <v>51881241347162.734</v>
      </c>
      <c r="J149" s="40">
        <f t="shared" ca="1" si="16"/>
        <v>635857184612.31641</v>
      </c>
      <c r="K149" s="41">
        <f t="shared" ca="1" si="17"/>
        <v>81.592600669904911</v>
      </c>
    </row>
    <row r="150" spans="2:11" ht="15" customHeight="1" x14ac:dyDescent="0.35">
      <c r="B150" s="5">
        <v>129</v>
      </c>
      <c r="C150" s="39">
        <f t="shared" ref="C150:C213" ca="1" si="18">MEDIAN(1.8,NORMINV(RAND(),$C$7,$D$7),4.5)</f>
        <v>3.3081440369065227</v>
      </c>
      <c r="D150" s="40">
        <f t="shared" ref="D150:D213" ca="1" si="19">($C$8+RAND()*($D$8-$C$8))*C150^5</f>
        <v>7273731118.1375008</v>
      </c>
      <c r="E150" s="40">
        <f t="shared" ref="E150:E213" ca="1" si="20">D150*($C$10+RAND()*($D$10-$C$10))*EXP(NORMINV(RAND(),$C$9,$D$9))*($C$11+RAND()*($D$11-$C$11))</f>
        <v>29939120201735.414</v>
      </c>
      <c r="F150" s="40">
        <f t="shared" ref="F150:F213" ca="1" si="21">EXP(NORMINV(RAND(),$C$12,$D$12))*EXP(NORMINV(RAND(),$C$13,$D$13))</f>
        <v>6795200454273.5469</v>
      </c>
      <c r="G150" s="40">
        <f t="shared" ref="G150:G213" ca="1" si="22">EXP(NORMINV(RAND(),$C$14,$D$14))*($C$15+RAND()*($D$15-$C$15))*EXP(NORMINV(RAND(),$C$16,$D$16))/1000000*31536000</f>
        <v>5653977394021.2666</v>
      </c>
      <c r="H150" s="40">
        <f t="shared" ref="H150:H213" ca="1" si="23">CHOOSE(RANDBETWEEN(1,3),E150,F150,G150)</f>
        <v>29939120201735.414</v>
      </c>
      <c r="I150" s="40">
        <f t="shared" ref="I150:I213" ca="1" si="24">EXP(NORMINV(RAND(),$C$14,$D$14))*($C$15+RAND()*($D$15-$C$15))*60</f>
        <v>1121053403743.0786</v>
      </c>
      <c r="J150" s="40">
        <f t="shared" ref="J150:J213" ca="1" si="25">($C$17+RAND()*($D$17-$C$17))*($C$18+RAND()*($D$18-$C$18))</f>
        <v>1365208469672.0247</v>
      </c>
      <c r="K150" s="41">
        <f t="shared" ref="K150:K213" ca="1" si="26">I150/J150</f>
        <v>0.82115913330980039</v>
      </c>
    </row>
    <row r="151" spans="2:11" ht="15" customHeight="1" x14ac:dyDescent="0.35">
      <c r="B151" s="5">
        <v>130</v>
      </c>
      <c r="C151" s="39">
        <f t="shared" ca="1" si="18"/>
        <v>2.9706747082920195</v>
      </c>
      <c r="D151" s="40">
        <f t="shared" ca="1" si="19"/>
        <v>4733020437.0397797</v>
      </c>
      <c r="E151" s="40">
        <f t="shared" ca="1" si="20"/>
        <v>27009974986153.723</v>
      </c>
      <c r="F151" s="40">
        <f t="shared" ca="1" si="21"/>
        <v>15412031758473.924</v>
      </c>
      <c r="G151" s="40">
        <f t="shared" ca="1" si="22"/>
        <v>915965637403.42908</v>
      </c>
      <c r="H151" s="40">
        <f t="shared" ca="1" si="23"/>
        <v>915965637403.42908</v>
      </c>
      <c r="I151" s="40">
        <f t="shared" ca="1" si="24"/>
        <v>7406752974294.2246</v>
      </c>
      <c r="J151" s="40">
        <f t="shared" ca="1" si="25"/>
        <v>1009319626595.2542</v>
      </c>
      <c r="K151" s="41">
        <f t="shared" ca="1" si="26"/>
        <v>7.3383621789655304</v>
      </c>
    </row>
    <row r="152" spans="2:11" ht="15" customHeight="1" x14ac:dyDescent="0.35">
      <c r="B152" s="5">
        <v>131</v>
      </c>
      <c r="C152" s="39">
        <f t="shared" ca="1" si="18"/>
        <v>2.9494460910965583</v>
      </c>
      <c r="D152" s="40">
        <f t="shared" ca="1" si="19"/>
        <v>4330334320.5485229</v>
      </c>
      <c r="E152" s="40">
        <f t="shared" ca="1" si="20"/>
        <v>13199557225767.424</v>
      </c>
      <c r="F152" s="40">
        <f t="shared" ca="1" si="21"/>
        <v>972844429272.31213</v>
      </c>
      <c r="G152" s="40">
        <f t="shared" ca="1" si="22"/>
        <v>84585979368462.781</v>
      </c>
      <c r="H152" s="40">
        <f t="shared" ca="1" si="23"/>
        <v>972844429272.31213</v>
      </c>
      <c r="I152" s="40">
        <f t="shared" ca="1" si="24"/>
        <v>72241258559975.797</v>
      </c>
      <c r="J152" s="40">
        <f t="shared" ca="1" si="25"/>
        <v>1076316566850.2466</v>
      </c>
      <c r="K152" s="41">
        <f t="shared" ca="1" si="26"/>
        <v>67.118969255842643</v>
      </c>
    </row>
    <row r="153" spans="2:11" ht="15" customHeight="1" x14ac:dyDescent="0.35">
      <c r="B153" s="5">
        <v>132</v>
      </c>
      <c r="C153" s="39">
        <f t="shared" ca="1" si="18"/>
        <v>2.7390419659409337</v>
      </c>
      <c r="D153" s="40">
        <f t="shared" ca="1" si="19"/>
        <v>3362379936.975225</v>
      </c>
      <c r="E153" s="40">
        <f t="shared" ca="1" si="20"/>
        <v>16568256137980.174</v>
      </c>
      <c r="F153" s="40">
        <f t="shared" ca="1" si="21"/>
        <v>2105394323189.1892</v>
      </c>
      <c r="G153" s="40">
        <f t="shared" ca="1" si="22"/>
        <v>11514066890554.373</v>
      </c>
      <c r="H153" s="40">
        <f t="shared" ca="1" si="23"/>
        <v>2105394323189.1892</v>
      </c>
      <c r="I153" s="40">
        <f t="shared" ca="1" si="24"/>
        <v>91853208076847.438</v>
      </c>
      <c r="J153" s="40">
        <f t="shared" ca="1" si="25"/>
        <v>701490718307.81311</v>
      </c>
      <c r="K153" s="41">
        <f t="shared" ca="1" si="26"/>
        <v>130.94001913300067</v>
      </c>
    </row>
    <row r="154" spans="2:11" ht="15" customHeight="1" x14ac:dyDescent="0.35">
      <c r="B154" s="5">
        <v>133</v>
      </c>
      <c r="C154" s="39">
        <f t="shared" ca="1" si="18"/>
        <v>2.8003126027010321</v>
      </c>
      <c r="D154" s="40">
        <f t="shared" ca="1" si="19"/>
        <v>3509743951.2583656</v>
      </c>
      <c r="E154" s="40">
        <f t="shared" ca="1" si="20"/>
        <v>4016810158104.4541</v>
      </c>
      <c r="F154" s="40">
        <f t="shared" ca="1" si="21"/>
        <v>3433333241955.8164</v>
      </c>
      <c r="G154" s="40">
        <f t="shared" ca="1" si="22"/>
        <v>2293266505772.0679</v>
      </c>
      <c r="H154" s="40">
        <f t="shared" ca="1" si="23"/>
        <v>3433333241955.8164</v>
      </c>
      <c r="I154" s="40">
        <f t="shared" ca="1" si="24"/>
        <v>599907500807.6814</v>
      </c>
      <c r="J154" s="40">
        <f t="shared" ca="1" si="25"/>
        <v>950454005281.46008</v>
      </c>
      <c r="K154" s="41">
        <f t="shared" ca="1" si="26"/>
        <v>0.63117993871784406</v>
      </c>
    </row>
    <row r="155" spans="2:11" ht="15" customHeight="1" x14ac:dyDescent="0.35">
      <c r="B155" s="5">
        <v>134</v>
      </c>
      <c r="C155" s="39">
        <f t="shared" ca="1" si="18"/>
        <v>3.4785321201994188</v>
      </c>
      <c r="D155" s="40">
        <f t="shared" ca="1" si="19"/>
        <v>12131056798.635801</v>
      </c>
      <c r="E155" s="40">
        <f t="shared" ca="1" si="20"/>
        <v>20184934916433.836</v>
      </c>
      <c r="F155" s="40">
        <f t="shared" ca="1" si="21"/>
        <v>476318049748.19836</v>
      </c>
      <c r="G155" s="40">
        <f t="shared" ca="1" si="22"/>
        <v>12255758128795.148</v>
      </c>
      <c r="H155" s="40">
        <f t="shared" ca="1" si="23"/>
        <v>12255758128795.148</v>
      </c>
      <c r="I155" s="40">
        <f t="shared" ca="1" si="24"/>
        <v>14553780798081.992</v>
      </c>
      <c r="J155" s="40">
        <f t="shared" ca="1" si="25"/>
        <v>670654243501.42468</v>
      </c>
      <c r="K155" s="41">
        <f t="shared" ca="1" si="26"/>
        <v>21.700870365179572</v>
      </c>
    </row>
    <row r="156" spans="2:11" ht="15" customHeight="1" x14ac:dyDescent="0.35">
      <c r="B156" s="5">
        <v>135</v>
      </c>
      <c r="C156" s="39">
        <f t="shared" ca="1" si="18"/>
        <v>2.9256270531806514</v>
      </c>
      <c r="D156" s="40">
        <f t="shared" ca="1" si="19"/>
        <v>3956241307.3133664</v>
      </c>
      <c r="E156" s="40">
        <f t="shared" ca="1" si="20"/>
        <v>3862852978207.5229</v>
      </c>
      <c r="F156" s="40">
        <f t="shared" ca="1" si="21"/>
        <v>3220191642531.2979</v>
      </c>
      <c r="G156" s="40">
        <f t="shared" ca="1" si="22"/>
        <v>4568361305409.418</v>
      </c>
      <c r="H156" s="40">
        <f t="shared" ca="1" si="23"/>
        <v>4568361305409.418</v>
      </c>
      <c r="I156" s="40">
        <f t="shared" ca="1" si="24"/>
        <v>9662715088992.6836</v>
      </c>
      <c r="J156" s="40">
        <f t="shared" ca="1" si="25"/>
        <v>700701990230.82129</v>
      </c>
      <c r="K156" s="41">
        <f t="shared" ca="1" si="26"/>
        <v>13.790049441431794</v>
      </c>
    </row>
    <row r="157" spans="2:11" ht="15" customHeight="1" x14ac:dyDescent="0.35">
      <c r="B157" s="5">
        <v>136</v>
      </c>
      <c r="C157" s="39">
        <f t="shared" ca="1" si="18"/>
        <v>2.4859176089709258</v>
      </c>
      <c r="D157" s="40">
        <f t="shared" ca="1" si="19"/>
        <v>1838949621.8269718</v>
      </c>
      <c r="E157" s="40">
        <f t="shared" ca="1" si="20"/>
        <v>2465761495445.395</v>
      </c>
      <c r="F157" s="40">
        <f t="shared" ca="1" si="21"/>
        <v>3119325589741.1602</v>
      </c>
      <c r="G157" s="40">
        <f t="shared" ca="1" si="22"/>
        <v>2308288046441.2783</v>
      </c>
      <c r="H157" s="40">
        <f t="shared" ca="1" si="23"/>
        <v>3119325589741.1602</v>
      </c>
      <c r="I157" s="40">
        <f t="shared" ca="1" si="24"/>
        <v>1340181889908.8213</v>
      </c>
      <c r="J157" s="40">
        <f t="shared" ca="1" si="25"/>
        <v>1422658183262.7859</v>
      </c>
      <c r="K157" s="41">
        <f t="shared" ca="1" si="26"/>
        <v>0.94202662710953522</v>
      </c>
    </row>
    <row r="158" spans="2:11" ht="15" customHeight="1" x14ac:dyDescent="0.35">
      <c r="B158" s="5">
        <v>137</v>
      </c>
      <c r="C158" s="39">
        <f t="shared" ca="1" si="18"/>
        <v>2.8699006982035038</v>
      </c>
      <c r="D158" s="40">
        <f t="shared" ca="1" si="19"/>
        <v>4122764174.6750779</v>
      </c>
      <c r="E158" s="40">
        <f t="shared" ca="1" si="20"/>
        <v>5126200109999.4219</v>
      </c>
      <c r="F158" s="40">
        <f t="shared" ca="1" si="21"/>
        <v>2232157825817.5688</v>
      </c>
      <c r="G158" s="40">
        <f t="shared" ca="1" si="22"/>
        <v>1142092967022.4907</v>
      </c>
      <c r="H158" s="40">
        <f t="shared" ca="1" si="23"/>
        <v>2232157825817.5688</v>
      </c>
      <c r="I158" s="40">
        <f t="shared" ca="1" si="24"/>
        <v>80534763852887.016</v>
      </c>
      <c r="J158" s="40">
        <f t="shared" ca="1" si="25"/>
        <v>1376984571436.8608</v>
      </c>
      <c r="K158" s="41">
        <f t="shared" ca="1" si="26"/>
        <v>58.486322594631766</v>
      </c>
    </row>
    <row r="159" spans="2:11" ht="15" customHeight="1" x14ac:dyDescent="0.35">
      <c r="B159" s="5">
        <v>138</v>
      </c>
      <c r="C159" s="39">
        <f t="shared" ca="1" si="18"/>
        <v>3.8060110796443003</v>
      </c>
      <c r="D159" s="40">
        <f t="shared" ca="1" si="19"/>
        <v>16032374212.894743</v>
      </c>
      <c r="E159" s="40">
        <f t="shared" ca="1" si="20"/>
        <v>65336646422827.836</v>
      </c>
      <c r="F159" s="40">
        <f t="shared" ca="1" si="21"/>
        <v>3280282925917.6338</v>
      </c>
      <c r="G159" s="40">
        <f t="shared" ca="1" si="22"/>
        <v>8385646397797.5576</v>
      </c>
      <c r="H159" s="40">
        <f t="shared" ca="1" si="23"/>
        <v>65336646422827.836</v>
      </c>
      <c r="I159" s="40">
        <f t="shared" ca="1" si="24"/>
        <v>5657782420482.5635</v>
      </c>
      <c r="J159" s="40">
        <f t="shared" ca="1" si="25"/>
        <v>521263417627.23523</v>
      </c>
      <c r="K159" s="41">
        <f t="shared" ca="1" si="26"/>
        <v>10.853979445241915</v>
      </c>
    </row>
    <row r="160" spans="2:11" ht="15" customHeight="1" x14ac:dyDescent="0.35">
      <c r="B160" s="5">
        <v>139</v>
      </c>
      <c r="C160" s="39">
        <f t="shared" ca="1" si="18"/>
        <v>3.0010900856247549</v>
      </c>
      <c r="D160" s="40">
        <f t="shared" ca="1" si="19"/>
        <v>4547042574.9657202</v>
      </c>
      <c r="E160" s="40">
        <f t="shared" ca="1" si="20"/>
        <v>11704144725653.529</v>
      </c>
      <c r="F160" s="40">
        <f t="shared" ca="1" si="21"/>
        <v>835354691267.83215</v>
      </c>
      <c r="G160" s="40">
        <f t="shared" ca="1" si="22"/>
        <v>2819552381440.4878</v>
      </c>
      <c r="H160" s="40">
        <f t="shared" ca="1" si="23"/>
        <v>2819552381440.4878</v>
      </c>
      <c r="I160" s="40">
        <f t="shared" ca="1" si="24"/>
        <v>637625397139.68335</v>
      </c>
      <c r="J160" s="40">
        <f t="shared" ca="1" si="25"/>
        <v>972626145208.52747</v>
      </c>
      <c r="K160" s="41">
        <f t="shared" ca="1" si="26"/>
        <v>0.65557089975509431</v>
      </c>
    </row>
    <row r="161" spans="2:11" ht="15" customHeight="1" x14ac:dyDescent="0.35">
      <c r="B161" s="5">
        <v>140</v>
      </c>
      <c r="C161" s="39">
        <f t="shared" ca="1" si="18"/>
        <v>2.935585655981241</v>
      </c>
      <c r="D161" s="40">
        <f t="shared" ca="1" si="19"/>
        <v>4753182604.9140654</v>
      </c>
      <c r="E161" s="40">
        <f t="shared" ca="1" si="20"/>
        <v>19035750215872.797</v>
      </c>
      <c r="F161" s="40">
        <f t="shared" ca="1" si="21"/>
        <v>2042153743898.2859</v>
      </c>
      <c r="G161" s="40">
        <f t="shared" ca="1" si="22"/>
        <v>70117941910438.734</v>
      </c>
      <c r="H161" s="40">
        <f t="shared" ca="1" si="23"/>
        <v>2042153743898.2859</v>
      </c>
      <c r="I161" s="40">
        <f t="shared" ca="1" si="24"/>
        <v>7479769611594.2188</v>
      </c>
      <c r="J161" s="40">
        <f t="shared" ca="1" si="25"/>
        <v>1524119717372.9741</v>
      </c>
      <c r="K161" s="41">
        <f t="shared" ca="1" si="26"/>
        <v>4.907599794382695</v>
      </c>
    </row>
    <row r="162" spans="2:11" ht="15" customHeight="1" x14ac:dyDescent="0.35">
      <c r="B162" s="5">
        <v>141</v>
      </c>
      <c r="C162" s="39">
        <f t="shared" ca="1" si="18"/>
        <v>3.1767923027081926</v>
      </c>
      <c r="D162" s="40">
        <f t="shared" ca="1" si="19"/>
        <v>6929595894.5486717</v>
      </c>
      <c r="E162" s="40">
        <f t="shared" ca="1" si="20"/>
        <v>35398253134332.711</v>
      </c>
      <c r="F162" s="40">
        <f t="shared" ca="1" si="21"/>
        <v>15695747212380.451</v>
      </c>
      <c r="G162" s="40">
        <f t="shared" ca="1" si="22"/>
        <v>11316020777464.01</v>
      </c>
      <c r="H162" s="40">
        <f t="shared" ca="1" si="23"/>
        <v>15695747212380.451</v>
      </c>
      <c r="I162" s="40">
        <f t="shared" ca="1" si="24"/>
        <v>5259844863611.1602</v>
      </c>
      <c r="J162" s="40">
        <f t="shared" ca="1" si="25"/>
        <v>1430143677859.5256</v>
      </c>
      <c r="K162" s="41">
        <f t="shared" ca="1" si="26"/>
        <v>3.6778436635705654</v>
      </c>
    </row>
    <row r="163" spans="2:11" ht="15" customHeight="1" x14ac:dyDescent="0.35">
      <c r="B163" s="5">
        <v>142</v>
      </c>
      <c r="C163" s="39">
        <f t="shared" ca="1" si="18"/>
        <v>2.9309659521871172</v>
      </c>
      <c r="D163" s="40">
        <f t="shared" ca="1" si="19"/>
        <v>3821116371.7348475</v>
      </c>
      <c r="E163" s="40">
        <f t="shared" ca="1" si="20"/>
        <v>9693345165568.168</v>
      </c>
      <c r="F163" s="40">
        <f t="shared" ca="1" si="21"/>
        <v>6831411806849.9727</v>
      </c>
      <c r="G163" s="40">
        <f t="shared" ca="1" si="22"/>
        <v>2100108769066.3972</v>
      </c>
      <c r="H163" s="40">
        <f t="shared" ca="1" si="23"/>
        <v>2100108769066.3972</v>
      </c>
      <c r="I163" s="40">
        <f t="shared" ca="1" si="24"/>
        <v>11119643099723.596</v>
      </c>
      <c r="J163" s="40">
        <f t="shared" ca="1" si="25"/>
        <v>846004166525.43872</v>
      </c>
      <c r="K163" s="41">
        <f t="shared" ca="1" si="26"/>
        <v>13.143721437439559</v>
      </c>
    </row>
    <row r="164" spans="2:11" ht="15" customHeight="1" x14ac:dyDescent="0.35">
      <c r="B164" s="5">
        <v>143</v>
      </c>
      <c r="C164" s="39">
        <f t="shared" ca="1" si="18"/>
        <v>2.0085467719830863</v>
      </c>
      <c r="D164" s="40">
        <f t="shared" ca="1" si="19"/>
        <v>623712764.11927497</v>
      </c>
      <c r="E164" s="40">
        <f t="shared" ca="1" si="20"/>
        <v>2410153408214.7847</v>
      </c>
      <c r="F164" s="40">
        <f t="shared" ca="1" si="21"/>
        <v>1076870183915.3145</v>
      </c>
      <c r="G164" s="40">
        <f t="shared" ca="1" si="22"/>
        <v>10150341505364.328</v>
      </c>
      <c r="H164" s="40">
        <f t="shared" ca="1" si="23"/>
        <v>10150341505364.328</v>
      </c>
      <c r="I164" s="40">
        <f t="shared" ca="1" si="24"/>
        <v>2749314062034.9341</v>
      </c>
      <c r="J164" s="40">
        <f t="shared" ca="1" si="25"/>
        <v>974868228987.87598</v>
      </c>
      <c r="K164" s="41">
        <f t="shared" ca="1" si="26"/>
        <v>2.8201904424450435</v>
      </c>
    </row>
    <row r="165" spans="2:11" ht="15" customHeight="1" x14ac:dyDescent="0.35">
      <c r="B165" s="5">
        <v>144</v>
      </c>
      <c r="C165" s="39">
        <f t="shared" ca="1" si="18"/>
        <v>3.7315305190435994</v>
      </c>
      <c r="D165" s="40">
        <f t="shared" ca="1" si="19"/>
        <v>14666966878.102478</v>
      </c>
      <c r="E165" s="40">
        <f t="shared" ca="1" si="20"/>
        <v>32148362916901.391</v>
      </c>
      <c r="F165" s="40">
        <f t="shared" ca="1" si="21"/>
        <v>2756571660282.6157</v>
      </c>
      <c r="G165" s="40">
        <f t="shared" ca="1" si="22"/>
        <v>2321036721780.4697</v>
      </c>
      <c r="H165" s="40">
        <f t="shared" ca="1" si="23"/>
        <v>32148362916901.391</v>
      </c>
      <c r="I165" s="40">
        <f t="shared" ca="1" si="24"/>
        <v>2851367014619.666</v>
      </c>
      <c r="J165" s="40">
        <f t="shared" ca="1" si="25"/>
        <v>970085927698.43481</v>
      </c>
      <c r="K165" s="41">
        <f t="shared" ca="1" si="26"/>
        <v>2.9392932452743037</v>
      </c>
    </row>
    <row r="166" spans="2:11" ht="15" customHeight="1" x14ac:dyDescent="0.35">
      <c r="B166" s="5">
        <v>145</v>
      </c>
      <c r="C166" s="39">
        <f t="shared" ca="1" si="18"/>
        <v>2.8293209820410934</v>
      </c>
      <c r="D166" s="40">
        <f t="shared" ca="1" si="19"/>
        <v>4130292542.259192</v>
      </c>
      <c r="E166" s="40">
        <f t="shared" ca="1" si="20"/>
        <v>34770681877386.934</v>
      </c>
      <c r="F166" s="40">
        <f t="shared" ca="1" si="21"/>
        <v>8613621851717.8301</v>
      </c>
      <c r="G166" s="40">
        <f t="shared" ca="1" si="22"/>
        <v>8426400825662.6973</v>
      </c>
      <c r="H166" s="40">
        <f t="shared" ca="1" si="23"/>
        <v>8426400825662.6973</v>
      </c>
      <c r="I166" s="40">
        <f t="shared" ca="1" si="24"/>
        <v>64011347633871.609</v>
      </c>
      <c r="J166" s="40">
        <f t="shared" ca="1" si="25"/>
        <v>814010593117.64575</v>
      </c>
      <c r="K166" s="41">
        <f t="shared" ca="1" si="26"/>
        <v>78.636995851257069</v>
      </c>
    </row>
    <row r="167" spans="2:11" ht="15" customHeight="1" x14ac:dyDescent="0.35">
      <c r="B167" s="5">
        <v>146</v>
      </c>
      <c r="C167" s="39">
        <f t="shared" ca="1" si="18"/>
        <v>2.5581902208035117</v>
      </c>
      <c r="D167" s="40">
        <f t="shared" ca="1" si="19"/>
        <v>2204069045.5431337</v>
      </c>
      <c r="E167" s="40">
        <f t="shared" ca="1" si="20"/>
        <v>10793346262230.18</v>
      </c>
      <c r="F167" s="40">
        <f t="shared" ca="1" si="21"/>
        <v>394754586316.34344</v>
      </c>
      <c r="G167" s="40">
        <f t="shared" ca="1" si="22"/>
        <v>2974928478371.4531</v>
      </c>
      <c r="H167" s="40">
        <f t="shared" ca="1" si="23"/>
        <v>2974928478371.4531</v>
      </c>
      <c r="I167" s="40">
        <f t="shared" ca="1" si="24"/>
        <v>3037350553953.6074</v>
      </c>
      <c r="J167" s="40">
        <f t="shared" ca="1" si="25"/>
        <v>520110511287.36938</v>
      </c>
      <c r="K167" s="41">
        <f t="shared" ca="1" si="26"/>
        <v>5.839817669586421</v>
      </c>
    </row>
    <row r="168" spans="2:11" ht="15" customHeight="1" x14ac:dyDescent="0.35">
      <c r="B168" s="5">
        <v>147</v>
      </c>
      <c r="C168" s="39">
        <f t="shared" ca="1" si="18"/>
        <v>3.2484090278177051</v>
      </c>
      <c r="D168" s="40">
        <f t="shared" ca="1" si="19"/>
        <v>7629502849.5399857</v>
      </c>
      <c r="E168" s="40">
        <f t="shared" ca="1" si="20"/>
        <v>44145445956979.094</v>
      </c>
      <c r="F168" s="40">
        <f t="shared" ca="1" si="21"/>
        <v>2251897782475.3433</v>
      </c>
      <c r="G168" s="40">
        <f t="shared" ca="1" si="22"/>
        <v>3017707368040.938</v>
      </c>
      <c r="H168" s="40">
        <f t="shared" ca="1" si="23"/>
        <v>2251897782475.3433</v>
      </c>
      <c r="I168" s="40">
        <f t="shared" ca="1" si="24"/>
        <v>8408614899367.2891</v>
      </c>
      <c r="J168" s="40">
        <f t="shared" ca="1" si="25"/>
        <v>1504679707586.4644</v>
      </c>
      <c r="K168" s="41">
        <f t="shared" ca="1" si="26"/>
        <v>5.5883088320868444</v>
      </c>
    </row>
    <row r="169" spans="2:11" ht="15" customHeight="1" x14ac:dyDescent="0.35">
      <c r="B169" s="5">
        <v>148</v>
      </c>
      <c r="C169" s="39">
        <f t="shared" ca="1" si="18"/>
        <v>2.8801413503825923</v>
      </c>
      <c r="D169" s="40">
        <f t="shared" ca="1" si="19"/>
        <v>3224918364.0575037</v>
      </c>
      <c r="E169" s="40">
        <f t="shared" ca="1" si="20"/>
        <v>11682894915310.719</v>
      </c>
      <c r="F169" s="40">
        <f t="shared" ca="1" si="21"/>
        <v>1047615314642.1144</v>
      </c>
      <c r="G169" s="40">
        <f t="shared" ca="1" si="22"/>
        <v>822375400357.63135</v>
      </c>
      <c r="H169" s="40">
        <f t="shared" ca="1" si="23"/>
        <v>11682894915310.719</v>
      </c>
      <c r="I169" s="40">
        <f t="shared" ca="1" si="24"/>
        <v>4410100633563.5107</v>
      </c>
      <c r="J169" s="40">
        <f t="shared" ca="1" si="25"/>
        <v>1026613859228.2815</v>
      </c>
      <c r="K169" s="41">
        <f t="shared" ca="1" si="26"/>
        <v>4.2957735217783233</v>
      </c>
    </row>
    <row r="170" spans="2:11" ht="15" customHeight="1" x14ac:dyDescent="0.35">
      <c r="B170" s="5">
        <v>149</v>
      </c>
      <c r="C170" s="39">
        <f t="shared" ca="1" si="18"/>
        <v>3.1520114009397062</v>
      </c>
      <c r="D170" s="40">
        <f t="shared" ca="1" si="19"/>
        <v>5837636921.4786091</v>
      </c>
      <c r="E170" s="40">
        <f t="shared" ca="1" si="20"/>
        <v>8769801046082.0664</v>
      </c>
      <c r="F170" s="40">
        <f t="shared" ca="1" si="21"/>
        <v>921488109345.55627</v>
      </c>
      <c r="G170" s="40">
        <f t="shared" ca="1" si="22"/>
        <v>4287217552668.0093</v>
      </c>
      <c r="H170" s="40">
        <f t="shared" ca="1" si="23"/>
        <v>8769801046082.0664</v>
      </c>
      <c r="I170" s="40">
        <f t="shared" ca="1" si="24"/>
        <v>5029803110430.7041</v>
      </c>
      <c r="J170" s="40">
        <f t="shared" ca="1" si="25"/>
        <v>852729062382.80798</v>
      </c>
      <c r="K170" s="41">
        <f t="shared" ca="1" si="26"/>
        <v>5.8984774089624263</v>
      </c>
    </row>
    <row r="171" spans="2:11" ht="15" customHeight="1" x14ac:dyDescent="0.35">
      <c r="B171" s="5">
        <v>150</v>
      </c>
      <c r="C171" s="39">
        <f t="shared" ca="1" si="18"/>
        <v>2.8884760885258132</v>
      </c>
      <c r="D171" s="40">
        <f t="shared" ca="1" si="19"/>
        <v>3959911685.1976547</v>
      </c>
      <c r="E171" s="40">
        <f t="shared" ca="1" si="20"/>
        <v>3807510617156.0356</v>
      </c>
      <c r="F171" s="40">
        <f t="shared" ca="1" si="21"/>
        <v>3603041743450.459</v>
      </c>
      <c r="G171" s="40">
        <f t="shared" ca="1" si="22"/>
        <v>1804219917995.9941</v>
      </c>
      <c r="H171" s="40">
        <f t="shared" ca="1" si="23"/>
        <v>1804219917995.9941</v>
      </c>
      <c r="I171" s="40">
        <f t="shared" ca="1" si="24"/>
        <v>20133354762523.914</v>
      </c>
      <c r="J171" s="40">
        <f t="shared" ca="1" si="25"/>
        <v>707367910873.48547</v>
      </c>
      <c r="K171" s="41">
        <f t="shared" ca="1" si="26"/>
        <v>28.462352409600349</v>
      </c>
    </row>
    <row r="172" spans="2:11" ht="15" customHeight="1" x14ac:dyDescent="0.35">
      <c r="B172" s="5">
        <v>151</v>
      </c>
      <c r="C172" s="39">
        <f t="shared" ca="1" si="18"/>
        <v>3.0288195332745507</v>
      </c>
      <c r="D172" s="40">
        <f t="shared" ca="1" si="19"/>
        <v>5884358657.2486696</v>
      </c>
      <c r="E172" s="40">
        <f t="shared" ca="1" si="20"/>
        <v>68133190914827.148</v>
      </c>
      <c r="F172" s="40">
        <f t="shared" ca="1" si="21"/>
        <v>6566602774245.6152</v>
      </c>
      <c r="G172" s="40">
        <f t="shared" ca="1" si="22"/>
        <v>1945673821612.0271</v>
      </c>
      <c r="H172" s="40">
        <f t="shared" ca="1" si="23"/>
        <v>6566602774245.6152</v>
      </c>
      <c r="I172" s="40">
        <f t="shared" ca="1" si="24"/>
        <v>1347495702019.7566</v>
      </c>
      <c r="J172" s="40">
        <f t="shared" ca="1" si="25"/>
        <v>501406752099.26709</v>
      </c>
      <c r="K172" s="41">
        <f t="shared" ca="1" si="26"/>
        <v>2.6874303075858523</v>
      </c>
    </row>
    <row r="173" spans="2:11" ht="15" customHeight="1" x14ac:dyDescent="0.35">
      <c r="B173" s="5">
        <v>152</v>
      </c>
      <c r="C173" s="39">
        <f t="shared" ca="1" si="18"/>
        <v>2.8175531139202481</v>
      </c>
      <c r="D173" s="40">
        <f t="shared" ca="1" si="19"/>
        <v>3037426342.532073</v>
      </c>
      <c r="E173" s="40">
        <f t="shared" ca="1" si="20"/>
        <v>5915359979592.5059</v>
      </c>
      <c r="F173" s="40">
        <f t="shared" ca="1" si="21"/>
        <v>3446314553154.335</v>
      </c>
      <c r="G173" s="40">
        <f t="shared" ca="1" si="22"/>
        <v>161897262772191.69</v>
      </c>
      <c r="H173" s="40">
        <f t="shared" ca="1" si="23"/>
        <v>5915359979592.5059</v>
      </c>
      <c r="I173" s="40">
        <f t="shared" ca="1" si="24"/>
        <v>7792480070822.4795</v>
      </c>
      <c r="J173" s="40">
        <f t="shared" ca="1" si="25"/>
        <v>1166643504984.6392</v>
      </c>
      <c r="K173" s="41">
        <f t="shared" ca="1" si="26"/>
        <v>6.6794012374200644</v>
      </c>
    </row>
    <row r="174" spans="2:11" ht="15" customHeight="1" x14ac:dyDescent="0.35">
      <c r="B174" s="5">
        <v>153</v>
      </c>
      <c r="C174" s="39">
        <f t="shared" ca="1" si="18"/>
        <v>3.2996547897277582</v>
      </c>
      <c r="D174" s="40">
        <f t="shared" ca="1" si="19"/>
        <v>7341845288.1913271</v>
      </c>
      <c r="E174" s="40">
        <f t="shared" ca="1" si="20"/>
        <v>11967795938642.127</v>
      </c>
      <c r="F174" s="40">
        <f t="shared" ca="1" si="21"/>
        <v>3376437497992.3872</v>
      </c>
      <c r="G174" s="40">
        <f t="shared" ca="1" si="22"/>
        <v>9764892651162.0566</v>
      </c>
      <c r="H174" s="40">
        <f t="shared" ca="1" si="23"/>
        <v>11967795938642.127</v>
      </c>
      <c r="I174" s="40">
        <f t="shared" ca="1" si="24"/>
        <v>9654880253188.7129</v>
      </c>
      <c r="J174" s="40">
        <f t="shared" ca="1" si="25"/>
        <v>1331025130215.7195</v>
      </c>
      <c r="K174" s="41">
        <f t="shared" ca="1" si="26"/>
        <v>7.2537174798675252</v>
      </c>
    </row>
    <row r="175" spans="2:11" ht="15" customHeight="1" x14ac:dyDescent="0.35">
      <c r="B175" s="5">
        <v>154</v>
      </c>
      <c r="C175" s="39">
        <f t="shared" ca="1" si="18"/>
        <v>3.3304753736047989</v>
      </c>
      <c r="D175" s="40">
        <f t="shared" ca="1" si="19"/>
        <v>7227403228.5250082</v>
      </c>
      <c r="E175" s="40">
        <f t="shared" ca="1" si="20"/>
        <v>11224731235615.682</v>
      </c>
      <c r="F175" s="40">
        <f t="shared" ca="1" si="21"/>
        <v>12741068413267.902</v>
      </c>
      <c r="G175" s="40">
        <f t="shared" ca="1" si="22"/>
        <v>33191189606483.605</v>
      </c>
      <c r="H175" s="40">
        <f t="shared" ca="1" si="23"/>
        <v>12741068413267.902</v>
      </c>
      <c r="I175" s="40">
        <f t="shared" ca="1" si="24"/>
        <v>9825715901018.4141</v>
      </c>
      <c r="J175" s="40">
        <f t="shared" ca="1" si="25"/>
        <v>450964875827.81757</v>
      </c>
      <c r="K175" s="41">
        <f t="shared" ca="1" si="26"/>
        <v>21.788206638004244</v>
      </c>
    </row>
    <row r="176" spans="2:11" ht="15" customHeight="1" x14ac:dyDescent="0.35">
      <c r="B176" s="5">
        <v>155</v>
      </c>
      <c r="C176" s="39">
        <f t="shared" ca="1" si="18"/>
        <v>3.2926101510456043</v>
      </c>
      <c r="D176" s="40">
        <f t="shared" ca="1" si="19"/>
        <v>8410580911.8207245</v>
      </c>
      <c r="E176" s="40">
        <f t="shared" ca="1" si="20"/>
        <v>22187024650640.539</v>
      </c>
      <c r="F176" s="40">
        <f t="shared" ca="1" si="21"/>
        <v>36375096288442.367</v>
      </c>
      <c r="G176" s="40">
        <f t="shared" ca="1" si="22"/>
        <v>489298075251.87726</v>
      </c>
      <c r="H176" s="40">
        <f t="shared" ca="1" si="23"/>
        <v>489298075251.87726</v>
      </c>
      <c r="I176" s="40">
        <f t="shared" ca="1" si="24"/>
        <v>1136219442686.7842</v>
      </c>
      <c r="J176" s="40">
        <f t="shared" ca="1" si="25"/>
        <v>806463624362.40833</v>
      </c>
      <c r="K176" s="41">
        <f t="shared" ca="1" si="26"/>
        <v>1.4088911246121998</v>
      </c>
    </row>
    <row r="177" spans="2:11" ht="15" customHeight="1" x14ac:dyDescent="0.35">
      <c r="B177" s="5">
        <v>156</v>
      </c>
      <c r="C177" s="39">
        <f t="shared" ca="1" si="18"/>
        <v>3.5832954981397567</v>
      </c>
      <c r="D177" s="40">
        <f t="shared" ca="1" si="19"/>
        <v>14023486362.405573</v>
      </c>
      <c r="E177" s="40">
        <f t="shared" ca="1" si="20"/>
        <v>64147012485546.508</v>
      </c>
      <c r="F177" s="40">
        <f t="shared" ca="1" si="21"/>
        <v>20722511545384.754</v>
      </c>
      <c r="G177" s="40">
        <f t="shared" ca="1" si="22"/>
        <v>15829353738634.771</v>
      </c>
      <c r="H177" s="40">
        <f t="shared" ca="1" si="23"/>
        <v>20722511545384.754</v>
      </c>
      <c r="I177" s="40">
        <f t="shared" ca="1" si="24"/>
        <v>139412169290765.53</v>
      </c>
      <c r="J177" s="40">
        <f t="shared" ca="1" si="25"/>
        <v>778471685600.58716</v>
      </c>
      <c r="K177" s="41">
        <f t="shared" ca="1" si="26"/>
        <v>179.08444439210362</v>
      </c>
    </row>
    <row r="178" spans="2:11" ht="15" customHeight="1" x14ac:dyDescent="0.35">
      <c r="B178" s="5">
        <v>157</v>
      </c>
      <c r="C178" s="39">
        <f t="shared" ca="1" si="18"/>
        <v>3.6846156912922083</v>
      </c>
      <c r="D178" s="40">
        <f t="shared" ca="1" si="19"/>
        <v>11608238369.66127</v>
      </c>
      <c r="E178" s="40">
        <f t="shared" ca="1" si="20"/>
        <v>14893460612717.418</v>
      </c>
      <c r="F178" s="40">
        <f t="shared" ca="1" si="21"/>
        <v>1309767593323.3965</v>
      </c>
      <c r="G178" s="40">
        <f t="shared" ca="1" si="22"/>
        <v>1698571898586.3464</v>
      </c>
      <c r="H178" s="40">
        <f t="shared" ca="1" si="23"/>
        <v>14893460612717.418</v>
      </c>
      <c r="I178" s="40">
        <f t="shared" ca="1" si="24"/>
        <v>6076826123452.0186</v>
      </c>
      <c r="J178" s="40">
        <f t="shared" ca="1" si="25"/>
        <v>710412303637.20349</v>
      </c>
      <c r="K178" s="41">
        <f t="shared" ca="1" si="26"/>
        <v>8.5539426785538311</v>
      </c>
    </row>
    <row r="179" spans="2:11" ht="15" customHeight="1" x14ac:dyDescent="0.35">
      <c r="B179" s="5">
        <v>158</v>
      </c>
      <c r="C179" s="39">
        <f t="shared" ca="1" si="18"/>
        <v>2.651401603279262</v>
      </c>
      <c r="D179" s="40">
        <f t="shared" ca="1" si="19"/>
        <v>2857262976.8905292</v>
      </c>
      <c r="E179" s="40">
        <f t="shared" ca="1" si="20"/>
        <v>3646207651438.0449</v>
      </c>
      <c r="F179" s="40">
        <f t="shared" ca="1" si="21"/>
        <v>395423587784.92731</v>
      </c>
      <c r="G179" s="40">
        <f t="shared" ca="1" si="22"/>
        <v>2815039983584.3198</v>
      </c>
      <c r="H179" s="40">
        <f t="shared" ca="1" si="23"/>
        <v>395423587784.92731</v>
      </c>
      <c r="I179" s="40">
        <f t="shared" ca="1" si="24"/>
        <v>1789413400208.4922</v>
      </c>
      <c r="J179" s="40">
        <f t="shared" ca="1" si="25"/>
        <v>717814761220.29688</v>
      </c>
      <c r="K179" s="41">
        <f t="shared" ca="1" si="26"/>
        <v>2.4928623607105265</v>
      </c>
    </row>
    <row r="180" spans="2:11" ht="15" customHeight="1" x14ac:dyDescent="0.35">
      <c r="B180" s="5">
        <v>159</v>
      </c>
      <c r="C180" s="39">
        <f t="shared" ca="1" si="18"/>
        <v>2.5999038069444325</v>
      </c>
      <c r="D180" s="40">
        <f t="shared" ca="1" si="19"/>
        <v>2703625468.0276794</v>
      </c>
      <c r="E180" s="40">
        <f t="shared" ca="1" si="20"/>
        <v>2207286694792.9771</v>
      </c>
      <c r="F180" s="40">
        <f t="shared" ca="1" si="21"/>
        <v>1020758507646.6697</v>
      </c>
      <c r="G180" s="40">
        <f t="shared" ca="1" si="22"/>
        <v>46301521154337.398</v>
      </c>
      <c r="H180" s="40">
        <f t="shared" ca="1" si="23"/>
        <v>2207286694792.9771</v>
      </c>
      <c r="I180" s="40">
        <f t="shared" ca="1" si="24"/>
        <v>42398407369754.367</v>
      </c>
      <c r="J180" s="40">
        <f t="shared" ca="1" si="25"/>
        <v>845838289145.27417</v>
      </c>
      <c r="K180" s="41">
        <f t="shared" ca="1" si="26"/>
        <v>50.125902213055724</v>
      </c>
    </row>
    <row r="181" spans="2:11" ht="15" customHeight="1" x14ac:dyDescent="0.35">
      <c r="B181" s="5">
        <v>160</v>
      </c>
      <c r="C181" s="39">
        <f t="shared" ca="1" si="18"/>
        <v>3.1468857269395434</v>
      </c>
      <c r="D181" s="40">
        <f t="shared" ca="1" si="19"/>
        <v>5101355504.5581503</v>
      </c>
      <c r="E181" s="40">
        <f t="shared" ca="1" si="20"/>
        <v>22005315648902.402</v>
      </c>
      <c r="F181" s="40">
        <f t="shared" ca="1" si="21"/>
        <v>1402857556204.5698</v>
      </c>
      <c r="G181" s="40">
        <f t="shared" ca="1" si="22"/>
        <v>5012461376982.3643</v>
      </c>
      <c r="H181" s="40">
        <f t="shared" ca="1" si="23"/>
        <v>5012461376982.3643</v>
      </c>
      <c r="I181" s="40">
        <f t="shared" ca="1" si="24"/>
        <v>47564150150060.648</v>
      </c>
      <c r="J181" s="40">
        <f t="shared" ca="1" si="25"/>
        <v>1088307922601.8783</v>
      </c>
      <c r="K181" s="41">
        <f t="shared" ca="1" si="26"/>
        <v>43.704680598434301</v>
      </c>
    </row>
    <row r="182" spans="2:11" ht="15" customHeight="1" x14ac:dyDescent="0.35">
      <c r="B182" s="5">
        <v>161</v>
      </c>
      <c r="C182" s="39">
        <f t="shared" ca="1" si="18"/>
        <v>3.0788377459753336</v>
      </c>
      <c r="D182" s="40">
        <f t="shared" ca="1" si="19"/>
        <v>5529958828.7992573</v>
      </c>
      <c r="E182" s="40">
        <f t="shared" ca="1" si="20"/>
        <v>23693070830922.195</v>
      </c>
      <c r="F182" s="40">
        <f t="shared" ca="1" si="21"/>
        <v>596560498031.60962</v>
      </c>
      <c r="G182" s="40">
        <f t="shared" ca="1" si="22"/>
        <v>17332133191554.896</v>
      </c>
      <c r="H182" s="40">
        <f t="shared" ca="1" si="23"/>
        <v>17332133191554.896</v>
      </c>
      <c r="I182" s="40">
        <f t="shared" ca="1" si="24"/>
        <v>268291869566466.22</v>
      </c>
      <c r="J182" s="40">
        <f t="shared" ca="1" si="25"/>
        <v>1089151457439.864</v>
      </c>
      <c r="K182" s="41">
        <f t="shared" ca="1" si="26"/>
        <v>246.33109356260451</v>
      </c>
    </row>
    <row r="183" spans="2:11" ht="15" customHeight="1" x14ac:dyDescent="0.35">
      <c r="B183" s="5">
        <v>162</v>
      </c>
      <c r="C183" s="39">
        <f t="shared" ca="1" si="18"/>
        <v>2.7917224268312046</v>
      </c>
      <c r="D183" s="40">
        <f t="shared" ca="1" si="19"/>
        <v>3820068588.5811009</v>
      </c>
      <c r="E183" s="40">
        <f t="shared" ca="1" si="20"/>
        <v>7385267051540.9531</v>
      </c>
      <c r="F183" s="40">
        <f t="shared" ca="1" si="21"/>
        <v>21574021639410.016</v>
      </c>
      <c r="G183" s="40">
        <f t="shared" ca="1" si="22"/>
        <v>53646726202551.938</v>
      </c>
      <c r="H183" s="40">
        <f t="shared" ca="1" si="23"/>
        <v>7385267051540.9531</v>
      </c>
      <c r="I183" s="40">
        <f t="shared" ca="1" si="24"/>
        <v>5547749952859.1973</v>
      </c>
      <c r="J183" s="40">
        <f t="shared" ca="1" si="25"/>
        <v>1512441299703.8079</v>
      </c>
      <c r="K183" s="41">
        <f t="shared" ca="1" si="26"/>
        <v>3.6680762115829899</v>
      </c>
    </row>
    <row r="184" spans="2:11" ht="15" customHeight="1" x14ac:dyDescent="0.35">
      <c r="B184" s="5">
        <v>163</v>
      </c>
      <c r="C184" s="39">
        <f t="shared" ca="1" si="18"/>
        <v>2.9522693292358388</v>
      </c>
      <c r="D184" s="40">
        <f t="shared" ca="1" si="19"/>
        <v>3741487072.9964013</v>
      </c>
      <c r="E184" s="40">
        <f t="shared" ca="1" si="20"/>
        <v>7290234992300.9766</v>
      </c>
      <c r="F184" s="40">
        <f t="shared" ca="1" si="21"/>
        <v>2539130954879.1714</v>
      </c>
      <c r="G184" s="40">
        <f t="shared" ca="1" si="22"/>
        <v>4709868209370.8545</v>
      </c>
      <c r="H184" s="40">
        <f t="shared" ca="1" si="23"/>
        <v>2539130954879.1714</v>
      </c>
      <c r="I184" s="40">
        <f t="shared" ca="1" si="24"/>
        <v>24450846025400.801</v>
      </c>
      <c r="J184" s="40">
        <f t="shared" ca="1" si="25"/>
        <v>1121983111015.3977</v>
      </c>
      <c r="K184" s="41">
        <f t="shared" ca="1" si="26"/>
        <v>21.792525917143905</v>
      </c>
    </row>
    <row r="185" spans="2:11" ht="15" customHeight="1" x14ac:dyDescent="0.35">
      <c r="B185" s="5">
        <v>164</v>
      </c>
      <c r="C185" s="39">
        <f t="shared" ca="1" si="18"/>
        <v>2.6563631066399918</v>
      </c>
      <c r="D185" s="40">
        <f t="shared" ca="1" si="19"/>
        <v>2995274273.3590775</v>
      </c>
      <c r="E185" s="40">
        <f t="shared" ca="1" si="20"/>
        <v>7503605697112.7344</v>
      </c>
      <c r="F185" s="40">
        <f t="shared" ca="1" si="21"/>
        <v>4425717615015.9541</v>
      </c>
      <c r="G185" s="40">
        <f t="shared" ca="1" si="22"/>
        <v>12302269078838.023</v>
      </c>
      <c r="H185" s="40">
        <f t="shared" ca="1" si="23"/>
        <v>4425717615015.9541</v>
      </c>
      <c r="I185" s="40">
        <f t="shared" ca="1" si="24"/>
        <v>20502132691460.684</v>
      </c>
      <c r="J185" s="40">
        <f t="shared" ca="1" si="25"/>
        <v>1238570974898.1743</v>
      </c>
      <c r="K185" s="41">
        <f t="shared" ca="1" si="26"/>
        <v>16.553054372315007</v>
      </c>
    </row>
    <row r="186" spans="2:11" ht="15" customHeight="1" x14ac:dyDescent="0.35">
      <c r="B186" s="5">
        <v>165</v>
      </c>
      <c r="C186" s="39">
        <f t="shared" ca="1" si="18"/>
        <v>3.8772396294324496</v>
      </c>
      <c r="D186" s="40">
        <f t="shared" ca="1" si="19"/>
        <v>16112907465.16213</v>
      </c>
      <c r="E186" s="40">
        <f t="shared" ca="1" si="20"/>
        <v>233889682752505.59</v>
      </c>
      <c r="F186" s="40">
        <f t="shared" ca="1" si="21"/>
        <v>27623818836194.035</v>
      </c>
      <c r="G186" s="40">
        <f t="shared" ca="1" si="22"/>
        <v>13746907418279.895</v>
      </c>
      <c r="H186" s="40">
        <f t="shared" ca="1" si="23"/>
        <v>27623818836194.035</v>
      </c>
      <c r="I186" s="40">
        <f t="shared" ca="1" si="24"/>
        <v>9279626918604.9238</v>
      </c>
      <c r="J186" s="40">
        <f t="shared" ca="1" si="25"/>
        <v>859176089982.73938</v>
      </c>
      <c r="K186" s="41">
        <f t="shared" ca="1" si="26"/>
        <v>10.800611221375293</v>
      </c>
    </row>
    <row r="187" spans="2:11" ht="15" customHeight="1" x14ac:dyDescent="0.35">
      <c r="B187" s="5">
        <v>166</v>
      </c>
      <c r="C187" s="39">
        <f t="shared" ca="1" si="18"/>
        <v>2.3410853361668882</v>
      </c>
      <c r="D187" s="40">
        <f t="shared" ca="1" si="19"/>
        <v>1241513254.7758114</v>
      </c>
      <c r="E187" s="40">
        <f t="shared" ca="1" si="20"/>
        <v>9066637454734.7344</v>
      </c>
      <c r="F187" s="40">
        <f t="shared" ca="1" si="21"/>
        <v>8724344421616.7686</v>
      </c>
      <c r="G187" s="40">
        <f t="shared" ca="1" si="22"/>
        <v>1560419436041.6221</v>
      </c>
      <c r="H187" s="40">
        <f t="shared" ca="1" si="23"/>
        <v>1560419436041.6221</v>
      </c>
      <c r="I187" s="40">
        <f t="shared" ca="1" si="24"/>
        <v>14250932482045.811</v>
      </c>
      <c r="J187" s="40">
        <f t="shared" ca="1" si="25"/>
        <v>1403882445334.3665</v>
      </c>
      <c r="K187" s="41">
        <f t="shared" ca="1" si="26"/>
        <v>10.151086744767742</v>
      </c>
    </row>
    <row r="188" spans="2:11" ht="15" customHeight="1" x14ac:dyDescent="0.35">
      <c r="B188" s="5">
        <v>167</v>
      </c>
      <c r="C188" s="39">
        <f t="shared" ca="1" si="18"/>
        <v>2.9403534477947066</v>
      </c>
      <c r="D188" s="40">
        <f t="shared" ca="1" si="19"/>
        <v>3695059788.7090321</v>
      </c>
      <c r="E188" s="40">
        <f t="shared" ca="1" si="20"/>
        <v>12500306564455.049</v>
      </c>
      <c r="F188" s="40">
        <f t="shared" ca="1" si="21"/>
        <v>1900448362324.0645</v>
      </c>
      <c r="G188" s="40">
        <f t="shared" ca="1" si="22"/>
        <v>5667745527479.0977</v>
      </c>
      <c r="H188" s="40">
        <f t="shared" ca="1" si="23"/>
        <v>12500306564455.049</v>
      </c>
      <c r="I188" s="40">
        <f t="shared" ca="1" si="24"/>
        <v>33537167659048.609</v>
      </c>
      <c r="J188" s="40">
        <f t="shared" ca="1" si="25"/>
        <v>687920206654.27454</v>
      </c>
      <c r="K188" s="41">
        <f t="shared" ca="1" si="26"/>
        <v>48.751537365296869</v>
      </c>
    </row>
    <row r="189" spans="2:11" ht="15" customHeight="1" x14ac:dyDescent="0.35">
      <c r="B189" s="5">
        <v>168</v>
      </c>
      <c r="C189" s="39">
        <f t="shared" ca="1" si="18"/>
        <v>2.5322578408491898</v>
      </c>
      <c r="D189" s="40">
        <f t="shared" ca="1" si="19"/>
        <v>2129307792.5279198</v>
      </c>
      <c r="E189" s="40">
        <f t="shared" ca="1" si="20"/>
        <v>2514773874415.3389</v>
      </c>
      <c r="F189" s="40">
        <f t="shared" ca="1" si="21"/>
        <v>1442370609850.7014</v>
      </c>
      <c r="G189" s="40">
        <f t="shared" ca="1" si="22"/>
        <v>3872556616776.6191</v>
      </c>
      <c r="H189" s="40">
        <f t="shared" ca="1" si="23"/>
        <v>1442370609850.7014</v>
      </c>
      <c r="I189" s="40">
        <f t="shared" ca="1" si="24"/>
        <v>20928067151476.453</v>
      </c>
      <c r="J189" s="40">
        <f t="shared" ca="1" si="25"/>
        <v>736548135712.62463</v>
      </c>
      <c r="K189" s="41">
        <f t="shared" ca="1" si="26"/>
        <v>28.413712745641725</v>
      </c>
    </row>
    <row r="190" spans="2:11" ht="15" customHeight="1" x14ac:dyDescent="0.35">
      <c r="B190" s="5">
        <v>169</v>
      </c>
      <c r="C190" s="39">
        <f t="shared" ca="1" si="18"/>
        <v>2.7831158672573761</v>
      </c>
      <c r="D190" s="40">
        <f t="shared" ca="1" si="19"/>
        <v>3160730713.3989134</v>
      </c>
      <c r="E190" s="40">
        <f t="shared" ca="1" si="20"/>
        <v>10264884424858.52</v>
      </c>
      <c r="F190" s="40">
        <f t="shared" ca="1" si="21"/>
        <v>1883275525042.575</v>
      </c>
      <c r="G190" s="40">
        <f t="shared" ca="1" si="22"/>
        <v>4301482287210.4731</v>
      </c>
      <c r="H190" s="40">
        <f t="shared" ca="1" si="23"/>
        <v>4301482287210.4731</v>
      </c>
      <c r="I190" s="40">
        <f t="shared" ca="1" si="24"/>
        <v>50778914692681.992</v>
      </c>
      <c r="J190" s="40">
        <f t="shared" ca="1" si="25"/>
        <v>1340728189191.0588</v>
      </c>
      <c r="K190" s="41">
        <f t="shared" ca="1" si="26"/>
        <v>37.87413071647277</v>
      </c>
    </row>
    <row r="191" spans="2:11" ht="15" customHeight="1" x14ac:dyDescent="0.35">
      <c r="B191" s="5">
        <v>170</v>
      </c>
      <c r="C191" s="39">
        <f t="shared" ca="1" si="18"/>
        <v>2.6992176583048719</v>
      </c>
      <c r="D191" s="40">
        <f t="shared" ca="1" si="19"/>
        <v>2886259560.3172936</v>
      </c>
      <c r="E191" s="40">
        <f t="shared" ca="1" si="20"/>
        <v>6851342453037.3125</v>
      </c>
      <c r="F191" s="40">
        <f t="shared" ca="1" si="21"/>
        <v>11839070071601.004</v>
      </c>
      <c r="G191" s="40">
        <f t="shared" ca="1" si="22"/>
        <v>32253977317695.891</v>
      </c>
      <c r="H191" s="40">
        <f t="shared" ca="1" si="23"/>
        <v>6851342453037.3125</v>
      </c>
      <c r="I191" s="40">
        <f t="shared" ca="1" si="24"/>
        <v>6138504237592.6475</v>
      </c>
      <c r="J191" s="40">
        <f t="shared" ca="1" si="25"/>
        <v>631688265065.7749</v>
      </c>
      <c r="K191" s="41">
        <f t="shared" ca="1" si="26"/>
        <v>9.7176163893965519</v>
      </c>
    </row>
    <row r="192" spans="2:11" ht="15" customHeight="1" x14ac:dyDescent="0.35">
      <c r="B192" s="5">
        <v>171</v>
      </c>
      <c r="C192" s="39">
        <f t="shared" ca="1" si="18"/>
        <v>3.3143504388890244</v>
      </c>
      <c r="D192" s="40">
        <f t="shared" ca="1" si="19"/>
        <v>9274372566.46805</v>
      </c>
      <c r="E192" s="40">
        <f t="shared" ca="1" si="20"/>
        <v>51937621928429.508</v>
      </c>
      <c r="F192" s="40">
        <f t="shared" ca="1" si="21"/>
        <v>1888398839875.0164</v>
      </c>
      <c r="G192" s="40">
        <f t="shared" ca="1" si="22"/>
        <v>1483312583842.3408</v>
      </c>
      <c r="H192" s="40">
        <f t="shared" ca="1" si="23"/>
        <v>1483312583842.3408</v>
      </c>
      <c r="I192" s="40">
        <f t="shared" ca="1" si="24"/>
        <v>596455682307.44177</v>
      </c>
      <c r="J192" s="40">
        <f t="shared" ca="1" si="25"/>
        <v>995375824978.89258</v>
      </c>
      <c r="K192" s="41">
        <f t="shared" ca="1" si="26"/>
        <v>0.59922661103416885</v>
      </c>
    </row>
    <row r="193" spans="2:11" ht="15" customHeight="1" x14ac:dyDescent="0.35">
      <c r="B193" s="5">
        <v>172</v>
      </c>
      <c r="C193" s="39">
        <f t="shared" ca="1" si="18"/>
        <v>3.4325328783920268</v>
      </c>
      <c r="D193" s="40">
        <f t="shared" ca="1" si="19"/>
        <v>7680686486.9418125</v>
      </c>
      <c r="E193" s="40">
        <f t="shared" ca="1" si="20"/>
        <v>20140948122408.465</v>
      </c>
      <c r="F193" s="40">
        <f t="shared" ca="1" si="21"/>
        <v>1124756578605.6104</v>
      </c>
      <c r="G193" s="40">
        <f t="shared" ca="1" si="22"/>
        <v>1877115581062.342</v>
      </c>
      <c r="H193" s="40">
        <f t="shared" ca="1" si="23"/>
        <v>20140948122408.465</v>
      </c>
      <c r="I193" s="40">
        <f t="shared" ca="1" si="24"/>
        <v>20149637254247.656</v>
      </c>
      <c r="J193" s="40">
        <f t="shared" ca="1" si="25"/>
        <v>1327800601223.7632</v>
      </c>
      <c r="K193" s="41">
        <f t="shared" ca="1" si="26"/>
        <v>15.175198170325279</v>
      </c>
    </row>
    <row r="194" spans="2:11" ht="15" customHeight="1" x14ac:dyDescent="0.35">
      <c r="B194" s="5">
        <v>173</v>
      </c>
      <c r="C194" s="39">
        <f t="shared" ca="1" si="18"/>
        <v>2.8805579926903691</v>
      </c>
      <c r="D194" s="40">
        <f t="shared" ca="1" si="19"/>
        <v>3769175369.8116903</v>
      </c>
      <c r="E194" s="40">
        <f t="shared" ca="1" si="20"/>
        <v>20746814616360.695</v>
      </c>
      <c r="F194" s="40">
        <f t="shared" ca="1" si="21"/>
        <v>1621831900575.8213</v>
      </c>
      <c r="G194" s="40">
        <f t="shared" ca="1" si="22"/>
        <v>6136654037375.3652</v>
      </c>
      <c r="H194" s="40">
        <f t="shared" ca="1" si="23"/>
        <v>6136654037375.3652</v>
      </c>
      <c r="I194" s="40">
        <f t="shared" ca="1" si="24"/>
        <v>9005743657504.7988</v>
      </c>
      <c r="J194" s="40">
        <f t="shared" ca="1" si="25"/>
        <v>1133367693511.6709</v>
      </c>
      <c r="K194" s="41">
        <f t="shared" ca="1" si="26"/>
        <v>7.9460034983007581</v>
      </c>
    </row>
    <row r="195" spans="2:11" ht="15" customHeight="1" x14ac:dyDescent="0.35">
      <c r="B195" s="5">
        <v>174</v>
      </c>
      <c r="C195" s="39">
        <f t="shared" ca="1" si="18"/>
        <v>3.7866677444591277</v>
      </c>
      <c r="D195" s="40">
        <f t="shared" ca="1" si="19"/>
        <v>18494063798.808876</v>
      </c>
      <c r="E195" s="40">
        <f t="shared" ca="1" si="20"/>
        <v>169365096895817.75</v>
      </c>
      <c r="F195" s="40">
        <f t="shared" ca="1" si="21"/>
        <v>20916611990522</v>
      </c>
      <c r="G195" s="40">
        <f t="shared" ca="1" si="22"/>
        <v>7421987362851.7754</v>
      </c>
      <c r="H195" s="40">
        <f t="shared" ca="1" si="23"/>
        <v>7421987362851.7754</v>
      </c>
      <c r="I195" s="40">
        <f t="shared" ca="1" si="24"/>
        <v>8397788377238.0186</v>
      </c>
      <c r="J195" s="40">
        <f t="shared" ca="1" si="25"/>
        <v>1407542271425.1362</v>
      </c>
      <c r="K195" s="41">
        <f t="shared" ca="1" si="26"/>
        <v>5.9662779212557924</v>
      </c>
    </row>
    <row r="196" spans="2:11" ht="15" customHeight="1" x14ac:dyDescent="0.35">
      <c r="B196" s="5">
        <v>175</v>
      </c>
      <c r="C196" s="39">
        <f t="shared" ca="1" si="18"/>
        <v>2.6288859772082231</v>
      </c>
      <c r="D196" s="40">
        <f t="shared" ca="1" si="19"/>
        <v>2252813478.0962348</v>
      </c>
      <c r="E196" s="40">
        <f t="shared" ca="1" si="20"/>
        <v>10505107070576.545</v>
      </c>
      <c r="F196" s="40">
        <f t="shared" ca="1" si="21"/>
        <v>7777022569900.9521</v>
      </c>
      <c r="G196" s="40">
        <f t="shared" ca="1" si="22"/>
        <v>4452834714590.1602</v>
      </c>
      <c r="H196" s="40">
        <f t="shared" ca="1" si="23"/>
        <v>7777022569900.9521</v>
      </c>
      <c r="I196" s="40">
        <f t="shared" ca="1" si="24"/>
        <v>8350646298083.0566</v>
      </c>
      <c r="J196" s="40">
        <f t="shared" ca="1" si="25"/>
        <v>538866284683.79169</v>
      </c>
      <c r="K196" s="41">
        <f t="shared" ca="1" si="26"/>
        <v>15.496694700399081</v>
      </c>
    </row>
    <row r="197" spans="2:11" ht="15" customHeight="1" x14ac:dyDescent="0.35">
      <c r="B197" s="5">
        <v>176</v>
      </c>
      <c r="C197" s="39">
        <f t="shared" ca="1" si="18"/>
        <v>2.999241360916808</v>
      </c>
      <c r="D197" s="40">
        <f t="shared" ca="1" si="19"/>
        <v>5405000466.6015778</v>
      </c>
      <c r="E197" s="40">
        <f t="shared" ca="1" si="20"/>
        <v>17354037937650.527</v>
      </c>
      <c r="F197" s="40">
        <f t="shared" ca="1" si="21"/>
        <v>473114288609.1806</v>
      </c>
      <c r="G197" s="40">
        <f t="shared" ca="1" si="22"/>
        <v>3872331333890.5791</v>
      </c>
      <c r="H197" s="40">
        <f t="shared" ca="1" si="23"/>
        <v>3872331333890.5791</v>
      </c>
      <c r="I197" s="40">
        <f t="shared" ca="1" si="24"/>
        <v>16834104718309.846</v>
      </c>
      <c r="J197" s="40">
        <f t="shared" ca="1" si="25"/>
        <v>598901624120.63489</v>
      </c>
      <c r="K197" s="41">
        <f t="shared" ca="1" si="26"/>
        <v>28.108296989555342</v>
      </c>
    </row>
    <row r="198" spans="2:11" ht="15" customHeight="1" x14ac:dyDescent="0.35">
      <c r="B198" s="5">
        <v>177</v>
      </c>
      <c r="C198" s="39">
        <f t="shared" ca="1" si="18"/>
        <v>3.5645464519481496</v>
      </c>
      <c r="D198" s="40">
        <f t="shared" ca="1" si="19"/>
        <v>9334620611.2071896</v>
      </c>
      <c r="E198" s="40">
        <f t="shared" ca="1" si="20"/>
        <v>15048623544146.234</v>
      </c>
      <c r="F198" s="40">
        <f t="shared" ca="1" si="21"/>
        <v>2825451403251.9658</v>
      </c>
      <c r="G198" s="40">
        <f t="shared" ca="1" si="22"/>
        <v>46752280661286.711</v>
      </c>
      <c r="H198" s="40">
        <f t="shared" ca="1" si="23"/>
        <v>46752280661286.711</v>
      </c>
      <c r="I198" s="40">
        <f t="shared" ca="1" si="24"/>
        <v>1834730941574.782</v>
      </c>
      <c r="J198" s="40">
        <f t="shared" ca="1" si="25"/>
        <v>969871152150.49585</v>
      </c>
      <c r="K198" s="41">
        <f t="shared" ca="1" si="26"/>
        <v>1.8917264808904071</v>
      </c>
    </row>
    <row r="199" spans="2:11" ht="15" customHeight="1" x14ac:dyDescent="0.35">
      <c r="B199" s="5">
        <v>178</v>
      </c>
      <c r="C199" s="39">
        <f t="shared" ca="1" si="18"/>
        <v>2.7367868860472968</v>
      </c>
      <c r="D199" s="40">
        <f t="shared" ca="1" si="19"/>
        <v>3038019015.8185911</v>
      </c>
      <c r="E199" s="40">
        <f t="shared" ca="1" si="20"/>
        <v>23138470573584.109</v>
      </c>
      <c r="F199" s="40">
        <f t="shared" ca="1" si="21"/>
        <v>2227559397838.978</v>
      </c>
      <c r="G199" s="40">
        <f t="shared" ca="1" si="22"/>
        <v>3448858092768.1626</v>
      </c>
      <c r="H199" s="40">
        <f t="shared" ca="1" si="23"/>
        <v>23138470573584.109</v>
      </c>
      <c r="I199" s="40">
        <f t="shared" ca="1" si="24"/>
        <v>72474378175846.438</v>
      </c>
      <c r="J199" s="40">
        <f t="shared" ca="1" si="25"/>
        <v>930495426719.98901</v>
      </c>
      <c r="K199" s="41">
        <f t="shared" ca="1" si="26"/>
        <v>77.887946673010262</v>
      </c>
    </row>
    <row r="200" spans="2:11" ht="15" customHeight="1" x14ac:dyDescent="0.35">
      <c r="B200" s="5">
        <v>179</v>
      </c>
      <c r="C200" s="39">
        <f t="shared" ca="1" si="18"/>
        <v>2.9541004614384407</v>
      </c>
      <c r="D200" s="40">
        <f t="shared" ca="1" si="19"/>
        <v>4197823983.0336366</v>
      </c>
      <c r="E200" s="40">
        <f t="shared" ca="1" si="20"/>
        <v>17020392013888.467</v>
      </c>
      <c r="F200" s="40">
        <f t="shared" ca="1" si="21"/>
        <v>5550048000593.7129</v>
      </c>
      <c r="G200" s="40">
        <f t="shared" ca="1" si="22"/>
        <v>1201070836310.4272</v>
      </c>
      <c r="H200" s="40">
        <f t="shared" ca="1" si="23"/>
        <v>17020392013888.467</v>
      </c>
      <c r="I200" s="40">
        <f t="shared" ca="1" si="24"/>
        <v>8221389044557.6738</v>
      </c>
      <c r="J200" s="40">
        <f t="shared" ca="1" si="25"/>
        <v>1333219830180.9705</v>
      </c>
      <c r="K200" s="41">
        <f t="shared" ca="1" si="26"/>
        <v>6.1665667269903324</v>
      </c>
    </row>
    <row r="201" spans="2:11" ht="15" customHeight="1" x14ac:dyDescent="0.35">
      <c r="B201" s="5">
        <v>180</v>
      </c>
      <c r="C201" s="39">
        <f t="shared" ca="1" si="18"/>
        <v>2.5923720233361434</v>
      </c>
      <c r="D201" s="40">
        <f t="shared" ca="1" si="19"/>
        <v>2274201844.0828381</v>
      </c>
      <c r="E201" s="40">
        <f t="shared" ca="1" si="20"/>
        <v>4718295219382.3467</v>
      </c>
      <c r="F201" s="40">
        <f t="shared" ca="1" si="21"/>
        <v>7592279908099.1084</v>
      </c>
      <c r="G201" s="40">
        <f t="shared" ca="1" si="22"/>
        <v>44656571595377.484</v>
      </c>
      <c r="H201" s="40">
        <f t="shared" ca="1" si="23"/>
        <v>4718295219382.3467</v>
      </c>
      <c r="I201" s="40">
        <f t="shared" ca="1" si="24"/>
        <v>13653529126382.947</v>
      </c>
      <c r="J201" s="40">
        <f t="shared" ca="1" si="25"/>
        <v>1181358408650.8455</v>
      </c>
      <c r="K201" s="41">
        <f t="shared" ca="1" si="26"/>
        <v>11.557482493374536</v>
      </c>
    </row>
    <row r="202" spans="2:11" ht="15" customHeight="1" x14ac:dyDescent="0.35">
      <c r="B202" s="5">
        <v>181</v>
      </c>
      <c r="C202" s="39">
        <f t="shared" ca="1" si="18"/>
        <v>2.2901531649412465</v>
      </c>
      <c r="D202" s="40">
        <f t="shared" ca="1" si="19"/>
        <v>1164280353.1880982</v>
      </c>
      <c r="E202" s="40">
        <f t="shared" ca="1" si="20"/>
        <v>1735395375872.7856</v>
      </c>
      <c r="F202" s="40">
        <f t="shared" ca="1" si="21"/>
        <v>2637174591200.0405</v>
      </c>
      <c r="G202" s="40">
        <f t="shared" ca="1" si="22"/>
        <v>1260596448463.2012</v>
      </c>
      <c r="H202" s="40">
        <f t="shared" ca="1" si="23"/>
        <v>1260596448463.2012</v>
      </c>
      <c r="I202" s="40">
        <f t="shared" ca="1" si="24"/>
        <v>890128597579.10425</v>
      </c>
      <c r="J202" s="40">
        <f t="shared" ca="1" si="25"/>
        <v>1124839017103.4741</v>
      </c>
      <c r="K202" s="41">
        <f t="shared" ca="1" si="26"/>
        <v>0.79133865739404841</v>
      </c>
    </row>
    <row r="203" spans="2:11" ht="15" customHeight="1" x14ac:dyDescent="0.35">
      <c r="B203" s="5">
        <v>182</v>
      </c>
      <c r="C203" s="39">
        <f t="shared" ca="1" si="18"/>
        <v>2.379988527897432</v>
      </c>
      <c r="D203" s="40">
        <f t="shared" ca="1" si="19"/>
        <v>1311916291.2198074</v>
      </c>
      <c r="E203" s="40">
        <f t="shared" ca="1" si="20"/>
        <v>3361493694298.2832</v>
      </c>
      <c r="F203" s="40">
        <f t="shared" ca="1" si="21"/>
        <v>11017169601212.131</v>
      </c>
      <c r="G203" s="40">
        <f t="shared" ca="1" si="22"/>
        <v>6264758464471.7627</v>
      </c>
      <c r="H203" s="40">
        <f t="shared" ca="1" si="23"/>
        <v>6264758464471.7627</v>
      </c>
      <c r="I203" s="40">
        <f t="shared" ca="1" si="24"/>
        <v>16663440287072.652</v>
      </c>
      <c r="J203" s="40">
        <f t="shared" ca="1" si="25"/>
        <v>495793433719.37292</v>
      </c>
      <c r="K203" s="41">
        <f t="shared" ca="1" si="26"/>
        <v>33.609642955667759</v>
      </c>
    </row>
    <row r="204" spans="2:11" ht="15" customHeight="1" x14ac:dyDescent="0.35">
      <c r="B204" s="5">
        <v>183</v>
      </c>
      <c r="C204" s="39">
        <f t="shared" ca="1" si="18"/>
        <v>2.6014265650958115</v>
      </c>
      <c r="D204" s="40">
        <f t="shared" ca="1" si="19"/>
        <v>2716661838.6195159</v>
      </c>
      <c r="E204" s="40">
        <f t="shared" ca="1" si="20"/>
        <v>28801124592254.438</v>
      </c>
      <c r="F204" s="40">
        <f t="shared" ca="1" si="21"/>
        <v>5910536984467.9551</v>
      </c>
      <c r="G204" s="40">
        <f t="shared" ca="1" si="22"/>
        <v>12157206248270.303</v>
      </c>
      <c r="H204" s="40">
        <f t="shared" ca="1" si="23"/>
        <v>12157206248270.303</v>
      </c>
      <c r="I204" s="40">
        <f t="shared" ca="1" si="24"/>
        <v>6488152383624.6582</v>
      </c>
      <c r="J204" s="40">
        <f t="shared" ca="1" si="25"/>
        <v>649728958827.31226</v>
      </c>
      <c r="K204" s="41">
        <f t="shared" ca="1" si="26"/>
        <v>9.9859368979567176</v>
      </c>
    </row>
    <row r="205" spans="2:11" ht="15" customHeight="1" x14ac:dyDescent="0.35">
      <c r="B205" s="5">
        <v>184</v>
      </c>
      <c r="C205" s="39">
        <f t="shared" ca="1" si="18"/>
        <v>3.3554492405319039</v>
      </c>
      <c r="D205" s="40">
        <f t="shared" ca="1" si="19"/>
        <v>7043005955.9972591</v>
      </c>
      <c r="E205" s="40">
        <f t="shared" ca="1" si="20"/>
        <v>133028288757640.27</v>
      </c>
      <c r="F205" s="40">
        <f t="shared" ca="1" si="21"/>
        <v>1241324547831.7793</v>
      </c>
      <c r="G205" s="40">
        <f t="shared" ca="1" si="22"/>
        <v>4537606212715.8291</v>
      </c>
      <c r="H205" s="40">
        <f t="shared" ca="1" si="23"/>
        <v>133028288757640.27</v>
      </c>
      <c r="I205" s="40">
        <f t="shared" ca="1" si="24"/>
        <v>474119105031.1759</v>
      </c>
      <c r="J205" s="40">
        <f t="shared" ca="1" si="25"/>
        <v>863346409054.3009</v>
      </c>
      <c r="K205" s="41">
        <f t="shared" ca="1" si="26"/>
        <v>0.54916439109362858</v>
      </c>
    </row>
    <row r="206" spans="2:11" ht="15" customHeight="1" x14ac:dyDescent="0.35">
      <c r="B206" s="5">
        <v>185</v>
      </c>
      <c r="C206" s="39">
        <f t="shared" ca="1" si="18"/>
        <v>3.3264365800983935</v>
      </c>
      <c r="D206" s="40">
        <f t="shared" ca="1" si="19"/>
        <v>7601482605.6571026</v>
      </c>
      <c r="E206" s="40">
        <f t="shared" ca="1" si="20"/>
        <v>63790381094775.688</v>
      </c>
      <c r="F206" s="40">
        <f t="shared" ca="1" si="21"/>
        <v>2256526051897.3911</v>
      </c>
      <c r="G206" s="40">
        <f t="shared" ca="1" si="22"/>
        <v>14210034240393.703</v>
      </c>
      <c r="H206" s="40">
        <f t="shared" ca="1" si="23"/>
        <v>14210034240393.703</v>
      </c>
      <c r="I206" s="40">
        <f t="shared" ca="1" si="24"/>
        <v>59129698852699.477</v>
      </c>
      <c r="J206" s="40">
        <f t="shared" ca="1" si="25"/>
        <v>675501474802.16309</v>
      </c>
      <c r="K206" s="41">
        <f t="shared" ca="1" si="26"/>
        <v>87.534522215539255</v>
      </c>
    </row>
    <row r="207" spans="2:11" ht="15" customHeight="1" x14ac:dyDescent="0.35">
      <c r="B207" s="5">
        <v>186</v>
      </c>
      <c r="C207" s="39">
        <f t="shared" ca="1" si="18"/>
        <v>3.0714105854780027</v>
      </c>
      <c r="D207" s="40">
        <f t="shared" ca="1" si="19"/>
        <v>5496134622.1055412</v>
      </c>
      <c r="E207" s="40">
        <f t="shared" ca="1" si="20"/>
        <v>36565304688773.117</v>
      </c>
      <c r="F207" s="40">
        <f t="shared" ca="1" si="21"/>
        <v>846689633424.32117</v>
      </c>
      <c r="G207" s="40">
        <f t="shared" ca="1" si="22"/>
        <v>3977287229476.0972</v>
      </c>
      <c r="H207" s="40">
        <f t="shared" ca="1" si="23"/>
        <v>36565304688773.117</v>
      </c>
      <c r="I207" s="40">
        <f t="shared" ca="1" si="24"/>
        <v>303380308662.37573</v>
      </c>
      <c r="J207" s="40">
        <f t="shared" ca="1" si="25"/>
        <v>1867108650020.2649</v>
      </c>
      <c r="K207" s="41">
        <f t="shared" ca="1" si="26"/>
        <v>0.16248669227636162</v>
      </c>
    </row>
    <row r="208" spans="2:11" ht="15" customHeight="1" x14ac:dyDescent="0.35">
      <c r="B208" s="5">
        <v>187</v>
      </c>
      <c r="C208" s="39">
        <f t="shared" ca="1" si="18"/>
        <v>3.1300876448166925</v>
      </c>
      <c r="D208" s="40">
        <f t="shared" ca="1" si="19"/>
        <v>5714909702.0199585</v>
      </c>
      <c r="E208" s="40">
        <f t="shared" ca="1" si="20"/>
        <v>28361257251459.961</v>
      </c>
      <c r="F208" s="40">
        <f t="shared" ca="1" si="21"/>
        <v>13057205606984.459</v>
      </c>
      <c r="G208" s="40">
        <f t="shared" ca="1" si="22"/>
        <v>5945558574539.625</v>
      </c>
      <c r="H208" s="40">
        <f t="shared" ca="1" si="23"/>
        <v>13057205606984.459</v>
      </c>
      <c r="I208" s="40">
        <f t="shared" ca="1" si="24"/>
        <v>46097073930233.375</v>
      </c>
      <c r="J208" s="40">
        <f t="shared" ca="1" si="25"/>
        <v>688321480661.59631</v>
      </c>
      <c r="K208" s="41">
        <f t="shared" ca="1" si="26"/>
        <v>66.970267854965229</v>
      </c>
    </row>
    <row r="209" spans="2:11" ht="15" customHeight="1" x14ac:dyDescent="0.35">
      <c r="B209" s="5">
        <v>188</v>
      </c>
      <c r="C209" s="39">
        <f t="shared" ca="1" si="18"/>
        <v>2.8715905230878831</v>
      </c>
      <c r="D209" s="40">
        <f t="shared" ca="1" si="19"/>
        <v>3616618550.7292304</v>
      </c>
      <c r="E209" s="40">
        <f t="shared" ca="1" si="20"/>
        <v>8993773348204.0527</v>
      </c>
      <c r="F209" s="40">
        <f t="shared" ca="1" si="21"/>
        <v>3340981433072.8843</v>
      </c>
      <c r="G209" s="40">
        <f t="shared" ca="1" si="22"/>
        <v>8591482398051.9561</v>
      </c>
      <c r="H209" s="40">
        <f t="shared" ca="1" si="23"/>
        <v>8591482398051.9561</v>
      </c>
      <c r="I209" s="40">
        <f t="shared" ca="1" si="24"/>
        <v>5422444928723.3584</v>
      </c>
      <c r="J209" s="40">
        <f t="shared" ca="1" si="25"/>
        <v>1529236043295.3572</v>
      </c>
      <c r="K209" s="41">
        <f t="shared" ca="1" si="26"/>
        <v>3.545852160951235</v>
      </c>
    </row>
    <row r="210" spans="2:11" ht="15" customHeight="1" x14ac:dyDescent="0.35">
      <c r="B210" s="5">
        <v>189</v>
      </c>
      <c r="C210" s="39">
        <f t="shared" ca="1" si="18"/>
        <v>2.6875429060233591</v>
      </c>
      <c r="D210" s="40">
        <f t="shared" ca="1" si="19"/>
        <v>2261318474.3270097</v>
      </c>
      <c r="E210" s="40">
        <f t="shared" ca="1" si="20"/>
        <v>4048937219716.9292</v>
      </c>
      <c r="F210" s="40">
        <f t="shared" ca="1" si="21"/>
        <v>1994333358856.7158</v>
      </c>
      <c r="G210" s="40">
        <f t="shared" ca="1" si="22"/>
        <v>1680122430583.5054</v>
      </c>
      <c r="H210" s="40">
        <f t="shared" ca="1" si="23"/>
        <v>1994333358856.7158</v>
      </c>
      <c r="I210" s="40">
        <f t="shared" ca="1" si="24"/>
        <v>22524581561488.258</v>
      </c>
      <c r="J210" s="40">
        <f t="shared" ca="1" si="25"/>
        <v>1388609880521.2314</v>
      </c>
      <c r="K210" s="41">
        <f t="shared" ca="1" si="26"/>
        <v>16.220957287898155</v>
      </c>
    </row>
    <row r="211" spans="2:11" ht="15" customHeight="1" x14ac:dyDescent="0.35">
      <c r="B211" s="5">
        <v>190</v>
      </c>
      <c r="C211" s="39">
        <f t="shared" ca="1" si="18"/>
        <v>2.943564205028236</v>
      </c>
      <c r="D211" s="40">
        <f t="shared" ca="1" si="19"/>
        <v>4733001331.3523712</v>
      </c>
      <c r="E211" s="40">
        <f t="shared" ca="1" si="20"/>
        <v>18083061628135.668</v>
      </c>
      <c r="F211" s="40">
        <f t="shared" ca="1" si="21"/>
        <v>403412657100.87561</v>
      </c>
      <c r="G211" s="40">
        <f t="shared" ca="1" si="22"/>
        <v>6970146831564.2607</v>
      </c>
      <c r="H211" s="40">
        <f t="shared" ca="1" si="23"/>
        <v>403412657100.87561</v>
      </c>
      <c r="I211" s="40">
        <f t="shared" ca="1" si="24"/>
        <v>62736731303090.242</v>
      </c>
      <c r="J211" s="40">
        <f t="shared" ca="1" si="25"/>
        <v>438948399786.75989</v>
      </c>
      <c r="K211" s="41">
        <f t="shared" ca="1" si="26"/>
        <v>142.92507122378757</v>
      </c>
    </row>
    <row r="212" spans="2:11" ht="15" customHeight="1" x14ac:dyDescent="0.35">
      <c r="B212" s="5">
        <v>191</v>
      </c>
      <c r="C212" s="39">
        <f t="shared" ca="1" si="18"/>
        <v>3.15400786208088</v>
      </c>
      <c r="D212" s="40">
        <f t="shared" ca="1" si="19"/>
        <v>5244024215.0669489</v>
      </c>
      <c r="E212" s="40">
        <f t="shared" ca="1" si="20"/>
        <v>11663728009559.846</v>
      </c>
      <c r="F212" s="40">
        <f t="shared" ca="1" si="21"/>
        <v>8537854335322.6152</v>
      </c>
      <c r="G212" s="40">
        <f t="shared" ca="1" si="22"/>
        <v>2612340764176.4136</v>
      </c>
      <c r="H212" s="40">
        <f t="shared" ca="1" si="23"/>
        <v>11663728009559.846</v>
      </c>
      <c r="I212" s="40">
        <f t="shared" ca="1" si="24"/>
        <v>9754521133288.043</v>
      </c>
      <c r="J212" s="40">
        <f t="shared" ca="1" si="25"/>
        <v>1236740487568.3291</v>
      </c>
      <c r="K212" s="41">
        <f t="shared" ca="1" si="26"/>
        <v>7.8872821188763034</v>
      </c>
    </row>
    <row r="213" spans="2:11" ht="15" customHeight="1" x14ac:dyDescent="0.35">
      <c r="B213" s="5">
        <v>192</v>
      </c>
      <c r="C213" s="39">
        <f t="shared" ca="1" si="18"/>
        <v>2.7242422674612059</v>
      </c>
      <c r="D213" s="40">
        <f t="shared" ca="1" si="19"/>
        <v>2905063419.7224045</v>
      </c>
      <c r="E213" s="40">
        <f t="shared" ca="1" si="20"/>
        <v>19580789990464.066</v>
      </c>
      <c r="F213" s="40">
        <f t="shared" ca="1" si="21"/>
        <v>1801576096587.4937</v>
      </c>
      <c r="G213" s="40">
        <f t="shared" ca="1" si="22"/>
        <v>17937170149155.469</v>
      </c>
      <c r="H213" s="40">
        <f t="shared" ca="1" si="23"/>
        <v>17937170149155.469</v>
      </c>
      <c r="I213" s="40">
        <f t="shared" ca="1" si="24"/>
        <v>9771569439397.4648</v>
      </c>
      <c r="J213" s="40">
        <f t="shared" ca="1" si="25"/>
        <v>978940305158.77539</v>
      </c>
      <c r="K213" s="41">
        <f t="shared" ca="1" si="26"/>
        <v>9.9817827378275155</v>
      </c>
    </row>
    <row r="214" spans="2:11" ht="15" customHeight="1" x14ac:dyDescent="0.35">
      <c r="B214" s="5">
        <v>193</v>
      </c>
      <c r="C214" s="39">
        <f t="shared" ref="C214:C277" ca="1" si="27">MEDIAN(1.8,NORMINV(RAND(),$C$7,$D$7),4.5)</f>
        <v>2.4708171034467812</v>
      </c>
      <c r="D214" s="40">
        <f t="shared" ref="D214:D277" ca="1" si="28">($C$8+RAND()*($D$8-$C$8))*C214^5</f>
        <v>1963494933.6232333</v>
      </c>
      <c r="E214" s="40">
        <f t="shared" ref="E214:E277" ca="1" si="29">D214*($C$10+RAND()*($D$10-$C$10))*EXP(NORMINV(RAND(),$C$9,$D$9))*($C$11+RAND()*($D$11-$C$11))</f>
        <v>3960016625106.6465</v>
      </c>
      <c r="F214" s="40">
        <f t="shared" ref="F214:F277" ca="1" si="30">EXP(NORMINV(RAND(),$C$12,$D$12))*EXP(NORMINV(RAND(),$C$13,$D$13))</f>
        <v>567069520652.67249</v>
      </c>
      <c r="G214" s="40">
        <f t="shared" ref="G214:G277" ca="1" si="31">EXP(NORMINV(RAND(),$C$14,$D$14))*($C$15+RAND()*($D$15-$C$15))*EXP(NORMINV(RAND(),$C$16,$D$16))/1000000*31536000</f>
        <v>1089094206532.1014</v>
      </c>
      <c r="H214" s="40">
        <f t="shared" ref="H214:H277" ca="1" si="32">CHOOSE(RANDBETWEEN(1,3),E214,F214,G214)</f>
        <v>3960016625106.6465</v>
      </c>
      <c r="I214" s="40">
        <f t="shared" ref="I214:I277" ca="1" si="33">EXP(NORMINV(RAND(),$C$14,$D$14))*($C$15+RAND()*($D$15-$C$15))*60</f>
        <v>19289970415308.016</v>
      </c>
      <c r="J214" s="40">
        <f t="shared" ref="J214:J277" ca="1" si="34">($C$17+RAND()*($D$17-$C$17))*($C$18+RAND()*($D$18-$C$18))</f>
        <v>838675725923.75659</v>
      </c>
      <c r="K214" s="41">
        <f t="shared" ref="K214:K277" ca="1" si="35">I214/J214</f>
        <v>23.000511185728122</v>
      </c>
    </row>
    <row r="215" spans="2:11" ht="15" customHeight="1" x14ac:dyDescent="0.35">
      <c r="B215" s="5">
        <v>194</v>
      </c>
      <c r="C215" s="39">
        <f t="shared" ca="1" si="27"/>
        <v>3.0675269191928556</v>
      </c>
      <c r="D215" s="40">
        <f t="shared" ca="1" si="28"/>
        <v>5454958998.7878885</v>
      </c>
      <c r="E215" s="40">
        <f t="shared" ca="1" si="29"/>
        <v>305792610991641.44</v>
      </c>
      <c r="F215" s="40">
        <f t="shared" ca="1" si="30"/>
        <v>838468267816.08423</v>
      </c>
      <c r="G215" s="40">
        <f t="shared" ca="1" si="31"/>
        <v>357424280316.26929</v>
      </c>
      <c r="H215" s="40">
        <f t="shared" ca="1" si="32"/>
        <v>838468267816.08423</v>
      </c>
      <c r="I215" s="40">
        <f t="shared" ca="1" si="33"/>
        <v>36181514071502.898</v>
      </c>
      <c r="J215" s="40">
        <f t="shared" ca="1" si="34"/>
        <v>1538224100654.6714</v>
      </c>
      <c r="K215" s="41">
        <f t="shared" ca="1" si="35"/>
        <v>23.52161434481749</v>
      </c>
    </row>
    <row r="216" spans="2:11" ht="15" customHeight="1" x14ac:dyDescent="0.35">
      <c r="B216" s="5">
        <v>195</v>
      </c>
      <c r="C216" s="39">
        <f t="shared" ca="1" si="27"/>
        <v>2.6577402090772506</v>
      </c>
      <c r="D216" s="40">
        <f t="shared" ca="1" si="28"/>
        <v>2657223673.9260893</v>
      </c>
      <c r="E216" s="40">
        <f t="shared" ca="1" si="29"/>
        <v>15193968261739.354</v>
      </c>
      <c r="F216" s="40">
        <f t="shared" ca="1" si="30"/>
        <v>3311297839543.9751</v>
      </c>
      <c r="G216" s="40">
        <f t="shared" ca="1" si="31"/>
        <v>975180914222.57703</v>
      </c>
      <c r="H216" s="40">
        <f t="shared" ca="1" si="32"/>
        <v>3311297839543.9751</v>
      </c>
      <c r="I216" s="40">
        <f t="shared" ca="1" si="33"/>
        <v>1619246392961.7471</v>
      </c>
      <c r="J216" s="40">
        <f t="shared" ca="1" si="34"/>
        <v>1046651882624.3578</v>
      </c>
      <c r="K216" s="41">
        <f t="shared" ca="1" si="35"/>
        <v>1.5470725461283987</v>
      </c>
    </row>
    <row r="217" spans="2:11" ht="15" customHeight="1" x14ac:dyDescent="0.35">
      <c r="B217" s="5">
        <v>196</v>
      </c>
      <c r="C217" s="39">
        <f t="shared" ca="1" si="27"/>
        <v>3.0277096313708114</v>
      </c>
      <c r="D217" s="40">
        <f t="shared" ca="1" si="28"/>
        <v>5088920115.0111227</v>
      </c>
      <c r="E217" s="40">
        <f t="shared" ca="1" si="29"/>
        <v>5972159254617.8916</v>
      </c>
      <c r="F217" s="40">
        <f t="shared" ca="1" si="30"/>
        <v>2570381451515.9019</v>
      </c>
      <c r="G217" s="40">
        <f t="shared" ca="1" si="31"/>
        <v>18889227778233.309</v>
      </c>
      <c r="H217" s="40">
        <f t="shared" ca="1" si="32"/>
        <v>18889227778233.309</v>
      </c>
      <c r="I217" s="40">
        <f t="shared" ca="1" si="33"/>
        <v>29874645962902.938</v>
      </c>
      <c r="J217" s="40">
        <f t="shared" ca="1" si="34"/>
        <v>688016067062.15979</v>
      </c>
      <c r="K217" s="41">
        <f t="shared" ca="1" si="35"/>
        <v>43.421436494162378</v>
      </c>
    </row>
    <row r="218" spans="2:11" ht="15" customHeight="1" x14ac:dyDescent="0.35">
      <c r="B218" s="5">
        <v>197</v>
      </c>
      <c r="C218" s="39">
        <f t="shared" ca="1" si="27"/>
        <v>3.1231333121825751</v>
      </c>
      <c r="D218" s="40">
        <f t="shared" ca="1" si="28"/>
        <v>5984422665.6223183</v>
      </c>
      <c r="E218" s="40">
        <f t="shared" ca="1" si="29"/>
        <v>10400298261009.756</v>
      </c>
      <c r="F218" s="40">
        <f t="shared" ca="1" si="30"/>
        <v>758364146995.21399</v>
      </c>
      <c r="G218" s="40">
        <f t="shared" ca="1" si="31"/>
        <v>4329666803329.9409</v>
      </c>
      <c r="H218" s="40">
        <f t="shared" ca="1" si="32"/>
        <v>4329666803329.9409</v>
      </c>
      <c r="I218" s="40">
        <f t="shared" ca="1" si="33"/>
        <v>15147168307128.631</v>
      </c>
      <c r="J218" s="40">
        <f t="shared" ca="1" si="34"/>
        <v>568048104789.5575</v>
      </c>
      <c r="K218" s="41">
        <f t="shared" ca="1" si="35"/>
        <v>26.665291512133717</v>
      </c>
    </row>
    <row r="219" spans="2:11" ht="15" customHeight="1" x14ac:dyDescent="0.35">
      <c r="B219" s="5">
        <v>198</v>
      </c>
      <c r="C219" s="39">
        <f t="shared" ca="1" si="27"/>
        <v>3.7651178418053886</v>
      </c>
      <c r="D219" s="40">
        <f t="shared" ca="1" si="28"/>
        <v>15399010682.89712</v>
      </c>
      <c r="E219" s="40">
        <f t="shared" ca="1" si="29"/>
        <v>82011092727952.469</v>
      </c>
      <c r="F219" s="40">
        <f t="shared" ca="1" si="30"/>
        <v>3898619278591.1763</v>
      </c>
      <c r="G219" s="40">
        <f t="shared" ca="1" si="31"/>
        <v>3028790157008.23</v>
      </c>
      <c r="H219" s="40">
        <f t="shared" ca="1" si="32"/>
        <v>3028790157008.23</v>
      </c>
      <c r="I219" s="40">
        <f t="shared" ca="1" si="33"/>
        <v>77078364888583.297</v>
      </c>
      <c r="J219" s="40">
        <f t="shared" ca="1" si="34"/>
        <v>671206922687.54675</v>
      </c>
      <c r="K219" s="41">
        <f t="shared" ca="1" si="35"/>
        <v>114.83547365685322</v>
      </c>
    </row>
    <row r="220" spans="2:11" ht="15" customHeight="1" x14ac:dyDescent="0.35">
      <c r="B220" s="5">
        <v>199</v>
      </c>
      <c r="C220" s="39">
        <f t="shared" ca="1" si="27"/>
        <v>3.4967984882686514</v>
      </c>
      <c r="D220" s="40">
        <f t="shared" ca="1" si="28"/>
        <v>11415332387.507454</v>
      </c>
      <c r="E220" s="40">
        <f t="shared" ca="1" si="29"/>
        <v>116124692085421.94</v>
      </c>
      <c r="F220" s="40">
        <f t="shared" ca="1" si="30"/>
        <v>3284281040445.5854</v>
      </c>
      <c r="G220" s="40">
        <f t="shared" ca="1" si="31"/>
        <v>3057054964967.0991</v>
      </c>
      <c r="H220" s="40">
        <f t="shared" ca="1" si="32"/>
        <v>3057054964967.0991</v>
      </c>
      <c r="I220" s="40">
        <f t="shared" ca="1" si="33"/>
        <v>9354382455093.7383</v>
      </c>
      <c r="J220" s="40">
        <f t="shared" ca="1" si="34"/>
        <v>468575614139.60101</v>
      </c>
      <c r="K220" s="41">
        <f t="shared" ca="1" si="35"/>
        <v>19.963442767439496</v>
      </c>
    </row>
    <row r="221" spans="2:11" ht="15" customHeight="1" x14ac:dyDescent="0.35">
      <c r="B221" s="5">
        <v>200</v>
      </c>
      <c r="C221" s="39">
        <f t="shared" ca="1" si="27"/>
        <v>3.0246627127956631</v>
      </c>
      <c r="D221" s="40">
        <f t="shared" ca="1" si="28"/>
        <v>4165310724.9769745</v>
      </c>
      <c r="E221" s="40">
        <f t="shared" ca="1" si="29"/>
        <v>18618264885186.203</v>
      </c>
      <c r="F221" s="40">
        <f t="shared" ca="1" si="30"/>
        <v>12361147262102.15</v>
      </c>
      <c r="G221" s="40">
        <f t="shared" ca="1" si="31"/>
        <v>113378023031559.67</v>
      </c>
      <c r="H221" s="40">
        <f t="shared" ca="1" si="32"/>
        <v>12361147262102.15</v>
      </c>
      <c r="I221" s="40">
        <f t="shared" ca="1" si="33"/>
        <v>2401098508416.4966</v>
      </c>
      <c r="J221" s="40">
        <f t="shared" ca="1" si="34"/>
        <v>817413784520.39685</v>
      </c>
      <c r="K221" s="41">
        <f t="shared" ca="1" si="35"/>
        <v>2.9374333463501583</v>
      </c>
    </row>
    <row r="222" spans="2:11" ht="15" customHeight="1" x14ac:dyDescent="0.35">
      <c r="B222" s="5">
        <v>201</v>
      </c>
      <c r="C222" s="39">
        <f t="shared" ca="1" si="27"/>
        <v>3.1039829340062846</v>
      </c>
      <c r="D222" s="40">
        <f t="shared" ca="1" si="28"/>
        <v>5783280216.1466761</v>
      </c>
      <c r="E222" s="40">
        <f t="shared" ca="1" si="29"/>
        <v>40501506639602.141</v>
      </c>
      <c r="F222" s="40">
        <f t="shared" ca="1" si="30"/>
        <v>813146353500.89197</v>
      </c>
      <c r="G222" s="40">
        <f t="shared" ca="1" si="31"/>
        <v>3274579373021.7119</v>
      </c>
      <c r="H222" s="40">
        <f t="shared" ca="1" si="32"/>
        <v>3274579373021.7119</v>
      </c>
      <c r="I222" s="40">
        <f t="shared" ca="1" si="33"/>
        <v>140968972843523.69</v>
      </c>
      <c r="J222" s="40">
        <f t="shared" ca="1" si="34"/>
        <v>999648953359.84509</v>
      </c>
      <c r="K222" s="41">
        <f t="shared" ca="1" si="35"/>
        <v>141.01847690604131</v>
      </c>
    </row>
    <row r="223" spans="2:11" ht="15" customHeight="1" x14ac:dyDescent="0.35">
      <c r="B223" s="5">
        <v>202</v>
      </c>
      <c r="C223" s="39">
        <f t="shared" ca="1" si="27"/>
        <v>2.6978009109362393</v>
      </c>
      <c r="D223" s="40">
        <f t="shared" ca="1" si="28"/>
        <v>3306298413.1253986</v>
      </c>
      <c r="E223" s="40">
        <f t="shared" ca="1" si="29"/>
        <v>76439494282196.281</v>
      </c>
      <c r="F223" s="40">
        <f t="shared" ca="1" si="30"/>
        <v>11652760568692.889</v>
      </c>
      <c r="G223" s="40">
        <f t="shared" ca="1" si="31"/>
        <v>5664074129893.4854</v>
      </c>
      <c r="H223" s="40">
        <f t="shared" ca="1" si="32"/>
        <v>5664074129893.4854</v>
      </c>
      <c r="I223" s="40">
        <f t="shared" ca="1" si="33"/>
        <v>1690597641971.3726</v>
      </c>
      <c r="J223" s="40">
        <f t="shared" ca="1" si="34"/>
        <v>1067062143633.8905</v>
      </c>
      <c r="K223" s="41">
        <f t="shared" ca="1" si="35"/>
        <v>1.5843478770730501</v>
      </c>
    </row>
    <row r="224" spans="2:11" ht="15" customHeight="1" x14ac:dyDescent="0.35">
      <c r="B224" s="5">
        <v>203</v>
      </c>
      <c r="C224" s="39">
        <f t="shared" ca="1" si="27"/>
        <v>3.3667535285116807</v>
      </c>
      <c r="D224" s="40">
        <f t="shared" ca="1" si="28"/>
        <v>9833899991.1575127</v>
      </c>
      <c r="E224" s="40">
        <f t="shared" ca="1" si="29"/>
        <v>100146809143139.53</v>
      </c>
      <c r="F224" s="40">
        <f t="shared" ca="1" si="30"/>
        <v>5567941001933.1934</v>
      </c>
      <c r="G224" s="40">
        <f t="shared" ca="1" si="31"/>
        <v>8732658552520.9551</v>
      </c>
      <c r="H224" s="40">
        <f t="shared" ca="1" si="32"/>
        <v>8732658552520.9551</v>
      </c>
      <c r="I224" s="40">
        <f t="shared" ca="1" si="33"/>
        <v>11301344808696.469</v>
      </c>
      <c r="J224" s="40">
        <f t="shared" ca="1" si="34"/>
        <v>542781591307.69849</v>
      </c>
      <c r="K224" s="41">
        <f t="shared" ca="1" si="35"/>
        <v>20.821164515673171</v>
      </c>
    </row>
    <row r="225" spans="2:11" ht="15" customHeight="1" x14ac:dyDescent="0.35">
      <c r="B225" s="5">
        <v>204</v>
      </c>
      <c r="C225" s="39">
        <f t="shared" ca="1" si="27"/>
        <v>3.6812191861297858</v>
      </c>
      <c r="D225" s="40">
        <f t="shared" ca="1" si="28"/>
        <v>15095346427.473066</v>
      </c>
      <c r="E225" s="40">
        <f t="shared" ca="1" si="29"/>
        <v>63659592658746.078</v>
      </c>
      <c r="F225" s="40">
        <f t="shared" ca="1" si="30"/>
        <v>5823225229860.2568</v>
      </c>
      <c r="G225" s="40">
        <f t="shared" ca="1" si="31"/>
        <v>10001071149212.205</v>
      </c>
      <c r="H225" s="40">
        <f t="shared" ca="1" si="32"/>
        <v>10001071149212.205</v>
      </c>
      <c r="I225" s="40">
        <f t="shared" ca="1" si="33"/>
        <v>44426524320827.281</v>
      </c>
      <c r="J225" s="40">
        <f t="shared" ca="1" si="34"/>
        <v>855375016096.21875</v>
      </c>
      <c r="K225" s="41">
        <f t="shared" ca="1" si="35"/>
        <v>51.938066327424586</v>
      </c>
    </row>
    <row r="226" spans="2:11" ht="15" customHeight="1" x14ac:dyDescent="0.35">
      <c r="B226" s="5">
        <v>205</v>
      </c>
      <c r="C226" s="39">
        <f t="shared" ca="1" si="27"/>
        <v>3.6645401937369613</v>
      </c>
      <c r="D226" s="40">
        <f t="shared" ca="1" si="28"/>
        <v>11137755458.198641</v>
      </c>
      <c r="E226" s="40">
        <f t="shared" ca="1" si="29"/>
        <v>31053318962528.184</v>
      </c>
      <c r="F226" s="40">
        <f t="shared" ca="1" si="30"/>
        <v>3730305835684.3584</v>
      </c>
      <c r="G226" s="40">
        <f t="shared" ca="1" si="31"/>
        <v>472445349682.89258</v>
      </c>
      <c r="H226" s="40">
        <f t="shared" ca="1" si="32"/>
        <v>472445349682.89258</v>
      </c>
      <c r="I226" s="40">
        <f t="shared" ca="1" si="33"/>
        <v>3660257830313.1616</v>
      </c>
      <c r="J226" s="40">
        <f t="shared" ca="1" si="34"/>
        <v>1489115455608.7058</v>
      </c>
      <c r="K226" s="41">
        <f t="shared" ca="1" si="35"/>
        <v>2.4580080856235274</v>
      </c>
    </row>
    <row r="227" spans="2:11" ht="15" customHeight="1" x14ac:dyDescent="0.35">
      <c r="B227" s="5">
        <v>206</v>
      </c>
      <c r="C227" s="39">
        <f t="shared" ca="1" si="27"/>
        <v>2.7170689879814356</v>
      </c>
      <c r="D227" s="40">
        <f t="shared" ca="1" si="28"/>
        <v>2977569550.1678267</v>
      </c>
      <c r="E227" s="40">
        <f t="shared" ca="1" si="29"/>
        <v>15269280285276.557</v>
      </c>
      <c r="F227" s="40">
        <f t="shared" ca="1" si="30"/>
        <v>719260469140.06128</v>
      </c>
      <c r="G227" s="40">
        <f t="shared" ca="1" si="31"/>
        <v>4121118241488.9736</v>
      </c>
      <c r="H227" s="40">
        <f t="shared" ca="1" si="32"/>
        <v>719260469140.06128</v>
      </c>
      <c r="I227" s="40">
        <f t="shared" ca="1" si="33"/>
        <v>5879383823007.3574</v>
      </c>
      <c r="J227" s="40">
        <f t="shared" ca="1" si="34"/>
        <v>680942472430.31104</v>
      </c>
      <c r="K227" s="41">
        <f t="shared" ca="1" si="35"/>
        <v>8.6341857954954708</v>
      </c>
    </row>
    <row r="228" spans="2:11" ht="15" customHeight="1" x14ac:dyDescent="0.35">
      <c r="B228" s="5">
        <v>207</v>
      </c>
      <c r="C228" s="39">
        <f t="shared" ca="1" si="27"/>
        <v>3.427442298246703</v>
      </c>
      <c r="D228" s="40">
        <f t="shared" ca="1" si="28"/>
        <v>11209707184.231508</v>
      </c>
      <c r="E228" s="40">
        <f t="shared" ca="1" si="29"/>
        <v>35955387201087.633</v>
      </c>
      <c r="F228" s="40">
        <f t="shared" ca="1" si="30"/>
        <v>786337412974.5968</v>
      </c>
      <c r="G228" s="40">
        <f t="shared" ca="1" si="31"/>
        <v>408885800363.84167</v>
      </c>
      <c r="H228" s="40">
        <f t="shared" ca="1" si="32"/>
        <v>35955387201087.633</v>
      </c>
      <c r="I228" s="40">
        <f t="shared" ca="1" si="33"/>
        <v>1780007483357.2549</v>
      </c>
      <c r="J228" s="40">
        <f t="shared" ca="1" si="34"/>
        <v>1659376333620.3647</v>
      </c>
      <c r="K228" s="41">
        <f t="shared" ca="1" si="35"/>
        <v>1.0726966796457207</v>
      </c>
    </row>
    <row r="229" spans="2:11" ht="15" customHeight="1" x14ac:dyDescent="0.35">
      <c r="B229" s="5">
        <v>208</v>
      </c>
      <c r="C229" s="39">
        <f t="shared" ca="1" si="27"/>
        <v>3.1367590486021317</v>
      </c>
      <c r="D229" s="40">
        <f t="shared" ca="1" si="28"/>
        <v>6900960006.6741657</v>
      </c>
      <c r="E229" s="40">
        <f t="shared" ca="1" si="29"/>
        <v>14621550765689.197</v>
      </c>
      <c r="F229" s="40">
        <f t="shared" ca="1" si="30"/>
        <v>1161967365996.0774</v>
      </c>
      <c r="G229" s="40">
        <f t="shared" ca="1" si="31"/>
        <v>20775391296774.574</v>
      </c>
      <c r="H229" s="40">
        <f t="shared" ca="1" si="32"/>
        <v>1161967365996.0774</v>
      </c>
      <c r="I229" s="40">
        <f t="shared" ca="1" si="33"/>
        <v>1530724523091.0396</v>
      </c>
      <c r="J229" s="40">
        <f t="shared" ca="1" si="34"/>
        <v>1440477714409.0278</v>
      </c>
      <c r="K229" s="41">
        <f t="shared" ca="1" si="35"/>
        <v>1.0626506108211722</v>
      </c>
    </row>
    <row r="230" spans="2:11" ht="15" customHeight="1" x14ac:dyDescent="0.35">
      <c r="B230" s="5">
        <v>209</v>
      </c>
      <c r="C230" s="39">
        <f t="shared" ca="1" si="27"/>
        <v>3.1349950138469276</v>
      </c>
      <c r="D230" s="40">
        <f t="shared" ca="1" si="28"/>
        <v>5762335154.3566675</v>
      </c>
      <c r="E230" s="40">
        <f t="shared" ca="1" si="29"/>
        <v>10980296150563.973</v>
      </c>
      <c r="F230" s="40">
        <f t="shared" ca="1" si="30"/>
        <v>4806993723060.6143</v>
      </c>
      <c r="G230" s="40">
        <f t="shared" ca="1" si="31"/>
        <v>764721284577.22046</v>
      </c>
      <c r="H230" s="40">
        <f t="shared" ca="1" si="32"/>
        <v>4806993723060.6143</v>
      </c>
      <c r="I230" s="40">
        <f t="shared" ca="1" si="33"/>
        <v>30637958913376.016</v>
      </c>
      <c r="J230" s="40">
        <f t="shared" ca="1" si="34"/>
        <v>930704422048.30151</v>
      </c>
      <c r="K230" s="41">
        <f t="shared" ca="1" si="35"/>
        <v>32.919107492739485</v>
      </c>
    </row>
    <row r="231" spans="2:11" ht="15" customHeight="1" x14ac:dyDescent="0.35">
      <c r="B231" s="5">
        <v>210</v>
      </c>
      <c r="C231" s="39">
        <f t="shared" ca="1" si="27"/>
        <v>3.4471797716830679</v>
      </c>
      <c r="D231" s="40">
        <f t="shared" ca="1" si="28"/>
        <v>8656359895.9106941</v>
      </c>
      <c r="E231" s="40">
        <f t="shared" ca="1" si="29"/>
        <v>37906336780805.969</v>
      </c>
      <c r="F231" s="40">
        <f t="shared" ca="1" si="30"/>
        <v>2056589297844.604</v>
      </c>
      <c r="G231" s="40">
        <f t="shared" ca="1" si="31"/>
        <v>793231341080.95679</v>
      </c>
      <c r="H231" s="40">
        <f t="shared" ca="1" si="32"/>
        <v>37906336780805.969</v>
      </c>
      <c r="I231" s="40">
        <f t="shared" ca="1" si="33"/>
        <v>13960250208641.432</v>
      </c>
      <c r="J231" s="40">
        <f t="shared" ca="1" si="34"/>
        <v>1030911112039.4097</v>
      </c>
      <c r="K231" s="41">
        <f t="shared" ca="1" si="35"/>
        <v>13.541662366044765</v>
      </c>
    </row>
    <row r="232" spans="2:11" ht="15" customHeight="1" x14ac:dyDescent="0.35">
      <c r="B232" s="5">
        <v>211</v>
      </c>
      <c r="C232" s="39">
        <f t="shared" ca="1" si="27"/>
        <v>2.9450569182604349</v>
      </c>
      <c r="D232" s="40">
        <f t="shared" ca="1" si="28"/>
        <v>4408461266.8710489</v>
      </c>
      <c r="E232" s="40">
        <f t="shared" ca="1" si="29"/>
        <v>13801729737063.348</v>
      </c>
      <c r="F232" s="40">
        <f t="shared" ca="1" si="30"/>
        <v>4144332419113.2202</v>
      </c>
      <c r="G232" s="40">
        <f t="shared" ca="1" si="31"/>
        <v>619028136691.19775</v>
      </c>
      <c r="H232" s="40">
        <f t="shared" ca="1" si="32"/>
        <v>13801729737063.348</v>
      </c>
      <c r="I232" s="40">
        <f t="shared" ca="1" si="33"/>
        <v>2713604029235.7212</v>
      </c>
      <c r="J232" s="40">
        <f t="shared" ca="1" si="34"/>
        <v>1290887078818.6531</v>
      </c>
      <c r="K232" s="41">
        <f t="shared" ca="1" si="35"/>
        <v>2.1021234728904856</v>
      </c>
    </row>
    <row r="233" spans="2:11" ht="15" customHeight="1" x14ac:dyDescent="0.35">
      <c r="B233" s="5">
        <v>212</v>
      </c>
      <c r="C233" s="39">
        <f t="shared" ca="1" si="27"/>
        <v>2.8767879200804867</v>
      </c>
      <c r="D233" s="40">
        <f t="shared" ca="1" si="28"/>
        <v>4394283329.6042891</v>
      </c>
      <c r="E233" s="40">
        <f t="shared" ca="1" si="29"/>
        <v>4437401712752.2998</v>
      </c>
      <c r="F233" s="40">
        <f t="shared" ca="1" si="30"/>
        <v>227069706679.67099</v>
      </c>
      <c r="G233" s="40">
        <f t="shared" ca="1" si="31"/>
        <v>11492432867169.83</v>
      </c>
      <c r="H233" s="40">
        <f t="shared" ca="1" si="32"/>
        <v>227069706679.67099</v>
      </c>
      <c r="I233" s="40">
        <f t="shared" ca="1" si="33"/>
        <v>4289046838416.2759</v>
      </c>
      <c r="J233" s="40">
        <f t="shared" ca="1" si="34"/>
        <v>718706285931.17175</v>
      </c>
      <c r="K233" s="41">
        <f t="shared" ca="1" si="35"/>
        <v>5.9677324692649547</v>
      </c>
    </row>
    <row r="234" spans="2:11" ht="15" customHeight="1" x14ac:dyDescent="0.35">
      <c r="B234" s="5">
        <v>213</v>
      </c>
      <c r="C234" s="39">
        <f t="shared" ca="1" si="27"/>
        <v>3.2093099802606813</v>
      </c>
      <c r="D234" s="40">
        <f t="shared" ca="1" si="28"/>
        <v>6379244499.6122217</v>
      </c>
      <c r="E234" s="40">
        <f t="shared" ca="1" si="29"/>
        <v>49883436415872.906</v>
      </c>
      <c r="F234" s="40">
        <f t="shared" ca="1" si="30"/>
        <v>12536140190545.197</v>
      </c>
      <c r="G234" s="40">
        <f t="shared" ca="1" si="31"/>
        <v>2240841732529.9531</v>
      </c>
      <c r="H234" s="40">
        <f t="shared" ca="1" si="32"/>
        <v>49883436415872.906</v>
      </c>
      <c r="I234" s="40">
        <f t="shared" ca="1" si="33"/>
        <v>1670820902136.1575</v>
      </c>
      <c r="J234" s="40">
        <f t="shared" ca="1" si="34"/>
        <v>761189577472.02039</v>
      </c>
      <c r="K234" s="41">
        <f t="shared" ca="1" si="35"/>
        <v>2.1950128477653426</v>
      </c>
    </row>
    <row r="235" spans="2:11" ht="15" customHeight="1" x14ac:dyDescent="0.35">
      <c r="B235" s="5">
        <v>214</v>
      </c>
      <c r="C235" s="39">
        <f t="shared" ca="1" si="27"/>
        <v>3.350663125246506</v>
      </c>
      <c r="D235" s="40">
        <f t="shared" ca="1" si="28"/>
        <v>8547060918.1978922</v>
      </c>
      <c r="E235" s="40">
        <f t="shared" ca="1" si="29"/>
        <v>76038107818900.078</v>
      </c>
      <c r="F235" s="40">
        <f t="shared" ca="1" si="30"/>
        <v>551029153512.89673</v>
      </c>
      <c r="G235" s="40">
        <f t="shared" ca="1" si="31"/>
        <v>2448796147498.0918</v>
      </c>
      <c r="H235" s="40">
        <f t="shared" ca="1" si="32"/>
        <v>551029153512.89673</v>
      </c>
      <c r="I235" s="40">
        <f t="shared" ca="1" si="33"/>
        <v>15872493907645.996</v>
      </c>
      <c r="J235" s="40">
        <f t="shared" ca="1" si="34"/>
        <v>1470578712845.0278</v>
      </c>
      <c r="K235" s="41">
        <f t="shared" ca="1" si="35"/>
        <v>10.793365747106845</v>
      </c>
    </row>
    <row r="236" spans="2:11" ht="15" customHeight="1" x14ac:dyDescent="0.35">
      <c r="B236" s="5">
        <v>215</v>
      </c>
      <c r="C236" s="39">
        <f t="shared" ca="1" si="27"/>
        <v>3.7292568661087002</v>
      </c>
      <c r="D236" s="40">
        <f t="shared" ca="1" si="28"/>
        <v>13923634073.353203</v>
      </c>
      <c r="E236" s="40">
        <f t="shared" ca="1" si="29"/>
        <v>82562824282073.969</v>
      </c>
      <c r="F236" s="40">
        <f t="shared" ca="1" si="30"/>
        <v>1769527855467.4175</v>
      </c>
      <c r="G236" s="40">
        <f t="shared" ca="1" si="31"/>
        <v>9746349940358.3379</v>
      </c>
      <c r="H236" s="40">
        <f t="shared" ca="1" si="32"/>
        <v>1769527855467.4175</v>
      </c>
      <c r="I236" s="40">
        <f t="shared" ca="1" si="33"/>
        <v>13453654334740.67</v>
      </c>
      <c r="J236" s="40">
        <f t="shared" ca="1" si="34"/>
        <v>1219576913264.209</v>
      </c>
      <c r="K236" s="41">
        <f t="shared" ca="1" si="35"/>
        <v>11.031411129890806</v>
      </c>
    </row>
    <row r="237" spans="2:11" ht="15" customHeight="1" x14ac:dyDescent="0.35">
      <c r="B237" s="5">
        <v>216</v>
      </c>
      <c r="C237" s="39">
        <f t="shared" ca="1" si="27"/>
        <v>2.1200071986797817</v>
      </c>
      <c r="D237" s="40">
        <f t="shared" ca="1" si="28"/>
        <v>738654898.7841202</v>
      </c>
      <c r="E237" s="40">
        <f t="shared" ca="1" si="29"/>
        <v>1363406713732.1035</v>
      </c>
      <c r="F237" s="40">
        <f t="shared" ca="1" si="30"/>
        <v>4808054420190.3643</v>
      </c>
      <c r="G237" s="40">
        <f t="shared" ca="1" si="31"/>
        <v>25427741287934.348</v>
      </c>
      <c r="H237" s="40">
        <f t="shared" ca="1" si="32"/>
        <v>25427741287934.348</v>
      </c>
      <c r="I237" s="40">
        <f t="shared" ca="1" si="33"/>
        <v>28136893828351.566</v>
      </c>
      <c r="J237" s="40">
        <f t="shared" ca="1" si="34"/>
        <v>1193449425986.6982</v>
      </c>
      <c r="K237" s="41">
        <f t="shared" ca="1" si="35"/>
        <v>23.576109063095874</v>
      </c>
    </row>
    <row r="238" spans="2:11" ht="15" customHeight="1" x14ac:dyDescent="0.35">
      <c r="B238" s="5">
        <v>217</v>
      </c>
      <c r="C238" s="39">
        <f t="shared" ca="1" si="27"/>
        <v>2.5026025855140204</v>
      </c>
      <c r="D238" s="40">
        <f t="shared" ca="1" si="28"/>
        <v>1696385005.8834805</v>
      </c>
      <c r="E238" s="40">
        <f t="shared" ca="1" si="29"/>
        <v>15197955726720.357</v>
      </c>
      <c r="F238" s="40">
        <f t="shared" ca="1" si="30"/>
        <v>2029278848254.1589</v>
      </c>
      <c r="G238" s="40">
        <f t="shared" ca="1" si="31"/>
        <v>10326685838189.73</v>
      </c>
      <c r="H238" s="40">
        <f t="shared" ca="1" si="32"/>
        <v>10326685838189.73</v>
      </c>
      <c r="I238" s="40">
        <f t="shared" ca="1" si="33"/>
        <v>2639688781809.0947</v>
      </c>
      <c r="J238" s="40">
        <f t="shared" ca="1" si="34"/>
        <v>845622099469.55652</v>
      </c>
      <c r="K238" s="41">
        <f t="shared" ca="1" si="35"/>
        <v>3.1215938933773417</v>
      </c>
    </row>
    <row r="239" spans="2:11" ht="15" customHeight="1" x14ac:dyDescent="0.35">
      <c r="B239" s="5">
        <v>218</v>
      </c>
      <c r="C239" s="39">
        <f t="shared" ca="1" si="27"/>
        <v>3.5471103416633998</v>
      </c>
      <c r="D239" s="40">
        <f t="shared" ca="1" si="28"/>
        <v>11376397160.883183</v>
      </c>
      <c r="E239" s="40">
        <f t="shared" ca="1" si="29"/>
        <v>36315463801611.609</v>
      </c>
      <c r="F239" s="40">
        <f t="shared" ca="1" si="30"/>
        <v>1811381436611.5974</v>
      </c>
      <c r="G239" s="40">
        <f t="shared" ca="1" si="31"/>
        <v>42250116837981.68</v>
      </c>
      <c r="H239" s="40">
        <f t="shared" ca="1" si="32"/>
        <v>1811381436611.5974</v>
      </c>
      <c r="I239" s="40">
        <f t="shared" ca="1" si="33"/>
        <v>46216922990588.094</v>
      </c>
      <c r="J239" s="40">
        <f t="shared" ca="1" si="34"/>
        <v>1105036240981.6565</v>
      </c>
      <c r="K239" s="41">
        <f t="shared" ca="1" si="35"/>
        <v>41.823897965130442</v>
      </c>
    </row>
    <row r="240" spans="2:11" ht="15" customHeight="1" x14ac:dyDescent="0.35">
      <c r="B240" s="5">
        <v>219</v>
      </c>
      <c r="C240" s="39">
        <f t="shared" ca="1" si="27"/>
        <v>3.3317655909834643</v>
      </c>
      <c r="D240" s="40">
        <f t="shared" ca="1" si="28"/>
        <v>9154198801.3034019</v>
      </c>
      <c r="E240" s="40">
        <f t="shared" ca="1" si="29"/>
        <v>18154521176187.441</v>
      </c>
      <c r="F240" s="40">
        <f t="shared" ca="1" si="30"/>
        <v>1015787376575.0387</v>
      </c>
      <c r="G240" s="40">
        <f t="shared" ca="1" si="31"/>
        <v>1907989775397.115</v>
      </c>
      <c r="H240" s="40">
        <f t="shared" ca="1" si="32"/>
        <v>18154521176187.441</v>
      </c>
      <c r="I240" s="40">
        <f t="shared" ca="1" si="33"/>
        <v>4516664470343.4277</v>
      </c>
      <c r="J240" s="40">
        <f t="shared" ca="1" si="34"/>
        <v>1037397169457.7235</v>
      </c>
      <c r="K240" s="41">
        <f t="shared" ca="1" si="35"/>
        <v>4.3538430635051899</v>
      </c>
    </row>
    <row r="241" spans="2:11" ht="15" customHeight="1" x14ac:dyDescent="0.35">
      <c r="B241" s="5">
        <v>220</v>
      </c>
      <c r="C241" s="39">
        <f t="shared" ca="1" si="27"/>
        <v>2.6809720962847545</v>
      </c>
      <c r="D241" s="40">
        <f t="shared" ca="1" si="28"/>
        <v>2284570350.0967031</v>
      </c>
      <c r="E241" s="40">
        <f t="shared" ca="1" si="29"/>
        <v>3057122326485.4429</v>
      </c>
      <c r="F241" s="40">
        <f t="shared" ca="1" si="30"/>
        <v>9283059057797.5742</v>
      </c>
      <c r="G241" s="40">
        <f t="shared" ca="1" si="31"/>
        <v>44269515877717.547</v>
      </c>
      <c r="H241" s="40">
        <f t="shared" ca="1" si="32"/>
        <v>9283059057797.5742</v>
      </c>
      <c r="I241" s="40">
        <f t="shared" ca="1" si="33"/>
        <v>62015802804201.969</v>
      </c>
      <c r="J241" s="40">
        <f t="shared" ca="1" si="34"/>
        <v>1220647397977.7495</v>
      </c>
      <c r="K241" s="41">
        <f t="shared" ca="1" si="35"/>
        <v>50.805665015911842</v>
      </c>
    </row>
    <row r="242" spans="2:11" ht="15" customHeight="1" x14ac:dyDescent="0.35">
      <c r="B242" s="5">
        <v>221</v>
      </c>
      <c r="C242" s="39">
        <f t="shared" ca="1" si="27"/>
        <v>3.0840904962370956</v>
      </c>
      <c r="D242" s="40">
        <f t="shared" ca="1" si="28"/>
        <v>4803479372.6016665</v>
      </c>
      <c r="E242" s="40">
        <f t="shared" ca="1" si="29"/>
        <v>15258423758775.262</v>
      </c>
      <c r="F242" s="40">
        <f t="shared" ca="1" si="30"/>
        <v>3700609076954.9858</v>
      </c>
      <c r="G242" s="40">
        <f t="shared" ca="1" si="31"/>
        <v>3459435598863.9463</v>
      </c>
      <c r="H242" s="40">
        <f t="shared" ca="1" si="32"/>
        <v>3459435598863.9463</v>
      </c>
      <c r="I242" s="40">
        <f t="shared" ca="1" si="33"/>
        <v>5252902545027.1201</v>
      </c>
      <c r="J242" s="40">
        <f t="shared" ca="1" si="34"/>
        <v>849833473061.66113</v>
      </c>
      <c r="K242" s="41">
        <f t="shared" ca="1" si="35"/>
        <v>6.1810963106721344</v>
      </c>
    </row>
    <row r="243" spans="2:11" ht="15" customHeight="1" x14ac:dyDescent="0.35">
      <c r="B243" s="5">
        <v>222</v>
      </c>
      <c r="C243" s="39">
        <f t="shared" ca="1" si="27"/>
        <v>3.3658944599439011</v>
      </c>
      <c r="D243" s="40">
        <f t="shared" ca="1" si="28"/>
        <v>7987994803.9460039</v>
      </c>
      <c r="E243" s="40">
        <f t="shared" ca="1" si="29"/>
        <v>16884701813402.498</v>
      </c>
      <c r="F243" s="40">
        <f t="shared" ca="1" si="30"/>
        <v>511730108895.55493</v>
      </c>
      <c r="G243" s="40">
        <f t="shared" ca="1" si="31"/>
        <v>293950500662.96442</v>
      </c>
      <c r="H243" s="40">
        <f t="shared" ca="1" si="32"/>
        <v>511730108895.55493</v>
      </c>
      <c r="I243" s="40">
        <f t="shared" ca="1" si="33"/>
        <v>12465019043183.744</v>
      </c>
      <c r="J243" s="40">
        <f t="shared" ca="1" si="34"/>
        <v>757103121149.45068</v>
      </c>
      <c r="K243" s="41">
        <f t="shared" ca="1" si="35"/>
        <v>16.464096759050573</v>
      </c>
    </row>
    <row r="244" spans="2:11" ht="15" customHeight="1" x14ac:dyDescent="0.35">
      <c r="B244" s="5">
        <v>223</v>
      </c>
      <c r="C244" s="39">
        <f t="shared" ca="1" si="27"/>
        <v>2.2218863762445893</v>
      </c>
      <c r="D244" s="40">
        <f t="shared" ca="1" si="28"/>
        <v>1165491591.4541526</v>
      </c>
      <c r="E244" s="40">
        <f t="shared" ca="1" si="29"/>
        <v>1511356752778.2434</v>
      </c>
      <c r="F244" s="40">
        <f t="shared" ca="1" si="30"/>
        <v>1165367901357.7175</v>
      </c>
      <c r="G244" s="40">
        <f t="shared" ca="1" si="31"/>
        <v>14266634649202.65</v>
      </c>
      <c r="H244" s="40">
        <f t="shared" ca="1" si="32"/>
        <v>14266634649202.65</v>
      </c>
      <c r="I244" s="40">
        <f t="shared" ca="1" si="33"/>
        <v>1853099785357.218</v>
      </c>
      <c r="J244" s="40">
        <f t="shared" ca="1" si="34"/>
        <v>947246963754.19995</v>
      </c>
      <c r="K244" s="41">
        <f t="shared" ca="1" si="35"/>
        <v>1.9563005808040539</v>
      </c>
    </row>
    <row r="245" spans="2:11" ht="15" customHeight="1" x14ac:dyDescent="0.35">
      <c r="B245" s="5">
        <v>224</v>
      </c>
      <c r="C245" s="39">
        <f t="shared" ca="1" si="27"/>
        <v>3.612514704020545</v>
      </c>
      <c r="D245" s="40">
        <f t="shared" ca="1" si="28"/>
        <v>10085774135.295628</v>
      </c>
      <c r="E245" s="40">
        <f t="shared" ca="1" si="29"/>
        <v>17894686708199.531</v>
      </c>
      <c r="F245" s="40">
        <f t="shared" ca="1" si="30"/>
        <v>7467858268760.1689</v>
      </c>
      <c r="G245" s="40">
        <f t="shared" ca="1" si="31"/>
        <v>4412190155333.709</v>
      </c>
      <c r="H245" s="40">
        <f t="shared" ca="1" si="32"/>
        <v>7467858268760.1689</v>
      </c>
      <c r="I245" s="40">
        <f t="shared" ca="1" si="33"/>
        <v>30819595302306.941</v>
      </c>
      <c r="J245" s="40">
        <f t="shared" ca="1" si="34"/>
        <v>1633975457574.312</v>
      </c>
      <c r="K245" s="41">
        <f t="shared" ca="1" si="35"/>
        <v>18.861724733650284</v>
      </c>
    </row>
    <row r="246" spans="2:11" ht="15" customHeight="1" x14ac:dyDescent="0.35">
      <c r="B246" s="5">
        <v>225</v>
      </c>
      <c r="C246" s="39">
        <f t="shared" ca="1" si="27"/>
        <v>2.5428766205466169</v>
      </c>
      <c r="D246" s="40">
        <f t="shared" ca="1" si="28"/>
        <v>2126908213.6888344</v>
      </c>
      <c r="E246" s="40">
        <f t="shared" ca="1" si="29"/>
        <v>7196666845311.3662</v>
      </c>
      <c r="F246" s="40">
        <f t="shared" ca="1" si="30"/>
        <v>2482777191585.9307</v>
      </c>
      <c r="G246" s="40">
        <f t="shared" ca="1" si="31"/>
        <v>5830350924149.165</v>
      </c>
      <c r="H246" s="40">
        <f t="shared" ca="1" si="32"/>
        <v>7196666845311.3662</v>
      </c>
      <c r="I246" s="40">
        <f t="shared" ca="1" si="33"/>
        <v>154530990181585.22</v>
      </c>
      <c r="J246" s="40">
        <f t="shared" ca="1" si="34"/>
        <v>1313507119446.1753</v>
      </c>
      <c r="K246" s="41">
        <f t="shared" ca="1" si="35"/>
        <v>117.64762283644217</v>
      </c>
    </row>
    <row r="247" spans="2:11" ht="15" customHeight="1" x14ac:dyDescent="0.35">
      <c r="B247" s="5">
        <v>226</v>
      </c>
      <c r="C247" s="39">
        <f t="shared" ca="1" si="27"/>
        <v>2.9341640138482514</v>
      </c>
      <c r="D247" s="40">
        <f t="shared" ca="1" si="28"/>
        <v>5073063936.8036566</v>
      </c>
      <c r="E247" s="40">
        <f t="shared" ca="1" si="29"/>
        <v>18252383200770.145</v>
      </c>
      <c r="F247" s="40">
        <f t="shared" ca="1" si="30"/>
        <v>1353782253223.4495</v>
      </c>
      <c r="G247" s="40">
        <f t="shared" ca="1" si="31"/>
        <v>4308838424352.3164</v>
      </c>
      <c r="H247" s="40">
        <f t="shared" ca="1" si="32"/>
        <v>1353782253223.4495</v>
      </c>
      <c r="I247" s="40">
        <f t="shared" ca="1" si="33"/>
        <v>2643228565008.4316</v>
      </c>
      <c r="J247" s="40">
        <f t="shared" ca="1" si="34"/>
        <v>1153593715425.9138</v>
      </c>
      <c r="K247" s="41">
        <f t="shared" ca="1" si="35"/>
        <v>2.2912993800703356</v>
      </c>
    </row>
    <row r="248" spans="2:11" ht="15" customHeight="1" x14ac:dyDescent="0.35">
      <c r="B248" s="5">
        <v>227</v>
      </c>
      <c r="C248" s="39">
        <f t="shared" ca="1" si="27"/>
        <v>2.8994074044315905</v>
      </c>
      <c r="D248" s="40">
        <f t="shared" ca="1" si="28"/>
        <v>3384186729.9320002</v>
      </c>
      <c r="E248" s="40">
        <f t="shared" ca="1" si="29"/>
        <v>5857868536007.0713</v>
      </c>
      <c r="F248" s="40">
        <f t="shared" ca="1" si="30"/>
        <v>9655340040578.6406</v>
      </c>
      <c r="G248" s="40">
        <f t="shared" ca="1" si="31"/>
        <v>3378444793117.4546</v>
      </c>
      <c r="H248" s="40">
        <f t="shared" ca="1" si="32"/>
        <v>9655340040578.6406</v>
      </c>
      <c r="I248" s="40">
        <f t="shared" ca="1" si="33"/>
        <v>18689119969213.43</v>
      </c>
      <c r="J248" s="40">
        <f t="shared" ca="1" si="34"/>
        <v>1627064305702.4211</v>
      </c>
      <c r="K248" s="41">
        <f t="shared" ca="1" si="35"/>
        <v>11.486405241460409</v>
      </c>
    </row>
    <row r="249" spans="2:11" ht="15" customHeight="1" x14ac:dyDescent="0.35">
      <c r="B249" s="5">
        <v>228</v>
      </c>
      <c r="C249" s="39">
        <f t="shared" ca="1" si="27"/>
        <v>3.167873179117084</v>
      </c>
      <c r="D249" s="40">
        <f t="shared" ca="1" si="28"/>
        <v>7134018486.2749453</v>
      </c>
      <c r="E249" s="40">
        <f t="shared" ca="1" si="29"/>
        <v>56143849866883.172</v>
      </c>
      <c r="F249" s="40">
        <f t="shared" ca="1" si="30"/>
        <v>729642836840.6272</v>
      </c>
      <c r="G249" s="40">
        <f t="shared" ca="1" si="31"/>
        <v>542946617396.59607</v>
      </c>
      <c r="H249" s="40">
        <f t="shared" ca="1" si="32"/>
        <v>729642836840.6272</v>
      </c>
      <c r="I249" s="40">
        <f t="shared" ca="1" si="33"/>
        <v>42082828023765.828</v>
      </c>
      <c r="J249" s="40">
        <f t="shared" ca="1" si="34"/>
        <v>528408595920.18823</v>
      </c>
      <c r="K249" s="41">
        <f t="shared" ca="1" si="35"/>
        <v>79.640695379834611</v>
      </c>
    </row>
    <row r="250" spans="2:11" ht="15" customHeight="1" x14ac:dyDescent="0.35">
      <c r="B250" s="5">
        <v>229</v>
      </c>
      <c r="C250" s="39">
        <f t="shared" ca="1" si="27"/>
        <v>2.5111308484287882</v>
      </c>
      <c r="D250" s="40">
        <f t="shared" ca="1" si="28"/>
        <v>1974614210.9310224</v>
      </c>
      <c r="E250" s="40">
        <f t="shared" ca="1" si="29"/>
        <v>3330010920277.7759</v>
      </c>
      <c r="F250" s="40">
        <f t="shared" ca="1" si="30"/>
        <v>2803370318895.376</v>
      </c>
      <c r="G250" s="40">
        <f t="shared" ca="1" si="31"/>
        <v>1543833961121.4119</v>
      </c>
      <c r="H250" s="40">
        <f t="shared" ca="1" si="32"/>
        <v>2803370318895.376</v>
      </c>
      <c r="I250" s="40">
        <f t="shared" ca="1" si="33"/>
        <v>13739783937801.25</v>
      </c>
      <c r="J250" s="40">
        <f t="shared" ca="1" si="34"/>
        <v>1133015102974.6963</v>
      </c>
      <c r="K250" s="41">
        <f t="shared" ca="1" si="35"/>
        <v>12.12674385515945</v>
      </c>
    </row>
    <row r="251" spans="2:11" ht="15" customHeight="1" x14ac:dyDescent="0.35">
      <c r="B251" s="5">
        <v>230</v>
      </c>
      <c r="C251" s="39">
        <f t="shared" ca="1" si="27"/>
        <v>3.5914975059700964</v>
      </c>
      <c r="D251" s="40">
        <f t="shared" ca="1" si="28"/>
        <v>12358715072.165369</v>
      </c>
      <c r="E251" s="40">
        <f t="shared" ca="1" si="29"/>
        <v>57954253994424.68</v>
      </c>
      <c r="F251" s="40">
        <f t="shared" ca="1" si="30"/>
        <v>6716890022737.5059</v>
      </c>
      <c r="G251" s="40">
        <f t="shared" ca="1" si="31"/>
        <v>2363624084974.416</v>
      </c>
      <c r="H251" s="40">
        <f t="shared" ca="1" si="32"/>
        <v>6716890022737.5059</v>
      </c>
      <c r="I251" s="40">
        <f t="shared" ca="1" si="33"/>
        <v>47633256287021.219</v>
      </c>
      <c r="J251" s="40">
        <f t="shared" ca="1" si="34"/>
        <v>880326767295.21875</v>
      </c>
      <c r="K251" s="41">
        <f t="shared" ca="1" si="35"/>
        <v>54.108608367519217</v>
      </c>
    </row>
    <row r="252" spans="2:11" ht="15" customHeight="1" x14ac:dyDescent="0.35">
      <c r="B252" s="5">
        <v>231</v>
      </c>
      <c r="C252" s="39">
        <f t="shared" ca="1" si="27"/>
        <v>3.6373607701275246</v>
      </c>
      <c r="D252" s="40">
        <f t="shared" ca="1" si="28"/>
        <v>11358577653.418154</v>
      </c>
      <c r="E252" s="40">
        <f t="shared" ca="1" si="29"/>
        <v>72328965226610</v>
      </c>
      <c r="F252" s="40">
        <f t="shared" ca="1" si="30"/>
        <v>3539823953528.0703</v>
      </c>
      <c r="G252" s="40">
        <f t="shared" ca="1" si="31"/>
        <v>25258526524999.629</v>
      </c>
      <c r="H252" s="40">
        <f t="shared" ca="1" si="32"/>
        <v>25258526524999.629</v>
      </c>
      <c r="I252" s="40">
        <f t="shared" ca="1" si="33"/>
        <v>2233237715955.0313</v>
      </c>
      <c r="J252" s="40">
        <f t="shared" ca="1" si="34"/>
        <v>1079998251397.7145</v>
      </c>
      <c r="K252" s="41">
        <f t="shared" ca="1" si="35"/>
        <v>2.0678160479100915</v>
      </c>
    </row>
    <row r="253" spans="2:11" ht="15" customHeight="1" x14ac:dyDescent="0.35">
      <c r="B253" s="5">
        <v>232</v>
      </c>
      <c r="C253" s="39">
        <f t="shared" ca="1" si="27"/>
        <v>3.0413992518305055</v>
      </c>
      <c r="D253" s="40">
        <f t="shared" ca="1" si="28"/>
        <v>5338202739.5761414</v>
      </c>
      <c r="E253" s="40">
        <f t="shared" ca="1" si="29"/>
        <v>14759901768425.945</v>
      </c>
      <c r="F253" s="40">
        <f t="shared" ca="1" si="30"/>
        <v>302788048653.46747</v>
      </c>
      <c r="G253" s="40">
        <f t="shared" ca="1" si="31"/>
        <v>555130186573.89526</v>
      </c>
      <c r="H253" s="40">
        <f t="shared" ca="1" si="32"/>
        <v>555130186573.89526</v>
      </c>
      <c r="I253" s="40">
        <f t="shared" ca="1" si="33"/>
        <v>5529738878603.4668</v>
      </c>
      <c r="J253" s="40">
        <f t="shared" ca="1" si="34"/>
        <v>1063358142357.9529</v>
      </c>
      <c r="K253" s="41">
        <f t="shared" ca="1" si="35"/>
        <v>5.2002600613387875</v>
      </c>
    </row>
    <row r="254" spans="2:11" ht="15" customHeight="1" x14ac:dyDescent="0.35">
      <c r="B254" s="5">
        <v>233</v>
      </c>
      <c r="C254" s="39">
        <f t="shared" ca="1" si="27"/>
        <v>2.9078823505021276</v>
      </c>
      <c r="D254" s="40">
        <f t="shared" ca="1" si="28"/>
        <v>4242000241.3124881</v>
      </c>
      <c r="E254" s="40">
        <f t="shared" ca="1" si="29"/>
        <v>6403042732961.2266</v>
      </c>
      <c r="F254" s="40">
        <f t="shared" ca="1" si="30"/>
        <v>1512963644141.2354</v>
      </c>
      <c r="G254" s="40">
        <f t="shared" ca="1" si="31"/>
        <v>13872984884357.887</v>
      </c>
      <c r="H254" s="40">
        <f t="shared" ca="1" si="32"/>
        <v>1512963644141.2354</v>
      </c>
      <c r="I254" s="40">
        <f t="shared" ca="1" si="33"/>
        <v>40485693225997.734</v>
      </c>
      <c r="J254" s="40">
        <f t="shared" ca="1" si="34"/>
        <v>597421069205.8407</v>
      </c>
      <c r="K254" s="41">
        <f t="shared" ca="1" si="35"/>
        <v>67.76743458314229</v>
      </c>
    </row>
    <row r="255" spans="2:11" ht="15" customHeight="1" x14ac:dyDescent="0.35">
      <c r="B255" s="5">
        <v>234</v>
      </c>
      <c r="C255" s="39">
        <f t="shared" ca="1" si="27"/>
        <v>4.1245984330202763</v>
      </c>
      <c r="D255" s="40">
        <f t="shared" ca="1" si="28"/>
        <v>24049288706.302208</v>
      </c>
      <c r="E255" s="40">
        <f t="shared" ca="1" si="29"/>
        <v>87839423683878.281</v>
      </c>
      <c r="F255" s="40">
        <f t="shared" ca="1" si="30"/>
        <v>6813529360652.6309</v>
      </c>
      <c r="G255" s="40">
        <f t="shared" ca="1" si="31"/>
        <v>39451770482435.508</v>
      </c>
      <c r="H255" s="40">
        <f t="shared" ca="1" si="32"/>
        <v>87839423683878.281</v>
      </c>
      <c r="I255" s="40">
        <f t="shared" ca="1" si="33"/>
        <v>2997244205362.3794</v>
      </c>
      <c r="J255" s="40">
        <f t="shared" ca="1" si="34"/>
        <v>1110293319343.3472</v>
      </c>
      <c r="K255" s="41">
        <f t="shared" ca="1" si="35"/>
        <v>2.699506655714202</v>
      </c>
    </row>
    <row r="256" spans="2:11" ht="15" customHeight="1" x14ac:dyDescent="0.35">
      <c r="B256" s="5">
        <v>235</v>
      </c>
      <c r="C256" s="39">
        <f t="shared" ca="1" si="27"/>
        <v>2.8235646461226072</v>
      </c>
      <c r="D256" s="40">
        <f t="shared" ca="1" si="28"/>
        <v>3092882145.7219934</v>
      </c>
      <c r="E256" s="40">
        <f t="shared" ca="1" si="29"/>
        <v>3765850332254.1006</v>
      </c>
      <c r="F256" s="40">
        <f t="shared" ca="1" si="30"/>
        <v>2868976652034.127</v>
      </c>
      <c r="G256" s="40">
        <f t="shared" ca="1" si="31"/>
        <v>3833484425602.3696</v>
      </c>
      <c r="H256" s="40">
        <f t="shared" ca="1" si="32"/>
        <v>3765850332254.1006</v>
      </c>
      <c r="I256" s="40">
        <f t="shared" ca="1" si="33"/>
        <v>1076418193518.7262</v>
      </c>
      <c r="J256" s="40">
        <f t="shared" ca="1" si="34"/>
        <v>826030088844.80859</v>
      </c>
      <c r="K256" s="41">
        <f t="shared" ca="1" si="35"/>
        <v>1.3031222567498502</v>
      </c>
    </row>
    <row r="257" spans="2:11" ht="15" customHeight="1" x14ac:dyDescent="0.35">
      <c r="B257" s="5">
        <v>236</v>
      </c>
      <c r="C257" s="39">
        <f t="shared" ca="1" si="27"/>
        <v>2.775015162951505</v>
      </c>
      <c r="D257" s="40">
        <f t="shared" ca="1" si="28"/>
        <v>3088532003.1400561</v>
      </c>
      <c r="E257" s="40">
        <f t="shared" ca="1" si="29"/>
        <v>25017159413842.551</v>
      </c>
      <c r="F257" s="40">
        <f t="shared" ca="1" si="30"/>
        <v>1786022924092.896</v>
      </c>
      <c r="G257" s="40">
        <f t="shared" ca="1" si="31"/>
        <v>2331283102290.0933</v>
      </c>
      <c r="H257" s="40">
        <f t="shared" ca="1" si="32"/>
        <v>2331283102290.0933</v>
      </c>
      <c r="I257" s="40">
        <f t="shared" ca="1" si="33"/>
        <v>40581944245576.453</v>
      </c>
      <c r="J257" s="40">
        <f t="shared" ca="1" si="34"/>
        <v>1519828100400.4888</v>
      </c>
      <c r="K257" s="41">
        <f t="shared" ca="1" si="35"/>
        <v>26.70166727071485</v>
      </c>
    </row>
    <row r="258" spans="2:11" ht="15" customHeight="1" x14ac:dyDescent="0.35">
      <c r="B258" s="5">
        <v>237</v>
      </c>
      <c r="C258" s="39">
        <f t="shared" ca="1" si="27"/>
        <v>3.0268148952971972</v>
      </c>
      <c r="D258" s="40">
        <f t="shared" ca="1" si="28"/>
        <v>5627927693.0096741</v>
      </c>
      <c r="E258" s="40">
        <f t="shared" ca="1" si="29"/>
        <v>13020736806075.76</v>
      </c>
      <c r="F258" s="40">
        <f t="shared" ca="1" si="30"/>
        <v>1706992047721.3799</v>
      </c>
      <c r="G258" s="40">
        <f t="shared" ca="1" si="31"/>
        <v>3572757884754.9199</v>
      </c>
      <c r="H258" s="40">
        <f t="shared" ca="1" si="32"/>
        <v>13020736806075.76</v>
      </c>
      <c r="I258" s="40">
        <f t="shared" ca="1" si="33"/>
        <v>35649337516639.25</v>
      </c>
      <c r="J258" s="40">
        <f t="shared" ca="1" si="34"/>
        <v>762266819240.77576</v>
      </c>
      <c r="K258" s="41">
        <f t="shared" ca="1" si="35"/>
        <v>46.767531547741108</v>
      </c>
    </row>
    <row r="259" spans="2:11" ht="15" customHeight="1" x14ac:dyDescent="0.35">
      <c r="B259" s="5">
        <v>238</v>
      </c>
      <c r="C259" s="39">
        <f t="shared" ca="1" si="27"/>
        <v>3.9586761494073164</v>
      </c>
      <c r="D259" s="40">
        <f t="shared" ca="1" si="28"/>
        <v>22942489535.243149</v>
      </c>
      <c r="E259" s="40">
        <f t="shared" ca="1" si="29"/>
        <v>158537813411710.69</v>
      </c>
      <c r="F259" s="40">
        <f t="shared" ca="1" si="30"/>
        <v>9808675979142.6426</v>
      </c>
      <c r="G259" s="40">
        <f t="shared" ca="1" si="31"/>
        <v>3521051732228.9492</v>
      </c>
      <c r="H259" s="40">
        <f t="shared" ca="1" si="32"/>
        <v>9808675979142.6426</v>
      </c>
      <c r="I259" s="40">
        <f t="shared" ca="1" si="33"/>
        <v>5405113223984.1309</v>
      </c>
      <c r="J259" s="40">
        <f t="shared" ca="1" si="34"/>
        <v>573128635878.18408</v>
      </c>
      <c r="K259" s="41">
        <f t="shared" ca="1" si="35"/>
        <v>9.4308901800065765</v>
      </c>
    </row>
    <row r="260" spans="2:11" ht="15" customHeight="1" x14ac:dyDescent="0.35">
      <c r="B260" s="5">
        <v>239</v>
      </c>
      <c r="C260" s="39">
        <f t="shared" ca="1" si="27"/>
        <v>2.3597977729720174</v>
      </c>
      <c r="D260" s="40">
        <f t="shared" ca="1" si="28"/>
        <v>1330624806.421385</v>
      </c>
      <c r="E260" s="40">
        <f t="shared" ca="1" si="29"/>
        <v>13458728061235.318</v>
      </c>
      <c r="F260" s="40">
        <f t="shared" ca="1" si="30"/>
        <v>1011554286016.9928</v>
      </c>
      <c r="G260" s="40">
        <f t="shared" ca="1" si="31"/>
        <v>4097244123565.5488</v>
      </c>
      <c r="H260" s="40">
        <f t="shared" ca="1" si="32"/>
        <v>4097244123565.5488</v>
      </c>
      <c r="I260" s="40">
        <f t="shared" ca="1" si="33"/>
        <v>2681624890905.4336</v>
      </c>
      <c r="J260" s="40">
        <f t="shared" ca="1" si="34"/>
        <v>1515124919980.593</v>
      </c>
      <c r="K260" s="41">
        <f t="shared" ca="1" si="35"/>
        <v>1.7699034947823193</v>
      </c>
    </row>
    <row r="261" spans="2:11" ht="15" customHeight="1" x14ac:dyDescent="0.35">
      <c r="B261" s="5">
        <v>240</v>
      </c>
      <c r="C261" s="39">
        <f t="shared" ca="1" si="27"/>
        <v>2.9429907124456234</v>
      </c>
      <c r="D261" s="40">
        <f t="shared" ca="1" si="28"/>
        <v>5252384775.7800789</v>
      </c>
      <c r="E261" s="40">
        <f t="shared" ca="1" si="29"/>
        <v>2289739359344.1987</v>
      </c>
      <c r="F261" s="40">
        <f t="shared" ca="1" si="30"/>
        <v>9448881627005</v>
      </c>
      <c r="G261" s="40">
        <f t="shared" ca="1" si="31"/>
        <v>8496520716210.3008</v>
      </c>
      <c r="H261" s="40">
        <f t="shared" ca="1" si="32"/>
        <v>8496520716210.3008</v>
      </c>
      <c r="I261" s="40">
        <f t="shared" ca="1" si="33"/>
        <v>5374401593704.1299</v>
      </c>
      <c r="J261" s="40">
        <f t="shared" ca="1" si="34"/>
        <v>651959851218.00037</v>
      </c>
      <c r="K261" s="41">
        <f t="shared" ca="1" si="35"/>
        <v>8.2434548441343409</v>
      </c>
    </row>
    <row r="262" spans="2:11" ht="15" customHeight="1" x14ac:dyDescent="0.35">
      <c r="B262" s="5">
        <v>241</v>
      </c>
      <c r="C262" s="39">
        <f t="shared" ca="1" si="27"/>
        <v>2.8556937523249672</v>
      </c>
      <c r="D262" s="40">
        <f t="shared" ca="1" si="28"/>
        <v>4161975881.117506</v>
      </c>
      <c r="E262" s="40">
        <f t="shared" ca="1" si="29"/>
        <v>52746551038449.289</v>
      </c>
      <c r="F262" s="40">
        <f t="shared" ca="1" si="30"/>
        <v>2019273376472.7388</v>
      </c>
      <c r="G262" s="40">
        <f t="shared" ca="1" si="31"/>
        <v>3244340082019.1445</v>
      </c>
      <c r="H262" s="40">
        <f t="shared" ca="1" si="32"/>
        <v>2019273376472.7388</v>
      </c>
      <c r="I262" s="40">
        <f t="shared" ca="1" si="33"/>
        <v>758019164903.37134</v>
      </c>
      <c r="J262" s="40">
        <f t="shared" ca="1" si="34"/>
        <v>1325602154105.8464</v>
      </c>
      <c r="K262" s="41">
        <f t="shared" ca="1" si="35"/>
        <v>0.57183006421310112</v>
      </c>
    </row>
    <row r="263" spans="2:11" ht="15" customHeight="1" x14ac:dyDescent="0.35">
      <c r="B263" s="5">
        <v>242</v>
      </c>
      <c r="C263" s="39">
        <f t="shared" ca="1" si="27"/>
        <v>2.861502733315668</v>
      </c>
      <c r="D263" s="40">
        <f t="shared" ca="1" si="28"/>
        <v>3485459659.3012414</v>
      </c>
      <c r="E263" s="40">
        <f t="shared" ca="1" si="29"/>
        <v>21540132255627.641</v>
      </c>
      <c r="F263" s="40">
        <f t="shared" ca="1" si="30"/>
        <v>3193932122285.5264</v>
      </c>
      <c r="G263" s="40">
        <f t="shared" ca="1" si="31"/>
        <v>4749799480032.5469</v>
      </c>
      <c r="H263" s="40">
        <f t="shared" ca="1" si="32"/>
        <v>3193932122285.5264</v>
      </c>
      <c r="I263" s="40">
        <f t="shared" ca="1" si="33"/>
        <v>34285696026657.254</v>
      </c>
      <c r="J263" s="40">
        <f t="shared" ca="1" si="34"/>
        <v>1381168546081.4519</v>
      </c>
      <c r="K263" s="41">
        <f t="shared" ca="1" si="35"/>
        <v>24.823687249416494</v>
      </c>
    </row>
    <row r="264" spans="2:11" ht="15" customHeight="1" x14ac:dyDescent="0.35">
      <c r="B264" s="5">
        <v>243</v>
      </c>
      <c r="C264" s="39">
        <f t="shared" ca="1" si="27"/>
        <v>2.8177760981775255</v>
      </c>
      <c r="D264" s="40">
        <f t="shared" ca="1" si="28"/>
        <v>4009596868.518249</v>
      </c>
      <c r="E264" s="40">
        <f t="shared" ca="1" si="29"/>
        <v>11144043727564.695</v>
      </c>
      <c r="F264" s="40">
        <f t="shared" ca="1" si="30"/>
        <v>5587921636321.0908</v>
      </c>
      <c r="G264" s="40">
        <f t="shared" ca="1" si="31"/>
        <v>46217349635384.875</v>
      </c>
      <c r="H264" s="40">
        <f t="shared" ca="1" si="32"/>
        <v>5587921636321.0908</v>
      </c>
      <c r="I264" s="40">
        <f t="shared" ca="1" si="33"/>
        <v>46717361933710.867</v>
      </c>
      <c r="J264" s="40">
        <f t="shared" ca="1" si="34"/>
        <v>692933928128.75159</v>
      </c>
      <c r="K264" s="41">
        <f t="shared" ca="1" si="35"/>
        <v>67.419648594592246</v>
      </c>
    </row>
    <row r="265" spans="2:11" ht="15" customHeight="1" x14ac:dyDescent="0.35">
      <c r="B265" s="5">
        <v>244</v>
      </c>
      <c r="C265" s="39">
        <f t="shared" ca="1" si="27"/>
        <v>3.252833315978835</v>
      </c>
      <c r="D265" s="40">
        <f t="shared" ca="1" si="28"/>
        <v>7693649468.8491068</v>
      </c>
      <c r="E265" s="40">
        <f t="shared" ca="1" si="29"/>
        <v>9984590800024.1348</v>
      </c>
      <c r="F265" s="40">
        <f t="shared" ca="1" si="30"/>
        <v>1603101290689.8198</v>
      </c>
      <c r="G265" s="40">
        <f t="shared" ca="1" si="31"/>
        <v>5441528946385.4736</v>
      </c>
      <c r="H265" s="40">
        <f t="shared" ca="1" si="32"/>
        <v>9984590800024.1348</v>
      </c>
      <c r="I265" s="40">
        <f t="shared" ca="1" si="33"/>
        <v>888095037279.81543</v>
      </c>
      <c r="J265" s="40">
        <f t="shared" ca="1" si="34"/>
        <v>1269648314102.2798</v>
      </c>
      <c r="K265" s="41">
        <f t="shared" ca="1" si="35"/>
        <v>0.69948112986528377</v>
      </c>
    </row>
    <row r="266" spans="2:11" ht="15" customHeight="1" x14ac:dyDescent="0.35">
      <c r="B266" s="5">
        <v>245</v>
      </c>
      <c r="C266" s="39">
        <f t="shared" ca="1" si="27"/>
        <v>2.7741965732569098</v>
      </c>
      <c r="D266" s="40">
        <f t="shared" ca="1" si="28"/>
        <v>2970967418.7680221</v>
      </c>
      <c r="E266" s="40">
        <f t="shared" ca="1" si="29"/>
        <v>55496167873610.227</v>
      </c>
      <c r="F266" s="40">
        <f t="shared" ca="1" si="30"/>
        <v>1651587500998.6714</v>
      </c>
      <c r="G266" s="40">
        <f t="shared" ca="1" si="31"/>
        <v>4967019905751.499</v>
      </c>
      <c r="H266" s="40">
        <f t="shared" ca="1" si="32"/>
        <v>1651587500998.6714</v>
      </c>
      <c r="I266" s="40">
        <f t="shared" ca="1" si="33"/>
        <v>34423879962225.973</v>
      </c>
      <c r="J266" s="40">
        <f t="shared" ca="1" si="34"/>
        <v>1534136250944.1563</v>
      </c>
      <c r="K266" s="41">
        <f t="shared" ca="1" si="35"/>
        <v>22.438606702006044</v>
      </c>
    </row>
    <row r="267" spans="2:11" ht="15" customHeight="1" x14ac:dyDescent="0.35">
      <c r="B267" s="5">
        <v>246</v>
      </c>
      <c r="C267" s="39">
        <f t="shared" ca="1" si="27"/>
        <v>2.6852482831239155</v>
      </c>
      <c r="D267" s="40">
        <f t="shared" ca="1" si="28"/>
        <v>2486483223.3498497</v>
      </c>
      <c r="E267" s="40">
        <f t="shared" ca="1" si="29"/>
        <v>22234821261217.406</v>
      </c>
      <c r="F267" s="40">
        <f t="shared" ca="1" si="30"/>
        <v>331221711357.86255</v>
      </c>
      <c r="G267" s="40">
        <f t="shared" ca="1" si="31"/>
        <v>2444340424678.6816</v>
      </c>
      <c r="H267" s="40">
        <f t="shared" ca="1" si="32"/>
        <v>22234821261217.406</v>
      </c>
      <c r="I267" s="40">
        <f t="shared" ca="1" si="33"/>
        <v>3657243712722.8428</v>
      </c>
      <c r="J267" s="40">
        <f t="shared" ca="1" si="34"/>
        <v>1148548372024.5073</v>
      </c>
      <c r="K267" s="41">
        <f t="shared" ca="1" si="35"/>
        <v>3.1842313321783244</v>
      </c>
    </row>
    <row r="268" spans="2:11" ht="15" customHeight="1" x14ac:dyDescent="0.35">
      <c r="B268" s="5">
        <v>247</v>
      </c>
      <c r="C268" s="39">
        <f t="shared" ca="1" si="27"/>
        <v>3.405677836157746</v>
      </c>
      <c r="D268" s="40">
        <f t="shared" ca="1" si="28"/>
        <v>9683567229.1282921</v>
      </c>
      <c r="E268" s="40">
        <f t="shared" ca="1" si="29"/>
        <v>41650343694186.719</v>
      </c>
      <c r="F268" s="40">
        <f t="shared" ca="1" si="30"/>
        <v>2074717152036.1489</v>
      </c>
      <c r="G268" s="40">
        <f t="shared" ca="1" si="31"/>
        <v>1490599282100.4104</v>
      </c>
      <c r="H268" s="40">
        <f t="shared" ca="1" si="32"/>
        <v>2074717152036.1489</v>
      </c>
      <c r="I268" s="40">
        <f t="shared" ca="1" si="33"/>
        <v>3780141403951.7329</v>
      </c>
      <c r="J268" s="40">
        <f t="shared" ca="1" si="34"/>
        <v>839854672524.02637</v>
      </c>
      <c r="K268" s="41">
        <f t="shared" ca="1" si="35"/>
        <v>4.5009470419343192</v>
      </c>
    </row>
    <row r="269" spans="2:11" ht="15" customHeight="1" x14ac:dyDescent="0.35">
      <c r="B269" s="5">
        <v>248</v>
      </c>
      <c r="C269" s="39">
        <f t="shared" ca="1" si="27"/>
        <v>2.6631715679053145</v>
      </c>
      <c r="D269" s="40">
        <f t="shared" ca="1" si="28"/>
        <v>2933165498.6901541</v>
      </c>
      <c r="E269" s="40">
        <f t="shared" ca="1" si="29"/>
        <v>30247417808709.328</v>
      </c>
      <c r="F269" s="40">
        <f t="shared" ca="1" si="30"/>
        <v>10268644468077.801</v>
      </c>
      <c r="G269" s="40">
        <f t="shared" ca="1" si="31"/>
        <v>5986011387889.7617</v>
      </c>
      <c r="H269" s="40">
        <f t="shared" ca="1" si="32"/>
        <v>5986011387889.7617</v>
      </c>
      <c r="I269" s="40">
        <f t="shared" ca="1" si="33"/>
        <v>23061834102511.504</v>
      </c>
      <c r="J269" s="40">
        <f t="shared" ca="1" si="34"/>
        <v>1360101658773.97</v>
      </c>
      <c r="K269" s="41">
        <f t="shared" ca="1" si="35"/>
        <v>16.955963514741995</v>
      </c>
    </row>
    <row r="270" spans="2:11" ht="15" customHeight="1" x14ac:dyDescent="0.35">
      <c r="B270" s="5">
        <v>249</v>
      </c>
      <c r="C270" s="39">
        <f t="shared" ca="1" si="27"/>
        <v>2.6476395116463727</v>
      </c>
      <c r="D270" s="40">
        <f t="shared" ca="1" si="28"/>
        <v>2976451866.0989141</v>
      </c>
      <c r="E270" s="40">
        <f t="shared" ca="1" si="29"/>
        <v>10761523100231.109</v>
      </c>
      <c r="F270" s="40">
        <f t="shared" ca="1" si="30"/>
        <v>2690400441161.4478</v>
      </c>
      <c r="G270" s="40">
        <f t="shared" ca="1" si="31"/>
        <v>717906933635.49988</v>
      </c>
      <c r="H270" s="40">
        <f t="shared" ca="1" si="32"/>
        <v>717906933635.49988</v>
      </c>
      <c r="I270" s="40">
        <f t="shared" ca="1" si="33"/>
        <v>27339349588857.387</v>
      </c>
      <c r="J270" s="40">
        <f t="shared" ca="1" si="34"/>
        <v>1275854944196.2944</v>
      </c>
      <c r="K270" s="41">
        <f t="shared" ca="1" si="35"/>
        <v>21.428258528307385</v>
      </c>
    </row>
    <row r="271" spans="2:11" ht="15" customHeight="1" x14ac:dyDescent="0.35">
      <c r="B271" s="5">
        <v>250</v>
      </c>
      <c r="C271" s="39">
        <f t="shared" ca="1" si="27"/>
        <v>2.9637025100770287</v>
      </c>
      <c r="D271" s="40">
        <f t="shared" ca="1" si="28"/>
        <v>4410883603.1192493</v>
      </c>
      <c r="E271" s="40">
        <f t="shared" ca="1" si="29"/>
        <v>14408841025349.242</v>
      </c>
      <c r="F271" s="40">
        <f t="shared" ca="1" si="30"/>
        <v>1874377252881.946</v>
      </c>
      <c r="G271" s="40">
        <f t="shared" ca="1" si="31"/>
        <v>5882703430359.915</v>
      </c>
      <c r="H271" s="40">
        <f t="shared" ca="1" si="32"/>
        <v>14408841025349.242</v>
      </c>
      <c r="I271" s="40">
        <f t="shared" ca="1" si="33"/>
        <v>14932228656445.838</v>
      </c>
      <c r="J271" s="40">
        <f t="shared" ca="1" si="34"/>
        <v>1405017266240.1133</v>
      </c>
      <c r="K271" s="41">
        <f t="shared" ca="1" si="35"/>
        <v>10.62779014552976</v>
      </c>
    </row>
    <row r="272" spans="2:11" ht="15" customHeight="1" x14ac:dyDescent="0.35">
      <c r="B272" s="5">
        <v>251</v>
      </c>
      <c r="C272" s="39">
        <f t="shared" ca="1" si="27"/>
        <v>2.597814522296864</v>
      </c>
      <c r="D272" s="40">
        <f t="shared" ca="1" si="28"/>
        <v>2164091177.4736524</v>
      </c>
      <c r="E272" s="40">
        <f t="shared" ca="1" si="29"/>
        <v>21190408233436.285</v>
      </c>
      <c r="F272" s="40">
        <f t="shared" ca="1" si="30"/>
        <v>2168420441114.1172</v>
      </c>
      <c r="G272" s="40">
        <f t="shared" ca="1" si="31"/>
        <v>2208267403525.5933</v>
      </c>
      <c r="H272" s="40">
        <f t="shared" ca="1" si="32"/>
        <v>21190408233436.285</v>
      </c>
      <c r="I272" s="40">
        <f t="shared" ca="1" si="33"/>
        <v>4066189894356.7129</v>
      </c>
      <c r="J272" s="40">
        <f t="shared" ca="1" si="34"/>
        <v>1377139399789.6497</v>
      </c>
      <c r="K272" s="41">
        <f t="shared" ca="1" si="35"/>
        <v>2.9526349293163792</v>
      </c>
    </row>
    <row r="273" spans="2:11" ht="15" customHeight="1" x14ac:dyDescent="0.35">
      <c r="B273" s="5">
        <v>252</v>
      </c>
      <c r="C273" s="39">
        <f t="shared" ca="1" si="27"/>
        <v>2.8971030662453754</v>
      </c>
      <c r="D273" s="40">
        <f t="shared" ca="1" si="28"/>
        <v>4527457002.6573057</v>
      </c>
      <c r="E273" s="40">
        <f t="shared" ca="1" si="29"/>
        <v>3060344997417.8369</v>
      </c>
      <c r="F273" s="40">
        <f t="shared" ca="1" si="30"/>
        <v>444245639667.3158</v>
      </c>
      <c r="G273" s="40">
        <f t="shared" ca="1" si="31"/>
        <v>3575107085494.167</v>
      </c>
      <c r="H273" s="40">
        <f t="shared" ca="1" si="32"/>
        <v>444245639667.3158</v>
      </c>
      <c r="I273" s="40">
        <f t="shared" ca="1" si="33"/>
        <v>3730398027220.4404</v>
      </c>
      <c r="J273" s="40">
        <f t="shared" ca="1" si="34"/>
        <v>1381961549740.4038</v>
      </c>
      <c r="K273" s="41">
        <f t="shared" ca="1" si="35"/>
        <v>2.6993500853342711</v>
      </c>
    </row>
    <row r="274" spans="2:11" ht="15" customHeight="1" x14ac:dyDescent="0.35">
      <c r="B274" s="5">
        <v>253</v>
      </c>
      <c r="C274" s="39">
        <f t="shared" ca="1" si="27"/>
        <v>2.5040176282209816</v>
      </c>
      <c r="D274" s="40">
        <f t="shared" ca="1" si="28"/>
        <v>1660853280.5815325</v>
      </c>
      <c r="E274" s="40">
        <f t="shared" ca="1" si="29"/>
        <v>6498807563122.2188</v>
      </c>
      <c r="F274" s="40">
        <f t="shared" ca="1" si="30"/>
        <v>2298509916999.5923</v>
      </c>
      <c r="G274" s="40">
        <f t="shared" ca="1" si="31"/>
        <v>22075135288386.172</v>
      </c>
      <c r="H274" s="40">
        <f t="shared" ca="1" si="32"/>
        <v>22075135288386.172</v>
      </c>
      <c r="I274" s="40">
        <f t="shared" ca="1" si="33"/>
        <v>36109966157243.195</v>
      </c>
      <c r="J274" s="40">
        <f t="shared" ca="1" si="34"/>
        <v>862882521206.38721</v>
      </c>
      <c r="K274" s="41">
        <f t="shared" ca="1" si="35"/>
        <v>41.848067691483912</v>
      </c>
    </row>
    <row r="275" spans="2:11" ht="15" customHeight="1" x14ac:dyDescent="0.35">
      <c r="B275" s="5">
        <v>254</v>
      </c>
      <c r="C275" s="39">
        <f t="shared" ca="1" si="27"/>
        <v>3.101543476470082</v>
      </c>
      <c r="D275" s="40">
        <f t="shared" ca="1" si="28"/>
        <v>6310632447.6839466</v>
      </c>
      <c r="E275" s="40">
        <f t="shared" ca="1" si="29"/>
        <v>55013426557779.578</v>
      </c>
      <c r="F275" s="40">
        <f t="shared" ca="1" si="30"/>
        <v>2048562893875.3826</v>
      </c>
      <c r="G275" s="40">
        <f t="shared" ca="1" si="31"/>
        <v>711271619592.6582</v>
      </c>
      <c r="H275" s="40">
        <f t="shared" ca="1" si="32"/>
        <v>711271619592.6582</v>
      </c>
      <c r="I275" s="40">
        <f t="shared" ca="1" si="33"/>
        <v>1428332216638.3782</v>
      </c>
      <c r="J275" s="40">
        <f t="shared" ca="1" si="34"/>
        <v>1257518075850.4263</v>
      </c>
      <c r="K275" s="41">
        <f t="shared" ca="1" si="35"/>
        <v>1.1358343423194412</v>
      </c>
    </row>
    <row r="276" spans="2:11" ht="15" customHeight="1" x14ac:dyDescent="0.35">
      <c r="B276" s="5">
        <v>255</v>
      </c>
      <c r="C276" s="39">
        <f t="shared" ca="1" si="27"/>
        <v>2.6835656909010401</v>
      </c>
      <c r="D276" s="40">
        <f t="shared" ca="1" si="28"/>
        <v>2808187902.5452437</v>
      </c>
      <c r="E276" s="40">
        <f t="shared" ca="1" si="29"/>
        <v>20675252192860.688</v>
      </c>
      <c r="F276" s="40">
        <f t="shared" ca="1" si="30"/>
        <v>2061620356559.0283</v>
      </c>
      <c r="G276" s="40">
        <f t="shared" ca="1" si="31"/>
        <v>7069297748383.0664</v>
      </c>
      <c r="H276" s="40">
        <f t="shared" ca="1" si="32"/>
        <v>20675252192860.688</v>
      </c>
      <c r="I276" s="40">
        <f t="shared" ca="1" si="33"/>
        <v>1206093125658.0251</v>
      </c>
      <c r="J276" s="40">
        <f t="shared" ca="1" si="34"/>
        <v>1008283544021.8727</v>
      </c>
      <c r="K276" s="41">
        <f t="shared" ca="1" si="35"/>
        <v>1.1961844788690328</v>
      </c>
    </row>
    <row r="277" spans="2:11" ht="15" customHeight="1" x14ac:dyDescent="0.35">
      <c r="B277" s="5">
        <v>256</v>
      </c>
      <c r="C277" s="39">
        <f t="shared" ca="1" si="27"/>
        <v>3.4037205349178206</v>
      </c>
      <c r="D277" s="40">
        <f t="shared" ca="1" si="28"/>
        <v>10777483450.685095</v>
      </c>
      <c r="E277" s="40">
        <f t="shared" ca="1" si="29"/>
        <v>23642248350266.203</v>
      </c>
      <c r="F277" s="40">
        <f t="shared" ca="1" si="30"/>
        <v>9782309564255.4824</v>
      </c>
      <c r="G277" s="40">
        <f t="shared" ca="1" si="31"/>
        <v>1069081845914.4335</v>
      </c>
      <c r="H277" s="40">
        <f t="shared" ca="1" si="32"/>
        <v>1069081845914.4335</v>
      </c>
      <c r="I277" s="40">
        <f t="shared" ca="1" si="33"/>
        <v>7225071262477.2119</v>
      </c>
      <c r="J277" s="40">
        <f t="shared" ca="1" si="34"/>
        <v>973345034588.67896</v>
      </c>
      <c r="K277" s="41">
        <f t="shared" ca="1" si="35"/>
        <v>7.4229291831035216</v>
      </c>
    </row>
    <row r="278" spans="2:11" ht="15" customHeight="1" x14ac:dyDescent="0.35">
      <c r="B278" s="5">
        <v>257</v>
      </c>
      <c r="C278" s="39">
        <f t="shared" ref="C278:C341" ca="1" si="36">MEDIAN(1.8,NORMINV(RAND(),$C$7,$D$7),4.5)</f>
        <v>3.3233773893533813</v>
      </c>
      <c r="D278" s="40">
        <f t="shared" ref="D278:D341" ca="1" si="37">($C$8+RAND()*($D$8-$C$8))*C278^5</f>
        <v>9676002829.5351353</v>
      </c>
      <c r="E278" s="40">
        <f t="shared" ref="E278:E341" ca="1" si="38">D278*($C$10+RAND()*($D$10-$C$10))*EXP(NORMINV(RAND(),$C$9,$D$9))*($C$11+RAND()*($D$11-$C$11))</f>
        <v>18213620135990.945</v>
      </c>
      <c r="F278" s="40">
        <f t="shared" ref="F278:F341" ca="1" si="39">EXP(NORMINV(RAND(),$C$12,$D$12))*EXP(NORMINV(RAND(),$C$13,$D$13))</f>
        <v>762270791316.60693</v>
      </c>
      <c r="G278" s="40">
        <f t="shared" ref="G278:G341" ca="1" si="40">EXP(NORMINV(RAND(),$C$14,$D$14))*($C$15+RAND()*($D$15-$C$15))*EXP(NORMINV(RAND(),$C$16,$D$16))/1000000*31536000</f>
        <v>1726969007984.2046</v>
      </c>
      <c r="H278" s="40">
        <f t="shared" ref="H278:H341" ca="1" si="41">CHOOSE(RANDBETWEEN(1,3),E278,F278,G278)</f>
        <v>18213620135990.945</v>
      </c>
      <c r="I278" s="40">
        <f t="shared" ref="I278:I341" ca="1" si="42">EXP(NORMINV(RAND(),$C$14,$D$14))*($C$15+RAND()*($D$15-$C$15))*60</f>
        <v>2641988700192.8599</v>
      </c>
      <c r="J278" s="40">
        <f t="shared" ref="J278:J341" ca="1" si="43">($C$17+RAND()*($D$17-$C$17))*($C$18+RAND()*($D$18-$C$18))</f>
        <v>1117502451148.4961</v>
      </c>
      <c r="K278" s="41">
        <f t="shared" ref="K278:K341" ca="1" si="44">I278/J278</f>
        <v>2.3641905192043171</v>
      </c>
    </row>
    <row r="279" spans="2:11" ht="15" customHeight="1" x14ac:dyDescent="0.35">
      <c r="B279" s="5">
        <v>258</v>
      </c>
      <c r="C279" s="39">
        <f t="shared" ca="1" si="36"/>
        <v>2.5085367445519235</v>
      </c>
      <c r="D279" s="40">
        <f t="shared" ca="1" si="37"/>
        <v>1745935931.7789021</v>
      </c>
      <c r="E279" s="40">
        <f t="shared" ca="1" si="38"/>
        <v>4773034521336.8525</v>
      </c>
      <c r="F279" s="40">
        <f t="shared" ca="1" si="39"/>
        <v>590898966739.33716</v>
      </c>
      <c r="G279" s="40">
        <f t="shared" ca="1" si="40"/>
        <v>3008372356701.3413</v>
      </c>
      <c r="H279" s="40">
        <f t="shared" ca="1" si="41"/>
        <v>3008372356701.3413</v>
      </c>
      <c r="I279" s="40">
        <f t="shared" ca="1" si="42"/>
        <v>701085085546.96936</v>
      </c>
      <c r="J279" s="40">
        <f t="shared" ca="1" si="43"/>
        <v>1189673213119.8252</v>
      </c>
      <c r="K279" s="41">
        <f t="shared" ca="1" si="44"/>
        <v>0.58930896133100985</v>
      </c>
    </row>
    <row r="280" spans="2:11" ht="15" customHeight="1" x14ac:dyDescent="0.35">
      <c r="B280" s="5">
        <v>259</v>
      </c>
      <c r="C280" s="39">
        <f t="shared" ca="1" si="36"/>
        <v>3.8668384311595054</v>
      </c>
      <c r="D280" s="40">
        <f t="shared" ca="1" si="37"/>
        <v>20458061388.379662</v>
      </c>
      <c r="E280" s="40">
        <f t="shared" ca="1" si="38"/>
        <v>72901173640230.047</v>
      </c>
      <c r="F280" s="40">
        <f t="shared" ca="1" si="39"/>
        <v>1591702646101.2183</v>
      </c>
      <c r="G280" s="40">
        <f t="shared" ca="1" si="40"/>
        <v>44993936348821.266</v>
      </c>
      <c r="H280" s="40">
        <f t="shared" ca="1" si="41"/>
        <v>72901173640230.047</v>
      </c>
      <c r="I280" s="40">
        <f t="shared" ca="1" si="42"/>
        <v>428451616188.54858</v>
      </c>
      <c r="J280" s="40">
        <f t="shared" ca="1" si="43"/>
        <v>1028436545531.2382</v>
      </c>
      <c r="K280" s="41">
        <f t="shared" ca="1" si="44"/>
        <v>0.4166048144149061</v>
      </c>
    </row>
    <row r="281" spans="2:11" ht="15" customHeight="1" x14ac:dyDescent="0.35">
      <c r="B281" s="5">
        <v>260</v>
      </c>
      <c r="C281" s="39">
        <f t="shared" ca="1" si="36"/>
        <v>3.1345700532999814</v>
      </c>
      <c r="D281" s="40">
        <f t="shared" ca="1" si="37"/>
        <v>6995865478.8961334</v>
      </c>
      <c r="E281" s="40">
        <f t="shared" ca="1" si="38"/>
        <v>15697169429212.031</v>
      </c>
      <c r="F281" s="40">
        <f t="shared" ca="1" si="39"/>
        <v>2753163633411.1504</v>
      </c>
      <c r="G281" s="40">
        <f t="shared" ca="1" si="40"/>
        <v>13102132875402.5</v>
      </c>
      <c r="H281" s="40">
        <f t="shared" ca="1" si="41"/>
        <v>15697169429212.031</v>
      </c>
      <c r="I281" s="40">
        <f t="shared" ca="1" si="42"/>
        <v>14833047967426.986</v>
      </c>
      <c r="J281" s="40">
        <f t="shared" ca="1" si="43"/>
        <v>981563355622.05798</v>
      </c>
      <c r="K281" s="41">
        <f t="shared" ca="1" si="44"/>
        <v>15.111656198724594</v>
      </c>
    </row>
    <row r="282" spans="2:11" ht="15" customHeight="1" x14ac:dyDescent="0.35">
      <c r="B282" s="5">
        <v>261</v>
      </c>
      <c r="C282" s="39">
        <f t="shared" ca="1" si="36"/>
        <v>3.2184133037408937</v>
      </c>
      <c r="D282" s="40">
        <f t="shared" ca="1" si="37"/>
        <v>5819470149.5152264</v>
      </c>
      <c r="E282" s="40">
        <f t="shared" ca="1" si="38"/>
        <v>17125804206925.549</v>
      </c>
      <c r="F282" s="40">
        <f t="shared" ca="1" si="39"/>
        <v>6720825431493.8799</v>
      </c>
      <c r="G282" s="40">
        <f t="shared" ca="1" si="40"/>
        <v>3565071951365.1396</v>
      </c>
      <c r="H282" s="40">
        <f t="shared" ca="1" si="41"/>
        <v>6720825431493.8799</v>
      </c>
      <c r="I282" s="40">
        <f t="shared" ca="1" si="42"/>
        <v>6688458369973.1035</v>
      </c>
      <c r="J282" s="40">
        <f t="shared" ca="1" si="43"/>
        <v>1643908004849.6309</v>
      </c>
      <c r="K282" s="41">
        <f t="shared" ca="1" si="44"/>
        <v>4.0686330075902877</v>
      </c>
    </row>
    <row r="283" spans="2:11" ht="15" customHeight="1" x14ac:dyDescent="0.35">
      <c r="B283" s="5">
        <v>262</v>
      </c>
      <c r="C283" s="39">
        <f t="shared" ca="1" si="36"/>
        <v>3.6379584158284652</v>
      </c>
      <c r="D283" s="40">
        <f t="shared" ca="1" si="37"/>
        <v>10841728213.909554</v>
      </c>
      <c r="E283" s="40">
        <f t="shared" ca="1" si="38"/>
        <v>30724244009205.191</v>
      </c>
      <c r="F283" s="40">
        <f t="shared" ca="1" si="39"/>
        <v>3936830001338.4316</v>
      </c>
      <c r="G283" s="40">
        <f t="shared" ca="1" si="40"/>
        <v>2473705016266.1899</v>
      </c>
      <c r="H283" s="40">
        <f t="shared" ca="1" si="41"/>
        <v>2473705016266.1899</v>
      </c>
      <c r="I283" s="40">
        <f t="shared" ca="1" si="42"/>
        <v>11568727253503.23</v>
      </c>
      <c r="J283" s="40">
        <f t="shared" ca="1" si="43"/>
        <v>931608094201.96606</v>
      </c>
      <c r="K283" s="41">
        <f t="shared" ca="1" si="44"/>
        <v>12.418019256706041</v>
      </c>
    </row>
    <row r="284" spans="2:11" ht="15" customHeight="1" x14ac:dyDescent="0.35">
      <c r="B284" s="5">
        <v>263</v>
      </c>
      <c r="C284" s="39">
        <f t="shared" ca="1" si="36"/>
        <v>2.9849054933332946</v>
      </c>
      <c r="D284" s="40">
        <f t="shared" ca="1" si="37"/>
        <v>5315150955.6821022</v>
      </c>
      <c r="E284" s="40">
        <f t="shared" ca="1" si="38"/>
        <v>27939252059937.699</v>
      </c>
      <c r="F284" s="40">
        <f t="shared" ca="1" si="39"/>
        <v>1570298373060.7136</v>
      </c>
      <c r="G284" s="40">
        <f t="shared" ca="1" si="40"/>
        <v>868567771613.31042</v>
      </c>
      <c r="H284" s="40">
        <f t="shared" ca="1" si="41"/>
        <v>27939252059937.699</v>
      </c>
      <c r="I284" s="40">
        <f t="shared" ca="1" si="42"/>
        <v>1723628448383.335</v>
      </c>
      <c r="J284" s="40">
        <f t="shared" ca="1" si="43"/>
        <v>868089845089.09985</v>
      </c>
      <c r="K284" s="41">
        <f t="shared" ca="1" si="44"/>
        <v>1.9855415405837671</v>
      </c>
    </row>
    <row r="285" spans="2:11" ht="15" customHeight="1" x14ac:dyDescent="0.35">
      <c r="B285" s="5">
        <v>264</v>
      </c>
      <c r="C285" s="39">
        <f t="shared" ca="1" si="36"/>
        <v>2.6334544062020475</v>
      </c>
      <c r="D285" s="40">
        <f t="shared" ca="1" si="37"/>
        <v>2736009725.0769391</v>
      </c>
      <c r="E285" s="40">
        <f t="shared" ca="1" si="38"/>
        <v>34037976422436.68</v>
      </c>
      <c r="F285" s="40">
        <f t="shared" ca="1" si="39"/>
        <v>1434775048769.0608</v>
      </c>
      <c r="G285" s="40">
        <f t="shared" ca="1" si="40"/>
        <v>1105546474063.5132</v>
      </c>
      <c r="H285" s="40">
        <f t="shared" ca="1" si="41"/>
        <v>34037976422436.68</v>
      </c>
      <c r="I285" s="40">
        <f t="shared" ca="1" si="42"/>
        <v>12289858754057.471</v>
      </c>
      <c r="J285" s="40">
        <f t="shared" ca="1" si="43"/>
        <v>1865646951394.9993</v>
      </c>
      <c r="K285" s="41">
        <f t="shared" ca="1" si="44"/>
        <v>6.5874514708519643</v>
      </c>
    </row>
    <row r="286" spans="2:11" ht="15" customHeight="1" x14ac:dyDescent="0.35">
      <c r="B286" s="5">
        <v>265</v>
      </c>
      <c r="C286" s="39">
        <f t="shared" ca="1" si="36"/>
        <v>3.7939382090302409</v>
      </c>
      <c r="D286" s="40">
        <f t="shared" ca="1" si="37"/>
        <v>14916897863.965878</v>
      </c>
      <c r="E286" s="40">
        <f t="shared" ca="1" si="38"/>
        <v>7710959483143.0205</v>
      </c>
      <c r="F286" s="40">
        <f t="shared" ca="1" si="39"/>
        <v>2590479045120.46</v>
      </c>
      <c r="G286" s="40">
        <f t="shared" ca="1" si="40"/>
        <v>50935562053893.766</v>
      </c>
      <c r="H286" s="40">
        <f t="shared" ca="1" si="41"/>
        <v>2590479045120.46</v>
      </c>
      <c r="I286" s="40">
        <f t="shared" ca="1" si="42"/>
        <v>15112317050578.477</v>
      </c>
      <c r="J286" s="40">
        <f t="shared" ca="1" si="43"/>
        <v>838200795390.09436</v>
      </c>
      <c r="K286" s="41">
        <f t="shared" ca="1" si="44"/>
        <v>18.029471140677312</v>
      </c>
    </row>
    <row r="287" spans="2:11" ht="15" customHeight="1" x14ac:dyDescent="0.35">
      <c r="B287" s="5">
        <v>266</v>
      </c>
      <c r="C287" s="39">
        <f t="shared" ca="1" si="36"/>
        <v>2.248804450053008</v>
      </c>
      <c r="D287" s="40">
        <f t="shared" ca="1" si="37"/>
        <v>1198672148.4631042</v>
      </c>
      <c r="E287" s="40">
        <f t="shared" ca="1" si="38"/>
        <v>4799257847638.1406</v>
      </c>
      <c r="F287" s="40">
        <f t="shared" ca="1" si="39"/>
        <v>3175481894351.8271</v>
      </c>
      <c r="G287" s="40">
        <f t="shared" ca="1" si="40"/>
        <v>1351103901646.0637</v>
      </c>
      <c r="H287" s="40">
        <f t="shared" ca="1" si="41"/>
        <v>1351103901646.0637</v>
      </c>
      <c r="I287" s="40">
        <f t="shared" ca="1" si="42"/>
        <v>9834866999325.8066</v>
      </c>
      <c r="J287" s="40">
        <f t="shared" ca="1" si="43"/>
        <v>1368430301544.7468</v>
      </c>
      <c r="K287" s="41">
        <f t="shared" ca="1" si="44"/>
        <v>7.1869696163726848</v>
      </c>
    </row>
    <row r="288" spans="2:11" ht="15" customHeight="1" x14ac:dyDescent="0.35">
      <c r="B288" s="5">
        <v>267</v>
      </c>
      <c r="C288" s="39">
        <f t="shared" ca="1" si="36"/>
        <v>3.1319642904646319</v>
      </c>
      <c r="D288" s="40">
        <f t="shared" ca="1" si="37"/>
        <v>5762229355.2110863</v>
      </c>
      <c r="E288" s="40">
        <f t="shared" ca="1" si="38"/>
        <v>7354785310945.3037</v>
      </c>
      <c r="F288" s="40">
        <f t="shared" ca="1" si="39"/>
        <v>10648102304071.395</v>
      </c>
      <c r="G288" s="40">
        <f t="shared" ca="1" si="40"/>
        <v>14439300947335.977</v>
      </c>
      <c r="H288" s="40">
        <f t="shared" ca="1" si="41"/>
        <v>10648102304071.395</v>
      </c>
      <c r="I288" s="40">
        <f t="shared" ca="1" si="42"/>
        <v>3939034414434.502</v>
      </c>
      <c r="J288" s="40">
        <f t="shared" ca="1" si="43"/>
        <v>1178071456935.8713</v>
      </c>
      <c r="K288" s="41">
        <f t="shared" ca="1" si="44"/>
        <v>3.3436294473000925</v>
      </c>
    </row>
    <row r="289" spans="2:11" ht="15" customHeight="1" x14ac:dyDescent="0.35">
      <c r="B289" s="5">
        <v>268</v>
      </c>
      <c r="C289" s="39">
        <f t="shared" ca="1" si="36"/>
        <v>3.367404015960072</v>
      </c>
      <c r="D289" s="40">
        <f t="shared" ca="1" si="37"/>
        <v>8216674010.2797146</v>
      </c>
      <c r="E289" s="40">
        <f t="shared" ca="1" si="38"/>
        <v>20954068562895.547</v>
      </c>
      <c r="F289" s="40">
        <f t="shared" ca="1" si="39"/>
        <v>1023205163950.5413</v>
      </c>
      <c r="G289" s="40">
        <f t="shared" ca="1" si="40"/>
        <v>37386786910831.383</v>
      </c>
      <c r="H289" s="40">
        <f t="shared" ca="1" si="41"/>
        <v>20954068562895.547</v>
      </c>
      <c r="I289" s="40">
        <f t="shared" ca="1" si="42"/>
        <v>9343358946713.9102</v>
      </c>
      <c r="J289" s="40">
        <f t="shared" ca="1" si="43"/>
        <v>1726515886275.7214</v>
      </c>
      <c r="K289" s="41">
        <f t="shared" ca="1" si="44"/>
        <v>5.4116843181029335</v>
      </c>
    </row>
    <row r="290" spans="2:11" ht="15" customHeight="1" x14ac:dyDescent="0.35">
      <c r="B290" s="5">
        <v>269</v>
      </c>
      <c r="C290" s="39">
        <f t="shared" ca="1" si="36"/>
        <v>2.8121706201035508</v>
      </c>
      <c r="D290" s="40">
        <f t="shared" ca="1" si="37"/>
        <v>4084774815.7824388</v>
      </c>
      <c r="E290" s="40">
        <f t="shared" ca="1" si="38"/>
        <v>7432387659764.2852</v>
      </c>
      <c r="F290" s="40">
        <f t="shared" ca="1" si="39"/>
        <v>2508530608960.189</v>
      </c>
      <c r="G290" s="40">
        <f t="shared" ca="1" si="40"/>
        <v>6785062694434.6016</v>
      </c>
      <c r="H290" s="40">
        <f t="shared" ca="1" si="41"/>
        <v>2508530608960.189</v>
      </c>
      <c r="I290" s="40">
        <f t="shared" ca="1" si="42"/>
        <v>5078949094429.3496</v>
      </c>
      <c r="J290" s="40">
        <f t="shared" ca="1" si="43"/>
        <v>626988278807.07654</v>
      </c>
      <c r="K290" s="41">
        <f t="shared" ca="1" si="44"/>
        <v>8.1005487121588367</v>
      </c>
    </row>
    <row r="291" spans="2:11" ht="15" customHeight="1" x14ac:dyDescent="0.35">
      <c r="B291" s="5">
        <v>270</v>
      </c>
      <c r="C291" s="39">
        <f t="shared" ca="1" si="36"/>
        <v>2.8484668864556637</v>
      </c>
      <c r="D291" s="40">
        <f t="shared" ca="1" si="37"/>
        <v>3964927611.7929034</v>
      </c>
      <c r="E291" s="40">
        <f t="shared" ca="1" si="38"/>
        <v>8421507002582.041</v>
      </c>
      <c r="F291" s="40">
        <f t="shared" ca="1" si="39"/>
        <v>25049778993786.074</v>
      </c>
      <c r="G291" s="40">
        <f t="shared" ca="1" si="40"/>
        <v>11405710724719.846</v>
      </c>
      <c r="H291" s="40">
        <f t="shared" ca="1" si="41"/>
        <v>11405710724719.846</v>
      </c>
      <c r="I291" s="40">
        <f t="shared" ca="1" si="42"/>
        <v>174520120649865</v>
      </c>
      <c r="J291" s="40">
        <f t="shared" ca="1" si="43"/>
        <v>1585810294594.8616</v>
      </c>
      <c r="K291" s="41">
        <f t="shared" ca="1" si="44"/>
        <v>110.05107057553244</v>
      </c>
    </row>
    <row r="292" spans="2:11" ht="15" customHeight="1" x14ac:dyDescent="0.35">
      <c r="B292" s="5">
        <v>271</v>
      </c>
      <c r="C292" s="39">
        <f t="shared" ca="1" si="36"/>
        <v>2.7908296463620825</v>
      </c>
      <c r="D292" s="40">
        <f t="shared" ca="1" si="37"/>
        <v>3726211886.2422862</v>
      </c>
      <c r="E292" s="40">
        <f t="shared" ca="1" si="38"/>
        <v>3644667094555.2563</v>
      </c>
      <c r="F292" s="40">
        <f t="shared" ca="1" si="39"/>
        <v>6133023392825.7715</v>
      </c>
      <c r="G292" s="40">
        <f t="shared" ca="1" si="40"/>
        <v>9763028360289.5742</v>
      </c>
      <c r="H292" s="40">
        <f t="shared" ca="1" si="41"/>
        <v>3644667094555.2563</v>
      </c>
      <c r="I292" s="40">
        <f t="shared" ca="1" si="42"/>
        <v>10271580897643.703</v>
      </c>
      <c r="J292" s="40">
        <f t="shared" ca="1" si="43"/>
        <v>571284043336.86646</v>
      </c>
      <c r="K292" s="41">
        <f t="shared" ca="1" si="44"/>
        <v>17.979814100263443</v>
      </c>
    </row>
    <row r="293" spans="2:11" ht="15" customHeight="1" x14ac:dyDescent="0.35">
      <c r="B293" s="5">
        <v>272</v>
      </c>
      <c r="C293" s="39">
        <f t="shared" ca="1" si="36"/>
        <v>3.4621933591572103</v>
      </c>
      <c r="D293" s="40">
        <f t="shared" ca="1" si="37"/>
        <v>10893767853.160736</v>
      </c>
      <c r="E293" s="40">
        <f t="shared" ca="1" si="38"/>
        <v>53340460920422.539</v>
      </c>
      <c r="F293" s="40">
        <f t="shared" ca="1" si="39"/>
        <v>2668188250706.7788</v>
      </c>
      <c r="G293" s="40">
        <f t="shared" ca="1" si="40"/>
        <v>383741541870.46765</v>
      </c>
      <c r="H293" s="40">
        <f t="shared" ca="1" si="41"/>
        <v>383741541870.46765</v>
      </c>
      <c r="I293" s="40">
        <f t="shared" ca="1" si="42"/>
        <v>11617076413114.939</v>
      </c>
      <c r="J293" s="40">
        <f t="shared" ca="1" si="43"/>
        <v>1174522877128.5654</v>
      </c>
      <c r="K293" s="41">
        <f t="shared" ca="1" si="44"/>
        <v>9.890889857774404</v>
      </c>
    </row>
    <row r="294" spans="2:11" ht="15" customHeight="1" x14ac:dyDescent="0.35">
      <c r="B294" s="5">
        <v>273</v>
      </c>
      <c r="C294" s="39">
        <f t="shared" ca="1" si="36"/>
        <v>2.5543010109369484</v>
      </c>
      <c r="D294" s="40">
        <f t="shared" ca="1" si="37"/>
        <v>1923686306.1048906</v>
      </c>
      <c r="E294" s="40">
        <f t="shared" ca="1" si="38"/>
        <v>8120634022359.3477</v>
      </c>
      <c r="F294" s="40">
        <f t="shared" ca="1" si="39"/>
        <v>13895233172258.568</v>
      </c>
      <c r="G294" s="40">
        <f t="shared" ca="1" si="40"/>
        <v>33615919741827.961</v>
      </c>
      <c r="H294" s="40">
        <f t="shared" ca="1" si="41"/>
        <v>13895233172258.568</v>
      </c>
      <c r="I294" s="40">
        <f t="shared" ca="1" si="42"/>
        <v>127715457438532.55</v>
      </c>
      <c r="J294" s="40">
        <f t="shared" ca="1" si="43"/>
        <v>617952847052.62415</v>
      </c>
      <c r="K294" s="41">
        <f t="shared" ca="1" si="44"/>
        <v>206.67508540122714</v>
      </c>
    </row>
    <row r="295" spans="2:11" ht="15" customHeight="1" x14ac:dyDescent="0.35">
      <c r="B295" s="5">
        <v>274</v>
      </c>
      <c r="C295" s="39">
        <f t="shared" ca="1" si="36"/>
        <v>2.9719743220509089</v>
      </c>
      <c r="D295" s="40">
        <f t="shared" ca="1" si="37"/>
        <v>5335219404.4859266</v>
      </c>
      <c r="E295" s="40">
        <f t="shared" ca="1" si="38"/>
        <v>17928923219540.453</v>
      </c>
      <c r="F295" s="40">
        <f t="shared" ca="1" si="39"/>
        <v>1038398592632.7565</v>
      </c>
      <c r="G295" s="40">
        <f t="shared" ca="1" si="40"/>
        <v>5743366882230.4268</v>
      </c>
      <c r="H295" s="40">
        <f t="shared" ca="1" si="41"/>
        <v>17928923219540.453</v>
      </c>
      <c r="I295" s="40">
        <f t="shared" ca="1" si="42"/>
        <v>4223878532169.2505</v>
      </c>
      <c r="J295" s="40">
        <f t="shared" ca="1" si="43"/>
        <v>1421594060184.1875</v>
      </c>
      <c r="K295" s="41">
        <f t="shared" ca="1" si="44"/>
        <v>2.9712269138364209</v>
      </c>
    </row>
    <row r="296" spans="2:11" ht="15" customHeight="1" x14ac:dyDescent="0.35">
      <c r="B296" s="5">
        <v>275</v>
      </c>
      <c r="C296" s="39">
        <f t="shared" ca="1" si="36"/>
        <v>2.3678857931231647</v>
      </c>
      <c r="D296" s="40">
        <f t="shared" ca="1" si="37"/>
        <v>1711151960.6352756</v>
      </c>
      <c r="E296" s="40">
        <f t="shared" ca="1" si="38"/>
        <v>8116661008087.5059</v>
      </c>
      <c r="F296" s="40">
        <f t="shared" ca="1" si="39"/>
        <v>9188142544769.6973</v>
      </c>
      <c r="G296" s="40">
        <f t="shared" ca="1" si="40"/>
        <v>129653126126260.91</v>
      </c>
      <c r="H296" s="40">
        <f t="shared" ca="1" si="41"/>
        <v>129653126126260.91</v>
      </c>
      <c r="I296" s="40">
        <f t="shared" ca="1" si="42"/>
        <v>13019185994661.268</v>
      </c>
      <c r="J296" s="40">
        <f t="shared" ca="1" si="43"/>
        <v>960399484694.07056</v>
      </c>
      <c r="K296" s="41">
        <f t="shared" ca="1" si="44"/>
        <v>13.55601101640371</v>
      </c>
    </row>
    <row r="297" spans="2:11" ht="15" customHeight="1" x14ac:dyDescent="0.35">
      <c r="B297" s="5">
        <v>276</v>
      </c>
      <c r="C297" s="39">
        <f t="shared" ca="1" si="36"/>
        <v>3.0771086289163896</v>
      </c>
      <c r="D297" s="40">
        <f t="shared" ca="1" si="37"/>
        <v>5483517423.7635336</v>
      </c>
      <c r="E297" s="40">
        <f t="shared" ca="1" si="38"/>
        <v>17032209402091.055</v>
      </c>
      <c r="F297" s="40">
        <f t="shared" ca="1" si="39"/>
        <v>2351139575750.6631</v>
      </c>
      <c r="G297" s="40">
        <f t="shared" ca="1" si="40"/>
        <v>25200805595738.566</v>
      </c>
      <c r="H297" s="40">
        <f t="shared" ca="1" si="41"/>
        <v>2351139575750.6631</v>
      </c>
      <c r="I297" s="40">
        <f t="shared" ca="1" si="42"/>
        <v>3255621990350.8032</v>
      </c>
      <c r="J297" s="40">
        <f t="shared" ca="1" si="43"/>
        <v>549273930084.97217</v>
      </c>
      <c r="K297" s="41">
        <f t="shared" ca="1" si="44"/>
        <v>5.9271372843913444</v>
      </c>
    </row>
    <row r="298" spans="2:11" ht="15" customHeight="1" x14ac:dyDescent="0.35">
      <c r="B298" s="5">
        <v>277</v>
      </c>
      <c r="C298" s="39">
        <f t="shared" ca="1" si="36"/>
        <v>1.9848896357481445</v>
      </c>
      <c r="D298" s="40">
        <f t="shared" ca="1" si="37"/>
        <v>590471749.58070695</v>
      </c>
      <c r="E298" s="40">
        <f t="shared" ca="1" si="38"/>
        <v>4100429945348.7881</v>
      </c>
      <c r="F298" s="40">
        <f t="shared" ca="1" si="39"/>
        <v>2324997916982.0688</v>
      </c>
      <c r="G298" s="40">
        <f t="shared" ca="1" si="40"/>
        <v>48349379850.249046</v>
      </c>
      <c r="H298" s="40">
        <f t="shared" ca="1" si="41"/>
        <v>4100429945348.7881</v>
      </c>
      <c r="I298" s="40">
        <f t="shared" ca="1" si="42"/>
        <v>55150125457502.266</v>
      </c>
      <c r="J298" s="40">
        <f t="shared" ca="1" si="43"/>
        <v>646212530427.37048</v>
      </c>
      <c r="K298" s="41">
        <f t="shared" ca="1" si="44"/>
        <v>85.343633651035702</v>
      </c>
    </row>
    <row r="299" spans="2:11" ht="15" customHeight="1" x14ac:dyDescent="0.35">
      <c r="B299" s="5">
        <v>278</v>
      </c>
      <c r="C299" s="39">
        <f t="shared" ca="1" si="36"/>
        <v>3.0618745726334389</v>
      </c>
      <c r="D299" s="40">
        <f t="shared" ca="1" si="37"/>
        <v>4683375459.5109673</v>
      </c>
      <c r="E299" s="40">
        <f t="shared" ca="1" si="38"/>
        <v>17615065226957.172</v>
      </c>
      <c r="F299" s="40">
        <f t="shared" ca="1" si="39"/>
        <v>70765407485284.922</v>
      </c>
      <c r="G299" s="40">
        <f t="shared" ca="1" si="40"/>
        <v>46615370205268.742</v>
      </c>
      <c r="H299" s="40">
        <f t="shared" ca="1" si="41"/>
        <v>17615065226957.172</v>
      </c>
      <c r="I299" s="40">
        <f t="shared" ca="1" si="42"/>
        <v>9056216112480.207</v>
      </c>
      <c r="J299" s="40">
        <f t="shared" ca="1" si="43"/>
        <v>909808744366.71082</v>
      </c>
      <c r="K299" s="41">
        <f t="shared" ca="1" si="44"/>
        <v>9.9539778756291835</v>
      </c>
    </row>
    <row r="300" spans="2:11" ht="15" customHeight="1" x14ac:dyDescent="0.35">
      <c r="B300" s="5">
        <v>279</v>
      </c>
      <c r="C300" s="39">
        <f t="shared" ca="1" si="36"/>
        <v>2.5827990141262949</v>
      </c>
      <c r="D300" s="40">
        <f t="shared" ca="1" si="37"/>
        <v>2739156512.4259973</v>
      </c>
      <c r="E300" s="40">
        <f t="shared" ca="1" si="38"/>
        <v>5109639920591.6436</v>
      </c>
      <c r="F300" s="40">
        <f t="shared" ca="1" si="39"/>
        <v>2649434245869.1274</v>
      </c>
      <c r="G300" s="40">
        <f t="shared" ca="1" si="40"/>
        <v>20016732906145.387</v>
      </c>
      <c r="H300" s="40">
        <f t="shared" ca="1" si="41"/>
        <v>2649434245869.1274</v>
      </c>
      <c r="I300" s="40">
        <f t="shared" ca="1" si="42"/>
        <v>761825661170.84216</v>
      </c>
      <c r="J300" s="40">
        <f t="shared" ca="1" si="43"/>
        <v>597213598435.64087</v>
      </c>
      <c r="K300" s="41">
        <f t="shared" ca="1" si="44"/>
        <v>1.2756334804940661</v>
      </c>
    </row>
    <row r="301" spans="2:11" ht="15" customHeight="1" x14ac:dyDescent="0.35">
      <c r="B301" s="5">
        <v>280</v>
      </c>
      <c r="C301" s="39">
        <f t="shared" ca="1" si="36"/>
        <v>2.7359349800847257</v>
      </c>
      <c r="D301" s="40">
        <f t="shared" ca="1" si="37"/>
        <v>3243652042.8978071</v>
      </c>
      <c r="E301" s="40">
        <f t="shared" ca="1" si="38"/>
        <v>17756297950717.691</v>
      </c>
      <c r="F301" s="40">
        <f t="shared" ca="1" si="39"/>
        <v>3039899168856.3979</v>
      </c>
      <c r="G301" s="40">
        <f t="shared" ca="1" si="40"/>
        <v>9065449957631.9492</v>
      </c>
      <c r="H301" s="40">
        <f t="shared" ca="1" si="41"/>
        <v>17756297950717.691</v>
      </c>
      <c r="I301" s="40">
        <f t="shared" ca="1" si="42"/>
        <v>8779577442884.3242</v>
      </c>
      <c r="J301" s="40">
        <f t="shared" ca="1" si="43"/>
        <v>782470351925.65613</v>
      </c>
      <c r="K301" s="41">
        <f t="shared" ca="1" si="44"/>
        <v>11.220332401448594</v>
      </c>
    </row>
    <row r="302" spans="2:11" ht="15" customHeight="1" x14ac:dyDescent="0.35">
      <c r="B302" s="5">
        <v>281</v>
      </c>
      <c r="C302" s="39">
        <f t="shared" ca="1" si="36"/>
        <v>3.8082811924769517</v>
      </c>
      <c r="D302" s="40">
        <f t="shared" ca="1" si="37"/>
        <v>17091198400.218458</v>
      </c>
      <c r="E302" s="40">
        <f t="shared" ca="1" si="38"/>
        <v>65548234213617.227</v>
      </c>
      <c r="F302" s="40">
        <f t="shared" ca="1" si="39"/>
        <v>15004964454598.201</v>
      </c>
      <c r="G302" s="40">
        <f t="shared" ca="1" si="40"/>
        <v>744326934125.66663</v>
      </c>
      <c r="H302" s="40">
        <f t="shared" ca="1" si="41"/>
        <v>15004964454598.201</v>
      </c>
      <c r="I302" s="40">
        <f t="shared" ca="1" si="42"/>
        <v>6256964836789.2754</v>
      </c>
      <c r="J302" s="40">
        <f t="shared" ca="1" si="43"/>
        <v>1506492853919.8975</v>
      </c>
      <c r="K302" s="41">
        <f t="shared" ca="1" si="44"/>
        <v>4.1533319062939063</v>
      </c>
    </row>
    <row r="303" spans="2:11" ht="15" customHeight="1" x14ac:dyDescent="0.35">
      <c r="B303" s="5">
        <v>282</v>
      </c>
      <c r="C303" s="39">
        <f t="shared" ca="1" si="36"/>
        <v>2.5269012329988079</v>
      </c>
      <c r="D303" s="40">
        <f t="shared" ca="1" si="37"/>
        <v>1685491812.9786005</v>
      </c>
      <c r="E303" s="40">
        <f t="shared" ca="1" si="38"/>
        <v>6933163251343.8359</v>
      </c>
      <c r="F303" s="40">
        <f t="shared" ca="1" si="39"/>
        <v>11400676393139.342</v>
      </c>
      <c r="G303" s="40">
        <f t="shared" ca="1" si="40"/>
        <v>201495320391.63068</v>
      </c>
      <c r="H303" s="40">
        <f t="shared" ca="1" si="41"/>
        <v>6933163251343.8359</v>
      </c>
      <c r="I303" s="40">
        <f t="shared" ca="1" si="42"/>
        <v>1309920139673.4004</v>
      </c>
      <c r="J303" s="40">
        <f t="shared" ca="1" si="43"/>
        <v>476726146304.5379</v>
      </c>
      <c r="K303" s="41">
        <f t="shared" ca="1" si="44"/>
        <v>2.7477413391893322</v>
      </c>
    </row>
    <row r="304" spans="2:11" ht="15" customHeight="1" x14ac:dyDescent="0.35">
      <c r="B304" s="5">
        <v>283</v>
      </c>
      <c r="C304" s="39">
        <f t="shared" ca="1" si="36"/>
        <v>3.3744611690190753</v>
      </c>
      <c r="D304" s="40">
        <f t="shared" ca="1" si="37"/>
        <v>9848401634.0389614</v>
      </c>
      <c r="E304" s="40">
        <f t="shared" ca="1" si="38"/>
        <v>39939566453303.367</v>
      </c>
      <c r="F304" s="40">
        <f t="shared" ca="1" si="39"/>
        <v>7114974540257.5986</v>
      </c>
      <c r="G304" s="40">
        <f t="shared" ca="1" si="40"/>
        <v>10200263697243.088</v>
      </c>
      <c r="H304" s="40">
        <f t="shared" ca="1" si="41"/>
        <v>39939566453303.367</v>
      </c>
      <c r="I304" s="40">
        <f t="shared" ca="1" si="42"/>
        <v>7320218685253.8389</v>
      </c>
      <c r="J304" s="40">
        <f t="shared" ca="1" si="43"/>
        <v>821511770593.93555</v>
      </c>
      <c r="K304" s="41">
        <f t="shared" ca="1" si="44"/>
        <v>8.9106680479592839</v>
      </c>
    </row>
    <row r="305" spans="2:11" ht="15" customHeight="1" x14ac:dyDescent="0.35">
      <c r="B305" s="5">
        <v>284</v>
      </c>
      <c r="C305" s="39">
        <f t="shared" ca="1" si="36"/>
        <v>2.8617792696020734</v>
      </c>
      <c r="D305" s="40">
        <f t="shared" ca="1" si="37"/>
        <v>3829902236.0251904</v>
      </c>
      <c r="E305" s="40">
        <f t="shared" ca="1" si="38"/>
        <v>15115261806015.428</v>
      </c>
      <c r="F305" s="40">
        <f t="shared" ca="1" si="39"/>
        <v>3130985679263.3843</v>
      </c>
      <c r="G305" s="40">
        <f t="shared" ca="1" si="40"/>
        <v>3940193742333.4717</v>
      </c>
      <c r="H305" s="40">
        <f t="shared" ca="1" si="41"/>
        <v>3130985679263.3843</v>
      </c>
      <c r="I305" s="40">
        <f t="shared" ca="1" si="42"/>
        <v>184012560486675.78</v>
      </c>
      <c r="J305" s="40">
        <f t="shared" ca="1" si="43"/>
        <v>603490434685.93335</v>
      </c>
      <c r="K305" s="41">
        <f t="shared" ca="1" si="44"/>
        <v>304.91379798329206</v>
      </c>
    </row>
    <row r="306" spans="2:11" ht="15" customHeight="1" x14ac:dyDescent="0.35">
      <c r="B306" s="5">
        <v>285</v>
      </c>
      <c r="C306" s="39">
        <f t="shared" ca="1" si="36"/>
        <v>1.840488615659359</v>
      </c>
      <c r="D306" s="40">
        <f t="shared" ca="1" si="37"/>
        <v>346771175.03637785</v>
      </c>
      <c r="E306" s="40">
        <f t="shared" ca="1" si="38"/>
        <v>3544832914930.0879</v>
      </c>
      <c r="F306" s="40">
        <f t="shared" ca="1" si="39"/>
        <v>15090488129559.945</v>
      </c>
      <c r="G306" s="40">
        <f t="shared" ca="1" si="40"/>
        <v>22986651025385.926</v>
      </c>
      <c r="H306" s="40">
        <f t="shared" ca="1" si="41"/>
        <v>22986651025385.926</v>
      </c>
      <c r="I306" s="40">
        <f t="shared" ca="1" si="42"/>
        <v>195171431897545.53</v>
      </c>
      <c r="J306" s="40">
        <f t="shared" ca="1" si="43"/>
        <v>1252580435257.0779</v>
      </c>
      <c r="K306" s="41">
        <f t="shared" ca="1" si="44"/>
        <v>155.81548809477357</v>
      </c>
    </row>
    <row r="307" spans="2:11" ht="15" customHeight="1" x14ac:dyDescent="0.35">
      <c r="B307" s="5">
        <v>286</v>
      </c>
      <c r="C307" s="39">
        <f t="shared" ca="1" si="36"/>
        <v>3.3679890510263157</v>
      </c>
      <c r="D307" s="40">
        <f t="shared" ca="1" si="37"/>
        <v>10345520821.753914</v>
      </c>
      <c r="E307" s="40">
        <f t="shared" ca="1" si="38"/>
        <v>38976550645189.219</v>
      </c>
      <c r="F307" s="40">
        <f t="shared" ca="1" si="39"/>
        <v>2633678125098.1978</v>
      </c>
      <c r="G307" s="40">
        <f t="shared" ca="1" si="40"/>
        <v>17330933542746.336</v>
      </c>
      <c r="H307" s="40">
        <f t="shared" ca="1" si="41"/>
        <v>17330933542746.336</v>
      </c>
      <c r="I307" s="40">
        <f t="shared" ca="1" si="42"/>
        <v>1738547478136.8591</v>
      </c>
      <c r="J307" s="40">
        <f t="shared" ca="1" si="43"/>
        <v>766486125500.20276</v>
      </c>
      <c r="K307" s="41">
        <f t="shared" ca="1" si="44"/>
        <v>2.2682047597434289</v>
      </c>
    </row>
    <row r="308" spans="2:11" ht="15" customHeight="1" x14ac:dyDescent="0.35">
      <c r="B308" s="5">
        <v>287</v>
      </c>
      <c r="C308" s="39">
        <f t="shared" ca="1" si="36"/>
        <v>2.4974567198456015</v>
      </c>
      <c r="D308" s="40">
        <f t="shared" ca="1" si="37"/>
        <v>2172372816.4637265</v>
      </c>
      <c r="E308" s="40">
        <f t="shared" ca="1" si="38"/>
        <v>4424294540478.2012</v>
      </c>
      <c r="F308" s="40">
        <f t="shared" ca="1" si="39"/>
        <v>1984234089462.239</v>
      </c>
      <c r="G308" s="40">
        <f t="shared" ca="1" si="40"/>
        <v>9141420294386.2227</v>
      </c>
      <c r="H308" s="40">
        <f t="shared" ca="1" si="41"/>
        <v>1984234089462.239</v>
      </c>
      <c r="I308" s="40">
        <f t="shared" ca="1" si="42"/>
        <v>1647831819745.8879</v>
      </c>
      <c r="J308" s="40">
        <f t="shared" ca="1" si="43"/>
        <v>1120017659588.9072</v>
      </c>
      <c r="K308" s="41">
        <f t="shared" ca="1" si="44"/>
        <v>1.4712552124854088</v>
      </c>
    </row>
    <row r="309" spans="2:11" ht="15" customHeight="1" x14ac:dyDescent="0.35">
      <c r="B309" s="5">
        <v>288</v>
      </c>
      <c r="C309" s="39">
        <f t="shared" ca="1" si="36"/>
        <v>2.3143973204622967</v>
      </c>
      <c r="D309" s="40">
        <f t="shared" ca="1" si="37"/>
        <v>1259423256.2195339</v>
      </c>
      <c r="E309" s="40">
        <f t="shared" ca="1" si="38"/>
        <v>5784842093385.7256</v>
      </c>
      <c r="F309" s="40">
        <f t="shared" ca="1" si="39"/>
        <v>2208162488077.332</v>
      </c>
      <c r="G309" s="40">
        <f t="shared" ca="1" si="40"/>
        <v>2808695533586.8242</v>
      </c>
      <c r="H309" s="40">
        <f t="shared" ca="1" si="41"/>
        <v>2208162488077.332</v>
      </c>
      <c r="I309" s="40">
        <f t="shared" ca="1" si="42"/>
        <v>4247499020744.9663</v>
      </c>
      <c r="J309" s="40">
        <f t="shared" ca="1" si="43"/>
        <v>1103032269359.3823</v>
      </c>
      <c r="K309" s="41">
        <f t="shared" ca="1" si="44"/>
        <v>3.8507477421415999</v>
      </c>
    </row>
    <row r="310" spans="2:11" ht="15" customHeight="1" x14ac:dyDescent="0.35">
      <c r="B310" s="5">
        <v>289</v>
      </c>
      <c r="C310" s="39">
        <f t="shared" ca="1" si="36"/>
        <v>3.0997575992278423</v>
      </c>
      <c r="D310" s="40">
        <f t="shared" ca="1" si="37"/>
        <v>5040915192.674716</v>
      </c>
      <c r="E310" s="40">
        <f t="shared" ca="1" si="38"/>
        <v>78019797412444.234</v>
      </c>
      <c r="F310" s="40">
        <f t="shared" ca="1" si="39"/>
        <v>1712520719903.7517</v>
      </c>
      <c r="G310" s="40">
        <f t="shared" ca="1" si="40"/>
        <v>3196650531030.8281</v>
      </c>
      <c r="H310" s="40">
        <f t="shared" ca="1" si="41"/>
        <v>1712520719903.7517</v>
      </c>
      <c r="I310" s="40">
        <f t="shared" ca="1" si="42"/>
        <v>15658120129731.73</v>
      </c>
      <c r="J310" s="40">
        <f t="shared" ca="1" si="43"/>
        <v>486545633436.83484</v>
      </c>
      <c r="K310" s="41">
        <f t="shared" ca="1" si="44"/>
        <v>32.182223112612775</v>
      </c>
    </row>
    <row r="311" spans="2:11" ht="15" customHeight="1" x14ac:dyDescent="0.35">
      <c r="B311" s="5">
        <v>290</v>
      </c>
      <c r="C311" s="39">
        <f t="shared" ca="1" si="36"/>
        <v>3.1649717988592485</v>
      </c>
      <c r="D311" s="40">
        <f t="shared" ca="1" si="37"/>
        <v>5316857380.4994984</v>
      </c>
      <c r="E311" s="40">
        <f t="shared" ca="1" si="38"/>
        <v>38800295340247.086</v>
      </c>
      <c r="F311" s="40">
        <f t="shared" ca="1" si="39"/>
        <v>3142359932114.645</v>
      </c>
      <c r="G311" s="40">
        <f t="shared" ca="1" si="40"/>
        <v>425645123967124.69</v>
      </c>
      <c r="H311" s="40">
        <f t="shared" ca="1" si="41"/>
        <v>425645123967124.69</v>
      </c>
      <c r="I311" s="40">
        <f t="shared" ca="1" si="42"/>
        <v>27321832169163.773</v>
      </c>
      <c r="J311" s="40">
        <f t="shared" ca="1" si="43"/>
        <v>1710036134826.3086</v>
      </c>
      <c r="K311" s="41">
        <f t="shared" ca="1" si="44"/>
        <v>15.977342006248833</v>
      </c>
    </row>
    <row r="312" spans="2:11" ht="15" customHeight="1" x14ac:dyDescent="0.35">
      <c r="B312" s="5">
        <v>291</v>
      </c>
      <c r="C312" s="39">
        <f t="shared" ca="1" si="36"/>
        <v>2.3198346905596239</v>
      </c>
      <c r="D312" s="40">
        <f t="shared" ca="1" si="37"/>
        <v>1451699578.8116982</v>
      </c>
      <c r="E312" s="40">
        <f t="shared" ca="1" si="38"/>
        <v>7399925956375.8682</v>
      </c>
      <c r="F312" s="40">
        <f t="shared" ca="1" si="39"/>
        <v>58211217578585.328</v>
      </c>
      <c r="G312" s="40">
        <f t="shared" ca="1" si="40"/>
        <v>2635437222000.7905</v>
      </c>
      <c r="H312" s="40">
        <f t="shared" ca="1" si="41"/>
        <v>7399925956375.8682</v>
      </c>
      <c r="I312" s="40">
        <f t="shared" ca="1" si="42"/>
        <v>4036996632402.3066</v>
      </c>
      <c r="J312" s="40">
        <f t="shared" ca="1" si="43"/>
        <v>1385573790041.3667</v>
      </c>
      <c r="K312" s="41">
        <f t="shared" ca="1" si="44"/>
        <v>2.9135919439424307</v>
      </c>
    </row>
    <row r="313" spans="2:11" ht="15" customHeight="1" x14ac:dyDescent="0.35">
      <c r="B313" s="5">
        <v>292</v>
      </c>
      <c r="C313" s="39">
        <f t="shared" ca="1" si="36"/>
        <v>2.8992169735370426</v>
      </c>
      <c r="D313" s="40">
        <f t="shared" ca="1" si="37"/>
        <v>3551409805.8353324</v>
      </c>
      <c r="E313" s="40">
        <f t="shared" ca="1" si="38"/>
        <v>18546256469931.473</v>
      </c>
      <c r="F313" s="40">
        <f t="shared" ca="1" si="39"/>
        <v>1319607393938.1926</v>
      </c>
      <c r="G313" s="40">
        <f t="shared" ca="1" si="40"/>
        <v>28847885944902.16</v>
      </c>
      <c r="H313" s="40">
        <f t="shared" ca="1" si="41"/>
        <v>28847885944902.16</v>
      </c>
      <c r="I313" s="40">
        <f t="shared" ca="1" si="42"/>
        <v>1631941192621.0884</v>
      </c>
      <c r="J313" s="40">
        <f t="shared" ca="1" si="43"/>
        <v>903523165081.83569</v>
      </c>
      <c r="K313" s="41">
        <f t="shared" ca="1" si="44"/>
        <v>1.8061974011184063</v>
      </c>
    </row>
    <row r="314" spans="2:11" ht="15" customHeight="1" x14ac:dyDescent="0.35">
      <c r="B314" s="5">
        <v>293</v>
      </c>
      <c r="C314" s="39">
        <f t="shared" ca="1" si="36"/>
        <v>2.5930828803006727</v>
      </c>
      <c r="D314" s="40">
        <f t="shared" ca="1" si="37"/>
        <v>2008752568.840112</v>
      </c>
      <c r="E314" s="40">
        <f t="shared" ca="1" si="38"/>
        <v>7423200633754.624</v>
      </c>
      <c r="F314" s="40">
        <f t="shared" ca="1" si="39"/>
        <v>1797154323831.6943</v>
      </c>
      <c r="G314" s="40">
        <f t="shared" ca="1" si="40"/>
        <v>339408910808.992</v>
      </c>
      <c r="H314" s="40">
        <f t="shared" ca="1" si="41"/>
        <v>339408910808.992</v>
      </c>
      <c r="I314" s="40">
        <f t="shared" ca="1" si="42"/>
        <v>126199261934863.48</v>
      </c>
      <c r="J314" s="40">
        <f t="shared" ca="1" si="43"/>
        <v>796580029588.63293</v>
      </c>
      <c r="K314" s="41">
        <f t="shared" ca="1" si="44"/>
        <v>158.42634418042701</v>
      </c>
    </row>
    <row r="315" spans="2:11" ht="15" customHeight="1" x14ac:dyDescent="0.35">
      <c r="B315" s="5">
        <v>294</v>
      </c>
      <c r="C315" s="39">
        <f t="shared" ca="1" si="36"/>
        <v>2.8408615041508458</v>
      </c>
      <c r="D315" s="40">
        <f t="shared" ca="1" si="37"/>
        <v>4287813018.5718856</v>
      </c>
      <c r="E315" s="40">
        <f t="shared" ca="1" si="38"/>
        <v>7308955844223.9629</v>
      </c>
      <c r="F315" s="40">
        <f t="shared" ca="1" si="39"/>
        <v>316490583945.79755</v>
      </c>
      <c r="G315" s="40">
        <f t="shared" ca="1" si="40"/>
        <v>225489775352.35251</v>
      </c>
      <c r="H315" s="40">
        <f t="shared" ca="1" si="41"/>
        <v>225489775352.35251</v>
      </c>
      <c r="I315" s="40">
        <f t="shared" ca="1" si="42"/>
        <v>22953781282413.215</v>
      </c>
      <c r="J315" s="40">
        <f t="shared" ca="1" si="43"/>
        <v>1458673889709.542</v>
      </c>
      <c r="K315" s="41">
        <f t="shared" ca="1" si="44"/>
        <v>15.736060982749118</v>
      </c>
    </row>
    <row r="316" spans="2:11" ht="15" customHeight="1" x14ac:dyDescent="0.35">
      <c r="B316" s="5">
        <v>295</v>
      </c>
      <c r="C316" s="39">
        <f t="shared" ca="1" si="36"/>
        <v>3.406944664828127</v>
      </c>
      <c r="D316" s="40">
        <f t="shared" ca="1" si="37"/>
        <v>9519151039.0121861</v>
      </c>
      <c r="E316" s="40">
        <f t="shared" ca="1" si="38"/>
        <v>26770861378926.723</v>
      </c>
      <c r="F316" s="40">
        <f t="shared" ca="1" si="39"/>
        <v>1080625051254.1649</v>
      </c>
      <c r="G316" s="40">
        <f t="shared" ca="1" si="40"/>
        <v>224772208000.27307</v>
      </c>
      <c r="H316" s="40">
        <f t="shared" ca="1" si="41"/>
        <v>1080625051254.1649</v>
      </c>
      <c r="I316" s="40">
        <f t="shared" ca="1" si="42"/>
        <v>5709043362103.4043</v>
      </c>
      <c r="J316" s="40">
        <f t="shared" ca="1" si="43"/>
        <v>526864478495.95197</v>
      </c>
      <c r="K316" s="41">
        <f t="shared" ca="1" si="44"/>
        <v>10.83588587790374</v>
      </c>
    </row>
    <row r="317" spans="2:11" ht="15" customHeight="1" x14ac:dyDescent="0.35">
      <c r="B317" s="5">
        <v>296</v>
      </c>
      <c r="C317" s="39">
        <f t="shared" ca="1" si="36"/>
        <v>2.2812539156569356</v>
      </c>
      <c r="D317" s="40">
        <f t="shared" ca="1" si="37"/>
        <v>1472354158.5584009</v>
      </c>
      <c r="E317" s="40">
        <f t="shared" ca="1" si="38"/>
        <v>4272869619238.9673</v>
      </c>
      <c r="F317" s="40">
        <f t="shared" ca="1" si="39"/>
        <v>1436671467566.6648</v>
      </c>
      <c r="G317" s="40">
        <f t="shared" ca="1" si="40"/>
        <v>391168531403.13068</v>
      </c>
      <c r="H317" s="40">
        <f t="shared" ca="1" si="41"/>
        <v>4272869619238.9673</v>
      </c>
      <c r="I317" s="40">
        <f t="shared" ca="1" si="42"/>
        <v>1462552849787.1738</v>
      </c>
      <c r="J317" s="40">
        <f t="shared" ca="1" si="43"/>
        <v>1007358393456.5581</v>
      </c>
      <c r="K317" s="41">
        <f t="shared" ca="1" si="44"/>
        <v>1.4518694233228184</v>
      </c>
    </row>
    <row r="318" spans="2:11" ht="15" customHeight="1" x14ac:dyDescent="0.35">
      <c r="B318" s="5">
        <v>297</v>
      </c>
      <c r="C318" s="39">
        <f t="shared" ca="1" si="36"/>
        <v>2.7429648932946677</v>
      </c>
      <c r="D318" s="40">
        <f t="shared" ca="1" si="37"/>
        <v>3660396886.3661661</v>
      </c>
      <c r="E318" s="40">
        <f t="shared" ca="1" si="38"/>
        <v>9678506776806.9512</v>
      </c>
      <c r="F318" s="40">
        <f t="shared" ca="1" si="39"/>
        <v>2685700419548.0708</v>
      </c>
      <c r="G318" s="40">
        <f t="shared" ca="1" si="40"/>
        <v>3669740043916.144</v>
      </c>
      <c r="H318" s="40">
        <f t="shared" ca="1" si="41"/>
        <v>9678506776806.9512</v>
      </c>
      <c r="I318" s="40">
        <f t="shared" ca="1" si="42"/>
        <v>4570236735726.4795</v>
      </c>
      <c r="J318" s="40">
        <f t="shared" ca="1" si="43"/>
        <v>622453739078.49939</v>
      </c>
      <c r="K318" s="41">
        <f t="shared" ca="1" si="44"/>
        <v>7.342291400630681</v>
      </c>
    </row>
    <row r="319" spans="2:11" ht="15" customHeight="1" x14ac:dyDescent="0.35">
      <c r="B319" s="5">
        <v>298</v>
      </c>
      <c r="C319" s="39">
        <f t="shared" ca="1" si="36"/>
        <v>2.9944322170198605</v>
      </c>
      <c r="D319" s="40">
        <f t="shared" ca="1" si="37"/>
        <v>4435984789.1964006</v>
      </c>
      <c r="E319" s="40">
        <f t="shared" ca="1" si="38"/>
        <v>10528805517923.049</v>
      </c>
      <c r="F319" s="40">
        <f t="shared" ca="1" si="39"/>
        <v>1788426720024.2126</v>
      </c>
      <c r="G319" s="40">
        <f t="shared" ca="1" si="40"/>
        <v>3196158469307.3374</v>
      </c>
      <c r="H319" s="40">
        <f t="shared" ca="1" si="41"/>
        <v>3196158469307.3374</v>
      </c>
      <c r="I319" s="40">
        <f t="shared" ca="1" si="42"/>
        <v>140475343710027.69</v>
      </c>
      <c r="J319" s="40">
        <f t="shared" ca="1" si="43"/>
        <v>1520545738802.7651</v>
      </c>
      <c r="K319" s="41">
        <f t="shared" ca="1" si="44"/>
        <v>92.384819558689514</v>
      </c>
    </row>
    <row r="320" spans="2:11" ht="15" customHeight="1" x14ac:dyDescent="0.35">
      <c r="B320" s="5">
        <v>299</v>
      </c>
      <c r="C320" s="39">
        <f t="shared" ca="1" si="36"/>
        <v>2.7615875309257967</v>
      </c>
      <c r="D320" s="40">
        <f t="shared" ca="1" si="37"/>
        <v>3367009246.4144244</v>
      </c>
      <c r="E320" s="40">
        <f t="shared" ca="1" si="38"/>
        <v>33307416028140.309</v>
      </c>
      <c r="F320" s="40">
        <f t="shared" ca="1" si="39"/>
        <v>1838809466048.271</v>
      </c>
      <c r="G320" s="40">
        <f t="shared" ca="1" si="40"/>
        <v>3904299776210.9487</v>
      </c>
      <c r="H320" s="40">
        <f t="shared" ca="1" si="41"/>
        <v>33307416028140.309</v>
      </c>
      <c r="I320" s="40">
        <f t="shared" ca="1" si="42"/>
        <v>20449152170901.496</v>
      </c>
      <c r="J320" s="40">
        <f t="shared" ca="1" si="43"/>
        <v>562562624057.47083</v>
      </c>
      <c r="K320" s="41">
        <f t="shared" ca="1" si="44"/>
        <v>36.350001397910916</v>
      </c>
    </row>
    <row r="321" spans="2:11" ht="15" customHeight="1" x14ac:dyDescent="0.35">
      <c r="B321" s="5">
        <v>300</v>
      </c>
      <c r="C321" s="39">
        <f t="shared" ca="1" si="36"/>
        <v>2.3198499976439075</v>
      </c>
      <c r="D321" s="40">
        <f t="shared" ca="1" si="37"/>
        <v>1301441188.441937</v>
      </c>
      <c r="E321" s="40">
        <f t="shared" ca="1" si="38"/>
        <v>476274838685.32813</v>
      </c>
      <c r="F321" s="40">
        <f t="shared" ca="1" si="39"/>
        <v>2687693999546.3311</v>
      </c>
      <c r="G321" s="40">
        <f t="shared" ca="1" si="40"/>
        <v>3981780978670.769</v>
      </c>
      <c r="H321" s="40">
        <f t="shared" ca="1" si="41"/>
        <v>476274838685.32813</v>
      </c>
      <c r="I321" s="40">
        <f t="shared" ca="1" si="42"/>
        <v>9317763282739.4336</v>
      </c>
      <c r="J321" s="40">
        <f t="shared" ca="1" si="43"/>
        <v>1156345333946.5664</v>
      </c>
      <c r="K321" s="41">
        <f t="shared" ca="1" si="44"/>
        <v>8.0579416971729643</v>
      </c>
    </row>
    <row r="322" spans="2:11" ht="15" customHeight="1" x14ac:dyDescent="0.35">
      <c r="B322" s="5">
        <v>301</v>
      </c>
      <c r="C322" s="39">
        <f t="shared" ca="1" si="36"/>
        <v>3.5445840148437369</v>
      </c>
      <c r="D322" s="40">
        <f t="shared" ca="1" si="37"/>
        <v>9638830418.1842403</v>
      </c>
      <c r="E322" s="40">
        <f t="shared" ca="1" si="38"/>
        <v>20998577446343.523</v>
      </c>
      <c r="F322" s="40">
        <f t="shared" ca="1" si="39"/>
        <v>7343739027258.6777</v>
      </c>
      <c r="G322" s="40">
        <f t="shared" ca="1" si="40"/>
        <v>1692902121504.9675</v>
      </c>
      <c r="H322" s="40">
        <f t="shared" ca="1" si="41"/>
        <v>20998577446343.523</v>
      </c>
      <c r="I322" s="40">
        <f t="shared" ca="1" si="42"/>
        <v>5212114319004.0684</v>
      </c>
      <c r="J322" s="40">
        <f t="shared" ca="1" si="43"/>
        <v>1505017744773.606</v>
      </c>
      <c r="K322" s="41">
        <f t="shared" ca="1" si="44"/>
        <v>3.463158050530565</v>
      </c>
    </row>
    <row r="323" spans="2:11" ht="15" customHeight="1" x14ac:dyDescent="0.35">
      <c r="B323" s="5">
        <v>302</v>
      </c>
      <c r="C323" s="39">
        <f t="shared" ca="1" si="36"/>
        <v>3.4364259465286575</v>
      </c>
      <c r="D323" s="40">
        <f t="shared" ca="1" si="37"/>
        <v>11438646866.911983</v>
      </c>
      <c r="E323" s="40">
        <f t="shared" ca="1" si="38"/>
        <v>68660293142299.219</v>
      </c>
      <c r="F323" s="40">
        <f t="shared" ca="1" si="39"/>
        <v>30085965596437.125</v>
      </c>
      <c r="G323" s="40">
        <f t="shared" ca="1" si="40"/>
        <v>8009251865406.1553</v>
      </c>
      <c r="H323" s="40">
        <f t="shared" ca="1" si="41"/>
        <v>8009251865406.1553</v>
      </c>
      <c r="I323" s="40">
        <f t="shared" ca="1" si="42"/>
        <v>10002511343034.002</v>
      </c>
      <c r="J323" s="40">
        <f t="shared" ca="1" si="43"/>
        <v>1164147285641.6978</v>
      </c>
      <c r="K323" s="41">
        <f t="shared" ca="1" si="44"/>
        <v>8.5921356055221558</v>
      </c>
    </row>
    <row r="324" spans="2:11" ht="15" customHeight="1" x14ac:dyDescent="0.35">
      <c r="B324" s="5">
        <v>303</v>
      </c>
      <c r="C324" s="39">
        <f t="shared" ca="1" si="36"/>
        <v>2.8898312158280248</v>
      </c>
      <c r="D324" s="40">
        <f t="shared" ca="1" si="37"/>
        <v>4279874621.2494512</v>
      </c>
      <c r="E324" s="40">
        <f t="shared" ca="1" si="38"/>
        <v>24800593440831.988</v>
      </c>
      <c r="F324" s="40">
        <f t="shared" ca="1" si="39"/>
        <v>7092773394710.7031</v>
      </c>
      <c r="G324" s="40">
        <f t="shared" ca="1" si="40"/>
        <v>712485289180.18921</v>
      </c>
      <c r="H324" s="40">
        <f t="shared" ca="1" si="41"/>
        <v>712485289180.18921</v>
      </c>
      <c r="I324" s="40">
        <f t="shared" ca="1" si="42"/>
        <v>887283019799.62012</v>
      </c>
      <c r="J324" s="40">
        <f t="shared" ca="1" si="43"/>
        <v>826513095934.22595</v>
      </c>
      <c r="K324" s="41">
        <f t="shared" ca="1" si="44"/>
        <v>1.0735256636154138</v>
      </c>
    </row>
    <row r="325" spans="2:11" ht="15" customHeight="1" x14ac:dyDescent="0.35">
      <c r="B325" s="5">
        <v>304</v>
      </c>
      <c r="C325" s="39">
        <f t="shared" ca="1" si="36"/>
        <v>3.4522386979013939</v>
      </c>
      <c r="D325" s="40">
        <f t="shared" ca="1" si="37"/>
        <v>7892155606.1616879</v>
      </c>
      <c r="E325" s="40">
        <f t="shared" ca="1" si="38"/>
        <v>13886160000610.564</v>
      </c>
      <c r="F325" s="40">
        <f t="shared" ca="1" si="39"/>
        <v>4274201653956.2354</v>
      </c>
      <c r="G325" s="40">
        <f t="shared" ca="1" si="40"/>
        <v>82551580431097.328</v>
      </c>
      <c r="H325" s="40">
        <f t="shared" ca="1" si="41"/>
        <v>4274201653956.2354</v>
      </c>
      <c r="I325" s="40">
        <f t="shared" ca="1" si="42"/>
        <v>17414562093371.207</v>
      </c>
      <c r="J325" s="40">
        <f t="shared" ca="1" si="43"/>
        <v>942317440003.75793</v>
      </c>
      <c r="K325" s="41">
        <f t="shared" ca="1" si="44"/>
        <v>18.480568600430189</v>
      </c>
    </row>
    <row r="326" spans="2:11" ht="15" customHeight="1" x14ac:dyDescent="0.35">
      <c r="B326" s="5">
        <v>305</v>
      </c>
      <c r="C326" s="39">
        <f t="shared" ca="1" si="36"/>
        <v>2.8436252600690208</v>
      </c>
      <c r="D326" s="40">
        <f t="shared" ca="1" si="37"/>
        <v>3153408589.4298506</v>
      </c>
      <c r="E326" s="40">
        <f t="shared" ca="1" si="38"/>
        <v>16420437045476.063</v>
      </c>
      <c r="F326" s="40">
        <f t="shared" ca="1" si="39"/>
        <v>1142270381167.2893</v>
      </c>
      <c r="G326" s="40">
        <f t="shared" ca="1" si="40"/>
        <v>17320756511660.209</v>
      </c>
      <c r="H326" s="40">
        <f t="shared" ca="1" si="41"/>
        <v>17320756511660.209</v>
      </c>
      <c r="I326" s="40">
        <f t="shared" ca="1" si="42"/>
        <v>26834818603407.504</v>
      </c>
      <c r="J326" s="40">
        <f t="shared" ca="1" si="43"/>
        <v>1011316655187.5848</v>
      </c>
      <c r="K326" s="41">
        <f t="shared" ca="1" si="44"/>
        <v>26.534536404356977</v>
      </c>
    </row>
    <row r="327" spans="2:11" ht="15" customHeight="1" x14ac:dyDescent="0.35">
      <c r="B327" s="5">
        <v>306</v>
      </c>
      <c r="C327" s="39">
        <f t="shared" ca="1" si="36"/>
        <v>2.8284390660145018</v>
      </c>
      <c r="D327" s="40">
        <f t="shared" ca="1" si="37"/>
        <v>3524308538.4878712</v>
      </c>
      <c r="E327" s="40">
        <f t="shared" ca="1" si="38"/>
        <v>4031144207373.6538</v>
      </c>
      <c r="F327" s="40">
        <f t="shared" ca="1" si="39"/>
        <v>10475818597747.678</v>
      </c>
      <c r="G327" s="40">
        <f t="shared" ca="1" si="40"/>
        <v>10227273203484.254</v>
      </c>
      <c r="H327" s="40">
        <f t="shared" ca="1" si="41"/>
        <v>10227273203484.254</v>
      </c>
      <c r="I327" s="40">
        <f t="shared" ca="1" si="42"/>
        <v>3390553063953.686</v>
      </c>
      <c r="J327" s="40">
        <f t="shared" ca="1" si="43"/>
        <v>1160598278786.7612</v>
      </c>
      <c r="K327" s="41">
        <f t="shared" ca="1" si="44"/>
        <v>2.9213838465261399</v>
      </c>
    </row>
    <row r="328" spans="2:11" ht="15" customHeight="1" x14ac:dyDescent="0.35">
      <c r="B328" s="5">
        <v>307</v>
      </c>
      <c r="C328" s="39">
        <f t="shared" ca="1" si="36"/>
        <v>2.2746438953644033</v>
      </c>
      <c r="D328" s="40">
        <f t="shared" ca="1" si="37"/>
        <v>1253199855.5851254</v>
      </c>
      <c r="E328" s="40">
        <f t="shared" ca="1" si="38"/>
        <v>9481245270172.2422</v>
      </c>
      <c r="F328" s="40">
        <f t="shared" ca="1" si="39"/>
        <v>25819834406706.797</v>
      </c>
      <c r="G328" s="40">
        <f t="shared" ca="1" si="40"/>
        <v>1663161761132.6763</v>
      </c>
      <c r="H328" s="40">
        <f t="shared" ca="1" si="41"/>
        <v>9481245270172.2422</v>
      </c>
      <c r="I328" s="40">
        <f t="shared" ca="1" si="42"/>
        <v>8723610246555.0967</v>
      </c>
      <c r="J328" s="40">
        <f t="shared" ca="1" si="43"/>
        <v>1438784378717.2966</v>
      </c>
      <c r="K328" s="41">
        <f t="shared" ca="1" si="44"/>
        <v>6.0631810962059234</v>
      </c>
    </row>
    <row r="329" spans="2:11" ht="15" customHeight="1" x14ac:dyDescent="0.35">
      <c r="B329" s="5">
        <v>308</v>
      </c>
      <c r="C329" s="39">
        <f t="shared" ca="1" si="36"/>
        <v>3.2856729528822837</v>
      </c>
      <c r="D329" s="40">
        <f t="shared" ca="1" si="37"/>
        <v>8375915917.9380188</v>
      </c>
      <c r="E329" s="40">
        <f t="shared" ca="1" si="38"/>
        <v>49586621287182.672</v>
      </c>
      <c r="F329" s="40">
        <f t="shared" ca="1" si="39"/>
        <v>1753173074797.8699</v>
      </c>
      <c r="G329" s="40">
        <f t="shared" ca="1" si="40"/>
        <v>2252241908173.9146</v>
      </c>
      <c r="H329" s="40">
        <f t="shared" ca="1" si="41"/>
        <v>1753173074797.8699</v>
      </c>
      <c r="I329" s="40">
        <f t="shared" ca="1" si="42"/>
        <v>24461304033765.676</v>
      </c>
      <c r="J329" s="40">
        <f t="shared" ca="1" si="43"/>
        <v>1343374525985.3889</v>
      </c>
      <c r="K329" s="41">
        <f t="shared" ca="1" si="44"/>
        <v>18.208849103955487</v>
      </c>
    </row>
    <row r="330" spans="2:11" ht="15" customHeight="1" x14ac:dyDescent="0.35">
      <c r="B330" s="5">
        <v>309</v>
      </c>
      <c r="C330" s="39">
        <f t="shared" ca="1" si="36"/>
        <v>3.3301660572177636</v>
      </c>
      <c r="D330" s="40">
        <f t="shared" ca="1" si="37"/>
        <v>8305015102.4224596</v>
      </c>
      <c r="E330" s="40">
        <f t="shared" ca="1" si="38"/>
        <v>55502426912024.055</v>
      </c>
      <c r="F330" s="40">
        <f t="shared" ca="1" si="39"/>
        <v>5455261418373.5586</v>
      </c>
      <c r="G330" s="40">
        <f t="shared" ca="1" si="40"/>
        <v>15038177845149.26</v>
      </c>
      <c r="H330" s="40">
        <f t="shared" ca="1" si="41"/>
        <v>5455261418373.5586</v>
      </c>
      <c r="I330" s="40">
        <f t="shared" ca="1" si="42"/>
        <v>4943102376559.3135</v>
      </c>
      <c r="J330" s="40">
        <f t="shared" ca="1" si="43"/>
        <v>813561465845.30811</v>
      </c>
      <c r="K330" s="41">
        <f t="shared" ca="1" si="44"/>
        <v>6.0758806606250975</v>
      </c>
    </row>
    <row r="331" spans="2:11" ht="15" customHeight="1" x14ac:dyDescent="0.35">
      <c r="B331" s="5">
        <v>310</v>
      </c>
      <c r="C331" s="39">
        <f t="shared" ca="1" si="36"/>
        <v>3.136543278209861</v>
      </c>
      <c r="D331" s="40">
        <f t="shared" ca="1" si="37"/>
        <v>6884027001.0917072</v>
      </c>
      <c r="E331" s="40">
        <f t="shared" ca="1" si="38"/>
        <v>26140912720507.41</v>
      </c>
      <c r="F331" s="40">
        <f t="shared" ca="1" si="39"/>
        <v>257021745325.52832</v>
      </c>
      <c r="G331" s="40">
        <f t="shared" ca="1" si="40"/>
        <v>2101496555420.5464</v>
      </c>
      <c r="H331" s="40">
        <f t="shared" ca="1" si="41"/>
        <v>26140912720507.41</v>
      </c>
      <c r="I331" s="40">
        <f t="shared" ca="1" si="42"/>
        <v>556703126246.17139</v>
      </c>
      <c r="J331" s="40">
        <f t="shared" ca="1" si="43"/>
        <v>853694742382.11255</v>
      </c>
      <c r="K331" s="41">
        <f t="shared" ca="1" si="44"/>
        <v>0.65211029025758238</v>
      </c>
    </row>
    <row r="332" spans="2:11" ht="15" customHeight="1" x14ac:dyDescent="0.35">
      <c r="B332" s="5">
        <v>311</v>
      </c>
      <c r="C332" s="39">
        <f t="shared" ca="1" si="36"/>
        <v>2.464334261377001</v>
      </c>
      <c r="D332" s="40">
        <f t="shared" ca="1" si="37"/>
        <v>1982692943.0440772</v>
      </c>
      <c r="E332" s="40">
        <f t="shared" ca="1" si="38"/>
        <v>481683529949.33856</v>
      </c>
      <c r="F332" s="40">
        <f t="shared" ca="1" si="39"/>
        <v>703474777722.1355</v>
      </c>
      <c r="G332" s="40">
        <f t="shared" ca="1" si="40"/>
        <v>50352947197142.25</v>
      </c>
      <c r="H332" s="40">
        <f t="shared" ca="1" si="41"/>
        <v>481683529949.33856</v>
      </c>
      <c r="I332" s="40">
        <f t="shared" ca="1" si="42"/>
        <v>2918014155308.3301</v>
      </c>
      <c r="J332" s="40">
        <f t="shared" ca="1" si="43"/>
        <v>1382684658027.2395</v>
      </c>
      <c r="K332" s="41">
        <f t="shared" ca="1" si="44"/>
        <v>2.1103974347062175</v>
      </c>
    </row>
    <row r="333" spans="2:11" ht="15" customHeight="1" x14ac:dyDescent="0.35">
      <c r="B333" s="5">
        <v>312</v>
      </c>
      <c r="C333" s="39">
        <f t="shared" ca="1" si="36"/>
        <v>4.0022792714095292</v>
      </c>
      <c r="D333" s="40">
        <f t="shared" ca="1" si="37"/>
        <v>23841260248.495525</v>
      </c>
      <c r="E333" s="40">
        <f t="shared" ca="1" si="38"/>
        <v>162170740624995.34</v>
      </c>
      <c r="F333" s="40">
        <f t="shared" ca="1" si="39"/>
        <v>3171428764801.9541</v>
      </c>
      <c r="G333" s="40">
        <f t="shared" ca="1" si="40"/>
        <v>459309425454.3598</v>
      </c>
      <c r="H333" s="40">
        <f t="shared" ca="1" si="41"/>
        <v>3171428764801.9541</v>
      </c>
      <c r="I333" s="40">
        <f t="shared" ca="1" si="42"/>
        <v>27862968120679.422</v>
      </c>
      <c r="J333" s="40">
        <f t="shared" ca="1" si="43"/>
        <v>1244975801112.4053</v>
      </c>
      <c r="K333" s="41">
        <f t="shared" ca="1" si="44"/>
        <v>22.380329076102061</v>
      </c>
    </row>
    <row r="334" spans="2:11" ht="15" customHeight="1" x14ac:dyDescent="0.35">
      <c r="B334" s="5">
        <v>313</v>
      </c>
      <c r="C334" s="39">
        <f t="shared" ca="1" si="36"/>
        <v>2.4309706305835643</v>
      </c>
      <c r="D334" s="40">
        <f t="shared" ca="1" si="37"/>
        <v>1805611803.8252733</v>
      </c>
      <c r="E334" s="40">
        <f t="shared" ca="1" si="38"/>
        <v>1684453630362.6682</v>
      </c>
      <c r="F334" s="40">
        <f t="shared" ca="1" si="39"/>
        <v>7821233240926.457</v>
      </c>
      <c r="G334" s="40">
        <f t="shared" ca="1" si="40"/>
        <v>21243501283506.727</v>
      </c>
      <c r="H334" s="40">
        <f t="shared" ca="1" si="41"/>
        <v>7821233240926.457</v>
      </c>
      <c r="I334" s="40">
        <f t="shared" ca="1" si="42"/>
        <v>43769922677310.203</v>
      </c>
      <c r="J334" s="40">
        <f t="shared" ca="1" si="43"/>
        <v>933407322296.18872</v>
      </c>
      <c r="K334" s="41">
        <f t="shared" ca="1" si="44"/>
        <v>46.892628364684221</v>
      </c>
    </row>
    <row r="335" spans="2:11" ht="15" customHeight="1" x14ac:dyDescent="0.35">
      <c r="B335" s="5">
        <v>314</v>
      </c>
      <c r="C335" s="39">
        <f t="shared" ca="1" si="36"/>
        <v>3.4509935268055836</v>
      </c>
      <c r="D335" s="40">
        <f t="shared" ca="1" si="37"/>
        <v>9485722300.959692</v>
      </c>
      <c r="E335" s="40">
        <f t="shared" ca="1" si="38"/>
        <v>9336405227966.8086</v>
      </c>
      <c r="F335" s="40">
        <f t="shared" ca="1" si="39"/>
        <v>12998845744660.33</v>
      </c>
      <c r="G335" s="40">
        <f t="shared" ca="1" si="40"/>
        <v>2173445748177.9063</v>
      </c>
      <c r="H335" s="40">
        <f t="shared" ca="1" si="41"/>
        <v>9336405227966.8086</v>
      </c>
      <c r="I335" s="40">
        <f t="shared" ca="1" si="42"/>
        <v>2854030211372.5171</v>
      </c>
      <c r="J335" s="40">
        <f t="shared" ca="1" si="43"/>
        <v>1370724274896.8713</v>
      </c>
      <c r="K335" s="41">
        <f t="shared" ca="1" si="44"/>
        <v>2.0821329742535162</v>
      </c>
    </row>
    <row r="336" spans="2:11" ht="15" customHeight="1" x14ac:dyDescent="0.35">
      <c r="B336" s="5">
        <v>315</v>
      </c>
      <c r="C336" s="39">
        <f t="shared" ca="1" si="36"/>
        <v>3.8333653894458051</v>
      </c>
      <c r="D336" s="40">
        <f t="shared" ca="1" si="37"/>
        <v>16736058519.923338</v>
      </c>
      <c r="E336" s="40">
        <f t="shared" ca="1" si="38"/>
        <v>102682551393431.19</v>
      </c>
      <c r="F336" s="40">
        <f t="shared" ca="1" si="39"/>
        <v>2514905844781.5098</v>
      </c>
      <c r="G336" s="40">
        <f t="shared" ca="1" si="40"/>
        <v>3766463215384.1279</v>
      </c>
      <c r="H336" s="40">
        <f t="shared" ca="1" si="41"/>
        <v>3766463215384.1279</v>
      </c>
      <c r="I336" s="40">
        <f t="shared" ca="1" si="42"/>
        <v>1343336373342.6492</v>
      </c>
      <c r="J336" s="40">
        <f t="shared" ca="1" si="43"/>
        <v>1450330190418.3899</v>
      </c>
      <c r="K336" s="41">
        <f t="shared" ca="1" si="44"/>
        <v>0.92622795982418649</v>
      </c>
    </row>
    <row r="337" spans="2:11" ht="15" customHeight="1" x14ac:dyDescent="0.35">
      <c r="B337" s="5">
        <v>316</v>
      </c>
      <c r="C337" s="39">
        <f t="shared" ca="1" si="36"/>
        <v>3.1037336031888416</v>
      </c>
      <c r="D337" s="40">
        <f t="shared" ca="1" si="37"/>
        <v>6356190160.2000465</v>
      </c>
      <c r="E337" s="40">
        <f t="shared" ca="1" si="38"/>
        <v>5262968448367.9121</v>
      </c>
      <c r="F337" s="40">
        <f t="shared" ca="1" si="39"/>
        <v>16150763583341.123</v>
      </c>
      <c r="G337" s="40">
        <f t="shared" ca="1" si="40"/>
        <v>29004115258734.621</v>
      </c>
      <c r="H337" s="40">
        <f t="shared" ca="1" si="41"/>
        <v>5262968448367.9121</v>
      </c>
      <c r="I337" s="40">
        <f t="shared" ca="1" si="42"/>
        <v>2533564695291.1216</v>
      </c>
      <c r="J337" s="40">
        <f t="shared" ca="1" si="43"/>
        <v>1140013499596.4834</v>
      </c>
      <c r="K337" s="41">
        <f t="shared" ca="1" si="44"/>
        <v>2.2223988542134778</v>
      </c>
    </row>
    <row r="338" spans="2:11" ht="15" customHeight="1" x14ac:dyDescent="0.35">
      <c r="B338" s="5">
        <v>317</v>
      </c>
      <c r="C338" s="39">
        <f t="shared" ca="1" si="36"/>
        <v>3.3273169371768598</v>
      </c>
      <c r="D338" s="40">
        <f t="shared" ca="1" si="37"/>
        <v>7579847414.0845013</v>
      </c>
      <c r="E338" s="40">
        <f t="shared" ca="1" si="38"/>
        <v>26495038959704.23</v>
      </c>
      <c r="F338" s="40">
        <f t="shared" ca="1" si="39"/>
        <v>4119787612108.4121</v>
      </c>
      <c r="G338" s="40">
        <f t="shared" ca="1" si="40"/>
        <v>9265705653901.0566</v>
      </c>
      <c r="H338" s="40">
        <f t="shared" ca="1" si="41"/>
        <v>4119787612108.4121</v>
      </c>
      <c r="I338" s="40">
        <f t="shared" ca="1" si="42"/>
        <v>9219802801381.4727</v>
      </c>
      <c r="J338" s="40">
        <f t="shared" ca="1" si="43"/>
        <v>1428970384660.0474</v>
      </c>
      <c r="K338" s="41">
        <f t="shared" ca="1" si="44"/>
        <v>6.4520600989046164</v>
      </c>
    </row>
    <row r="339" spans="2:11" ht="15" customHeight="1" x14ac:dyDescent="0.35">
      <c r="B339" s="5">
        <v>318</v>
      </c>
      <c r="C339" s="39">
        <f t="shared" ca="1" si="36"/>
        <v>2.6943390733521024</v>
      </c>
      <c r="D339" s="40">
        <f t="shared" ca="1" si="37"/>
        <v>3126677508.4446173</v>
      </c>
      <c r="E339" s="40">
        <f t="shared" ca="1" si="38"/>
        <v>9378098570174.5156</v>
      </c>
      <c r="F339" s="40">
        <f t="shared" ca="1" si="39"/>
        <v>1020810156800.5935</v>
      </c>
      <c r="G339" s="40">
        <f t="shared" ca="1" si="40"/>
        <v>5823850571512.0762</v>
      </c>
      <c r="H339" s="40">
        <f t="shared" ca="1" si="41"/>
        <v>5823850571512.0762</v>
      </c>
      <c r="I339" s="40">
        <f t="shared" ca="1" si="42"/>
        <v>1379269955887.0757</v>
      </c>
      <c r="J339" s="40">
        <f t="shared" ca="1" si="43"/>
        <v>1753896479261.4272</v>
      </c>
      <c r="K339" s="41">
        <f t="shared" ca="1" si="44"/>
        <v>0.78640328673667881</v>
      </c>
    </row>
    <row r="340" spans="2:11" ht="15" customHeight="1" x14ac:dyDescent="0.35">
      <c r="B340" s="5">
        <v>319</v>
      </c>
      <c r="C340" s="39">
        <f t="shared" ca="1" si="36"/>
        <v>3.3415570897823113</v>
      </c>
      <c r="D340" s="40">
        <f t="shared" ca="1" si="37"/>
        <v>8032643525.1771545</v>
      </c>
      <c r="E340" s="40">
        <f t="shared" ca="1" si="38"/>
        <v>25501016370536.973</v>
      </c>
      <c r="F340" s="40">
        <f t="shared" ca="1" si="39"/>
        <v>991425906129.41785</v>
      </c>
      <c r="G340" s="40">
        <f t="shared" ca="1" si="40"/>
        <v>42140716094811.414</v>
      </c>
      <c r="H340" s="40">
        <f t="shared" ca="1" si="41"/>
        <v>42140716094811.414</v>
      </c>
      <c r="I340" s="40">
        <f t="shared" ca="1" si="42"/>
        <v>17365982803517.771</v>
      </c>
      <c r="J340" s="40">
        <f t="shared" ca="1" si="43"/>
        <v>1050530861672.2843</v>
      </c>
      <c r="K340" s="41">
        <f t="shared" ca="1" si="44"/>
        <v>16.530673621404883</v>
      </c>
    </row>
    <row r="341" spans="2:11" ht="15" customHeight="1" x14ac:dyDescent="0.35">
      <c r="B341" s="5">
        <v>320</v>
      </c>
      <c r="C341" s="39">
        <f t="shared" ca="1" si="36"/>
        <v>2.5390061331351408</v>
      </c>
      <c r="D341" s="40">
        <f t="shared" ca="1" si="37"/>
        <v>2180809973.4111705</v>
      </c>
      <c r="E341" s="40">
        <f t="shared" ca="1" si="38"/>
        <v>5275350282387.7773</v>
      </c>
      <c r="F341" s="40">
        <f t="shared" ca="1" si="39"/>
        <v>5650212662711.166</v>
      </c>
      <c r="G341" s="40">
        <f t="shared" ca="1" si="40"/>
        <v>7565679061234.5654</v>
      </c>
      <c r="H341" s="40">
        <f t="shared" ca="1" si="41"/>
        <v>5275350282387.7773</v>
      </c>
      <c r="I341" s="40">
        <f t="shared" ca="1" si="42"/>
        <v>5058968330451.7822</v>
      </c>
      <c r="J341" s="40">
        <f t="shared" ca="1" si="43"/>
        <v>1861410283876.3765</v>
      </c>
      <c r="K341" s="41">
        <f t="shared" ca="1" si="44"/>
        <v>2.7178147527564471</v>
      </c>
    </row>
    <row r="342" spans="2:11" ht="15" customHeight="1" x14ac:dyDescent="0.35">
      <c r="B342" s="5">
        <v>321</v>
      </c>
      <c r="C342" s="39">
        <f t="shared" ref="C342:C405" ca="1" si="45">MEDIAN(1.8,NORMINV(RAND(),$C$7,$D$7),4.5)</f>
        <v>3.3336728354061869</v>
      </c>
      <c r="D342" s="40">
        <f t="shared" ref="D342:D405" ca="1" si="46">($C$8+RAND()*($D$8-$C$8))*C342^5</f>
        <v>6658619206.4458637</v>
      </c>
      <c r="E342" s="40">
        <f t="shared" ref="E342:E405" ca="1" si="47">D342*($C$10+RAND()*($D$10-$C$10))*EXP(NORMINV(RAND(),$C$9,$D$9))*($C$11+RAND()*($D$11-$C$11))</f>
        <v>11115840768874.77</v>
      </c>
      <c r="F342" s="40">
        <f t="shared" ref="F342:F405" ca="1" si="48">EXP(NORMINV(RAND(),$C$12,$D$12))*EXP(NORMINV(RAND(),$C$13,$D$13))</f>
        <v>859419502337.34351</v>
      </c>
      <c r="G342" s="40">
        <f t="shared" ref="G342:G405" ca="1" si="49">EXP(NORMINV(RAND(),$C$14,$D$14))*($C$15+RAND()*($D$15-$C$15))*EXP(NORMINV(RAND(),$C$16,$D$16))/1000000*31536000</f>
        <v>2008703204735.7683</v>
      </c>
      <c r="H342" s="40">
        <f t="shared" ref="H342:H405" ca="1" si="50">CHOOSE(RANDBETWEEN(1,3),E342,F342,G342)</f>
        <v>2008703204735.7683</v>
      </c>
      <c r="I342" s="40">
        <f t="shared" ref="I342:I405" ca="1" si="51">EXP(NORMINV(RAND(),$C$14,$D$14))*($C$15+RAND()*($D$15-$C$15))*60</f>
        <v>1559718593262.2458</v>
      </c>
      <c r="J342" s="40">
        <f t="shared" ref="J342:J405" ca="1" si="52">($C$17+RAND()*($D$17-$C$17))*($C$18+RAND()*($D$18-$C$18))</f>
        <v>1103154595998.2891</v>
      </c>
      <c r="K342" s="41">
        <f t="shared" ref="K342:K405" ca="1" si="53">I342/J342</f>
        <v>1.4138712732740724</v>
      </c>
    </row>
    <row r="343" spans="2:11" ht="15" customHeight="1" x14ac:dyDescent="0.35">
      <c r="B343" s="5">
        <v>322</v>
      </c>
      <c r="C343" s="39">
        <f t="shared" ca="1" si="45"/>
        <v>3.1980638348688073</v>
      </c>
      <c r="D343" s="40">
        <f t="shared" ca="1" si="46"/>
        <v>7234987928.7763844</v>
      </c>
      <c r="E343" s="40">
        <f t="shared" ca="1" si="47"/>
        <v>91578726629397.922</v>
      </c>
      <c r="F343" s="40">
        <f t="shared" ca="1" si="48"/>
        <v>5277670136161.3809</v>
      </c>
      <c r="G343" s="40">
        <f t="shared" ca="1" si="49"/>
        <v>28507544196641.527</v>
      </c>
      <c r="H343" s="40">
        <f t="shared" ca="1" si="50"/>
        <v>91578726629397.922</v>
      </c>
      <c r="I343" s="40">
        <f t="shared" ca="1" si="51"/>
        <v>244490423276.46451</v>
      </c>
      <c r="J343" s="40">
        <f t="shared" ca="1" si="52"/>
        <v>914748528942.26843</v>
      </c>
      <c r="K343" s="41">
        <f t="shared" ca="1" si="53"/>
        <v>0.26727610435096394</v>
      </c>
    </row>
    <row r="344" spans="2:11" ht="15" customHeight="1" x14ac:dyDescent="0.35">
      <c r="B344" s="5">
        <v>323</v>
      </c>
      <c r="C344" s="39">
        <f t="shared" ca="1" si="45"/>
        <v>3.165528645101428</v>
      </c>
      <c r="D344" s="40">
        <f t="shared" ca="1" si="46"/>
        <v>6323511953.7028313</v>
      </c>
      <c r="E344" s="40">
        <f t="shared" ca="1" si="47"/>
        <v>39372047234635.398</v>
      </c>
      <c r="F344" s="40">
        <f t="shared" ca="1" si="48"/>
        <v>10673639102986.68</v>
      </c>
      <c r="G344" s="40">
        <f t="shared" ca="1" si="49"/>
        <v>56809743739468.57</v>
      </c>
      <c r="H344" s="40">
        <f t="shared" ca="1" si="50"/>
        <v>39372047234635.398</v>
      </c>
      <c r="I344" s="40">
        <f t="shared" ca="1" si="51"/>
        <v>4267124329926.3667</v>
      </c>
      <c r="J344" s="40">
        <f t="shared" ca="1" si="52"/>
        <v>867539910219.39929</v>
      </c>
      <c r="K344" s="41">
        <f t="shared" ca="1" si="53"/>
        <v>4.9186490208239739</v>
      </c>
    </row>
    <row r="345" spans="2:11" ht="15" customHeight="1" x14ac:dyDescent="0.35">
      <c r="B345" s="5">
        <v>324</v>
      </c>
      <c r="C345" s="39">
        <f t="shared" ca="1" si="45"/>
        <v>3.538686787275616</v>
      </c>
      <c r="D345" s="40">
        <f t="shared" ca="1" si="46"/>
        <v>8886998322.1719589</v>
      </c>
      <c r="E345" s="40">
        <f t="shared" ca="1" si="47"/>
        <v>97547843335446.781</v>
      </c>
      <c r="F345" s="40">
        <f t="shared" ca="1" si="48"/>
        <v>277386725723.52905</v>
      </c>
      <c r="G345" s="40">
        <f t="shared" ca="1" si="49"/>
        <v>1035977708128.3405</v>
      </c>
      <c r="H345" s="40">
        <f t="shared" ca="1" si="50"/>
        <v>1035977708128.3405</v>
      </c>
      <c r="I345" s="40">
        <f t="shared" ca="1" si="51"/>
        <v>17801683194938.102</v>
      </c>
      <c r="J345" s="40">
        <f t="shared" ca="1" si="52"/>
        <v>525909684011.01465</v>
      </c>
      <c r="K345" s="41">
        <f t="shared" ca="1" si="53"/>
        <v>33.84931621560569</v>
      </c>
    </row>
    <row r="346" spans="2:11" ht="15" customHeight="1" x14ac:dyDescent="0.35">
      <c r="B346" s="5">
        <v>325</v>
      </c>
      <c r="C346" s="39">
        <f t="shared" ca="1" si="45"/>
        <v>2.9162765431725255</v>
      </c>
      <c r="D346" s="40">
        <f t="shared" ca="1" si="46"/>
        <v>4889754747.4207687</v>
      </c>
      <c r="E346" s="40">
        <f t="shared" ca="1" si="47"/>
        <v>4328435949526.5845</v>
      </c>
      <c r="F346" s="40">
        <f t="shared" ca="1" si="48"/>
        <v>5107485148986.1445</v>
      </c>
      <c r="G346" s="40">
        <f t="shared" ca="1" si="49"/>
        <v>37379998132841.352</v>
      </c>
      <c r="H346" s="40">
        <f t="shared" ca="1" si="50"/>
        <v>5107485148986.1445</v>
      </c>
      <c r="I346" s="40">
        <f t="shared" ca="1" si="51"/>
        <v>12580635297611.711</v>
      </c>
      <c r="J346" s="40">
        <f t="shared" ca="1" si="52"/>
        <v>1074762542699.2625</v>
      </c>
      <c r="K346" s="41">
        <f t="shared" ca="1" si="53"/>
        <v>11.705502190293577</v>
      </c>
    </row>
    <row r="347" spans="2:11" ht="15" customHeight="1" x14ac:dyDescent="0.35">
      <c r="B347" s="5">
        <v>326</v>
      </c>
      <c r="C347" s="39">
        <f t="shared" ca="1" si="45"/>
        <v>2.7346937054058018</v>
      </c>
      <c r="D347" s="40">
        <f t="shared" ca="1" si="46"/>
        <v>2924743287.4103408</v>
      </c>
      <c r="E347" s="40">
        <f t="shared" ca="1" si="47"/>
        <v>17055440292688.123</v>
      </c>
      <c r="F347" s="40">
        <f t="shared" ca="1" si="48"/>
        <v>2446520125230.1362</v>
      </c>
      <c r="G347" s="40">
        <f t="shared" ca="1" si="49"/>
        <v>1450807685487.3853</v>
      </c>
      <c r="H347" s="40">
        <f t="shared" ca="1" si="50"/>
        <v>17055440292688.123</v>
      </c>
      <c r="I347" s="40">
        <f t="shared" ca="1" si="51"/>
        <v>46853305561555.93</v>
      </c>
      <c r="J347" s="40">
        <f t="shared" ca="1" si="52"/>
        <v>1274449496095.4163</v>
      </c>
      <c r="K347" s="41">
        <f t="shared" ca="1" si="53"/>
        <v>36.763563958479601</v>
      </c>
    </row>
    <row r="348" spans="2:11" ht="15" customHeight="1" x14ac:dyDescent="0.35">
      <c r="B348" s="5">
        <v>327</v>
      </c>
      <c r="C348" s="39">
        <f t="shared" ca="1" si="45"/>
        <v>2.6083744084572169</v>
      </c>
      <c r="D348" s="40">
        <f t="shared" ca="1" si="46"/>
        <v>2554020795.7214193</v>
      </c>
      <c r="E348" s="40">
        <f t="shared" ca="1" si="47"/>
        <v>20668622688761.734</v>
      </c>
      <c r="F348" s="40">
        <f t="shared" ca="1" si="48"/>
        <v>2176820674196.6646</v>
      </c>
      <c r="G348" s="40">
        <f t="shared" ca="1" si="49"/>
        <v>2945781480157.8208</v>
      </c>
      <c r="H348" s="40">
        <f t="shared" ca="1" si="50"/>
        <v>2176820674196.6646</v>
      </c>
      <c r="I348" s="40">
        <f t="shared" ca="1" si="51"/>
        <v>2084559967807.2781</v>
      </c>
      <c r="J348" s="40">
        <f t="shared" ca="1" si="52"/>
        <v>1067731581457.0256</v>
      </c>
      <c r="K348" s="41">
        <f t="shared" ca="1" si="53"/>
        <v>1.9523258504377001</v>
      </c>
    </row>
    <row r="349" spans="2:11" ht="15" customHeight="1" x14ac:dyDescent="0.35">
      <c r="B349" s="5">
        <v>328</v>
      </c>
      <c r="C349" s="39">
        <f t="shared" ca="1" si="45"/>
        <v>2.7101979659847464</v>
      </c>
      <c r="D349" s="40">
        <f t="shared" ca="1" si="46"/>
        <v>2883279860.2361217</v>
      </c>
      <c r="E349" s="40">
        <f t="shared" ca="1" si="47"/>
        <v>9795730493034.2363</v>
      </c>
      <c r="F349" s="40">
        <f t="shared" ca="1" si="48"/>
        <v>778542392283.96777</v>
      </c>
      <c r="G349" s="40">
        <f t="shared" ca="1" si="49"/>
        <v>6388615952017.2412</v>
      </c>
      <c r="H349" s="40">
        <f t="shared" ca="1" si="50"/>
        <v>6388615952017.2412</v>
      </c>
      <c r="I349" s="40">
        <f t="shared" ca="1" si="51"/>
        <v>11157673299226.15</v>
      </c>
      <c r="J349" s="40">
        <f t="shared" ca="1" si="52"/>
        <v>1569116463171.8035</v>
      </c>
      <c r="K349" s="41">
        <f t="shared" ca="1" si="53"/>
        <v>7.1107999699857141</v>
      </c>
    </row>
    <row r="350" spans="2:11" ht="15" customHeight="1" x14ac:dyDescent="0.35">
      <c r="B350" s="5">
        <v>329</v>
      </c>
      <c r="C350" s="39">
        <f t="shared" ca="1" si="45"/>
        <v>3.4495186900786625</v>
      </c>
      <c r="D350" s="40">
        <f t="shared" ca="1" si="46"/>
        <v>9063654669.9701977</v>
      </c>
      <c r="E350" s="40">
        <f t="shared" ca="1" si="47"/>
        <v>60333000633883.602</v>
      </c>
      <c r="F350" s="40">
        <f t="shared" ca="1" si="48"/>
        <v>1669116499827.707</v>
      </c>
      <c r="G350" s="40">
        <f t="shared" ca="1" si="49"/>
        <v>3222002280508.5308</v>
      </c>
      <c r="H350" s="40">
        <f t="shared" ca="1" si="50"/>
        <v>3222002280508.5308</v>
      </c>
      <c r="I350" s="40">
        <f t="shared" ca="1" si="51"/>
        <v>48255620223543.172</v>
      </c>
      <c r="J350" s="40">
        <f t="shared" ca="1" si="52"/>
        <v>1187996663352.6313</v>
      </c>
      <c r="K350" s="41">
        <f t="shared" ca="1" si="53"/>
        <v>40.619323026852243</v>
      </c>
    </row>
    <row r="351" spans="2:11" ht="15" customHeight="1" x14ac:dyDescent="0.35">
      <c r="B351" s="5">
        <v>330</v>
      </c>
      <c r="C351" s="39">
        <f t="shared" ca="1" si="45"/>
        <v>2.8734603173861664</v>
      </c>
      <c r="D351" s="40">
        <f t="shared" ca="1" si="46"/>
        <v>4278117773.652123</v>
      </c>
      <c r="E351" s="40">
        <f t="shared" ca="1" si="47"/>
        <v>9130169956060.127</v>
      </c>
      <c r="F351" s="40">
        <f t="shared" ca="1" si="48"/>
        <v>8966559163596.0215</v>
      </c>
      <c r="G351" s="40">
        <f t="shared" ca="1" si="49"/>
        <v>615031264385.40771</v>
      </c>
      <c r="H351" s="40">
        <f t="shared" ca="1" si="50"/>
        <v>8966559163596.0215</v>
      </c>
      <c r="I351" s="40">
        <f t="shared" ca="1" si="51"/>
        <v>24252587074667.773</v>
      </c>
      <c r="J351" s="40">
        <f t="shared" ca="1" si="52"/>
        <v>666824083583.98462</v>
      </c>
      <c r="K351" s="41">
        <f t="shared" ca="1" si="53"/>
        <v>36.370292662972226</v>
      </c>
    </row>
    <row r="352" spans="2:11" ht="15" customHeight="1" x14ac:dyDescent="0.35">
      <c r="B352" s="5">
        <v>331</v>
      </c>
      <c r="C352" s="39">
        <f t="shared" ca="1" si="45"/>
        <v>3.4923844344129673</v>
      </c>
      <c r="D352" s="40">
        <f t="shared" ca="1" si="46"/>
        <v>12376379456.846346</v>
      </c>
      <c r="E352" s="40">
        <f t="shared" ca="1" si="47"/>
        <v>132201187909642.27</v>
      </c>
      <c r="F352" s="40">
        <f t="shared" ca="1" si="48"/>
        <v>431057508577.40704</v>
      </c>
      <c r="G352" s="40">
        <f t="shared" ca="1" si="49"/>
        <v>2604168448464.6416</v>
      </c>
      <c r="H352" s="40">
        <f t="shared" ca="1" si="50"/>
        <v>431057508577.40704</v>
      </c>
      <c r="I352" s="40">
        <f t="shared" ca="1" si="51"/>
        <v>24402869437806.75</v>
      </c>
      <c r="J352" s="40">
        <f t="shared" ca="1" si="52"/>
        <v>867507725182.06519</v>
      </c>
      <c r="K352" s="41">
        <f t="shared" ca="1" si="53"/>
        <v>28.129858362569948</v>
      </c>
    </row>
    <row r="353" spans="2:11" ht="15" customHeight="1" x14ac:dyDescent="0.35">
      <c r="B353" s="5">
        <v>332</v>
      </c>
      <c r="C353" s="39">
        <f t="shared" ca="1" si="45"/>
        <v>3.0785882886474303</v>
      </c>
      <c r="D353" s="40">
        <f t="shared" ca="1" si="46"/>
        <v>5811276509.8688345</v>
      </c>
      <c r="E353" s="40">
        <f t="shared" ca="1" si="47"/>
        <v>28830926917578.383</v>
      </c>
      <c r="F353" s="40">
        <f t="shared" ca="1" si="48"/>
        <v>1184103322327.575</v>
      </c>
      <c r="G353" s="40">
        <f t="shared" ca="1" si="49"/>
        <v>2898780925090.3218</v>
      </c>
      <c r="H353" s="40">
        <f t="shared" ca="1" si="50"/>
        <v>1184103322327.575</v>
      </c>
      <c r="I353" s="40">
        <f t="shared" ca="1" si="51"/>
        <v>62641867790078.383</v>
      </c>
      <c r="J353" s="40">
        <f t="shared" ca="1" si="52"/>
        <v>1699905761948.7078</v>
      </c>
      <c r="K353" s="41">
        <f t="shared" ca="1" si="53"/>
        <v>36.850200283025167</v>
      </c>
    </row>
    <row r="354" spans="2:11" ht="15" customHeight="1" x14ac:dyDescent="0.35">
      <c r="B354" s="5">
        <v>333</v>
      </c>
      <c r="C354" s="39">
        <f t="shared" ca="1" si="45"/>
        <v>2.9219219445350664</v>
      </c>
      <c r="D354" s="40">
        <f t="shared" ca="1" si="46"/>
        <v>5018633378.9965239</v>
      </c>
      <c r="E354" s="40">
        <f t="shared" ca="1" si="47"/>
        <v>59925257348262.523</v>
      </c>
      <c r="F354" s="40">
        <f t="shared" ca="1" si="48"/>
        <v>1849913529724.4863</v>
      </c>
      <c r="G354" s="40">
        <f t="shared" ca="1" si="49"/>
        <v>7101078144129.6885</v>
      </c>
      <c r="H354" s="40">
        <f t="shared" ca="1" si="50"/>
        <v>7101078144129.6885</v>
      </c>
      <c r="I354" s="40">
        <f t="shared" ca="1" si="51"/>
        <v>588172850462.89697</v>
      </c>
      <c r="J354" s="40">
        <f t="shared" ca="1" si="52"/>
        <v>1147610477968.1062</v>
      </c>
      <c r="K354" s="41">
        <f t="shared" ca="1" si="53"/>
        <v>0.51251958896740146</v>
      </c>
    </row>
    <row r="355" spans="2:11" ht="15" customHeight="1" x14ac:dyDescent="0.35">
      <c r="B355" s="5">
        <v>334</v>
      </c>
      <c r="C355" s="39">
        <f t="shared" ca="1" si="45"/>
        <v>3.440717266339687</v>
      </c>
      <c r="D355" s="40">
        <f t="shared" ca="1" si="46"/>
        <v>8826272217.7254257</v>
      </c>
      <c r="E355" s="40">
        <f t="shared" ca="1" si="47"/>
        <v>83551999836159.859</v>
      </c>
      <c r="F355" s="40">
        <f t="shared" ca="1" si="48"/>
        <v>3883250045122.3936</v>
      </c>
      <c r="G355" s="40">
        <f t="shared" ca="1" si="49"/>
        <v>29444028051341.68</v>
      </c>
      <c r="H355" s="40">
        <f t="shared" ca="1" si="50"/>
        <v>83551999836159.859</v>
      </c>
      <c r="I355" s="40">
        <f t="shared" ca="1" si="51"/>
        <v>13002963684390.262</v>
      </c>
      <c r="J355" s="40">
        <f t="shared" ca="1" si="52"/>
        <v>847365846520.05701</v>
      </c>
      <c r="K355" s="41">
        <f t="shared" ca="1" si="53"/>
        <v>15.345159045281964</v>
      </c>
    </row>
    <row r="356" spans="2:11" ht="15" customHeight="1" x14ac:dyDescent="0.35">
      <c r="B356" s="5">
        <v>335</v>
      </c>
      <c r="C356" s="39">
        <f t="shared" ca="1" si="45"/>
        <v>2.7587276824151763</v>
      </c>
      <c r="D356" s="40">
        <f t="shared" ca="1" si="46"/>
        <v>3412378532.0952287</v>
      </c>
      <c r="E356" s="40">
        <f t="shared" ca="1" si="47"/>
        <v>22474508046662.871</v>
      </c>
      <c r="F356" s="40">
        <f t="shared" ca="1" si="48"/>
        <v>2449668904741.7104</v>
      </c>
      <c r="G356" s="40">
        <f t="shared" ca="1" si="49"/>
        <v>487436692353.94812</v>
      </c>
      <c r="H356" s="40">
        <f t="shared" ca="1" si="50"/>
        <v>22474508046662.871</v>
      </c>
      <c r="I356" s="40">
        <f t="shared" ca="1" si="51"/>
        <v>2247681232461.144</v>
      </c>
      <c r="J356" s="40">
        <f t="shared" ca="1" si="52"/>
        <v>1473070014619.9907</v>
      </c>
      <c r="K356" s="41">
        <f t="shared" ca="1" si="53"/>
        <v>1.5258482014793984</v>
      </c>
    </row>
    <row r="357" spans="2:11" ht="15" customHeight="1" x14ac:dyDescent="0.35">
      <c r="B357" s="5">
        <v>336</v>
      </c>
      <c r="C357" s="39">
        <f t="shared" ca="1" si="45"/>
        <v>2.8200579397206864</v>
      </c>
      <c r="D357" s="40">
        <f t="shared" ca="1" si="46"/>
        <v>3140560356.453084</v>
      </c>
      <c r="E357" s="40">
        <f t="shared" ca="1" si="47"/>
        <v>16238981427098.059</v>
      </c>
      <c r="F357" s="40">
        <f t="shared" ca="1" si="48"/>
        <v>1423277672296.7729</v>
      </c>
      <c r="G357" s="40">
        <f t="shared" ca="1" si="49"/>
        <v>8672085551389.0371</v>
      </c>
      <c r="H357" s="40">
        <f t="shared" ca="1" si="50"/>
        <v>16238981427098.059</v>
      </c>
      <c r="I357" s="40">
        <f t="shared" ca="1" si="51"/>
        <v>6777693262867.541</v>
      </c>
      <c r="J357" s="40">
        <f t="shared" ca="1" si="52"/>
        <v>1576758611846.6001</v>
      </c>
      <c r="K357" s="41">
        <f t="shared" ca="1" si="53"/>
        <v>4.2984976977103262</v>
      </c>
    </row>
    <row r="358" spans="2:11" ht="15" customHeight="1" x14ac:dyDescent="0.35">
      <c r="B358" s="5">
        <v>337</v>
      </c>
      <c r="C358" s="39">
        <f t="shared" ca="1" si="45"/>
        <v>2.7829477310854016</v>
      </c>
      <c r="D358" s="40">
        <f t="shared" ca="1" si="46"/>
        <v>2715206543.1487722</v>
      </c>
      <c r="E358" s="40">
        <f t="shared" ca="1" si="47"/>
        <v>38262910250109.82</v>
      </c>
      <c r="F358" s="40">
        <f t="shared" ca="1" si="48"/>
        <v>3452372133966.7329</v>
      </c>
      <c r="G358" s="40">
        <f t="shared" ca="1" si="49"/>
        <v>22505806089961.453</v>
      </c>
      <c r="H358" s="40">
        <f t="shared" ca="1" si="50"/>
        <v>22505806089961.453</v>
      </c>
      <c r="I358" s="40">
        <f t="shared" ca="1" si="51"/>
        <v>30252025469632.199</v>
      </c>
      <c r="J358" s="40">
        <f t="shared" ca="1" si="52"/>
        <v>667672949147.88977</v>
      </c>
      <c r="K358" s="41">
        <f t="shared" ca="1" si="53"/>
        <v>45.309646748817684</v>
      </c>
    </row>
    <row r="359" spans="2:11" ht="15" customHeight="1" x14ac:dyDescent="0.35">
      <c r="B359" s="5">
        <v>338</v>
      </c>
      <c r="C359" s="39">
        <f t="shared" ca="1" si="45"/>
        <v>3.1931423229355826</v>
      </c>
      <c r="D359" s="40">
        <f t="shared" ca="1" si="46"/>
        <v>5930881301.7901125</v>
      </c>
      <c r="E359" s="40">
        <f t="shared" ca="1" si="47"/>
        <v>60171295679439.383</v>
      </c>
      <c r="F359" s="40">
        <f t="shared" ca="1" si="48"/>
        <v>8382241434920.166</v>
      </c>
      <c r="G359" s="40">
        <f t="shared" ca="1" si="49"/>
        <v>10285775975910.408</v>
      </c>
      <c r="H359" s="40">
        <f t="shared" ca="1" si="50"/>
        <v>60171295679439.383</v>
      </c>
      <c r="I359" s="40">
        <f t="shared" ca="1" si="51"/>
        <v>1544524115068.123</v>
      </c>
      <c r="J359" s="40">
        <f t="shared" ca="1" si="52"/>
        <v>1208856177395.8894</v>
      </c>
      <c r="K359" s="41">
        <f t="shared" ca="1" si="53"/>
        <v>1.2776740061794014</v>
      </c>
    </row>
    <row r="360" spans="2:11" ht="15" customHeight="1" x14ac:dyDescent="0.35">
      <c r="B360" s="5">
        <v>339</v>
      </c>
      <c r="C360" s="39">
        <f t="shared" ca="1" si="45"/>
        <v>2.771236123134873</v>
      </c>
      <c r="D360" s="40">
        <f t="shared" ca="1" si="46"/>
        <v>3440981065.5139265</v>
      </c>
      <c r="E360" s="40">
        <f t="shared" ca="1" si="47"/>
        <v>10209752844854.154</v>
      </c>
      <c r="F360" s="40">
        <f t="shared" ca="1" si="48"/>
        <v>8128193903020.0059</v>
      </c>
      <c r="G360" s="40">
        <f t="shared" ca="1" si="49"/>
        <v>14513376437588.727</v>
      </c>
      <c r="H360" s="40">
        <f t="shared" ca="1" si="50"/>
        <v>10209752844854.154</v>
      </c>
      <c r="I360" s="40">
        <f t="shared" ca="1" si="51"/>
        <v>14352502123558.033</v>
      </c>
      <c r="J360" s="40">
        <f t="shared" ca="1" si="52"/>
        <v>569777602344.89148</v>
      </c>
      <c r="K360" s="41">
        <f t="shared" ca="1" si="53"/>
        <v>25.189656568617337</v>
      </c>
    </row>
    <row r="361" spans="2:11" ht="15" customHeight="1" x14ac:dyDescent="0.35">
      <c r="B361" s="5">
        <v>340</v>
      </c>
      <c r="C361" s="39">
        <f t="shared" ca="1" si="45"/>
        <v>2.9077762668023985</v>
      </c>
      <c r="D361" s="40">
        <f t="shared" ca="1" si="46"/>
        <v>4221639706.0279512</v>
      </c>
      <c r="E361" s="40">
        <f t="shared" ca="1" si="47"/>
        <v>37880438301716.641</v>
      </c>
      <c r="F361" s="40">
        <f t="shared" ca="1" si="48"/>
        <v>16468449624748.264</v>
      </c>
      <c r="G361" s="40">
        <f t="shared" ca="1" si="49"/>
        <v>566632860124.49683</v>
      </c>
      <c r="H361" s="40">
        <f t="shared" ca="1" si="50"/>
        <v>37880438301716.641</v>
      </c>
      <c r="I361" s="40">
        <f t="shared" ca="1" si="51"/>
        <v>35322395025426.414</v>
      </c>
      <c r="J361" s="40">
        <f t="shared" ca="1" si="52"/>
        <v>501025789247.60712</v>
      </c>
      <c r="K361" s="41">
        <f t="shared" ca="1" si="53"/>
        <v>70.500153452121154</v>
      </c>
    </row>
    <row r="362" spans="2:11" ht="15" customHeight="1" x14ac:dyDescent="0.35">
      <c r="B362" s="5">
        <v>341</v>
      </c>
      <c r="C362" s="39">
        <f t="shared" ca="1" si="45"/>
        <v>2.9904676106791843</v>
      </c>
      <c r="D362" s="40">
        <f t="shared" ca="1" si="46"/>
        <v>4550412386.6610746</v>
      </c>
      <c r="E362" s="40">
        <f t="shared" ca="1" si="47"/>
        <v>35856345913440.758</v>
      </c>
      <c r="F362" s="40">
        <f t="shared" ca="1" si="48"/>
        <v>3010329098035.5952</v>
      </c>
      <c r="G362" s="40">
        <f t="shared" ca="1" si="49"/>
        <v>3911849577027.6108</v>
      </c>
      <c r="H362" s="40">
        <f t="shared" ca="1" si="50"/>
        <v>35856345913440.758</v>
      </c>
      <c r="I362" s="40">
        <f t="shared" ca="1" si="51"/>
        <v>2594115446291.272</v>
      </c>
      <c r="J362" s="40">
        <f t="shared" ca="1" si="52"/>
        <v>1195064623256.9534</v>
      </c>
      <c r="K362" s="41">
        <f t="shared" ca="1" si="53"/>
        <v>2.1706905181591218</v>
      </c>
    </row>
    <row r="363" spans="2:11" ht="15" customHeight="1" x14ac:dyDescent="0.35">
      <c r="B363" s="5">
        <v>342</v>
      </c>
      <c r="C363" s="39">
        <f t="shared" ca="1" si="45"/>
        <v>3.5589456184527837</v>
      </c>
      <c r="D363" s="40">
        <f t="shared" ca="1" si="46"/>
        <v>11715788263.96784</v>
      </c>
      <c r="E363" s="40">
        <f t="shared" ca="1" si="47"/>
        <v>37195896299081.836</v>
      </c>
      <c r="F363" s="40">
        <f t="shared" ca="1" si="48"/>
        <v>452073427708.30817</v>
      </c>
      <c r="G363" s="40">
        <f t="shared" ca="1" si="49"/>
        <v>41643488583120.961</v>
      </c>
      <c r="H363" s="40">
        <f t="shared" ca="1" si="50"/>
        <v>37195896299081.836</v>
      </c>
      <c r="I363" s="40">
        <f t="shared" ca="1" si="51"/>
        <v>14685435564183.852</v>
      </c>
      <c r="J363" s="40">
        <f t="shared" ca="1" si="52"/>
        <v>818190751611.85242</v>
      </c>
      <c r="K363" s="41">
        <f t="shared" ca="1" si="53"/>
        <v>17.948669714554025</v>
      </c>
    </row>
    <row r="364" spans="2:11" ht="15" customHeight="1" x14ac:dyDescent="0.35">
      <c r="B364" s="5">
        <v>343</v>
      </c>
      <c r="C364" s="39">
        <f t="shared" ca="1" si="45"/>
        <v>2.2181541372226032</v>
      </c>
      <c r="D364" s="40">
        <f t="shared" ca="1" si="46"/>
        <v>918871834.03993332</v>
      </c>
      <c r="E364" s="40">
        <f t="shared" ca="1" si="47"/>
        <v>2031846260505.8462</v>
      </c>
      <c r="F364" s="40">
        <f t="shared" ca="1" si="48"/>
        <v>1665598159764.3521</v>
      </c>
      <c r="G364" s="40">
        <f t="shared" ca="1" si="49"/>
        <v>5030788627902.1016</v>
      </c>
      <c r="H364" s="40">
        <f t="shared" ca="1" si="50"/>
        <v>1665598159764.3521</v>
      </c>
      <c r="I364" s="40">
        <f t="shared" ca="1" si="51"/>
        <v>18675477345802.949</v>
      </c>
      <c r="J364" s="40">
        <f t="shared" ca="1" si="52"/>
        <v>606928436849.55615</v>
      </c>
      <c r="K364" s="41">
        <f t="shared" ca="1" si="53"/>
        <v>30.770476734857915</v>
      </c>
    </row>
    <row r="365" spans="2:11" ht="15" customHeight="1" x14ac:dyDescent="0.35">
      <c r="B365" s="5">
        <v>344</v>
      </c>
      <c r="C365" s="39">
        <f t="shared" ca="1" si="45"/>
        <v>3.0205358950813803</v>
      </c>
      <c r="D365" s="40">
        <f t="shared" ca="1" si="46"/>
        <v>4513401957.8178377</v>
      </c>
      <c r="E365" s="40">
        <f t="shared" ca="1" si="47"/>
        <v>12689667138177.271</v>
      </c>
      <c r="F365" s="40">
        <f t="shared" ca="1" si="48"/>
        <v>1646241642100.6011</v>
      </c>
      <c r="G365" s="40">
        <f t="shared" ca="1" si="49"/>
        <v>763947929776.69006</v>
      </c>
      <c r="H365" s="40">
        <f t="shared" ca="1" si="50"/>
        <v>1646241642100.6011</v>
      </c>
      <c r="I365" s="40">
        <f t="shared" ca="1" si="51"/>
        <v>34279347543344.523</v>
      </c>
      <c r="J365" s="40">
        <f t="shared" ca="1" si="52"/>
        <v>877364947979.19385</v>
      </c>
      <c r="K365" s="41">
        <f t="shared" ca="1" si="53"/>
        <v>39.070796733216923</v>
      </c>
    </row>
    <row r="366" spans="2:11" ht="15" customHeight="1" x14ac:dyDescent="0.35">
      <c r="B366" s="5">
        <v>345</v>
      </c>
      <c r="C366" s="39">
        <f t="shared" ca="1" si="45"/>
        <v>2.7773196309012258</v>
      </c>
      <c r="D366" s="40">
        <f t="shared" ca="1" si="46"/>
        <v>3059479582.5559368</v>
      </c>
      <c r="E366" s="40">
        <f t="shared" ca="1" si="47"/>
        <v>15649142593916.236</v>
      </c>
      <c r="F366" s="40">
        <f t="shared" ca="1" si="48"/>
        <v>10177351096049.383</v>
      </c>
      <c r="G366" s="40">
        <f t="shared" ca="1" si="49"/>
        <v>1615862595435.2913</v>
      </c>
      <c r="H366" s="40">
        <f t="shared" ca="1" si="50"/>
        <v>10177351096049.383</v>
      </c>
      <c r="I366" s="40">
        <f t="shared" ca="1" si="51"/>
        <v>962892559978.70801</v>
      </c>
      <c r="J366" s="40">
        <f t="shared" ca="1" si="52"/>
        <v>957131646525.13464</v>
      </c>
      <c r="K366" s="41">
        <f t="shared" ca="1" si="53"/>
        <v>1.0060189352995361</v>
      </c>
    </row>
    <row r="367" spans="2:11" ht="15" customHeight="1" x14ac:dyDescent="0.35">
      <c r="B367" s="5">
        <v>346</v>
      </c>
      <c r="C367" s="39">
        <f t="shared" ca="1" si="45"/>
        <v>3.7551282853188943</v>
      </c>
      <c r="D367" s="40">
        <f t="shared" ca="1" si="46"/>
        <v>16946866661.226128</v>
      </c>
      <c r="E367" s="40">
        <f t="shared" ca="1" si="47"/>
        <v>66492527684596.969</v>
      </c>
      <c r="F367" s="40">
        <f t="shared" ca="1" si="48"/>
        <v>2846539600219.1089</v>
      </c>
      <c r="G367" s="40">
        <f t="shared" ca="1" si="49"/>
        <v>11320266667018.463</v>
      </c>
      <c r="H367" s="40">
        <f t="shared" ca="1" si="50"/>
        <v>2846539600219.1089</v>
      </c>
      <c r="I367" s="40">
        <f t="shared" ca="1" si="51"/>
        <v>6559725081165.6367</v>
      </c>
      <c r="J367" s="40">
        <f t="shared" ca="1" si="52"/>
        <v>544799911974.52283</v>
      </c>
      <c r="K367" s="41">
        <f t="shared" ca="1" si="53"/>
        <v>12.04061332791184</v>
      </c>
    </row>
    <row r="368" spans="2:11" ht="15" customHeight="1" x14ac:dyDescent="0.35">
      <c r="B368" s="5">
        <v>347</v>
      </c>
      <c r="C368" s="39">
        <f t="shared" ca="1" si="45"/>
        <v>2.5731258290735433</v>
      </c>
      <c r="D368" s="40">
        <f t="shared" ca="1" si="46"/>
        <v>2053146628.7455764</v>
      </c>
      <c r="E368" s="40">
        <f t="shared" ca="1" si="47"/>
        <v>9417760142332.5352</v>
      </c>
      <c r="F368" s="40">
        <f t="shared" ca="1" si="48"/>
        <v>1622465213278.1055</v>
      </c>
      <c r="G368" s="40">
        <f t="shared" ca="1" si="49"/>
        <v>4389449115369.1763</v>
      </c>
      <c r="H368" s="40">
        <f t="shared" ca="1" si="50"/>
        <v>1622465213278.1055</v>
      </c>
      <c r="I368" s="40">
        <f t="shared" ca="1" si="51"/>
        <v>1309382909156.302</v>
      </c>
      <c r="J368" s="40">
        <f t="shared" ca="1" si="52"/>
        <v>1203978898476.3228</v>
      </c>
      <c r="K368" s="41">
        <f t="shared" ca="1" si="53"/>
        <v>1.0875463937228234</v>
      </c>
    </row>
    <row r="369" spans="2:11" ht="15" customHeight="1" x14ac:dyDescent="0.35">
      <c r="B369" s="5">
        <v>348</v>
      </c>
      <c r="C369" s="39">
        <f t="shared" ca="1" si="45"/>
        <v>3.7673610780537081</v>
      </c>
      <c r="D369" s="40">
        <f t="shared" ca="1" si="46"/>
        <v>17724101011.949078</v>
      </c>
      <c r="E369" s="40">
        <f t="shared" ca="1" si="47"/>
        <v>158003781974512.19</v>
      </c>
      <c r="F369" s="40">
        <f t="shared" ca="1" si="48"/>
        <v>6433620663554.1455</v>
      </c>
      <c r="G369" s="40">
        <f t="shared" ca="1" si="49"/>
        <v>14571225603098.941</v>
      </c>
      <c r="H369" s="40">
        <f t="shared" ca="1" si="50"/>
        <v>158003781974512.19</v>
      </c>
      <c r="I369" s="40">
        <f t="shared" ca="1" si="51"/>
        <v>12074472169683.514</v>
      </c>
      <c r="J369" s="40">
        <f t="shared" ca="1" si="52"/>
        <v>988319484727.80908</v>
      </c>
      <c r="K369" s="41">
        <f t="shared" ca="1" si="53"/>
        <v>12.217175069667798</v>
      </c>
    </row>
    <row r="370" spans="2:11" ht="15" customHeight="1" x14ac:dyDescent="0.35">
      <c r="B370" s="5">
        <v>349</v>
      </c>
      <c r="C370" s="39">
        <f t="shared" ca="1" si="45"/>
        <v>3.3207069189001852</v>
      </c>
      <c r="D370" s="40">
        <f t="shared" ca="1" si="46"/>
        <v>8424947329.5961628</v>
      </c>
      <c r="E370" s="40">
        <f t="shared" ca="1" si="47"/>
        <v>17137534748704.586</v>
      </c>
      <c r="F370" s="40">
        <f t="shared" ca="1" si="48"/>
        <v>597161031596.8678</v>
      </c>
      <c r="G370" s="40">
        <f t="shared" ca="1" si="49"/>
        <v>1923430491336.6414</v>
      </c>
      <c r="H370" s="40">
        <f t="shared" ca="1" si="50"/>
        <v>17137534748704.586</v>
      </c>
      <c r="I370" s="40">
        <f t="shared" ca="1" si="51"/>
        <v>4873093399027.2666</v>
      </c>
      <c r="J370" s="40">
        <f t="shared" ca="1" si="52"/>
        <v>539976004132.81226</v>
      </c>
      <c r="K370" s="41">
        <f t="shared" ca="1" si="53"/>
        <v>9.0246480616362401</v>
      </c>
    </row>
    <row r="371" spans="2:11" ht="15" customHeight="1" x14ac:dyDescent="0.35">
      <c r="B371" s="5">
        <v>350</v>
      </c>
      <c r="C371" s="39">
        <f t="shared" ca="1" si="45"/>
        <v>3.3391653875536687</v>
      </c>
      <c r="D371" s="40">
        <f t="shared" ca="1" si="46"/>
        <v>7992267646.2696123</v>
      </c>
      <c r="E371" s="40">
        <f t="shared" ca="1" si="47"/>
        <v>9414897951023.3848</v>
      </c>
      <c r="F371" s="40">
        <f t="shared" ca="1" si="48"/>
        <v>1084901756330.6949</v>
      </c>
      <c r="G371" s="40">
        <f t="shared" ca="1" si="49"/>
        <v>4478966274391.0596</v>
      </c>
      <c r="H371" s="40">
        <f t="shared" ca="1" si="50"/>
        <v>9414897951023.3848</v>
      </c>
      <c r="I371" s="40">
        <f t="shared" ca="1" si="51"/>
        <v>4965001455579.8809</v>
      </c>
      <c r="J371" s="40">
        <f t="shared" ca="1" si="52"/>
        <v>1499030224422.5898</v>
      </c>
      <c r="K371" s="41">
        <f t="shared" ca="1" si="53"/>
        <v>3.3121423268782624</v>
      </c>
    </row>
    <row r="372" spans="2:11" ht="15" customHeight="1" x14ac:dyDescent="0.35">
      <c r="B372" s="5">
        <v>351</v>
      </c>
      <c r="C372" s="39">
        <f t="shared" ca="1" si="45"/>
        <v>3.4638010117653573</v>
      </c>
      <c r="D372" s="40">
        <f t="shared" ca="1" si="46"/>
        <v>9141484072.1754761</v>
      </c>
      <c r="E372" s="40">
        <f t="shared" ca="1" si="47"/>
        <v>34499669276408.113</v>
      </c>
      <c r="F372" s="40">
        <f t="shared" ca="1" si="48"/>
        <v>2608212910304.4941</v>
      </c>
      <c r="G372" s="40">
        <f t="shared" ca="1" si="49"/>
        <v>58044229214924.563</v>
      </c>
      <c r="H372" s="40">
        <f t="shared" ca="1" si="50"/>
        <v>58044229214924.563</v>
      </c>
      <c r="I372" s="40">
        <f t="shared" ca="1" si="51"/>
        <v>2850667111351.6001</v>
      </c>
      <c r="J372" s="40">
        <f t="shared" ca="1" si="52"/>
        <v>854990826240.85901</v>
      </c>
      <c r="K372" s="41">
        <f t="shared" ca="1" si="53"/>
        <v>3.3341493544265703</v>
      </c>
    </row>
    <row r="373" spans="2:11" ht="15" customHeight="1" x14ac:dyDescent="0.35">
      <c r="B373" s="5">
        <v>352</v>
      </c>
      <c r="C373" s="39">
        <f t="shared" ca="1" si="45"/>
        <v>2.6186675401346506</v>
      </c>
      <c r="D373" s="40">
        <f t="shared" ca="1" si="46"/>
        <v>2439902483.2184215</v>
      </c>
      <c r="E373" s="40">
        <f t="shared" ca="1" si="47"/>
        <v>9576247960823.4492</v>
      </c>
      <c r="F373" s="40">
        <f t="shared" ca="1" si="48"/>
        <v>730428844834.69177</v>
      </c>
      <c r="G373" s="40">
        <f t="shared" ca="1" si="49"/>
        <v>6129521516570.6074</v>
      </c>
      <c r="H373" s="40">
        <f t="shared" ca="1" si="50"/>
        <v>730428844834.69177</v>
      </c>
      <c r="I373" s="40">
        <f t="shared" ca="1" si="51"/>
        <v>14384718360525.627</v>
      </c>
      <c r="J373" s="40">
        <f t="shared" ca="1" si="52"/>
        <v>709085481589.28992</v>
      </c>
      <c r="K373" s="41">
        <f t="shared" ca="1" si="53"/>
        <v>20.286296552405531</v>
      </c>
    </row>
    <row r="374" spans="2:11" ht="15" customHeight="1" x14ac:dyDescent="0.35">
      <c r="B374" s="5">
        <v>353</v>
      </c>
      <c r="C374" s="39">
        <f t="shared" ca="1" si="45"/>
        <v>3.0251408960726702</v>
      </c>
      <c r="D374" s="40">
        <f t="shared" ca="1" si="46"/>
        <v>5216050233.9026699</v>
      </c>
      <c r="E374" s="40">
        <f t="shared" ca="1" si="47"/>
        <v>48267109586788.797</v>
      </c>
      <c r="F374" s="40">
        <f t="shared" ca="1" si="48"/>
        <v>491320299393.82343</v>
      </c>
      <c r="G374" s="40">
        <f t="shared" ca="1" si="49"/>
        <v>222792541176483.31</v>
      </c>
      <c r="H374" s="40">
        <f t="shared" ca="1" si="50"/>
        <v>222792541176483.31</v>
      </c>
      <c r="I374" s="40">
        <f t="shared" ca="1" si="51"/>
        <v>24962979150936.816</v>
      </c>
      <c r="J374" s="40">
        <f t="shared" ca="1" si="52"/>
        <v>1172134146580.3228</v>
      </c>
      <c r="K374" s="41">
        <f t="shared" ca="1" si="53"/>
        <v>21.297032616757896</v>
      </c>
    </row>
    <row r="375" spans="2:11" ht="15" customHeight="1" x14ac:dyDescent="0.35">
      <c r="B375" s="5">
        <v>354</v>
      </c>
      <c r="C375" s="39">
        <f t="shared" ca="1" si="45"/>
        <v>2.6046388642183409</v>
      </c>
      <c r="D375" s="40">
        <f t="shared" ca="1" si="46"/>
        <v>1989039748.4381719</v>
      </c>
      <c r="E375" s="40">
        <f t="shared" ca="1" si="47"/>
        <v>10853286566122.154</v>
      </c>
      <c r="F375" s="40">
        <f t="shared" ca="1" si="48"/>
        <v>17608550189437.484</v>
      </c>
      <c r="G375" s="40">
        <f t="shared" ca="1" si="49"/>
        <v>1461366482537.1465</v>
      </c>
      <c r="H375" s="40">
        <f t="shared" ca="1" si="50"/>
        <v>10853286566122.154</v>
      </c>
      <c r="I375" s="40">
        <f t="shared" ca="1" si="51"/>
        <v>41462365567219.891</v>
      </c>
      <c r="J375" s="40">
        <f t="shared" ca="1" si="52"/>
        <v>964250181282.17798</v>
      </c>
      <c r="K375" s="41">
        <f t="shared" ca="1" si="53"/>
        <v>42.999593230137393</v>
      </c>
    </row>
    <row r="376" spans="2:11" ht="15" customHeight="1" x14ac:dyDescent="0.35">
      <c r="B376" s="5">
        <v>355</v>
      </c>
      <c r="C376" s="39">
        <f t="shared" ca="1" si="45"/>
        <v>2.8410071977364888</v>
      </c>
      <c r="D376" s="40">
        <f t="shared" ca="1" si="46"/>
        <v>3486989290.4634056</v>
      </c>
      <c r="E376" s="40">
        <f t="shared" ca="1" si="47"/>
        <v>11866827519157.742</v>
      </c>
      <c r="F376" s="40">
        <f t="shared" ca="1" si="48"/>
        <v>1281268521946.7935</v>
      </c>
      <c r="G376" s="40">
        <f t="shared" ca="1" si="49"/>
        <v>2105681712180.2417</v>
      </c>
      <c r="H376" s="40">
        <f t="shared" ca="1" si="50"/>
        <v>1281268521946.7935</v>
      </c>
      <c r="I376" s="40">
        <f t="shared" ca="1" si="51"/>
        <v>9502645912712.459</v>
      </c>
      <c r="J376" s="40">
        <f t="shared" ca="1" si="52"/>
        <v>1483517507672.1992</v>
      </c>
      <c r="K376" s="41">
        <f t="shared" ca="1" si="53"/>
        <v>6.40548282279671</v>
      </c>
    </row>
    <row r="377" spans="2:11" ht="15" customHeight="1" x14ac:dyDescent="0.35">
      <c r="B377" s="5">
        <v>356</v>
      </c>
      <c r="C377" s="39">
        <f t="shared" ca="1" si="45"/>
        <v>2.8441924045804616</v>
      </c>
      <c r="D377" s="40">
        <f t="shared" ca="1" si="46"/>
        <v>3841551393.2269258</v>
      </c>
      <c r="E377" s="40">
        <f t="shared" ca="1" si="47"/>
        <v>14385846071759.822</v>
      </c>
      <c r="F377" s="40">
        <f t="shared" ca="1" si="48"/>
        <v>1904034799661.5667</v>
      </c>
      <c r="G377" s="40">
        <f t="shared" ca="1" si="49"/>
        <v>1142464894825.3513</v>
      </c>
      <c r="H377" s="40">
        <f t="shared" ca="1" si="50"/>
        <v>1142464894825.3513</v>
      </c>
      <c r="I377" s="40">
        <f t="shared" ca="1" si="51"/>
        <v>1137896877596.1531</v>
      </c>
      <c r="J377" s="40">
        <f t="shared" ca="1" si="52"/>
        <v>1039982456257.1083</v>
      </c>
      <c r="K377" s="41">
        <f t="shared" ca="1" si="53"/>
        <v>1.0941500702727605</v>
      </c>
    </row>
    <row r="378" spans="2:11" ht="15" customHeight="1" x14ac:dyDescent="0.35">
      <c r="B378" s="5">
        <v>357</v>
      </c>
      <c r="C378" s="39">
        <f t="shared" ca="1" si="45"/>
        <v>2.9882226016372373</v>
      </c>
      <c r="D378" s="40">
        <f t="shared" ca="1" si="46"/>
        <v>4123930208.7966809</v>
      </c>
      <c r="E378" s="40">
        <f t="shared" ca="1" si="47"/>
        <v>9980777524469.6602</v>
      </c>
      <c r="F378" s="40">
        <f t="shared" ca="1" si="48"/>
        <v>7278184185925.8379</v>
      </c>
      <c r="G378" s="40">
        <f t="shared" ca="1" si="49"/>
        <v>4337310788925.582</v>
      </c>
      <c r="H378" s="40">
        <f t="shared" ca="1" si="50"/>
        <v>4337310788925.582</v>
      </c>
      <c r="I378" s="40">
        <f t="shared" ca="1" si="51"/>
        <v>36995664927878.492</v>
      </c>
      <c r="J378" s="40">
        <f t="shared" ca="1" si="52"/>
        <v>1080271800302.5334</v>
      </c>
      <c r="K378" s="41">
        <f t="shared" ca="1" si="53"/>
        <v>34.246626559647062</v>
      </c>
    </row>
    <row r="379" spans="2:11" ht="15" customHeight="1" x14ac:dyDescent="0.35">
      <c r="B379" s="5">
        <v>358</v>
      </c>
      <c r="C379" s="39">
        <f t="shared" ca="1" si="45"/>
        <v>2.7065564516319562</v>
      </c>
      <c r="D379" s="40">
        <f t="shared" ca="1" si="46"/>
        <v>3380790308.2218223</v>
      </c>
      <c r="E379" s="40">
        <f t="shared" ca="1" si="47"/>
        <v>23543019666960.84</v>
      </c>
      <c r="F379" s="40">
        <f t="shared" ca="1" si="48"/>
        <v>22153593827878.984</v>
      </c>
      <c r="G379" s="40">
        <f t="shared" ca="1" si="49"/>
        <v>1757201033797.2688</v>
      </c>
      <c r="H379" s="40">
        <f t="shared" ca="1" si="50"/>
        <v>22153593827878.984</v>
      </c>
      <c r="I379" s="40">
        <f t="shared" ca="1" si="51"/>
        <v>27870787165073.508</v>
      </c>
      <c r="J379" s="40">
        <f t="shared" ca="1" si="52"/>
        <v>1016812005105.7026</v>
      </c>
      <c r="K379" s="41">
        <f t="shared" ca="1" si="53"/>
        <v>27.409970599409082</v>
      </c>
    </row>
    <row r="380" spans="2:11" ht="15" customHeight="1" x14ac:dyDescent="0.35">
      <c r="B380" s="5">
        <v>359</v>
      </c>
      <c r="C380" s="39">
        <f t="shared" ca="1" si="45"/>
        <v>3.4291508441539844</v>
      </c>
      <c r="D380" s="40">
        <f t="shared" ca="1" si="46"/>
        <v>10446136208.216496</v>
      </c>
      <c r="E380" s="40">
        <f t="shared" ca="1" si="47"/>
        <v>62307874106240.148</v>
      </c>
      <c r="F380" s="40">
        <f t="shared" ca="1" si="48"/>
        <v>3402144949414.4712</v>
      </c>
      <c r="G380" s="40">
        <f t="shared" ca="1" si="49"/>
        <v>8638108032298.9492</v>
      </c>
      <c r="H380" s="40">
        <f t="shared" ca="1" si="50"/>
        <v>3402144949414.4712</v>
      </c>
      <c r="I380" s="40">
        <f t="shared" ca="1" si="51"/>
        <v>3370996521169.6147</v>
      </c>
      <c r="J380" s="40">
        <f t="shared" ca="1" si="52"/>
        <v>429188565233.99213</v>
      </c>
      <c r="K380" s="41">
        <f t="shared" ca="1" si="53"/>
        <v>7.8543484012249003</v>
      </c>
    </row>
    <row r="381" spans="2:11" ht="15" customHeight="1" x14ac:dyDescent="0.35">
      <c r="B381" s="5">
        <v>360</v>
      </c>
      <c r="C381" s="39">
        <f t="shared" ca="1" si="45"/>
        <v>2.2390619629651187</v>
      </c>
      <c r="D381" s="40">
        <f t="shared" ca="1" si="46"/>
        <v>1124367421.5551555</v>
      </c>
      <c r="E381" s="40">
        <f t="shared" ca="1" si="47"/>
        <v>1373700842413.0313</v>
      </c>
      <c r="F381" s="40">
        <f t="shared" ca="1" si="48"/>
        <v>6403962522377.3369</v>
      </c>
      <c r="G381" s="40">
        <f t="shared" ca="1" si="49"/>
        <v>8389916003412.1143</v>
      </c>
      <c r="H381" s="40">
        <f t="shared" ca="1" si="50"/>
        <v>8389916003412.1143</v>
      </c>
      <c r="I381" s="40">
        <f t="shared" ca="1" si="51"/>
        <v>1077982152007.4187</v>
      </c>
      <c r="J381" s="40">
        <f t="shared" ca="1" si="52"/>
        <v>959100564060.4541</v>
      </c>
      <c r="K381" s="41">
        <f t="shared" ca="1" si="53"/>
        <v>1.1239511187895321</v>
      </c>
    </row>
    <row r="382" spans="2:11" ht="15" customHeight="1" x14ac:dyDescent="0.35">
      <c r="B382" s="5">
        <v>361</v>
      </c>
      <c r="C382" s="39">
        <f t="shared" ca="1" si="45"/>
        <v>3.4514689709517095</v>
      </c>
      <c r="D382" s="40">
        <f t="shared" ca="1" si="46"/>
        <v>8252417963.1467991</v>
      </c>
      <c r="E382" s="40">
        <f t="shared" ca="1" si="47"/>
        <v>6941046542564.2988</v>
      </c>
      <c r="F382" s="40">
        <f t="shared" ca="1" si="48"/>
        <v>3864335543961.3169</v>
      </c>
      <c r="G382" s="40">
        <f t="shared" ca="1" si="49"/>
        <v>7885491756251.167</v>
      </c>
      <c r="H382" s="40">
        <f t="shared" ca="1" si="50"/>
        <v>3864335543961.3169</v>
      </c>
      <c r="I382" s="40">
        <f t="shared" ca="1" si="51"/>
        <v>1238879136524.5791</v>
      </c>
      <c r="J382" s="40">
        <f t="shared" ca="1" si="52"/>
        <v>469406694468.19958</v>
      </c>
      <c r="K382" s="41">
        <f t="shared" ca="1" si="53"/>
        <v>2.639244712792455</v>
      </c>
    </row>
    <row r="383" spans="2:11" ht="15" customHeight="1" x14ac:dyDescent="0.35">
      <c r="B383" s="5">
        <v>362</v>
      </c>
      <c r="C383" s="39">
        <f t="shared" ca="1" si="45"/>
        <v>2.7197429213097695</v>
      </c>
      <c r="D383" s="40">
        <f t="shared" ca="1" si="46"/>
        <v>2833881000.8673935</v>
      </c>
      <c r="E383" s="40">
        <f t="shared" ca="1" si="47"/>
        <v>7099408357534.6201</v>
      </c>
      <c r="F383" s="40">
        <f t="shared" ca="1" si="48"/>
        <v>36803873648774.711</v>
      </c>
      <c r="G383" s="40">
        <f t="shared" ca="1" si="49"/>
        <v>1741095493445.8887</v>
      </c>
      <c r="H383" s="40">
        <f t="shared" ca="1" si="50"/>
        <v>1741095493445.8887</v>
      </c>
      <c r="I383" s="40">
        <f t="shared" ca="1" si="51"/>
        <v>302091220091421</v>
      </c>
      <c r="J383" s="40">
        <f t="shared" ca="1" si="52"/>
        <v>1054642291515.3743</v>
      </c>
      <c r="K383" s="41">
        <f t="shared" ca="1" si="53"/>
        <v>286.43950894227646</v>
      </c>
    </row>
    <row r="384" spans="2:11" ht="15" customHeight="1" x14ac:dyDescent="0.35">
      <c r="B384" s="5">
        <v>363</v>
      </c>
      <c r="C384" s="39">
        <f t="shared" ca="1" si="45"/>
        <v>3.0688518257421995</v>
      </c>
      <c r="D384" s="40">
        <f t="shared" ca="1" si="46"/>
        <v>5313778257.0426826</v>
      </c>
      <c r="E384" s="40">
        <f t="shared" ca="1" si="47"/>
        <v>38079463346430.664</v>
      </c>
      <c r="F384" s="40">
        <f t="shared" ca="1" si="48"/>
        <v>6942059379839.0986</v>
      </c>
      <c r="G384" s="40">
        <f t="shared" ca="1" si="49"/>
        <v>2577636695191.1328</v>
      </c>
      <c r="H384" s="40">
        <f t="shared" ca="1" si="50"/>
        <v>6942059379839.0986</v>
      </c>
      <c r="I384" s="40">
        <f t="shared" ca="1" si="51"/>
        <v>77006694799638.156</v>
      </c>
      <c r="J384" s="40">
        <f t="shared" ca="1" si="52"/>
        <v>1121866759482.5747</v>
      </c>
      <c r="K384" s="41">
        <f t="shared" ca="1" si="53"/>
        <v>68.641569195931112</v>
      </c>
    </row>
    <row r="385" spans="2:11" ht="15" customHeight="1" x14ac:dyDescent="0.35">
      <c r="B385" s="5">
        <v>364</v>
      </c>
      <c r="C385" s="39">
        <f t="shared" ca="1" si="45"/>
        <v>3.5537860021157193</v>
      </c>
      <c r="D385" s="40">
        <f t="shared" ca="1" si="46"/>
        <v>9908113453.0033073</v>
      </c>
      <c r="E385" s="40">
        <f t="shared" ca="1" si="47"/>
        <v>34807302250548.23</v>
      </c>
      <c r="F385" s="40">
        <f t="shared" ca="1" si="48"/>
        <v>956463176028.59521</v>
      </c>
      <c r="G385" s="40">
        <f t="shared" ca="1" si="49"/>
        <v>10972197252509.293</v>
      </c>
      <c r="H385" s="40">
        <f t="shared" ca="1" si="50"/>
        <v>10972197252509.293</v>
      </c>
      <c r="I385" s="40">
        <f t="shared" ca="1" si="51"/>
        <v>4516766227801.2451</v>
      </c>
      <c r="J385" s="40">
        <f t="shared" ca="1" si="52"/>
        <v>659935586462.92163</v>
      </c>
      <c r="K385" s="41">
        <f t="shared" ca="1" si="53"/>
        <v>6.8442531672066735</v>
      </c>
    </row>
    <row r="386" spans="2:11" ht="15" customHeight="1" x14ac:dyDescent="0.35">
      <c r="B386" s="5">
        <v>365</v>
      </c>
      <c r="C386" s="39">
        <f t="shared" ca="1" si="45"/>
        <v>3.311422407744955</v>
      </c>
      <c r="D386" s="40">
        <f t="shared" ca="1" si="46"/>
        <v>6377082309.4157772</v>
      </c>
      <c r="E386" s="40">
        <f t="shared" ca="1" si="47"/>
        <v>14487556605942.342</v>
      </c>
      <c r="F386" s="40">
        <f t="shared" ca="1" si="48"/>
        <v>7939884472366.0264</v>
      </c>
      <c r="G386" s="40">
        <f t="shared" ca="1" si="49"/>
        <v>37281314832446.32</v>
      </c>
      <c r="H386" s="40">
        <f t="shared" ca="1" si="50"/>
        <v>7939884472366.0264</v>
      </c>
      <c r="I386" s="40">
        <f t="shared" ca="1" si="51"/>
        <v>1943782543278.3047</v>
      </c>
      <c r="J386" s="40">
        <f t="shared" ca="1" si="52"/>
        <v>841784156998.203</v>
      </c>
      <c r="K386" s="41">
        <f t="shared" ca="1" si="53"/>
        <v>2.309122269786855</v>
      </c>
    </row>
    <row r="387" spans="2:11" ht="15" customHeight="1" x14ac:dyDescent="0.35">
      <c r="B387" s="5">
        <v>366</v>
      </c>
      <c r="C387" s="39">
        <f t="shared" ca="1" si="45"/>
        <v>2.9473658922169803</v>
      </c>
      <c r="D387" s="40">
        <f t="shared" ca="1" si="46"/>
        <v>4512092399.5863905</v>
      </c>
      <c r="E387" s="40">
        <f t="shared" ca="1" si="47"/>
        <v>16610092165226.93</v>
      </c>
      <c r="F387" s="40">
        <f t="shared" ca="1" si="48"/>
        <v>5220580929411.3662</v>
      </c>
      <c r="G387" s="40">
        <f t="shared" ca="1" si="49"/>
        <v>13980228351938.49</v>
      </c>
      <c r="H387" s="40">
        <f t="shared" ca="1" si="50"/>
        <v>13980228351938.49</v>
      </c>
      <c r="I387" s="40">
        <f t="shared" ca="1" si="51"/>
        <v>890933868154.58044</v>
      </c>
      <c r="J387" s="40">
        <f t="shared" ca="1" si="52"/>
        <v>1211306726739.6172</v>
      </c>
      <c r="K387" s="41">
        <f t="shared" ca="1" si="53"/>
        <v>0.73551467063395237</v>
      </c>
    </row>
    <row r="388" spans="2:11" ht="15" customHeight="1" x14ac:dyDescent="0.35">
      <c r="B388" s="5">
        <v>367</v>
      </c>
      <c r="C388" s="39">
        <f t="shared" ca="1" si="45"/>
        <v>2.7399057304308605</v>
      </c>
      <c r="D388" s="40">
        <f t="shared" ca="1" si="46"/>
        <v>2922082067.0404139</v>
      </c>
      <c r="E388" s="40">
        <f t="shared" ca="1" si="47"/>
        <v>11094029822406.699</v>
      </c>
      <c r="F388" s="40">
        <f t="shared" ca="1" si="48"/>
        <v>4857270249397.6104</v>
      </c>
      <c r="G388" s="40">
        <f t="shared" ca="1" si="49"/>
        <v>1157947344230.1191</v>
      </c>
      <c r="H388" s="40">
        <f t="shared" ca="1" si="50"/>
        <v>1157947344230.1191</v>
      </c>
      <c r="I388" s="40">
        <f t="shared" ca="1" si="51"/>
        <v>996892888915.49683</v>
      </c>
      <c r="J388" s="40">
        <f t="shared" ca="1" si="52"/>
        <v>919420772657.61438</v>
      </c>
      <c r="K388" s="41">
        <f t="shared" ca="1" si="53"/>
        <v>1.0842618728680089</v>
      </c>
    </row>
    <row r="389" spans="2:11" ht="15" customHeight="1" x14ac:dyDescent="0.35">
      <c r="B389" s="5">
        <v>368</v>
      </c>
      <c r="C389" s="39">
        <f t="shared" ca="1" si="45"/>
        <v>2.4050069016864688</v>
      </c>
      <c r="D389" s="40">
        <f t="shared" ca="1" si="46"/>
        <v>1807638351.7907085</v>
      </c>
      <c r="E389" s="40">
        <f t="shared" ca="1" si="47"/>
        <v>4080597130054.6865</v>
      </c>
      <c r="F389" s="40">
        <f t="shared" ca="1" si="48"/>
        <v>6366221866289.7051</v>
      </c>
      <c r="G389" s="40">
        <f t="shared" ca="1" si="49"/>
        <v>694913011112.4021</v>
      </c>
      <c r="H389" s="40">
        <f t="shared" ca="1" si="50"/>
        <v>6366221866289.7051</v>
      </c>
      <c r="I389" s="40">
        <f t="shared" ca="1" si="51"/>
        <v>2752162041309.7373</v>
      </c>
      <c r="J389" s="40">
        <f t="shared" ca="1" si="52"/>
        <v>1096276630270.21</v>
      </c>
      <c r="K389" s="41">
        <f t="shared" ca="1" si="53"/>
        <v>2.5104631124275496</v>
      </c>
    </row>
    <row r="390" spans="2:11" ht="15" customHeight="1" x14ac:dyDescent="0.35">
      <c r="B390" s="5">
        <v>369</v>
      </c>
      <c r="C390" s="39">
        <f t="shared" ca="1" si="45"/>
        <v>3.2155456290515563</v>
      </c>
      <c r="D390" s="40">
        <f t="shared" ca="1" si="46"/>
        <v>8162007162.8707867</v>
      </c>
      <c r="E390" s="40">
        <f t="shared" ca="1" si="47"/>
        <v>62694687999638.297</v>
      </c>
      <c r="F390" s="40">
        <f t="shared" ca="1" si="48"/>
        <v>2464188486612.0835</v>
      </c>
      <c r="G390" s="40">
        <f t="shared" ca="1" si="49"/>
        <v>8864378764877.3965</v>
      </c>
      <c r="H390" s="40">
        <f t="shared" ca="1" si="50"/>
        <v>62694687999638.297</v>
      </c>
      <c r="I390" s="40">
        <f t="shared" ca="1" si="51"/>
        <v>12943649693240.85</v>
      </c>
      <c r="J390" s="40">
        <f t="shared" ca="1" si="52"/>
        <v>1482960933046.5906</v>
      </c>
      <c r="K390" s="41">
        <f t="shared" ca="1" si="53"/>
        <v>8.7282472550706061</v>
      </c>
    </row>
    <row r="391" spans="2:11" ht="15" customHeight="1" x14ac:dyDescent="0.35">
      <c r="B391" s="5">
        <v>370</v>
      </c>
      <c r="C391" s="39">
        <f t="shared" ca="1" si="45"/>
        <v>3.8134066359927759</v>
      </c>
      <c r="D391" s="40">
        <f t="shared" ca="1" si="46"/>
        <v>18333438819.072388</v>
      </c>
      <c r="E391" s="40">
        <f t="shared" ca="1" si="47"/>
        <v>99798085027541.359</v>
      </c>
      <c r="F391" s="40">
        <f t="shared" ca="1" si="48"/>
        <v>967966283897.04565</v>
      </c>
      <c r="G391" s="40">
        <f t="shared" ca="1" si="49"/>
        <v>1213949881046.3994</v>
      </c>
      <c r="H391" s="40">
        <f t="shared" ca="1" si="50"/>
        <v>1213949881046.3994</v>
      </c>
      <c r="I391" s="40">
        <f t="shared" ca="1" si="51"/>
        <v>5703015813701.916</v>
      </c>
      <c r="J391" s="40">
        <f t="shared" ca="1" si="52"/>
        <v>1618825807995.041</v>
      </c>
      <c r="K391" s="41">
        <f t="shared" ca="1" si="53"/>
        <v>3.5229335889852496</v>
      </c>
    </row>
    <row r="392" spans="2:11" ht="15" customHeight="1" x14ac:dyDescent="0.35">
      <c r="B392" s="5">
        <v>371</v>
      </c>
      <c r="C392" s="39">
        <f t="shared" ca="1" si="45"/>
        <v>2.690844670789629</v>
      </c>
      <c r="D392" s="40">
        <f t="shared" ca="1" si="46"/>
        <v>2574040003.5566521</v>
      </c>
      <c r="E392" s="40">
        <f t="shared" ca="1" si="47"/>
        <v>2582523646844.7637</v>
      </c>
      <c r="F392" s="40">
        <f t="shared" ca="1" si="48"/>
        <v>117370587701271.58</v>
      </c>
      <c r="G392" s="40">
        <f t="shared" ca="1" si="49"/>
        <v>677302930958.64746</v>
      </c>
      <c r="H392" s="40">
        <f t="shared" ca="1" si="50"/>
        <v>117370587701271.58</v>
      </c>
      <c r="I392" s="40">
        <f t="shared" ca="1" si="51"/>
        <v>41958166378925.953</v>
      </c>
      <c r="J392" s="40">
        <f t="shared" ca="1" si="52"/>
        <v>1374401519236.04</v>
      </c>
      <c r="K392" s="41">
        <f t="shared" ca="1" si="53"/>
        <v>30.528317810830394</v>
      </c>
    </row>
    <row r="393" spans="2:11" ht="15" customHeight="1" x14ac:dyDescent="0.35">
      <c r="B393" s="5">
        <v>372</v>
      </c>
      <c r="C393" s="39">
        <f t="shared" ca="1" si="45"/>
        <v>2.6690928906105076</v>
      </c>
      <c r="D393" s="40">
        <f t="shared" ca="1" si="46"/>
        <v>2181947617.1760855</v>
      </c>
      <c r="E393" s="40">
        <f t="shared" ca="1" si="47"/>
        <v>13378132155783.764</v>
      </c>
      <c r="F393" s="40">
        <f t="shared" ca="1" si="48"/>
        <v>12907066273424.131</v>
      </c>
      <c r="G393" s="40">
        <f t="shared" ca="1" si="49"/>
        <v>11218505713097.273</v>
      </c>
      <c r="H393" s="40">
        <f t="shared" ca="1" si="50"/>
        <v>11218505713097.273</v>
      </c>
      <c r="I393" s="40">
        <f t="shared" ca="1" si="51"/>
        <v>10181600546317.885</v>
      </c>
      <c r="J393" s="40">
        <f t="shared" ca="1" si="52"/>
        <v>610077564560.57202</v>
      </c>
      <c r="K393" s="41">
        <f t="shared" ca="1" si="53"/>
        <v>16.689026343152793</v>
      </c>
    </row>
    <row r="394" spans="2:11" ht="15" customHeight="1" x14ac:dyDescent="0.35">
      <c r="B394" s="5">
        <v>373</v>
      </c>
      <c r="C394" s="39">
        <f t="shared" ca="1" si="45"/>
        <v>2.733672757159614</v>
      </c>
      <c r="D394" s="40">
        <f t="shared" ca="1" si="46"/>
        <v>2978662339.7685966</v>
      </c>
      <c r="E394" s="40">
        <f t="shared" ca="1" si="47"/>
        <v>20074144468055.887</v>
      </c>
      <c r="F394" s="40">
        <f t="shared" ca="1" si="48"/>
        <v>3444566573219.4873</v>
      </c>
      <c r="G394" s="40">
        <f t="shared" ca="1" si="49"/>
        <v>876533554840.63245</v>
      </c>
      <c r="H394" s="40">
        <f t="shared" ca="1" si="50"/>
        <v>20074144468055.887</v>
      </c>
      <c r="I394" s="40">
        <f t="shared" ca="1" si="51"/>
        <v>965972931635.59229</v>
      </c>
      <c r="J394" s="40">
        <f t="shared" ca="1" si="52"/>
        <v>1314723248909.3706</v>
      </c>
      <c r="K394" s="41">
        <f t="shared" ca="1" si="53"/>
        <v>0.7347348063076512</v>
      </c>
    </row>
    <row r="395" spans="2:11" ht="15" customHeight="1" x14ac:dyDescent="0.35">
      <c r="B395" s="5">
        <v>374</v>
      </c>
      <c r="C395" s="39">
        <f t="shared" ca="1" si="45"/>
        <v>3.2826479555792649</v>
      </c>
      <c r="D395" s="40">
        <f t="shared" ca="1" si="46"/>
        <v>8254870262.0004511</v>
      </c>
      <c r="E395" s="40">
        <f t="shared" ca="1" si="47"/>
        <v>14434061312078.078</v>
      </c>
      <c r="F395" s="40">
        <f t="shared" ca="1" si="48"/>
        <v>4709068858316.5596</v>
      </c>
      <c r="G395" s="40">
        <f t="shared" ca="1" si="49"/>
        <v>493671767242.90015</v>
      </c>
      <c r="H395" s="40">
        <f t="shared" ca="1" si="50"/>
        <v>493671767242.90015</v>
      </c>
      <c r="I395" s="40">
        <f t="shared" ca="1" si="51"/>
        <v>1739375355081.1863</v>
      </c>
      <c r="J395" s="40">
        <f t="shared" ca="1" si="52"/>
        <v>852073644922.26355</v>
      </c>
      <c r="K395" s="41">
        <f t="shared" ca="1" si="53"/>
        <v>2.0413439207357165</v>
      </c>
    </row>
    <row r="396" spans="2:11" ht="15" customHeight="1" x14ac:dyDescent="0.35">
      <c r="B396" s="5">
        <v>375</v>
      </c>
      <c r="C396" s="39">
        <f t="shared" ca="1" si="45"/>
        <v>2.8039234188843793</v>
      </c>
      <c r="D396" s="40">
        <f t="shared" ca="1" si="46"/>
        <v>3138074547.3396759</v>
      </c>
      <c r="E396" s="40">
        <f t="shared" ca="1" si="47"/>
        <v>11128381453415.943</v>
      </c>
      <c r="F396" s="40">
        <f t="shared" ca="1" si="48"/>
        <v>1289074921449.9146</v>
      </c>
      <c r="G396" s="40">
        <f t="shared" ca="1" si="49"/>
        <v>6343533713730.7998</v>
      </c>
      <c r="H396" s="40">
        <f t="shared" ca="1" si="50"/>
        <v>6343533713730.7998</v>
      </c>
      <c r="I396" s="40">
        <f t="shared" ca="1" si="51"/>
        <v>6318977215426.4277</v>
      </c>
      <c r="J396" s="40">
        <f t="shared" ca="1" si="52"/>
        <v>531680172286.48621</v>
      </c>
      <c r="K396" s="41">
        <f t="shared" ca="1" si="53"/>
        <v>11.884921696913613</v>
      </c>
    </row>
    <row r="397" spans="2:11" ht="15" customHeight="1" x14ac:dyDescent="0.35">
      <c r="B397" s="5">
        <v>376</v>
      </c>
      <c r="C397" s="39">
        <f t="shared" ca="1" si="45"/>
        <v>3.6447437457819767</v>
      </c>
      <c r="D397" s="40">
        <f t="shared" ca="1" si="46"/>
        <v>10428776040.144255</v>
      </c>
      <c r="E397" s="40">
        <f t="shared" ca="1" si="47"/>
        <v>14355959160379.023</v>
      </c>
      <c r="F397" s="40">
        <f t="shared" ca="1" si="48"/>
        <v>1264858614886.5127</v>
      </c>
      <c r="G397" s="40">
        <f t="shared" ca="1" si="49"/>
        <v>1547512794352.1741</v>
      </c>
      <c r="H397" s="40">
        <f t="shared" ca="1" si="50"/>
        <v>1264858614886.5127</v>
      </c>
      <c r="I397" s="40">
        <f t="shared" ca="1" si="51"/>
        <v>10560723150389.631</v>
      </c>
      <c r="J397" s="40">
        <f t="shared" ca="1" si="52"/>
        <v>1135615103574.7153</v>
      </c>
      <c r="K397" s="41">
        <f t="shared" ca="1" si="53"/>
        <v>9.2995620762231361</v>
      </c>
    </row>
    <row r="398" spans="2:11" ht="15" customHeight="1" x14ac:dyDescent="0.35">
      <c r="B398" s="5">
        <v>377</v>
      </c>
      <c r="C398" s="39">
        <f t="shared" ca="1" si="45"/>
        <v>3.5222264425787189</v>
      </c>
      <c r="D398" s="40">
        <f t="shared" ca="1" si="46"/>
        <v>9055719880.0156078</v>
      </c>
      <c r="E398" s="40">
        <f t="shared" ca="1" si="47"/>
        <v>40447770972695.844</v>
      </c>
      <c r="F398" s="40">
        <f t="shared" ca="1" si="48"/>
        <v>2752011236797.7676</v>
      </c>
      <c r="G398" s="40">
        <f t="shared" ca="1" si="49"/>
        <v>7038444074405.0605</v>
      </c>
      <c r="H398" s="40">
        <f t="shared" ca="1" si="50"/>
        <v>2752011236797.7676</v>
      </c>
      <c r="I398" s="40">
        <f t="shared" ca="1" si="51"/>
        <v>9923572445545.7422</v>
      </c>
      <c r="J398" s="40">
        <f t="shared" ca="1" si="52"/>
        <v>599628062098.18127</v>
      </c>
      <c r="K398" s="41">
        <f t="shared" ca="1" si="53"/>
        <v>16.549546415192435</v>
      </c>
    </row>
    <row r="399" spans="2:11" ht="15" customHeight="1" x14ac:dyDescent="0.35">
      <c r="B399" s="5">
        <v>378</v>
      </c>
      <c r="C399" s="39">
        <f t="shared" ca="1" si="45"/>
        <v>3.0677740165154423</v>
      </c>
      <c r="D399" s="40">
        <f t="shared" ca="1" si="46"/>
        <v>5690940980.8953114</v>
      </c>
      <c r="E399" s="40">
        <f t="shared" ca="1" si="47"/>
        <v>91082534207409.688</v>
      </c>
      <c r="F399" s="40">
        <f t="shared" ca="1" si="48"/>
        <v>2302557208183.2007</v>
      </c>
      <c r="G399" s="40">
        <f t="shared" ca="1" si="49"/>
        <v>4198723474601.2876</v>
      </c>
      <c r="H399" s="40">
        <f t="shared" ca="1" si="50"/>
        <v>2302557208183.2007</v>
      </c>
      <c r="I399" s="40">
        <f t="shared" ca="1" si="51"/>
        <v>49787206075179.203</v>
      </c>
      <c r="J399" s="40">
        <f t="shared" ca="1" si="52"/>
        <v>632253988858.20129</v>
      </c>
      <c r="K399" s="41">
        <f t="shared" ca="1" si="53"/>
        <v>78.745578442440205</v>
      </c>
    </row>
    <row r="400" spans="2:11" ht="15" customHeight="1" x14ac:dyDescent="0.35">
      <c r="B400" s="5">
        <v>379</v>
      </c>
      <c r="C400" s="39">
        <f t="shared" ca="1" si="45"/>
        <v>2.3493831990350627</v>
      </c>
      <c r="D400" s="40">
        <f t="shared" ca="1" si="46"/>
        <v>1211399068.6646233</v>
      </c>
      <c r="E400" s="40">
        <f t="shared" ca="1" si="47"/>
        <v>4515690482337.1348</v>
      </c>
      <c r="F400" s="40">
        <f t="shared" ca="1" si="48"/>
        <v>1273632171965.1648</v>
      </c>
      <c r="G400" s="40">
        <f t="shared" ca="1" si="49"/>
        <v>60034090763615.32</v>
      </c>
      <c r="H400" s="40">
        <f t="shared" ca="1" si="50"/>
        <v>1273632171965.1648</v>
      </c>
      <c r="I400" s="40">
        <f t="shared" ca="1" si="51"/>
        <v>6598581149132.2197</v>
      </c>
      <c r="J400" s="40">
        <f t="shared" ca="1" si="52"/>
        <v>925875334178.02271</v>
      </c>
      <c r="K400" s="41">
        <f t="shared" ca="1" si="53"/>
        <v>7.1268570460302136</v>
      </c>
    </row>
    <row r="401" spans="2:11" ht="15" customHeight="1" x14ac:dyDescent="0.35">
      <c r="B401" s="5">
        <v>380</v>
      </c>
      <c r="C401" s="39">
        <f t="shared" ca="1" si="45"/>
        <v>2.2035471449826316</v>
      </c>
      <c r="D401" s="40">
        <f t="shared" ca="1" si="46"/>
        <v>842936841.78630173</v>
      </c>
      <c r="E401" s="40">
        <f t="shared" ca="1" si="47"/>
        <v>4169454977267.4526</v>
      </c>
      <c r="F401" s="40">
        <f t="shared" ca="1" si="48"/>
        <v>798626565027.24744</v>
      </c>
      <c r="G401" s="40">
        <f t="shared" ca="1" si="49"/>
        <v>33688807524455.852</v>
      </c>
      <c r="H401" s="40">
        <f t="shared" ca="1" si="50"/>
        <v>4169454977267.4526</v>
      </c>
      <c r="I401" s="40">
        <f t="shared" ca="1" si="51"/>
        <v>402472157931.4657</v>
      </c>
      <c r="J401" s="40">
        <f t="shared" ca="1" si="52"/>
        <v>1847330952061.9727</v>
      </c>
      <c r="K401" s="41">
        <f t="shared" ca="1" si="53"/>
        <v>0.21786684052591129</v>
      </c>
    </row>
    <row r="402" spans="2:11" ht="15" customHeight="1" x14ac:dyDescent="0.35">
      <c r="B402" s="5">
        <v>381</v>
      </c>
      <c r="C402" s="39">
        <f t="shared" ca="1" si="45"/>
        <v>3.5840975319475796</v>
      </c>
      <c r="D402" s="40">
        <f t="shared" ca="1" si="46"/>
        <v>10377387131.449095</v>
      </c>
      <c r="E402" s="40">
        <f t="shared" ca="1" si="47"/>
        <v>35282113143418.305</v>
      </c>
      <c r="F402" s="40">
        <f t="shared" ca="1" si="48"/>
        <v>3189629458926.0815</v>
      </c>
      <c r="G402" s="40">
        <f t="shared" ca="1" si="49"/>
        <v>8144655702778.5049</v>
      </c>
      <c r="H402" s="40">
        <f t="shared" ca="1" si="50"/>
        <v>8144655702778.5049</v>
      </c>
      <c r="I402" s="40">
        <f t="shared" ca="1" si="51"/>
        <v>4444608108111.8125</v>
      </c>
      <c r="J402" s="40">
        <f t="shared" ca="1" si="52"/>
        <v>1180343392966.9048</v>
      </c>
      <c r="K402" s="41">
        <f t="shared" ca="1" si="53"/>
        <v>3.7655212327150571</v>
      </c>
    </row>
    <row r="403" spans="2:11" ht="15" customHeight="1" x14ac:dyDescent="0.35">
      <c r="B403" s="5">
        <v>382</v>
      </c>
      <c r="C403" s="39">
        <f t="shared" ca="1" si="45"/>
        <v>3.3394860214561746</v>
      </c>
      <c r="D403" s="40">
        <f t="shared" ca="1" si="46"/>
        <v>7283045958.2621479</v>
      </c>
      <c r="E403" s="40">
        <f t="shared" ca="1" si="47"/>
        <v>26346803783456.352</v>
      </c>
      <c r="F403" s="40">
        <f t="shared" ca="1" si="48"/>
        <v>2770742162818.4077</v>
      </c>
      <c r="G403" s="40">
        <f t="shared" ca="1" si="49"/>
        <v>21357708612051.887</v>
      </c>
      <c r="H403" s="40">
        <f t="shared" ca="1" si="50"/>
        <v>26346803783456.352</v>
      </c>
      <c r="I403" s="40">
        <f t="shared" ca="1" si="51"/>
        <v>3955980966086.0483</v>
      </c>
      <c r="J403" s="40">
        <f t="shared" ca="1" si="52"/>
        <v>955691192156.70984</v>
      </c>
      <c r="K403" s="41">
        <f t="shared" ca="1" si="53"/>
        <v>4.1393925135572083</v>
      </c>
    </row>
    <row r="404" spans="2:11" ht="15" customHeight="1" x14ac:dyDescent="0.35">
      <c r="B404" s="5">
        <v>383</v>
      </c>
      <c r="C404" s="39">
        <f t="shared" ca="1" si="45"/>
        <v>3.1881211903979771</v>
      </c>
      <c r="D404" s="40">
        <f t="shared" ca="1" si="46"/>
        <v>6758453204.2460489</v>
      </c>
      <c r="E404" s="40">
        <f t="shared" ca="1" si="47"/>
        <v>34397206114192.32</v>
      </c>
      <c r="F404" s="40">
        <f t="shared" ca="1" si="48"/>
        <v>4778184773664.2764</v>
      </c>
      <c r="G404" s="40">
        <f t="shared" ca="1" si="49"/>
        <v>41665197566749.984</v>
      </c>
      <c r="H404" s="40">
        <f t="shared" ca="1" si="50"/>
        <v>4778184773664.2764</v>
      </c>
      <c r="I404" s="40">
        <f t="shared" ca="1" si="51"/>
        <v>45376270305945.773</v>
      </c>
      <c r="J404" s="40">
        <f t="shared" ca="1" si="52"/>
        <v>1396316003257.9377</v>
      </c>
      <c r="K404" s="41">
        <f t="shared" ca="1" si="53"/>
        <v>32.497135462224975</v>
      </c>
    </row>
    <row r="405" spans="2:11" ht="15" customHeight="1" x14ac:dyDescent="0.35">
      <c r="B405" s="5">
        <v>384</v>
      </c>
      <c r="C405" s="39">
        <f t="shared" ca="1" si="45"/>
        <v>2.2217037683504479</v>
      </c>
      <c r="D405" s="40">
        <f t="shared" ca="1" si="46"/>
        <v>1092507262.1185226</v>
      </c>
      <c r="E405" s="40">
        <f t="shared" ca="1" si="47"/>
        <v>2951536251144.5869</v>
      </c>
      <c r="F405" s="40">
        <f t="shared" ca="1" si="48"/>
        <v>11942496766628.268</v>
      </c>
      <c r="G405" s="40">
        <f t="shared" ca="1" si="49"/>
        <v>11206801140271.037</v>
      </c>
      <c r="H405" s="40">
        <f t="shared" ca="1" si="50"/>
        <v>2951536251144.5869</v>
      </c>
      <c r="I405" s="40">
        <f t="shared" ca="1" si="51"/>
        <v>35045403027550.113</v>
      </c>
      <c r="J405" s="40">
        <f t="shared" ca="1" si="52"/>
        <v>948518438050.51294</v>
      </c>
      <c r="K405" s="41">
        <f t="shared" ca="1" si="53"/>
        <v>36.947519016687565</v>
      </c>
    </row>
    <row r="406" spans="2:11" ht="15" customHeight="1" x14ac:dyDescent="0.35">
      <c r="B406" s="5">
        <v>385</v>
      </c>
      <c r="C406" s="39">
        <f t="shared" ref="C406:C469" ca="1" si="54">MEDIAN(1.8,NORMINV(RAND(),$C$7,$D$7),4.5)</f>
        <v>2.3640620786472226</v>
      </c>
      <c r="D406" s="40">
        <f t="shared" ref="D406:D469" ca="1" si="55">($C$8+RAND()*($D$8-$C$8))*C406^5</f>
        <v>1372962292.3395925</v>
      </c>
      <c r="E406" s="40">
        <f t="shared" ref="E406:E469" ca="1" si="56">D406*($C$10+RAND()*($D$10-$C$10))*EXP(NORMINV(RAND(),$C$9,$D$9))*($C$11+RAND()*($D$11-$C$11))</f>
        <v>3704906911977.9956</v>
      </c>
      <c r="F406" s="40">
        <f t="shared" ref="F406:F469" ca="1" si="57">EXP(NORMINV(RAND(),$C$12,$D$12))*EXP(NORMINV(RAND(),$C$13,$D$13))</f>
        <v>4409380318341.9141</v>
      </c>
      <c r="G406" s="40">
        <f t="shared" ref="G406:G469" ca="1" si="58">EXP(NORMINV(RAND(),$C$14,$D$14))*($C$15+RAND()*($D$15-$C$15))*EXP(NORMINV(RAND(),$C$16,$D$16))/1000000*31536000</f>
        <v>7511923606298.585</v>
      </c>
      <c r="H406" s="40">
        <f t="shared" ref="H406:H469" ca="1" si="59">CHOOSE(RANDBETWEEN(1,3),E406,F406,G406)</f>
        <v>4409380318341.9141</v>
      </c>
      <c r="I406" s="40">
        <f t="shared" ref="I406:I469" ca="1" si="60">EXP(NORMINV(RAND(),$C$14,$D$14))*($C$15+RAND()*($D$15-$C$15))*60</f>
        <v>49504940716157.109</v>
      </c>
      <c r="J406" s="40">
        <f t="shared" ref="J406:J469" ca="1" si="61">($C$17+RAND()*($D$17-$C$17))*($C$18+RAND()*($D$18-$C$18))</f>
        <v>667772325717.01355</v>
      </c>
      <c r="K406" s="41">
        <f t="shared" ref="K406:K469" ca="1" si="62">I406/J406</f>
        <v>74.134459919406964</v>
      </c>
    </row>
    <row r="407" spans="2:11" ht="15" customHeight="1" x14ac:dyDescent="0.35">
      <c r="B407" s="5">
        <v>386</v>
      </c>
      <c r="C407" s="39">
        <f t="shared" ca="1" si="54"/>
        <v>3.3021700562779688</v>
      </c>
      <c r="D407" s="40">
        <f t="shared" ca="1" si="55"/>
        <v>8818810292.6328545</v>
      </c>
      <c r="E407" s="40">
        <f t="shared" ca="1" si="56"/>
        <v>25239960985067.949</v>
      </c>
      <c r="F407" s="40">
        <f t="shared" ca="1" si="57"/>
        <v>3074667400864.2949</v>
      </c>
      <c r="G407" s="40">
        <f t="shared" ca="1" si="58"/>
        <v>61564685160762.742</v>
      </c>
      <c r="H407" s="40">
        <f t="shared" ca="1" si="59"/>
        <v>61564685160762.742</v>
      </c>
      <c r="I407" s="40">
        <f t="shared" ca="1" si="60"/>
        <v>4410560568512.4189</v>
      </c>
      <c r="J407" s="40">
        <f t="shared" ca="1" si="61"/>
        <v>1042268568237.0872</v>
      </c>
      <c r="K407" s="41">
        <f t="shared" ca="1" si="62"/>
        <v>4.2316929656360305</v>
      </c>
    </row>
    <row r="408" spans="2:11" ht="15" customHeight="1" x14ac:dyDescent="0.35">
      <c r="B408" s="5">
        <v>387</v>
      </c>
      <c r="C408" s="39">
        <f t="shared" ca="1" si="54"/>
        <v>3.1837342216090132</v>
      </c>
      <c r="D408" s="40">
        <f t="shared" ca="1" si="55"/>
        <v>5239234532.5718727</v>
      </c>
      <c r="E408" s="40">
        <f t="shared" ca="1" si="56"/>
        <v>5743351560343.3926</v>
      </c>
      <c r="F408" s="40">
        <f t="shared" ca="1" si="57"/>
        <v>4506620815184.1123</v>
      </c>
      <c r="G408" s="40">
        <f t="shared" ca="1" si="58"/>
        <v>2301215047344.4858</v>
      </c>
      <c r="H408" s="40">
        <f t="shared" ca="1" si="59"/>
        <v>5743351560343.3926</v>
      </c>
      <c r="I408" s="40">
        <f t="shared" ca="1" si="60"/>
        <v>1479311434380.0244</v>
      </c>
      <c r="J408" s="40">
        <f t="shared" ca="1" si="61"/>
        <v>748552184669.80139</v>
      </c>
      <c r="K408" s="41">
        <f t="shared" ca="1" si="62"/>
        <v>1.9762302010147401</v>
      </c>
    </row>
    <row r="409" spans="2:11" ht="15" customHeight="1" x14ac:dyDescent="0.35">
      <c r="B409" s="5">
        <v>388</v>
      </c>
      <c r="C409" s="39">
        <f t="shared" ca="1" si="54"/>
        <v>2.5381508332719886</v>
      </c>
      <c r="D409" s="40">
        <f t="shared" ca="1" si="55"/>
        <v>2495983759.4170713</v>
      </c>
      <c r="E409" s="40">
        <f t="shared" ca="1" si="56"/>
        <v>35514847784915.102</v>
      </c>
      <c r="F409" s="40">
        <f t="shared" ca="1" si="57"/>
        <v>2508294807143.9502</v>
      </c>
      <c r="G409" s="40">
        <f t="shared" ca="1" si="58"/>
        <v>683537219991.0874</v>
      </c>
      <c r="H409" s="40">
        <f t="shared" ca="1" si="59"/>
        <v>683537219991.0874</v>
      </c>
      <c r="I409" s="40">
        <f t="shared" ca="1" si="60"/>
        <v>27785457742060.059</v>
      </c>
      <c r="J409" s="40">
        <f t="shared" ca="1" si="61"/>
        <v>747398474875.40442</v>
      </c>
      <c r="K409" s="41">
        <f t="shared" ca="1" si="62"/>
        <v>37.176230185232924</v>
      </c>
    </row>
    <row r="410" spans="2:11" ht="15" customHeight="1" x14ac:dyDescent="0.35">
      <c r="B410" s="5">
        <v>389</v>
      </c>
      <c r="C410" s="39">
        <f t="shared" ca="1" si="54"/>
        <v>3.2525816373262346</v>
      </c>
      <c r="D410" s="40">
        <f t="shared" ca="1" si="55"/>
        <v>7029220001.2504644</v>
      </c>
      <c r="E410" s="40">
        <f t="shared" ca="1" si="56"/>
        <v>27312438037555.84</v>
      </c>
      <c r="F410" s="40">
        <f t="shared" ca="1" si="57"/>
        <v>421250391170.95557</v>
      </c>
      <c r="G410" s="40">
        <f t="shared" ca="1" si="58"/>
        <v>16295076528521.059</v>
      </c>
      <c r="H410" s="40">
        <f t="shared" ca="1" si="59"/>
        <v>16295076528521.059</v>
      </c>
      <c r="I410" s="40">
        <f t="shared" ca="1" si="60"/>
        <v>20454788178604.707</v>
      </c>
      <c r="J410" s="40">
        <f t="shared" ca="1" si="61"/>
        <v>595367720156.56189</v>
      </c>
      <c r="K410" s="41">
        <f t="shared" ca="1" si="62"/>
        <v>34.356562316186334</v>
      </c>
    </row>
    <row r="411" spans="2:11" ht="15" customHeight="1" x14ac:dyDescent="0.35">
      <c r="B411" s="5">
        <v>390</v>
      </c>
      <c r="C411" s="39">
        <f t="shared" ca="1" si="54"/>
        <v>2.959424957717272</v>
      </c>
      <c r="D411" s="40">
        <f t="shared" ca="1" si="55"/>
        <v>3915966313.8661776</v>
      </c>
      <c r="E411" s="40">
        <f t="shared" ca="1" si="56"/>
        <v>16050969430876.479</v>
      </c>
      <c r="F411" s="40">
        <f t="shared" ca="1" si="57"/>
        <v>1549813778614.7561</v>
      </c>
      <c r="G411" s="40">
        <f t="shared" ca="1" si="58"/>
        <v>23166903887434.969</v>
      </c>
      <c r="H411" s="40">
        <f t="shared" ca="1" si="59"/>
        <v>16050969430876.479</v>
      </c>
      <c r="I411" s="40">
        <f t="shared" ca="1" si="60"/>
        <v>7731512678896.5684</v>
      </c>
      <c r="J411" s="40">
        <f t="shared" ca="1" si="61"/>
        <v>771316035429.29724</v>
      </c>
      <c r="K411" s="41">
        <f t="shared" ca="1" si="62"/>
        <v>10.023793521410949</v>
      </c>
    </row>
    <row r="412" spans="2:11" ht="15" customHeight="1" x14ac:dyDescent="0.35">
      <c r="B412" s="5">
        <v>391</v>
      </c>
      <c r="C412" s="39">
        <f t="shared" ca="1" si="54"/>
        <v>3.0982186085773731</v>
      </c>
      <c r="D412" s="40">
        <f t="shared" ca="1" si="55"/>
        <v>4719637233.169899</v>
      </c>
      <c r="E412" s="40">
        <f t="shared" ca="1" si="56"/>
        <v>21989479852352.711</v>
      </c>
      <c r="F412" s="40">
        <f t="shared" ca="1" si="57"/>
        <v>4742445753009.6748</v>
      </c>
      <c r="G412" s="40">
        <f t="shared" ca="1" si="58"/>
        <v>56629006758666.477</v>
      </c>
      <c r="H412" s="40">
        <f t="shared" ca="1" si="59"/>
        <v>56629006758666.477</v>
      </c>
      <c r="I412" s="40">
        <f t="shared" ca="1" si="60"/>
        <v>124447500446362.38</v>
      </c>
      <c r="J412" s="40">
        <f t="shared" ca="1" si="61"/>
        <v>1250869696878.5964</v>
      </c>
      <c r="K412" s="41">
        <f t="shared" ca="1" si="62"/>
        <v>99.488780291749819</v>
      </c>
    </row>
    <row r="413" spans="2:11" ht="15" customHeight="1" x14ac:dyDescent="0.35">
      <c r="B413" s="5">
        <v>392</v>
      </c>
      <c r="C413" s="39">
        <f t="shared" ca="1" si="54"/>
        <v>3.5694865767115198</v>
      </c>
      <c r="D413" s="40">
        <f t="shared" ca="1" si="55"/>
        <v>9630758197.7636337</v>
      </c>
      <c r="E413" s="40">
        <f t="shared" ca="1" si="56"/>
        <v>87642867818772.063</v>
      </c>
      <c r="F413" s="40">
        <f t="shared" ca="1" si="57"/>
        <v>46625198002578.078</v>
      </c>
      <c r="G413" s="40">
        <f t="shared" ca="1" si="58"/>
        <v>3785130640734.5801</v>
      </c>
      <c r="H413" s="40">
        <f t="shared" ca="1" si="59"/>
        <v>3785130640734.5801</v>
      </c>
      <c r="I413" s="40">
        <f t="shared" ca="1" si="60"/>
        <v>7057427021195.4844</v>
      </c>
      <c r="J413" s="40">
        <f t="shared" ca="1" si="61"/>
        <v>1078019829026.6296</v>
      </c>
      <c r="K413" s="41">
        <f t="shared" ca="1" si="62"/>
        <v>6.5466578917827576</v>
      </c>
    </row>
    <row r="414" spans="2:11" ht="15" customHeight="1" x14ac:dyDescent="0.35">
      <c r="B414" s="5">
        <v>393</v>
      </c>
      <c r="C414" s="39">
        <f t="shared" ca="1" si="54"/>
        <v>2.6741971756735627</v>
      </c>
      <c r="D414" s="40">
        <f t="shared" ca="1" si="55"/>
        <v>2476631177.7281981</v>
      </c>
      <c r="E414" s="40">
        <f t="shared" ca="1" si="56"/>
        <v>9095092543630.4375</v>
      </c>
      <c r="F414" s="40">
        <f t="shared" ca="1" si="57"/>
        <v>2850964365157.1001</v>
      </c>
      <c r="G414" s="40">
        <f t="shared" ca="1" si="58"/>
        <v>11507633240994.475</v>
      </c>
      <c r="H414" s="40">
        <f t="shared" ca="1" si="59"/>
        <v>9095092543630.4375</v>
      </c>
      <c r="I414" s="40">
        <f t="shared" ca="1" si="60"/>
        <v>1206179588280.3379</v>
      </c>
      <c r="J414" s="40">
        <f t="shared" ca="1" si="61"/>
        <v>857369571618.71448</v>
      </c>
      <c r="K414" s="41">
        <f t="shared" ca="1" si="62"/>
        <v>1.4068374108531398</v>
      </c>
    </row>
    <row r="415" spans="2:11" ht="15" customHeight="1" x14ac:dyDescent="0.35">
      <c r="B415" s="5">
        <v>394</v>
      </c>
      <c r="C415" s="39">
        <f t="shared" ca="1" si="54"/>
        <v>3.7343030205829963</v>
      </c>
      <c r="D415" s="40">
        <f t="shared" ca="1" si="55"/>
        <v>16841956548.85854</v>
      </c>
      <c r="E415" s="40">
        <f t="shared" ca="1" si="56"/>
        <v>32762795789250.266</v>
      </c>
      <c r="F415" s="40">
        <f t="shared" ca="1" si="57"/>
        <v>324249884678.11078</v>
      </c>
      <c r="G415" s="40">
        <f t="shared" ca="1" si="58"/>
        <v>3936807662256.9141</v>
      </c>
      <c r="H415" s="40">
        <f t="shared" ca="1" si="59"/>
        <v>324249884678.11078</v>
      </c>
      <c r="I415" s="40">
        <f t="shared" ca="1" si="60"/>
        <v>8154981424223.5283</v>
      </c>
      <c r="J415" s="40">
        <f t="shared" ca="1" si="61"/>
        <v>968620465473.76929</v>
      </c>
      <c r="K415" s="41">
        <f t="shared" ca="1" si="62"/>
        <v>8.4191710942580418</v>
      </c>
    </row>
    <row r="416" spans="2:11" ht="15" customHeight="1" x14ac:dyDescent="0.35">
      <c r="B416" s="5">
        <v>395</v>
      </c>
      <c r="C416" s="39">
        <f t="shared" ca="1" si="54"/>
        <v>2.999214551350335</v>
      </c>
      <c r="D416" s="40">
        <f t="shared" ca="1" si="55"/>
        <v>5185905172.3778439</v>
      </c>
      <c r="E416" s="40">
        <f t="shared" ca="1" si="56"/>
        <v>6932303559999.9297</v>
      </c>
      <c r="F416" s="40">
        <f t="shared" ca="1" si="57"/>
        <v>240185767297.80881</v>
      </c>
      <c r="G416" s="40">
        <f t="shared" ca="1" si="58"/>
        <v>53180328399032</v>
      </c>
      <c r="H416" s="40">
        <f t="shared" ca="1" si="59"/>
        <v>240185767297.80881</v>
      </c>
      <c r="I416" s="40">
        <f t="shared" ca="1" si="60"/>
        <v>18497552699132.637</v>
      </c>
      <c r="J416" s="40">
        <f t="shared" ca="1" si="61"/>
        <v>1442041838022.7813</v>
      </c>
      <c r="K416" s="41">
        <f t="shared" ca="1" si="62"/>
        <v>12.827334277967331</v>
      </c>
    </row>
    <row r="417" spans="2:11" ht="15" customHeight="1" x14ac:dyDescent="0.35">
      <c r="B417" s="5">
        <v>396</v>
      </c>
      <c r="C417" s="39">
        <f t="shared" ca="1" si="54"/>
        <v>2.0838752269880643</v>
      </c>
      <c r="D417" s="40">
        <f t="shared" ca="1" si="55"/>
        <v>849667578.3240217</v>
      </c>
      <c r="E417" s="40">
        <f t="shared" ca="1" si="56"/>
        <v>2734638372447.1631</v>
      </c>
      <c r="F417" s="40">
        <f t="shared" ca="1" si="57"/>
        <v>10799855353662.176</v>
      </c>
      <c r="G417" s="40">
        <f t="shared" ca="1" si="58"/>
        <v>6308030444973.8818</v>
      </c>
      <c r="H417" s="40">
        <f t="shared" ca="1" si="59"/>
        <v>2734638372447.1631</v>
      </c>
      <c r="I417" s="40">
        <f t="shared" ca="1" si="60"/>
        <v>25310749399976.68</v>
      </c>
      <c r="J417" s="40">
        <f t="shared" ca="1" si="61"/>
        <v>1179368928910.9556</v>
      </c>
      <c r="K417" s="41">
        <f t="shared" ca="1" si="62"/>
        <v>21.461265240681684</v>
      </c>
    </row>
    <row r="418" spans="2:11" ht="15" customHeight="1" x14ac:dyDescent="0.35">
      <c r="B418" s="5">
        <v>397</v>
      </c>
      <c r="C418" s="39">
        <f t="shared" ca="1" si="54"/>
        <v>2.5409378566422385</v>
      </c>
      <c r="D418" s="40">
        <f t="shared" ca="1" si="55"/>
        <v>1875505936.094681</v>
      </c>
      <c r="E418" s="40">
        <f t="shared" ca="1" si="56"/>
        <v>8159262486865.3818</v>
      </c>
      <c r="F418" s="40">
        <f t="shared" ca="1" si="57"/>
        <v>1359925732591.8015</v>
      </c>
      <c r="G418" s="40">
        <f t="shared" ca="1" si="58"/>
        <v>21383945023526.02</v>
      </c>
      <c r="H418" s="40">
        <f t="shared" ca="1" si="59"/>
        <v>8159262486865.3818</v>
      </c>
      <c r="I418" s="40">
        <f t="shared" ca="1" si="60"/>
        <v>55054417873763.594</v>
      </c>
      <c r="J418" s="40">
        <f t="shared" ca="1" si="61"/>
        <v>1338252569098.5481</v>
      </c>
      <c r="K418" s="41">
        <f t="shared" ca="1" si="62"/>
        <v>41.139033949957934</v>
      </c>
    </row>
    <row r="419" spans="2:11" ht="15" customHeight="1" x14ac:dyDescent="0.35">
      <c r="B419" s="5">
        <v>398</v>
      </c>
      <c r="C419" s="39">
        <f t="shared" ca="1" si="54"/>
        <v>2.7899823983559342</v>
      </c>
      <c r="D419" s="40">
        <f t="shared" ca="1" si="55"/>
        <v>3830652568.4874511</v>
      </c>
      <c r="E419" s="40">
        <f t="shared" ca="1" si="56"/>
        <v>8776664929708.3057</v>
      </c>
      <c r="F419" s="40">
        <f t="shared" ca="1" si="57"/>
        <v>2620834443293.1519</v>
      </c>
      <c r="G419" s="40">
        <f t="shared" ca="1" si="58"/>
        <v>53804040507188.789</v>
      </c>
      <c r="H419" s="40">
        <f t="shared" ca="1" si="59"/>
        <v>53804040507188.789</v>
      </c>
      <c r="I419" s="40">
        <f t="shared" ca="1" si="60"/>
        <v>2328605891483.6025</v>
      </c>
      <c r="J419" s="40">
        <f t="shared" ca="1" si="61"/>
        <v>969725004771.75684</v>
      </c>
      <c r="K419" s="41">
        <f t="shared" ca="1" si="62"/>
        <v>2.4013054010416943</v>
      </c>
    </row>
    <row r="420" spans="2:11" ht="15" customHeight="1" x14ac:dyDescent="0.35">
      <c r="B420" s="5">
        <v>399</v>
      </c>
      <c r="C420" s="39">
        <f t="shared" ca="1" si="54"/>
        <v>3.0917505181375304</v>
      </c>
      <c r="D420" s="40">
        <f t="shared" ca="1" si="55"/>
        <v>5688572309.9181089</v>
      </c>
      <c r="E420" s="40">
        <f t="shared" ca="1" si="56"/>
        <v>25322536671329.984</v>
      </c>
      <c r="F420" s="40">
        <f t="shared" ca="1" si="57"/>
        <v>4667771139238.3477</v>
      </c>
      <c r="G420" s="40">
        <f t="shared" ca="1" si="58"/>
        <v>1617305293446.4211</v>
      </c>
      <c r="H420" s="40">
        <f t="shared" ca="1" si="59"/>
        <v>1617305293446.4211</v>
      </c>
      <c r="I420" s="40">
        <f t="shared" ca="1" si="60"/>
        <v>3459230135164.3462</v>
      </c>
      <c r="J420" s="40">
        <f t="shared" ca="1" si="61"/>
        <v>725101795870.99463</v>
      </c>
      <c r="K420" s="41">
        <f t="shared" ca="1" si="62"/>
        <v>4.7706820681765212</v>
      </c>
    </row>
    <row r="421" spans="2:11" ht="15" customHeight="1" x14ac:dyDescent="0.35">
      <c r="B421" s="5">
        <v>400</v>
      </c>
      <c r="C421" s="39">
        <f t="shared" ca="1" si="54"/>
        <v>2.8198725099780906</v>
      </c>
      <c r="D421" s="40">
        <f t="shared" ca="1" si="55"/>
        <v>2874140839.547698</v>
      </c>
      <c r="E421" s="40">
        <f t="shared" ca="1" si="56"/>
        <v>36236447823329.445</v>
      </c>
      <c r="F421" s="40">
        <f t="shared" ca="1" si="57"/>
        <v>2389308321765.7485</v>
      </c>
      <c r="G421" s="40">
        <f t="shared" ca="1" si="58"/>
        <v>1032901610300.9515</v>
      </c>
      <c r="H421" s="40">
        <f t="shared" ca="1" si="59"/>
        <v>1032901610300.9515</v>
      </c>
      <c r="I421" s="40">
        <f t="shared" ca="1" si="60"/>
        <v>20569629600542.055</v>
      </c>
      <c r="J421" s="40">
        <f t="shared" ca="1" si="61"/>
        <v>544187860335.31207</v>
      </c>
      <c r="K421" s="41">
        <f t="shared" ca="1" si="62"/>
        <v>37.798766014125476</v>
      </c>
    </row>
    <row r="422" spans="2:11" ht="15" customHeight="1" x14ac:dyDescent="0.35">
      <c r="B422" s="5">
        <v>401</v>
      </c>
      <c r="C422" s="39">
        <f t="shared" ca="1" si="54"/>
        <v>3.7139068235143102</v>
      </c>
      <c r="D422" s="40">
        <f t="shared" ca="1" si="55"/>
        <v>16278661325.61865</v>
      </c>
      <c r="E422" s="40">
        <f t="shared" ca="1" si="56"/>
        <v>149116195626935.84</v>
      </c>
      <c r="F422" s="40">
        <f t="shared" ca="1" si="57"/>
        <v>2860413857174.7622</v>
      </c>
      <c r="G422" s="40">
        <f t="shared" ca="1" si="58"/>
        <v>19079021177292.32</v>
      </c>
      <c r="H422" s="40">
        <f t="shared" ca="1" si="59"/>
        <v>19079021177292.32</v>
      </c>
      <c r="I422" s="40">
        <f t="shared" ca="1" si="60"/>
        <v>24594538627455.781</v>
      </c>
      <c r="J422" s="40">
        <f t="shared" ca="1" si="61"/>
        <v>610034598301.61865</v>
      </c>
      <c r="K422" s="41">
        <f t="shared" ca="1" si="62"/>
        <v>40.316629082889385</v>
      </c>
    </row>
    <row r="423" spans="2:11" ht="15" customHeight="1" x14ac:dyDescent="0.35">
      <c r="B423" s="5">
        <v>402</v>
      </c>
      <c r="C423" s="39">
        <f t="shared" ca="1" si="54"/>
        <v>3.6282810294626264</v>
      </c>
      <c r="D423" s="40">
        <f t="shared" ca="1" si="55"/>
        <v>14775735128.916922</v>
      </c>
      <c r="E423" s="40">
        <f t="shared" ca="1" si="56"/>
        <v>96881936389814.719</v>
      </c>
      <c r="F423" s="40">
        <f t="shared" ca="1" si="57"/>
        <v>591276702152.72498</v>
      </c>
      <c r="G423" s="40">
        <f t="shared" ca="1" si="58"/>
        <v>2085741334088.2881</v>
      </c>
      <c r="H423" s="40">
        <f t="shared" ca="1" si="59"/>
        <v>96881936389814.719</v>
      </c>
      <c r="I423" s="40">
        <f t="shared" ca="1" si="60"/>
        <v>12504797368724.416</v>
      </c>
      <c r="J423" s="40">
        <f t="shared" ca="1" si="61"/>
        <v>524704426415.35199</v>
      </c>
      <c r="K423" s="41">
        <f t="shared" ca="1" si="62"/>
        <v>23.832079050969764</v>
      </c>
    </row>
    <row r="424" spans="2:11" ht="15" customHeight="1" x14ac:dyDescent="0.35">
      <c r="B424" s="5">
        <v>403</v>
      </c>
      <c r="C424" s="39">
        <f t="shared" ca="1" si="54"/>
        <v>3.1659894792716901</v>
      </c>
      <c r="D424" s="40">
        <f t="shared" ca="1" si="55"/>
        <v>6553917409.7502422</v>
      </c>
      <c r="E424" s="40">
        <f t="shared" ca="1" si="56"/>
        <v>47101582899603.055</v>
      </c>
      <c r="F424" s="40">
        <f t="shared" ca="1" si="57"/>
        <v>13932461590575.709</v>
      </c>
      <c r="G424" s="40">
        <f t="shared" ca="1" si="58"/>
        <v>3127982171080.9932</v>
      </c>
      <c r="H424" s="40">
        <f t="shared" ca="1" si="59"/>
        <v>47101582899603.055</v>
      </c>
      <c r="I424" s="40">
        <f t="shared" ca="1" si="60"/>
        <v>43333692079659.422</v>
      </c>
      <c r="J424" s="40">
        <f t="shared" ca="1" si="61"/>
        <v>1566063621937.446</v>
      </c>
      <c r="K424" s="41">
        <f t="shared" ca="1" si="62"/>
        <v>27.670454426397704</v>
      </c>
    </row>
    <row r="425" spans="2:11" ht="15" customHeight="1" x14ac:dyDescent="0.35">
      <c r="B425" s="5">
        <v>404</v>
      </c>
      <c r="C425" s="39">
        <f t="shared" ca="1" si="54"/>
        <v>2.2540479925172057</v>
      </c>
      <c r="D425" s="40">
        <f t="shared" ca="1" si="55"/>
        <v>1198007365.798331</v>
      </c>
      <c r="E425" s="40">
        <f t="shared" ca="1" si="56"/>
        <v>3448386844350.5044</v>
      </c>
      <c r="F425" s="40">
        <f t="shared" ca="1" si="57"/>
        <v>2355583575650.0142</v>
      </c>
      <c r="G425" s="40">
        <f t="shared" ca="1" si="58"/>
        <v>117903687770613.88</v>
      </c>
      <c r="H425" s="40">
        <f t="shared" ca="1" si="59"/>
        <v>117903687770613.88</v>
      </c>
      <c r="I425" s="40">
        <f t="shared" ca="1" si="60"/>
        <v>12447205994464.289</v>
      </c>
      <c r="J425" s="40">
        <f t="shared" ca="1" si="61"/>
        <v>1199627697273.0405</v>
      </c>
      <c r="K425" s="41">
        <f t="shared" ca="1" si="62"/>
        <v>10.375890805754921</v>
      </c>
    </row>
    <row r="426" spans="2:11" ht="15" customHeight="1" x14ac:dyDescent="0.35">
      <c r="B426" s="5">
        <v>405</v>
      </c>
      <c r="C426" s="39">
        <f t="shared" ca="1" si="54"/>
        <v>2.3953159941259621</v>
      </c>
      <c r="D426" s="40">
        <f t="shared" ca="1" si="55"/>
        <v>1565659557.9398353</v>
      </c>
      <c r="E426" s="40">
        <f t="shared" ca="1" si="56"/>
        <v>16837050307681.328</v>
      </c>
      <c r="F426" s="40">
        <f t="shared" ca="1" si="57"/>
        <v>853870498461.23059</v>
      </c>
      <c r="G426" s="40">
        <f t="shared" ca="1" si="58"/>
        <v>27564083279341.738</v>
      </c>
      <c r="H426" s="40">
        <f t="shared" ca="1" si="59"/>
        <v>853870498461.23059</v>
      </c>
      <c r="I426" s="40">
        <f t="shared" ca="1" si="60"/>
        <v>10327108476236.885</v>
      </c>
      <c r="J426" s="40">
        <f t="shared" ca="1" si="61"/>
        <v>1182673150162.8247</v>
      </c>
      <c r="K426" s="41">
        <f t="shared" ca="1" si="62"/>
        <v>8.7320055205574754</v>
      </c>
    </row>
    <row r="427" spans="2:11" ht="15" customHeight="1" x14ac:dyDescent="0.35">
      <c r="B427" s="5">
        <v>406</v>
      </c>
      <c r="C427" s="39">
        <f t="shared" ca="1" si="54"/>
        <v>3.2896938007645997</v>
      </c>
      <c r="D427" s="40">
        <f t="shared" ca="1" si="55"/>
        <v>7091178600.6772938</v>
      </c>
      <c r="E427" s="40">
        <f t="shared" ca="1" si="56"/>
        <v>12860471730202.84</v>
      </c>
      <c r="F427" s="40">
        <f t="shared" ca="1" si="57"/>
        <v>2025781214370.5786</v>
      </c>
      <c r="G427" s="40">
        <f t="shared" ca="1" si="58"/>
        <v>13252562996271.406</v>
      </c>
      <c r="H427" s="40">
        <f t="shared" ca="1" si="59"/>
        <v>2025781214370.5786</v>
      </c>
      <c r="I427" s="40">
        <f t="shared" ca="1" si="60"/>
        <v>4614460564693.9873</v>
      </c>
      <c r="J427" s="40">
        <f t="shared" ca="1" si="61"/>
        <v>588263818468.94714</v>
      </c>
      <c r="K427" s="41">
        <f t="shared" ca="1" si="62"/>
        <v>7.8442025836364984</v>
      </c>
    </row>
    <row r="428" spans="2:11" ht="15" customHeight="1" x14ac:dyDescent="0.35">
      <c r="B428" s="5">
        <v>407</v>
      </c>
      <c r="C428" s="39">
        <f t="shared" ca="1" si="54"/>
        <v>2.9110513623424548</v>
      </c>
      <c r="D428" s="40">
        <f t="shared" ca="1" si="55"/>
        <v>3977317608.8968649</v>
      </c>
      <c r="E428" s="40">
        <f t="shared" ca="1" si="56"/>
        <v>6936733337647.2373</v>
      </c>
      <c r="F428" s="40">
        <f t="shared" ca="1" si="57"/>
        <v>11708470188599.682</v>
      </c>
      <c r="G428" s="40">
        <f t="shared" ca="1" si="58"/>
        <v>4895046022160.7822</v>
      </c>
      <c r="H428" s="40">
        <f t="shared" ca="1" si="59"/>
        <v>11708470188599.682</v>
      </c>
      <c r="I428" s="40">
        <f t="shared" ca="1" si="60"/>
        <v>23073211862079.789</v>
      </c>
      <c r="J428" s="40">
        <f t="shared" ca="1" si="61"/>
        <v>585845073126.68494</v>
      </c>
      <c r="K428" s="41">
        <f t="shared" ca="1" si="62"/>
        <v>39.384494161463003</v>
      </c>
    </row>
    <row r="429" spans="2:11" ht="15" customHeight="1" x14ac:dyDescent="0.35">
      <c r="B429" s="5">
        <v>408</v>
      </c>
      <c r="C429" s="39">
        <f t="shared" ca="1" si="54"/>
        <v>2.7790123038823022</v>
      </c>
      <c r="D429" s="40">
        <f t="shared" ca="1" si="55"/>
        <v>3139550616.4901776</v>
      </c>
      <c r="E429" s="40">
        <f t="shared" ca="1" si="56"/>
        <v>11171126031396.793</v>
      </c>
      <c r="F429" s="40">
        <f t="shared" ca="1" si="57"/>
        <v>1803310645418.2046</v>
      </c>
      <c r="G429" s="40">
        <f t="shared" ca="1" si="58"/>
        <v>7848066177726.626</v>
      </c>
      <c r="H429" s="40">
        <f t="shared" ca="1" si="59"/>
        <v>11171126031396.793</v>
      </c>
      <c r="I429" s="40">
        <f t="shared" ca="1" si="60"/>
        <v>5194925015040.3438</v>
      </c>
      <c r="J429" s="40">
        <f t="shared" ca="1" si="61"/>
        <v>721438105439.29846</v>
      </c>
      <c r="K429" s="41">
        <f t="shared" ca="1" si="62"/>
        <v>7.2007909976934856</v>
      </c>
    </row>
    <row r="430" spans="2:11" ht="15" customHeight="1" x14ac:dyDescent="0.35">
      <c r="B430" s="5">
        <v>409</v>
      </c>
      <c r="C430" s="39">
        <f t="shared" ca="1" si="54"/>
        <v>3.5671061701198168</v>
      </c>
      <c r="D430" s="40">
        <f t="shared" ca="1" si="55"/>
        <v>13453596705.42918</v>
      </c>
      <c r="E430" s="40">
        <f t="shared" ca="1" si="56"/>
        <v>71514874547925.203</v>
      </c>
      <c r="F430" s="40">
        <f t="shared" ca="1" si="57"/>
        <v>5141376978633.2646</v>
      </c>
      <c r="G430" s="40">
        <f t="shared" ca="1" si="58"/>
        <v>43182954945411.086</v>
      </c>
      <c r="H430" s="40">
        <f t="shared" ca="1" si="59"/>
        <v>71514874547925.203</v>
      </c>
      <c r="I430" s="40">
        <f t="shared" ca="1" si="60"/>
        <v>2775528898944.9575</v>
      </c>
      <c r="J430" s="40">
        <f t="shared" ca="1" si="61"/>
        <v>1093462599921.389</v>
      </c>
      <c r="K430" s="41">
        <f t="shared" ca="1" si="62"/>
        <v>2.5382933985529044</v>
      </c>
    </row>
    <row r="431" spans="2:11" ht="15" customHeight="1" x14ac:dyDescent="0.35">
      <c r="B431" s="5">
        <v>410</v>
      </c>
      <c r="C431" s="39">
        <f t="shared" ca="1" si="54"/>
        <v>2.8529265585200525</v>
      </c>
      <c r="D431" s="40">
        <f t="shared" ca="1" si="55"/>
        <v>3131658069.9928484</v>
      </c>
      <c r="E431" s="40">
        <f t="shared" ca="1" si="56"/>
        <v>36028673017019.852</v>
      </c>
      <c r="F431" s="40">
        <f t="shared" ca="1" si="57"/>
        <v>278584744413.88873</v>
      </c>
      <c r="G431" s="40">
        <f t="shared" ca="1" si="58"/>
        <v>1415129589333.0168</v>
      </c>
      <c r="H431" s="40">
        <f t="shared" ca="1" si="59"/>
        <v>36028673017019.852</v>
      </c>
      <c r="I431" s="40">
        <f t="shared" ca="1" si="60"/>
        <v>16646944355359.988</v>
      </c>
      <c r="J431" s="40">
        <f t="shared" ca="1" si="61"/>
        <v>566869922174.42346</v>
      </c>
      <c r="K431" s="41">
        <f t="shared" ca="1" si="62"/>
        <v>29.36642729518077</v>
      </c>
    </row>
    <row r="432" spans="2:11" ht="15" customHeight="1" x14ac:dyDescent="0.35">
      <c r="B432" s="5">
        <v>411</v>
      </c>
      <c r="C432" s="39">
        <f t="shared" ca="1" si="54"/>
        <v>3.3076662668468706</v>
      </c>
      <c r="D432" s="40">
        <f t="shared" ca="1" si="55"/>
        <v>7818781309.7498589</v>
      </c>
      <c r="E432" s="40">
        <f t="shared" ca="1" si="56"/>
        <v>34338992634616.629</v>
      </c>
      <c r="F432" s="40">
        <f t="shared" ca="1" si="57"/>
        <v>18064948265481.977</v>
      </c>
      <c r="G432" s="40">
        <f t="shared" ca="1" si="58"/>
        <v>8338663919804.9668</v>
      </c>
      <c r="H432" s="40">
        <f t="shared" ca="1" si="59"/>
        <v>8338663919804.9668</v>
      </c>
      <c r="I432" s="40">
        <f t="shared" ca="1" si="60"/>
        <v>19107866395913.758</v>
      </c>
      <c r="J432" s="40">
        <f t="shared" ca="1" si="61"/>
        <v>645537336540.7251</v>
      </c>
      <c r="K432" s="41">
        <f t="shared" ca="1" si="62"/>
        <v>29.59993994818036</v>
      </c>
    </row>
    <row r="433" spans="2:11" ht="15" customHeight="1" x14ac:dyDescent="0.35">
      <c r="B433" s="5">
        <v>412</v>
      </c>
      <c r="C433" s="39">
        <f t="shared" ca="1" si="54"/>
        <v>2.757027551022472</v>
      </c>
      <c r="D433" s="40">
        <f t="shared" ca="1" si="55"/>
        <v>3431123641.2894573</v>
      </c>
      <c r="E433" s="40">
        <f t="shared" ca="1" si="56"/>
        <v>32284564007547.711</v>
      </c>
      <c r="F433" s="40">
        <f t="shared" ca="1" si="57"/>
        <v>1180124131162.7913</v>
      </c>
      <c r="G433" s="40">
        <f t="shared" ca="1" si="58"/>
        <v>1479733531660.5515</v>
      </c>
      <c r="H433" s="40">
        <f t="shared" ca="1" si="59"/>
        <v>32284564007547.711</v>
      </c>
      <c r="I433" s="40">
        <f t="shared" ca="1" si="60"/>
        <v>204521089614236.25</v>
      </c>
      <c r="J433" s="40">
        <f t="shared" ca="1" si="61"/>
        <v>866583180013.94714</v>
      </c>
      <c r="K433" s="41">
        <f t="shared" ca="1" si="62"/>
        <v>236.00860751872037</v>
      </c>
    </row>
    <row r="434" spans="2:11" ht="15" customHeight="1" x14ac:dyDescent="0.35">
      <c r="B434" s="5">
        <v>413</v>
      </c>
      <c r="C434" s="39">
        <f t="shared" ca="1" si="54"/>
        <v>3.2274202239939584</v>
      </c>
      <c r="D434" s="40">
        <f t="shared" ca="1" si="55"/>
        <v>7863861588.8243494</v>
      </c>
      <c r="E434" s="40">
        <f t="shared" ca="1" si="56"/>
        <v>55077980331259.859</v>
      </c>
      <c r="F434" s="40">
        <f t="shared" ca="1" si="57"/>
        <v>244375107415.80087</v>
      </c>
      <c r="G434" s="40">
        <f t="shared" ca="1" si="58"/>
        <v>470997339386.66779</v>
      </c>
      <c r="H434" s="40">
        <f t="shared" ca="1" si="59"/>
        <v>244375107415.80087</v>
      </c>
      <c r="I434" s="40">
        <f t="shared" ca="1" si="60"/>
        <v>4594159329024.8887</v>
      </c>
      <c r="J434" s="40">
        <f t="shared" ca="1" si="61"/>
        <v>594187825911.495</v>
      </c>
      <c r="K434" s="41">
        <f t="shared" ca="1" si="62"/>
        <v>7.731830119503651</v>
      </c>
    </row>
    <row r="435" spans="2:11" ht="15" customHeight="1" x14ac:dyDescent="0.35">
      <c r="B435" s="5">
        <v>414</v>
      </c>
      <c r="C435" s="39">
        <f t="shared" ca="1" si="54"/>
        <v>3.4919273696965676</v>
      </c>
      <c r="D435" s="40">
        <f t="shared" ca="1" si="55"/>
        <v>12052464513.047991</v>
      </c>
      <c r="E435" s="40">
        <f t="shared" ca="1" si="56"/>
        <v>40395322960284.141</v>
      </c>
      <c r="F435" s="40">
        <f t="shared" ca="1" si="57"/>
        <v>8738873171280.8047</v>
      </c>
      <c r="G435" s="40">
        <f t="shared" ca="1" si="58"/>
        <v>7624217739513.4443</v>
      </c>
      <c r="H435" s="40">
        <f t="shared" ca="1" si="59"/>
        <v>40395322960284.141</v>
      </c>
      <c r="I435" s="40">
        <f t="shared" ca="1" si="60"/>
        <v>95190542888354.469</v>
      </c>
      <c r="J435" s="40">
        <f t="shared" ca="1" si="61"/>
        <v>1003630557391.8602</v>
      </c>
      <c r="K435" s="41">
        <f t="shared" ca="1" si="62"/>
        <v>94.846198321946886</v>
      </c>
    </row>
    <row r="436" spans="2:11" ht="15" customHeight="1" x14ac:dyDescent="0.35">
      <c r="B436" s="5">
        <v>415</v>
      </c>
      <c r="C436" s="39">
        <f t="shared" ca="1" si="54"/>
        <v>3.7037820567203688</v>
      </c>
      <c r="D436" s="40">
        <f t="shared" ca="1" si="55"/>
        <v>15331415293.576883</v>
      </c>
      <c r="E436" s="40">
        <f t="shared" ca="1" si="56"/>
        <v>36593661141666.352</v>
      </c>
      <c r="F436" s="40">
        <f t="shared" ca="1" si="57"/>
        <v>12586524686194.02</v>
      </c>
      <c r="G436" s="40">
        <f t="shared" ca="1" si="58"/>
        <v>48490660809263.945</v>
      </c>
      <c r="H436" s="40">
        <f t="shared" ca="1" si="59"/>
        <v>12586524686194.02</v>
      </c>
      <c r="I436" s="40">
        <f t="shared" ca="1" si="60"/>
        <v>70007125622692.031</v>
      </c>
      <c r="J436" s="40">
        <f t="shared" ca="1" si="61"/>
        <v>1726850273580.1565</v>
      </c>
      <c r="K436" s="41">
        <f t="shared" ca="1" si="62"/>
        <v>40.540356447667705</v>
      </c>
    </row>
    <row r="437" spans="2:11" ht="15" customHeight="1" x14ac:dyDescent="0.35">
      <c r="B437" s="5">
        <v>416</v>
      </c>
      <c r="C437" s="39">
        <f t="shared" ca="1" si="54"/>
        <v>2.3854781797443656</v>
      </c>
      <c r="D437" s="40">
        <f t="shared" ca="1" si="55"/>
        <v>1506369993.7988682</v>
      </c>
      <c r="E437" s="40">
        <f t="shared" ca="1" si="56"/>
        <v>7681453192283.6865</v>
      </c>
      <c r="F437" s="40">
        <f t="shared" ca="1" si="57"/>
        <v>460460970097.83289</v>
      </c>
      <c r="G437" s="40">
        <f t="shared" ca="1" si="58"/>
        <v>12019699529192.342</v>
      </c>
      <c r="H437" s="40">
        <f t="shared" ca="1" si="59"/>
        <v>7681453192283.6865</v>
      </c>
      <c r="I437" s="40">
        <f t="shared" ca="1" si="60"/>
        <v>4638977652470.6934</v>
      </c>
      <c r="J437" s="40">
        <f t="shared" ca="1" si="61"/>
        <v>445253339212.94391</v>
      </c>
      <c r="K437" s="41">
        <f t="shared" ca="1" si="62"/>
        <v>10.418737478018299</v>
      </c>
    </row>
    <row r="438" spans="2:11" ht="15" customHeight="1" x14ac:dyDescent="0.35">
      <c r="B438" s="5">
        <v>417</v>
      </c>
      <c r="C438" s="39">
        <f t="shared" ca="1" si="54"/>
        <v>3.6752478546304186</v>
      </c>
      <c r="D438" s="40">
        <f t="shared" ca="1" si="55"/>
        <v>13712736980.922857</v>
      </c>
      <c r="E438" s="40">
        <f t="shared" ca="1" si="56"/>
        <v>23735934271617.363</v>
      </c>
      <c r="F438" s="40">
        <f t="shared" ca="1" si="57"/>
        <v>1077754023814.0493</v>
      </c>
      <c r="G438" s="40">
        <f t="shared" ca="1" si="58"/>
        <v>18301879763146.922</v>
      </c>
      <c r="H438" s="40">
        <f t="shared" ca="1" si="59"/>
        <v>23735934271617.363</v>
      </c>
      <c r="I438" s="40">
        <f t="shared" ca="1" si="60"/>
        <v>3292202373632.3911</v>
      </c>
      <c r="J438" s="40">
        <f t="shared" ca="1" si="61"/>
        <v>662288078610.92297</v>
      </c>
      <c r="K438" s="41">
        <f t="shared" ca="1" si="62"/>
        <v>4.9709521882643974</v>
      </c>
    </row>
    <row r="439" spans="2:11" ht="15" customHeight="1" x14ac:dyDescent="0.35">
      <c r="B439" s="5">
        <v>418</v>
      </c>
      <c r="C439" s="39">
        <f t="shared" ca="1" si="54"/>
        <v>3.5092495727570778</v>
      </c>
      <c r="D439" s="40">
        <f t="shared" ca="1" si="55"/>
        <v>10627287653.057766</v>
      </c>
      <c r="E439" s="40">
        <f t="shared" ca="1" si="56"/>
        <v>77661525827648.984</v>
      </c>
      <c r="F439" s="40">
        <f t="shared" ca="1" si="57"/>
        <v>5771284490419.334</v>
      </c>
      <c r="G439" s="40">
        <f t="shared" ca="1" si="58"/>
        <v>5846496153262.7471</v>
      </c>
      <c r="H439" s="40">
        <f t="shared" ca="1" si="59"/>
        <v>77661525827648.984</v>
      </c>
      <c r="I439" s="40">
        <f t="shared" ca="1" si="60"/>
        <v>31980191976030.422</v>
      </c>
      <c r="J439" s="40">
        <f t="shared" ca="1" si="61"/>
        <v>762836588197.5321</v>
      </c>
      <c r="K439" s="41">
        <f t="shared" ca="1" si="62"/>
        <v>41.922729547614907</v>
      </c>
    </row>
    <row r="440" spans="2:11" ht="15" customHeight="1" x14ac:dyDescent="0.35">
      <c r="B440" s="5">
        <v>419</v>
      </c>
      <c r="C440" s="39">
        <f t="shared" ca="1" si="54"/>
        <v>3.2662364919411191</v>
      </c>
      <c r="D440" s="40">
        <f t="shared" ca="1" si="55"/>
        <v>6838413190.6259947</v>
      </c>
      <c r="E440" s="40">
        <f t="shared" ca="1" si="56"/>
        <v>51143145282995.273</v>
      </c>
      <c r="F440" s="40">
        <f t="shared" ca="1" si="57"/>
        <v>2119189252559.8782</v>
      </c>
      <c r="G440" s="40">
        <f t="shared" ca="1" si="58"/>
        <v>11503382228155.619</v>
      </c>
      <c r="H440" s="40">
        <f t="shared" ca="1" si="59"/>
        <v>11503382228155.619</v>
      </c>
      <c r="I440" s="40">
        <f t="shared" ca="1" si="60"/>
        <v>4424165981842.5137</v>
      </c>
      <c r="J440" s="40">
        <f t="shared" ca="1" si="61"/>
        <v>659671306780.82434</v>
      </c>
      <c r="K440" s="41">
        <f t="shared" ca="1" si="62"/>
        <v>6.7066218226654533</v>
      </c>
    </row>
    <row r="441" spans="2:11" ht="15" customHeight="1" x14ac:dyDescent="0.35">
      <c r="B441" s="5">
        <v>420</v>
      </c>
      <c r="C441" s="39">
        <f t="shared" ca="1" si="54"/>
        <v>3.0442384361045907</v>
      </c>
      <c r="D441" s="40">
        <f t="shared" ca="1" si="55"/>
        <v>5186882064.6974516</v>
      </c>
      <c r="E441" s="40">
        <f t="shared" ca="1" si="56"/>
        <v>3104318621771.7866</v>
      </c>
      <c r="F441" s="40">
        <f t="shared" ca="1" si="57"/>
        <v>6512411778598.6094</v>
      </c>
      <c r="G441" s="40">
        <f t="shared" ca="1" si="58"/>
        <v>22568196172234.395</v>
      </c>
      <c r="H441" s="40">
        <f t="shared" ca="1" si="59"/>
        <v>3104318621771.7866</v>
      </c>
      <c r="I441" s="40">
        <f t="shared" ca="1" si="60"/>
        <v>26011753762480.93</v>
      </c>
      <c r="J441" s="40">
        <f t="shared" ca="1" si="61"/>
        <v>1023902823848.7552</v>
      </c>
      <c r="K441" s="41">
        <f t="shared" ca="1" si="62"/>
        <v>25.404514136121993</v>
      </c>
    </row>
    <row r="442" spans="2:11" ht="15" customHeight="1" x14ac:dyDescent="0.35">
      <c r="B442" s="5">
        <v>421</v>
      </c>
      <c r="C442" s="39">
        <f t="shared" ca="1" si="54"/>
        <v>2.4901820286226983</v>
      </c>
      <c r="D442" s="40">
        <f t="shared" ca="1" si="55"/>
        <v>2253060954.4263611</v>
      </c>
      <c r="E442" s="40">
        <f t="shared" ca="1" si="56"/>
        <v>5802527533681.8994</v>
      </c>
      <c r="F442" s="40">
        <f t="shared" ca="1" si="57"/>
        <v>1137425736441.5818</v>
      </c>
      <c r="G442" s="40">
        <f t="shared" ca="1" si="58"/>
        <v>278563058435.96552</v>
      </c>
      <c r="H442" s="40">
        <f t="shared" ca="1" si="59"/>
        <v>278563058435.96552</v>
      </c>
      <c r="I442" s="40">
        <f t="shared" ca="1" si="60"/>
        <v>4126064387674.2817</v>
      </c>
      <c r="J442" s="40">
        <f t="shared" ca="1" si="61"/>
        <v>754597252539.31396</v>
      </c>
      <c r="K442" s="41">
        <f t="shared" ca="1" si="62"/>
        <v>5.4679027438670893</v>
      </c>
    </row>
    <row r="443" spans="2:11" ht="15" customHeight="1" x14ac:dyDescent="0.35">
      <c r="B443" s="5">
        <v>422</v>
      </c>
      <c r="C443" s="39">
        <f t="shared" ca="1" si="54"/>
        <v>3.2520309966181808</v>
      </c>
      <c r="D443" s="40">
        <f t="shared" ca="1" si="55"/>
        <v>8281842726.87082</v>
      </c>
      <c r="E443" s="40">
        <f t="shared" ca="1" si="56"/>
        <v>84359308648551.75</v>
      </c>
      <c r="F443" s="40">
        <f t="shared" ca="1" si="57"/>
        <v>1252802435882.1243</v>
      </c>
      <c r="G443" s="40">
        <f t="shared" ca="1" si="58"/>
        <v>702202398730.02747</v>
      </c>
      <c r="H443" s="40">
        <f t="shared" ca="1" si="59"/>
        <v>702202398730.02747</v>
      </c>
      <c r="I443" s="40">
        <f t="shared" ca="1" si="60"/>
        <v>1764586355743.6968</v>
      </c>
      <c r="J443" s="40">
        <f t="shared" ca="1" si="61"/>
        <v>1012909877545.0461</v>
      </c>
      <c r="K443" s="41">
        <f t="shared" ca="1" si="62"/>
        <v>1.7420961083136659</v>
      </c>
    </row>
    <row r="444" spans="2:11" ht="15" customHeight="1" x14ac:dyDescent="0.35">
      <c r="B444" s="5">
        <v>423</v>
      </c>
      <c r="C444" s="39">
        <f t="shared" ca="1" si="54"/>
        <v>4.1297238042851596</v>
      </c>
      <c r="D444" s="40">
        <f t="shared" ca="1" si="55"/>
        <v>22289523149.476414</v>
      </c>
      <c r="E444" s="40">
        <f t="shared" ca="1" si="56"/>
        <v>176966319815185.69</v>
      </c>
      <c r="F444" s="40">
        <f t="shared" ca="1" si="57"/>
        <v>1137641008923.8535</v>
      </c>
      <c r="G444" s="40">
        <f t="shared" ca="1" si="58"/>
        <v>210238974796.62814</v>
      </c>
      <c r="H444" s="40">
        <f t="shared" ca="1" si="59"/>
        <v>1137641008923.8535</v>
      </c>
      <c r="I444" s="40">
        <f t="shared" ca="1" si="60"/>
        <v>9957530500138.7266</v>
      </c>
      <c r="J444" s="40">
        <f t="shared" ca="1" si="61"/>
        <v>724240477664.39929</v>
      </c>
      <c r="K444" s="41">
        <f t="shared" ca="1" si="62"/>
        <v>13.748928439143215</v>
      </c>
    </row>
    <row r="445" spans="2:11" ht="15" customHeight="1" x14ac:dyDescent="0.35">
      <c r="B445" s="5">
        <v>424</v>
      </c>
      <c r="C445" s="39">
        <f t="shared" ca="1" si="54"/>
        <v>2.9013813349312731</v>
      </c>
      <c r="D445" s="40">
        <f t="shared" ca="1" si="55"/>
        <v>3341815454.2251129</v>
      </c>
      <c r="E445" s="40">
        <f t="shared" ca="1" si="56"/>
        <v>7446283568560.4814</v>
      </c>
      <c r="F445" s="40">
        <f t="shared" ca="1" si="57"/>
        <v>5583100058151.5039</v>
      </c>
      <c r="G445" s="40">
        <f t="shared" ca="1" si="58"/>
        <v>1323502221033.022</v>
      </c>
      <c r="H445" s="40">
        <f t="shared" ca="1" si="59"/>
        <v>7446283568560.4814</v>
      </c>
      <c r="I445" s="40">
        <f t="shared" ca="1" si="60"/>
        <v>6579410291885.502</v>
      </c>
      <c r="J445" s="40">
        <f t="shared" ca="1" si="61"/>
        <v>841986982251.31433</v>
      </c>
      <c r="K445" s="41">
        <f t="shared" ca="1" si="62"/>
        <v>7.8141472856188345</v>
      </c>
    </row>
    <row r="446" spans="2:11" ht="15" customHeight="1" x14ac:dyDescent="0.35">
      <c r="B446" s="5">
        <v>425</v>
      </c>
      <c r="C446" s="39">
        <f t="shared" ca="1" si="54"/>
        <v>2.6295074533293743</v>
      </c>
      <c r="D446" s="40">
        <f t="shared" ca="1" si="55"/>
        <v>2962834433.4987912</v>
      </c>
      <c r="E446" s="40">
        <f t="shared" ca="1" si="56"/>
        <v>21240558714541.727</v>
      </c>
      <c r="F446" s="40">
        <f t="shared" ca="1" si="57"/>
        <v>4991580454424.9473</v>
      </c>
      <c r="G446" s="40">
        <f t="shared" ca="1" si="58"/>
        <v>71848751565460.578</v>
      </c>
      <c r="H446" s="40">
        <f t="shared" ca="1" si="59"/>
        <v>4991580454424.9473</v>
      </c>
      <c r="I446" s="40">
        <f t="shared" ca="1" si="60"/>
        <v>3909498438284.043</v>
      </c>
      <c r="J446" s="40">
        <f t="shared" ca="1" si="61"/>
        <v>1527643595054.2131</v>
      </c>
      <c r="K446" s="41">
        <f t="shared" ca="1" si="62"/>
        <v>2.5591692008143445</v>
      </c>
    </row>
    <row r="447" spans="2:11" ht="15" customHeight="1" x14ac:dyDescent="0.35">
      <c r="B447" s="5">
        <v>426</v>
      </c>
      <c r="C447" s="39">
        <f t="shared" ca="1" si="54"/>
        <v>2.6548186494858643</v>
      </c>
      <c r="D447" s="40">
        <f t="shared" ca="1" si="55"/>
        <v>2537569493.9161577</v>
      </c>
      <c r="E447" s="40">
        <f t="shared" ca="1" si="56"/>
        <v>2937850255972.5024</v>
      </c>
      <c r="F447" s="40">
        <f t="shared" ca="1" si="57"/>
        <v>1461614330300.1177</v>
      </c>
      <c r="G447" s="40">
        <f t="shared" ca="1" si="58"/>
        <v>6448633645415.8135</v>
      </c>
      <c r="H447" s="40">
        <f t="shared" ca="1" si="59"/>
        <v>2937850255972.5024</v>
      </c>
      <c r="I447" s="40">
        <f t="shared" ca="1" si="60"/>
        <v>12204622725691.844</v>
      </c>
      <c r="J447" s="40">
        <f t="shared" ca="1" si="61"/>
        <v>1209629099987.2881</v>
      </c>
      <c r="K447" s="41">
        <f t="shared" ca="1" si="62"/>
        <v>10.089557803974872</v>
      </c>
    </row>
    <row r="448" spans="2:11" ht="15" customHeight="1" x14ac:dyDescent="0.35">
      <c r="B448" s="5">
        <v>427</v>
      </c>
      <c r="C448" s="39">
        <f t="shared" ca="1" si="54"/>
        <v>3.1338670225800609</v>
      </c>
      <c r="D448" s="40">
        <f t="shared" ca="1" si="55"/>
        <v>6213619052.6155844</v>
      </c>
      <c r="E448" s="40">
        <f t="shared" ca="1" si="56"/>
        <v>172576963037625.69</v>
      </c>
      <c r="F448" s="40">
        <f t="shared" ca="1" si="57"/>
        <v>5313922207133.4521</v>
      </c>
      <c r="G448" s="40">
        <f t="shared" ca="1" si="58"/>
        <v>338716133761501.94</v>
      </c>
      <c r="H448" s="40">
        <f t="shared" ca="1" si="59"/>
        <v>338716133761501.94</v>
      </c>
      <c r="I448" s="40">
        <f t="shared" ca="1" si="60"/>
        <v>15804647501691.85</v>
      </c>
      <c r="J448" s="40">
        <f t="shared" ca="1" si="61"/>
        <v>948670658505.28003</v>
      </c>
      <c r="K448" s="41">
        <f t="shared" ca="1" si="62"/>
        <v>16.65978320294375</v>
      </c>
    </row>
    <row r="449" spans="2:11" ht="15" customHeight="1" x14ac:dyDescent="0.35">
      <c r="B449" s="5">
        <v>428</v>
      </c>
      <c r="C449" s="39">
        <f t="shared" ca="1" si="54"/>
        <v>3.3710156725776543</v>
      </c>
      <c r="D449" s="40">
        <f t="shared" ca="1" si="55"/>
        <v>8500224350.1206093</v>
      </c>
      <c r="E449" s="40">
        <f t="shared" ca="1" si="56"/>
        <v>150630158940136.78</v>
      </c>
      <c r="F449" s="40">
        <f t="shared" ca="1" si="57"/>
        <v>1493502170369.0515</v>
      </c>
      <c r="G449" s="40">
        <f t="shared" ca="1" si="58"/>
        <v>9559243988058.9512</v>
      </c>
      <c r="H449" s="40">
        <f t="shared" ca="1" si="59"/>
        <v>9559243988058.9512</v>
      </c>
      <c r="I449" s="40">
        <f t="shared" ca="1" si="60"/>
        <v>67880770058283.734</v>
      </c>
      <c r="J449" s="40">
        <f t="shared" ca="1" si="61"/>
        <v>1326068263137.1545</v>
      </c>
      <c r="K449" s="41">
        <f t="shared" ca="1" si="62"/>
        <v>51.189499021486547</v>
      </c>
    </row>
    <row r="450" spans="2:11" ht="15" customHeight="1" x14ac:dyDescent="0.35">
      <c r="B450" s="5">
        <v>429</v>
      </c>
      <c r="C450" s="39">
        <f t="shared" ca="1" si="54"/>
        <v>2.0888572531954814</v>
      </c>
      <c r="D450" s="40">
        <f t="shared" ca="1" si="55"/>
        <v>786731594.24360454</v>
      </c>
      <c r="E450" s="40">
        <f t="shared" ca="1" si="56"/>
        <v>1909404713155.7927</v>
      </c>
      <c r="F450" s="40">
        <f t="shared" ca="1" si="57"/>
        <v>797642495739.31348</v>
      </c>
      <c r="G450" s="40">
        <f t="shared" ca="1" si="58"/>
        <v>48345907133006.945</v>
      </c>
      <c r="H450" s="40">
        <f t="shared" ca="1" si="59"/>
        <v>797642495739.31348</v>
      </c>
      <c r="I450" s="40">
        <f t="shared" ca="1" si="60"/>
        <v>9028278738983.4707</v>
      </c>
      <c r="J450" s="40">
        <f t="shared" ca="1" si="61"/>
        <v>1140235882890.582</v>
      </c>
      <c r="K450" s="41">
        <f t="shared" ca="1" si="62"/>
        <v>7.917904421755364</v>
      </c>
    </row>
    <row r="451" spans="2:11" ht="15" customHeight="1" x14ac:dyDescent="0.35">
      <c r="B451" s="5">
        <v>430</v>
      </c>
      <c r="C451" s="39">
        <f t="shared" ca="1" si="54"/>
        <v>2.4113892987158723</v>
      </c>
      <c r="D451" s="40">
        <f t="shared" ca="1" si="55"/>
        <v>1420599898.7864823</v>
      </c>
      <c r="E451" s="40">
        <f t="shared" ca="1" si="56"/>
        <v>1998421712843.0732</v>
      </c>
      <c r="F451" s="40">
        <f t="shared" ca="1" si="57"/>
        <v>25044195211242.008</v>
      </c>
      <c r="G451" s="40">
        <f t="shared" ca="1" si="58"/>
        <v>6454044466511.4033</v>
      </c>
      <c r="H451" s="40">
        <f t="shared" ca="1" si="59"/>
        <v>1998421712843.0732</v>
      </c>
      <c r="I451" s="40">
        <f t="shared" ca="1" si="60"/>
        <v>123299178838335.8</v>
      </c>
      <c r="J451" s="40">
        <f t="shared" ca="1" si="61"/>
        <v>1125550674490.2668</v>
      </c>
      <c r="K451" s="41">
        <f t="shared" ca="1" si="62"/>
        <v>109.54564875026604</v>
      </c>
    </row>
    <row r="452" spans="2:11" ht="15" customHeight="1" x14ac:dyDescent="0.35">
      <c r="B452" s="5">
        <v>431</v>
      </c>
      <c r="C452" s="39">
        <f t="shared" ca="1" si="54"/>
        <v>2.7917521678138879</v>
      </c>
      <c r="D452" s="40">
        <f t="shared" ca="1" si="55"/>
        <v>3554335069.169414</v>
      </c>
      <c r="E452" s="40">
        <f t="shared" ca="1" si="56"/>
        <v>4242647517684.4624</v>
      </c>
      <c r="F452" s="40">
        <f t="shared" ca="1" si="57"/>
        <v>1017931823420.8958</v>
      </c>
      <c r="G452" s="40">
        <f t="shared" ca="1" si="58"/>
        <v>3213710089343.1729</v>
      </c>
      <c r="H452" s="40">
        <f t="shared" ca="1" si="59"/>
        <v>3213710089343.1729</v>
      </c>
      <c r="I452" s="40">
        <f t="shared" ca="1" si="60"/>
        <v>5597610566682.4111</v>
      </c>
      <c r="J452" s="40">
        <f t="shared" ca="1" si="61"/>
        <v>935361171950.39038</v>
      </c>
      <c r="K452" s="41">
        <f t="shared" ca="1" si="62"/>
        <v>5.9844375996604837</v>
      </c>
    </row>
    <row r="453" spans="2:11" ht="15" customHeight="1" x14ac:dyDescent="0.35">
      <c r="B453" s="5">
        <v>432</v>
      </c>
      <c r="C453" s="39">
        <f t="shared" ca="1" si="54"/>
        <v>3.1267603075580612</v>
      </c>
      <c r="D453" s="40">
        <f t="shared" ca="1" si="55"/>
        <v>6733129513.5382605</v>
      </c>
      <c r="E453" s="40">
        <f t="shared" ca="1" si="56"/>
        <v>46609467355825.172</v>
      </c>
      <c r="F453" s="40">
        <f t="shared" ca="1" si="57"/>
        <v>1203574319195.9263</v>
      </c>
      <c r="G453" s="40">
        <f t="shared" ca="1" si="58"/>
        <v>11613745611033.561</v>
      </c>
      <c r="H453" s="40">
        <f t="shared" ca="1" si="59"/>
        <v>46609467355825.172</v>
      </c>
      <c r="I453" s="40">
        <f t="shared" ca="1" si="60"/>
        <v>15278230037967.803</v>
      </c>
      <c r="J453" s="40">
        <f t="shared" ca="1" si="61"/>
        <v>1617665717149.5073</v>
      </c>
      <c r="K453" s="41">
        <f t="shared" ca="1" si="62"/>
        <v>9.4446150870339327</v>
      </c>
    </row>
    <row r="454" spans="2:11" ht="15" customHeight="1" x14ac:dyDescent="0.35">
      <c r="B454" s="5">
        <v>433</v>
      </c>
      <c r="C454" s="39">
        <f t="shared" ca="1" si="54"/>
        <v>2.9258299265258647</v>
      </c>
      <c r="D454" s="40">
        <f t="shared" ca="1" si="55"/>
        <v>4388636856.6299324</v>
      </c>
      <c r="E454" s="40">
        <f t="shared" ca="1" si="56"/>
        <v>34205949136764.594</v>
      </c>
      <c r="F454" s="40">
        <f t="shared" ca="1" si="57"/>
        <v>1462518838957.376</v>
      </c>
      <c r="G454" s="40">
        <f t="shared" ca="1" si="58"/>
        <v>335828731546.55231</v>
      </c>
      <c r="H454" s="40">
        <f t="shared" ca="1" si="59"/>
        <v>1462518838957.376</v>
      </c>
      <c r="I454" s="40">
        <f t="shared" ca="1" si="60"/>
        <v>9793903962858.7422</v>
      </c>
      <c r="J454" s="40">
        <f t="shared" ca="1" si="61"/>
        <v>816188379081.16785</v>
      </c>
      <c r="K454" s="41">
        <f t="shared" ca="1" si="62"/>
        <v>11.999563108071113</v>
      </c>
    </row>
    <row r="455" spans="2:11" ht="15" customHeight="1" x14ac:dyDescent="0.35">
      <c r="B455" s="5">
        <v>434</v>
      </c>
      <c r="C455" s="39">
        <f t="shared" ca="1" si="54"/>
        <v>3.072145302218602</v>
      </c>
      <c r="D455" s="40">
        <f t="shared" ca="1" si="55"/>
        <v>5466595515.3129139</v>
      </c>
      <c r="E455" s="40">
        <f t="shared" ca="1" si="56"/>
        <v>13873685678521.438</v>
      </c>
      <c r="F455" s="40">
        <f t="shared" ca="1" si="57"/>
        <v>1433032484322.8027</v>
      </c>
      <c r="G455" s="40">
        <f t="shared" ca="1" si="58"/>
        <v>1442959409204.0498</v>
      </c>
      <c r="H455" s="40">
        <f t="shared" ca="1" si="59"/>
        <v>13873685678521.438</v>
      </c>
      <c r="I455" s="40">
        <f t="shared" ca="1" si="60"/>
        <v>2466001662984.9155</v>
      </c>
      <c r="J455" s="40">
        <f t="shared" ca="1" si="61"/>
        <v>673169912750.23706</v>
      </c>
      <c r="K455" s="41">
        <f t="shared" ca="1" si="62"/>
        <v>3.6632677965508895</v>
      </c>
    </row>
    <row r="456" spans="2:11" ht="15" customHeight="1" x14ac:dyDescent="0.35">
      <c r="B456" s="5">
        <v>435</v>
      </c>
      <c r="C456" s="39">
        <f t="shared" ca="1" si="54"/>
        <v>3.6634781463726402</v>
      </c>
      <c r="D456" s="40">
        <f t="shared" ca="1" si="55"/>
        <v>10873527315.960852</v>
      </c>
      <c r="E456" s="40">
        <f t="shared" ca="1" si="56"/>
        <v>9557936563664.2793</v>
      </c>
      <c r="F456" s="40">
        <f t="shared" ca="1" si="57"/>
        <v>2979381097682.0576</v>
      </c>
      <c r="G456" s="40">
        <f t="shared" ca="1" si="58"/>
        <v>1216089935646.6421</v>
      </c>
      <c r="H456" s="40">
        <f t="shared" ca="1" si="59"/>
        <v>2979381097682.0576</v>
      </c>
      <c r="I456" s="40">
        <f t="shared" ca="1" si="60"/>
        <v>6220700680624.9297</v>
      </c>
      <c r="J456" s="40">
        <f t="shared" ca="1" si="61"/>
        <v>549809987519.73853</v>
      </c>
      <c r="K456" s="41">
        <f t="shared" ca="1" si="62"/>
        <v>11.314273697877493</v>
      </c>
    </row>
    <row r="457" spans="2:11" ht="15" customHeight="1" x14ac:dyDescent="0.35">
      <c r="B457" s="5">
        <v>436</v>
      </c>
      <c r="C457" s="39">
        <f t="shared" ca="1" si="54"/>
        <v>3.6335639278387699</v>
      </c>
      <c r="D457" s="40">
        <f t="shared" ca="1" si="55"/>
        <v>12305181735.77957</v>
      </c>
      <c r="E457" s="40">
        <f t="shared" ca="1" si="56"/>
        <v>427556569199781.94</v>
      </c>
      <c r="F457" s="40">
        <f t="shared" ca="1" si="57"/>
        <v>15462342267388.576</v>
      </c>
      <c r="G457" s="40">
        <f t="shared" ca="1" si="58"/>
        <v>40312024706702.43</v>
      </c>
      <c r="H457" s="40">
        <f t="shared" ca="1" si="59"/>
        <v>40312024706702.43</v>
      </c>
      <c r="I457" s="40">
        <f t="shared" ca="1" si="60"/>
        <v>32362958501938</v>
      </c>
      <c r="J457" s="40">
        <f t="shared" ca="1" si="61"/>
        <v>752944263643.35559</v>
      </c>
      <c r="K457" s="41">
        <f t="shared" ca="1" si="62"/>
        <v>42.981878028181974</v>
      </c>
    </row>
    <row r="458" spans="2:11" ht="15" customHeight="1" x14ac:dyDescent="0.35">
      <c r="B458" s="5">
        <v>437</v>
      </c>
      <c r="C458" s="39">
        <f t="shared" ca="1" si="54"/>
        <v>2.801253196934371</v>
      </c>
      <c r="D458" s="40">
        <f t="shared" ca="1" si="55"/>
        <v>3774928336.2491841</v>
      </c>
      <c r="E458" s="40">
        <f t="shared" ca="1" si="56"/>
        <v>5464614219873.8125</v>
      </c>
      <c r="F458" s="40">
        <f t="shared" ca="1" si="57"/>
        <v>1811362914110.9893</v>
      </c>
      <c r="G458" s="40">
        <f t="shared" ca="1" si="58"/>
        <v>3996434016630.1714</v>
      </c>
      <c r="H458" s="40">
        <f t="shared" ca="1" si="59"/>
        <v>5464614219873.8125</v>
      </c>
      <c r="I458" s="40">
        <f t="shared" ca="1" si="60"/>
        <v>11112028214440</v>
      </c>
      <c r="J458" s="40">
        <f t="shared" ca="1" si="61"/>
        <v>735309591883.7959</v>
      </c>
      <c r="K458" s="41">
        <f t="shared" ca="1" si="62"/>
        <v>15.112040339324285</v>
      </c>
    </row>
    <row r="459" spans="2:11" ht="15" customHeight="1" x14ac:dyDescent="0.35">
      <c r="B459" s="5">
        <v>438</v>
      </c>
      <c r="C459" s="39">
        <f t="shared" ca="1" si="54"/>
        <v>2.4625682382805292</v>
      </c>
      <c r="D459" s="40">
        <f t="shared" ca="1" si="55"/>
        <v>1973300023.3364959</v>
      </c>
      <c r="E459" s="40">
        <f t="shared" ca="1" si="56"/>
        <v>13003299684426.789</v>
      </c>
      <c r="F459" s="40">
        <f t="shared" ca="1" si="57"/>
        <v>3540267840059.5273</v>
      </c>
      <c r="G459" s="40">
        <f t="shared" ca="1" si="58"/>
        <v>4230649656934.1699</v>
      </c>
      <c r="H459" s="40">
        <f t="shared" ca="1" si="59"/>
        <v>3540267840059.5273</v>
      </c>
      <c r="I459" s="40">
        <f t="shared" ca="1" si="60"/>
        <v>8352931887118.7842</v>
      </c>
      <c r="J459" s="40">
        <f t="shared" ca="1" si="61"/>
        <v>1450440276293.4216</v>
      </c>
      <c r="K459" s="41">
        <f t="shared" ca="1" si="62"/>
        <v>5.758894056958054</v>
      </c>
    </row>
    <row r="460" spans="2:11" ht="15" customHeight="1" x14ac:dyDescent="0.35">
      <c r="B460" s="5">
        <v>439</v>
      </c>
      <c r="C460" s="39">
        <f t="shared" ca="1" si="54"/>
        <v>3.1669188270767754</v>
      </c>
      <c r="D460" s="40">
        <f t="shared" ca="1" si="55"/>
        <v>6079328620.3605566</v>
      </c>
      <c r="E460" s="40">
        <f t="shared" ca="1" si="56"/>
        <v>30204579600124.984</v>
      </c>
      <c r="F460" s="40">
        <f t="shared" ca="1" si="57"/>
        <v>936592096575.44507</v>
      </c>
      <c r="G460" s="40">
        <f t="shared" ca="1" si="58"/>
        <v>663541231400.95593</v>
      </c>
      <c r="H460" s="40">
        <f t="shared" ca="1" si="59"/>
        <v>30204579600124.984</v>
      </c>
      <c r="I460" s="40">
        <f t="shared" ca="1" si="60"/>
        <v>6371082373947.0762</v>
      </c>
      <c r="J460" s="40">
        <f t="shared" ca="1" si="61"/>
        <v>850552388078.5105</v>
      </c>
      <c r="K460" s="41">
        <f t="shared" ca="1" si="62"/>
        <v>7.4905231744043865</v>
      </c>
    </row>
    <row r="461" spans="2:11" ht="15" customHeight="1" x14ac:dyDescent="0.35">
      <c r="B461" s="5">
        <v>440</v>
      </c>
      <c r="C461" s="39">
        <f t="shared" ca="1" si="54"/>
        <v>2.3844572867061253</v>
      </c>
      <c r="D461" s="40">
        <f t="shared" ca="1" si="55"/>
        <v>1771110990.6156304</v>
      </c>
      <c r="E461" s="40">
        <f t="shared" ca="1" si="56"/>
        <v>1737839789958.2258</v>
      </c>
      <c r="F461" s="40">
        <f t="shared" ca="1" si="57"/>
        <v>4416563227166.0059</v>
      </c>
      <c r="G461" s="40">
        <f t="shared" ca="1" si="58"/>
        <v>71465146716542.781</v>
      </c>
      <c r="H461" s="40">
        <f t="shared" ca="1" si="59"/>
        <v>71465146716542.781</v>
      </c>
      <c r="I461" s="40">
        <f t="shared" ca="1" si="60"/>
        <v>15224884621662.092</v>
      </c>
      <c r="J461" s="40">
        <f t="shared" ca="1" si="61"/>
        <v>953674720407.58179</v>
      </c>
      <c r="K461" s="41">
        <f t="shared" ca="1" si="62"/>
        <v>15.964441854089701</v>
      </c>
    </row>
    <row r="462" spans="2:11" ht="15" customHeight="1" x14ac:dyDescent="0.35">
      <c r="B462" s="5">
        <v>441</v>
      </c>
      <c r="C462" s="39">
        <f t="shared" ca="1" si="54"/>
        <v>3.2964648539029993</v>
      </c>
      <c r="D462" s="40">
        <f t="shared" ca="1" si="55"/>
        <v>7394608802.3536015</v>
      </c>
      <c r="E462" s="40">
        <f t="shared" ca="1" si="56"/>
        <v>34355916340702.973</v>
      </c>
      <c r="F462" s="40">
        <f t="shared" ca="1" si="57"/>
        <v>5362087589554.9746</v>
      </c>
      <c r="G462" s="40">
        <f t="shared" ca="1" si="58"/>
        <v>60305387687315.305</v>
      </c>
      <c r="H462" s="40">
        <f t="shared" ca="1" si="59"/>
        <v>5362087589554.9746</v>
      </c>
      <c r="I462" s="40">
        <f t="shared" ca="1" si="60"/>
        <v>9207974679150.6309</v>
      </c>
      <c r="J462" s="40">
        <f t="shared" ca="1" si="61"/>
        <v>1668435526824.5591</v>
      </c>
      <c r="K462" s="41">
        <f t="shared" ca="1" si="62"/>
        <v>5.5189274809291904</v>
      </c>
    </row>
    <row r="463" spans="2:11" ht="15" customHeight="1" x14ac:dyDescent="0.35">
      <c r="B463" s="5">
        <v>442</v>
      </c>
      <c r="C463" s="39">
        <f t="shared" ca="1" si="54"/>
        <v>2.9193351089649875</v>
      </c>
      <c r="D463" s="40">
        <f t="shared" ca="1" si="55"/>
        <v>4964093262.4391937</v>
      </c>
      <c r="E463" s="40">
        <f t="shared" ca="1" si="56"/>
        <v>50029858359754.469</v>
      </c>
      <c r="F463" s="40">
        <f t="shared" ca="1" si="57"/>
        <v>9986431575352.8633</v>
      </c>
      <c r="G463" s="40">
        <f t="shared" ca="1" si="58"/>
        <v>39526571456184.68</v>
      </c>
      <c r="H463" s="40">
        <f t="shared" ca="1" si="59"/>
        <v>9986431575352.8633</v>
      </c>
      <c r="I463" s="40">
        <f t="shared" ca="1" si="60"/>
        <v>8508835709225.4033</v>
      </c>
      <c r="J463" s="40">
        <f t="shared" ca="1" si="61"/>
        <v>1247300679929.3994</v>
      </c>
      <c r="K463" s="41">
        <f t="shared" ca="1" si="62"/>
        <v>6.8217999445867585</v>
      </c>
    </row>
    <row r="464" spans="2:11" ht="15" customHeight="1" x14ac:dyDescent="0.35">
      <c r="B464" s="5">
        <v>443</v>
      </c>
      <c r="C464" s="39">
        <f t="shared" ca="1" si="54"/>
        <v>3.0250425936782439</v>
      </c>
      <c r="D464" s="40">
        <f t="shared" ca="1" si="55"/>
        <v>5421660084.4297075</v>
      </c>
      <c r="E464" s="40">
        <f t="shared" ca="1" si="56"/>
        <v>8840156751627.0566</v>
      </c>
      <c r="F464" s="40">
        <f t="shared" ca="1" si="57"/>
        <v>2043919068783.7205</v>
      </c>
      <c r="G464" s="40">
        <f t="shared" ca="1" si="58"/>
        <v>2110165851546.1133</v>
      </c>
      <c r="H464" s="40">
        <f t="shared" ca="1" si="59"/>
        <v>8840156751627.0566</v>
      </c>
      <c r="I464" s="40">
        <f t="shared" ca="1" si="60"/>
        <v>89189937908604.953</v>
      </c>
      <c r="J464" s="40">
        <f t="shared" ca="1" si="61"/>
        <v>1676042937902.2378</v>
      </c>
      <c r="K464" s="41">
        <f t="shared" ca="1" si="62"/>
        <v>53.214590086955951</v>
      </c>
    </row>
    <row r="465" spans="2:11" ht="15" customHeight="1" x14ac:dyDescent="0.35">
      <c r="B465" s="5">
        <v>444</v>
      </c>
      <c r="C465" s="39">
        <f t="shared" ca="1" si="54"/>
        <v>3.8691168642850675</v>
      </c>
      <c r="D465" s="40">
        <f t="shared" ca="1" si="55"/>
        <v>15117134183.804541</v>
      </c>
      <c r="E465" s="40">
        <f t="shared" ca="1" si="56"/>
        <v>328358035925869.56</v>
      </c>
      <c r="F465" s="40">
        <f t="shared" ca="1" si="57"/>
        <v>2122181967385.9231</v>
      </c>
      <c r="G465" s="40">
        <f t="shared" ca="1" si="58"/>
        <v>17219656187912.455</v>
      </c>
      <c r="H465" s="40">
        <f t="shared" ca="1" si="59"/>
        <v>17219656187912.455</v>
      </c>
      <c r="I465" s="40">
        <f t="shared" ca="1" si="60"/>
        <v>36239837361610.125</v>
      </c>
      <c r="J465" s="40">
        <f t="shared" ca="1" si="61"/>
        <v>1274805534248.4746</v>
      </c>
      <c r="K465" s="41">
        <f t="shared" ca="1" si="62"/>
        <v>28.427737712147831</v>
      </c>
    </row>
    <row r="466" spans="2:11" ht="15" customHeight="1" x14ac:dyDescent="0.35">
      <c r="B466" s="5">
        <v>445</v>
      </c>
      <c r="C466" s="39">
        <f t="shared" ca="1" si="54"/>
        <v>2.2511482417968467</v>
      </c>
      <c r="D466" s="40">
        <f t="shared" ca="1" si="55"/>
        <v>1124135805.0252051</v>
      </c>
      <c r="E466" s="40">
        <f t="shared" ca="1" si="56"/>
        <v>1988263757412.4211</v>
      </c>
      <c r="F466" s="40">
        <f t="shared" ca="1" si="57"/>
        <v>11148982419702.07</v>
      </c>
      <c r="G466" s="40">
        <f t="shared" ca="1" si="58"/>
        <v>522576268818890.88</v>
      </c>
      <c r="H466" s="40">
        <f t="shared" ca="1" si="59"/>
        <v>1988263757412.4211</v>
      </c>
      <c r="I466" s="40">
        <f t="shared" ca="1" si="60"/>
        <v>10482558293116.117</v>
      </c>
      <c r="J466" s="40">
        <f t="shared" ca="1" si="61"/>
        <v>1389973715301.3909</v>
      </c>
      <c r="K466" s="41">
        <f t="shared" ca="1" si="62"/>
        <v>7.5415514536137556</v>
      </c>
    </row>
    <row r="467" spans="2:11" ht="15" customHeight="1" x14ac:dyDescent="0.35">
      <c r="B467" s="5">
        <v>446</v>
      </c>
      <c r="C467" s="39">
        <f t="shared" ca="1" si="54"/>
        <v>2.7640786597189013</v>
      </c>
      <c r="D467" s="40">
        <f t="shared" ca="1" si="55"/>
        <v>3099160267.6160612</v>
      </c>
      <c r="E467" s="40">
        <f t="shared" ca="1" si="56"/>
        <v>12343993973741.805</v>
      </c>
      <c r="F467" s="40">
        <f t="shared" ca="1" si="57"/>
        <v>3218137195502.5479</v>
      </c>
      <c r="G467" s="40">
        <f t="shared" ca="1" si="58"/>
        <v>37583902758643.086</v>
      </c>
      <c r="H467" s="40">
        <f t="shared" ca="1" si="59"/>
        <v>3218137195502.5479</v>
      </c>
      <c r="I467" s="40">
        <f t="shared" ca="1" si="60"/>
        <v>6463566689257.6982</v>
      </c>
      <c r="J467" s="40">
        <f t="shared" ca="1" si="61"/>
        <v>1149937891784.196</v>
      </c>
      <c r="K467" s="41">
        <f t="shared" ca="1" si="62"/>
        <v>5.6207963364256965</v>
      </c>
    </row>
    <row r="468" spans="2:11" ht="15" customHeight="1" x14ac:dyDescent="0.35">
      <c r="B468" s="5">
        <v>447</v>
      </c>
      <c r="C468" s="39">
        <f t="shared" ca="1" si="54"/>
        <v>3.7481877981046101</v>
      </c>
      <c r="D468" s="40">
        <f t="shared" ca="1" si="55"/>
        <v>13071379892.122721</v>
      </c>
      <c r="E468" s="40">
        <f t="shared" ca="1" si="56"/>
        <v>58028869917904.734</v>
      </c>
      <c r="F468" s="40">
        <f t="shared" ca="1" si="57"/>
        <v>1114886851856.5103</v>
      </c>
      <c r="G468" s="40">
        <f t="shared" ca="1" si="58"/>
        <v>3346870464011.4355</v>
      </c>
      <c r="H468" s="40">
        <f t="shared" ca="1" si="59"/>
        <v>1114886851856.5103</v>
      </c>
      <c r="I468" s="40">
        <f t="shared" ca="1" si="60"/>
        <v>1133874674408.5833</v>
      </c>
      <c r="J468" s="40">
        <f t="shared" ca="1" si="61"/>
        <v>802659800409.40564</v>
      </c>
      <c r="K468" s="41">
        <f t="shared" ca="1" si="62"/>
        <v>1.4126466453536577</v>
      </c>
    </row>
    <row r="469" spans="2:11" ht="15" customHeight="1" x14ac:dyDescent="0.35">
      <c r="B469" s="5">
        <v>448</v>
      </c>
      <c r="C469" s="39">
        <f t="shared" ca="1" si="54"/>
        <v>3.3882798656778834</v>
      </c>
      <c r="D469" s="40">
        <f t="shared" ca="1" si="55"/>
        <v>8936716583.2472191</v>
      </c>
      <c r="E469" s="40">
        <f t="shared" ca="1" si="56"/>
        <v>28253997498979.352</v>
      </c>
      <c r="F469" s="40">
        <f t="shared" ca="1" si="57"/>
        <v>2386423703723.8945</v>
      </c>
      <c r="G469" s="40">
        <f t="shared" ca="1" si="58"/>
        <v>4018895063181.6533</v>
      </c>
      <c r="H469" s="40">
        <f t="shared" ca="1" si="59"/>
        <v>4018895063181.6533</v>
      </c>
      <c r="I469" s="40">
        <f t="shared" ca="1" si="60"/>
        <v>31078104748606.594</v>
      </c>
      <c r="J469" s="40">
        <f t="shared" ca="1" si="61"/>
        <v>469699685502.409</v>
      </c>
      <c r="K469" s="41">
        <f t="shared" ca="1" si="62"/>
        <v>66.165904955555263</v>
      </c>
    </row>
    <row r="470" spans="2:11" ht="15" customHeight="1" x14ac:dyDescent="0.35">
      <c r="B470" s="5">
        <v>449</v>
      </c>
      <c r="C470" s="39">
        <f t="shared" ref="C470:C533" ca="1" si="63">MEDIAN(1.8,NORMINV(RAND(),$C$7,$D$7),4.5)</f>
        <v>3.1247479615789682</v>
      </c>
      <c r="D470" s="40">
        <f t="shared" ref="D470:D533" ca="1" si="64">($C$8+RAND()*($D$8-$C$8))*C470^5</f>
        <v>4797194716.8367701</v>
      </c>
      <c r="E470" s="40">
        <f t="shared" ref="E470:E533" ca="1" si="65">D470*($C$10+RAND()*($D$10-$C$10))*EXP(NORMINV(RAND(),$C$9,$D$9))*($C$11+RAND()*($D$11-$C$11))</f>
        <v>9690085276799.0215</v>
      </c>
      <c r="F470" s="40">
        <f t="shared" ref="F470:F533" ca="1" si="66">EXP(NORMINV(RAND(),$C$12,$D$12))*EXP(NORMINV(RAND(),$C$13,$D$13))</f>
        <v>14092203840432.357</v>
      </c>
      <c r="G470" s="40">
        <f t="shared" ref="G470:G533" ca="1" si="67">EXP(NORMINV(RAND(),$C$14,$D$14))*($C$15+RAND()*($D$15-$C$15))*EXP(NORMINV(RAND(),$C$16,$D$16))/1000000*31536000</f>
        <v>12945167650417.73</v>
      </c>
      <c r="H470" s="40">
        <f t="shared" ref="H470:H533" ca="1" si="68">CHOOSE(RANDBETWEEN(1,3),E470,F470,G470)</f>
        <v>9690085276799.0215</v>
      </c>
      <c r="I470" s="40">
        <f t="shared" ref="I470:I533" ca="1" si="69">EXP(NORMINV(RAND(),$C$14,$D$14))*($C$15+RAND()*($D$15-$C$15))*60</f>
        <v>9443649211999.5742</v>
      </c>
      <c r="J470" s="40">
        <f t="shared" ref="J470:J533" ca="1" si="70">($C$17+RAND()*($D$17-$C$17))*($C$18+RAND()*($D$18-$C$18))</f>
        <v>1238325892838.2112</v>
      </c>
      <c r="K470" s="41">
        <f t="shared" ref="K470:K533" ca="1" si="71">I470/J470</f>
        <v>7.6261420895875576</v>
      </c>
    </row>
    <row r="471" spans="2:11" ht="15" customHeight="1" x14ac:dyDescent="0.35">
      <c r="B471" s="5">
        <v>450</v>
      </c>
      <c r="C471" s="39">
        <f t="shared" ca="1" si="63"/>
        <v>2.3678001973071261</v>
      </c>
      <c r="D471" s="40">
        <f t="shared" ca="1" si="64"/>
        <v>1514524582.153286</v>
      </c>
      <c r="E471" s="40">
        <f t="shared" ca="1" si="65"/>
        <v>6672456805757.9766</v>
      </c>
      <c r="F471" s="40">
        <f t="shared" ca="1" si="66"/>
        <v>2174697321642.5945</v>
      </c>
      <c r="G471" s="40">
        <f t="shared" ca="1" si="67"/>
        <v>7462427967006.8984</v>
      </c>
      <c r="H471" s="40">
        <f t="shared" ca="1" si="68"/>
        <v>6672456805757.9766</v>
      </c>
      <c r="I471" s="40">
        <f t="shared" ca="1" si="69"/>
        <v>2085940773482.5959</v>
      </c>
      <c r="J471" s="40">
        <f t="shared" ca="1" si="70"/>
        <v>1041224898912.1086</v>
      </c>
      <c r="K471" s="41">
        <f t="shared" ca="1" si="71"/>
        <v>2.0033527585270252</v>
      </c>
    </row>
    <row r="472" spans="2:11" ht="15" customHeight="1" x14ac:dyDescent="0.35">
      <c r="B472" s="5">
        <v>451</v>
      </c>
      <c r="C472" s="39">
        <f t="shared" ca="1" si="63"/>
        <v>3.1916996785058451</v>
      </c>
      <c r="D472" s="40">
        <f t="shared" ca="1" si="64"/>
        <v>6872946266.2652187</v>
      </c>
      <c r="E472" s="40">
        <f t="shared" ca="1" si="65"/>
        <v>34887880461247.297</v>
      </c>
      <c r="F472" s="40">
        <f t="shared" ca="1" si="66"/>
        <v>1830211399260.5933</v>
      </c>
      <c r="G472" s="40">
        <f t="shared" ca="1" si="67"/>
        <v>3442279487970.7793</v>
      </c>
      <c r="H472" s="40">
        <f t="shared" ca="1" si="68"/>
        <v>3442279487970.7793</v>
      </c>
      <c r="I472" s="40">
        <f t="shared" ca="1" si="69"/>
        <v>37754080527865.852</v>
      </c>
      <c r="J472" s="40">
        <f t="shared" ca="1" si="70"/>
        <v>1363181255368.2566</v>
      </c>
      <c r="K472" s="41">
        <f t="shared" ca="1" si="71"/>
        <v>27.695569007561488</v>
      </c>
    </row>
    <row r="473" spans="2:11" ht="15" customHeight="1" x14ac:dyDescent="0.35">
      <c r="B473" s="5">
        <v>452</v>
      </c>
      <c r="C473" s="39">
        <f t="shared" ca="1" si="63"/>
        <v>2.5650018249241819</v>
      </c>
      <c r="D473" s="40">
        <f t="shared" ca="1" si="64"/>
        <v>2569865103.2137442</v>
      </c>
      <c r="E473" s="40">
        <f t="shared" ca="1" si="65"/>
        <v>2179447514301.2822</v>
      </c>
      <c r="F473" s="40">
        <f t="shared" ca="1" si="66"/>
        <v>13188628031888.561</v>
      </c>
      <c r="G473" s="40">
        <f t="shared" ca="1" si="67"/>
        <v>130616204868.73895</v>
      </c>
      <c r="H473" s="40">
        <f t="shared" ca="1" si="68"/>
        <v>13188628031888.561</v>
      </c>
      <c r="I473" s="40">
        <f t="shared" ca="1" si="69"/>
        <v>5777713145656.9648</v>
      </c>
      <c r="J473" s="40">
        <f t="shared" ca="1" si="70"/>
        <v>676680870972.2572</v>
      </c>
      <c r="K473" s="41">
        <f t="shared" ca="1" si="71"/>
        <v>8.5383131007612612</v>
      </c>
    </row>
    <row r="474" spans="2:11" ht="15" customHeight="1" x14ac:dyDescent="0.35">
      <c r="B474" s="5">
        <v>453</v>
      </c>
      <c r="C474" s="39">
        <f t="shared" ca="1" si="63"/>
        <v>3.0830123433809402</v>
      </c>
      <c r="D474" s="40">
        <f t="shared" ca="1" si="64"/>
        <v>6237770212.4306326</v>
      </c>
      <c r="E474" s="40">
        <f t="shared" ca="1" si="65"/>
        <v>51445906821809.367</v>
      </c>
      <c r="F474" s="40">
        <f t="shared" ca="1" si="66"/>
        <v>1281628487114.1086</v>
      </c>
      <c r="G474" s="40">
        <f t="shared" ca="1" si="67"/>
        <v>1785582114213.7161</v>
      </c>
      <c r="H474" s="40">
        <f t="shared" ca="1" si="68"/>
        <v>51445906821809.367</v>
      </c>
      <c r="I474" s="40">
        <f t="shared" ca="1" si="69"/>
        <v>15656828553676.689</v>
      </c>
      <c r="J474" s="40">
        <f t="shared" ca="1" si="70"/>
        <v>770264748269.21497</v>
      </c>
      <c r="K474" s="41">
        <f t="shared" ca="1" si="71"/>
        <v>20.326554718825683</v>
      </c>
    </row>
    <row r="475" spans="2:11" ht="15" customHeight="1" x14ac:dyDescent="0.35">
      <c r="B475" s="5">
        <v>454</v>
      </c>
      <c r="C475" s="39">
        <f t="shared" ca="1" si="63"/>
        <v>3.2296285734226968</v>
      </c>
      <c r="D475" s="40">
        <f t="shared" ca="1" si="64"/>
        <v>7414533409.1299582</v>
      </c>
      <c r="E475" s="40">
        <f t="shared" ca="1" si="65"/>
        <v>39216966913719.984</v>
      </c>
      <c r="F475" s="40">
        <f t="shared" ca="1" si="66"/>
        <v>3213056160609.1191</v>
      </c>
      <c r="G475" s="40">
        <f t="shared" ca="1" si="67"/>
        <v>388345846589.51447</v>
      </c>
      <c r="H475" s="40">
        <f t="shared" ca="1" si="68"/>
        <v>3213056160609.1191</v>
      </c>
      <c r="I475" s="40">
        <f t="shared" ca="1" si="69"/>
        <v>799300840945.34094</v>
      </c>
      <c r="J475" s="40">
        <f t="shared" ca="1" si="70"/>
        <v>733282240053.02625</v>
      </c>
      <c r="K475" s="41">
        <f t="shared" ca="1" si="71"/>
        <v>1.0900316375963786</v>
      </c>
    </row>
    <row r="476" spans="2:11" ht="15" customHeight="1" x14ac:dyDescent="0.35">
      <c r="B476" s="5">
        <v>455</v>
      </c>
      <c r="C476" s="39">
        <f t="shared" ca="1" si="63"/>
        <v>3.1632045798936708</v>
      </c>
      <c r="D476" s="40">
        <f t="shared" ca="1" si="64"/>
        <v>7335109204.9774847</v>
      </c>
      <c r="E476" s="40">
        <f t="shared" ca="1" si="65"/>
        <v>9445366587844.9648</v>
      </c>
      <c r="F476" s="40">
        <f t="shared" ca="1" si="66"/>
        <v>1822067198107.0796</v>
      </c>
      <c r="G476" s="40">
        <f t="shared" ca="1" si="67"/>
        <v>37246817462774.078</v>
      </c>
      <c r="H476" s="40">
        <f t="shared" ca="1" si="68"/>
        <v>9445366587844.9648</v>
      </c>
      <c r="I476" s="40">
        <f t="shared" ca="1" si="69"/>
        <v>7566124268456.1602</v>
      </c>
      <c r="J476" s="40">
        <f t="shared" ca="1" si="70"/>
        <v>1066904307518.6284</v>
      </c>
      <c r="K476" s="41">
        <f t="shared" ca="1" si="71"/>
        <v>7.0916615624630923</v>
      </c>
    </row>
    <row r="477" spans="2:11" ht="15" customHeight="1" x14ac:dyDescent="0.35">
      <c r="B477" s="5">
        <v>456</v>
      </c>
      <c r="C477" s="39">
        <f t="shared" ca="1" si="63"/>
        <v>2.8599421575336064</v>
      </c>
      <c r="D477" s="40">
        <f t="shared" ca="1" si="64"/>
        <v>3810488501.8665204</v>
      </c>
      <c r="E477" s="40">
        <f t="shared" ca="1" si="65"/>
        <v>27071637237266.215</v>
      </c>
      <c r="F477" s="40">
        <f t="shared" ca="1" si="66"/>
        <v>15000474274007.734</v>
      </c>
      <c r="G477" s="40">
        <f t="shared" ca="1" si="67"/>
        <v>8176959978395.3916</v>
      </c>
      <c r="H477" s="40">
        <f t="shared" ca="1" si="68"/>
        <v>15000474274007.734</v>
      </c>
      <c r="I477" s="40">
        <f t="shared" ca="1" si="69"/>
        <v>9194938781719.3027</v>
      </c>
      <c r="J477" s="40">
        <f t="shared" ca="1" si="70"/>
        <v>1508512404178.4248</v>
      </c>
      <c r="K477" s="41">
        <f t="shared" ca="1" si="71"/>
        <v>6.0953683617385339</v>
      </c>
    </row>
    <row r="478" spans="2:11" ht="15" customHeight="1" x14ac:dyDescent="0.35">
      <c r="B478" s="5">
        <v>457</v>
      </c>
      <c r="C478" s="39">
        <f t="shared" ca="1" si="63"/>
        <v>2.8165440416332994</v>
      </c>
      <c r="D478" s="40">
        <f t="shared" ca="1" si="64"/>
        <v>3314591267.7225423</v>
      </c>
      <c r="E478" s="40">
        <f t="shared" ca="1" si="65"/>
        <v>6285811696060.1523</v>
      </c>
      <c r="F478" s="40">
        <f t="shared" ca="1" si="66"/>
        <v>1708539566900.9827</v>
      </c>
      <c r="G478" s="40">
        <f t="shared" ca="1" si="67"/>
        <v>27676575595528.316</v>
      </c>
      <c r="H478" s="40">
        <f t="shared" ca="1" si="68"/>
        <v>1708539566900.9827</v>
      </c>
      <c r="I478" s="40">
        <f t="shared" ca="1" si="69"/>
        <v>13732033147138.434</v>
      </c>
      <c r="J478" s="40">
        <f t="shared" ca="1" si="70"/>
        <v>627147226350.95044</v>
      </c>
      <c r="K478" s="41">
        <f t="shared" ca="1" si="71"/>
        <v>21.896027870581719</v>
      </c>
    </row>
    <row r="479" spans="2:11" ht="15" customHeight="1" x14ac:dyDescent="0.35">
      <c r="B479" s="5">
        <v>458</v>
      </c>
      <c r="C479" s="39">
        <f t="shared" ca="1" si="63"/>
        <v>3.0177123755808566</v>
      </c>
      <c r="D479" s="40">
        <f t="shared" ca="1" si="64"/>
        <v>5159639944.8241253</v>
      </c>
      <c r="E479" s="40">
        <f t="shared" ca="1" si="65"/>
        <v>58786592001955.063</v>
      </c>
      <c r="F479" s="40">
        <f t="shared" ca="1" si="66"/>
        <v>384734050939.2757</v>
      </c>
      <c r="G479" s="40">
        <f t="shared" ca="1" si="67"/>
        <v>22696890507325.75</v>
      </c>
      <c r="H479" s="40">
        <f t="shared" ca="1" si="68"/>
        <v>384734050939.2757</v>
      </c>
      <c r="I479" s="40">
        <f t="shared" ca="1" si="69"/>
        <v>1097250805644.8011</v>
      </c>
      <c r="J479" s="40">
        <f t="shared" ca="1" si="70"/>
        <v>797506894288.58691</v>
      </c>
      <c r="K479" s="41">
        <f t="shared" ca="1" si="71"/>
        <v>1.3758511851155841</v>
      </c>
    </row>
    <row r="480" spans="2:11" ht="15" customHeight="1" x14ac:dyDescent="0.35">
      <c r="B480" s="5">
        <v>459</v>
      </c>
      <c r="C480" s="39">
        <f t="shared" ca="1" si="63"/>
        <v>3.3412915138793489</v>
      </c>
      <c r="D480" s="40">
        <f t="shared" ca="1" si="64"/>
        <v>8615181948.5211639</v>
      </c>
      <c r="E480" s="40">
        <f t="shared" ca="1" si="65"/>
        <v>10369976336508.865</v>
      </c>
      <c r="F480" s="40">
        <f t="shared" ca="1" si="66"/>
        <v>4249682150240.0576</v>
      </c>
      <c r="G480" s="40">
        <f t="shared" ca="1" si="67"/>
        <v>47452105574192.492</v>
      </c>
      <c r="H480" s="40">
        <f t="shared" ca="1" si="68"/>
        <v>10369976336508.865</v>
      </c>
      <c r="I480" s="40">
        <f t="shared" ca="1" si="69"/>
        <v>31617072767053.117</v>
      </c>
      <c r="J480" s="40">
        <f t="shared" ca="1" si="70"/>
        <v>1211162991760.0244</v>
      </c>
      <c r="K480" s="41">
        <f t="shared" ca="1" si="71"/>
        <v>26.104721645356889</v>
      </c>
    </row>
    <row r="481" spans="2:11" ht="15" customHeight="1" x14ac:dyDescent="0.35">
      <c r="B481" s="5">
        <v>460</v>
      </c>
      <c r="C481" s="39">
        <f t="shared" ca="1" si="63"/>
        <v>3.040845782987549</v>
      </c>
      <c r="D481" s="40">
        <f t="shared" ca="1" si="64"/>
        <v>4563373980.9318724</v>
      </c>
      <c r="E481" s="40">
        <f t="shared" ca="1" si="65"/>
        <v>25529492984586.547</v>
      </c>
      <c r="F481" s="40">
        <f t="shared" ca="1" si="66"/>
        <v>29008605782760.645</v>
      </c>
      <c r="G481" s="40">
        <f t="shared" ca="1" si="67"/>
        <v>28511191376523.977</v>
      </c>
      <c r="H481" s="40">
        <f t="shared" ca="1" si="68"/>
        <v>29008605782760.645</v>
      </c>
      <c r="I481" s="40">
        <f t="shared" ca="1" si="69"/>
        <v>3902592767122.3511</v>
      </c>
      <c r="J481" s="40">
        <f t="shared" ca="1" si="70"/>
        <v>657800762909.69153</v>
      </c>
      <c r="K481" s="41">
        <f t="shared" ca="1" si="71"/>
        <v>5.932788447766109</v>
      </c>
    </row>
    <row r="482" spans="2:11" ht="15" customHeight="1" x14ac:dyDescent="0.35">
      <c r="B482" s="5">
        <v>461</v>
      </c>
      <c r="C482" s="39">
        <f t="shared" ca="1" si="63"/>
        <v>3.1454783043516308</v>
      </c>
      <c r="D482" s="40">
        <f t="shared" ca="1" si="64"/>
        <v>7029488442.8275385</v>
      </c>
      <c r="E482" s="40">
        <f t="shared" ca="1" si="65"/>
        <v>28229748492116.242</v>
      </c>
      <c r="F482" s="40">
        <f t="shared" ca="1" si="66"/>
        <v>14047499379471.303</v>
      </c>
      <c r="G482" s="40">
        <f t="shared" ca="1" si="67"/>
        <v>6133731458057.2979</v>
      </c>
      <c r="H482" s="40">
        <f t="shared" ca="1" si="68"/>
        <v>28229748492116.242</v>
      </c>
      <c r="I482" s="40">
        <f t="shared" ca="1" si="69"/>
        <v>62037651869459.445</v>
      </c>
      <c r="J482" s="40">
        <f t="shared" ca="1" si="70"/>
        <v>755282892240.51636</v>
      </c>
      <c r="K482" s="41">
        <f t="shared" ca="1" si="71"/>
        <v>82.138298784217454</v>
      </c>
    </row>
    <row r="483" spans="2:11" ht="15" customHeight="1" x14ac:dyDescent="0.35">
      <c r="B483" s="5">
        <v>462</v>
      </c>
      <c r="C483" s="39">
        <f t="shared" ca="1" si="63"/>
        <v>3.5238583523992952</v>
      </c>
      <c r="D483" s="40">
        <f t="shared" ca="1" si="64"/>
        <v>9104251431.9525414</v>
      </c>
      <c r="E483" s="40">
        <f t="shared" ca="1" si="65"/>
        <v>80674420793488.563</v>
      </c>
      <c r="F483" s="40">
        <f t="shared" ca="1" si="66"/>
        <v>1080083802297.0378</v>
      </c>
      <c r="G483" s="40">
        <f t="shared" ca="1" si="67"/>
        <v>17715838629358.43</v>
      </c>
      <c r="H483" s="40">
        <f t="shared" ca="1" si="68"/>
        <v>80674420793488.563</v>
      </c>
      <c r="I483" s="40">
        <f t="shared" ca="1" si="69"/>
        <v>7506529558897.6436</v>
      </c>
      <c r="J483" s="40">
        <f t="shared" ca="1" si="70"/>
        <v>1061709030538.0133</v>
      </c>
      <c r="K483" s="41">
        <f t="shared" ca="1" si="71"/>
        <v>7.0702323734533596</v>
      </c>
    </row>
    <row r="484" spans="2:11" ht="15" customHeight="1" x14ac:dyDescent="0.35">
      <c r="B484" s="5">
        <v>463</v>
      </c>
      <c r="C484" s="39">
        <f t="shared" ca="1" si="63"/>
        <v>2.1106424549057423</v>
      </c>
      <c r="D484" s="40">
        <f t="shared" ca="1" si="64"/>
        <v>678269431.58833182</v>
      </c>
      <c r="E484" s="40">
        <f t="shared" ca="1" si="65"/>
        <v>8344596332403.7129</v>
      </c>
      <c r="F484" s="40">
        <f t="shared" ca="1" si="66"/>
        <v>3815569946783.9502</v>
      </c>
      <c r="G484" s="40">
        <f t="shared" ca="1" si="67"/>
        <v>5289498330974.3203</v>
      </c>
      <c r="H484" s="40">
        <f t="shared" ca="1" si="68"/>
        <v>8344596332403.7129</v>
      </c>
      <c r="I484" s="40">
        <f t="shared" ca="1" si="69"/>
        <v>5348695389072.9707</v>
      </c>
      <c r="J484" s="40">
        <f t="shared" ca="1" si="70"/>
        <v>1381136485200.01</v>
      </c>
      <c r="K484" s="41">
        <f t="shared" ca="1" si="71"/>
        <v>3.8726769196155124</v>
      </c>
    </row>
    <row r="485" spans="2:11" ht="15" customHeight="1" x14ac:dyDescent="0.35">
      <c r="B485" s="5">
        <v>464</v>
      </c>
      <c r="C485" s="39">
        <f t="shared" ca="1" si="63"/>
        <v>2.6603123369461321</v>
      </c>
      <c r="D485" s="40">
        <f t="shared" ca="1" si="64"/>
        <v>2579832090.386898</v>
      </c>
      <c r="E485" s="40">
        <f t="shared" ca="1" si="65"/>
        <v>5641048322665.8506</v>
      </c>
      <c r="F485" s="40">
        <f t="shared" ca="1" si="66"/>
        <v>2189104970712.7292</v>
      </c>
      <c r="G485" s="40">
        <f t="shared" ca="1" si="67"/>
        <v>876723226463.61475</v>
      </c>
      <c r="H485" s="40">
        <f t="shared" ca="1" si="68"/>
        <v>2189104970712.7292</v>
      </c>
      <c r="I485" s="40">
        <f t="shared" ca="1" si="69"/>
        <v>2672557206465.0654</v>
      </c>
      <c r="J485" s="40">
        <f t="shared" ca="1" si="70"/>
        <v>803277813790.87512</v>
      </c>
      <c r="K485" s="41">
        <f t="shared" ca="1" si="71"/>
        <v>3.3270646351510429</v>
      </c>
    </row>
    <row r="486" spans="2:11" ht="15" customHeight="1" x14ac:dyDescent="0.35">
      <c r="B486" s="5">
        <v>465</v>
      </c>
      <c r="C486" s="39">
        <f t="shared" ca="1" si="63"/>
        <v>2.8256173650989158</v>
      </c>
      <c r="D486" s="40">
        <f t="shared" ca="1" si="64"/>
        <v>2970751521.2511859</v>
      </c>
      <c r="E486" s="40">
        <f t="shared" ca="1" si="65"/>
        <v>48622707404708.07</v>
      </c>
      <c r="F486" s="40">
        <f t="shared" ca="1" si="66"/>
        <v>1423023523985.4985</v>
      </c>
      <c r="G486" s="40">
        <f t="shared" ca="1" si="67"/>
        <v>7595773168975.7002</v>
      </c>
      <c r="H486" s="40">
        <f t="shared" ca="1" si="68"/>
        <v>48622707404708.07</v>
      </c>
      <c r="I486" s="40">
        <f t="shared" ca="1" si="69"/>
        <v>6014117214570.9531</v>
      </c>
      <c r="J486" s="40">
        <f t="shared" ca="1" si="70"/>
        <v>1425534831825.2371</v>
      </c>
      <c r="K486" s="41">
        <f t="shared" ca="1" si="71"/>
        <v>4.218849711915178</v>
      </c>
    </row>
    <row r="487" spans="2:11" ht="15" customHeight="1" x14ac:dyDescent="0.35">
      <c r="B487" s="5">
        <v>466</v>
      </c>
      <c r="C487" s="39">
        <f t="shared" ca="1" si="63"/>
        <v>2.3292980752262005</v>
      </c>
      <c r="D487" s="40">
        <f t="shared" ca="1" si="64"/>
        <v>1462513184.4976499</v>
      </c>
      <c r="E487" s="40">
        <f t="shared" ca="1" si="65"/>
        <v>2460267211899.1079</v>
      </c>
      <c r="F487" s="40">
        <f t="shared" ca="1" si="66"/>
        <v>5641840966870.1299</v>
      </c>
      <c r="G487" s="40">
        <f t="shared" ca="1" si="67"/>
        <v>12216265223156.01</v>
      </c>
      <c r="H487" s="40">
        <f t="shared" ca="1" si="68"/>
        <v>12216265223156.01</v>
      </c>
      <c r="I487" s="40">
        <f t="shared" ca="1" si="69"/>
        <v>5099013584139.4883</v>
      </c>
      <c r="J487" s="40">
        <f t="shared" ca="1" si="70"/>
        <v>441244699139.71539</v>
      </c>
      <c r="K487" s="41">
        <f t="shared" ca="1" si="71"/>
        <v>11.555976976224116</v>
      </c>
    </row>
    <row r="488" spans="2:11" ht="15" customHeight="1" x14ac:dyDescent="0.35">
      <c r="B488" s="5">
        <v>467</v>
      </c>
      <c r="C488" s="39">
        <f t="shared" ca="1" si="63"/>
        <v>3.0321947698655953</v>
      </c>
      <c r="D488" s="40">
        <f t="shared" ca="1" si="64"/>
        <v>5216945703.9057817</v>
      </c>
      <c r="E488" s="40">
        <f t="shared" ca="1" si="65"/>
        <v>16984044200531.49</v>
      </c>
      <c r="F488" s="40">
        <f t="shared" ca="1" si="66"/>
        <v>1979075396061.6572</v>
      </c>
      <c r="G488" s="40">
        <f t="shared" ca="1" si="67"/>
        <v>12486522833056.566</v>
      </c>
      <c r="H488" s="40">
        <f t="shared" ca="1" si="68"/>
        <v>16984044200531.49</v>
      </c>
      <c r="I488" s="40">
        <f t="shared" ca="1" si="69"/>
        <v>1213455768687.4377</v>
      </c>
      <c r="J488" s="40">
        <f t="shared" ca="1" si="70"/>
        <v>1645213833429.9907</v>
      </c>
      <c r="K488" s="41">
        <f t="shared" ca="1" si="71"/>
        <v>0.73756720496179462</v>
      </c>
    </row>
    <row r="489" spans="2:11" ht="15" customHeight="1" x14ac:dyDescent="0.35">
      <c r="B489" s="5">
        <v>468</v>
      </c>
      <c r="C489" s="39">
        <f t="shared" ca="1" si="63"/>
        <v>3.3556319365534351</v>
      </c>
      <c r="D489" s="40">
        <f t="shared" ca="1" si="64"/>
        <v>9631224546.6494427</v>
      </c>
      <c r="E489" s="40">
        <f t="shared" ca="1" si="65"/>
        <v>12290353717321.248</v>
      </c>
      <c r="F489" s="40">
        <f t="shared" ca="1" si="66"/>
        <v>4381672216505.8047</v>
      </c>
      <c r="G489" s="40">
        <f t="shared" ca="1" si="67"/>
        <v>36928421152900.484</v>
      </c>
      <c r="H489" s="40">
        <f t="shared" ca="1" si="68"/>
        <v>36928421152900.484</v>
      </c>
      <c r="I489" s="40">
        <f t="shared" ca="1" si="69"/>
        <v>12717213579933.063</v>
      </c>
      <c r="J489" s="40">
        <f t="shared" ca="1" si="70"/>
        <v>1346018427017.0396</v>
      </c>
      <c r="K489" s="41">
        <f t="shared" ca="1" si="71"/>
        <v>9.4480233885921923</v>
      </c>
    </row>
    <row r="490" spans="2:11" ht="15" customHeight="1" x14ac:dyDescent="0.35">
      <c r="B490" s="5">
        <v>469</v>
      </c>
      <c r="C490" s="39">
        <f t="shared" ca="1" si="63"/>
        <v>3.9786122492314533</v>
      </c>
      <c r="D490" s="40">
        <f t="shared" ca="1" si="64"/>
        <v>18033738491.533516</v>
      </c>
      <c r="E490" s="40">
        <f t="shared" ca="1" si="65"/>
        <v>32224443892239.203</v>
      </c>
      <c r="F490" s="40">
        <f t="shared" ca="1" si="66"/>
        <v>7242421127599.1426</v>
      </c>
      <c r="G490" s="40">
        <f t="shared" ca="1" si="67"/>
        <v>1749152742113.4595</v>
      </c>
      <c r="H490" s="40">
        <f t="shared" ca="1" si="68"/>
        <v>7242421127599.1426</v>
      </c>
      <c r="I490" s="40">
        <f t="shared" ca="1" si="69"/>
        <v>1237098575254.3701</v>
      </c>
      <c r="J490" s="40">
        <f t="shared" ca="1" si="70"/>
        <v>1511054389452.1563</v>
      </c>
      <c r="K490" s="41">
        <f t="shared" ca="1" si="71"/>
        <v>0.81869890580370785</v>
      </c>
    </row>
    <row r="491" spans="2:11" ht="15" customHeight="1" x14ac:dyDescent="0.35">
      <c r="B491" s="5">
        <v>470</v>
      </c>
      <c r="C491" s="39">
        <f t="shared" ca="1" si="63"/>
        <v>2.5249113944448602</v>
      </c>
      <c r="D491" s="40">
        <f t="shared" ca="1" si="64"/>
        <v>2024621713.0459964</v>
      </c>
      <c r="E491" s="40">
        <f t="shared" ca="1" si="65"/>
        <v>4836568113396.082</v>
      </c>
      <c r="F491" s="40">
        <f t="shared" ca="1" si="66"/>
        <v>534130079426.40527</v>
      </c>
      <c r="G491" s="40">
        <f t="shared" ca="1" si="67"/>
        <v>3517501016684.8169</v>
      </c>
      <c r="H491" s="40">
        <f t="shared" ca="1" si="68"/>
        <v>4836568113396.082</v>
      </c>
      <c r="I491" s="40">
        <f t="shared" ca="1" si="69"/>
        <v>5518630877623.9619</v>
      </c>
      <c r="J491" s="40">
        <f t="shared" ca="1" si="70"/>
        <v>975281708498.2041</v>
      </c>
      <c r="K491" s="41">
        <f t="shared" ca="1" si="71"/>
        <v>5.658499313108079</v>
      </c>
    </row>
    <row r="492" spans="2:11" ht="15" customHeight="1" x14ac:dyDescent="0.35">
      <c r="B492" s="5">
        <v>471</v>
      </c>
      <c r="C492" s="39">
        <f t="shared" ca="1" si="63"/>
        <v>3.5287809145817222</v>
      </c>
      <c r="D492" s="40">
        <f t="shared" ca="1" si="64"/>
        <v>10424902722.94025</v>
      </c>
      <c r="E492" s="40">
        <f t="shared" ca="1" si="65"/>
        <v>38744966332659.828</v>
      </c>
      <c r="F492" s="40">
        <f t="shared" ca="1" si="66"/>
        <v>2880464208717.2407</v>
      </c>
      <c r="G492" s="40">
        <f t="shared" ca="1" si="67"/>
        <v>60920484722302.695</v>
      </c>
      <c r="H492" s="40">
        <f t="shared" ca="1" si="68"/>
        <v>60920484722302.695</v>
      </c>
      <c r="I492" s="40">
        <f t="shared" ca="1" si="69"/>
        <v>10113674968776.02</v>
      </c>
      <c r="J492" s="40">
        <f t="shared" ca="1" si="70"/>
        <v>484103140911.06732</v>
      </c>
      <c r="K492" s="41">
        <f t="shared" ca="1" si="71"/>
        <v>20.891570646995582</v>
      </c>
    </row>
    <row r="493" spans="2:11" ht="15" customHeight="1" x14ac:dyDescent="0.35">
      <c r="B493" s="5">
        <v>472</v>
      </c>
      <c r="C493" s="39">
        <f t="shared" ca="1" si="63"/>
        <v>2.4554620826752771</v>
      </c>
      <c r="D493" s="40">
        <f t="shared" ca="1" si="64"/>
        <v>1770288670.841785</v>
      </c>
      <c r="E493" s="40">
        <f t="shared" ca="1" si="65"/>
        <v>7218555384725.9941</v>
      </c>
      <c r="F493" s="40">
        <f t="shared" ca="1" si="66"/>
        <v>1854177430812.6306</v>
      </c>
      <c r="G493" s="40">
        <f t="shared" ca="1" si="67"/>
        <v>11377507154682.934</v>
      </c>
      <c r="H493" s="40">
        <f t="shared" ca="1" si="68"/>
        <v>7218555384725.9941</v>
      </c>
      <c r="I493" s="40">
        <f t="shared" ca="1" si="69"/>
        <v>20969797562779.637</v>
      </c>
      <c r="J493" s="40">
        <f t="shared" ca="1" si="70"/>
        <v>697990330113.76465</v>
      </c>
      <c r="K493" s="41">
        <f t="shared" ca="1" si="71"/>
        <v>30.043106126358218</v>
      </c>
    </row>
    <row r="494" spans="2:11" ht="15" customHeight="1" x14ac:dyDescent="0.35">
      <c r="B494" s="5">
        <v>473</v>
      </c>
      <c r="C494" s="39">
        <f t="shared" ca="1" si="63"/>
        <v>3.1742144440442841</v>
      </c>
      <c r="D494" s="40">
        <f t="shared" ca="1" si="64"/>
        <v>6136496276.3557329</v>
      </c>
      <c r="E494" s="40">
        <f t="shared" ca="1" si="65"/>
        <v>54204959204948.375</v>
      </c>
      <c r="F494" s="40">
        <f t="shared" ca="1" si="66"/>
        <v>11140443432646.941</v>
      </c>
      <c r="G494" s="40">
        <f t="shared" ca="1" si="67"/>
        <v>4521925178237.7969</v>
      </c>
      <c r="H494" s="40">
        <f t="shared" ca="1" si="68"/>
        <v>11140443432646.941</v>
      </c>
      <c r="I494" s="40">
        <f t="shared" ca="1" si="69"/>
        <v>3994976070845.5</v>
      </c>
      <c r="J494" s="40">
        <f t="shared" ca="1" si="70"/>
        <v>1254533814497.2629</v>
      </c>
      <c r="K494" s="41">
        <f t="shared" ca="1" si="71"/>
        <v>3.184430761992997</v>
      </c>
    </row>
    <row r="495" spans="2:11" ht="15" customHeight="1" x14ac:dyDescent="0.35">
      <c r="B495" s="5">
        <v>474</v>
      </c>
      <c r="C495" s="39">
        <f t="shared" ca="1" si="63"/>
        <v>2.8383960738409315</v>
      </c>
      <c r="D495" s="40">
        <f t="shared" ca="1" si="64"/>
        <v>3623498254.5296068</v>
      </c>
      <c r="E495" s="40">
        <f t="shared" ca="1" si="65"/>
        <v>6414231083073.6777</v>
      </c>
      <c r="F495" s="40">
        <f t="shared" ca="1" si="66"/>
        <v>2763608334592.3652</v>
      </c>
      <c r="G495" s="40">
        <f t="shared" ca="1" si="67"/>
        <v>11311420973243.061</v>
      </c>
      <c r="H495" s="40">
        <f t="shared" ca="1" si="68"/>
        <v>11311420973243.061</v>
      </c>
      <c r="I495" s="40">
        <f t="shared" ca="1" si="69"/>
        <v>17548551390091.135</v>
      </c>
      <c r="J495" s="40">
        <f t="shared" ca="1" si="70"/>
        <v>494849374538.06262</v>
      </c>
      <c r="K495" s="41">
        <f t="shared" ca="1" si="71"/>
        <v>35.462409963582452</v>
      </c>
    </row>
    <row r="496" spans="2:11" ht="15" customHeight="1" x14ac:dyDescent="0.35">
      <c r="B496" s="5">
        <v>475</v>
      </c>
      <c r="C496" s="39">
        <f t="shared" ca="1" si="63"/>
        <v>2.8452930521285102</v>
      </c>
      <c r="D496" s="40">
        <f t="shared" ca="1" si="64"/>
        <v>3161030261.3634605</v>
      </c>
      <c r="E496" s="40">
        <f t="shared" ca="1" si="65"/>
        <v>33371934675238.125</v>
      </c>
      <c r="F496" s="40">
        <f t="shared" ca="1" si="66"/>
        <v>4909189946698.2861</v>
      </c>
      <c r="G496" s="40">
        <f t="shared" ca="1" si="67"/>
        <v>3719651266442.6616</v>
      </c>
      <c r="H496" s="40">
        <f t="shared" ca="1" si="68"/>
        <v>3719651266442.6616</v>
      </c>
      <c r="I496" s="40">
        <f t="shared" ca="1" si="69"/>
        <v>4186705603584.2139</v>
      </c>
      <c r="J496" s="40">
        <f t="shared" ca="1" si="70"/>
        <v>859694280202.89783</v>
      </c>
      <c r="K496" s="41">
        <f t="shared" ca="1" si="71"/>
        <v>4.8699935546809767</v>
      </c>
    </row>
    <row r="497" spans="2:11" ht="15" customHeight="1" x14ac:dyDescent="0.35">
      <c r="B497" s="5">
        <v>476</v>
      </c>
      <c r="C497" s="39">
        <f t="shared" ca="1" si="63"/>
        <v>3.319126200157049</v>
      </c>
      <c r="D497" s="40">
        <f t="shared" ca="1" si="64"/>
        <v>7532102508.0086384</v>
      </c>
      <c r="E497" s="40">
        <f t="shared" ca="1" si="65"/>
        <v>22696393368156.508</v>
      </c>
      <c r="F497" s="40">
        <f t="shared" ca="1" si="66"/>
        <v>4134506363436.5376</v>
      </c>
      <c r="G497" s="40">
        <f t="shared" ca="1" si="67"/>
        <v>4959447872085.874</v>
      </c>
      <c r="H497" s="40">
        <f t="shared" ca="1" si="68"/>
        <v>4134506363436.5376</v>
      </c>
      <c r="I497" s="40">
        <f t="shared" ca="1" si="69"/>
        <v>2864368118025.4727</v>
      </c>
      <c r="J497" s="40">
        <f t="shared" ca="1" si="70"/>
        <v>524140209706.50482</v>
      </c>
      <c r="K497" s="41">
        <f t="shared" ca="1" si="71"/>
        <v>5.464889098337621</v>
      </c>
    </row>
    <row r="498" spans="2:11" ht="15" customHeight="1" x14ac:dyDescent="0.35">
      <c r="B498" s="5">
        <v>477</v>
      </c>
      <c r="C498" s="39">
        <f t="shared" ca="1" si="63"/>
        <v>3.1912555736894199</v>
      </c>
      <c r="D498" s="40">
        <f t="shared" ca="1" si="64"/>
        <v>6681103148.6340399</v>
      </c>
      <c r="E498" s="40">
        <f t="shared" ca="1" si="65"/>
        <v>9809353954023.0137</v>
      </c>
      <c r="F498" s="40">
        <f t="shared" ca="1" si="66"/>
        <v>4196308317380.2466</v>
      </c>
      <c r="G498" s="40">
        <f t="shared" ca="1" si="67"/>
        <v>1833615132254.7146</v>
      </c>
      <c r="H498" s="40">
        <f t="shared" ca="1" si="68"/>
        <v>1833615132254.7146</v>
      </c>
      <c r="I498" s="40">
        <f t="shared" ca="1" si="69"/>
        <v>11563284041666.844</v>
      </c>
      <c r="J498" s="40">
        <f t="shared" ca="1" si="70"/>
        <v>732570027610.41907</v>
      </c>
      <c r="K498" s="41">
        <f t="shared" ca="1" si="71"/>
        <v>15.78454428361653</v>
      </c>
    </row>
    <row r="499" spans="2:11" ht="15" customHeight="1" x14ac:dyDescent="0.35">
      <c r="B499" s="5">
        <v>478</v>
      </c>
      <c r="C499" s="39">
        <f t="shared" ca="1" si="63"/>
        <v>2.785713813399092</v>
      </c>
      <c r="D499" s="40">
        <f t="shared" ca="1" si="64"/>
        <v>2702250074.9485927</v>
      </c>
      <c r="E499" s="40">
        <f t="shared" ca="1" si="65"/>
        <v>23916985680267.801</v>
      </c>
      <c r="F499" s="40">
        <f t="shared" ca="1" si="66"/>
        <v>3467414191222.4644</v>
      </c>
      <c r="G499" s="40">
        <f t="shared" ca="1" si="67"/>
        <v>41456001193098.258</v>
      </c>
      <c r="H499" s="40">
        <f t="shared" ca="1" si="68"/>
        <v>23916985680267.801</v>
      </c>
      <c r="I499" s="40">
        <f t="shared" ca="1" si="69"/>
        <v>11203112755700.447</v>
      </c>
      <c r="J499" s="40">
        <f t="shared" ca="1" si="70"/>
        <v>890876818369.19592</v>
      </c>
      <c r="K499" s="41">
        <f t="shared" ca="1" si="71"/>
        <v>12.575378014895959</v>
      </c>
    </row>
    <row r="500" spans="2:11" ht="15" customHeight="1" x14ac:dyDescent="0.35">
      <c r="B500" s="5">
        <v>479</v>
      </c>
      <c r="C500" s="39">
        <f t="shared" ca="1" si="63"/>
        <v>2.8962559163032453</v>
      </c>
      <c r="D500" s="40">
        <f t="shared" ca="1" si="64"/>
        <v>4713405717.6700296</v>
      </c>
      <c r="E500" s="40">
        <f t="shared" ca="1" si="65"/>
        <v>18113233442551.957</v>
      </c>
      <c r="F500" s="40">
        <f t="shared" ca="1" si="66"/>
        <v>4341957896535.2246</v>
      </c>
      <c r="G500" s="40">
        <f t="shared" ca="1" si="67"/>
        <v>520922824836.94879</v>
      </c>
      <c r="H500" s="40">
        <f t="shared" ca="1" si="68"/>
        <v>520922824836.94879</v>
      </c>
      <c r="I500" s="40">
        <f t="shared" ca="1" si="69"/>
        <v>3458696730558.417</v>
      </c>
      <c r="J500" s="40">
        <f t="shared" ca="1" si="70"/>
        <v>1046192581334.6279</v>
      </c>
      <c r="K500" s="41">
        <f t="shared" ca="1" si="71"/>
        <v>3.305984760612771</v>
      </c>
    </row>
    <row r="501" spans="2:11" ht="15" customHeight="1" x14ac:dyDescent="0.35">
      <c r="B501" s="5">
        <v>480</v>
      </c>
      <c r="C501" s="39">
        <f t="shared" ca="1" si="63"/>
        <v>3.7159743527460654</v>
      </c>
      <c r="D501" s="40">
        <f t="shared" ca="1" si="64"/>
        <v>13753656827.302217</v>
      </c>
      <c r="E501" s="40">
        <f t="shared" ca="1" si="65"/>
        <v>38542218613939.148</v>
      </c>
      <c r="F501" s="40">
        <f t="shared" ca="1" si="66"/>
        <v>4453448394932.0781</v>
      </c>
      <c r="G501" s="40">
        <f t="shared" ca="1" si="67"/>
        <v>1056778478250.4315</v>
      </c>
      <c r="H501" s="40">
        <f t="shared" ca="1" si="68"/>
        <v>1056778478250.4315</v>
      </c>
      <c r="I501" s="40">
        <f t="shared" ca="1" si="69"/>
        <v>10243333356563.902</v>
      </c>
      <c r="J501" s="40">
        <f t="shared" ca="1" si="70"/>
        <v>993492072913.0332</v>
      </c>
      <c r="K501" s="41">
        <f t="shared" ca="1" si="71"/>
        <v>10.310432902126001</v>
      </c>
    </row>
    <row r="502" spans="2:11" ht="15" customHeight="1" x14ac:dyDescent="0.35">
      <c r="B502" s="5">
        <v>481</v>
      </c>
      <c r="C502" s="39">
        <f t="shared" ca="1" si="63"/>
        <v>2.7927262372353834</v>
      </c>
      <c r="D502" s="40">
        <f t="shared" ca="1" si="64"/>
        <v>3438804349.5594134</v>
      </c>
      <c r="E502" s="40">
        <f t="shared" ca="1" si="65"/>
        <v>2630976180091.8135</v>
      </c>
      <c r="F502" s="40">
        <f t="shared" ca="1" si="66"/>
        <v>3090697718558.1133</v>
      </c>
      <c r="G502" s="40">
        <f t="shared" ca="1" si="67"/>
        <v>2567828275296.502</v>
      </c>
      <c r="H502" s="40">
        <f t="shared" ca="1" si="68"/>
        <v>3090697718558.1133</v>
      </c>
      <c r="I502" s="40">
        <f t="shared" ca="1" si="69"/>
        <v>189494575350811.84</v>
      </c>
      <c r="J502" s="40">
        <f t="shared" ca="1" si="70"/>
        <v>619382489632.9126</v>
      </c>
      <c r="K502" s="41">
        <f t="shared" ca="1" si="71"/>
        <v>305.9411244627193</v>
      </c>
    </row>
    <row r="503" spans="2:11" ht="15" customHeight="1" x14ac:dyDescent="0.35">
      <c r="B503" s="5">
        <v>482</v>
      </c>
      <c r="C503" s="39">
        <f t="shared" ca="1" si="63"/>
        <v>2.3556821020369281</v>
      </c>
      <c r="D503" s="40">
        <f t="shared" ca="1" si="64"/>
        <v>1652698169.811111</v>
      </c>
      <c r="E503" s="40">
        <f t="shared" ca="1" si="65"/>
        <v>12946857912157.08</v>
      </c>
      <c r="F503" s="40">
        <f t="shared" ca="1" si="66"/>
        <v>7357355912503.5547</v>
      </c>
      <c r="G503" s="40">
        <f t="shared" ca="1" si="67"/>
        <v>7081756286094.8848</v>
      </c>
      <c r="H503" s="40">
        <f t="shared" ca="1" si="68"/>
        <v>12946857912157.08</v>
      </c>
      <c r="I503" s="40">
        <f t="shared" ca="1" si="69"/>
        <v>20429394769608.121</v>
      </c>
      <c r="J503" s="40">
        <f t="shared" ca="1" si="70"/>
        <v>821395709592.41663</v>
      </c>
      <c r="K503" s="41">
        <f t="shared" ca="1" si="71"/>
        <v>24.871562550217551</v>
      </c>
    </row>
    <row r="504" spans="2:11" ht="15" customHeight="1" x14ac:dyDescent="0.35">
      <c r="B504" s="5">
        <v>483</v>
      </c>
      <c r="C504" s="39">
        <f t="shared" ca="1" si="63"/>
        <v>2.6537339958484285</v>
      </c>
      <c r="D504" s="40">
        <f t="shared" ca="1" si="64"/>
        <v>2257903731.0662856</v>
      </c>
      <c r="E504" s="40">
        <f t="shared" ca="1" si="65"/>
        <v>3539272975759.4858</v>
      </c>
      <c r="F504" s="40">
        <f t="shared" ca="1" si="66"/>
        <v>485389455653.8396</v>
      </c>
      <c r="G504" s="40">
        <f t="shared" ca="1" si="67"/>
        <v>1467827981234.9724</v>
      </c>
      <c r="H504" s="40">
        <f t="shared" ca="1" si="68"/>
        <v>485389455653.8396</v>
      </c>
      <c r="I504" s="40">
        <f t="shared" ca="1" si="69"/>
        <v>7223091863503.8447</v>
      </c>
      <c r="J504" s="40">
        <f t="shared" ca="1" si="70"/>
        <v>912402150341.65771</v>
      </c>
      <c r="K504" s="41">
        <f t="shared" ca="1" si="71"/>
        <v>7.9165660238734521</v>
      </c>
    </row>
    <row r="505" spans="2:11" ht="15" customHeight="1" x14ac:dyDescent="0.35">
      <c r="B505" s="5">
        <v>484</v>
      </c>
      <c r="C505" s="39">
        <f t="shared" ca="1" si="63"/>
        <v>2.9108633775442847</v>
      </c>
      <c r="D505" s="40">
        <f t="shared" ca="1" si="64"/>
        <v>4691637381.2663527</v>
      </c>
      <c r="E505" s="40">
        <f t="shared" ca="1" si="65"/>
        <v>3761697594341.9902</v>
      </c>
      <c r="F505" s="40">
        <f t="shared" ca="1" si="66"/>
        <v>249699586795.81833</v>
      </c>
      <c r="G505" s="40">
        <f t="shared" ca="1" si="67"/>
        <v>10671766606669.48</v>
      </c>
      <c r="H505" s="40">
        <f t="shared" ca="1" si="68"/>
        <v>10671766606669.48</v>
      </c>
      <c r="I505" s="40">
        <f t="shared" ca="1" si="69"/>
        <v>6850824441803.9336</v>
      </c>
      <c r="J505" s="40">
        <f t="shared" ca="1" si="70"/>
        <v>941350279843.20203</v>
      </c>
      <c r="K505" s="41">
        <f t="shared" ca="1" si="71"/>
        <v>7.2776569875190935</v>
      </c>
    </row>
    <row r="506" spans="2:11" ht="15" customHeight="1" x14ac:dyDescent="0.35">
      <c r="B506" s="5">
        <v>485</v>
      </c>
      <c r="C506" s="39">
        <f t="shared" ca="1" si="63"/>
        <v>2.2759861916309503</v>
      </c>
      <c r="D506" s="40">
        <f t="shared" ca="1" si="64"/>
        <v>1358099131.1940722</v>
      </c>
      <c r="E506" s="40">
        <f t="shared" ca="1" si="65"/>
        <v>2606202652024.1294</v>
      </c>
      <c r="F506" s="40">
        <f t="shared" ca="1" si="66"/>
        <v>3316657408040.6743</v>
      </c>
      <c r="G506" s="40">
        <f t="shared" ca="1" si="67"/>
        <v>1577828452273.3662</v>
      </c>
      <c r="H506" s="40">
        <f t="shared" ca="1" si="68"/>
        <v>3316657408040.6743</v>
      </c>
      <c r="I506" s="40">
        <f t="shared" ca="1" si="69"/>
        <v>16907400252607.785</v>
      </c>
      <c r="J506" s="40">
        <f t="shared" ca="1" si="70"/>
        <v>985016676308.77185</v>
      </c>
      <c r="K506" s="41">
        <f t="shared" ca="1" si="71"/>
        <v>17.164582752005963</v>
      </c>
    </row>
    <row r="507" spans="2:11" ht="15" customHeight="1" x14ac:dyDescent="0.35">
      <c r="B507" s="5">
        <v>486</v>
      </c>
      <c r="C507" s="39">
        <f t="shared" ca="1" si="63"/>
        <v>2.7367306700483587</v>
      </c>
      <c r="D507" s="40">
        <f t="shared" ca="1" si="64"/>
        <v>3096462954.0073853</v>
      </c>
      <c r="E507" s="40">
        <f t="shared" ca="1" si="65"/>
        <v>7021872860563.2715</v>
      </c>
      <c r="F507" s="40">
        <f t="shared" ca="1" si="66"/>
        <v>4212547509668.6411</v>
      </c>
      <c r="G507" s="40">
        <f t="shared" ca="1" si="67"/>
        <v>1315179593294.9717</v>
      </c>
      <c r="H507" s="40">
        <f t="shared" ca="1" si="68"/>
        <v>7021872860563.2715</v>
      </c>
      <c r="I507" s="40">
        <f t="shared" ca="1" si="69"/>
        <v>1110140774247.3909</v>
      </c>
      <c r="J507" s="40">
        <f t="shared" ca="1" si="70"/>
        <v>983402416273.78308</v>
      </c>
      <c r="K507" s="41">
        <f t="shared" ca="1" si="71"/>
        <v>1.1288774116031084</v>
      </c>
    </row>
    <row r="508" spans="2:11" ht="15" customHeight="1" x14ac:dyDescent="0.35">
      <c r="B508" s="5">
        <v>487</v>
      </c>
      <c r="C508" s="39">
        <f t="shared" ca="1" si="63"/>
        <v>3.4870064697445984</v>
      </c>
      <c r="D508" s="40">
        <f t="shared" ca="1" si="64"/>
        <v>8483501950.1141481</v>
      </c>
      <c r="E508" s="40">
        <f t="shared" ca="1" si="65"/>
        <v>30940766104680.914</v>
      </c>
      <c r="F508" s="40">
        <f t="shared" ca="1" si="66"/>
        <v>4047032993067.1353</v>
      </c>
      <c r="G508" s="40">
        <f t="shared" ca="1" si="67"/>
        <v>2807242092098.5361</v>
      </c>
      <c r="H508" s="40">
        <f t="shared" ca="1" si="68"/>
        <v>2807242092098.5361</v>
      </c>
      <c r="I508" s="40">
        <f t="shared" ca="1" si="69"/>
        <v>2226646612750.2383</v>
      </c>
      <c r="J508" s="40">
        <f t="shared" ca="1" si="70"/>
        <v>980328795225.96143</v>
      </c>
      <c r="K508" s="41">
        <f t="shared" ca="1" si="71"/>
        <v>2.271326338258794</v>
      </c>
    </row>
    <row r="509" spans="2:11" ht="15" customHeight="1" x14ac:dyDescent="0.35">
      <c r="B509" s="5">
        <v>488</v>
      </c>
      <c r="C509" s="39">
        <f t="shared" ca="1" si="63"/>
        <v>2.8935137127047543</v>
      </c>
      <c r="D509" s="40">
        <f t="shared" ca="1" si="64"/>
        <v>4464697677.0552216</v>
      </c>
      <c r="E509" s="40">
        <f t="shared" ca="1" si="65"/>
        <v>62417309934525.906</v>
      </c>
      <c r="F509" s="40">
        <f t="shared" ca="1" si="66"/>
        <v>3037649977295.4668</v>
      </c>
      <c r="G509" s="40">
        <f t="shared" ca="1" si="67"/>
        <v>2728521481406.3301</v>
      </c>
      <c r="H509" s="40">
        <f t="shared" ca="1" si="68"/>
        <v>2728521481406.3301</v>
      </c>
      <c r="I509" s="40">
        <f t="shared" ca="1" si="69"/>
        <v>12980879260892.174</v>
      </c>
      <c r="J509" s="40">
        <f t="shared" ca="1" si="70"/>
        <v>1105887992032.3174</v>
      </c>
      <c r="K509" s="41">
        <f t="shared" ca="1" si="71"/>
        <v>11.737969264895348</v>
      </c>
    </row>
    <row r="510" spans="2:11" ht="15" customHeight="1" x14ac:dyDescent="0.35">
      <c r="B510" s="5">
        <v>489</v>
      </c>
      <c r="C510" s="39">
        <f t="shared" ca="1" si="63"/>
        <v>2.8223107791656679</v>
      </c>
      <c r="D510" s="40">
        <f t="shared" ca="1" si="64"/>
        <v>4291973840.1970215</v>
      </c>
      <c r="E510" s="40">
        <f t="shared" ca="1" si="65"/>
        <v>34120021992831.457</v>
      </c>
      <c r="F510" s="40">
        <f t="shared" ca="1" si="66"/>
        <v>2616748254035.771</v>
      </c>
      <c r="G510" s="40">
        <f t="shared" ca="1" si="67"/>
        <v>2581876343852.3481</v>
      </c>
      <c r="H510" s="40">
        <f t="shared" ca="1" si="68"/>
        <v>2581876343852.3481</v>
      </c>
      <c r="I510" s="40">
        <f t="shared" ca="1" si="69"/>
        <v>592383244066.8772</v>
      </c>
      <c r="J510" s="40">
        <f t="shared" ca="1" si="70"/>
        <v>1422652869415.6338</v>
      </c>
      <c r="K510" s="41">
        <f t="shared" ca="1" si="71"/>
        <v>0.41639338506392176</v>
      </c>
    </row>
    <row r="511" spans="2:11" ht="15" customHeight="1" x14ac:dyDescent="0.35">
      <c r="B511" s="5">
        <v>490</v>
      </c>
      <c r="C511" s="39">
        <f t="shared" ca="1" si="63"/>
        <v>3.8778796634514974</v>
      </c>
      <c r="D511" s="40">
        <f t="shared" ca="1" si="64"/>
        <v>19811379274.035625</v>
      </c>
      <c r="E511" s="40">
        <f t="shared" ca="1" si="65"/>
        <v>244781423464559.25</v>
      </c>
      <c r="F511" s="40">
        <f t="shared" ca="1" si="66"/>
        <v>2047573134423.1277</v>
      </c>
      <c r="G511" s="40">
        <f t="shared" ca="1" si="67"/>
        <v>406445542550.25049</v>
      </c>
      <c r="H511" s="40">
        <f t="shared" ca="1" si="68"/>
        <v>244781423464559.25</v>
      </c>
      <c r="I511" s="40">
        <f t="shared" ca="1" si="69"/>
        <v>27267696595525.855</v>
      </c>
      <c r="J511" s="40">
        <f t="shared" ca="1" si="70"/>
        <v>558639768789.8866</v>
      </c>
      <c r="K511" s="41">
        <f t="shared" ca="1" si="71"/>
        <v>48.81087620129972</v>
      </c>
    </row>
    <row r="512" spans="2:11" ht="15" customHeight="1" x14ac:dyDescent="0.35">
      <c r="B512" s="5">
        <v>491</v>
      </c>
      <c r="C512" s="39">
        <f t="shared" ca="1" si="63"/>
        <v>2.8706875716538307</v>
      </c>
      <c r="D512" s="40">
        <f t="shared" ca="1" si="64"/>
        <v>4465171128.2355461</v>
      </c>
      <c r="E512" s="40">
        <f t="shared" ca="1" si="65"/>
        <v>2300897384842.9175</v>
      </c>
      <c r="F512" s="40">
        <f t="shared" ca="1" si="66"/>
        <v>1254928305389.4563</v>
      </c>
      <c r="G512" s="40">
        <f t="shared" ca="1" si="67"/>
        <v>3841737263276.4336</v>
      </c>
      <c r="H512" s="40">
        <f t="shared" ca="1" si="68"/>
        <v>1254928305389.4563</v>
      </c>
      <c r="I512" s="40">
        <f t="shared" ca="1" si="69"/>
        <v>15951994343900.834</v>
      </c>
      <c r="J512" s="40">
        <f t="shared" ca="1" si="70"/>
        <v>1401154376406.5525</v>
      </c>
      <c r="K512" s="41">
        <f t="shared" ca="1" si="71"/>
        <v>11.38489420759749</v>
      </c>
    </row>
    <row r="513" spans="2:11" ht="15" customHeight="1" x14ac:dyDescent="0.35">
      <c r="B513" s="5">
        <v>492</v>
      </c>
      <c r="C513" s="39">
        <f t="shared" ca="1" si="63"/>
        <v>3.0116444918932617</v>
      </c>
      <c r="D513" s="40">
        <f t="shared" ca="1" si="64"/>
        <v>4623517873.9827662</v>
      </c>
      <c r="E513" s="40">
        <f t="shared" ca="1" si="65"/>
        <v>4828026182518.498</v>
      </c>
      <c r="F513" s="40">
        <f t="shared" ca="1" si="66"/>
        <v>9065707373526.5195</v>
      </c>
      <c r="G513" s="40">
        <f t="shared" ca="1" si="67"/>
        <v>50397629412769.867</v>
      </c>
      <c r="H513" s="40">
        <f t="shared" ca="1" si="68"/>
        <v>9065707373526.5195</v>
      </c>
      <c r="I513" s="40">
        <f t="shared" ca="1" si="69"/>
        <v>39201268069366.992</v>
      </c>
      <c r="J513" s="40">
        <f t="shared" ca="1" si="70"/>
        <v>1170507481334.3826</v>
      </c>
      <c r="K513" s="41">
        <f t="shared" ca="1" si="71"/>
        <v>33.49083085285146</v>
      </c>
    </row>
    <row r="514" spans="2:11" ht="15" customHeight="1" x14ac:dyDescent="0.35">
      <c r="B514" s="5">
        <v>493</v>
      </c>
      <c r="C514" s="39">
        <f t="shared" ca="1" si="63"/>
        <v>3.045050178269975</v>
      </c>
      <c r="D514" s="40">
        <f t="shared" ca="1" si="64"/>
        <v>5343317049.8303185</v>
      </c>
      <c r="E514" s="40">
        <f t="shared" ca="1" si="65"/>
        <v>33376678599111.684</v>
      </c>
      <c r="F514" s="40">
        <f t="shared" ca="1" si="66"/>
        <v>1123612101678.8247</v>
      </c>
      <c r="G514" s="40">
        <f t="shared" ca="1" si="67"/>
        <v>3049926577290.1206</v>
      </c>
      <c r="H514" s="40">
        <f t="shared" ca="1" si="68"/>
        <v>3049926577290.1206</v>
      </c>
      <c r="I514" s="40">
        <f t="shared" ca="1" si="69"/>
        <v>16719562656014.648</v>
      </c>
      <c r="J514" s="40">
        <f t="shared" ca="1" si="70"/>
        <v>466854599772.75385</v>
      </c>
      <c r="K514" s="41">
        <f t="shared" ca="1" si="71"/>
        <v>35.813211788323521</v>
      </c>
    </row>
    <row r="515" spans="2:11" ht="15" customHeight="1" x14ac:dyDescent="0.35">
      <c r="B515" s="5">
        <v>494</v>
      </c>
      <c r="C515" s="39">
        <f t="shared" ca="1" si="63"/>
        <v>2.3377381440955372</v>
      </c>
      <c r="D515" s="40">
        <f t="shared" ca="1" si="64"/>
        <v>1482590392.04984</v>
      </c>
      <c r="E515" s="40">
        <f t="shared" ca="1" si="65"/>
        <v>2918374994445.6362</v>
      </c>
      <c r="F515" s="40">
        <f t="shared" ca="1" si="66"/>
        <v>450004672890.89331</v>
      </c>
      <c r="G515" s="40">
        <f t="shared" ca="1" si="67"/>
        <v>19160924471947.512</v>
      </c>
      <c r="H515" s="40">
        <f t="shared" ca="1" si="68"/>
        <v>19160924471947.512</v>
      </c>
      <c r="I515" s="40">
        <f t="shared" ca="1" si="69"/>
        <v>4040447339573.5469</v>
      </c>
      <c r="J515" s="40">
        <f t="shared" ca="1" si="70"/>
        <v>1655595746273.1348</v>
      </c>
      <c r="K515" s="41">
        <f t="shared" ca="1" si="71"/>
        <v>2.4404794157443837</v>
      </c>
    </row>
    <row r="516" spans="2:11" ht="15" customHeight="1" x14ac:dyDescent="0.35">
      <c r="B516" s="5">
        <v>495</v>
      </c>
      <c r="C516" s="39">
        <f t="shared" ca="1" si="63"/>
        <v>3.0197519501857997</v>
      </c>
      <c r="D516" s="40">
        <f t="shared" ca="1" si="64"/>
        <v>5770951471.2298861</v>
      </c>
      <c r="E516" s="40">
        <f t="shared" ca="1" si="65"/>
        <v>29153045186518.023</v>
      </c>
      <c r="F516" s="40">
        <f t="shared" ca="1" si="66"/>
        <v>222741704541.98605</v>
      </c>
      <c r="G516" s="40">
        <f t="shared" ca="1" si="67"/>
        <v>6146458773597.7197</v>
      </c>
      <c r="H516" s="40">
        <f t="shared" ca="1" si="68"/>
        <v>222741704541.98605</v>
      </c>
      <c r="I516" s="40">
        <f t="shared" ca="1" si="69"/>
        <v>6228762020147.9111</v>
      </c>
      <c r="J516" s="40">
        <f t="shared" ca="1" si="70"/>
        <v>1160183841673.3223</v>
      </c>
      <c r="K516" s="41">
        <f t="shared" ca="1" si="71"/>
        <v>5.3687715656893014</v>
      </c>
    </row>
    <row r="517" spans="2:11" ht="15" customHeight="1" x14ac:dyDescent="0.35">
      <c r="B517" s="5">
        <v>496</v>
      </c>
      <c r="C517" s="39">
        <f t="shared" ca="1" si="63"/>
        <v>3.4477075407488242</v>
      </c>
      <c r="D517" s="40">
        <f t="shared" ca="1" si="64"/>
        <v>8966678489.045969</v>
      </c>
      <c r="E517" s="40">
        <f t="shared" ca="1" si="65"/>
        <v>32426041795596.094</v>
      </c>
      <c r="F517" s="40">
        <f t="shared" ca="1" si="66"/>
        <v>1154935257586.7976</v>
      </c>
      <c r="G517" s="40">
        <f t="shared" ca="1" si="67"/>
        <v>2831283059483.7661</v>
      </c>
      <c r="H517" s="40">
        <f t="shared" ca="1" si="68"/>
        <v>32426041795596.094</v>
      </c>
      <c r="I517" s="40">
        <f t="shared" ca="1" si="69"/>
        <v>10676724993029.967</v>
      </c>
      <c r="J517" s="40">
        <f t="shared" ca="1" si="70"/>
        <v>739010328031.15771</v>
      </c>
      <c r="K517" s="41">
        <f t="shared" ca="1" si="71"/>
        <v>14.447328525806233</v>
      </c>
    </row>
    <row r="518" spans="2:11" ht="15" customHeight="1" x14ac:dyDescent="0.35">
      <c r="B518" s="5">
        <v>497</v>
      </c>
      <c r="C518" s="39">
        <f t="shared" ca="1" si="63"/>
        <v>3.7137958679058944</v>
      </c>
      <c r="D518" s="40">
        <f t="shared" ca="1" si="64"/>
        <v>15819915813.159536</v>
      </c>
      <c r="E518" s="40">
        <f t="shared" ca="1" si="65"/>
        <v>53288005109230.594</v>
      </c>
      <c r="F518" s="40">
        <f t="shared" ca="1" si="66"/>
        <v>504297994110.84821</v>
      </c>
      <c r="G518" s="40">
        <f t="shared" ca="1" si="67"/>
        <v>6156080803966.499</v>
      </c>
      <c r="H518" s="40">
        <f t="shared" ca="1" si="68"/>
        <v>504297994110.84821</v>
      </c>
      <c r="I518" s="40">
        <f t="shared" ca="1" si="69"/>
        <v>22360128333898.082</v>
      </c>
      <c r="J518" s="40">
        <f t="shared" ca="1" si="70"/>
        <v>1270564473637.7585</v>
      </c>
      <c r="K518" s="41">
        <f t="shared" ca="1" si="71"/>
        <v>17.598578268034444</v>
      </c>
    </row>
    <row r="519" spans="2:11" ht="15" customHeight="1" x14ac:dyDescent="0.35">
      <c r="B519" s="5">
        <v>498</v>
      </c>
      <c r="C519" s="39">
        <f t="shared" ca="1" si="63"/>
        <v>2.7238475024024207</v>
      </c>
      <c r="D519" s="40">
        <f t="shared" ca="1" si="64"/>
        <v>2638614014.2687888</v>
      </c>
      <c r="E519" s="40">
        <f t="shared" ca="1" si="65"/>
        <v>4036560384377.8848</v>
      </c>
      <c r="F519" s="40">
        <f t="shared" ca="1" si="66"/>
        <v>5337650559009.6572</v>
      </c>
      <c r="G519" s="40">
        <f t="shared" ca="1" si="67"/>
        <v>75069296427577.156</v>
      </c>
      <c r="H519" s="40">
        <f t="shared" ca="1" si="68"/>
        <v>75069296427577.156</v>
      </c>
      <c r="I519" s="40">
        <f t="shared" ca="1" si="69"/>
        <v>7884692703934.3994</v>
      </c>
      <c r="J519" s="40">
        <f t="shared" ca="1" si="70"/>
        <v>1256921860499.0825</v>
      </c>
      <c r="K519" s="41">
        <f t="shared" ca="1" si="71"/>
        <v>6.2730174020552445</v>
      </c>
    </row>
    <row r="520" spans="2:11" ht="15" customHeight="1" x14ac:dyDescent="0.35">
      <c r="B520" s="5">
        <v>499</v>
      </c>
      <c r="C520" s="39">
        <f t="shared" ca="1" si="63"/>
        <v>2.836715533321037</v>
      </c>
      <c r="D520" s="40">
        <f t="shared" ca="1" si="64"/>
        <v>4078128406.1099391</v>
      </c>
      <c r="E520" s="40">
        <f t="shared" ca="1" si="65"/>
        <v>12477744759064.357</v>
      </c>
      <c r="F520" s="40">
        <f t="shared" ca="1" si="66"/>
        <v>3105530091322.2485</v>
      </c>
      <c r="G520" s="40">
        <f t="shared" ca="1" si="67"/>
        <v>882440360221.79517</v>
      </c>
      <c r="H520" s="40">
        <f t="shared" ca="1" si="68"/>
        <v>3105530091322.2485</v>
      </c>
      <c r="I520" s="40">
        <f t="shared" ca="1" si="69"/>
        <v>409423139870.79614</v>
      </c>
      <c r="J520" s="40">
        <f t="shared" ca="1" si="70"/>
        <v>581039466594.79065</v>
      </c>
      <c r="K520" s="41">
        <f t="shared" ca="1" si="71"/>
        <v>0.70463912248549976</v>
      </c>
    </row>
    <row r="521" spans="2:11" ht="15" customHeight="1" x14ac:dyDescent="0.35">
      <c r="B521" s="5">
        <v>500</v>
      </c>
      <c r="C521" s="39">
        <f t="shared" ca="1" si="63"/>
        <v>3.0296537458369084</v>
      </c>
      <c r="D521" s="40">
        <f t="shared" ca="1" si="64"/>
        <v>4678884419.6030378</v>
      </c>
      <c r="E521" s="40">
        <f t="shared" ca="1" si="65"/>
        <v>28568848175228.953</v>
      </c>
      <c r="F521" s="40">
        <f t="shared" ca="1" si="66"/>
        <v>2228875476847.7661</v>
      </c>
      <c r="G521" s="40">
        <f t="shared" ca="1" si="67"/>
        <v>1200448776277.0605</v>
      </c>
      <c r="H521" s="40">
        <f t="shared" ca="1" si="68"/>
        <v>28568848175228.953</v>
      </c>
      <c r="I521" s="40">
        <f t="shared" ca="1" si="69"/>
        <v>23160930818382.203</v>
      </c>
      <c r="J521" s="40">
        <f t="shared" ca="1" si="70"/>
        <v>1012460831657.7688</v>
      </c>
      <c r="K521" s="41">
        <f t="shared" ca="1" si="71"/>
        <v>22.87587834924862</v>
      </c>
    </row>
    <row r="522" spans="2:11" ht="15" customHeight="1" x14ac:dyDescent="0.35">
      <c r="B522" s="5">
        <v>501</v>
      </c>
      <c r="C522" s="39">
        <f t="shared" ca="1" si="63"/>
        <v>2.782371519813601</v>
      </c>
      <c r="D522" s="40">
        <f t="shared" ca="1" si="64"/>
        <v>3540315181.7958517</v>
      </c>
      <c r="E522" s="40">
        <f t="shared" ca="1" si="65"/>
        <v>51247443110686.023</v>
      </c>
      <c r="F522" s="40">
        <f t="shared" ca="1" si="66"/>
        <v>2128716225165.5024</v>
      </c>
      <c r="G522" s="40">
        <f t="shared" ca="1" si="67"/>
        <v>10296046662964.455</v>
      </c>
      <c r="H522" s="40">
        <f t="shared" ca="1" si="68"/>
        <v>2128716225165.5024</v>
      </c>
      <c r="I522" s="40">
        <f t="shared" ca="1" si="69"/>
        <v>29217570555303.957</v>
      </c>
      <c r="J522" s="40">
        <f t="shared" ca="1" si="70"/>
        <v>1015211402739.8096</v>
      </c>
      <c r="K522" s="41">
        <f t="shared" ca="1" si="71"/>
        <v>28.779789585157154</v>
      </c>
    </row>
    <row r="523" spans="2:11" ht="15" customHeight="1" x14ac:dyDescent="0.35">
      <c r="B523" s="5">
        <v>502</v>
      </c>
      <c r="C523" s="39">
        <f t="shared" ca="1" si="63"/>
        <v>2.0125520908229366</v>
      </c>
      <c r="D523" s="40">
        <f t="shared" ca="1" si="64"/>
        <v>649544664.73732972</v>
      </c>
      <c r="E523" s="40">
        <f t="shared" ca="1" si="65"/>
        <v>3611677729497.6265</v>
      </c>
      <c r="F523" s="40">
        <f t="shared" ca="1" si="66"/>
        <v>2362608509545.8506</v>
      </c>
      <c r="G523" s="40">
        <f t="shared" ca="1" si="67"/>
        <v>7723754235411.0605</v>
      </c>
      <c r="H523" s="40">
        <f t="shared" ca="1" si="68"/>
        <v>3611677729497.6265</v>
      </c>
      <c r="I523" s="40">
        <f t="shared" ca="1" si="69"/>
        <v>4762940627869.0186</v>
      </c>
      <c r="J523" s="40">
        <f t="shared" ca="1" si="70"/>
        <v>938222139575.5304</v>
      </c>
      <c r="K523" s="41">
        <f t="shared" ca="1" si="71"/>
        <v>5.0765596194776048</v>
      </c>
    </row>
    <row r="524" spans="2:11" ht="15" customHeight="1" x14ac:dyDescent="0.35">
      <c r="B524" s="5">
        <v>503</v>
      </c>
      <c r="C524" s="39">
        <f t="shared" ca="1" si="63"/>
        <v>3.3032106904445873</v>
      </c>
      <c r="D524" s="40">
        <f t="shared" ca="1" si="64"/>
        <v>8046069378.4088287</v>
      </c>
      <c r="E524" s="40">
        <f t="shared" ca="1" si="65"/>
        <v>12878241351466.551</v>
      </c>
      <c r="F524" s="40">
        <f t="shared" ca="1" si="66"/>
        <v>2713590870304.9482</v>
      </c>
      <c r="G524" s="40">
        <f t="shared" ca="1" si="67"/>
        <v>146604020399256.31</v>
      </c>
      <c r="H524" s="40">
        <f t="shared" ca="1" si="68"/>
        <v>2713590870304.9482</v>
      </c>
      <c r="I524" s="40">
        <f t="shared" ca="1" si="69"/>
        <v>6137397980354.0986</v>
      </c>
      <c r="J524" s="40">
        <f t="shared" ca="1" si="70"/>
        <v>1241016101702.363</v>
      </c>
      <c r="K524" s="41">
        <f t="shared" ca="1" si="71"/>
        <v>4.9454620064438544</v>
      </c>
    </row>
    <row r="525" spans="2:11" ht="15" customHeight="1" x14ac:dyDescent="0.35">
      <c r="B525" s="5">
        <v>504</v>
      </c>
      <c r="C525" s="39">
        <f t="shared" ca="1" si="63"/>
        <v>2.7330705055405473</v>
      </c>
      <c r="D525" s="40">
        <f t="shared" ca="1" si="64"/>
        <v>2635994496.0167217</v>
      </c>
      <c r="E525" s="40">
        <f t="shared" ca="1" si="65"/>
        <v>3188756834590.417</v>
      </c>
      <c r="F525" s="40">
        <f t="shared" ca="1" si="66"/>
        <v>4916830334499.3818</v>
      </c>
      <c r="G525" s="40">
        <f t="shared" ca="1" si="67"/>
        <v>30291033048636.23</v>
      </c>
      <c r="H525" s="40">
        <f t="shared" ca="1" si="68"/>
        <v>3188756834590.417</v>
      </c>
      <c r="I525" s="40">
        <f t="shared" ca="1" si="69"/>
        <v>5359917561326.917</v>
      </c>
      <c r="J525" s="40">
        <f t="shared" ca="1" si="70"/>
        <v>1283205405840.4758</v>
      </c>
      <c r="K525" s="41">
        <f t="shared" ca="1" si="71"/>
        <v>4.1769755153238854</v>
      </c>
    </row>
    <row r="526" spans="2:11" ht="15" customHeight="1" x14ac:dyDescent="0.35">
      <c r="B526" s="5">
        <v>505</v>
      </c>
      <c r="C526" s="39">
        <f t="shared" ca="1" si="63"/>
        <v>3.4120407151664374</v>
      </c>
      <c r="D526" s="40">
        <f t="shared" ca="1" si="64"/>
        <v>7422840787.6525068</v>
      </c>
      <c r="E526" s="40">
        <f t="shared" ca="1" si="65"/>
        <v>143662786433609.5</v>
      </c>
      <c r="F526" s="40">
        <f t="shared" ca="1" si="66"/>
        <v>11945910920773.617</v>
      </c>
      <c r="G526" s="40">
        <f t="shared" ca="1" si="67"/>
        <v>8908110651000.8652</v>
      </c>
      <c r="H526" s="40">
        <f t="shared" ca="1" si="68"/>
        <v>11945910920773.617</v>
      </c>
      <c r="I526" s="40">
        <f t="shared" ca="1" si="69"/>
        <v>26372535237190.195</v>
      </c>
      <c r="J526" s="40">
        <f t="shared" ca="1" si="70"/>
        <v>1305513322933.4021</v>
      </c>
      <c r="K526" s="41">
        <f t="shared" ca="1" si="71"/>
        <v>20.200893222547016</v>
      </c>
    </row>
    <row r="527" spans="2:11" ht="15" customHeight="1" x14ac:dyDescent="0.35">
      <c r="B527" s="5">
        <v>506</v>
      </c>
      <c r="C527" s="39">
        <f t="shared" ca="1" si="63"/>
        <v>3.4007346489686063</v>
      </c>
      <c r="D527" s="40">
        <f t="shared" ca="1" si="64"/>
        <v>10622201251.625231</v>
      </c>
      <c r="E527" s="40">
        <f t="shared" ca="1" si="65"/>
        <v>27587108149093.738</v>
      </c>
      <c r="F527" s="40">
        <f t="shared" ca="1" si="66"/>
        <v>1256041262885.5269</v>
      </c>
      <c r="G527" s="40">
        <f t="shared" ca="1" si="67"/>
        <v>374108336074.1366</v>
      </c>
      <c r="H527" s="40">
        <f t="shared" ca="1" si="68"/>
        <v>27587108149093.738</v>
      </c>
      <c r="I527" s="40">
        <f t="shared" ca="1" si="69"/>
        <v>2967405451881.3735</v>
      </c>
      <c r="J527" s="40">
        <f t="shared" ca="1" si="70"/>
        <v>619643258977.43896</v>
      </c>
      <c r="K527" s="41">
        <f t="shared" ca="1" si="71"/>
        <v>4.7888933009265839</v>
      </c>
    </row>
    <row r="528" spans="2:11" ht="15" customHeight="1" x14ac:dyDescent="0.35">
      <c r="B528" s="5">
        <v>507</v>
      </c>
      <c r="C528" s="39">
        <f t="shared" ca="1" si="63"/>
        <v>3.1036985312815579</v>
      </c>
      <c r="D528" s="40">
        <f t="shared" ca="1" si="64"/>
        <v>5580069231.4912357</v>
      </c>
      <c r="E528" s="40">
        <f t="shared" ca="1" si="65"/>
        <v>5910805606201.625</v>
      </c>
      <c r="F528" s="40">
        <f t="shared" ca="1" si="66"/>
        <v>1756129310465.9778</v>
      </c>
      <c r="G528" s="40">
        <f t="shared" ca="1" si="67"/>
        <v>13253689041673.1</v>
      </c>
      <c r="H528" s="40">
        <f t="shared" ca="1" si="68"/>
        <v>5910805606201.625</v>
      </c>
      <c r="I528" s="40">
        <f t="shared" ca="1" si="69"/>
        <v>4051070437432.7422</v>
      </c>
      <c r="J528" s="40">
        <f t="shared" ca="1" si="70"/>
        <v>630245335770.11304</v>
      </c>
      <c r="K528" s="41">
        <f t="shared" ca="1" si="71"/>
        <v>6.4277674224794294</v>
      </c>
    </row>
    <row r="529" spans="2:11" ht="15" customHeight="1" x14ac:dyDescent="0.35">
      <c r="B529" s="5">
        <v>508</v>
      </c>
      <c r="C529" s="39">
        <f t="shared" ca="1" si="63"/>
        <v>2.7530295917278922</v>
      </c>
      <c r="D529" s="40">
        <f t="shared" ca="1" si="64"/>
        <v>2858636286.9506607</v>
      </c>
      <c r="E529" s="40">
        <f t="shared" ca="1" si="65"/>
        <v>9932226404766.2617</v>
      </c>
      <c r="F529" s="40">
        <f t="shared" ca="1" si="66"/>
        <v>659507423527.27991</v>
      </c>
      <c r="G529" s="40">
        <f t="shared" ca="1" si="67"/>
        <v>10276657312133.895</v>
      </c>
      <c r="H529" s="40">
        <f t="shared" ca="1" si="68"/>
        <v>659507423527.27991</v>
      </c>
      <c r="I529" s="40">
        <f t="shared" ca="1" si="69"/>
        <v>51587752477617.867</v>
      </c>
      <c r="J529" s="40">
        <f t="shared" ca="1" si="70"/>
        <v>1452935161450.3347</v>
      </c>
      <c r="K529" s="41">
        <f t="shared" ca="1" si="71"/>
        <v>35.505887562196818</v>
      </c>
    </row>
    <row r="530" spans="2:11" ht="15" customHeight="1" x14ac:dyDescent="0.35">
      <c r="B530" s="5">
        <v>509</v>
      </c>
      <c r="C530" s="39">
        <f t="shared" ca="1" si="63"/>
        <v>2.6638914870406931</v>
      </c>
      <c r="D530" s="40">
        <f t="shared" ca="1" si="64"/>
        <v>2267465333.8910108</v>
      </c>
      <c r="E530" s="40">
        <f t="shared" ca="1" si="65"/>
        <v>4711909987072.1943</v>
      </c>
      <c r="F530" s="40">
        <f t="shared" ca="1" si="66"/>
        <v>709782878982.16736</v>
      </c>
      <c r="G530" s="40">
        <f t="shared" ca="1" si="67"/>
        <v>7563952089118.4902</v>
      </c>
      <c r="H530" s="40">
        <f t="shared" ca="1" si="68"/>
        <v>7563952089118.4902</v>
      </c>
      <c r="I530" s="40">
        <f t="shared" ca="1" si="69"/>
        <v>1277029138590.4329</v>
      </c>
      <c r="J530" s="40">
        <f t="shared" ca="1" si="70"/>
        <v>1720099056664.1873</v>
      </c>
      <c r="K530" s="41">
        <f t="shared" ca="1" si="71"/>
        <v>0.74241604496138369</v>
      </c>
    </row>
    <row r="531" spans="2:11" ht="15" customHeight="1" x14ac:dyDescent="0.35">
      <c r="B531" s="5">
        <v>510</v>
      </c>
      <c r="C531" s="39">
        <f t="shared" ca="1" si="63"/>
        <v>3.3866508391985506</v>
      </c>
      <c r="D531" s="40">
        <f t="shared" ca="1" si="64"/>
        <v>10364086933.611792</v>
      </c>
      <c r="E531" s="40">
        <f t="shared" ca="1" si="65"/>
        <v>16080557038696.254</v>
      </c>
      <c r="F531" s="40">
        <f t="shared" ca="1" si="66"/>
        <v>2169357606410.9001</v>
      </c>
      <c r="G531" s="40">
        <f t="shared" ca="1" si="67"/>
        <v>41624322638941.5</v>
      </c>
      <c r="H531" s="40">
        <f t="shared" ca="1" si="68"/>
        <v>16080557038696.254</v>
      </c>
      <c r="I531" s="40">
        <f t="shared" ca="1" si="69"/>
        <v>31197673915966.926</v>
      </c>
      <c r="J531" s="40">
        <f t="shared" ca="1" si="70"/>
        <v>1021775659059.3712</v>
      </c>
      <c r="K531" s="41">
        <f t="shared" ca="1" si="71"/>
        <v>30.532802028859209</v>
      </c>
    </row>
    <row r="532" spans="2:11" ht="15" customHeight="1" x14ac:dyDescent="0.35">
      <c r="B532" s="5">
        <v>511</v>
      </c>
      <c r="C532" s="39">
        <f t="shared" ca="1" si="63"/>
        <v>3.8206034058008602</v>
      </c>
      <c r="D532" s="40">
        <f t="shared" ca="1" si="64"/>
        <v>18575216098.68166</v>
      </c>
      <c r="E532" s="40">
        <f t="shared" ca="1" si="65"/>
        <v>61710516354003.016</v>
      </c>
      <c r="F532" s="40">
        <f t="shared" ca="1" si="66"/>
        <v>1157545283033.4602</v>
      </c>
      <c r="G532" s="40">
        <f t="shared" ca="1" si="67"/>
        <v>3208519774128.4678</v>
      </c>
      <c r="H532" s="40">
        <f t="shared" ca="1" si="68"/>
        <v>1157545283033.4602</v>
      </c>
      <c r="I532" s="40">
        <f t="shared" ca="1" si="69"/>
        <v>854884417416.99451</v>
      </c>
      <c r="J532" s="40">
        <f t="shared" ca="1" si="70"/>
        <v>811314239163.69299</v>
      </c>
      <c r="K532" s="41">
        <f t="shared" ca="1" si="71"/>
        <v>1.0537032091267298</v>
      </c>
    </row>
    <row r="533" spans="2:11" ht="15" customHeight="1" x14ac:dyDescent="0.35">
      <c r="B533" s="5">
        <v>512</v>
      </c>
      <c r="C533" s="39">
        <f t="shared" ca="1" si="63"/>
        <v>2.3923305788527665</v>
      </c>
      <c r="D533" s="40">
        <f t="shared" ca="1" si="64"/>
        <v>1479550879.267797</v>
      </c>
      <c r="E533" s="40">
        <f t="shared" ca="1" si="65"/>
        <v>3968267660740.9209</v>
      </c>
      <c r="F533" s="40">
        <f t="shared" ca="1" si="66"/>
        <v>701194610370.89966</v>
      </c>
      <c r="G533" s="40">
        <f t="shared" ca="1" si="67"/>
        <v>23547940517335.934</v>
      </c>
      <c r="H533" s="40">
        <f t="shared" ca="1" si="68"/>
        <v>701194610370.89966</v>
      </c>
      <c r="I533" s="40">
        <f t="shared" ca="1" si="69"/>
        <v>5853861790247.2979</v>
      </c>
      <c r="J533" s="40">
        <f t="shared" ca="1" si="70"/>
        <v>1343815727316.2058</v>
      </c>
      <c r="K533" s="41">
        <f t="shared" ca="1" si="71"/>
        <v>4.3561491886527524</v>
      </c>
    </row>
    <row r="534" spans="2:11" ht="15" customHeight="1" x14ac:dyDescent="0.35">
      <c r="B534" s="5">
        <v>513</v>
      </c>
      <c r="C534" s="39">
        <f t="shared" ref="C534:C597" ca="1" si="72">MEDIAN(1.8,NORMINV(RAND(),$C$7,$D$7),4.5)</f>
        <v>3.5386317401192162</v>
      </c>
      <c r="D534" s="40">
        <f t="shared" ref="D534:D597" ca="1" si="73">($C$8+RAND()*($D$8-$C$8))*C534^5</f>
        <v>11791557175.475136</v>
      </c>
      <c r="E534" s="40">
        <f t="shared" ref="E534:E597" ca="1" si="74">D534*($C$10+RAND()*($D$10-$C$10))*EXP(NORMINV(RAND(),$C$9,$D$9))*($C$11+RAND()*($D$11-$C$11))</f>
        <v>51994651258025.125</v>
      </c>
      <c r="F534" s="40">
        <f t="shared" ref="F534:F597" ca="1" si="75">EXP(NORMINV(RAND(),$C$12,$D$12))*EXP(NORMINV(RAND(),$C$13,$D$13))</f>
        <v>875653413668.30957</v>
      </c>
      <c r="G534" s="40">
        <f t="shared" ref="G534:G597" ca="1" si="76">EXP(NORMINV(RAND(),$C$14,$D$14))*($C$15+RAND()*($D$15-$C$15))*EXP(NORMINV(RAND(),$C$16,$D$16))/1000000*31536000</f>
        <v>9577044964990.4277</v>
      </c>
      <c r="H534" s="40">
        <f t="shared" ref="H534:H597" ca="1" si="77">CHOOSE(RANDBETWEEN(1,3),E534,F534,G534)</f>
        <v>51994651258025.125</v>
      </c>
      <c r="I534" s="40">
        <f t="shared" ref="I534:I597" ca="1" si="78">EXP(NORMINV(RAND(),$C$14,$D$14))*($C$15+RAND()*($D$15-$C$15))*60</f>
        <v>5686404654500.0498</v>
      </c>
      <c r="J534" s="40">
        <f t="shared" ref="J534:J597" ca="1" si="79">($C$17+RAND()*($D$17-$C$17))*($C$18+RAND()*($D$18-$C$18))</f>
        <v>564093598117.38245</v>
      </c>
      <c r="K534" s="41">
        <f t="shared" ref="K534:K597" ca="1" si="80">I534/J534</f>
        <v>10.080604838413294</v>
      </c>
    </row>
    <row r="535" spans="2:11" ht="15" customHeight="1" x14ac:dyDescent="0.35">
      <c r="B535" s="5">
        <v>514</v>
      </c>
      <c r="C535" s="39">
        <f t="shared" ca="1" si="72"/>
        <v>3.7685254276605327</v>
      </c>
      <c r="D535" s="40">
        <f t="shared" ca="1" si="73"/>
        <v>14933131487.252472</v>
      </c>
      <c r="E535" s="40">
        <f t="shared" ca="1" si="74"/>
        <v>58439572015180.398</v>
      </c>
      <c r="F535" s="40">
        <f t="shared" ca="1" si="75"/>
        <v>2577969094245.978</v>
      </c>
      <c r="G535" s="40">
        <f t="shared" ca="1" si="76"/>
        <v>29761970041549.398</v>
      </c>
      <c r="H535" s="40">
        <f t="shared" ca="1" si="77"/>
        <v>2577969094245.978</v>
      </c>
      <c r="I535" s="40">
        <f t="shared" ca="1" si="78"/>
        <v>2523462965241.0459</v>
      </c>
      <c r="J535" s="40">
        <f t="shared" ca="1" si="79"/>
        <v>1602816756821.7168</v>
      </c>
      <c r="K535" s="41">
        <f t="shared" ca="1" si="80"/>
        <v>1.5743926774542285</v>
      </c>
    </row>
    <row r="536" spans="2:11" ht="15" customHeight="1" x14ac:dyDescent="0.35">
      <c r="B536" s="5">
        <v>515</v>
      </c>
      <c r="C536" s="39">
        <f t="shared" ca="1" si="72"/>
        <v>3.4684124231716762</v>
      </c>
      <c r="D536" s="40">
        <f t="shared" ca="1" si="73"/>
        <v>10238484119.963535</v>
      </c>
      <c r="E536" s="40">
        <f t="shared" ca="1" si="74"/>
        <v>14001165540072.428</v>
      </c>
      <c r="F536" s="40">
        <f t="shared" ca="1" si="75"/>
        <v>4553356018596.0967</v>
      </c>
      <c r="G536" s="40">
        <f t="shared" ca="1" si="76"/>
        <v>3720682509127.4028</v>
      </c>
      <c r="H536" s="40">
        <f t="shared" ca="1" si="77"/>
        <v>14001165540072.428</v>
      </c>
      <c r="I536" s="40">
        <f t="shared" ca="1" si="78"/>
        <v>37069763094484.945</v>
      </c>
      <c r="J536" s="40">
        <f t="shared" ca="1" si="79"/>
        <v>1387849175512.8196</v>
      </c>
      <c r="K536" s="41">
        <f t="shared" ca="1" si="80"/>
        <v>26.710224531990242</v>
      </c>
    </row>
    <row r="537" spans="2:11" ht="15" customHeight="1" x14ac:dyDescent="0.35">
      <c r="B537" s="5">
        <v>516</v>
      </c>
      <c r="C537" s="39">
        <f t="shared" ca="1" si="72"/>
        <v>2.9785225429784079</v>
      </c>
      <c r="D537" s="40">
        <f t="shared" ca="1" si="73"/>
        <v>3883697889.1801181</v>
      </c>
      <c r="E537" s="40">
        <f t="shared" ca="1" si="74"/>
        <v>20071589213140</v>
      </c>
      <c r="F537" s="40">
        <f t="shared" ca="1" si="75"/>
        <v>1545800644094.6733</v>
      </c>
      <c r="G537" s="40">
        <f t="shared" ca="1" si="76"/>
        <v>116078496815061.63</v>
      </c>
      <c r="H537" s="40">
        <f t="shared" ca="1" si="77"/>
        <v>1545800644094.6733</v>
      </c>
      <c r="I537" s="40">
        <f t="shared" ca="1" si="78"/>
        <v>14102248896453.113</v>
      </c>
      <c r="J537" s="40">
        <f t="shared" ca="1" si="79"/>
        <v>1799806310166.4109</v>
      </c>
      <c r="K537" s="41">
        <f t="shared" ca="1" si="80"/>
        <v>7.8354258548794693</v>
      </c>
    </row>
    <row r="538" spans="2:11" ht="15" customHeight="1" x14ac:dyDescent="0.35">
      <c r="B538" s="5">
        <v>517</v>
      </c>
      <c r="C538" s="39">
        <f t="shared" ca="1" si="72"/>
        <v>2.7025585103190513</v>
      </c>
      <c r="D538" s="40">
        <f t="shared" ca="1" si="73"/>
        <v>2958509468.3281608</v>
      </c>
      <c r="E538" s="40">
        <f t="shared" ca="1" si="74"/>
        <v>11206908660358.852</v>
      </c>
      <c r="F538" s="40">
        <f t="shared" ca="1" si="75"/>
        <v>2714170477131.5039</v>
      </c>
      <c r="G538" s="40">
        <f t="shared" ca="1" si="76"/>
        <v>26462636803906.652</v>
      </c>
      <c r="H538" s="40">
        <f t="shared" ca="1" si="77"/>
        <v>2714170477131.5039</v>
      </c>
      <c r="I538" s="40">
        <f t="shared" ca="1" si="78"/>
        <v>49544645526132.484</v>
      </c>
      <c r="J538" s="40">
        <f t="shared" ca="1" si="79"/>
        <v>862452193304.23132</v>
      </c>
      <c r="K538" s="41">
        <f t="shared" ca="1" si="80"/>
        <v>57.446251410546921</v>
      </c>
    </row>
    <row r="539" spans="2:11" ht="15" customHeight="1" x14ac:dyDescent="0.35">
      <c r="B539" s="5">
        <v>518</v>
      </c>
      <c r="C539" s="39">
        <f t="shared" ca="1" si="72"/>
        <v>3.0112516459006704</v>
      </c>
      <c r="D539" s="40">
        <f t="shared" ca="1" si="73"/>
        <v>5426811163.3510561</v>
      </c>
      <c r="E539" s="40">
        <f t="shared" ca="1" si="74"/>
        <v>4916497422805.1182</v>
      </c>
      <c r="F539" s="40">
        <f t="shared" ca="1" si="75"/>
        <v>2914120121149.5146</v>
      </c>
      <c r="G539" s="40">
        <f t="shared" ca="1" si="76"/>
        <v>947038725298.88293</v>
      </c>
      <c r="H539" s="40">
        <f t="shared" ca="1" si="77"/>
        <v>4916497422805.1182</v>
      </c>
      <c r="I539" s="40">
        <f t="shared" ca="1" si="78"/>
        <v>18465155587206.109</v>
      </c>
      <c r="J539" s="40">
        <f t="shared" ca="1" si="79"/>
        <v>1512612260348.2107</v>
      </c>
      <c r="K539" s="41">
        <f t="shared" ca="1" si="80"/>
        <v>12.207461271638339</v>
      </c>
    </row>
    <row r="540" spans="2:11" ht="15" customHeight="1" x14ac:dyDescent="0.35">
      <c r="B540" s="5">
        <v>519</v>
      </c>
      <c r="C540" s="39">
        <f t="shared" ca="1" si="72"/>
        <v>3.4766977406155606</v>
      </c>
      <c r="D540" s="40">
        <f t="shared" ca="1" si="73"/>
        <v>10378017342.562855</v>
      </c>
      <c r="E540" s="40">
        <f t="shared" ca="1" si="74"/>
        <v>187148448017133.25</v>
      </c>
      <c r="F540" s="40">
        <f t="shared" ca="1" si="75"/>
        <v>20963752392668.395</v>
      </c>
      <c r="G540" s="40">
        <f t="shared" ca="1" si="76"/>
        <v>7286309994328.9434</v>
      </c>
      <c r="H540" s="40">
        <f t="shared" ca="1" si="77"/>
        <v>20963752392668.395</v>
      </c>
      <c r="I540" s="40">
        <f t="shared" ca="1" si="78"/>
        <v>8263270077588.4189</v>
      </c>
      <c r="J540" s="40">
        <f t="shared" ca="1" si="79"/>
        <v>889041615596.32849</v>
      </c>
      <c r="K540" s="41">
        <f t="shared" ca="1" si="80"/>
        <v>9.294581865041037</v>
      </c>
    </row>
    <row r="541" spans="2:11" ht="15" customHeight="1" x14ac:dyDescent="0.35">
      <c r="B541" s="5">
        <v>520</v>
      </c>
      <c r="C541" s="39">
        <f t="shared" ca="1" si="72"/>
        <v>3.408392470583113</v>
      </c>
      <c r="D541" s="40">
        <f t="shared" ca="1" si="73"/>
        <v>7918758013.4749937</v>
      </c>
      <c r="E541" s="40">
        <f t="shared" ca="1" si="74"/>
        <v>8147537901256.9512</v>
      </c>
      <c r="F541" s="40">
        <f t="shared" ca="1" si="75"/>
        <v>4087898990015.8667</v>
      </c>
      <c r="G541" s="40">
        <f t="shared" ca="1" si="76"/>
        <v>1685340372233.5667</v>
      </c>
      <c r="H541" s="40">
        <f t="shared" ca="1" si="77"/>
        <v>8147537901256.9512</v>
      </c>
      <c r="I541" s="40">
        <f t="shared" ca="1" si="78"/>
        <v>3942322186878.7153</v>
      </c>
      <c r="J541" s="40">
        <f t="shared" ca="1" si="79"/>
        <v>1243327791845.228</v>
      </c>
      <c r="K541" s="41">
        <f t="shared" ca="1" si="80"/>
        <v>3.170782646970272</v>
      </c>
    </row>
    <row r="542" spans="2:11" ht="15" customHeight="1" x14ac:dyDescent="0.35">
      <c r="B542" s="5">
        <v>521</v>
      </c>
      <c r="C542" s="39">
        <f t="shared" ca="1" si="72"/>
        <v>2.4904211931589639</v>
      </c>
      <c r="D542" s="40">
        <f t="shared" ca="1" si="73"/>
        <v>1548368873.7604783</v>
      </c>
      <c r="E542" s="40">
        <f t="shared" ca="1" si="74"/>
        <v>19445784945798.063</v>
      </c>
      <c r="F542" s="40">
        <f t="shared" ca="1" si="75"/>
        <v>851615914259.33826</v>
      </c>
      <c r="G542" s="40">
        <f t="shared" ca="1" si="76"/>
        <v>53082357534324.758</v>
      </c>
      <c r="H542" s="40">
        <f t="shared" ca="1" si="77"/>
        <v>53082357534324.758</v>
      </c>
      <c r="I542" s="40">
        <f t="shared" ca="1" si="78"/>
        <v>54877141575270.977</v>
      </c>
      <c r="J542" s="40">
        <f t="shared" ca="1" si="79"/>
        <v>1301579532905.0364</v>
      </c>
      <c r="K542" s="41">
        <f t="shared" ca="1" si="80"/>
        <v>42.161957980999404</v>
      </c>
    </row>
    <row r="543" spans="2:11" ht="15" customHeight="1" x14ac:dyDescent="0.35">
      <c r="B543" s="5">
        <v>522</v>
      </c>
      <c r="C543" s="39">
        <f t="shared" ca="1" si="72"/>
        <v>3.6296340323970711</v>
      </c>
      <c r="D543" s="40">
        <f t="shared" ca="1" si="73"/>
        <v>12615619711.391487</v>
      </c>
      <c r="E543" s="40">
        <f t="shared" ca="1" si="74"/>
        <v>43937367552940.18</v>
      </c>
      <c r="F543" s="40">
        <f t="shared" ca="1" si="75"/>
        <v>5782186525638.2295</v>
      </c>
      <c r="G543" s="40">
        <f t="shared" ca="1" si="76"/>
        <v>3573808111068.4634</v>
      </c>
      <c r="H543" s="40">
        <f t="shared" ca="1" si="77"/>
        <v>3573808111068.4634</v>
      </c>
      <c r="I543" s="40">
        <f t="shared" ca="1" si="78"/>
        <v>6457076053925.1826</v>
      </c>
      <c r="J543" s="40">
        <f t="shared" ca="1" si="79"/>
        <v>577801341650.27112</v>
      </c>
      <c r="K543" s="41">
        <f t="shared" ca="1" si="80"/>
        <v>11.175252787546297</v>
      </c>
    </row>
    <row r="544" spans="2:11" ht="15" customHeight="1" x14ac:dyDescent="0.35">
      <c r="B544" s="5">
        <v>523</v>
      </c>
      <c r="C544" s="39">
        <f t="shared" ca="1" si="72"/>
        <v>2.5281946194326892</v>
      </c>
      <c r="D544" s="40">
        <f t="shared" ca="1" si="73"/>
        <v>2251165257.7712417</v>
      </c>
      <c r="E544" s="40">
        <f t="shared" ca="1" si="74"/>
        <v>2694975902189.6382</v>
      </c>
      <c r="F544" s="40">
        <f t="shared" ca="1" si="75"/>
        <v>152734894784.87766</v>
      </c>
      <c r="G544" s="40">
        <f t="shared" ca="1" si="76"/>
        <v>6104880819461.0381</v>
      </c>
      <c r="H544" s="40">
        <f t="shared" ca="1" si="77"/>
        <v>6104880819461.0381</v>
      </c>
      <c r="I544" s="40">
        <f t="shared" ca="1" si="78"/>
        <v>10769724672799.262</v>
      </c>
      <c r="J544" s="40">
        <f t="shared" ca="1" si="79"/>
        <v>1504652635404.0784</v>
      </c>
      <c r="K544" s="41">
        <f t="shared" ca="1" si="80"/>
        <v>7.1576152657367489</v>
      </c>
    </row>
    <row r="545" spans="2:11" ht="15" customHeight="1" x14ac:dyDescent="0.35">
      <c r="B545" s="5">
        <v>524</v>
      </c>
      <c r="C545" s="39">
        <f t="shared" ca="1" si="72"/>
        <v>2.6579332536112479</v>
      </c>
      <c r="D545" s="40">
        <f t="shared" ca="1" si="73"/>
        <v>2125195172.2615097</v>
      </c>
      <c r="E545" s="40">
        <f t="shared" ca="1" si="74"/>
        <v>5300661652771.0078</v>
      </c>
      <c r="F545" s="40">
        <f t="shared" ca="1" si="75"/>
        <v>816609494602.51404</v>
      </c>
      <c r="G545" s="40">
        <f t="shared" ca="1" si="76"/>
        <v>18569968260395.34</v>
      </c>
      <c r="H545" s="40">
        <f t="shared" ca="1" si="77"/>
        <v>5300661652771.0078</v>
      </c>
      <c r="I545" s="40">
        <f t="shared" ca="1" si="78"/>
        <v>23091771871352.797</v>
      </c>
      <c r="J545" s="40">
        <f t="shared" ca="1" si="79"/>
        <v>1087225137373.6802</v>
      </c>
      <c r="K545" s="41">
        <f t="shared" ca="1" si="80"/>
        <v>21.239181359560614</v>
      </c>
    </row>
    <row r="546" spans="2:11" ht="15" customHeight="1" x14ac:dyDescent="0.35">
      <c r="B546" s="5">
        <v>525</v>
      </c>
      <c r="C546" s="39">
        <f t="shared" ca="1" si="72"/>
        <v>3.0249977545554363</v>
      </c>
      <c r="D546" s="40">
        <f t="shared" ca="1" si="73"/>
        <v>5747404712.1166735</v>
      </c>
      <c r="E546" s="40">
        <f t="shared" ca="1" si="74"/>
        <v>31520294522536.266</v>
      </c>
      <c r="F546" s="40">
        <f t="shared" ca="1" si="75"/>
        <v>4003327336843.624</v>
      </c>
      <c r="G546" s="40">
        <f t="shared" ca="1" si="76"/>
        <v>2585251668902.8828</v>
      </c>
      <c r="H546" s="40">
        <f t="shared" ca="1" si="77"/>
        <v>4003327336843.624</v>
      </c>
      <c r="I546" s="40">
        <f t="shared" ca="1" si="78"/>
        <v>2492499714216.0522</v>
      </c>
      <c r="J546" s="40">
        <f t="shared" ca="1" si="79"/>
        <v>1472310742962.2466</v>
      </c>
      <c r="K546" s="41">
        <f t="shared" ca="1" si="80"/>
        <v>1.6929168832940897</v>
      </c>
    </row>
    <row r="547" spans="2:11" ht="15" customHeight="1" x14ac:dyDescent="0.35">
      <c r="B547" s="5">
        <v>526</v>
      </c>
      <c r="C547" s="39">
        <f t="shared" ca="1" si="72"/>
        <v>3.1515971289794895</v>
      </c>
      <c r="D547" s="40">
        <f t="shared" ca="1" si="73"/>
        <v>6808203519.205596</v>
      </c>
      <c r="E547" s="40">
        <f t="shared" ca="1" si="74"/>
        <v>18479821518378.457</v>
      </c>
      <c r="F547" s="40">
        <f t="shared" ca="1" si="75"/>
        <v>523727927334.77014</v>
      </c>
      <c r="G547" s="40">
        <f t="shared" ca="1" si="76"/>
        <v>20649222039215.469</v>
      </c>
      <c r="H547" s="40">
        <f t="shared" ca="1" si="77"/>
        <v>18479821518378.457</v>
      </c>
      <c r="I547" s="40">
        <f t="shared" ca="1" si="78"/>
        <v>1471234859842.0757</v>
      </c>
      <c r="J547" s="40">
        <f t="shared" ca="1" si="79"/>
        <v>1317111449631.8926</v>
      </c>
      <c r="K547" s="41">
        <f t="shared" ca="1" si="80"/>
        <v>1.1170162253568274</v>
      </c>
    </row>
    <row r="548" spans="2:11" ht="15" customHeight="1" x14ac:dyDescent="0.35">
      <c r="B548" s="5">
        <v>527</v>
      </c>
      <c r="C548" s="39">
        <f t="shared" ca="1" si="72"/>
        <v>4.1267502618358138</v>
      </c>
      <c r="D548" s="40">
        <f t="shared" ca="1" si="73"/>
        <v>25746915841.201763</v>
      </c>
      <c r="E548" s="40">
        <f t="shared" ca="1" si="74"/>
        <v>179274036988001.94</v>
      </c>
      <c r="F548" s="40">
        <f t="shared" ca="1" si="75"/>
        <v>216090215384.66837</v>
      </c>
      <c r="G548" s="40">
        <f t="shared" ca="1" si="76"/>
        <v>38672417443076.461</v>
      </c>
      <c r="H548" s="40">
        <f t="shared" ca="1" si="77"/>
        <v>216090215384.66837</v>
      </c>
      <c r="I548" s="40">
        <f t="shared" ca="1" si="78"/>
        <v>9242516553996.5078</v>
      </c>
      <c r="J548" s="40">
        <f t="shared" ca="1" si="79"/>
        <v>1087540175050.3452</v>
      </c>
      <c r="K548" s="41">
        <f t="shared" ca="1" si="80"/>
        <v>8.4985518383894618</v>
      </c>
    </row>
    <row r="549" spans="2:11" ht="15" customHeight="1" x14ac:dyDescent="0.35">
      <c r="B549" s="5">
        <v>528</v>
      </c>
      <c r="C549" s="39">
        <f t="shared" ca="1" si="72"/>
        <v>3.0141475366909258</v>
      </c>
      <c r="D549" s="40">
        <f t="shared" ca="1" si="73"/>
        <v>5447350967.7473898</v>
      </c>
      <c r="E549" s="40">
        <f t="shared" ca="1" si="74"/>
        <v>5513122811769.0947</v>
      </c>
      <c r="F549" s="40">
        <f t="shared" ca="1" si="75"/>
        <v>1180235993409.1665</v>
      </c>
      <c r="G549" s="40">
        <f t="shared" ca="1" si="76"/>
        <v>1207600766048.7</v>
      </c>
      <c r="H549" s="40">
        <f t="shared" ca="1" si="77"/>
        <v>5513122811769.0947</v>
      </c>
      <c r="I549" s="40">
        <f t="shared" ca="1" si="78"/>
        <v>35944443803819.602</v>
      </c>
      <c r="J549" s="40">
        <f t="shared" ca="1" si="79"/>
        <v>873903153333.29553</v>
      </c>
      <c r="K549" s="41">
        <f t="shared" ca="1" si="80"/>
        <v>41.130923565978769</v>
      </c>
    </row>
    <row r="550" spans="2:11" ht="15" customHeight="1" x14ac:dyDescent="0.35">
      <c r="B550" s="5">
        <v>529</v>
      </c>
      <c r="C550" s="39">
        <f t="shared" ca="1" si="72"/>
        <v>2.3427987620333637</v>
      </c>
      <c r="D550" s="40">
        <f t="shared" ca="1" si="73"/>
        <v>1330296078.6120505</v>
      </c>
      <c r="E550" s="40">
        <f t="shared" ca="1" si="74"/>
        <v>18848611862825.555</v>
      </c>
      <c r="F550" s="40">
        <f t="shared" ca="1" si="75"/>
        <v>13448711146535.678</v>
      </c>
      <c r="G550" s="40">
        <f t="shared" ca="1" si="76"/>
        <v>6054129824915.9834</v>
      </c>
      <c r="H550" s="40">
        <f t="shared" ca="1" si="77"/>
        <v>6054129824915.9834</v>
      </c>
      <c r="I550" s="40">
        <f t="shared" ca="1" si="78"/>
        <v>108569722747125.09</v>
      </c>
      <c r="J550" s="40">
        <f t="shared" ca="1" si="79"/>
        <v>1228618196701.9404</v>
      </c>
      <c r="K550" s="41">
        <f t="shared" ca="1" si="80"/>
        <v>88.367340674723721</v>
      </c>
    </row>
    <row r="551" spans="2:11" ht="15" customHeight="1" x14ac:dyDescent="0.35">
      <c r="B551" s="5">
        <v>530</v>
      </c>
      <c r="C551" s="39">
        <f t="shared" ca="1" si="72"/>
        <v>2.5310098341932448</v>
      </c>
      <c r="D551" s="40">
        <f t="shared" ca="1" si="73"/>
        <v>1841265885.7792602</v>
      </c>
      <c r="E551" s="40">
        <f t="shared" ca="1" si="74"/>
        <v>4548290999497.167</v>
      </c>
      <c r="F551" s="40">
        <f t="shared" ca="1" si="75"/>
        <v>2248436889068.0747</v>
      </c>
      <c r="G551" s="40">
        <f t="shared" ca="1" si="76"/>
        <v>2362957770260.7876</v>
      </c>
      <c r="H551" s="40">
        <f t="shared" ca="1" si="77"/>
        <v>2362957770260.7876</v>
      </c>
      <c r="I551" s="40">
        <f t="shared" ca="1" si="78"/>
        <v>25347781165111.848</v>
      </c>
      <c r="J551" s="40">
        <f t="shared" ca="1" si="79"/>
        <v>1101013973843.4695</v>
      </c>
      <c r="K551" s="41">
        <f t="shared" ca="1" si="80"/>
        <v>23.022215673273124</v>
      </c>
    </row>
    <row r="552" spans="2:11" ht="15" customHeight="1" x14ac:dyDescent="0.35">
      <c r="B552" s="5">
        <v>531</v>
      </c>
      <c r="C552" s="39">
        <f t="shared" ca="1" si="72"/>
        <v>2.9248222340276482</v>
      </c>
      <c r="D552" s="40">
        <f t="shared" ca="1" si="73"/>
        <v>4604760639.7241621</v>
      </c>
      <c r="E552" s="40">
        <f t="shared" ca="1" si="74"/>
        <v>16820274071350.391</v>
      </c>
      <c r="F552" s="40">
        <f t="shared" ca="1" si="75"/>
        <v>11213590217874.328</v>
      </c>
      <c r="G552" s="40">
        <f t="shared" ca="1" si="76"/>
        <v>7278253090750.1191</v>
      </c>
      <c r="H552" s="40">
        <f t="shared" ca="1" si="77"/>
        <v>16820274071350.391</v>
      </c>
      <c r="I552" s="40">
        <f t="shared" ca="1" si="78"/>
        <v>4356217011582.604</v>
      </c>
      <c r="J552" s="40">
        <f t="shared" ca="1" si="79"/>
        <v>949638396187.42493</v>
      </c>
      <c r="K552" s="41">
        <f t="shared" ca="1" si="80"/>
        <v>4.5872376570616691</v>
      </c>
    </row>
    <row r="553" spans="2:11" ht="15" customHeight="1" x14ac:dyDescent="0.35">
      <c r="B553" s="5">
        <v>532</v>
      </c>
      <c r="C553" s="39">
        <f t="shared" ca="1" si="72"/>
        <v>3.0425666885819211</v>
      </c>
      <c r="D553" s="40">
        <f t="shared" ca="1" si="73"/>
        <v>5016442340.9732323</v>
      </c>
      <c r="E553" s="40">
        <f t="shared" ca="1" si="74"/>
        <v>8176939006933.71</v>
      </c>
      <c r="F553" s="40">
        <f t="shared" ca="1" si="75"/>
        <v>352831738294.13</v>
      </c>
      <c r="G553" s="40">
        <f t="shared" ca="1" si="76"/>
        <v>968985624499.89246</v>
      </c>
      <c r="H553" s="40">
        <f t="shared" ca="1" si="77"/>
        <v>968985624499.89246</v>
      </c>
      <c r="I553" s="40">
        <f t="shared" ca="1" si="78"/>
        <v>2425166033925.9912</v>
      </c>
      <c r="J553" s="40">
        <f t="shared" ca="1" si="79"/>
        <v>758956609822.72998</v>
      </c>
      <c r="K553" s="41">
        <f t="shared" ca="1" si="80"/>
        <v>3.195394838833328</v>
      </c>
    </row>
    <row r="554" spans="2:11" ht="15" customHeight="1" x14ac:dyDescent="0.35">
      <c r="B554" s="5">
        <v>533</v>
      </c>
      <c r="C554" s="39">
        <f t="shared" ca="1" si="72"/>
        <v>2.9607812505078717</v>
      </c>
      <c r="D554" s="40">
        <f t="shared" ca="1" si="73"/>
        <v>4227925742.3907957</v>
      </c>
      <c r="E554" s="40">
        <f t="shared" ca="1" si="74"/>
        <v>22508518438680.832</v>
      </c>
      <c r="F554" s="40">
        <f t="shared" ca="1" si="75"/>
        <v>461678713318.54297</v>
      </c>
      <c r="G554" s="40">
        <f t="shared" ca="1" si="76"/>
        <v>11096163734382.84</v>
      </c>
      <c r="H554" s="40">
        <f t="shared" ca="1" si="77"/>
        <v>11096163734382.84</v>
      </c>
      <c r="I554" s="40">
        <f t="shared" ca="1" si="78"/>
        <v>15834358133325.844</v>
      </c>
      <c r="J554" s="40">
        <f t="shared" ca="1" si="79"/>
        <v>830370137054.85437</v>
      </c>
      <c r="K554" s="41">
        <f t="shared" ca="1" si="80"/>
        <v>19.069036116215514</v>
      </c>
    </row>
    <row r="555" spans="2:11" ht="15" customHeight="1" x14ac:dyDescent="0.35">
      <c r="B555" s="5">
        <v>534</v>
      </c>
      <c r="C555" s="39">
        <f t="shared" ca="1" si="72"/>
        <v>2.6036227430549355</v>
      </c>
      <c r="D555" s="40">
        <f t="shared" ca="1" si="73"/>
        <v>2069165234.4474699</v>
      </c>
      <c r="E555" s="40">
        <f t="shared" ca="1" si="74"/>
        <v>4158472547294.2407</v>
      </c>
      <c r="F555" s="40">
        <f t="shared" ca="1" si="75"/>
        <v>1527388208768.7004</v>
      </c>
      <c r="G555" s="40">
        <f t="shared" ca="1" si="76"/>
        <v>10942067710113.346</v>
      </c>
      <c r="H555" s="40">
        <f t="shared" ca="1" si="77"/>
        <v>1527388208768.7004</v>
      </c>
      <c r="I555" s="40">
        <f t="shared" ca="1" si="78"/>
        <v>5778784915876.7988</v>
      </c>
      <c r="J555" s="40">
        <f t="shared" ca="1" si="79"/>
        <v>777593107760.87097</v>
      </c>
      <c r="K555" s="41">
        <f t="shared" ca="1" si="80"/>
        <v>7.4316308339166985</v>
      </c>
    </row>
    <row r="556" spans="2:11" ht="15" customHeight="1" x14ac:dyDescent="0.35">
      <c r="B556" s="5">
        <v>535</v>
      </c>
      <c r="C556" s="39">
        <f t="shared" ca="1" si="72"/>
        <v>2.5607246927805609</v>
      </c>
      <c r="D556" s="40">
        <f t="shared" ca="1" si="73"/>
        <v>2336169275.311511</v>
      </c>
      <c r="E556" s="40">
        <f t="shared" ca="1" si="74"/>
        <v>1152514684320.9375</v>
      </c>
      <c r="F556" s="40">
        <f t="shared" ca="1" si="75"/>
        <v>364189482566.21234</v>
      </c>
      <c r="G556" s="40">
        <f t="shared" ca="1" si="76"/>
        <v>1968973663604.7524</v>
      </c>
      <c r="H556" s="40">
        <f t="shared" ca="1" si="77"/>
        <v>1968973663604.7524</v>
      </c>
      <c r="I556" s="40">
        <f t="shared" ca="1" si="78"/>
        <v>5221826309612.7344</v>
      </c>
      <c r="J556" s="40">
        <f t="shared" ca="1" si="79"/>
        <v>1202422153915.6377</v>
      </c>
      <c r="K556" s="41">
        <f t="shared" ca="1" si="80"/>
        <v>4.3427562379885254</v>
      </c>
    </row>
    <row r="557" spans="2:11" ht="15" customHeight="1" x14ac:dyDescent="0.35">
      <c r="B557" s="5">
        <v>536</v>
      </c>
      <c r="C557" s="39">
        <f t="shared" ca="1" si="72"/>
        <v>3.2867532816100469</v>
      </c>
      <c r="D557" s="40">
        <f t="shared" ca="1" si="73"/>
        <v>7218036693.1764011</v>
      </c>
      <c r="E557" s="40">
        <f t="shared" ca="1" si="74"/>
        <v>21962305078892.438</v>
      </c>
      <c r="F557" s="40">
        <f t="shared" ca="1" si="75"/>
        <v>5014826589318.0264</v>
      </c>
      <c r="G557" s="40">
        <f t="shared" ca="1" si="76"/>
        <v>9304767644000.1797</v>
      </c>
      <c r="H557" s="40">
        <f t="shared" ca="1" si="77"/>
        <v>21962305078892.438</v>
      </c>
      <c r="I557" s="40">
        <f t="shared" ca="1" si="78"/>
        <v>41629269056320.703</v>
      </c>
      <c r="J557" s="40">
        <f t="shared" ca="1" si="79"/>
        <v>1874994722726.012</v>
      </c>
      <c r="K557" s="41">
        <f t="shared" ca="1" si="80"/>
        <v>22.20233931954585</v>
      </c>
    </row>
    <row r="558" spans="2:11" ht="15" customHeight="1" x14ac:dyDescent="0.35">
      <c r="B558" s="5">
        <v>537</v>
      </c>
      <c r="C558" s="39">
        <f t="shared" ca="1" si="72"/>
        <v>3.5956356476238724</v>
      </c>
      <c r="D558" s="40">
        <f t="shared" ca="1" si="73"/>
        <v>12996938955.58569</v>
      </c>
      <c r="E558" s="40">
        <f t="shared" ca="1" si="74"/>
        <v>73679333742855.375</v>
      </c>
      <c r="F558" s="40">
        <f t="shared" ca="1" si="75"/>
        <v>2562282179434.896</v>
      </c>
      <c r="G558" s="40">
        <f t="shared" ca="1" si="76"/>
        <v>4464832069314.1406</v>
      </c>
      <c r="H558" s="40">
        <f t="shared" ca="1" si="77"/>
        <v>73679333742855.375</v>
      </c>
      <c r="I558" s="40">
        <f t="shared" ca="1" si="78"/>
        <v>136139990665149.47</v>
      </c>
      <c r="J558" s="40">
        <f t="shared" ca="1" si="79"/>
        <v>800388098339.12085</v>
      </c>
      <c r="K558" s="41">
        <f t="shared" ca="1" si="80"/>
        <v>170.09247257380827</v>
      </c>
    </row>
    <row r="559" spans="2:11" ht="15" customHeight="1" x14ac:dyDescent="0.35">
      <c r="B559" s="5">
        <v>538</v>
      </c>
      <c r="C559" s="39">
        <f t="shared" ca="1" si="72"/>
        <v>2.7765704308703776</v>
      </c>
      <c r="D559" s="40">
        <f t="shared" ca="1" si="73"/>
        <v>3696639261.9499507</v>
      </c>
      <c r="E559" s="40">
        <f t="shared" ca="1" si="74"/>
        <v>6550657045225.8447</v>
      </c>
      <c r="F559" s="40">
        <f t="shared" ca="1" si="75"/>
        <v>21273732019434.785</v>
      </c>
      <c r="G559" s="40">
        <f t="shared" ca="1" si="76"/>
        <v>2603440965139.6489</v>
      </c>
      <c r="H559" s="40">
        <f t="shared" ca="1" si="77"/>
        <v>6550657045225.8447</v>
      </c>
      <c r="I559" s="40">
        <f t="shared" ca="1" si="78"/>
        <v>8384559617513.5801</v>
      </c>
      <c r="J559" s="40">
        <f t="shared" ca="1" si="79"/>
        <v>1452873968502.7363</v>
      </c>
      <c r="K559" s="41">
        <f t="shared" ca="1" si="80"/>
        <v>5.7710164813224054</v>
      </c>
    </row>
    <row r="560" spans="2:11" ht="15" customHeight="1" x14ac:dyDescent="0.35">
      <c r="B560" s="5">
        <v>539</v>
      </c>
      <c r="C560" s="39">
        <f t="shared" ca="1" si="72"/>
        <v>2.72031811729045</v>
      </c>
      <c r="D560" s="40">
        <f t="shared" ca="1" si="73"/>
        <v>3058129033.6705437</v>
      </c>
      <c r="E560" s="40">
        <f t="shared" ca="1" si="74"/>
        <v>35914370067922.539</v>
      </c>
      <c r="F560" s="40">
        <f t="shared" ca="1" si="75"/>
        <v>2434064070429.7441</v>
      </c>
      <c r="G560" s="40">
        <f t="shared" ca="1" si="76"/>
        <v>2261343499716.1396</v>
      </c>
      <c r="H560" s="40">
        <f t="shared" ca="1" si="77"/>
        <v>35914370067922.539</v>
      </c>
      <c r="I560" s="40">
        <f t="shared" ca="1" si="78"/>
        <v>32173069465285.617</v>
      </c>
      <c r="J560" s="40">
        <f t="shared" ca="1" si="79"/>
        <v>1321950155151.1643</v>
      </c>
      <c r="K560" s="41">
        <f t="shared" ca="1" si="80"/>
        <v>24.337581367889506</v>
      </c>
    </row>
    <row r="561" spans="2:11" ht="15" customHeight="1" x14ac:dyDescent="0.35">
      <c r="B561" s="5">
        <v>540</v>
      </c>
      <c r="C561" s="39">
        <f t="shared" ca="1" si="72"/>
        <v>3.3422308655809356</v>
      </c>
      <c r="D561" s="40">
        <f t="shared" ca="1" si="73"/>
        <v>6885695474.9476938</v>
      </c>
      <c r="E561" s="40">
        <f t="shared" ca="1" si="74"/>
        <v>7739869053389.7949</v>
      </c>
      <c r="F561" s="40">
        <f t="shared" ca="1" si="75"/>
        <v>6581843908478.3311</v>
      </c>
      <c r="G561" s="40">
        <f t="shared" ca="1" si="76"/>
        <v>11793393161609.373</v>
      </c>
      <c r="H561" s="40">
        <f t="shared" ca="1" si="77"/>
        <v>7739869053389.7949</v>
      </c>
      <c r="I561" s="40">
        <f t="shared" ca="1" si="78"/>
        <v>60274378162444.242</v>
      </c>
      <c r="J561" s="40">
        <f t="shared" ca="1" si="79"/>
        <v>1414332626070.8904</v>
      </c>
      <c r="K561" s="41">
        <f t="shared" ca="1" si="80"/>
        <v>42.616833587365129</v>
      </c>
    </row>
    <row r="562" spans="2:11" ht="15" customHeight="1" x14ac:dyDescent="0.35">
      <c r="B562" s="5">
        <v>541</v>
      </c>
      <c r="C562" s="39">
        <f t="shared" ca="1" si="72"/>
        <v>2.5361346561482323</v>
      </c>
      <c r="D562" s="40">
        <f t="shared" ca="1" si="73"/>
        <v>2247210246.7371817</v>
      </c>
      <c r="E562" s="40">
        <f t="shared" ca="1" si="74"/>
        <v>5896573777976.4414</v>
      </c>
      <c r="F562" s="40">
        <f t="shared" ca="1" si="75"/>
        <v>1664344178932.2832</v>
      </c>
      <c r="G562" s="40">
        <f t="shared" ca="1" si="76"/>
        <v>13746479257897.623</v>
      </c>
      <c r="H562" s="40">
        <f t="shared" ca="1" si="77"/>
        <v>1664344178932.2832</v>
      </c>
      <c r="I562" s="40">
        <f t="shared" ca="1" si="78"/>
        <v>10697040850339.332</v>
      </c>
      <c r="J562" s="40">
        <f t="shared" ca="1" si="79"/>
        <v>996247894204.91321</v>
      </c>
      <c r="K562" s="41">
        <f t="shared" ca="1" si="80"/>
        <v>10.737328442612609</v>
      </c>
    </row>
    <row r="563" spans="2:11" ht="15" customHeight="1" x14ac:dyDescent="0.35">
      <c r="B563" s="5">
        <v>542</v>
      </c>
      <c r="C563" s="39">
        <f t="shared" ca="1" si="72"/>
        <v>2.6026607237494259</v>
      </c>
      <c r="D563" s="40">
        <f t="shared" ca="1" si="73"/>
        <v>2190248011.2067719</v>
      </c>
      <c r="E563" s="40">
        <f t="shared" ca="1" si="74"/>
        <v>16453763827689.088</v>
      </c>
      <c r="F563" s="40">
        <f t="shared" ca="1" si="75"/>
        <v>2888731369079.6187</v>
      </c>
      <c r="G563" s="40">
        <f t="shared" ca="1" si="76"/>
        <v>19752736784337.398</v>
      </c>
      <c r="H563" s="40">
        <f t="shared" ca="1" si="77"/>
        <v>16453763827689.088</v>
      </c>
      <c r="I563" s="40">
        <f t="shared" ca="1" si="78"/>
        <v>16440669428175.66</v>
      </c>
      <c r="J563" s="40">
        <f t="shared" ca="1" si="79"/>
        <v>982370270676.93201</v>
      </c>
      <c r="K563" s="41">
        <f t="shared" ca="1" si="80"/>
        <v>16.735715563589601</v>
      </c>
    </row>
    <row r="564" spans="2:11" ht="15" customHeight="1" x14ac:dyDescent="0.35">
      <c r="B564" s="5">
        <v>543</v>
      </c>
      <c r="C564" s="39">
        <f t="shared" ca="1" si="72"/>
        <v>3.2083646398388126</v>
      </c>
      <c r="D564" s="40">
        <f t="shared" ca="1" si="73"/>
        <v>7416434840.5217772</v>
      </c>
      <c r="E564" s="40">
        <f t="shared" ca="1" si="74"/>
        <v>94963188227649.875</v>
      </c>
      <c r="F564" s="40">
        <f t="shared" ca="1" si="75"/>
        <v>911282837852.71362</v>
      </c>
      <c r="G564" s="40">
        <f t="shared" ca="1" si="76"/>
        <v>985141164106.10974</v>
      </c>
      <c r="H564" s="40">
        <f t="shared" ca="1" si="77"/>
        <v>985141164106.10974</v>
      </c>
      <c r="I564" s="40">
        <f t="shared" ca="1" si="78"/>
        <v>3359146657238.1396</v>
      </c>
      <c r="J564" s="40">
        <f t="shared" ca="1" si="79"/>
        <v>643564985980.91248</v>
      </c>
      <c r="K564" s="41">
        <f t="shared" ca="1" si="80"/>
        <v>5.2195920076636497</v>
      </c>
    </row>
    <row r="565" spans="2:11" ht="15" customHeight="1" x14ac:dyDescent="0.35">
      <c r="B565" s="5">
        <v>544</v>
      </c>
      <c r="C565" s="39">
        <f t="shared" ca="1" si="72"/>
        <v>3.0876244735620544</v>
      </c>
      <c r="D565" s="40">
        <f t="shared" ca="1" si="73"/>
        <v>5423534265.3729696</v>
      </c>
      <c r="E565" s="40">
        <f t="shared" ca="1" si="74"/>
        <v>67626272058103.258</v>
      </c>
      <c r="F565" s="40">
        <f t="shared" ca="1" si="75"/>
        <v>3670981273950.4492</v>
      </c>
      <c r="G565" s="40">
        <f t="shared" ca="1" si="76"/>
        <v>15602685011777.637</v>
      </c>
      <c r="H565" s="40">
        <f t="shared" ca="1" si="77"/>
        <v>67626272058103.258</v>
      </c>
      <c r="I565" s="40">
        <f t="shared" ca="1" si="78"/>
        <v>6946222297392.6055</v>
      </c>
      <c r="J565" s="40">
        <f t="shared" ca="1" si="79"/>
        <v>1079232680455.0444</v>
      </c>
      <c r="K565" s="41">
        <f t="shared" ca="1" si="80"/>
        <v>6.4362601533376669</v>
      </c>
    </row>
    <row r="566" spans="2:11" ht="15" customHeight="1" x14ac:dyDescent="0.35">
      <c r="B566" s="5">
        <v>545</v>
      </c>
      <c r="C566" s="39">
        <f t="shared" ca="1" si="72"/>
        <v>3.1331333958699354</v>
      </c>
      <c r="D566" s="40">
        <f t="shared" ca="1" si="73"/>
        <v>5312064820.2085276</v>
      </c>
      <c r="E566" s="40">
        <f t="shared" ca="1" si="74"/>
        <v>30542347268576.59</v>
      </c>
      <c r="F566" s="40">
        <f t="shared" ca="1" si="75"/>
        <v>1959170752684.2769</v>
      </c>
      <c r="G566" s="40">
        <f t="shared" ca="1" si="76"/>
        <v>894670327986.18579</v>
      </c>
      <c r="H566" s="40">
        <f t="shared" ca="1" si="77"/>
        <v>1959170752684.2769</v>
      </c>
      <c r="I566" s="40">
        <f t="shared" ca="1" si="78"/>
        <v>1669094505942.6594</v>
      </c>
      <c r="J566" s="40">
        <f t="shared" ca="1" si="79"/>
        <v>1384164652186.3203</v>
      </c>
      <c r="K566" s="41">
        <f t="shared" ca="1" si="80"/>
        <v>1.205849682193723</v>
      </c>
    </row>
    <row r="567" spans="2:11" ht="15" customHeight="1" x14ac:dyDescent="0.35">
      <c r="B567" s="5">
        <v>546</v>
      </c>
      <c r="C567" s="39">
        <f t="shared" ca="1" si="72"/>
        <v>3.6008500704910436</v>
      </c>
      <c r="D567" s="40">
        <f t="shared" ca="1" si="73"/>
        <v>13496086798.032803</v>
      </c>
      <c r="E567" s="40">
        <f t="shared" ca="1" si="74"/>
        <v>31777844151531.422</v>
      </c>
      <c r="F567" s="40">
        <f t="shared" ca="1" si="75"/>
        <v>716075464784.24609</v>
      </c>
      <c r="G567" s="40">
        <f t="shared" ca="1" si="76"/>
        <v>1349191461830.613</v>
      </c>
      <c r="H567" s="40">
        <f t="shared" ca="1" si="77"/>
        <v>1349191461830.613</v>
      </c>
      <c r="I567" s="40">
        <f t="shared" ca="1" si="78"/>
        <v>46400572685359.797</v>
      </c>
      <c r="J567" s="40">
        <f t="shared" ca="1" si="79"/>
        <v>1663622724338.6694</v>
      </c>
      <c r="K567" s="41">
        <f t="shared" ca="1" si="80"/>
        <v>27.891283285881514</v>
      </c>
    </row>
    <row r="568" spans="2:11" ht="15" customHeight="1" x14ac:dyDescent="0.35">
      <c r="B568" s="5">
        <v>547</v>
      </c>
      <c r="C568" s="39">
        <f t="shared" ca="1" si="72"/>
        <v>3.0911801047889904</v>
      </c>
      <c r="D568" s="40">
        <f t="shared" ca="1" si="73"/>
        <v>5969381837.9781704</v>
      </c>
      <c r="E568" s="40">
        <f t="shared" ca="1" si="74"/>
        <v>28856933651419.773</v>
      </c>
      <c r="F568" s="40">
        <f t="shared" ca="1" si="75"/>
        <v>1557662293725.5557</v>
      </c>
      <c r="G568" s="40">
        <f t="shared" ca="1" si="76"/>
        <v>1073629047855.8013</v>
      </c>
      <c r="H568" s="40">
        <f t="shared" ca="1" si="77"/>
        <v>28856933651419.773</v>
      </c>
      <c r="I568" s="40">
        <f t="shared" ca="1" si="78"/>
        <v>46368315585820.688</v>
      </c>
      <c r="J568" s="40">
        <f t="shared" ca="1" si="79"/>
        <v>1224933025858.7463</v>
      </c>
      <c r="K568" s="41">
        <f t="shared" ca="1" si="80"/>
        <v>37.853755762127413</v>
      </c>
    </row>
    <row r="569" spans="2:11" ht="15" customHeight="1" x14ac:dyDescent="0.35">
      <c r="B569" s="5">
        <v>548</v>
      </c>
      <c r="C569" s="39">
        <f t="shared" ca="1" si="72"/>
        <v>2.6724883828553772</v>
      </c>
      <c r="D569" s="40">
        <f t="shared" ca="1" si="73"/>
        <v>2882677929.1484456</v>
      </c>
      <c r="E569" s="40">
        <f t="shared" ca="1" si="74"/>
        <v>12264385780497.588</v>
      </c>
      <c r="F569" s="40">
        <f t="shared" ca="1" si="75"/>
        <v>9347142876580.4414</v>
      </c>
      <c r="G569" s="40">
        <f t="shared" ca="1" si="76"/>
        <v>272481583526.23621</v>
      </c>
      <c r="H569" s="40">
        <f t="shared" ca="1" si="77"/>
        <v>272481583526.23621</v>
      </c>
      <c r="I569" s="40">
        <f t="shared" ca="1" si="78"/>
        <v>1301580736708.5745</v>
      </c>
      <c r="J569" s="40">
        <f t="shared" ca="1" si="79"/>
        <v>1136625004107.302</v>
      </c>
      <c r="K569" s="41">
        <f t="shared" ca="1" si="80"/>
        <v>1.1451276648016622</v>
      </c>
    </row>
    <row r="570" spans="2:11" ht="15" customHeight="1" x14ac:dyDescent="0.35">
      <c r="B570" s="5">
        <v>549</v>
      </c>
      <c r="C570" s="39">
        <f t="shared" ca="1" si="72"/>
        <v>2.8426210888238033</v>
      </c>
      <c r="D570" s="40">
        <f t="shared" ca="1" si="73"/>
        <v>4426592209.7568445</v>
      </c>
      <c r="E570" s="40">
        <f t="shared" ca="1" si="74"/>
        <v>13160073008083.234</v>
      </c>
      <c r="F570" s="40">
        <f t="shared" ca="1" si="75"/>
        <v>14751233669434.855</v>
      </c>
      <c r="G570" s="40">
        <f t="shared" ca="1" si="76"/>
        <v>7049511701339.9883</v>
      </c>
      <c r="H570" s="40">
        <f t="shared" ca="1" si="77"/>
        <v>7049511701339.9883</v>
      </c>
      <c r="I570" s="40">
        <f t="shared" ca="1" si="78"/>
        <v>54416428087819.195</v>
      </c>
      <c r="J570" s="40">
        <f t="shared" ca="1" si="79"/>
        <v>704640517671.91626</v>
      </c>
      <c r="K570" s="41">
        <f t="shared" ca="1" si="80"/>
        <v>77.225800565098538</v>
      </c>
    </row>
    <row r="571" spans="2:11" ht="15" customHeight="1" x14ac:dyDescent="0.35">
      <c r="B571" s="5">
        <v>550</v>
      </c>
      <c r="C571" s="39">
        <f t="shared" ca="1" si="72"/>
        <v>3.2716257847686832</v>
      </c>
      <c r="D571" s="40">
        <f t="shared" ca="1" si="73"/>
        <v>6372716554.9501638</v>
      </c>
      <c r="E571" s="40">
        <f t="shared" ca="1" si="74"/>
        <v>15777607883621.756</v>
      </c>
      <c r="F571" s="40">
        <f t="shared" ca="1" si="75"/>
        <v>1168216060058.1108</v>
      </c>
      <c r="G571" s="40">
        <f t="shared" ca="1" si="76"/>
        <v>1082174118920.4553</v>
      </c>
      <c r="H571" s="40">
        <f t="shared" ca="1" si="77"/>
        <v>15777607883621.756</v>
      </c>
      <c r="I571" s="40">
        <f t="shared" ca="1" si="78"/>
        <v>5567499220490.7471</v>
      </c>
      <c r="J571" s="40">
        <f t="shared" ca="1" si="79"/>
        <v>1074176537687.7578</v>
      </c>
      <c r="K571" s="41">
        <f t="shared" ca="1" si="80"/>
        <v>5.1830393097909111</v>
      </c>
    </row>
    <row r="572" spans="2:11" ht="15" customHeight="1" x14ac:dyDescent="0.35">
      <c r="B572" s="5">
        <v>551</v>
      </c>
      <c r="C572" s="39">
        <f t="shared" ca="1" si="72"/>
        <v>3.588627800599375</v>
      </c>
      <c r="D572" s="40">
        <f t="shared" ca="1" si="73"/>
        <v>9713766228.6409149</v>
      </c>
      <c r="E572" s="40">
        <f t="shared" ca="1" si="74"/>
        <v>43420771149292.117</v>
      </c>
      <c r="F572" s="40">
        <f t="shared" ca="1" si="75"/>
        <v>3576801718154.7144</v>
      </c>
      <c r="G572" s="40">
        <f t="shared" ca="1" si="76"/>
        <v>26262506242328.09</v>
      </c>
      <c r="H572" s="40">
        <f t="shared" ca="1" si="77"/>
        <v>3576801718154.7144</v>
      </c>
      <c r="I572" s="40">
        <f t="shared" ca="1" si="78"/>
        <v>2321549835216.9912</v>
      </c>
      <c r="J572" s="40">
        <f t="shared" ca="1" si="79"/>
        <v>1638584874934.3582</v>
      </c>
      <c r="K572" s="41">
        <f t="shared" ca="1" si="80"/>
        <v>1.4168016992772454</v>
      </c>
    </row>
    <row r="573" spans="2:11" ht="15" customHeight="1" x14ac:dyDescent="0.35">
      <c r="B573" s="5">
        <v>552</v>
      </c>
      <c r="C573" s="39">
        <f t="shared" ca="1" si="72"/>
        <v>2.8314133925106129</v>
      </c>
      <c r="D573" s="40">
        <f t="shared" ca="1" si="73"/>
        <v>3757402911.8536887</v>
      </c>
      <c r="E573" s="40">
        <f t="shared" ca="1" si="74"/>
        <v>3282501807431.9839</v>
      </c>
      <c r="F573" s="40">
        <f t="shared" ca="1" si="75"/>
        <v>474247267596.83838</v>
      </c>
      <c r="G573" s="40">
        <f t="shared" ca="1" si="76"/>
        <v>124647227532.94466</v>
      </c>
      <c r="H573" s="40">
        <f t="shared" ca="1" si="77"/>
        <v>124647227532.94466</v>
      </c>
      <c r="I573" s="40">
        <f t="shared" ca="1" si="78"/>
        <v>40718967315788.141</v>
      </c>
      <c r="J573" s="40">
        <f t="shared" ca="1" si="79"/>
        <v>507278696602.64301</v>
      </c>
      <c r="K573" s="41">
        <f t="shared" ca="1" si="80"/>
        <v>80.269421106173041</v>
      </c>
    </row>
    <row r="574" spans="2:11" ht="15" customHeight="1" x14ac:dyDescent="0.35">
      <c r="B574" s="5">
        <v>553</v>
      </c>
      <c r="C574" s="39">
        <f t="shared" ca="1" si="72"/>
        <v>3.4954233560794781</v>
      </c>
      <c r="D574" s="40">
        <f t="shared" ca="1" si="73"/>
        <v>11118525046.596277</v>
      </c>
      <c r="E574" s="40">
        <f t="shared" ca="1" si="74"/>
        <v>11028232568681.713</v>
      </c>
      <c r="F574" s="40">
        <f t="shared" ca="1" si="75"/>
        <v>261324469765.75153</v>
      </c>
      <c r="G574" s="40">
        <f t="shared" ca="1" si="76"/>
        <v>9904799049941.0566</v>
      </c>
      <c r="H574" s="40">
        <f t="shared" ca="1" si="77"/>
        <v>9904799049941.0566</v>
      </c>
      <c r="I574" s="40">
        <f t="shared" ca="1" si="78"/>
        <v>12679583451130.377</v>
      </c>
      <c r="J574" s="40">
        <f t="shared" ca="1" si="79"/>
        <v>1016536132394.2242</v>
      </c>
      <c r="K574" s="41">
        <f t="shared" ca="1" si="80"/>
        <v>12.473322931735289</v>
      </c>
    </row>
    <row r="575" spans="2:11" ht="15" customHeight="1" x14ac:dyDescent="0.35">
      <c r="B575" s="5">
        <v>554</v>
      </c>
      <c r="C575" s="39">
        <f t="shared" ca="1" si="72"/>
        <v>3.2996531008417684</v>
      </c>
      <c r="D575" s="40">
        <f t="shared" ca="1" si="73"/>
        <v>7473323333.5968122</v>
      </c>
      <c r="E575" s="40">
        <f t="shared" ca="1" si="74"/>
        <v>42990326426788.688</v>
      </c>
      <c r="F575" s="40">
        <f t="shared" ca="1" si="75"/>
        <v>33384539228374.477</v>
      </c>
      <c r="G575" s="40">
        <f t="shared" ca="1" si="76"/>
        <v>12815991970692.434</v>
      </c>
      <c r="H575" s="40">
        <f t="shared" ca="1" si="77"/>
        <v>42990326426788.688</v>
      </c>
      <c r="I575" s="40">
        <f t="shared" ca="1" si="78"/>
        <v>12878636101587.705</v>
      </c>
      <c r="J575" s="40">
        <f t="shared" ca="1" si="79"/>
        <v>893311095986.28589</v>
      </c>
      <c r="K575" s="41">
        <f t="shared" ca="1" si="80"/>
        <v>14.416742565330699</v>
      </c>
    </row>
    <row r="576" spans="2:11" ht="15" customHeight="1" x14ac:dyDescent="0.35">
      <c r="B576" s="5">
        <v>555</v>
      </c>
      <c r="C576" s="39">
        <f t="shared" ca="1" si="72"/>
        <v>1.9482536876848373</v>
      </c>
      <c r="D576" s="40">
        <f t="shared" ca="1" si="73"/>
        <v>512774926.71848482</v>
      </c>
      <c r="E576" s="40">
        <f t="shared" ca="1" si="74"/>
        <v>1291271603743.2788</v>
      </c>
      <c r="F576" s="40">
        <f t="shared" ca="1" si="75"/>
        <v>693198041240.86353</v>
      </c>
      <c r="G576" s="40">
        <f t="shared" ca="1" si="76"/>
        <v>73863521073936.656</v>
      </c>
      <c r="H576" s="40">
        <f t="shared" ca="1" si="77"/>
        <v>693198041240.86353</v>
      </c>
      <c r="I576" s="40">
        <f t="shared" ca="1" si="78"/>
        <v>18055192747831.969</v>
      </c>
      <c r="J576" s="40">
        <f t="shared" ca="1" si="79"/>
        <v>848496616703.5791</v>
      </c>
      <c r="K576" s="41">
        <f t="shared" ca="1" si="80"/>
        <v>21.279039176345378</v>
      </c>
    </row>
    <row r="577" spans="2:11" ht="15" customHeight="1" x14ac:dyDescent="0.35">
      <c r="B577" s="5">
        <v>556</v>
      </c>
      <c r="C577" s="39">
        <f t="shared" ca="1" si="72"/>
        <v>3.3742256747603134</v>
      </c>
      <c r="D577" s="40">
        <f t="shared" ca="1" si="73"/>
        <v>10353340666.583855</v>
      </c>
      <c r="E577" s="40">
        <f t="shared" ca="1" si="74"/>
        <v>48812522025777.578</v>
      </c>
      <c r="F577" s="40">
        <f t="shared" ca="1" si="75"/>
        <v>6568932596478.5674</v>
      </c>
      <c r="G577" s="40">
        <f t="shared" ca="1" si="76"/>
        <v>41608490620043.906</v>
      </c>
      <c r="H577" s="40">
        <f t="shared" ca="1" si="77"/>
        <v>48812522025777.578</v>
      </c>
      <c r="I577" s="40">
        <f t="shared" ca="1" si="78"/>
        <v>5314326104972.1553</v>
      </c>
      <c r="J577" s="40">
        <f t="shared" ca="1" si="79"/>
        <v>508301235259.36841</v>
      </c>
      <c r="K577" s="41">
        <f t="shared" ca="1" si="80"/>
        <v>10.455072182266958</v>
      </c>
    </row>
    <row r="578" spans="2:11" ht="15" customHeight="1" x14ac:dyDescent="0.35">
      <c r="B578" s="5">
        <v>557</v>
      </c>
      <c r="C578" s="39">
        <f t="shared" ca="1" si="72"/>
        <v>2.9132767518124374</v>
      </c>
      <c r="D578" s="40">
        <f t="shared" ca="1" si="73"/>
        <v>4443694378.5323601</v>
      </c>
      <c r="E578" s="40">
        <f t="shared" ca="1" si="74"/>
        <v>47607837462437.023</v>
      </c>
      <c r="F578" s="40">
        <f t="shared" ca="1" si="75"/>
        <v>1374178566383.4358</v>
      </c>
      <c r="G578" s="40">
        <f t="shared" ca="1" si="76"/>
        <v>1486496704595.1567</v>
      </c>
      <c r="H578" s="40">
        <f t="shared" ca="1" si="77"/>
        <v>1374178566383.4358</v>
      </c>
      <c r="I578" s="40">
        <f t="shared" ca="1" si="78"/>
        <v>7995487662893.7354</v>
      </c>
      <c r="J578" s="40">
        <f t="shared" ca="1" si="79"/>
        <v>1533489301945.6555</v>
      </c>
      <c r="K578" s="41">
        <f t="shared" ca="1" si="80"/>
        <v>5.2139181230343414</v>
      </c>
    </row>
    <row r="579" spans="2:11" ht="15" customHeight="1" x14ac:dyDescent="0.35">
      <c r="B579" s="5">
        <v>558</v>
      </c>
      <c r="C579" s="39">
        <f t="shared" ca="1" si="72"/>
        <v>2.4754857595915283</v>
      </c>
      <c r="D579" s="40">
        <f t="shared" ca="1" si="73"/>
        <v>2107578783.1831205</v>
      </c>
      <c r="E579" s="40">
        <f t="shared" ca="1" si="74"/>
        <v>9632561414296.3574</v>
      </c>
      <c r="F579" s="40">
        <f t="shared" ca="1" si="75"/>
        <v>1302627082103.0486</v>
      </c>
      <c r="G579" s="40">
        <f t="shared" ca="1" si="76"/>
        <v>3471854878384.937</v>
      </c>
      <c r="H579" s="40">
        <f t="shared" ca="1" si="77"/>
        <v>3471854878384.937</v>
      </c>
      <c r="I579" s="40">
        <f t="shared" ca="1" si="78"/>
        <v>8437555771377.6582</v>
      </c>
      <c r="J579" s="40">
        <f t="shared" ca="1" si="79"/>
        <v>911634581563.87842</v>
      </c>
      <c r="K579" s="41">
        <f t="shared" ca="1" si="80"/>
        <v>9.2554143315881188</v>
      </c>
    </row>
    <row r="580" spans="2:11" ht="15" customHeight="1" x14ac:dyDescent="0.35">
      <c r="B580" s="5">
        <v>559</v>
      </c>
      <c r="C580" s="39">
        <f t="shared" ca="1" si="72"/>
        <v>3.3112738157643991</v>
      </c>
      <c r="D580" s="40">
        <f t="shared" ca="1" si="73"/>
        <v>8219503476.0785265</v>
      </c>
      <c r="E580" s="40">
        <f t="shared" ca="1" si="74"/>
        <v>84377314362217.922</v>
      </c>
      <c r="F580" s="40">
        <f t="shared" ca="1" si="75"/>
        <v>2279547912631.2764</v>
      </c>
      <c r="G580" s="40">
        <f t="shared" ca="1" si="76"/>
        <v>14865305312973.855</v>
      </c>
      <c r="H580" s="40">
        <f t="shared" ca="1" si="77"/>
        <v>2279547912631.2764</v>
      </c>
      <c r="I580" s="40">
        <f t="shared" ca="1" si="78"/>
        <v>8424578714648.4941</v>
      </c>
      <c r="J580" s="40">
        <f t="shared" ca="1" si="79"/>
        <v>1752772005408.2217</v>
      </c>
      <c r="K580" s="41">
        <f t="shared" ca="1" si="80"/>
        <v>4.8064315773267978</v>
      </c>
    </row>
    <row r="581" spans="2:11" ht="15" customHeight="1" x14ac:dyDescent="0.35">
      <c r="B581" s="5">
        <v>560</v>
      </c>
      <c r="C581" s="39">
        <f t="shared" ca="1" si="72"/>
        <v>2.9528871280100093</v>
      </c>
      <c r="D581" s="40">
        <f t="shared" ca="1" si="73"/>
        <v>4858916205.696578</v>
      </c>
      <c r="E581" s="40">
        <f t="shared" ca="1" si="74"/>
        <v>45283867883030.109</v>
      </c>
      <c r="F581" s="40">
        <f t="shared" ca="1" si="75"/>
        <v>747038760027.91943</v>
      </c>
      <c r="G581" s="40">
        <f t="shared" ca="1" si="76"/>
        <v>2905724767196.3433</v>
      </c>
      <c r="H581" s="40">
        <f t="shared" ca="1" si="77"/>
        <v>45283867883030.109</v>
      </c>
      <c r="I581" s="40">
        <f t="shared" ca="1" si="78"/>
        <v>13244390506599.699</v>
      </c>
      <c r="J581" s="40">
        <f t="shared" ca="1" si="79"/>
        <v>1311120713568.2339</v>
      </c>
      <c r="K581" s="41">
        <f t="shared" ca="1" si="80"/>
        <v>10.101579793179303</v>
      </c>
    </row>
    <row r="582" spans="2:11" ht="15" customHeight="1" x14ac:dyDescent="0.35">
      <c r="B582" s="5">
        <v>561</v>
      </c>
      <c r="C582" s="39">
        <f t="shared" ca="1" si="72"/>
        <v>3.0243048544485256</v>
      </c>
      <c r="D582" s="40">
        <f t="shared" ca="1" si="73"/>
        <v>4519404463.1581621</v>
      </c>
      <c r="E582" s="40">
        <f t="shared" ca="1" si="74"/>
        <v>11813438477010.494</v>
      </c>
      <c r="F582" s="40">
        <f t="shared" ca="1" si="75"/>
        <v>1972316770819.4346</v>
      </c>
      <c r="G582" s="40">
        <f t="shared" ca="1" si="76"/>
        <v>1031009654275.4518</v>
      </c>
      <c r="H582" s="40">
        <f t="shared" ca="1" si="77"/>
        <v>11813438477010.494</v>
      </c>
      <c r="I582" s="40">
        <f t="shared" ca="1" si="78"/>
        <v>3376061682162.7568</v>
      </c>
      <c r="J582" s="40">
        <f t="shared" ca="1" si="79"/>
        <v>1626498778192.6211</v>
      </c>
      <c r="K582" s="41">
        <f t="shared" ca="1" si="80"/>
        <v>2.0756619847659921</v>
      </c>
    </row>
    <row r="583" spans="2:11" ht="15" customHeight="1" x14ac:dyDescent="0.35">
      <c r="B583" s="5">
        <v>562</v>
      </c>
      <c r="C583" s="39">
        <f t="shared" ca="1" si="72"/>
        <v>2.9710046914573356</v>
      </c>
      <c r="D583" s="40">
        <f t="shared" ca="1" si="73"/>
        <v>4802532301.7186556</v>
      </c>
      <c r="E583" s="40">
        <f t="shared" ca="1" si="74"/>
        <v>4435961049257.6611</v>
      </c>
      <c r="F583" s="40">
        <f t="shared" ca="1" si="75"/>
        <v>7027099830586.666</v>
      </c>
      <c r="G583" s="40">
        <f t="shared" ca="1" si="76"/>
        <v>16628436150591.822</v>
      </c>
      <c r="H583" s="40">
        <f t="shared" ca="1" si="77"/>
        <v>4435961049257.6611</v>
      </c>
      <c r="I583" s="40">
        <f t="shared" ca="1" si="78"/>
        <v>3416931540135.813</v>
      </c>
      <c r="J583" s="40">
        <f t="shared" ca="1" si="79"/>
        <v>1642645154836.845</v>
      </c>
      <c r="K583" s="41">
        <f t="shared" ca="1" si="80"/>
        <v>2.0801397855614154</v>
      </c>
    </row>
    <row r="584" spans="2:11" ht="15" customHeight="1" x14ac:dyDescent="0.35">
      <c r="B584" s="5">
        <v>563</v>
      </c>
      <c r="C584" s="39">
        <f t="shared" ca="1" si="72"/>
        <v>2.9943192865668644</v>
      </c>
      <c r="D584" s="40">
        <f t="shared" ca="1" si="73"/>
        <v>5674341210.073864</v>
      </c>
      <c r="E584" s="40">
        <f t="shared" ca="1" si="74"/>
        <v>56007704021145.43</v>
      </c>
      <c r="F584" s="40">
        <f t="shared" ca="1" si="75"/>
        <v>2303597927984.9717</v>
      </c>
      <c r="G584" s="40">
        <f t="shared" ca="1" si="76"/>
        <v>36808277220762.305</v>
      </c>
      <c r="H584" s="40">
        <f t="shared" ca="1" si="77"/>
        <v>2303597927984.9717</v>
      </c>
      <c r="I584" s="40">
        <f t="shared" ca="1" si="78"/>
        <v>15842815410819.637</v>
      </c>
      <c r="J584" s="40">
        <f t="shared" ca="1" si="79"/>
        <v>1482651781416.1201</v>
      </c>
      <c r="K584" s="41">
        <f t="shared" ca="1" si="80"/>
        <v>10.685459397410053</v>
      </c>
    </row>
    <row r="585" spans="2:11" ht="15" customHeight="1" x14ac:dyDescent="0.35">
      <c r="B585" s="5">
        <v>564</v>
      </c>
      <c r="C585" s="39">
        <f t="shared" ca="1" si="72"/>
        <v>3.6744959781440469</v>
      </c>
      <c r="D585" s="40">
        <f t="shared" ca="1" si="73"/>
        <v>14733207044.631453</v>
      </c>
      <c r="E585" s="40">
        <f t="shared" ca="1" si="74"/>
        <v>54688129713330.766</v>
      </c>
      <c r="F585" s="40">
        <f t="shared" ca="1" si="75"/>
        <v>1503681813123.6567</v>
      </c>
      <c r="G585" s="40">
        <f t="shared" ca="1" si="76"/>
        <v>797679515088.43958</v>
      </c>
      <c r="H585" s="40">
        <f t="shared" ca="1" si="77"/>
        <v>54688129713330.766</v>
      </c>
      <c r="I585" s="40">
        <f t="shared" ca="1" si="78"/>
        <v>2131270513027.7788</v>
      </c>
      <c r="J585" s="40">
        <f t="shared" ca="1" si="79"/>
        <v>790992514763.47241</v>
      </c>
      <c r="K585" s="41">
        <f t="shared" ca="1" si="80"/>
        <v>2.6944256402541114</v>
      </c>
    </row>
    <row r="586" spans="2:11" ht="15" customHeight="1" x14ac:dyDescent="0.35">
      <c r="B586" s="5">
        <v>565</v>
      </c>
      <c r="C586" s="39">
        <f t="shared" ca="1" si="72"/>
        <v>2.2556751491380562</v>
      </c>
      <c r="D586" s="40">
        <f t="shared" ca="1" si="73"/>
        <v>941278306.30768251</v>
      </c>
      <c r="E586" s="40">
        <f t="shared" ca="1" si="74"/>
        <v>3388394656698.7329</v>
      </c>
      <c r="F586" s="40">
        <f t="shared" ca="1" si="75"/>
        <v>19432490521702.316</v>
      </c>
      <c r="G586" s="40">
        <f t="shared" ca="1" si="76"/>
        <v>186985559852.69351</v>
      </c>
      <c r="H586" s="40">
        <f t="shared" ca="1" si="77"/>
        <v>19432490521702.316</v>
      </c>
      <c r="I586" s="40">
        <f t="shared" ca="1" si="78"/>
        <v>7594809022614.0576</v>
      </c>
      <c r="J586" s="40">
        <f t="shared" ca="1" si="79"/>
        <v>817103551739.85461</v>
      </c>
      <c r="K586" s="41">
        <f t="shared" ca="1" si="80"/>
        <v>9.2947937950367088</v>
      </c>
    </row>
    <row r="587" spans="2:11" ht="15" customHeight="1" x14ac:dyDescent="0.35">
      <c r="B587" s="5">
        <v>566</v>
      </c>
      <c r="C587" s="39">
        <f t="shared" ca="1" si="72"/>
        <v>2.9557214094756059</v>
      </c>
      <c r="D587" s="40">
        <f t="shared" ca="1" si="73"/>
        <v>3674722833.4737663</v>
      </c>
      <c r="E587" s="40">
        <f t="shared" ca="1" si="74"/>
        <v>14300660352956.473</v>
      </c>
      <c r="F587" s="40">
        <f t="shared" ca="1" si="75"/>
        <v>9053906219972.6699</v>
      </c>
      <c r="G587" s="40">
        <f t="shared" ca="1" si="76"/>
        <v>5126099431941.7686</v>
      </c>
      <c r="H587" s="40">
        <f t="shared" ca="1" si="77"/>
        <v>14300660352956.473</v>
      </c>
      <c r="I587" s="40">
        <f t="shared" ca="1" si="78"/>
        <v>93715912098517.328</v>
      </c>
      <c r="J587" s="40">
        <f t="shared" ca="1" si="79"/>
        <v>1060988306544.7273</v>
      </c>
      <c r="K587" s="41">
        <f t="shared" ca="1" si="80"/>
        <v>88.328883099303624</v>
      </c>
    </row>
    <row r="588" spans="2:11" ht="15" customHeight="1" x14ac:dyDescent="0.35">
      <c r="B588" s="5">
        <v>567</v>
      </c>
      <c r="C588" s="39">
        <f t="shared" ca="1" si="72"/>
        <v>2.5153325634598604</v>
      </c>
      <c r="D588" s="40">
        <f t="shared" ca="1" si="73"/>
        <v>1925317761.6630175</v>
      </c>
      <c r="E588" s="40">
        <f t="shared" ca="1" si="74"/>
        <v>14010485612610.908</v>
      </c>
      <c r="F588" s="40">
        <f t="shared" ca="1" si="75"/>
        <v>2110306643657.5427</v>
      </c>
      <c r="G588" s="40">
        <f t="shared" ca="1" si="76"/>
        <v>45694792081080.953</v>
      </c>
      <c r="H588" s="40">
        <f t="shared" ca="1" si="77"/>
        <v>2110306643657.5427</v>
      </c>
      <c r="I588" s="40">
        <f t="shared" ca="1" si="78"/>
        <v>61510322305813.984</v>
      </c>
      <c r="J588" s="40">
        <f t="shared" ca="1" si="79"/>
        <v>1194819519737.9712</v>
      </c>
      <c r="K588" s="41">
        <f t="shared" ca="1" si="80"/>
        <v>51.480848186430237</v>
      </c>
    </row>
    <row r="589" spans="2:11" ht="15" customHeight="1" x14ac:dyDescent="0.35">
      <c r="B589" s="5">
        <v>568</v>
      </c>
      <c r="C589" s="39">
        <f t="shared" ca="1" si="72"/>
        <v>3.3230180712808361</v>
      </c>
      <c r="D589" s="40">
        <f t="shared" ca="1" si="73"/>
        <v>8697784070.9206314</v>
      </c>
      <c r="E589" s="40">
        <f t="shared" ca="1" si="74"/>
        <v>20085219681461.035</v>
      </c>
      <c r="F589" s="40">
        <f t="shared" ca="1" si="75"/>
        <v>1821782372187.4121</v>
      </c>
      <c r="G589" s="40">
        <f t="shared" ca="1" si="76"/>
        <v>55458730676621.109</v>
      </c>
      <c r="H589" s="40">
        <f t="shared" ca="1" si="77"/>
        <v>20085219681461.035</v>
      </c>
      <c r="I589" s="40">
        <f t="shared" ca="1" si="78"/>
        <v>651996984116.99609</v>
      </c>
      <c r="J589" s="40">
        <f t="shared" ca="1" si="79"/>
        <v>549241963638.84296</v>
      </c>
      <c r="K589" s="41">
        <f t="shared" ca="1" si="80"/>
        <v>1.187085159694244</v>
      </c>
    </row>
    <row r="590" spans="2:11" ht="15" customHeight="1" x14ac:dyDescent="0.35">
      <c r="B590" s="5">
        <v>569</v>
      </c>
      <c r="C590" s="39">
        <f t="shared" ca="1" si="72"/>
        <v>1.8858267387890144</v>
      </c>
      <c r="D590" s="40">
        <f t="shared" ca="1" si="73"/>
        <v>465396900.98311889</v>
      </c>
      <c r="E590" s="40">
        <f t="shared" ca="1" si="74"/>
        <v>1584330379778.8757</v>
      </c>
      <c r="F590" s="40">
        <f t="shared" ca="1" si="75"/>
        <v>400328075359.68121</v>
      </c>
      <c r="G590" s="40">
        <f t="shared" ca="1" si="76"/>
        <v>111828410799839.67</v>
      </c>
      <c r="H590" s="40">
        <f t="shared" ca="1" si="77"/>
        <v>400328075359.68121</v>
      </c>
      <c r="I590" s="40">
        <f t="shared" ca="1" si="78"/>
        <v>3295282566007.8281</v>
      </c>
      <c r="J590" s="40">
        <f t="shared" ca="1" si="79"/>
        <v>867076063621.61389</v>
      </c>
      <c r="K590" s="41">
        <f t="shared" ca="1" si="80"/>
        <v>3.800453852046211</v>
      </c>
    </row>
    <row r="591" spans="2:11" ht="15" customHeight="1" x14ac:dyDescent="0.35">
      <c r="B591" s="5">
        <v>570</v>
      </c>
      <c r="C591" s="39">
        <f t="shared" ca="1" si="72"/>
        <v>2.4001012253723424</v>
      </c>
      <c r="D591" s="40">
        <f t="shared" ca="1" si="73"/>
        <v>1869369217.1029768</v>
      </c>
      <c r="E591" s="40">
        <f t="shared" ca="1" si="74"/>
        <v>14205604929207.805</v>
      </c>
      <c r="F591" s="40">
        <f t="shared" ca="1" si="75"/>
        <v>6863446165059.4824</v>
      </c>
      <c r="G591" s="40">
        <f t="shared" ca="1" si="76"/>
        <v>2319772133217.1377</v>
      </c>
      <c r="H591" s="40">
        <f t="shared" ca="1" si="77"/>
        <v>6863446165059.4824</v>
      </c>
      <c r="I591" s="40">
        <f t="shared" ca="1" si="78"/>
        <v>22171552134096.723</v>
      </c>
      <c r="J591" s="40">
        <f t="shared" ca="1" si="79"/>
        <v>1347010313865.7644</v>
      </c>
      <c r="K591" s="41">
        <f t="shared" ca="1" si="80"/>
        <v>16.459823585512812</v>
      </c>
    </row>
    <row r="592" spans="2:11" ht="15" customHeight="1" x14ac:dyDescent="0.35">
      <c r="B592" s="5">
        <v>571</v>
      </c>
      <c r="C592" s="39">
        <f t="shared" ca="1" si="72"/>
        <v>3.5914432596085168</v>
      </c>
      <c r="D592" s="40">
        <f t="shared" ca="1" si="73"/>
        <v>9720207206.8963165</v>
      </c>
      <c r="E592" s="40">
        <f t="shared" ca="1" si="74"/>
        <v>21970332798101.25</v>
      </c>
      <c r="F592" s="40">
        <f t="shared" ca="1" si="75"/>
        <v>5738585291118.9238</v>
      </c>
      <c r="G592" s="40">
        <f t="shared" ca="1" si="76"/>
        <v>2126452820947.4888</v>
      </c>
      <c r="H592" s="40">
        <f t="shared" ca="1" si="77"/>
        <v>5738585291118.9238</v>
      </c>
      <c r="I592" s="40">
        <f t="shared" ca="1" si="78"/>
        <v>6017657904291.7129</v>
      </c>
      <c r="J592" s="40">
        <f t="shared" ca="1" si="79"/>
        <v>868919676520.0155</v>
      </c>
      <c r="K592" s="41">
        <f t="shared" ca="1" si="80"/>
        <v>6.925447848519398</v>
      </c>
    </row>
    <row r="593" spans="2:11" ht="15" customHeight="1" x14ac:dyDescent="0.35">
      <c r="B593" s="5">
        <v>572</v>
      </c>
      <c r="C593" s="39">
        <f t="shared" ca="1" si="72"/>
        <v>2.5714556701276092</v>
      </c>
      <c r="D593" s="40">
        <f t="shared" ca="1" si="73"/>
        <v>2383734185.6118751</v>
      </c>
      <c r="E593" s="40">
        <f t="shared" ca="1" si="74"/>
        <v>6313164038097.3262</v>
      </c>
      <c r="F593" s="40">
        <f t="shared" ca="1" si="75"/>
        <v>2149578855196.6594</v>
      </c>
      <c r="G593" s="40">
        <f t="shared" ca="1" si="76"/>
        <v>23218380066657.816</v>
      </c>
      <c r="H593" s="40">
        <f t="shared" ca="1" si="77"/>
        <v>6313164038097.3262</v>
      </c>
      <c r="I593" s="40">
        <f t="shared" ca="1" si="78"/>
        <v>27228754209278.629</v>
      </c>
      <c r="J593" s="40">
        <f t="shared" ca="1" si="79"/>
        <v>1008632519830.983</v>
      </c>
      <c r="K593" s="41">
        <f t="shared" ca="1" si="80"/>
        <v>26.9957131799016</v>
      </c>
    </row>
    <row r="594" spans="2:11" ht="15" customHeight="1" x14ac:dyDescent="0.35">
      <c r="B594" s="5">
        <v>573</v>
      </c>
      <c r="C594" s="39">
        <f t="shared" ca="1" si="72"/>
        <v>3.4972411316161671</v>
      </c>
      <c r="D594" s="40">
        <f t="shared" ca="1" si="73"/>
        <v>10687295546.676689</v>
      </c>
      <c r="E594" s="40">
        <f t="shared" ca="1" si="74"/>
        <v>13842207933232.473</v>
      </c>
      <c r="F594" s="40">
        <f t="shared" ca="1" si="75"/>
        <v>3318645899788.2441</v>
      </c>
      <c r="G594" s="40">
        <f t="shared" ca="1" si="76"/>
        <v>779751744767.28674</v>
      </c>
      <c r="H594" s="40">
        <f t="shared" ca="1" si="77"/>
        <v>13842207933232.473</v>
      </c>
      <c r="I594" s="40">
        <f t="shared" ca="1" si="78"/>
        <v>10192858178802.186</v>
      </c>
      <c r="J594" s="40">
        <f t="shared" ca="1" si="79"/>
        <v>1524397833516.9294</v>
      </c>
      <c r="K594" s="41">
        <f t="shared" ca="1" si="80"/>
        <v>6.6864816747254894</v>
      </c>
    </row>
    <row r="595" spans="2:11" ht="15" customHeight="1" x14ac:dyDescent="0.35">
      <c r="B595" s="5">
        <v>574</v>
      </c>
      <c r="C595" s="39">
        <f t="shared" ca="1" si="72"/>
        <v>3.0086483369182302</v>
      </c>
      <c r="D595" s="40">
        <f t="shared" ca="1" si="73"/>
        <v>4902491731.8313255</v>
      </c>
      <c r="E595" s="40">
        <f t="shared" ca="1" si="74"/>
        <v>13319241834427.346</v>
      </c>
      <c r="F595" s="40">
        <f t="shared" ca="1" si="75"/>
        <v>6235420076805.0225</v>
      </c>
      <c r="G595" s="40">
        <f t="shared" ca="1" si="76"/>
        <v>1495363117555.0488</v>
      </c>
      <c r="H595" s="40">
        <f t="shared" ca="1" si="77"/>
        <v>1495363117555.0488</v>
      </c>
      <c r="I595" s="40">
        <f t="shared" ca="1" si="78"/>
        <v>11947752002035.168</v>
      </c>
      <c r="J595" s="40">
        <f t="shared" ca="1" si="79"/>
        <v>1447828362765.5168</v>
      </c>
      <c r="K595" s="41">
        <f t="shared" ca="1" si="80"/>
        <v>8.25218811103659</v>
      </c>
    </row>
    <row r="596" spans="2:11" ht="15" customHeight="1" x14ac:dyDescent="0.35">
      <c r="B596" s="5">
        <v>575</v>
      </c>
      <c r="C596" s="39">
        <f t="shared" ca="1" si="72"/>
        <v>2.9854929946863136</v>
      </c>
      <c r="D596" s="40">
        <f t="shared" ca="1" si="73"/>
        <v>4912627329.193738</v>
      </c>
      <c r="E596" s="40">
        <f t="shared" ca="1" si="74"/>
        <v>15668862083923.398</v>
      </c>
      <c r="F596" s="40">
        <f t="shared" ca="1" si="75"/>
        <v>1781999061712.9434</v>
      </c>
      <c r="G596" s="40">
        <f t="shared" ca="1" si="76"/>
        <v>23124148060179.371</v>
      </c>
      <c r="H596" s="40">
        <f t="shared" ca="1" si="77"/>
        <v>15668862083923.398</v>
      </c>
      <c r="I596" s="40">
        <f t="shared" ca="1" si="78"/>
        <v>440793580693.91479</v>
      </c>
      <c r="J596" s="40">
        <f t="shared" ca="1" si="79"/>
        <v>1397083606733.0876</v>
      </c>
      <c r="K596" s="41">
        <f t="shared" ca="1" si="80"/>
        <v>0.3155098081242666</v>
      </c>
    </row>
    <row r="597" spans="2:11" ht="15" customHeight="1" x14ac:dyDescent="0.35">
      <c r="B597" s="5">
        <v>576</v>
      </c>
      <c r="C597" s="39">
        <f t="shared" ca="1" si="72"/>
        <v>2.8555843720266649</v>
      </c>
      <c r="D597" s="40">
        <f t="shared" ca="1" si="73"/>
        <v>4172733049.018712</v>
      </c>
      <c r="E597" s="40">
        <f t="shared" ca="1" si="74"/>
        <v>15834010153960.588</v>
      </c>
      <c r="F597" s="40">
        <f t="shared" ca="1" si="75"/>
        <v>2199120864602.5532</v>
      </c>
      <c r="G597" s="40">
        <f t="shared" ca="1" si="76"/>
        <v>18058694911253.691</v>
      </c>
      <c r="H597" s="40">
        <f t="shared" ca="1" si="77"/>
        <v>18058694911253.691</v>
      </c>
      <c r="I597" s="40">
        <f t="shared" ca="1" si="78"/>
        <v>22479532092835.609</v>
      </c>
      <c r="J597" s="40">
        <f t="shared" ca="1" si="79"/>
        <v>605666829493.98401</v>
      </c>
      <c r="K597" s="41">
        <f t="shared" ca="1" si="80"/>
        <v>37.115342954502836</v>
      </c>
    </row>
    <row r="598" spans="2:11" ht="15" customHeight="1" x14ac:dyDescent="0.35">
      <c r="B598" s="5">
        <v>577</v>
      </c>
      <c r="C598" s="39">
        <f t="shared" ref="C598:C661" ca="1" si="81">MEDIAN(1.8,NORMINV(RAND(),$C$7,$D$7),4.5)</f>
        <v>2.6237436047118905</v>
      </c>
      <c r="D598" s="40">
        <f t="shared" ref="D598:D661" ca="1" si="82">($C$8+RAND()*($D$8-$C$8))*C598^5</f>
        <v>2548029987.5906506</v>
      </c>
      <c r="E598" s="40">
        <f t="shared" ref="E598:E661" ca="1" si="83">D598*($C$10+RAND()*($D$10-$C$10))*EXP(NORMINV(RAND(),$C$9,$D$9))*($C$11+RAND()*($D$11-$C$11))</f>
        <v>9211258870027.3828</v>
      </c>
      <c r="F598" s="40">
        <f t="shared" ref="F598:F661" ca="1" si="84">EXP(NORMINV(RAND(),$C$12,$D$12))*EXP(NORMINV(RAND(),$C$13,$D$13))</f>
        <v>481763042755.94617</v>
      </c>
      <c r="G598" s="40">
        <f t="shared" ref="G598:G661" ca="1" si="85">EXP(NORMINV(RAND(),$C$14,$D$14))*($C$15+RAND()*($D$15-$C$15))*EXP(NORMINV(RAND(),$C$16,$D$16))/1000000*31536000</f>
        <v>12352184945349.682</v>
      </c>
      <c r="H598" s="40">
        <f t="shared" ref="H598:H661" ca="1" si="86">CHOOSE(RANDBETWEEN(1,3),E598,F598,G598)</f>
        <v>481763042755.94617</v>
      </c>
      <c r="I598" s="40">
        <f t="shared" ref="I598:I661" ca="1" si="87">EXP(NORMINV(RAND(),$C$14,$D$14))*($C$15+RAND()*($D$15-$C$15))*60</f>
        <v>3562193247854.4302</v>
      </c>
      <c r="J598" s="40">
        <f t="shared" ref="J598:J661" ca="1" si="88">($C$17+RAND()*($D$17-$C$17))*($C$18+RAND()*($D$18-$C$18))</f>
        <v>989596767677.30603</v>
      </c>
      <c r="K598" s="41">
        <f t="shared" ref="K598:K661" ca="1" si="89">I598/J598</f>
        <v>3.5996411510268924</v>
      </c>
    </row>
    <row r="599" spans="2:11" ht="15" customHeight="1" x14ac:dyDescent="0.35">
      <c r="B599" s="5">
        <v>578</v>
      </c>
      <c r="C599" s="39">
        <f t="shared" ca="1" si="81"/>
        <v>2.7663389084219441</v>
      </c>
      <c r="D599" s="40">
        <f t="shared" ca="1" si="82"/>
        <v>3066768154.075953</v>
      </c>
      <c r="E599" s="40">
        <f t="shared" ca="1" si="83"/>
        <v>3867435810819.251</v>
      </c>
      <c r="F599" s="40">
        <f t="shared" ca="1" si="84"/>
        <v>4784720785885.373</v>
      </c>
      <c r="G599" s="40">
        <f t="shared" ca="1" si="85"/>
        <v>5654077892139.5986</v>
      </c>
      <c r="H599" s="40">
        <f t="shared" ca="1" si="86"/>
        <v>4784720785885.373</v>
      </c>
      <c r="I599" s="40">
        <f t="shared" ca="1" si="87"/>
        <v>55282857201566.898</v>
      </c>
      <c r="J599" s="40">
        <f t="shared" ca="1" si="88"/>
        <v>671624388893.23401</v>
      </c>
      <c r="K599" s="41">
        <f t="shared" ca="1" si="89"/>
        <v>82.312164530932534</v>
      </c>
    </row>
    <row r="600" spans="2:11" ht="15" customHeight="1" x14ac:dyDescent="0.35">
      <c r="B600" s="5">
        <v>579</v>
      </c>
      <c r="C600" s="39">
        <f t="shared" ca="1" si="81"/>
        <v>2.4417309431398055</v>
      </c>
      <c r="D600" s="40">
        <f t="shared" ca="1" si="82"/>
        <v>1731318815.2546067</v>
      </c>
      <c r="E600" s="40">
        <f t="shared" ca="1" si="83"/>
        <v>9109373408510.584</v>
      </c>
      <c r="F600" s="40">
        <f t="shared" ca="1" si="84"/>
        <v>675247867848.94775</v>
      </c>
      <c r="G600" s="40">
        <f t="shared" ca="1" si="85"/>
        <v>3528829546627.7959</v>
      </c>
      <c r="H600" s="40">
        <f t="shared" ca="1" si="86"/>
        <v>9109373408510.584</v>
      </c>
      <c r="I600" s="40">
        <f t="shared" ca="1" si="87"/>
        <v>9176572524999.4102</v>
      </c>
      <c r="J600" s="40">
        <f t="shared" ca="1" si="88"/>
        <v>1635616561987.0315</v>
      </c>
      <c r="K600" s="41">
        <f t="shared" ca="1" si="89"/>
        <v>5.6104668650770053</v>
      </c>
    </row>
    <row r="601" spans="2:11" ht="15" customHeight="1" x14ac:dyDescent="0.35">
      <c r="B601" s="5">
        <v>580</v>
      </c>
      <c r="C601" s="39">
        <f t="shared" ca="1" si="81"/>
        <v>3.3469975493901472</v>
      </c>
      <c r="D601" s="40">
        <f t="shared" ca="1" si="82"/>
        <v>8896592578.3879642</v>
      </c>
      <c r="E601" s="40">
        <f t="shared" ca="1" si="83"/>
        <v>18721904494258.434</v>
      </c>
      <c r="F601" s="40">
        <f t="shared" ca="1" si="84"/>
        <v>13923998293939.076</v>
      </c>
      <c r="G601" s="40">
        <f t="shared" ca="1" si="85"/>
        <v>3517313689783.8911</v>
      </c>
      <c r="H601" s="40">
        <f t="shared" ca="1" si="86"/>
        <v>3517313689783.8911</v>
      </c>
      <c r="I601" s="40">
        <f t="shared" ca="1" si="87"/>
        <v>4864963979675.2676</v>
      </c>
      <c r="J601" s="40">
        <f t="shared" ca="1" si="88"/>
        <v>745790298830.93494</v>
      </c>
      <c r="K601" s="41">
        <f t="shared" ca="1" si="89"/>
        <v>6.5232331223687829</v>
      </c>
    </row>
    <row r="602" spans="2:11" ht="15" customHeight="1" x14ac:dyDescent="0.35">
      <c r="B602" s="5">
        <v>581</v>
      </c>
      <c r="C602" s="39">
        <f t="shared" ca="1" si="81"/>
        <v>2.8111765429377114</v>
      </c>
      <c r="D602" s="40">
        <f t="shared" ca="1" si="82"/>
        <v>3486485936.5740328</v>
      </c>
      <c r="E602" s="40">
        <f t="shared" ca="1" si="83"/>
        <v>9494983963926.8047</v>
      </c>
      <c r="F602" s="40">
        <f t="shared" ca="1" si="84"/>
        <v>1082156627414.9343</v>
      </c>
      <c r="G602" s="40">
        <f t="shared" ca="1" si="85"/>
        <v>2916742245493.2319</v>
      </c>
      <c r="H602" s="40">
        <f t="shared" ca="1" si="86"/>
        <v>9494983963926.8047</v>
      </c>
      <c r="I602" s="40">
        <f t="shared" ca="1" si="87"/>
        <v>17074446226183.166</v>
      </c>
      <c r="J602" s="40">
        <f t="shared" ca="1" si="88"/>
        <v>1592933321205.8057</v>
      </c>
      <c r="K602" s="41">
        <f t="shared" ca="1" si="89"/>
        <v>10.718870651320353</v>
      </c>
    </row>
    <row r="603" spans="2:11" ht="15" customHeight="1" x14ac:dyDescent="0.35">
      <c r="B603" s="5">
        <v>582</v>
      </c>
      <c r="C603" s="39">
        <f t="shared" ca="1" si="81"/>
        <v>3.4970935775823233</v>
      </c>
      <c r="D603" s="40">
        <f t="shared" ca="1" si="82"/>
        <v>11068403710.064159</v>
      </c>
      <c r="E603" s="40">
        <f t="shared" ca="1" si="83"/>
        <v>33145088301166.66</v>
      </c>
      <c r="F603" s="40">
        <f t="shared" ca="1" si="84"/>
        <v>1199174590961.885</v>
      </c>
      <c r="G603" s="40">
        <f t="shared" ca="1" si="85"/>
        <v>1265413073819.687</v>
      </c>
      <c r="H603" s="40">
        <f t="shared" ca="1" si="86"/>
        <v>1199174590961.885</v>
      </c>
      <c r="I603" s="40">
        <f t="shared" ca="1" si="87"/>
        <v>4969843748377.5186</v>
      </c>
      <c r="J603" s="40">
        <f t="shared" ca="1" si="88"/>
        <v>1157170017731.4019</v>
      </c>
      <c r="K603" s="41">
        <f t="shared" ca="1" si="89"/>
        <v>4.2948258874877805</v>
      </c>
    </row>
    <row r="604" spans="2:11" ht="15" customHeight="1" x14ac:dyDescent="0.35">
      <c r="B604" s="5">
        <v>583</v>
      </c>
      <c r="C604" s="39">
        <f t="shared" ca="1" si="81"/>
        <v>3.4186299228547727</v>
      </c>
      <c r="D604" s="40">
        <f t="shared" ca="1" si="82"/>
        <v>11131184081.913122</v>
      </c>
      <c r="E604" s="40">
        <f t="shared" ca="1" si="83"/>
        <v>40815454446447.914</v>
      </c>
      <c r="F604" s="40">
        <f t="shared" ca="1" si="84"/>
        <v>2889746549496.3042</v>
      </c>
      <c r="G604" s="40">
        <f t="shared" ca="1" si="85"/>
        <v>3325621087426.8809</v>
      </c>
      <c r="H604" s="40">
        <f t="shared" ca="1" si="86"/>
        <v>3325621087426.8809</v>
      </c>
      <c r="I604" s="40">
        <f t="shared" ca="1" si="87"/>
        <v>14213930845188.563</v>
      </c>
      <c r="J604" s="40">
        <f t="shared" ca="1" si="88"/>
        <v>704836083132.33105</v>
      </c>
      <c r="K604" s="41">
        <f t="shared" ca="1" si="89"/>
        <v>20.16629282374571</v>
      </c>
    </row>
    <row r="605" spans="2:11" ht="15" customHeight="1" x14ac:dyDescent="0.35">
      <c r="B605" s="5">
        <v>584</v>
      </c>
      <c r="C605" s="39">
        <f t="shared" ca="1" si="81"/>
        <v>2.73392335000863</v>
      </c>
      <c r="D605" s="40">
        <f t="shared" ca="1" si="82"/>
        <v>2682755767.2636867</v>
      </c>
      <c r="E605" s="40">
        <f t="shared" ca="1" si="83"/>
        <v>8572800364658.0879</v>
      </c>
      <c r="F605" s="40">
        <f t="shared" ca="1" si="84"/>
        <v>5977278121152.6064</v>
      </c>
      <c r="G605" s="40">
        <f t="shared" ca="1" si="85"/>
        <v>11245044687756.324</v>
      </c>
      <c r="H605" s="40">
        <f t="shared" ca="1" si="86"/>
        <v>5977278121152.6064</v>
      </c>
      <c r="I605" s="40">
        <f t="shared" ca="1" si="87"/>
        <v>21617942767280.539</v>
      </c>
      <c r="J605" s="40">
        <f t="shared" ca="1" si="88"/>
        <v>680188329798.03967</v>
      </c>
      <c r="K605" s="41">
        <f t="shared" ca="1" si="89"/>
        <v>31.782290022087412</v>
      </c>
    </row>
    <row r="606" spans="2:11" ht="15" customHeight="1" x14ac:dyDescent="0.35">
      <c r="B606" s="5">
        <v>585</v>
      </c>
      <c r="C606" s="39">
        <f t="shared" ca="1" si="81"/>
        <v>3.1073932256271375</v>
      </c>
      <c r="D606" s="40">
        <f t="shared" ca="1" si="82"/>
        <v>4803070229.876092</v>
      </c>
      <c r="E606" s="40">
        <f t="shared" ca="1" si="83"/>
        <v>6395716575979.2754</v>
      </c>
      <c r="F606" s="40">
        <f t="shared" ca="1" si="84"/>
        <v>6317449452115.6602</v>
      </c>
      <c r="G606" s="40">
        <f t="shared" ca="1" si="85"/>
        <v>920731777818.19373</v>
      </c>
      <c r="H606" s="40">
        <f t="shared" ca="1" si="86"/>
        <v>6317449452115.6602</v>
      </c>
      <c r="I606" s="40">
        <f t="shared" ca="1" si="87"/>
        <v>14900870874872.209</v>
      </c>
      <c r="J606" s="40">
        <f t="shared" ca="1" si="88"/>
        <v>775847833082.52734</v>
      </c>
      <c r="K606" s="41">
        <f t="shared" ca="1" si="89"/>
        <v>19.205919304652095</v>
      </c>
    </row>
    <row r="607" spans="2:11" ht="15" customHeight="1" x14ac:dyDescent="0.35">
      <c r="B607" s="5">
        <v>586</v>
      </c>
      <c r="C607" s="39">
        <f t="shared" ca="1" si="81"/>
        <v>3.7011574919465069</v>
      </c>
      <c r="D607" s="40">
        <f t="shared" ca="1" si="82"/>
        <v>16438467980.42956</v>
      </c>
      <c r="E607" s="40">
        <f t="shared" ca="1" si="83"/>
        <v>56401323173635.703</v>
      </c>
      <c r="F607" s="40">
        <f t="shared" ca="1" si="84"/>
        <v>5312253585494.1133</v>
      </c>
      <c r="G607" s="40">
        <f t="shared" ca="1" si="85"/>
        <v>2318529727157.5386</v>
      </c>
      <c r="H607" s="40">
        <f t="shared" ca="1" si="86"/>
        <v>2318529727157.5386</v>
      </c>
      <c r="I607" s="40">
        <f t="shared" ca="1" si="87"/>
        <v>13056668135571.598</v>
      </c>
      <c r="J607" s="40">
        <f t="shared" ca="1" si="88"/>
        <v>756522219233.59753</v>
      </c>
      <c r="K607" s="41">
        <f t="shared" ca="1" si="89"/>
        <v>17.258803249425757</v>
      </c>
    </row>
    <row r="608" spans="2:11" ht="15" customHeight="1" x14ac:dyDescent="0.35">
      <c r="B608" s="5">
        <v>587</v>
      </c>
      <c r="C608" s="39">
        <f t="shared" ca="1" si="81"/>
        <v>3.5265032656451964</v>
      </c>
      <c r="D608" s="40">
        <f t="shared" ca="1" si="82"/>
        <v>12358002681.105932</v>
      </c>
      <c r="E608" s="40">
        <f t="shared" ca="1" si="83"/>
        <v>28877360590350.371</v>
      </c>
      <c r="F608" s="40">
        <f t="shared" ca="1" si="84"/>
        <v>1510675959908.0693</v>
      </c>
      <c r="G608" s="40">
        <f t="shared" ca="1" si="85"/>
        <v>15839691721939.193</v>
      </c>
      <c r="H608" s="40">
        <f t="shared" ca="1" si="86"/>
        <v>28877360590350.371</v>
      </c>
      <c r="I608" s="40">
        <f t="shared" ca="1" si="87"/>
        <v>2046755960643.5601</v>
      </c>
      <c r="J608" s="40">
        <f t="shared" ca="1" si="88"/>
        <v>1318879355885.4321</v>
      </c>
      <c r="K608" s="41">
        <f t="shared" ca="1" si="89"/>
        <v>1.5518902100559961</v>
      </c>
    </row>
    <row r="609" spans="2:11" ht="15" customHeight="1" x14ac:dyDescent="0.35">
      <c r="B609" s="5">
        <v>588</v>
      </c>
      <c r="C609" s="39">
        <f t="shared" ca="1" si="81"/>
        <v>2.5565889237916428</v>
      </c>
      <c r="D609" s="40">
        <f t="shared" ca="1" si="82"/>
        <v>2162845716.0084562</v>
      </c>
      <c r="E609" s="40">
        <f t="shared" ca="1" si="83"/>
        <v>8716814449921.7021</v>
      </c>
      <c r="F609" s="40">
        <f t="shared" ca="1" si="84"/>
        <v>3803284503837.0498</v>
      </c>
      <c r="G609" s="40">
        <f t="shared" ca="1" si="85"/>
        <v>9463846950381.5801</v>
      </c>
      <c r="H609" s="40">
        <f t="shared" ca="1" si="86"/>
        <v>3803284503837.0498</v>
      </c>
      <c r="I609" s="40">
        <f t="shared" ca="1" si="87"/>
        <v>18789079005853.023</v>
      </c>
      <c r="J609" s="40">
        <f t="shared" ca="1" si="88"/>
        <v>1089264911747.1088</v>
      </c>
      <c r="K609" s="41">
        <f t="shared" ca="1" si="89"/>
        <v>17.249319980129155</v>
      </c>
    </row>
    <row r="610" spans="2:11" ht="15" customHeight="1" x14ac:dyDescent="0.35">
      <c r="B610" s="5">
        <v>589</v>
      </c>
      <c r="C610" s="39">
        <f t="shared" ca="1" si="81"/>
        <v>3.3629355015862243</v>
      </c>
      <c r="D610" s="40">
        <f t="shared" ca="1" si="82"/>
        <v>8833455605.3233013</v>
      </c>
      <c r="E610" s="40">
        <f t="shared" ca="1" si="83"/>
        <v>101241438704461.73</v>
      </c>
      <c r="F610" s="40">
        <f t="shared" ca="1" si="84"/>
        <v>2741324496512.5718</v>
      </c>
      <c r="G610" s="40">
        <f t="shared" ca="1" si="85"/>
        <v>15282439672081.781</v>
      </c>
      <c r="H610" s="40">
        <f t="shared" ca="1" si="86"/>
        <v>101241438704461.73</v>
      </c>
      <c r="I610" s="40">
        <f t="shared" ca="1" si="87"/>
        <v>15039584764765.443</v>
      </c>
      <c r="J610" s="40">
        <f t="shared" ca="1" si="88"/>
        <v>532374025980.96216</v>
      </c>
      <c r="K610" s="41">
        <f t="shared" ca="1" si="89"/>
        <v>28.25003480786507</v>
      </c>
    </row>
    <row r="611" spans="2:11" ht="15" customHeight="1" x14ac:dyDescent="0.35">
      <c r="B611" s="5">
        <v>590</v>
      </c>
      <c r="C611" s="39">
        <f t="shared" ca="1" si="81"/>
        <v>3.1039765592079873</v>
      </c>
      <c r="D611" s="40">
        <f t="shared" ca="1" si="82"/>
        <v>4967862408.9645109</v>
      </c>
      <c r="E611" s="40">
        <f t="shared" ca="1" si="83"/>
        <v>16634426096253.521</v>
      </c>
      <c r="F611" s="40">
        <f t="shared" ca="1" si="84"/>
        <v>123988850336921.5</v>
      </c>
      <c r="G611" s="40">
        <f t="shared" ca="1" si="85"/>
        <v>8810481444867.625</v>
      </c>
      <c r="H611" s="40">
        <f t="shared" ca="1" si="86"/>
        <v>123988850336921.5</v>
      </c>
      <c r="I611" s="40">
        <f t="shared" ca="1" si="87"/>
        <v>2748818402553.0137</v>
      </c>
      <c r="J611" s="40">
        <f t="shared" ca="1" si="88"/>
        <v>853057745932.73145</v>
      </c>
      <c r="K611" s="41">
        <f t="shared" ca="1" si="89"/>
        <v>3.2223122240657478</v>
      </c>
    </row>
    <row r="612" spans="2:11" ht="15" customHeight="1" x14ac:dyDescent="0.35">
      <c r="B612" s="5">
        <v>591</v>
      </c>
      <c r="C612" s="39">
        <f t="shared" ca="1" si="81"/>
        <v>2.3628238436389637</v>
      </c>
      <c r="D612" s="40">
        <f t="shared" ca="1" si="82"/>
        <v>1281387323.9173386</v>
      </c>
      <c r="E612" s="40">
        <f t="shared" ca="1" si="83"/>
        <v>5927972600023.9033</v>
      </c>
      <c r="F612" s="40">
        <f t="shared" ca="1" si="84"/>
        <v>9863302297040.1621</v>
      </c>
      <c r="G612" s="40">
        <f t="shared" ca="1" si="85"/>
        <v>9016691285460.418</v>
      </c>
      <c r="H612" s="40">
        <f t="shared" ca="1" si="86"/>
        <v>5927972600023.9033</v>
      </c>
      <c r="I612" s="40">
        <f t="shared" ca="1" si="87"/>
        <v>7847603975821.8975</v>
      </c>
      <c r="J612" s="40">
        <f t="shared" ca="1" si="88"/>
        <v>1100686908835.1555</v>
      </c>
      <c r="K612" s="41">
        <f t="shared" ca="1" si="89"/>
        <v>7.1297331810068751</v>
      </c>
    </row>
    <row r="613" spans="2:11" ht="15" customHeight="1" x14ac:dyDescent="0.35">
      <c r="B613" s="5">
        <v>592</v>
      </c>
      <c r="C613" s="39">
        <f t="shared" ca="1" si="81"/>
        <v>2.1887550317089208</v>
      </c>
      <c r="D613" s="40">
        <f t="shared" ca="1" si="82"/>
        <v>978569135.25746167</v>
      </c>
      <c r="E613" s="40">
        <f t="shared" ca="1" si="83"/>
        <v>3838569057706.4077</v>
      </c>
      <c r="F613" s="40">
        <f t="shared" ca="1" si="84"/>
        <v>968636636015.40247</v>
      </c>
      <c r="G613" s="40">
        <f t="shared" ca="1" si="85"/>
        <v>128804421648694.25</v>
      </c>
      <c r="H613" s="40">
        <f t="shared" ca="1" si="86"/>
        <v>3838569057706.4077</v>
      </c>
      <c r="I613" s="40">
        <f t="shared" ca="1" si="87"/>
        <v>55382617981882.328</v>
      </c>
      <c r="J613" s="40">
        <f t="shared" ca="1" si="88"/>
        <v>1597137853114.7566</v>
      </c>
      <c r="K613" s="41">
        <f t="shared" ca="1" si="89"/>
        <v>34.676166414736528</v>
      </c>
    </row>
    <row r="614" spans="2:11" ht="15" customHeight="1" x14ac:dyDescent="0.35">
      <c r="B614" s="5">
        <v>593</v>
      </c>
      <c r="C614" s="39">
        <f t="shared" ca="1" si="81"/>
        <v>2.5410349943571062</v>
      </c>
      <c r="D614" s="40">
        <f t="shared" ca="1" si="82"/>
        <v>1991830131.5254588</v>
      </c>
      <c r="E614" s="40">
        <f t="shared" ca="1" si="83"/>
        <v>13161007690059.957</v>
      </c>
      <c r="F614" s="40">
        <f t="shared" ca="1" si="84"/>
        <v>1650365383613.6272</v>
      </c>
      <c r="G614" s="40">
        <f t="shared" ca="1" si="85"/>
        <v>23078440918784.891</v>
      </c>
      <c r="H614" s="40">
        <f t="shared" ca="1" si="86"/>
        <v>23078440918784.891</v>
      </c>
      <c r="I614" s="40">
        <f t="shared" ca="1" si="87"/>
        <v>37724532411051.938</v>
      </c>
      <c r="J614" s="40">
        <f t="shared" ca="1" si="88"/>
        <v>648096488445.51733</v>
      </c>
      <c r="K614" s="41">
        <f t="shared" ca="1" si="89"/>
        <v>58.208203691298472</v>
      </c>
    </row>
    <row r="615" spans="2:11" ht="15" customHeight="1" x14ac:dyDescent="0.35">
      <c r="B615" s="5">
        <v>594</v>
      </c>
      <c r="C615" s="39">
        <f t="shared" ca="1" si="81"/>
        <v>2.6140524931098557</v>
      </c>
      <c r="D615" s="40">
        <f t="shared" ca="1" si="82"/>
        <v>2210771802.4616961</v>
      </c>
      <c r="E615" s="40">
        <f t="shared" ca="1" si="83"/>
        <v>21936521247555.32</v>
      </c>
      <c r="F615" s="40">
        <f t="shared" ca="1" si="84"/>
        <v>1934314250342.0012</v>
      </c>
      <c r="G615" s="40">
        <f t="shared" ca="1" si="85"/>
        <v>25057026251719.484</v>
      </c>
      <c r="H615" s="40">
        <f t="shared" ca="1" si="86"/>
        <v>21936521247555.32</v>
      </c>
      <c r="I615" s="40">
        <f t="shared" ca="1" si="87"/>
        <v>1356706386639.293</v>
      </c>
      <c r="J615" s="40">
        <f t="shared" ca="1" si="88"/>
        <v>620984428540.25195</v>
      </c>
      <c r="K615" s="41">
        <f t="shared" ca="1" si="89"/>
        <v>2.1847671604721275</v>
      </c>
    </row>
    <row r="616" spans="2:11" ht="15" customHeight="1" x14ac:dyDescent="0.35">
      <c r="B616" s="5">
        <v>595</v>
      </c>
      <c r="C616" s="39">
        <f t="shared" ca="1" si="81"/>
        <v>2.4078116891108707</v>
      </c>
      <c r="D616" s="40">
        <f t="shared" ca="1" si="82"/>
        <v>1358865626.1297483</v>
      </c>
      <c r="E616" s="40">
        <f t="shared" ca="1" si="83"/>
        <v>8949108993900.3613</v>
      </c>
      <c r="F616" s="40">
        <f t="shared" ca="1" si="84"/>
        <v>5778768104361.457</v>
      </c>
      <c r="G616" s="40">
        <f t="shared" ca="1" si="85"/>
        <v>3885171277638.5181</v>
      </c>
      <c r="H616" s="40">
        <f t="shared" ca="1" si="86"/>
        <v>8949108993900.3613</v>
      </c>
      <c r="I616" s="40">
        <f t="shared" ca="1" si="87"/>
        <v>2593495676808.292</v>
      </c>
      <c r="J616" s="40">
        <f t="shared" ca="1" si="88"/>
        <v>793903152644.20972</v>
      </c>
      <c r="K616" s="41">
        <f t="shared" ca="1" si="89"/>
        <v>3.2667658116361902</v>
      </c>
    </row>
    <row r="617" spans="2:11" ht="15" customHeight="1" x14ac:dyDescent="0.35">
      <c r="B617" s="5">
        <v>596</v>
      </c>
      <c r="C617" s="39">
        <f t="shared" ca="1" si="81"/>
        <v>3.3491935169391027</v>
      </c>
      <c r="D617" s="40">
        <f t="shared" ca="1" si="82"/>
        <v>8507524394.1123629</v>
      </c>
      <c r="E617" s="40">
        <f t="shared" ca="1" si="83"/>
        <v>49368711979752.211</v>
      </c>
      <c r="F617" s="40">
        <f t="shared" ca="1" si="84"/>
        <v>8948141301858.6074</v>
      </c>
      <c r="G617" s="40">
        <f t="shared" ca="1" si="85"/>
        <v>20994567810373.469</v>
      </c>
      <c r="H617" s="40">
        <f t="shared" ca="1" si="86"/>
        <v>8948141301858.6074</v>
      </c>
      <c r="I617" s="40">
        <f t="shared" ca="1" si="87"/>
        <v>574136096497.1543</v>
      </c>
      <c r="J617" s="40">
        <f t="shared" ca="1" si="88"/>
        <v>1120032116912.0652</v>
      </c>
      <c r="K617" s="41">
        <f t="shared" ca="1" si="89"/>
        <v>0.5126068153117348</v>
      </c>
    </row>
    <row r="618" spans="2:11" ht="15" customHeight="1" x14ac:dyDescent="0.35">
      <c r="B618" s="5">
        <v>597</v>
      </c>
      <c r="C618" s="39">
        <f t="shared" ca="1" si="81"/>
        <v>2.8832142014095816</v>
      </c>
      <c r="D618" s="40">
        <f t="shared" ca="1" si="82"/>
        <v>4014348891.4561501</v>
      </c>
      <c r="E618" s="40">
        <f t="shared" ca="1" si="83"/>
        <v>21915585266783.676</v>
      </c>
      <c r="F618" s="40">
        <f t="shared" ca="1" si="84"/>
        <v>1436806107477.5471</v>
      </c>
      <c r="G618" s="40">
        <f t="shared" ca="1" si="85"/>
        <v>13559458011740.076</v>
      </c>
      <c r="H618" s="40">
        <f t="shared" ca="1" si="86"/>
        <v>21915585266783.676</v>
      </c>
      <c r="I618" s="40">
        <f t="shared" ca="1" si="87"/>
        <v>7673600356393.2002</v>
      </c>
      <c r="J618" s="40">
        <f t="shared" ca="1" si="88"/>
        <v>1104511959683.4973</v>
      </c>
      <c r="K618" s="41">
        <f t="shared" ca="1" si="89"/>
        <v>6.9475031837519472</v>
      </c>
    </row>
    <row r="619" spans="2:11" ht="15" customHeight="1" x14ac:dyDescent="0.35">
      <c r="B619" s="5">
        <v>598</v>
      </c>
      <c r="C619" s="39">
        <f t="shared" ca="1" si="81"/>
        <v>2.4403746769929939</v>
      </c>
      <c r="D619" s="40">
        <f t="shared" ca="1" si="82"/>
        <v>1476733728.2527514</v>
      </c>
      <c r="E619" s="40">
        <f t="shared" ca="1" si="83"/>
        <v>2843352638640.479</v>
      </c>
      <c r="F619" s="40">
        <f t="shared" ca="1" si="84"/>
        <v>5603108312417.1621</v>
      </c>
      <c r="G619" s="40">
        <f t="shared" ca="1" si="85"/>
        <v>2242331220170.7217</v>
      </c>
      <c r="H619" s="40">
        <f t="shared" ca="1" si="86"/>
        <v>5603108312417.1621</v>
      </c>
      <c r="I619" s="40">
        <f t="shared" ca="1" si="87"/>
        <v>41269566994254.328</v>
      </c>
      <c r="J619" s="40">
        <f t="shared" ca="1" si="88"/>
        <v>1126434564277.6548</v>
      </c>
      <c r="K619" s="41">
        <f t="shared" ca="1" si="89"/>
        <v>36.637340776842315</v>
      </c>
    </row>
    <row r="620" spans="2:11" ht="15" customHeight="1" x14ac:dyDescent="0.35">
      <c r="B620" s="5">
        <v>599</v>
      </c>
      <c r="C620" s="39">
        <f t="shared" ca="1" si="81"/>
        <v>1.8</v>
      </c>
      <c r="D620" s="40">
        <f t="shared" ca="1" si="82"/>
        <v>438321303.15753722</v>
      </c>
      <c r="E620" s="40">
        <f t="shared" ca="1" si="83"/>
        <v>1674297701734.6318</v>
      </c>
      <c r="F620" s="40">
        <f t="shared" ca="1" si="84"/>
        <v>13655953114649.297</v>
      </c>
      <c r="G620" s="40">
        <f t="shared" ca="1" si="85"/>
        <v>1551742577814.498</v>
      </c>
      <c r="H620" s="40">
        <f t="shared" ca="1" si="86"/>
        <v>1674297701734.6318</v>
      </c>
      <c r="I620" s="40">
        <f t="shared" ca="1" si="87"/>
        <v>3425134055234.4058</v>
      </c>
      <c r="J620" s="40">
        <f t="shared" ca="1" si="88"/>
        <v>956107284219.40186</v>
      </c>
      <c r="K620" s="41">
        <f t="shared" ca="1" si="89"/>
        <v>3.5823741872553563</v>
      </c>
    </row>
    <row r="621" spans="2:11" ht="15" customHeight="1" x14ac:dyDescent="0.35">
      <c r="B621" s="5">
        <v>600</v>
      </c>
      <c r="C621" s="39">
        <f t="shared" ca="1" si="81"/>
        <v>2.8317647594391966</v>
      </c>
      <c r="D621" s="40">
        <f t="shared" ca="1" si="82"/>
        <v>3268089297.7984943</v>
      </c>
      <c r="E621" s="40">
        <f t="shared" ca="1" si="83"/>
        <v>27263231512856.094</v>
      </c>
      <c r="F621" s="40">
        <f t="shared" ca="1" si="84"/>
        <v>4498719404768.0723</v>
      </c>
      <c r="G621" s="40">
        <f t="shared" ca="1" si="85"/>
        <v>1557768997472.4663</v>
      </c>
      <c r="H621" s="40">
        <f t="shared" ca="1" si="86"/>
        <v>1557768997472.4663</v>
      </c>
      <c r="I621" s="40">
        <f t="shared" ca="1" si="87"/>
        <v>1438211618759.9736</v>
      </c>
      <c r="J621" s="40">
        <f t="shared" ca="1" si="88"/>
        <v>1293282803909.2241</v>
      </c>
      <c r="K621" s="41">
        <f t="shared" ca="1" si="89"/>
        <v>1.1120627401931513</v>
      </c>
    </row>
    <row r="622" spans="2:11" ht="15" customHeight="1" x14ac:dyDescent="0.35">
      <c r="B622" s="5">
        <v>601</v>
      </c>
      <c r="C622" s="39">
        <f t="shared" ca="1" si="81"/>
        <v>2.6764534915401192</v>
      </c>
      <c r="D622" s="40">
        <f t="shared" ca="1" si="82"/>
        <v>2619322137.9124298</v>
      </c>
      <c r="E622" s="40">
        <f t="shared" ca="1" si="83"/>
        <v>15044422767373.152</v>
      </c>
      <c r="F622" s="40">
        <f t="shared" ca="1" si="84"/>
        <v>4711394099885.125</v>
      </c>
      <c r="G622" s="40">
        <f t="shared" ca="1" si="85"/>
        <v>21616151936346.93</v>
      </c>
      <c r="H622" s="40">
        <f t="shared" ca="1" si="86"/>
        <v>15044422767373.152</v>
      </c>
      <c r="I622" s="40">
        <f t="shared" ca="1" si="87"/>
        <v>15727722192594.92</v>
      </c>
      <c r="J622" s="40">
        <f t="shared" ca="1" si="88"/>
        <v>1293136915285.1228</v>
      </c>
      <c r="K622" s="41">
        <f t="shared" ca="1" si="89"/>
        <v>12.162457050518217</v>
      </c>
    </row>
    <row r="623" spans="2:11" ht="15" customHeight="1" x14ac:dyDescent="0.35">
      <c r="B623" s="5">
        <v>602</v>
      </c>
      <c r="C623" s="39">
        <f t="shared" ca="1" si="81"/>
        <v>3.5503245529547955</v>
      </c>
      <c r="D623" s="40">
        <f t="shared" ca="1" si="82"/>
        <v>12143203938.211588</v>
      </c>
      <c r="E623" s="40">
        <f t="shared" ca="1" si="83"/>
        <v>82739636865525.875</v>
      </c>
      <c r="F623" s="40">
        <f t="shared" ca="1" si="84"/>
        <v>880222719543.45166</v>
      </c>
      <c r="G623" s="40">
        <f t="shared" ca="1" si="85"/>
        <v>29965856944734.43</v>
      </c>
      <c r="H623" s="40">
        <f t="shared" ca="1" si="86"/>
        <v>82739636865525.875</v>
      </c>
      <c r="I623" s="40">
        <f t="shared" ca="1" si="87"/>
        <v>17573652909028.531</v>
      </c>
      <c r="J623" s="40">
        <f t="shared" ca="1" si="88"/>
        <v>1108012726807.0508</v>
      </c>
      <c r="K623" s="41">
        <f t="shared" ca="1" si="89"/>
        <v>15.86051539287852</v>
      </c>
    </row>
    <row r="624" spans="2:11" ht="15" customHeight="1" x14ac:dyDescent="0.35">
      <c r="B624" s="5">
        <v>603</v>
      </c>
      <c r="C624" s="39">
        <f t="shared" ca="1" si="81"/>
        <v>2.3480229430634232</v>
      </c>
      <c r="D624" s="40">
        <f t="shared" ca="1" si="82"/>
        <v>1297811951.3636672</v>
      </c>
      <c r="E624" s="40">
        <f t="shared" ca="1" si="83"/>
        <v>6779609951031.2441</v>
      </c>
      <c r="F624" s="40">
        <f t="shared" ca="1" si="84"/>
        <v>1371435888460.5159</v>
      </c>
      <c r="G624" s="40">
        <f t="shared" ca="1" si="85"/>
        <v>16498401698413.43</v>
      </c>
      <c r="H624" s="40">
        <f t="shared" ca="1" si="86"/>
        <v>6779609951031.2441</v>
      </c>
      <c r="I624" s="40">
        <f t="shared" ca="1" si="87"/>
        <v>2720235521811.9458</v>
      </c>
      <c r="J624" s="40">
        <f t="shared" ca="1" si="88"/>
        <v>508932391002.74731</v>
      </c>
      <c r="K624" s="41">
        <f t="shared" ca="1" si="89"/>
        <v>5.3449840684187491</v>
      </c>
    </row>
    <row r="625" spans="2:11" ht="15" customHeight="1" x14ac:dyDescent="0.35">
      <c r="B625" s="5">
        <v>604</v>
      </c>
      <c r="C625" s="39">
        <f t="shared" ca="1" si="81"/>
        <v>3.7870352295202352</v>
      </c>
      <c r="D625" s="40">
        <f t="shared" ca="1" si="82"/>
        <v>15803910083.038816</v>
      </c>
      <c r="E625" s="40">
        <f t="shared" ca="1" si="83"/>
        <v>81738144220594.828</v>
      </c>
      <c r="F625" s="40">
        <f t="shared" ca="1" si="84"/>
        <v>3912877921875.0303</v>
      </c>
      <c r="G625" s="40">
        <f t="shared" ca="1" si="85"/>
        <v>1543963786494.2263</v>
      </c>
      <c r="H625" s="40">
        <f t="shared" ca="1" si="86"/>
        <v>3912877921875.0303</v>
      </c>
      <c r="I625" s="40">
        <f t="shared" ca="1" si="87"/>
        <v>26622319029260.492</v>
      </c>
      <c r="J625" s="40">
        <f t="shared" ca="1" si="88"/>
        <v>835140162954.4989</v>
      </c>
      <c r="K625" s="41">
        <f t="shared" ca="1" si="89"/>
        <v>31.87766582207945</v>
      </c>
    </row>
    <row r="626" spans="2:11" ht="15" customHeight="1" x14ac:dyDescent="0.35">
      <c r="B626" s="5">
        <v>605</v>
      </c>
      <c r="C626" s="39">
        <f t="shared" ca="1" si="81"/>
        <v>2.6663397634870396</v>
      </c>
      <c r="D626" s="40">
        <f t="shared" ca="1" si="82"/>
        <v>2409894126.8564</v>
      </c>
      <c r="E626" s="40">
        <f t="shared" ca="1" si="83"/>
        <v>13958968582399.361</v>
      </c>
      <c r="F626" s="40">
        <f t="shared" ca="1" si="84"/>
        <v>3207741265062.6475</v>
      </c>
      <c r="G626" s="40">
        <f t="shared" ca="1" si="85"/>
        <v>15958993052323.883</v>
      </c>
      <c r="H626" s="40">
        <f t="shared" ca="1" si="86"/>
        <v>15958993052323.883</v>
      </c>
      <c r="I626" s="40">
        <f t="shared" ca="1" si="87"/>
        <v>184262479635229.91</v>
      </c>
      <c r="J626" s="40">
        <f t="shared" ca="1" si="88"/>
        <v>864295191601.90649</v>
      </c>
      <c r="K626" s="41">
        <f t="shared" ca="1" si="89"/>
        <v>213.19391965343829</v>
      </c>
    </row>
    <row r="627" spans="2:11" ht="15" customHeight="1" x14ac:dyDescent="0.35">
      <c r="B627" s="5">
        <v>606</v>
      </c>
      <c r="C627" s="39">
        <f t="shared" ca="1" si="81"/>
        <v>2.5800953977506795</v>
      </c>
      <c r="D627" s="40">
        <f t="shared" ca="1" si="82"/>
        <v>2419125703.308497</v>
      </c>
      <c r="E627" s="40">
        <f t="shared" ca="1" si="83"/>
        <v>46376000971117.813</v>
      </c>
      <c r="F627" s="40">
        <f t="shared" ca="1" si="84"/>
        <v>975541536657.54883</v>
      </c>
      <c r="G627" s="40">
        <f t="shared" ca="1" si="85"/>
        <v>10168483411610.443</v>
      </c>
      <c r="H627" s="40">
        <f t="shared" ca="1" si="86"/>
        <v>975541536657.54883</v>
      </c>
      <c r="I627" s="40">
        <f t="shared" ca="1" si="87"/>
        <v>6482624877680.9268</v>
      </c>
      <c r="J627" s="40">
        <f t="shared" ca="1" si="88"/>
        <v>1236328274322.521</v>
      </c>
      <c r="K627" s="41">
        <f t="shared" ca="1" si="89"/>
        <v>5.2434495047306537</v>
      </c>
    </row>
    <row r="628" spans="2:11" ht="15" customHeight="1" x14ac:dyDescent="0.35">
      <c r="B628" s="5">
        <v>607</v>
      </c>
      <c r="C628" s="39">
        <f t="shared" ca="1" si="81"/>
        <v>3.7011572774986514</v>
      </c>
      <c r="D628" s="40">
        <f t="shared" ca="1" si="82"/>
        <v>16614815444.637602</v>
      </c>
      <c r="E628" s="40">
        <f t="shared" ca="1" si="83"/>
        <v>29271247699518.414</v>
      </c>
      <c r="F628" s="40">
        <f t="shared" ca="1" si="84"/>
        <v>3085403554517.4434</v>
      </c>
      <c r="G628" s="40">
        <f t="shared" ca="1" si="85"/>
        <v>16263138435331.045</v>
      </c>
      <c r="H628" s="40">
        <f t="shared" ca="1" si="86"/>
        <v>16263138435331.045</v>
      </c>
      <c r="I628" s="40">
        <f t="shared" ca="1" si="87"/>
        <v>1644875382143.8711</v>
      </c>
      <c r="J628" s="40">
        <f t="shared" ca="1" si="88"/>
        <v>1234977913433.6328</v>
      </c>
      <c r="K628" s="41">
        <f t="shared" ca="1" si="89"/>
        <v>1.331906720153879</v>
      </c>
    </row>
    <row r="629" spans="2:11" ht="15" customHeight="1" x14ac:dyDescent="0.35">
      <c r="B629" s="5">
        <v>608</v>
      </c>
      <c r="C629" s="39">
        <f t="shared" ca="1" si="81"/>
        <v>2.170607006652058</v>
      </c>
      <c r="D629" s="40">
        <f t="shared" ca="1" si="82"/>
        <v>1056822955.9721173</v>
      </c>
      <c r="E629" s="40">
        <f t="shared" ca="1" si="83"/>
        <v>4695546907538.2568</v>
      </c>
      <c r="F629" s="40">
        <f t="shared" ca="1" si="84"/>
        <v>1761599299361.7048</v>
      </c>
      <c r="G629" s="40">
        <f t="shared" ca="1" si="85"/>
        <v>1550886569916.251</v>
      </c>
      <c r="H629" s="40">
        <f t="shared" ca="1" si="86"/>
        <v>4695546907538.2568</v>
      </c>
      <c r="I629" s="40">
        <f t="shared" ca="1" si="87"/>
        <v>7380552689288.0586</v>
      </c>
      <c r="J629" s="40">
        <f t="shared" ca="1" si="88"/>
        <v>1383029692665.1885</v>
      </c>
      <c r="K629" s="41">
        <f t="shared" ca="1" si="89"/>
        <v>5.3365106536977178</v>
      </c>
    </row>
    <row r="630" spans="2:11" ht="15" customHeight="1" x14ac:dyDescent="0.35">
      <c r="B630" s="5">
        <v>609</v>
      </c>
      <c r="C630" s="39">
        <f t="shared" ca="1" si="81"/>
        <v>2.9623306469883501</v>
      </c>
      <c r="D630" s="40">
        <f t="shared" ca="1" si="82"/>
        <v>3830604678.7812533</v>
      </c>
      <c r="E630" s="40">
        <f t="shared" ca="1" si="83"/>
        <v>26239950746143.465</v>
      </c>
      <c r="F630" s="40">
        <f t="shared" ca="1" si="84"/>
        <v>3004021518542.5059</v>
      </c>
      <c r="G630" s="40">
        <f t="shared" ca="1" si="85"/>
        <v>2160161850011.1331</v>
      </c>
      <c r="H630" s="40">
        <f t="shared" ca="1" si="86"/>
        <v>3004021518542.5059</v>
      </c>
      <c r="I630" s="40">
        <f t="shared" ca="1" si="87"/>
        <v>142070123038024.03</v>
      </c>
      <c r="J630" s="40">
        <f t="shared" ca="1" si="88"/>
        <v>780862910705.82764</v>
      </c>
      <c r="K630" s="41">
        <f t="shared" ca="1" si="89"/>
        <v>181.93990403463499</v>
      </c>
    </row>
    <row r="631" spans="2:11" ht="15" customHeight="1" x14ac:dyDescent="0.35">
      <c r="B631" s="5">
        <v>610</v>
      </c>
      <c r="C631" s="39">
        <f t="shared" ca="1" si="81"/>
        <v>2.4996324176617133</v>
      </c>
      <c r="D631" s="40">
        <f t="shared" ca="1" si="82"/>
        <v>1886291752.807992</v>
      </c>
      <c r="E631" s="40">
        <f t="shared" ca="1" si="83"/>
        <v>7791529885113.7295</v>
      </c>
      <c r="F631" s="40">
        <f t="shared" ca="1" si="84"/>
        <v>933694174162.7384</v>
      </c>
      <c r="G631" s="40">
        <f t="shared" ca="1" si="85"/>
        <v>3521992088515.7827</v>
      </c>
      <c r="H631" s="40">
        <f t="shared" ca="1" si="86"/>
        <v>7791529885113.7295</v>
      </c>
      <c r="I631" s="40">
        <f t="shared" ca="1" si="87"/>
        <v>2067812746687.0591</v>
      </c>
      <c r="J631" s="40">
        <f t="shared" ca="1" si="88"/>
        <v>1198534255716.0049</v>
      </c>
      <c r="K631" s="41">
        <f t="shared" ca="1" si="89"/>
        <v>1.7252846439935476</v>
      </c>
    </row>
    <row r="632" spans="2:11" ht="15" customHeight="1" x14ac:dyDescent="0.35">
      <c r="B632" s="5">
        <v>611</v>
      </c>
      <c r="C632" s="39">
        <f t="shared" ca="1" si="81"/>
        <v>3.3792922242001855</v>
      </c>
      <c r="D632" s="40">
        <f t="shared" ca="1" si="82"/>
        <v>7540946456.2910337</v>
      </c>
      <c r="E632" s="40">
        <f t="shared" ca="1" si="83"/>
        <v>34973714140773.234</v>
      </c>
      <c r="F632" s="40">
        <f t="shared" ca="1" si="84"/>
        <v>5801400105180.0273</v>
      </c>
      <c r="G632" s="40">
        <f t="shared" ca="1" si="85"/>
        <v>6596781322120.6455</v>
      </c>
      <c r="H632" s="40">
        <f t="shared" ca="1" si="86"/>
        <v>6596781322120.6455</v>
      </c>
      <c r="I632" s="40">
        <f t="shared" ca="1" si="87"/>
        <v>5886387047218.1797</v>
      </c>
      <c r="J632" s="40">
        <f t="shared" ca="1" si="88"/>
        <v>1005511007296.0649</v>
      </c>
      <c r="K632" s="41">
        <f t="shared" ca="1" si="89"/>
        <v>5.8541249220606284</v>
      </c>
    </row>
    <row r="633" spans="2:11" ht="15" customHeight="1" x14ac:dyDescent="0.35">
      <c r="B633" s="5">
        <v>612</v>
      </c>
      <c r="C633" s="39">
        <f t="shared" ca="1" si="81"/>
        <v>2.5815654447287013</v>
      </c>
      <c r="D633" s="40">
        <f t="shared" ca="1" si="82"/>
        <v>2186099676.9132538</v>
      </c>
      <c r="E633" s="40">
        <f t="shared" ca="1" si="83"/>
        <v>17914838109275.762</v>
      </c>
      <c r="F633" s="40">
        <f t="shared" ca="1" si="84"/>
        <v>5676003918894.0498</v>
      </c>
      <c r="G633" s="40">
        <f t="shared" ca="1" si="85"/>
        <v>33908045192393.129</v>
      </c>
      <c r="H633" s="40">
        <f t="shared" ca="1" si="86"/>
        <v>5676003918894.0498</v>
      </c>
      <c r="I633" s="40">
        <f t="shared" ca="1" si="87"/>
        <v>4258829594453.3242</v>
      </c>
      <c r="J633" s="40">
        <f t="shared" ca="1" si="88"/>
        <v>1255916660125.1211</v>
      </c>
      <c r="K633" s="41">
        <f t="shared" ca="1" si="89"/>
        <v>3.3910128989204082</v>
      </c>
    </row>
    <row r="634" spans="2:11" ht="15" customHeight="1" x14ac:dyDescent="0.35">
      <c r="B634" s="5">
        <v>613</v>
      </c>
      <c r="C634" s="39">
        <f t="shared" ca="1" si="81"/>
        <v>2.4744671480145395</v>
      </c>
      <c r="D634" s="40">
        <f t="shared" ca="1" si="82"/>
        <v>1572320735.636976</v>
      </c>
      <c r="E634" s="40">
        <f t="shared" ca="1" si="83"/>
        <v>1619684100383.2739</v>
      </c>
      <c r="F634" s="40">
        <f t="shared" ca="1" si="84"/>
        <v>2285526197626.1982</v>
      </c>
      <c r="G634" s="40">
        <f t="shared" ca="1" si="85"/>
        <v>18389543053747.375</v>
      </c>
      <c r="H634" s="40">
        <f t="shared" ca="1" si="86"/>
        <v>18389543053747.375</v>
      </c>
      <c r="I634" s="40">
        <f t="shared" ca="1" si="87"/>
        <v>36784478450786.773</v>
      </c>
      <c r="J634" s="40">
        <f t="shared" ca="1" si="88"/>
        <v>1127207463750.2009</v>
      </c>
      <c r="K634" s="41">
        <f t="shared" ca="1" si="89"/>
        <v>32.633281479884289</v>
      </c>
    </row>
    <row r="635" spans="2:11" ht="15" customHeight="1" x14ac:dyDescent="0.35">
      <c r="B635" s="5">
        <v>614</v>
      </c>
      <c r="C635" s="39">
        <f t="shared" ca="1" si="81"/>
        <v>2.6046520198133662</v>
      </c>
      <c r="D635" s="40">
        <f t="shared" ca="1" si="82"/>
        <v>2031855765.3951578</v>
      </c>
      <c r="E635" s="40">
        <f t="shared" ca="1" si="83"/>
        <v>4797153763748.6689</v>
      </c>
      <c r="F635" s="40">
        <f t="shared" ca="1" si="84"/>
        <v>6661976101736.6338</v>
      </c>
      <c r="G635" s="40">
        <f t="shared" ca="1" si="85"/>
        <v>8575375195034.6201</v>
      </c>
      <c r="H635" s="40">
        <f t="shared" ca="1" si="86"/>
        <v>8575375195034.6201</v>
      </c>
      <c r="I635" s="40">
        <f t="shared" ca="1" si="87"/>
        <v>7967678885759.3125</v>
      </c>
      <c r="J635" s="40">
        <f t="shared" ca="1" si="88"/>
        <v>823779637222.69177</v>
      </c>
      <c r="K635" s="41">
        <f t="shared" ca="1" si="89"/>
        <v>9.6720998258972681</v>
      </c>
    </row>
    <row r="636" spans="2:11" ht="15" customHeight="1" x14ac:dyDescent="0.35">
      <c r="B636" s="5">
        <v>615</v>
      </c>
      <c r="C636" s="39">
        <f t="shared" ca="1" si="81"/>
        <v>3.0002275363496431</v>
      </c>
      <c r="D636" s="40">
        <f t="shared" ca="1" si="82"/>
        <v>4198281735.8950977</v>
      </c>
      <c r="E636" s="40">
        <f t="shared" ca="1" si="83"/>
        <v>3844041256107.9678</v>
      </c>
      <c r="F636" s="40">
        <f t="shared" ca="1" si="84"/>
        <v>576683461494.74719</v>
      </c>
      <c r="G636" s="40">
        <f t="shared" ca="1" si="85"/>
        <v>2557582789210.0786</v>
      </c>
      <c r="H636" s="40">
        <f t="shared" ca="1" si="86"/>
        <v>3844041256107.9678</v>
      </c>
      <c r="I636" s="40">
        <f t="shared" ca="1" si="87"/>
        <v>11183999113045.057</v>
      </c>
      <c r="J636" s="40">
        <f t="shared" ca="1" si="88"/>
        <v>1079470983342.566</v>
      </c>
      <c r="K636" s="41">
        <f t="shared" ca="1" si="89"/>
        <v>10.360629684008705</v>
      </c>
    </row>
    <row r="637" spans="2:11" ht="15" customHeight="1" x14ac:dyDescent="0.35">
      <c r="B637" s="5">
        <v>616</v>
      </c>
      <c r="C637" s="39">
        <f t="shared" ca="1" si="81"/>
        <v>2.5707414552623176</v>
      </c>
      <c r="D637" s="40">
        <f t="shared" ca="1" si="82"/>
        <v>2492466771.140923</v>
      </c>
      <c r="E637" s="40">
        <f t="shared" ca="1" si="83"/>
        <v>6118080295811.71</v>
      </c>
      <c r="F637" s="40">
        <f t="shared" ca="1" si="84"/>
        <v>4346064767846.4165</v>
      </c>
      <c r="G637" s="40">
        <f t="shared" ca="1" si="85"/>
        <v>8690357084954.2637</v>
      </c>
      <c r="H637" s="40">
        <f t="shared" ca="1" si="86"/>
        <v>4346064767846.4165</v>
      </c>
      <c r="I637" s="40">
        <f t="shared" ca="1" si="87"/>
        <v>1579445133675.8403</v>
      </c>
      <c r="J637" s="40">
        <f t="shared" ca="1" si="88"/>
        <v>1029369424205.2383</v>
      </c>
      <c r="K637" s="41">
        <f t="shared" ca="1" si="89"/>
        <v>1.5343812401415631</v>
      </c>
    </row>
    <row r="638" spans="2:11" ht="15" customHeight="1" x14ac:dyDescent="0.35">
      <c r="B638" s="5">
        <v>617</v>
      </c>
      <c r="C638" s="39">
        <f t="shared" ca="1" si="81"/>
        <v>3.8410723397924507</v>
      </c>
      <c r="D638" s="40">
        <f t="shared" ca="1" si="82"/>
        <v>15756980489.154028</v>
      </c>
      <c r="E638" s="40">
        <f t="shared" ca="1" si="83"/>
        <v>49130699417960.938</v>
      </c>
      <c r="F638" s="40">
        <f t="shared" ca="1" si="84"/>
        <v>2483965845891.2935</v>
      </c>
      <c r="G638" s="40">
        <f t="shared" ca="1" si="85"/>
        <v>416053879506.83954</v>
      </c>
      <c r="H638" s="40">
        <f t="shared" ca="1" si="86"/>
        <v>416053879506.83954</v>
      </c>
      <c r="I638" s="40">
        <f t="shared" ca="1" si="87"/>
        <v>6987867327574.8057</v>
      </c>
      <c r="J638" s="40">
        <f t="shared" ca="1" si="88"/>
        <v>554632156286.69995</v>
      </c>
      <c r="K638" s="41">
        <f t="shared" ca="1" si="89"/>
        <v>12.599102393123134</v>
      </c>
    </row>
    <row r="639" spans="2:11" ht="15" customHeight="1" x14ac:dyDescent="0.35">
      <c r="B639" s="5">
        <v>618</v>
      </c>
      <c r="C639" s="39">
        <f t="shared" ca="1" si="81"/>
        <v>2.6813289614761762</v>
      </c>
      <c r="D639" s="40">
        <f t="shared" ca="1" si="82"/>
        <v>2931605825.7258568</v>
      </c>
      <c r="E639" s="40">
        <f t="shared" ca="1" si="83"/>
        <v>2465681124702.5215</v>
      </c>
      <c r="F639" s="40">
        <f t="shared" ca="1" si="84"/>
        <v>117889892225.8905</v>
      </c>
      <c r="G639" s="40">
        <f t="shared" ca="1" si="85"/>
        <v>1395868922516.6865</v>
      </c>
      <c r="H639" s="40">
        <f t="shared" ca="1" si="86"/>
        <v>2465681124702.5215</v>
      </c>
      <c r="I639" s="40">
        <f t="shared" ca="1" si="87"/>
        <v>106495349742764.25</v>
      </c>
      <c r="J639" s="40">
        <f t="shared" ca="1" si="88"/>
        <v>575789377049.453</v>
      </c>
      <c r="K639" s="41">
        <f t="shared" ca="1" si="89"/>
        <v>184.95539165464257</v>
      </c>
    </row>
    <row r="640" spans="2:11" ht="15" customHeight="1" x14ac:dyDescent="0.35">
      <c r="B640" s="5">
        <v>619</v>
      </c>
      <c r="C640" s="39">
        <f t="shared" ca="1" si="81"/>
        <v>2.9494019008098222</v>
      </c>
      <c r="D640" s="40">
        <f t="shared" ca="1" si="82"/>
        <v>5040361634.4916639</v>
      </c>
      <c r="E640" s="40">
        <f t="shared" ca="1" si="83"/>
        <v>17484682882434.553</v>
      </c>
      <c r="F640" s="40">
        <f t="shared" ca="1" si="84"/>
        <v>3339823444752.0884</v>
      </c>
      <c r="G640" s="40">
        <f t="shared" ca="1" si="85"/>
        <v>565060910906.13354</v>
      </c>
      <c r="H640" s="40">
        <f t="shared" ca="1" si="86"/>
        <v>565060910906.13354</v>
      </c>
      <c r="I640" s="40">
        <f t="shared" ca="1" si="87"/>
        <v>2131204892410.9182</v>
      </c>
      <c r="J640" s="40">
        <f t="shared" ca="1" si="88"/>
        <v>579825497047.60425</v>
      </c>
      <c r="K640" s="41">
        <f t="shared" ca="1" si="89"/>
        <v>3.6755970602581902</v>
      </c>
    </row>
    <row r="641" spans="2:11" ht="15" customHeight="1" x14ac:dyDescent="0.35">
      <c r="B641" s="5">
        <v>620</v>
      </c>
      <c r="C641" s="39">
        <f t="shared" ca="1" si="81"/>
        <v>3.5276933083960151</v>
      </c>
      <c r="D641" s="40">
        <f t="shared" ca="1" si="82"/>
        <v>11487311809.92016</v>
      </c>
      <c r="E641" s="40">
        <f t="shared" ca="1" si="83"/>
        <v>39754890854498.422</v>
      </c>
      <c r="F641" s="40">
        <f t="shared" ca="1" si="84"/>
        <v>3650975820609.167</v>
      </c>
      <c r="G641" s="40">
        <f t="shared" ca="1" si="85"/>
        <v>7714291243229.5381</v>
      </c>
      <c r="H641" s="40">
        <f t="shared" ca="1" si="86"/>
        <v>7714291243229.5381</v>
      </c>
      <c r="I641" s="40">
        <f t="shared" ca="1" si="87"/>
        <v>2414118624069.3843</v>
      </c>
      <c r="J641" s="40">
        <f t="shared" ca="1" si="88"/>
        <v>1000129058432.3674</v>
      </c>
      <c r="K641" s="41">
        <f t="shared" ca="1" si="89"/>
        <v>2.4138071019087746</v>
      </c>
    </row>
    <row r="642" spans="2:11" ht="15" customHeight="1" x14ac:dyDescent="0.35">
      <c r="B642" s="5">
        <v>621</v>
      </c>
      <c r="C642" s="39">
        <f t="shared" ca="1" si="81"/>
        <v>2.9785128093215425</v>
      </c>
      <c r="D642" s="40">
        <f t="shared" ca="1" si="82"/>
        <v>4394930247.9023151</v>
      </c>
      <c r="E642" s="40">
        <f t="shared" ca="1" si="83"/>
        <v>8463373718103.6328</v>
      </c>
      <c r="F642" s="40">
        <f t="shared" ca="1" si="84"/>
        <v>16516488158572.75</v>
      </c>
      <c r="G642" s="40">
        <f t="shared" ca="1" si="85"/>
        <v>10248247163180.795</v>
      </c>
      <c r="H642" s="40">
        <f t="shared" ca="1" si="86"/>
        <v>10248247163180.795</v>
      </c>
      <c r="I642" s="40">
        <f t="shared" ca="1" si="87"/>
        <v>24406540572235.633</v>
      </c>
      <c r="J642" s="40">
        <f t="shared" ca="1" si="88"/>
        <v>1814124123221.9177</v>
      </c>
      <c r="K642" s="41">
        <f t="shared" ca="1" si="89"/>
        <v>13.453622196969174</v>
      </c>
    </row>
    <row r="643" spans="2:11" ht="15" customHeight="1" x14ac:dyDescent="0.35">
      <c r="B643" s="5">
        <v>622</v>
      </c>
      <c r="C643" s="39">
        <f t="shared" ca="1" si="81"/>
        <v>2.988110343475546</v>
      </c>
      <c r="D643" s="40">
        <f t="shared" ca="1" si="82"/>
        <v>5597112828.2419825</v>
      </c>
      <c r="E643" s="40">
        <f t="shared" ca="1" si="83"/>
        <v>8996814729506.9082</v>
      </c>
      <c r="F643" s="40">
        <f t="shared" ca="1" si="84"/>
        <v>5574861711195.208</v>
      </c>
      <c r="G643" s="40">
        <f t="shared" ca="1" si="85"/>
        <v>2246950244452.6523</v>
      </c>
      <c r="H643" s="40">
        <f t="shared" ca="1" si="86"/>
        <v>8996814729506.9082</v>
      </c>
      <c r="I643" s="40">
        <f t="shared" ca="1" si="87"/>
        <v>4906415964863.2168</v>
      </c>
      <c r="J643" s="40">
        <f t="shared" ca="1" si="88"/>
        <v>1515904699978.1406</v>
      </c>
      <c r="K643" s="41">
        <f t="shared" ca="1" si="89"/>
        <v>3.2366256037955203</v>
      </c>
    </row>
    <row r="644" spans="2:11" ht="15" customHeight="1" x14ac:dyDescent="0.35">
      <c r="B644" s="5">
        <v>623</v>
      </c>
      <c r="C644" s="39">
        <f t="shared" ca="1" si="81"/>
        <v>2.7360925761910257</v>
      </c>
      <c r="D644" s="40">
        <f t="shared" ca="1" si="82"/>
        <v>2505942192.601335</v>
      </c>
      <c r="E644" s="40">
        <f t="shared" ca="1" si="83"/>
        <v>11457881728516.563</v>
      </c>
      <c r="F644" s="40">
        <f t="shared" ca="1" si="84"/>
        <v>8870016875638.0859</v>
      </c>
      <c r="G644" s="40">
        <f t="shared" ca="1" si="85"/>
        <v>6689321191701.9805</v>
      </c>
      <c r="H644" s="40">
        <f t="shared" ca="1" si="86"/>
        <v>8870016875638.0859</v>
      </c>
      <c r="I644" s="40">
        <f t="shared" ca="1" si="87"/>
        <v>14627124341466.336</v>
      </c>
      <c r="J644" s="40">
        <f t="shared" ca="1" si="88"/>
        <v>688080146688.65247</v>
      </c>
      <c r="K644" s="41">
        <f t="shared" ca="1" si="89"/>
        <v>21.257878768714022</v>
      </c>
    </row>
    <row r="645" spans="2:11" ht="15" customHeight="1" x14ac:dyDescent="0.35">
      <c r="B645" s="5">
        <v>624</v>
      </c>
      <c r="C645" s="39">
        <f t="shared" ca="1" si="81"/>
        <v>2.8239575466066995</v>
      </c>
      <c r="D645" s="40">
        <f t="shared" ca="1" si="82"/>
        <v>4253639527.8340759</v>
      </c>
      <c r="E645" s="40">
        <f t="shared" ca="1" si="83"/>
        <v>4970383953889.6875</v>
      </c>
      <c r="F645" s="40">
        <f t="shared" ca="1" si="84"/>
        <v>12468218813429.24</v>
      </c>
      <c r="G645" s="40">
        <f t="shared" ca="1" si="85"/>
        <v>7280346140902.0625</v>
      </c>
      <c r="H645" s="40">
        <f t="shared" ca="1" si="86"/>
        <v>7280346140902.0625</v>
      </c>
      <c r="I645" s="40">
        <f t="shared" ca="1" si="87"/>
        <v>6140950997731.916</v>
      </c>
      <c r="J645" s="40">
        <f t="shared" ca="1" si="88"/>
        <v>1231302046292.3013</v>
      </c>
      <c r="K645" s="41">
        <f t="shared" ca="1" si="89"/>
        <v>4.9873635930546509</v>
      </c>
    </row>
    <row r="646" spans="2:11" ht="15" customHeight="1" x14ac:dyDescent="0.35">
      <c r="B646" s="5">
        <v>625</v>
      </c>
      <c r="C646" s="39">
        <f t="shared" ca="1" si="81"/>
        <v>2.5818304738418951</v>
      </c>
      <c r="D646" s="40">
        <f t="shared" ca="1" si="82"/>
        <v>2338589983.9439373</v>
      </c>
      <c r="E646" s="40">
        <f t="shared" ca="1" si="83"/>
        <v>6965461439892.6855</v>
      </c>
      <c r="F646" s="40">
        <f t="shared" ca="1" si="84"/>
        <v>1059502564828.7225</v>
      </c>
      <c r="G646" s="40">
        <f t="shared" ca="1" si="85"/>
        <v>1163144816546.5815</v>
      </c>
      <c r="H646" s="40">
        <f t="shared" ca="1" si="86"/>
        <v>6965461439892.6855</v>
      </c>
      <c r="I646" s="40">
        <f t="shared" ca="1" si="87"/>
        <v>11624907760377.045</v>
      </c>
      <c r="J646" s="40">
        <f t="shared" ca="1" si="88"/>
        <v>1257270011693.8679</v>
      </c>
      <c r="K646" s="41">
        <f t="shared" ca="1" si="89"/>
        <v>9.2461505104343402</v>
      </c>
    </row>
    <row r="647" spans="2:11" ht="15" customHeight="1" x14ac:dyDescent="0.35">
      <c r="B647" s="5">
        <v>626</v>
      </c>
      <c r="C647" s="39">
        <f t="shared" ca="1" si="81"/>
        <v>2.609620935930629</v>
      </c>
      <c r="D647" s="40">
        <f t="shared" ca="1" si="82"/>
        <v>2226735837.8383613</v>
      </c>
      <c r="E647" s="40">
        <f t="shared" ca="1" si="83"/>
        <v>5705678711953.0801</v>
      </c>
      <c r="F647" s="40">
        <f t="shared" ca="1" si="84"/>
        <v>5731928279336.7617</v>
      </c>
      <c r="G647" s="40">
        <f t="shared" ca="1" si="85"/>
        <v>13127190275275.709</v>
      </c>
      <c r="H647" s="40">
        <f t="shared" ca="1" si="86"/>
        <v>5731928279336.7617</v>
      </c>
      <c r="I647" s="40">
        <f t="shared" ca="1" si="87"/>
        <v>5625682000647.6611</v>
      </c>
      <c r="J647" s="40">
        <f t="shared" ca="1" si="88"/>
        <v>1169230498149.4065</v>
      </c>
      <c r="K647" s="41">
        <f t="shared" ca="1" si="89"/>
        <v>4.8114396686980712</v>
      </c>
    </row>
    <row r="648" spans="2:11" ht="15" customHeight="1" x14ac:dyDescent="0.35">
      <c r="B648" s="5">
        <v>627</v>
      </c>
      <c r="C648" s="39">
        <f t="shared" ca="1" si="81"/>
        <v>2.2444706798850187</v>
      </c>
      <c r="D648" s="40">
        <f t="shared" ca="1" si="82"/>
        <v>1008700877.5463405</v>
      </c>
      <c r="E648" s="40">
        <f t="shared" ca="1" si="83"/>
        <v>18350867103900.352</v>
      </c>
      <c r="F648" s="40">
        <f t="shared" ca="1" si="84"/>
        <v>407008001779.0033</v>
      </c>
      <c r="G648" s="40">
        <f t="shared" ca="1" si="85"/>
        <v>5563894892625.4697</v>
      </c>
      <c r="H648" s="40">
        <f t="shared" ca="1" si="86"/>
        <v>5563894892625.4697</v>
      </c>
      <c r="I648" s="40">
        <f t="shared" ca="1" si="87"/>
        <v>3858611223040.0479</v>
      </c>
      <c r="J648" s="40">
        <f t="shared" ca="1" si="88"/>
        <v>724462172176.82935</v>
      </c>
      <c r="K648" s="41">
        <f t="shared" ca="1" si="89"/>
        <v>5.3261734997782932</v>
      </c>
    </row>
    <row r="649" spans="2:11" ht="15" customHeight="1" x14ac:dyDescent="0.35">
      <c r="B649" s="5">
        <v>628</v>
      </c>
      <c r="C649" s="39">
        <f t="shared" ca="1" si="81"/>
        <v>3.1915001789755859</v>
      </c>
      <c r="D649" s="40">
        <f t="shared" ca="1" si="82"/>
        <v>5455794858.3257303</v>
      </c>
      <c r="E649" s="40">
        <f t="shared" ca="1" si="83"/>
        <v>12297105909808.359</v>
      </c>
      <c r="F649" s="40">
        <f t="shared" ca="1" si="84"/>
        <v>8521895795060.2549</v>
      </c>
      <c r="G649" s="40">
        <f t="shared" ca="1" si="85"/>
        <v>15022685550428.16</v>
      </c>
      <c r="H649" s="40">
        <f t="shared" ca="1" si="86"/>
        <v>15022685550428.16</v>
      </c>
      <c r="I649" s="40">
        <f t="shared" ca="1" si="87"/>
        <v>13848912752961.006</v>
      </c>
      <c r="J649" s="40">
        <f t="shared" ca="1" si="88"/>
        <v>1714736747901.9084</v>
      </c>
      <c r="K649" s="41">
        <f t="shared" ca="1" si="89"/>
        <v>8.0764075126435877</v>
      </c>
    </row>
    <row r="650" spans="2:11" ht="15" customHeight="1" x14ac:dyDescent="0.35">
      <c r="B650" s="5">
        <v>629</v>
      </c>
      <c r="C650" s="39">
        <f t="shared" ca="1" si="81"/>
        <v>3.0986829236130951</v>
      </c>
      <c r="D650" s="40">
        <f t="shared" ca="1" si="82"/>
        <v>5988135070.6482344</v>
      </c>
      <c r="E650" s="40">
        <f t="shared" ca="1" si="83"/>
        <v>34031111000093.645</v>
      </c>
      <c r="F650" s="40">
        <f t="shared" ca="1" si="84"/>
        <v>1583019158800.5823</v>
      </c>
      <c r="G650" s="40">
        <f t="shared" ca="1" si="85"/>
        <v>19458560430514.262</v>
      </c>
      <c r="H650" s="40">
        <f t="shared" ca="1" si="86"/>
        <v>19458560430514.262</v>
      </c>
      <c r="I650" s="40">
        <f t="shared" ca="1" si="87"/>
        <v>11889485240493.42</v>
      </c>
      <c r="J650" s="40">
        <f t="shared" ca="1" si="88"/>
        <v>688948487844.25098</v>
      </c>
      <c r="K650" s="41">
        <f t="shared" ca="1" si="89"/>
        <v>17.257437167321644</v>
      </c>
    </row>
    <row r="651" spans="2:11" ht="15" customHeight="1" x14ac:dyDescent="0.35">
      <c r="B651" s="5">
        <v>630</v>
      </c>
      <c r="C651" s="39">
        <f t="shared" ca="1" si="81"/>
        <v>3.6394095061303879</v>
      </c>
      <c r="D651" s="40">
        <f t="shared" ca="1" si="82"/>
        <v>10325326305.598791</v>
      </c>
      <c r="E651" s="40">
        <f t="shared" ca="1" si="83"/>
        <v>57890268196809.125</v>
      </c>
      <c r="F651" s="40">
        <f t="shared" ca="1" si="84"/>
        <v>744217449651.87427</v>
      </c>
      <c r="G651" s="40">
        <f t="shared" ca="1" si="85"/>
        <v>483735855501.03894</v>
      </c>
      <c r="H651" s="40">
        <f t="shared" ca="1" si="86"/>
        <v>57890268196809.125</v>
      </c>
      <c r="I651" s="40">
        <f t="shared" ca="1" si="87"/>
        <v>11995082846970.602</v>
      </c>
      <c r="J651" s="40">
        <f t="shared" ca="1" si="88"/>
        <v>607552967508.54883</v>
      </c>
      <c r="K651" s="41">
        <f t="shared" ca="1" si="89"/>
        <v>19.743270938433561</v>
      </c>
    </row>
    <row r="652" spans="2:11" ht="15" customHeight="1" x14ac:dyDescent="0.35">
      <c r="B652" s="5">
        <v>631</v>
      </c>
      <c r="C652" s="39">
        <f t="shared" ca="1" si="81"/>
        <v>3.1519417346813889</v>
      </c>
      <c r="D652" s="40">
        <f t="shared" ca="1" si="82"/>
        <v>6118351841.1918211</v>
      </c>
      <c r="E652" s="40">
        <f t="shared" ca="1" si="83"/>
        <v>50942937713581.586</v>
      </c>
      <c r="F652" s="40">
        <f t="shared" ca="1" si="84"/>
        <v>1064641541485.1952</v>
      </c>
      <c r="G652" s="40">
        <f t="shared" ca="1" si="85"/>
        <v>17871037661846.492</v>
      </c>
      <c r="H652" s="40">
        <f t="shared" ca="1" si="86"/>
        <v>17871037661846.492</v>
      </c>
      <c r="I652" s="40">
        <f t="shared" ca="1" si="87"/>
        <v>2036798336240.6829</v>
      </c>
      <c r="J652" s="40">
        <f t="shared" ca="1" si="88"/>
        <v>1111173490021.7241</v>
      </c>
      <c r="K652" s="41">
        <f t="shared" ca="1" si="89"/>
        <v>1.8330155952522429</v>
      </c>
    </row>
    <row r="653" spans="2:11" ht="15" customHeight="1" x14ac:dyDescent="0.35">
      <c r="B653" s="5">
        <v>632</v>
      </c>
      <c r="C653" s="39">
        <f t="shared" ca="1" si="81"/>
        <v>3.3879604102770009</v>
      </c>
      <c r="D653" s="40">
        <f t="shared" ca="1" si="82"/>
        <v>10047582761.482628</v>
      </c>
      <c r="E653" s="40">
        <f t="shared" ca="1" si="83"/>
        <v>25539338323614.547</v>
      </c>
      <c r="F653" s="40">
        <f t="shared" ca="1" si="84"/>
        <v>57915606731787.203</v>
      </c>
      <c r="G653" s="40">
        <f t="shared" ca="1" si="85"/>
        <v>28680393678968</v>
      </c>
      <c r="H653" s="40">
        <f t="shared" ca="1" si="86"/>
        <v>25539338323614.547</v>
      </c>
      <c r="I653" s="40">
        <f t="shared" ca="1" si="87"/>
        <v>27861836281716.438</v>
      </c>
      <c r="J653" s="40">
        <f t="shared" ca="1" si="88"/>
        <v>923348505208.87402</v>
      </c>
      <c r="K653" s="41">
        <f t="shared" ca="1" si="89"/>
        <v>30.174778130402355</v>
      </c>
    </row>
    <row r="654" spans="2:11" ht="15" customHeight="1" x14ac:dyDescent="0.35">
      <c r="B654" s="5">
        <v>633</v>
      </c>
      <c r="C654" s="39">
        <f t="shared" ca="1" si="81"/>
        <v>2.8157456065837754</v>
      </c>
      <c r="D654" s="40">
        <f t="shared" ca="1" si="82"/>
        <v>3198931495.1629844</v>
      </c>
      <c r="E654" s="40">
        <f t="shared" ca="1" si="83"/>
        <v>8444007715785.5313</v>
      </c>
      <c r="F654" s="40">
        <f t="shared" ca="1" si="84"/>
        <v>8116217884045.1631</v>
      </c>
      <c r="G654" s="40">
        <f t="shared" ca="1" si="85"/>
        <v>712015388007.6958</v>
      </c>
      <c r="H654" s="40">
        <f t="shared" ca="1" si="86"/>
        <v>8444007715785.5313</v>
      </c>
      <c r="I654" s="40">
        <f t="shared" ca="1" si="87"/>
        <v>11231010687649.309</v>
      </c>
      <c r="J654" s="40">
        <f t="shared" ca="1" si="88"/>
        <v>628950854111.20044</v>
      </c>
      <c r="K654" s="41">
        <f t="shared" ca="1" si="89"/>
        <v>17.85673811274232</v>
      </c>
    </row>
    <row r="655" spans="2:11" ht="15" customHeight="1" x14ac:dyDescent="0.35">
      <c r="B655" s="5">
        <v>634</v>
      </c>
      <c r="C655" s="39">
        <f t="shared" ca="1" si="81"/>
        <v>3.2588315308762028</v>
      </c>
      <c r="D655" s="40">
        <f t="shared" ca="1" si="82"/>
        <v>6663007153.804841</v>
      </c>
      <c r="E655" s="40">
        <f t="shared" ca="1" si="83"/>
        <v>116955757535327.95</v>
      </c>
      <c r="F655" s="40">
        <f t="shared" ca="1" si="84"/>
        <v>3671297732424.6421</v>
      </c>
      <c r="G655" s="40">
        <f t="shared" ca="1" si="85"/>
        <v>2924831751877.7803</v>
      </c>
      <c r="H655" s="40">
        <f t="shared" ca="1" si="86"/>
        <v>3671297732424.6421</v>
      </c>
      <c r="I655" s="40">
        <f t="shared" ca="1" si="87"/>
        <v>9713950311253.2852</v>
      </c>
      <c r="J655" s="40">
        <f t="shared" ca="1" si="88"/>
        <v>1675549997068.1011</v>
      </c>
      <c r="K655" s="41">
        <f t="shared" ca="1" si="89"/>
        <v>5.7974696835372743</v>
      </c>
    </row>
    <row r="656" spans="2:11" ht="15" customHeight="1" x14ac:dyDescent="0.35">
      <c r="B656" s="5">
        <v>635</v>
      </c>
      <c r="C656" s="39">
        <f t="shared" ca="1" si="81"/>
        <v>2.6560132809881885</v>
      </c>
      <c r="D656" s="40">
        <f t="shared" ca="1" si="82"/>
        <v>2121408603.1697435</v>
      </c>
      <c r="E656" s="40">
        <f t="shared" ca="1" si="83"/>
        <v>3927089693400.7861</v>
      </c>
      <c r="F656" s="40">
        <f t="shared" ca="1" si="84"/>
        <v>32999284639157.422</v>
      </c>
      <c r="G656" s="40">
        <f t="shared" ca="1" si="85"/>
        <v>7496352481009.9219</v>
      </c>
      <c r="H656" s="40">
        <f t="shared" ca="1" si="86"/>
        <v>32999284639157.422</v>
      </c>
      <c r="I656" s="40">
        <f t="shared" ca="1" si="87"/>
        <v>18204261723653.684</v>
      </c>
      <c r="J656" s="40">
        <f t="shared" ca="1" si="88"/>
        <v>1111945223994.7754</v>
      </c>
      <c r="K656" s="41">
        <f t="shared" ca="1" si="89"/>
        <v>16.371545406034514</v>
      </c>
    </row>
    <row r="657" spans="2:11" ht="15" customHeight="1" x14ac:dyDescent="0.35">
      <c r="B657" s="5">
        <v>636</v>
      </c>
      <c r="C657" s="39">
        <f t="shared" ca="1" si="81"/>
        <v>3.3631349668516815</v>
      </c>
      <c r="D657" s="40">
        <f t="shared" ca="1" si="82"/>
        <v>8631078332.3645611</v>
      </c>
      <c r="E657" s="40">
        <f t="shared" ca="1" si="83"/>
        <v>9668971108697.2207</v>
      </c>
      <c r="F657" s="40">
        <f t="shared" ca="1" si="84"/>
        <v>329298242881.70911</v>
      </c>
      <c r="G657" s="40">
        <f t="shared" ca="1" si="85"/>
        <v>1036457351274.2048</v>
      </c>
      <c r="H657" s="40">
        <f t="shared" ca="1" si="86"/>
        <v>329298242881.70911</v>
      </c>
      <c r="I657" s="40">
        <f t="shared" ca="1" si="87"/>
        <v>18888018101265.258</v>
      </c>
      <c r="J657" s="40">
        <f t="shared" ca="1" si="88"/>
        <v>877722830878.8717</v>
      </c>
      <c r="K657" s="41">
        <f t="shared" ca="1" si="89"/>
        <v>21.519342367285258</v>
      </c>
    </row>
    <row r="658" spans="2:11" ht="15" customHeight="1" x14ac:dyDescent="0.35">
      <c r="B658" s="5">
        <v>637</v>
      </c>
      <c r="C658" s="39">
        <f t="shared" ca="1" si="81"/>
        <v>3.5623907087176017</v>
      </c>
      <c r="D658" s="40">
        <f t="shared" ca="1" si="82"/>
        <v>13356895743.35276</v>
      </c>
      <c r="E658" s="40">
        <f t="shared" ca="1" si="83"/>
        <v>85801079179828.609</v>
      </c>
      <c r="F658" s="40">
        <f t="shared" ca="1" si="84"/>
        <v>11960198446063.201</v>
      </c>
      <c r="G658" s="40">
        <f t="shared" ca="1" si="85"/>
        <v>276968612521.70007</v>
      </c>
      <c r="H658" s="40">
        <f t="shared" ca="1" si="86"/>
        <v>85801079179828.609</v>
      </c>
      <c r="I658" s="40">
        <f t="shared" ca="1" si="87"/>
        <v>814469170783.61597</v>
      </c>
      <c r="J658" s="40">
        <f t="shared" ca="1" si="88"/>
        <v>1116079992337.4563</v>
      </c>
      <c r="K658" s="41">
        <f t="shared" ca="1" si="89"/>
        <v>0.72975877748496931</v>
      </c>
    </row>
    <row r="659" spans="2:11" ht="15" customHeight="1" x14ac:dyDescent="0.35">
      <c r="B659" s="5">
        <v>638</v>
      </c>
      <c r="C659" s="39">
        <f t="shared" ca="1" si="81"/>
        <v>2.7211813298652237</v>
      </c>
      <c r="D659" s="40">
        <f t="shared" ca="1" si="82"/>
        <v>2711319916.5717483</v>
      </c>
      <c r="E659" s="40">
        <f t="shared" ca="1" si="83"/>
        <v>7284032291799.5908</v>
      </c>
      <c r="F659" s="40">
        <f t="shared" ca="1" si="84"/>
        <v>1781366904850.4648</v>
      </c>
      <c r="G659" s="40">
        <f t="shared" ca="1" si="85"/>
        <v>500828230796.91455</v>
      </c>
      <c r="H659" s="40">
        <f t="shared" ca="1" si="86"/>
        <v>7284032291799.5908</v>
      </c>
      <c r="I659" s="40">
        <f t="shared" ca="1" si="87"/>
        <v>15948037912650.57</v>
      </c>
      <c r="J659" s="40">
        <f t="shared" ca="1" si="88"/>
        <v>1039566489076.3806</v>
      </c>
      <c r="K659" s="41">
        <f t="shared" ca="1" si="89"/>
        <v>15.341046561456457</v>
      </c>
    </row>
    <row r="660" spans="2:11" ht="15" customHeight="1" x14ac:dyDescent="0.35">
      <c r="B660" s="5">
        <v>639</v>
      </c>
      <c r="C660" s="39">
        <f t="shared" ca="1" si="81"/>
        <v>2.7808046472517916</v>
      </c>
      <c r="D660" s="40">
        <f t="shared" ca="1" si="82"/>
        <v>3972854939.9553494</v>
      </c>
      <c r="E660" s="40">
        <f t="shared" ca="1" si="83"/>
        <v>51520919745094.195</v>
      </c>
      <c r="F660" s="40">
        <f t="shared" ca="1" si="84"/>
        <v>378902052374.39557</v>
      </c>
      <c r="G660" s="40">
        <f t="shared" ca="1" si="85"/>
        <v>6363789255957.7539</v>
      </c>
      <c r="H660" s="40">
        <f t="shared" ca="1" si="86"/>
        <v>51520919745094.195</v>
      </c>
      <c r="I660" s="40">
        <f t="shared" ca="1" si="87"/>
        <v>9842755790259.0977</v>
      </c>
      <c r="J660" s="40">
        <f t="shared" ca="1" si="88"/>
        <v>650410271688.44336</v>
      </c>
      <c r="K660" s="41">
        <f t="shared" ca="1" si="89"/>
        <v>15.133149365411516</v>
      </c>
    </row>
    <row r="661" spans="2:11" ht="15" customHeight="1" x14ac:dyDescent="0.35">
      <c r="B661" s="5">
        <v>640</v>
      </c>
      <c r="C661" s="39">
        <f t="shared" ca="1" si="81"/>
        <v>2.7935207496080099</v>
      </c>
      <c r="D661" s="40">
        <f t="shared" ca="1" si="82"/>
        <v>3247067157.5484962</v>
      </c>
      <c r="E661" s="40">
        <f t="shared" ca="1" si="83"/>
        <v>11307831556450.201</v>
      </c>
      <c r="F661" s="40">
        <f t="shared" ca="1" si="84"/>
        <v>4017741873618.1846</v>
      </c>
      <c r="G661" s="40">
        <f t="shared" ca="1" si="85"/>
        <v>9018070182655.5742</v>
      </c>
      <c r="H661" s="40">
        <f t="shared" ca="1" si="86"/>
        <v>11307831556450.201</v>
      </c>
      <c r="I661" s="40">
        <f t="shared" ca="1" si="87"/>
        <v>43845609776742.727</v>
      </c>
      <c r="J661" s="40">
        <f t="shared" ca="1" si="88"/>
        <v>854882049248.05383</v>
      </c>
      <c r="K661" s="41">
        <f t="shared" ca="1" si="89"/>
        <v>51.288490400879176</v>
      </c>
    </row>
    <row r="662" spans="2:11" ht="15" customHeight="1" x14ac:dyDescent="0.35">
      <c r="B662" s="5">
        <v>641</v>
      </c>
      <c r="C662" s="39">
        <f t="shared" ref="C662:C725" ca="1" si="90">MEDIAN(1.8,NORMINV(RAND(),$C$7,$D$7),4.5)</f>
        <v>4.127072600657625</v>
      </c>
      <c r="D662" s="40">
        <f t="shared" ref="D662:D725" ca="1" si="91">($C$8+RAND()*($D$8-$C$8))*C662^5</f>
        <v>21463637549.338768</v>
      </c>
      <c r="E662" s="40">
        <f t="shared" ref="E662:E725" ca="1" si="92">D662*($C$10+RAND()*($D$10-$C$10))*EXP(NORMINV(RAND(),$C$9,$D$9))*($C$11+RAND()*($D$11-$C$11))</f>
        <v>76255436721917.953</v>
      </c>
      <c r="F662" s="40">
        <f t="shared" ref="F662:F725" ca="1" si="93">EXP(NORMINV(RAND(),$C$12,$D$12))*EXP(NORMINV(RAND(),$C$13,$D$13))</f>
        <v>2377554764950.0356</v>
      </c>
      <c r="G662" s="40">
        <f t="shared" ref="G662:G725" ca="1" si="94">EXP(NORMINV(RAND(),$C$14,$D$14))*($C$15+RAND()*($D$15-$C$15))*EXP(NORMINV(RAND(),$C$16,$D$16))/1000000*31536000</f>
        <v>145358245372938.06</v>
      </c>
      <c r="H662" s="40">
        <f t="shared" ref="H662:H725" ca="1" si="95">CHOOSE(RANDBETWEEN(1,3),E662,F662,G662)</f>
        <v>76255436721917.953</v>
      </c>
      <c r="I662" s="40">
        <f t="shared" ref="I662:I725" ca="1" si="96">EXP(NORMINV(RAND(),$C$14,$D$14))*($C$15+RAND()*($D$15-$C$15))*60</f>
        <v>6108394431098.8652</v>
      </c>
      <c r="J662" s="40">
        <f t="shared" ref="J662:J725" ca="1" si="97">($C$17+RAND()*($D$17-$C$17))*($C$18+RAND()*($D$18-$C$18))</f>
        <v>1385378718689.7739</v>
      </c>
      <c r="K662" s="41">
        <f t="shared" ref="K662:K725" ca="1" si="98">I662/J662</f>
        <v>4.4091874291788589</v>
      </c>
    </row>
    <row r="663" spans="2:11" ht="15" customHeight="1" x14ac:dyDescent="0.35">
      <c r="B663" s="5">
        <v>642</v>
      </c>
      <c r="C663" s="39">
        <f t="shared" ca="1" si="90"/>
        <v>3.3840499228297012</v>
      </c>
      <c r="D663" s="40">
        <f t="shared" ca="1" si="91"/>
        <v>7906041656.4858017</v>
      </c>
      <c r="E663" s="40">
        <f t="shared" ca="1" si="92"/>
        <v>13387356510048.557</v>
      </c>
      <c r="F663" s="40">
        <f t="shared" ca="1" si="93"/>
        <v>4080505981225.7217</v>
      </c>
      <c r="G663" s="40">
        <f t="shared" ca="1" si="94"/>
        <v>6001267345856.876</v>
      </c>
      <c r="H663" s="40">
        <f t="shared" ca="1" si="95"/>
        <v>6001267345856.876</v>
      </c>
      <c r="I663" s="40">
        <f t="shared" ca="1" si="96"/>
        <v>20346799317826.754</v>
      </c>
      <c r="J663" s="40">
        <f t="shared" ca="1" si="97"/>
        <v>1581426089310.8582</v>
      </c>
      <c r="K663" s="41">
        <f t="shared" ca="1" si="98"/>
        <v>12.866108290077172</v>
      </c>
    </row>
    <row r="664" spans="2:11" ht="15" customHeight="1" x14ac:dyDescent="0.35">
      <c r="B664" s="5">
        <v>643</v>
      </c>
      <c r="C664" s="39">
        <f t="shared" ca="1" si="90"/>
        <v>2.6418504316168314</v>
      </c>
      <c r="D664" s="40">
        <f t="shared" ca="1" si="91"/>
        <v>2212119165.6967177</v>
      </c>
      <c r="E664" s="40">
        <f t="shared" ca="1" si="92"/>
        <v>9590478177362.4766</v>
      </c>
      <c r="F664" s="40">
        <f t="shared" ca="1" si="93"/>
        <v>12494920849785.713</v>
      </c>
      <c r="G664" s="40">
        <f t="shared" ca="1" si="94"/>
        <v>5895216510025.6475</v>
      </c>
      <c r="H664" s="40">
        <f t="shared" ca="1" si="95"/>
        <v>12494920849785.713</v>
      </c>
      <c r="I664" s="40">
        <f t="shared" ca="1" si="96"/>
        <v>8279202502100.0371</v>
      </c>
      <c r="J664" s="40">
        <f t="shared" ca="1" si="97"/>
        <v>1276224514561.4143</v>
      </c>
      <c r="K664" s="41">
        <f t="shared" ca="1" si="98"/>
        <v>6.4872617690980938</v>
      </c>
    </row>
    <row r="665" spans="2:11" ht="15" customHeight="1" x14ac:dyDescent="0.35">
      <c r="B665" s="5">
        <v>644</v>
      </c>
      <c r="C665" s="39">
        <f t="shared" ca="1" si="90"/>
        <v>2.9358577687078236</v>
      </c>
      <c r="D665" s="40">
        <f t="shared" ca="1" si="91"/>
        <v>4486461199.1538105</v>
      </c>
      <c r="E665" s="40">
        <f t="shared" ca="1" si="92"/>
        <v>16551752278338.262</v>
      </c>
      <c r="F665" s="40">
        <f t="shared" ca="1" si="93"/>
        <v>5129182708170.8652</v>
      </c>
      <c r="G665" s="40">
        <f t="shared" ca="1" si="94"/>
        <v>649577832117.48975</v>
      </c>
      <c r="H665" s="40">
        <f t="shared" ca="1" si="95"/>
        <v>16551752278338.262</v>
      </c>
      <c r="I665" s="40">
        <f t="shared" ca="1" si="96"/>
        <v>7525762130974.7354</v>
      </c>
      <c r="J665" s="40">
        <f t="shared" ca="1" si="97"/>
        <v>975313658170.07861</v>
      </c>
      <c r="K665" s="41">
        <f t="shared" ca="1" si="98"/>
        <v>7.7162480684366326</v>
      </c>
    </row>
    <row r="666" spans="2:11" ht="15" customHeight="1" x14ac:dyDescent="0.35">
      <c r="B666" s="5">
        <v>645</v>
      </c>
      <c r="C666" s="39">
        <f t="shared" ca="1" si="90"/>
        <v>2.6090087233483032</v>
      </c>
      <c r="D666" s="40">
        <f t="shared" ca="1" si="91"/>
        <v>2537460816.5749407</v>
      </c>
      <c r="E666" s="40">
        <f t="shared" ca="1" si="92"/>
        <v>15401242557216.781</v>
      </c>
      <c r="F666" s="40">
        <f t="shared" ca="1" si="93"/>
        <v>2526977442820.2427</v>
      </c>
      <c r="G666" s="40">
        <f t="shared" ca="1" si="94"/>
        <v>97579737785649.703</v>
      </c>
      <c r="H666" s="40">
        <f t="shared" ca="1" si="95"/>
        <v>15401242557216.781</v>
      </c>
      <c r="I666" s="40">
        <f t="shared" ca="1" si="96"/>
        <v>7570602670971.4854</v>
      </c>
      <c r="J666" s="40">
        <f t="shared" ca="1" si="97"/>
        <v>1137163694622.9724</v>
      </c>
      <c r="K666" s="41">
        <f t="shared" ca="1" si="98"/>
        <v>6.6574431691485936</v>
      </c>
    </row>
    <row r="667" spans="2:11" ht="15" customHeight="1" x14ac:dyDescent="0.35">
      <c r="B667" s="5">
        <v>646</v>
      </c>
      <c r="C667" s="39">
        <f t="shared" ca="1" si="90"/>
        <v>2.7981106694613977</v>
      </c>
      <c r="D667" s="40">
        <f t="shared" ca="1" si="91"/>
        <v>2906045676.8095989</v>
      </c>
      <c r="E667" s="40">
        <f t="shared" ca="1" si="92"/>
        <v>5372432537132.5068</v>
      </c>
      <c r="F667" s="40">
        <f t="shared" ca="1" si="93"/>
        <v>2509018582778.4292</v>
      </c>
      <c r="G667" s="40">
        <f t="shared" ca="1" si="94"/>
        <v>5725204841180.6865</v>
      </c>
      <c r="H667" s="40">
        <f t="shared" ca="1" si="95"/>
        <v>5725204841180.6865</v>
      </c>
      <c r="I667" s="40">
        <f t="shared" ca="1" si="96"/>
        <v>64708684291589.609</v>
      </c>
      <c r="J667" s="40">
        <f t="shared" ca="1" si="97"/>
        <v>690225458204.56665</v>
      </c>
      <c r="K667" s="41">
        <f t="shared" ca="1" si="98"/>
        <v>93.750068941113256</v>
      </c>
    </row>
    <row r="668" spans="2:11" ht="15" customHeight="1" x14ac:dyDescent="0.35">
      <c r="B668" s="5">
        <v>647</v>
      </c>
      <c r="C668" s="39">
        <f t="shared" ca="1" si="90"/>
        <v>3.4339477335222153</v>
      </c>
      <c r="D668" s="40">
        <f t="shared" ca="1" si="91"/>
        <v>11379523359.477293</v>
      </c>
      <c r="E668" s="40">
        <f t="shared" ca="1" si="92"/>
        <v>53114096124567.25</v>
      </c>
      <c r="F668" s="40">
        <f t="shared" ca="1" si="93"/>
        <v>1535538294685.0962</v>
      </c>
      <c r="G668" s="40">
        <f t="shared" ca="1" si="94"/>
        <v>15005461062866.195</v>
      </c>
      <c r="H668" s="40">
        <f t="shared" ca="1" si="95"/>
        <v>1535538294685.0962</v>
      </c>
      <c r="I668" s="40">
        <f t="shared" ca="1" si="96"/>
        <v>883437001509.6969</v>
      </c>
      <c r="J668" s="40">
        <f t="shared" ca="1" si="97"/>
        <v>1294758813102.1729</v>
      </c>
      <c r="K668" s="41">
        <f t="shared" ca="1" si="98"/>
        <v>0.68231781283884763</v>
      </c>
    </row>
    <row r="669" spans="2:11" ht="15" customHeight="1" x14ac:dyDescent="0.35">
      <c r="B669" s="5">
        <v>648</v>
      </c>
      <c r="C669" s="39">
        <f t="shared" ca="1" si="90"/>
        <v>3.051799416094592</v>
      </c>
      <c r="D669" s="40">
        <f t="shared" ca="1" si="91"/>
        <v>6104524638.1370144</v>
      </c>
      <c r="E669" s="40">
        <f t="shared" ca="1" si="92"/>
        <v>16302383156266.672</v>
      </c>
      <c r="F669" s="40">
        <f t="shared" ca="1" si="93"/>
        <v>1316355010166.6973</v>
      </c>
      <c r="G669" s="40">
        <f t="shared" ca="1" si="94"/>
        <v>2727132581939.8696</v>
      </c>
      <c r="H669" s="40">
        <f t="shared" ca="1" si="95"/>
        <v>16302383156266.672</v>
      </c>
      <c r="I669" s="40">
        <f t="shared" ca="1" si="96"/>
        <v>38369804399753.445</v>
      </c>
      <c r="J669" s="40">
        <f t="shared" ca="1" si="97"/>
        <v>1158143714448.1174</v>
      </c>
      <c r="K669" s="41">
        <f t="shared" ca="1" si="98"/>
        <v>33.130434436660181</v>
      </c>
    </row>
    <row r="670" spans="2:11" ht="15" customHeight="1" x14ac:dyDescent="0.35">
      <c r="B670" s="5">
        <v>649</v>
      </c>
      <c r="C670" s="39">
        <f t="shared" ca="1" si="90"/>
        <v>3.0746377015658708</v>
      </c>
      <c r="D670" s="40">
        <f t="shared" ca="1" si="91"/>
        <v>5450828624.7201452</v>
      </c>
      <c r="E670" s="40">
        <f t="shared" ca="1" si="92"/>
        <v>16890876075199.41</v>
      </c>
      <c r="F670" s="40">
        <f t="shared" ca="1" si="93"/>
        <v>621291164274.00061</v>
      </c>
      <c r="G670" s="40">
        <f t="shared" ca="1" si="94"/>
        <v>372605934610.59247</v>
      </c>
      <c r="H670" s="40">
        <f t="shared" ca="1" si="95"/>
        <v>16890876075199.41</v>
      </c>
      <c r="I670" s="40">
        <f t="shared" ca="1" si="96"/>
        <v>1039649113160.6726</v>
      </c>
      <c r="J670" s="40">
        <f t="shared" ca="1" si="97"/>
        <v>1057082405394.4576</v>
      </c>
      <c r="K670" s="41">
        <f t="shared" ca="1" si="98"/>
        <v>0.9835081048130021</v>
      </c>
    </row>
    <row r="671" spans="2:11" ht="15" customHeight="1" x14ac:dyDescent="0.35">
      <c r="B671" s="5">
        <v>650</v>
      </c>
      <c r="C671" s="39">
        <f t="shared" ca="1" si="90"/>
        <v>2.7469122277189548</v>
      </c>
      <c r="D671" s="40">
        <f t="shared" ca="1" si="91"/>
        <v>3409365430.221034</v>
      </c>
      <c r="E671" s="40">
        <f t="shared" ca="1" si="92"/>
        <v>58604204654263.023</v>
      </c>
      <c r="F671" s="40">
        <f t="shared" ca="1" si="93"/>
        <v>41615034565706.859</v>
      </c>
      <c r="G671" s="40">
        <f t="shared" ca="1" si="94"/>
        <v>4631590246506.7363</v>
      </c>
      <c r="H671" s="40">
        <f t="shared" ca="1" si="95"/>
        <v>4631590246506.7363</v>
      </c>
      <c r="I671" s="40">
        <f t="shared" ca="1" si="96"/>
        <v>11922355044309.895</v>
      </c>
      <c r="J671" s="40">
        <f t="shared" ca="1" si="97"/>
        <v>1272985608411.7859</v>
      </c>
      <c r="K671" s="41">
        <f t="shared" ca="1" si="98"/>
        <v>9.3656636536406523</v>
      </c>
    </row>
    <row r="672" spans="2:11" ht="15" customHeight="1" x14ac:dyDescent="0.35">
      <c r="B672" s="5">
        <v>651</v>
      </c>
      <c r="C672" s="39">
        <f t="shared" ca="1" si="90"/>
        <v>2.6899936049906805</v>
      </c>
      <c r="D672" s="40">
        <f t="shared" ca="1" si="91"/>
        <v>2509733878.862854</v>
      </c>
      <c r="E672" s="40">
        <f t="shared" ca="1" si="92"/>
        <v>16465939604515.967</v>
      </c>
      <c r="F672" s="40">
        <f t="shared" ca="1" si="93"/>
        <v>10879283676107.477</v>
      </c>
      <c r="G672" s="40">
        <f t="shared" ca="1" si="94"/>
        <v>2838219209353.8389</v>
      </c>
      <c r="H672" s="40">
        <f t="shared" ca="1" si="95"/>
        <v>10879283676107.477</v>
      </c>
      <c r="I672" s="40">
        <f t="shared" ca="1" si="96"/>
        <v>6016743301175.2305</v>
      </c>
      <c r="J672" s="40">
        <f t="shared" ca="1" si="97"/>
        <v>715565426568.22339</v>
      </c>
      <c r="K672" s="41">
        <f t="shared" ca="1" si="98"/>
        <v>8.4083761984293997</v>
      </c>
    </row>
    <row r="673" spans="2:11" ht="15" customHeight="1" x14ac:dyDescent="0.35">
      <c r="B673" s="5">
        <v>652</v>
      </c>
      <c r="C673" s="39">
        <f t="shared" ca="1" si="90"/>
        <v>3.1757123008279846</v>
      </c>
      <c r="D673" s="40">
        <f t="shared" ca="1" si="91"/>
        <v>5203618567.4905577</v>
      </c>
      <c r="E673" s="40">
        <f t="shared" ca="1" si="92"/>
        <v>18087217341345.352</v>
      </c>
      <c r="F673" s="40">
        <f t="shared" ca="1" si="93"/>
        <v>10642926422610.072</v>
      </c>
      <c r="G673" s="40">
        <f t="shared" ca="1" si="94"/>
        <v>2428148684229.0586</v>
      </c>
      <c r="H673" s="40">
        <f t="shared" ca="1" si="95"/>
        <v>10642926422610.072</v>
      </c>
      <c r="I673" s="40">
        <f t="shared" ca="1" si="96"/>
        <v>12185464745892.75</v>
      </c>
      <c r="J673" s="40">
        <f t="shared" ca="1" si="97"/>
        <v>601618182757.6676</v>
      </c>
      <c r="K673" s="41">
        <f t="shared" ca="1" si="98"/>
        <v>20.254482153510754</v>
      </c>
    </row>
    <row r="674" spans="2:11" ht="15" customHeight="1" x14ac:dyDescent="0.35">
      <c r="B674" s="5">
        <v>653</v>
      </c>
      <c r="C674" s="39">
        <f t="shared" ca="1" si="90"/>
        <v>3.6303312118312632</v>
      </c>
      <c r="D674" s="40">
        <f t="shared" ca="1" si="91"/>
        <v>14885284687.484619</v>
      </c>
      <c r="E674" s="40">
        <f t="shared" ca="1" si="92"/>
        <v>208544448648862.69</v>
      </c>
      <c r="F674" s="40">
        <f t="shared" ca="1" si="93"/>
        <v>30143957367429.98</v>
      </c>
      <c r="G674" s="40">
        <f t="shared" ca="1" si="94"/>
        <v>3912025876694.7319</v>
      </c>
      <c r="H674" s="40">
        <f t="shared" ca="1" si="95"/>
        <v>208544448648862.69</v>
      </c>
      <c r="I674" s="40">
        <f t="shared" ca="1" si="96"/>
        <v>63999898677199.789</v>
      </c>
      <c r="J674" s="40">
        <f t="shared" ca="1" si="97"/>
        <v>880452050433.48096</v>
      </c>
      <c r="K674" s="41">
        <f t="shared" ca="1" si="98"/>
        <v>72.68981728839195</v>
      </c>
    </row>
    <row r="675" spans="2:11" ht="15" customHeight="1" x14ac:dyDescent="0.35">
      <c r="B675" s="5">
        <v>654</v>
      </c>
      <c r="C675" s="39">
        <f t="shared" ca="1" si="90"/>
        <v>2.1409490600339427</v>
      </c>
      <c r="D675" s="40">
        <f t="shared" ca="1" si="91"/>
        <v>895559108.27945626</v>
      </c>
      <c r="E675" s="40">
        <f t="shared" ca="1" si="92"/>
        <v>11160438313604.088</v>
      </c>
      <c r="F675" s="40">
        <f t="shared" ca="1" si="93"/>
        <v>13697482676280.336</v>
      </c>
      <c r="G675" s="40">
        <f t="shared" ca="1" si="94"/>
        <v>2688550807335.0688</v>
      </c>
      <c r="H675" s="40">
        <f t="shared" ca="1" si="95"/>
        <v>13697482676280.336</v>
      </c>
      <c r="I675" s="40">
        <f t="shared" ca="1" si="96"/>
        <v>26775333902515.727</v>
      </c>
      <c r="J675" s="40">
        <f t="shared" ca="1" si="97"/>
        <v>950769493545.24329</v>
      </c>
      <c r="K675" s="41">
        <f t="shared" ca="1" si="98"/>
        <v>28.16175117554042</v>
      </c>
    </row>
    <row r="676" spans="2:11" ht="15" customHeight="1" x14ac:dyDescent="0.35">
      <c r="B676" s="5">
        <v>655</v>
      </c>
      <c r="C676" s="39">
        <f t="shared" ca="1" si="90"/>
        <v>3.337180096040989</v>
      </c>
      <c r="D676" s="40">
        <f t="shared" ca="1" si="91"/>
        <v>7289069804.4080944</v>
      </c>
      <c r="E676" s="40">
        <f t="shared" ca="1" si="92"/>
        <v>17567848022596.691</v>
      </c>
      <c r="F676" s="40">
        <f t="shared" ca="1" si="93"/>
        <v>1680708263375.939</v>
      </c>
      <c r="G676" s="40">
        <f t="shared" ca="1" si="94"/>
        <v>321766265119.69196</v>
      </c>
      <c r="H676" s="40">
        <f t="shared" ca="1" si="95"/>
        <v>17567848022596.691</v>
      </c>
      <c r="I676" s="40">
        <f t="shared" ca="1" si="96"/>
        <v>47438261315919.891</v>
      </c>
      <c r="J676" s="40">
        <f t="shared" ca="1" si="97"/>
        <v>1046937881497.832</v>
      </c>
      <c r="K676" s="41">
        <f t="shared" ca="1" si="98"/>
        <v>45.311438390261479</v>
      </c>
    </row>
    <row r="677" spans="2:11" ht="15" customHeight="1" x14ac:dyDescent="0.35">
      <c r="B677" s="5">
        <v>656</v>
      </c>
      <c r="C677" s="39">
        <f t="shared" ca="1" si="90"/>
        <v>2.9666131273997554</v>
      </c>
      <c r="D677" s="40">
        <f t="shared" ca="1" si="91"/>
        <v>3969080940.2176452</v>
      </c>
      <c r="E677" s="40">
        <f t="shared" ca="1" si="92"/>
        <v>9262283001304.0508</v>
      </c>
      <c r="F677" s="40">
        <f t="shared" ca="1" si="93"/>
        <v>1390008593877.5691</v>
      </c>
      <c r="G677" s="40">
        <f t="shared" ca="1" si="94"/>
        <v>12844787037899.148</v>
      </c>
      <c r="H677" s="40">
        <f t="shared" ca="1" si="95"/>
        <v>12844787037899.148</v>
      </c>
      <c r="I677" s="40">
        <f t="shared" ca="1" si="96"/>
        <v>21601038964712.391</v>
      </c>
      <c r="J677" s="40">
        <f t="shared" ca="1" si="97"/>
        <v>1136891193804.0132</v>
      </c>
      <c r="K677" s="41">
        <f t="shared" ca="1" si="98"/>
        <v>19.000093485143275</v>
      </c>
    </row>
    <row r="678" spans="2:11" ht="15" customHeight="1" x14ac:dyDescent="0.35">
      <c r="B678" s="5">
        <v>657</v>
      </c>
      <c r="C678" s="39">
        <f t="shared" ca="1" si="90"/>
        <v>3.2236777207867839</v>
      </c>
      <c r="D678" s="40">
        <f t="shared" ca="1" si="91"/>
        <v>6150765316.7600803</v>
      </c>
      <c r="E678" s="40">
        <f t="shared" ca="1" si="92"/>
        <v>10978056414444.055</v>
      </c>
      <c r="F678" s="40">
        <f t="shared" ca="1" si="93"/>
        <v>2896284190415.4478</v>
      </c>
      <c r="G678" s="40">
        <f t="shared" ca="1" si="94"/>
        <v>6823374001360.9063</v>
      </c>
      <c r="H678" s="40">
        <f t="shared" ca="1" si="95"/>
        <v>6823374001360.9063</v>
      </c>
      <c r="I678" s="40">
        <f t="shared" ca="1" si="96"/>
        <v>73322635367410.078</v>
      </c>
      <c r="J678" s="40">
        <f t="shared" ca="1" si="97"/>
        <v>1177541034411.6038</v>
      </c>
      <c r="K678" s="41">
        <f t="shared" ca="1" si="98"/>
        <v>62.26758407960542</v>
      </c>
    </row>
    <row r="679" spans="2:11" ht="15" customHeight="1" x14ac:dyDescent="0.35">
      <c r="B679" s="5">
        <v>658</v>
      </c>
      <c r="C679" s="39">
        <f t="shared" ca="1" si="90"/>
        <v>3.2753172452229191</v>
      </c>
      <c r="D679" s="40">
        <f t="shared" ca="1" si="91"/>
        <v>8936470736.8883018</v>
      </c>
      <c r="E679" s="40">
        <f t="shared" ca="1" si="92"/>
        <v>32845494196812.656</v>
      </c>
      <c r="F679" s="40">
        <f t="shared" ca="1" si="93"/>
        <v>760777605544.67627</v>
      </c>
      <c r="G679" s="40">
        <f t="shared" ca="1" si="94"/>
        <v>299354509834119.88</v>
      </c>
      <c r="H679" s="40">
        <f t="shared" ca="1" si="95"/>
        <v>760777605544.67627</v>
      </c>
      <c r="I679" s="40">
        <f t="shared" ca="1" si="96"/>
        <v>5127670381298.8428</v>
      </c>
      <c r="J679" s="40">
        <f t="shared" ca="1" si="97"/>
        <v>867399379662.67114</v>
      </c>
      <c r="K679" s="41">
        <f t="shared" ca="1" si="98"/>
        <v>5.911544902525729</v>
      </c>
    </row>
    <row r="680" spans="2:11" ht="15" customHeight="1" x14ac:dyDescent="0.35">
      <c r="B680" s="5">
        <v>659</v>
      </c>
      <c r="C680" s="39">
        <f t="shared" ca="1" si="90"/>
        <v>2.6295524484488757</v>
      </c>
      <c r="D680" s="40">
        <f t="shared" ca="1" si="91"/>
        <v>2446254236.4011984</v>
      </c>
      <c r="E680" s="40">
        <f t="shared" ca="1" si="92"/>
        <v>14932775740254.986</v>
      </c>
      <c r="F680" s="40">
        <f t="shared" ca="1" si="93"/>
        <v>7074504151836.2676</v>
      </c>
      <c r="G680" s="40">
        <f t="shared" ca="1" si="94"/>
        <v>137636638582239.59</v>
      </c>
      <c r="H680" s="40">
        <f t="shared" ca="1" si="95"/>
        <v>137636638582239.59</v>
      </c>
      <c r="I680" s="40">
        <f t="shared" ca="1" si="96"/>
        <v>12638755088914.768</v>
      </c>
      <c r="J680" s="40">
        <f t="shared" ca="1" si="97"/>
        <v>1279348545614.2808</v>
      </c>
      <c r="K680" s="41">
        <f t="shared" ca="1" si="98"/>
        <v>9.8790553459739581</v>
      </c>
    </row>
    <row r="681" spans="2:11" ht="15" customHeight="1" x14ac:dyDescent="0.35">
      <c r="B681" s="5">
        <v>660</v>
      </c>
      <c r="C681" s="39">
        <f t="shared" ca="1" si="90"/>
        <v>2.3726311462171137</v>
      </c>
      <c r="D681" s="40">
        <f t="shared" ca="1" si="91"/>
        <v>1610773356.3941374</v>
      </c>
      <c r="E681" s="40">
        <f t="shared" ca="1" si="92"/>
        <v>1567259685154.1538</v>
      </c>
      <c r="F681" s="40">
        <f t="shared" ca="1" si="93"/>
        <v>2807571186733.1719</v>
      </c>
      <c r="G681" s="40">
        <f t="shared" ca="1" si="94"/>
        <v>5121695757999.1396</v>
      </c>
      <c r="H681" s="40">
        <f t="shared" ca="1" si="95"/>
        <v>2807571186733.1719</v>
      </c>
      <c r="I681" s="40">
        <f t="shared" ca="1" si="96"/>
        <v>10324664498545.078</v>
      </c>
      <c r="J681" s="40">
        <f t="shared" ca="1" si="97"/>
        <v>772636500411.12817</v>
      </c>
      <c r="K681" s="41">
        <f t="shared" ca="1" si="98"/>
        <v>13.362900268174249</v>
      </c>
    </row>
    <row r="682" spans="2:11" ht="15" customHeight="1" x14ac:dyDescent="0.35">
      <c r="B682" s="5">
        <v>661</v>
      </c>
      <c r="C682" s="39">
        <f t="shared" ca="1" si="90"/>
        <v>3.1314666774270776</v>
      </c>
      <c r="D682" s="40">
        <f t="shared" ca="1" si="91"/>
        <v>7005764562.382535</v>
      </c>
      <c r="E682" s="40">
        <f t="shared" ca="1" si="92"/>
        <v>12191213101753.439</v>
      </c>
      <c r="F682" s="40">
        <f t="shared" ca="1" si="93"/>
        <v>1179039050314.5872</v>
      </c>
      <c r="G682" s="40">
        <f t="shared" ca="1" si="94"/>
        <v>7161367424383.3633</v>
      </c>
      <c r="H682" s="40">
        <f t="shared" ca="1" si="95"/>
        <v>12191213101753.439</v>
      </c>
      <c r="I682" s="40">
        <f t="shared" ca="1" si="96"/>
        <v>6822474065513.8418</v>
      </c>
      <c r="J682" s="40">
        <f t="shared" ca="1" si="97"/>
        <v>1112597038326.2642</v>
      </c>
      <c r="K682" s="41">
        <f t="shared" ca="1" si="98"/>
        <v>6.132026088957808</v>
      </c>
    </row>
    <row r="683" spans="2:11" ht="15" customHeight="1" x14ac:dyDescent="0.35">
      <c r="B683" s="5">
        <v>662</v>
      </c>
      <c r="C683" s="39">
        <f t="shared" ca="1" si="90"/>
        <v>3.3343821375763651</v>
      </c>
      <c r="D683" s="40">
        <f t="shared" ca="1" si="91"/>
        <v>7792301144.0183268</v>
      </c>
      <c r="E683" s="40">
        <f t="shared" ca="1" si="92"/>
        <v>33140191551155.453</v>
      </c>
      <c r="F683" s="40">
        <f t="shared" ca="1" si="93"/>
        <v>3108892156932.2471</v>
      </c>
      <c r="G683" s="40">
        <f t="shared" ca="1" si="94"/>
        <v>72714948802064.563</v>
      </c>
      <c r="H683" s="40">
        <f t="shared" ca="1" si="95"/>
        <v>72714948802064.563</v>
      </c>
      <c r="I683" s="40">
        <f t="shared" ca="1" si="96"/>
        <v>37392104420562.328</v>
      </c>
      <c r="J683" s="40">
        <f t="shared" ca="1" si="97"/>
        <v>904419159012.49463</v>
      </c>
      <c r="K683" s="41">
        <f t="shared" ca="1" si="98"/>
        <v>41.3437774376535</v>
      </c>
    </row>
    <row r="684" spans="2:11" ht="15" customHeight="1" x14ac:dyDescent="0.35">
      <c r="B684" s="5">
        <v>663</v>
      </c>
      <c r="C684" s="39">
        <f t="shared" ca="1" si="90"/>
        <v>2.4354650423725941</v>
      </c>
      <c r="D684" s="40">
        <f t="shared" ca="1" si="91"/>
        <v>1817231793.0220308</v>
      </c>
      <c r="E684" s="40">
        <f t="shared" ca="1" si="92"/>
        <v>7950284038841.6436</v>
      </c>
      <c r="F684" s="40">
        <f t="shared" ca="1" si="93"/>
        <v>4895102669944.7617</v>
      </c>
      <c r="G684" s="40">
        <f t="shared" ca="1" si="94"/>
        <v>2172534922063.7771</v>
      </c>
      <c r="H684" s="40">
        <f t="shared" ca="1" si="95"/>
        <v>4895102669944.7617</v>
      </c>
      <c r="I684" s="40">
        <f t="shared" ca="1" si="96"/>
        <v>3607909713215.1943</v>
      </c>
      <c r="J684" s="40">
        <f t="shared" ca="1" si="97"/>
        <v>429277083293.79791</v>
      </c>
      <c r="K684" s="41">
        <f t="shared" ca="1" si="98"/>
        <v>8.4046175620000092</v>
      </c>
    </row>
    <row r="685" spans="2:11" ht="15" customHeight="1" x14ac:dyDescent="0.35">
      <c r="B685" s="5">
        <v>664</v>
      </c>
      <c r="C685" s="39">
        <f t="shared" ca="1" si="90"/>
        <v>3.1851027746787302</v>
      </c>
      <c r="D685" s="40">
        <f t="shared" ca="1" si="91"/>
        <v>5378214791.8500633</v>
      </c>
      <c r="E685" s="40">
        <f t="shared" ca="1" si="92"/>
        <v>33471492004543.879</v>
      </c>
      <c r="F685" s="40">
        <f t="shared" ca="1" si="93"/>
        <v>5083537924807.75</v>
      </c>
      <c r="G685" s="40">
        <f t="shared" ca="1" si="94"/>
        <v>2994977425338.6348</v>
      </c>
      <c r="H685" s="40">
        <f t="shared" ca="1" si="95"/>
        <v>33471492004543.879</v>
      </c>
      <c r="I685" s="40">
        <f t="shared" ca="1" si="96"/>
        <v>7576779265903.9453</v>
      </c>
      <c r="J685" s="40">
        <f t="shared" ca="1" si="97"/>
        <v>706628265627.63184</v>
      </c>
      <c r="K685" s="41">
        <f t="shared" ca="1" si="98"/>
        <v>10.722440120866381</v>
      </c>
    </row>
    <row r="686" spans="2:11" ht="15" customHeight="1" x14ac:dyDescent="0.35">
      <c r="B686" s="5">
        <v>665</v>
      </c>
      <c r="C686" s="39">
        <f t="shared" ca="1" si="90"/>
        <v>2.8674992898807687</v>
      </c>
      <c r="D686" s="40">
        <f t="shared" ca="1" si="91"/>
        <v>4151864359.1887255</v>
      </c>
      <c r="E686" s="40">
        <f t="shared" ca="1" si="92"/>
        <v>30928531624810.094</v>
      </c>
      <c r="F686" s="40">
        <f t="shared" ca="1" si="93"/>
        <v>712484401575.2229</v>
      </c>
      <c r="G686" s="40">
        <f t="shared" ca="1" si="94"/>
        <v>5853998720540.6836</v>
      </c>
      <c r="H686" s="40">
        <f t="shared" ca="1" si="95"/>
        <v>30928531624810.094</v>
      </c>
      <c r="I686" s="40">
        <f t="shared" ca="1" si="96"/>
        <v>5625207944194.6377</v>
      </c>
      <c r="J686" s="40">
        <f t="shared" ca="1" si="97"/>
        <v>1644045567962.8059</v>
      </c>
      <c r="K686" s="41">
        <f t="shared" ca="1" si="98"/>
        <v>3.4215644954202995</v>
      </c>
    </row>
    <row r="687" spans="2:11" ht="15" customHeight="1" x14ac:dyDescent="0.35">
      <c r="B687" s="5">
        <v>666</v>
      </c>
      <c r="C687" s="39">
        <f t="shared" ca="1" si="90"/>
        <v>4.2302260843646575</v>
      </c>
      <c r="D687" s="40">
        <f t="shared" ca="1" si="91"/>
        <v>25595103237.798607</v>
      </c>
      <c r="E687" s="40">
        <f t="shared" ca="1" si="92"/>
        <v>18032713422047.945</v>
      </c>
      <c r="F687" s="40">
        <f t="shared" ca="1" si="93"/>
        <v>5824827125196.2861</v>
      </c>
      <c r="G687" s="40">
        <f t="shared" ca="1" si="94"/>
        <v>22155807914053.371</v>
      </c>
      <c r="H687" s="40">
        <f t="shared" ca="1" si="95"/>
        <v>22155807914053.371</v>
      </c>
      <c r="I687" s="40">
        <f t="shared" ca="1" si="96"/>
        <v>17460951764219.535</v>
      </c>
      <c r="J687" s="40">
        <f t="shared" ca="1" si="97"/>
        <v>796914849607.23853</v>
      </c>
      <c r="K687" s="41">
        <f t="shared" ca="1" si="98"/>
        <v>21.910686910684635</v>
      </c>
    </row>
    <row r="688" spans="2:11" ht="15" customHeight="1" x14ac:dyDescent="0.35">
      <c r="B688" s="5">
        <v>667</v>
      </c>
      <c r="C688" s="39">
        <f t="shared" ca="1" si="90"/>
        <v>3.3216658712024247</v>
      </c>
      <c r="D688" s="40">
        <f t="shared" ca="1" si="91"/>
        <v>7905751603.6921005</v>
      </c>
      <c r="E688" s="40">
        <f t="shared" ca="1" si="92"/>
        <v>9679137302109.5859</v>
      </c>
      <c r="F688" s="40">
        <f t="shared" ca="1" si="93"/>
        <v>7405499034244.8203</v>
      </c>
      <c r="G688" s="40">
        <f t="shared" ca="1" si="94"/>
        <v>11412524175483.947</v>
      </c>
      <c r="H688" s="40">
        <f t="shared" ca="1" si="95"/>
        <v>7405499034244.8203</v>
      </c>
      <c r="I688" s="40">
        <f t="shared" ca="1" si="96"/>
        <v>64188527010.04763</v>
      </c>
      <c r="J688" s="40">
        <f t="shared" ca="1" si="97"/>
        <v>987690339054.12268</v>
      </c>
      <c r="K688" s="41">
        <f t="shared" ca="1" si="98"/>
        <v>6.4988513577563994E-2</v>
      </c>
    </row>
    <row r="689" spans="2:11" ht="15" customHeight="1" x14ac:dyDescent="0.35">
      <c r="B689" s="5">
        <v>668</v>
      </c>
      <c r="C689" s="39">
        <f t="shared" ca="1" si="90"/>
        <v>3.2536290523845328</v>
      </c>
      <c r="D689" s="40">
        <f t="shared" ca="1" si="91"/>
        <v>6759191063.4612961</v>
      </c>
      <c r="E689" s="40">
        <f t="shared" ca="1" si="92"/>
        <v>24319111727506.129</v>
      </c>
      <c r="F689" s="40">
        <f t="shared" ca="1" si="93"/>
        <v>1345778110560.4253</v>
      </c>
      <c r="G689" s="40">
        <f t="shared" ca="1" si="94"/>
        <v>2569125372640.6519</v>
      </c>
      <c r="H689" s="40">
        <f t="shared" ca="1" si="95"/>
        <v>1345778110560.4253</v>
      </c>
      <c r="I689" s="40">
        <f t="shared" ca="1" si="96"/>
        <v>20066310841941.91</v>
      </c>
      <c r="J689" s="40">
        <f t="shared" ca="1" si="97"/>
        <v>1365070530788.321</v>
      </c>
      <c r="K689" s="41">
        <f t="shared" ca="1" si="98"/>
        <v>14.699834469618006</v>
      </c>
    </row>
    <row r="690" spans="2:11" ht="15" customHeight="1" x14ac:dyDescent="0.35">
      <c r="B690" s="5">
        <v>669</v>
      </c>
      <c r="C690" s="39">
        <f t="shared" ca="1" si="90"/>
        <v>2.722839389104819</v>
      </c>
      <c r="D690" s="40">
        <f t="shared" ca="1" si="91"/>
        <v>3130617847.0368085</v>
      </c>
      <c r="E690" s="40">
        <f t="shared" ca="1" si="92"/>
        <v>12562976820284.029</v>
      </c>
      <c r="F690" s="40">
        <f t="shared" ca="1" si="93"/>
        <v>4243472818126.8257</v>
      </c>
      <c r="G690" s="40">
        <f t="shared" ca="1" si="94"/>
        <v>11262654773531.807</v>
      </c>
      <c r="H690" s="40">
        <f t="shared" ca="1" si="95"/>
        <v>4243472818126.8257</v>
      </c>
      <c r="I690" s="40">
        <f t="shared" ca="1" si="96"/>
        <v>8479509541256.8105</v>
      </c>
      <c r="J690" s="40">
        <f t="shared" ca="1" si="97"/>
        <v>1064773647360.1201</v>
      </c>
      <c r="K690" s="41">
        <f t="shared" ca="1" si="98"/>
        <v>7.9636733706548348</v>
      </c>
    </row>
    <row r="691" spans="2:11" ht="15" customHeight="1" x14ac:dyDescent="0.35">
      <c r="B691" s="5">
        <v>670</v>
      </c>
      <c r="C691" s="39">
        <f t="shared" ca="1" si="90"/>
        <v>2.8092880335055175</v>
      </c>
      <c r="D691" s="40">
        <f t="shared" ca="1" si="91"/>
        <v>2964240557.5589118</v>
      </c>
      <c r="E691" s="40">
        <f t="shared" ca="1" si="92"/>
        <v>8031369813612.6504</v>
      </c>
      <c r="F691" s="40">
        <f t="shared" ca="1" si="93"/>
        <v>3760593219930.4736</v>
      </c>
      <c r="G691" s="40">
        <f t="shared" ca="1" si="94"/>
        <v>8019313253738.5449</v>
      </c>
      <c r="H691" s="40">
        <f t="shared" ca="1" si="95"/>
        <v>8019313253738.5449</v>
      </c>
      <c r="I691" s="40">
        <f t="shared" ca="1" si="96"/>
        <v>5498972690736.9082</v>
      </c>
      <c r="J691" s="40">
        <f t="shared" ca="1" si="97"/>
        <v>1077140088239.9707</v>
      </c>
      <c r="K691" s="41">
        <f t="shared" ca="1" si="98"/>
        <v>5.1051601836880289</v>
      </c>
    </row>
    <row r="692" spans="2:11" ht="15" customHeight="1" x14ac:dyDescent="0.35">
      <c r="B692" s="5">
        <v>671</v>
      </c>
      <c r="C692" s="39">
        <f t="shared" ca="1" si="90"/>
        <v>3.0564766005469117</v>
      </c>
      <c r="D692" s="40">
        <f t="shared" ca="1" si="91"/>
        <v>6072836815.3535442</v>
      </c>
      <c r="E692" s="40">
        <f t="shared" ca="1" si="92"/>
        <v>4252436698277.4507</v>
      </c>
      <c r="F692" s="40">
        <f t="shared" ca="1" si="93"/>
        <v>589983877694.08289</v>
      </c>
      <c r="G692" s="40">
        <f t="shared" ca="1" si="94"/>
        <v>232804104263362.09</v>
      </c>
      <c r="H692" s="40">
        <f t="shared" ca="1" si="95"/>
        <v>4252436698277.4507</v>
      </c>
      <c r="I692" s="40">
        <f t="shared" ca="1" si="96"/>
        <v>3582650783250.4214</v>
      </c>
      <c r="J692" s="40">
        <f t="shared" ca="1" si="97"/>
        <v>997145255066.19153</v>
      </c>
      <c r="K692" s="41">
        <f t="shared" ca="1" si="98"/>
        <v>3.5929076180707509</v>
      </c>
    </row>
    <row r="693" spans="2:11" ht="15" customHeight="1" x14ac:dyDescent="0.35">
      <c r="B693" s="5">
        <v>672</v>
      </c>
      <c r="C693" s="39">
        <f t="shared" ca="1" si="90"/>
        <v>2.8261073025273999</v>
      </c>
      <c r="D693" s="40">
        <f t="shared" ca="1" si="91"/>
        <v>3549423650.5876045</v>
      </c>
      <c r="E693" s="40">
        <f t="shared" ca="1" si="92"/>
        <v>1071566417487.1978</v>
      </c>
      <c r="F693" s="40">
        <f t="shared" ca="1" si="93"/>
        <v>1490106703443.7361</v>
      </c>
      <c r="G693" s="40">
        <f t="shared" ca="1" si="94"/>
        <v>181803576910.79428</v>
      </c>
      <c r="H693" s="40">
        <f t="shared" ca="1" si="95"/>
        <v>181803576910.79428</v>
      </c>
      <c r="I693" s="40">
        <f t="shared" ca="1" si="96"/>
        <v>93258789174377.656</v>
      </c>
      <c r="J693" s="40">
        <f t="shared" ca="1" si="97"/>
        <v>700931450946.44482</v>
      </c>
      <c r="K693" s="41">
        <f t="shared" ca="1" si="98"/>
        <v>133.04979973213267</v>
      </c>
    </row>
    <row r="694" spans="2:11" ht="15" customHeight="1" x14ac:dyDescent="0.35">
      <c r="B694" s="5">
        <v>673</v>
      </c>
      <c r="C694" s="39">
        <f t="shared" ca="1" si="90"/>
        <v>2.604449533146413</v>
      </c>
      <c r="D694" s="40">
        <f t="shared" ca="1" si="91"/>
        <v>2077853066.3930006</v>
      </c>
      <c r="E694" s="40">
        <f t="shared" ca="1" si="92"/>
        <v>5852120023778.5967</v>
      </c>
      <c r="F694" s="40">
        <f t="shared" ca="1" si="93"/>
        <v>2453849024686.1699</v>
      </c>
      <c r="G694" s="40">
        <f t="shared" ca="1" si="94"/>
        <v>2736827977633.5449</v>
      </c>
      <c r="H694" s="40">
        <f t="shared" ca="1" si="95"/>
        <v>2453849024686.1699</v>
      </c>
      <c r="I694" s="40">
        <f t="shared" ca="1" si="96"/>
        <v>20269830113770.41</v>
      </c>
      <c r="J694" s="40">
        <f t="shared" ca="1" si="97"/>
        <v>1314795985457.0029</v>
      </c>
      <c r="K694" s="41">
        <f t="shared" ca="1" si="98"/>
        <v>15.416711290554273</v>
      </c>
    </row>
    <row r="695" spans="2:11" ht="15" customHeight="1" x14ac:dyDescent="0.35">
      <c r="B695" s="5">
        <v>674</v>
      </c>
      <c r="C695" s="39">
        <f t="shared" ca="1" si="90"/>
        <v>3.3682207273056148</v>
      </c>
      <c r="D695" s="40">
        <f t="shared" ca="1" si="91"/>
        <v>9968614432.2861843</v>
      </c>
      <c r="E695" s="40">
        <f t="shared" ca="1" si="92"/>
        <v>54255873867430.531</v>
      </c>
      <c r="F695" s="40">
        <f t="shared" ca="1" si="93"/>
        <v>3494643422798.814</v>
      </c>
      <c r="G695" s="40">
        <f t="shared" ca="1" si="94"/>
        <v>55935233136272.586</v>
      </c>
      <c r="H695" s="40">
        <f t="shared" ca="1" si="95"/>
        <v>55935233136272.586</v>
      </c>
      <c r="I695" s="40">
        <f t="shared" ca="1" si="96"/>
        <v>19185929345841.434</v>
      </c>
      <c r="J695" s="40">
        <f t="shared" ca="1" si="97"/>
        <v>762033210664.55554</v>
      </c>
      <c r="K695" s="41">
        <f t="shared" ca="1" si="98"/>
        <v>25.177287652738556</v>
      </c>
    </row>
    <row r="696" spans="2:11" ht="15" customHeight="1" x14ac:dyDescent="0.35">
      <c r="B696" s="5">
        <v>675</v>
      </c>
      <c r="C696" s="39">
        <f t="shared" ca="1" si="90"/>
        <v>2.9327196574943741</v>
      </c>
      <c r="D696" s="40">
        <f t="shared" ca="1" si="91"/>
        <v>5064294960.1551609</v>
      </c>
      <c r="E696" s="40">
        <f t="shared" ca="1" si="92"/>
        <v>7212652264025.5195</v>
      </c>
      <c r="F696" s="40">
        <f t="shared" ca="1" si="93"/>
        <v>23085742565546.684</v>
      </c>
      <c r="G696" s="40">
        <f t="shared" ca="1" si="94"/>
        <v>9190254968373.043</v>
      </c>
      <c r="H696" s="40">
        <f t="shared" ca="1" si="95"/>
        <v>9190254968373.043</v>
      </c>
      <c r="I696" s="40">
        <f t="shared" ca="1" si="96"/>
        <v>6708738296431.1621</v>
      </c>
      <c r="J696" s="40">
        <f t="shared" ca="1" si="97"/>
        <v>750808506660.69556</v>
      </c>
      <c r="K696" s="41">
        <f t="shared" ca="1" si="98"/>
        <v>8.9353520064244112</v>
      </c>
    </row>
    <row r="697" spans="2:11" ht="15" customHeight="1" x14ac:dyDescent="0.35">
      <c r="B697" s="5">
        <v>676</v>
      </c>
      <c r="C697" s="39">
        <f t="shared" ca="1" si="90"/>
        <v>3.0346053745954777</v>
      </c>
      <c r="D697" s="40">
        <f t="shared" ca="1" si="91"/>
        <v>4997403609.4195051</v>
      </c>
      <c r="E697" s="40">
        <f t="shared" ca="1" si="92"/>
        <v>19240615838311.742</v>
      </c>
      <c r="F697" s="40">
        <f t="shared" ca="1" si="93"/>
        <v>2520349921821.3989</v>
      </c>
      <c r="G697" s="40">
        <f t="shared" ca="1" si="94"/>
        <v>94844978945279.5</v>
      </c>
      <c r="H697" s="40">
        <f t="shared" ca="1" si="95"/>
        <v>2520349921821.3989</v>
      </c>
      <c r="I697" s="40">
        <f t="shared" ca="1" si="96"/>
        <v>2275892384530.0435</v>
      </c>
      <c r="J697" s="40">
        <f t="shared" ca="1" si="97"/>
        <v>1206853000923.1531</v>
      </c>
      <c r="K697" s="41">
        <f t="shared" ca="1" si="98"/>
        <v>1.8858074535914104</v>
      </c>
    </row>
    <row r="698" spans="2:11" ht="15" customHeight="1" x14ac:dyDescent="0.35">
      <c r="B698" s="5">
        <v>677</v>
      </c>
      <c r="C698" s="39">
        <f t="shared" ca="1" si="90"/>
        <v>3.7453025554288351</v>
      </c>
      <c r="D698" s="40">
        <f t="shared" ca="1" si="91"/>
        <v>13688501293.138817</v>
      </c>
      <c r="E698" s="40">
        <f t="shared" ca="1" si="92"/>
        <v>75556336564238.016</v>
      </c>
      <c r="F698" s="40">
        <f t="shared" ca="1" si="93"/>
        <v>1818244007059.1089</v>
      </c>
      <c r="G698" s="40">
        <f t="shared" ca="1" si="94"/>
        <v>1293636419075.8413</v>
      </c>
      <c r="H698" s="40">
        <f t="shared" ca="1" si="95"/>
        <v>1818244007059.1089</v>
      </c>
      <c r="I698" s="40">
        <f t="shared" ca="1" si="96"/>
        <v>8616962309872.7822</v>
      </c>
      <c r="J698" s="40">
        <f t="shared" ca="1" si="97"/>
        <v>1047690898754.99</v>
      </c>
      <c r="K698" s="41">
        <f t="shared" ca="1" si="98"/>
        <v>8.2247181111457959</v>
      </c>
    </row>
    <row r="699" spans="2:11" ht="15" customHeight="1" x14ac:dyDescent="0.35">
      <c r="B699" s="5">
        <v>678</v>
      </c>
      <c r="C699" s="39">
        <f t="shared" ca="1" si="90"/>
        <v>2.6794725809546298</v>
      </c>
      <c r="D699" s="40">
        <f t="shared" ca="1" si="91"/>
        <v>2514370469.7240252</v>
      </c>
      <c r="E699" s="40">
        <f t="shared" ca="1" si="92"/>
        <v>13487956713497.045</v>
      </c>
      <c r="F699" s="40">
        <f t="shared" ca="1" si="93"/>
        <v>3705271053328.1455</v>
      </c>
      <c r="G699" s="40">
        <f t="shared" ca="1" si="94"/>
        <v>796759793238.58972</v>
      </c>
      <c r="H699" s="40">
        <f t="shared" ca="1" si="95"/>
        <v>13487956713497.045</v>
      </c>
      <c r="I699" s="40">
        <f t="shared" ca="1" si="96"/>
        <v>6200496234994.6963</v>
      </c>
      <c r="J699" s="40">
        <f t="shared" ca="1" si="97"/>
        <v>1104911034321.8433</v>
      </c>
      <c r="K699" s="41">
        <f t="shared" ca="1" si="98"/>
        <v>5.6117606236056368</v>
      </c>
    </row>
    <row r="700" spans="2:11" ht="15" customHeight="1" x14ac:dyDescent="0.35">
      <c r="B700" s="5">
        <v>679</v>
      </c>
      <c r="C700" s="39">
        <f t="shared" ca="1" si="90"/>
        <v>3.3061774858186945</v>
      </c>
      <c r="D700" s="40">
        <f t="shared" ca="1" si="91"/>
        <v>7776924376.4827013</v>
      </c>
      <c r="E700" s="40">
        <f t="shared" ca="1" si="92"/>
        <v>67724876339746.422</v>
      </c>
      <c r="F700" s="40">
        <f t="shared" ca="1" si="93"/>
        <v>19005927490731.578</v>
      </c>
      <c r="G700" s="40">
        <f t="shared" ca="1" si="94"/>
        <v>1663136876137.217</v>
      </c>
      <c r="H700" s="40">
        <f t="shared" ca="1" si="95"/>
        <v>1663136876137.217</v>
      </c>
      <c r="I700" s="40">
        <f t="shared" ca="1" si="96"/>
        <v>284259522051575.75</v>
      </c>
      <c r="J700" s="40">
        <f t="shared" ca="1" si="97"/>
        <v>1109769453596.1328</v>
      </c>
      <c r="K700" s="41">
        <f t="shared" ca="1" si="98"/>
        <v>256.14286024043281</v>
      </c>
    </row>
    <row r="701" spans="2:11" ht="15" customHeight="1" x14ac:dyDescent="0.35">
      <c r="B701" s="5">
        <v>680</v>
      </c>
      <c r="C701" s="39">
        <f t="shared" ca="1" si="90"/>
        <v>2.8003647881065046</v>
      </c>
      <c r="D701" s="40">
        <f t="shared" ca="1" si="91"/>
        <v>3268975112.79002</v>
      </c>
      <c r="E701" s="40">
        <f t="shared" ca="1" si="92"/>
        <v>12161234114672.15</v>
      </c>
      <c r="F701" s="40">
        <f t="shared" ca="1" si="93"/>
        <v>11419865144143.596</v>
      </c>
      <c r="G701" s="40">
        <f t="shared" ca="1" si="94"/>
        <v>1656752184893.3757</v>
      </c>
      <c r="H701" s="40">
        <f t="shared" ca="1" si="95"/>
        <v>11419865144143.596</v>
      </c>
      <c r="I701" s="40">
        <f t="shared" ca="1" si="96"/>
        <v>4672819693527.2441</v>
      </c>
      <c r="J701" s="40">
        <f t="shared" ca="1" si="97"/>
        <v>1744474915820.1519</v>
      </c>
      <c r="K701" s="41">
        <f t="shared" ca="1" si="98"/>
        <v>2.6786396589316119</v>
      </c>
    </row>
    <row r="702" spans="2:11" ht="15" customHeight="1" x14ac:dyDescent="0.35">
      <c r="B702" s="5">
        <v>681</v>
      </c>
      <c r="C702" s="39">
        <f t="shared" ca="1" si="90"/>
        <v>2.8693107039698695</v>
      </c>
      <c r="D702" s="40">
        <f t="shared" ca="1" si="91"/>
        <v>3792252992.9726033</v>
      </c>
      <c r="E702" s="40">
        <f t="shared" ca="1" si="92"/>
        <v>10338890704570.326</v>
      </c>
      <c r="F702" s="40">
        <f t="shared" ca="1" si="93"/>
        <v>2217805920281.7451</v>
      </c>
      <c r="G702" s="40">
        <f t="shared" ca="1" si="94"/>
        <v>177561531157.41348</v>
      </c>
      <c r="H702" s="40">
        <f t="shared" ca="1" si="95"/>
        <v>177561531157.41348</v>
      </c>
      <c r="I702" s="40">
        <f t="shared" ca="1" si="96"/>
        <v>25268832804406.09</v>
      </c>
      <c r="J702" s="40">
        <f t="shared" ca="1" si="97"/>
        <v>1159803369292.9641</v>
      </c>
      <c r="K702" s="41">
        <f t="shared" ca="1" si="98"/>
        <v>21.787169681883576</v>
      </c>
    </row>
    <row r="703" spans="2:11" ht="15" customHeight="1" x14ac:dyDescent="0.35">
      <c r="B703" s="5">
        <v>682</v>
      </c>
      <c r="C703" s="39">
        <f t="shared" ca="1" si="90"/>
        <v>2.2134684331210224</v>
      </c>
      <c r="D703" s="40">
        <f t="shared" ca="1" si="91"/>
        <v>1241602243.9485893</v>
      </c>
      <c r="E703" s="40">
        <f t="shared" ca="1" si="92"/>
        <v>16307128470716.213</v>
      </c>
      <c r="F703" s="40">
        <f t="shared" ca="1" si="93"/>
        <v>9205290476731.1738</v>
      </c>
      <c r="G703" s="40">
        <f t="shared" ca="1" si="94"/>
        <v>3395264664183.313</v>
      </c>
      <c r="H703" s="40">
        <f t="shared" ca="1" si="95"/>
        <v>9205290476731.1738</v>
      </c>
      <c r="I703" s="40">
        <f t="shared" ca="1" si="96"/>
        <v>2153878803092.001</v>
      </c>
      <c r="J703" s="40">
        <f t="shared" ca="1" si="97"/>
        <v>1463175393555.6008</v>
      </c>
      <c r="K703" s="41">
        <f t="shared" ca="1" si="98"/>
        <v>1.4720578357034497</v>
      </c>
    </row>
    <row r="704" spans="2:11" ht="15" customHeight="1" x14ac:dyDescent="0.35">
      <c r="B704" s="5">
        <v>683</v>
      </c>
      <c r="C704" s="39">
        <f t="shared" ca="1" si="90"/>
        <v>2.7985231771338941</v>
      </c>
      <c r="D704" s="40">
        <f t="shared" ca="1" si="91"/>
        <v>4108262560.5540919</v>
      </c>
      <c r="E704" s="40">
        <f t="shared" ca="1" si="92"/>
        <v>6071421291051.3896</v>
      </c>
      <c r="F704" s="40">
        <f t="shared" ca="1" si="93"/>
        <v>3808144362485.7793</v>
      </c>
      <c r="G704" s="40">
        <f t="shared" ca="1" si="94"/>
        <v>12957625456803.934</v>
      </c>
      <c r="H704" s="40">
        <f t="shared" ca="1" si="95"/>
        <v>3808144362485.7793</v>
      </c>
      <c r="I704" s="40">
        <f t="shared" ca="1" si="96"/>
        <v>2634864071181.8682</v>
      </c>
      <c r="J704" s="40">
        <f t="shared" ca="1" si="97"/>
        <v>1451436379438.1643</v>
      </c>
      <c r="K704" s="41">
        <f t="shared" ca="1" si="98"/>
        <v>1.8153493384269423</v>
      </c>
    </row>
    <row r="705" spans="2:11" ht="15" customHeight="1" x14ac:dyDescent="0.35">
      <c r="B705" s="5">
        <v>684</v>
      </c>
      <c r="C705" s="39">
        <f t="shared" ca="1" si="90"/>
        <v>2.1436735852676327</v>
      </c>
      <c r="D705" s="40">
        <f t="shared" ca="1" si="91"/>
        <v>1063129119.1675862</v>
      </c>
      <c r="E705" s="40">
        <f t="shared" ca="1" si="92"/>
        <v>2391913657529.2188</v>
      </c>
      <c r="F705" s="40">
        <f t="shared" ca="1" si="93"/>
        <v>1365822981687.3726</v>
      </c>
      <c r="G705" s="40">
        <f t="shared" ca="1" si="94"/>
        <v>12705691040147.811</v>
      </c>
      <c r="H705" s="40">
        <f t="shared" ca="1" si="95"/>
        <v>1365822981687.3726</v>
      </c>
      <c r="I705" s="40">
        <f t="shared" ca="1" si="96"/>
        <v>7394107201349.9189</v>
      </c>
      <c r="J705" s="40">
        <f t="shared" ca="1" si="97"/>
        <v>813614885565.59082</v>
      </c>
      <c r="K705" s="41">
        <f t="shared" ca="1" si="98"/>
        <v>9.0879694220562932</v>
      </c>
    </row>
    <row r="706" spans="2:11" ht="15" customHeight="1" x14ac:dyDescent="0.35">
      <c r="B706" s="5">
        <v>685</v>
      </c>
      <c r="C706" s="39">
        <f t="shared" ca="1" si="90"/>
        <v>2.5351378054931049</v>
      </c>
      <c r="D706" s="40">
        <f t="shared" ca="1" si="91"/>
        <v>1819359738.7151177</v>
      </c>
      <c r="E706" s="40">
        <f t="shared" ca="1" si="92"/>
        <v>41655975175999.18</v>
      </c>
      <c r="F706" s="40">
        <f t="shared" ca="1" si="93"/>
        <v>2015960187271.1543</v>
      </c>
      <c r="G706" s="40">
        <f t="shared" ca="1" si="94"/>
        <v>13237169675487.16</v>
      </c>
      <c r="H706" s="40">
        <f t="shared" ca="1" si="95"/>
        <v>41655975175999.18</v>
      </c>
      <c r="I706" s="40">
        <f t="shared" ca="1" si="96"/>
        <v>28050245429025.102</v>
      </c>
      <c r="J706" s="40">
        <f t="shared" ca="1" si="97"/>
        <v>1389434663381.4338</v>
      </c>
      <c r="K706" s="41">
        <f t="shared" ca="1" si="98"/>
        <v>20.188243584451744</v>
      </c>
    </row>
    <row r="707" spans="2:11" ht="15" customHeight="1" x14ac:dyDescent="0.35">
      <c r="B707" s="5">
        <v>686</v>
      </c>
      <c r="C707" s="39">
        <f t="shared" ca="1" si="90"/>
        <v>3.1479434887884148</v>
      </c>
      <c r="D707" s="40">
        <f t="shared" ca="1" si="91"/>
        <v>5881824950.4581223</v>
      </c>
      <c r="E707" s="40">
        <f t="shared" ca="1" si="92"/>
        <v>14206461665232.963</v>
      </c>
      <c r="F707" s="40">
        <f t="shared" ca="1" si="93"/>
        <v>15128861722191.262</v>
      </c>
      <c r="G707" s="40">
        <f t="shared" ca="1" si="94"/>
        <v>8942683318622.0078</v>
      </c>
      <c r="H707" s="40">
        <f t="shared" ca="1" si="95"/>
        <v>14206461665232.963</v>
      </c>
      <c r="I707" s="40">
        <f t="shared" ca="1" si="96"/>
        <v>12376914620002.285</v>
      </c>
      <c r="J707" s="40">
        <f t="shared" ca="1" si="97"/>
        <v>1090498084199.0311</v>
      </c>
      <c r="K707" s="41">
        <f t="shared" ca="1" si="98"/>
        <v>11.349781168201782</v>
      </c>
    </row>
    <row r="708" spans="2:11" ht="15" customHeight="1" x14ac:dyDescent="0.35">
      <c r="B708" s="5">
        <v>687</v>
      </c>
      <c r="C708" s="39">
        <f t="shared" ca="1" si="90"/>
        <v>3.0844162727375362</v>
      </c>
      <c r="D708" s="40">
        <f t="shared" ca="1" si="91"/>
        <v>4971369306.8304644</v>
      </c>
      <c r="E708" s="40">
        <f t="shared" ca="1" si="92"/>
        <v>53596599127306.07</v>
      </c>
      <c r="F708" s="40">
        <f t="shared" ca="1" si="93"/>
        <v>955190949616.03137</v>
      </c>
      <c r="G708" s="40">
        <f t="shared" ca="1" si="94"/>
        <v>514177439652.36664</v>
      </c>
      <c r="H708" s="40">
        <f t="shared" ca="1" si="95"/>
        <v>514177439652.36664</v>
      </c>
      <c r="I708" s="40">
        <f t="shared" ca="1" si="96"/>
        <v>13523423792155.508</v>
      </c>
      <c r="J708" s="40">
        <f t="shared" ca="1" si="97"/>
        <v>746274306204.66687</v>
      </c>
      <c r="K708" s="41">
        <f t="shared" ca="1" si="98"/>
        <v>18.12125069792593</v>
      </c>
    </row>
    <row r="709" spans="2:11" ht="15" customHeight="1" x14ac:dyDescent="0.35">
      <c r="B709" s="5">
        <v>688</v>
      </c>
      <c r="C709" s="39">
        <f t="shared" ca="1" si="90"/>
        <v>2.9631890671658492</v>
      </c>
      <c r="D709" s="40">
        <f t="shared" ca="1" si="91"/>
        <v>5265562389.0901318</v>
      </c>
      <c r="E709" s="40">
        <f t="shared" ca="1" si="92"/>
        <v>2401038856068.8628</v>
      </c>
      <c r="F709" s="40">
        <f t="shared" ca="1" si="93"/>
        <v>2879474883523.6616</v>
      </c>
      <c r="G709" s="40">
        <f t="shared" ca="1" si="94"/>
        <v>45449030694210.039</v>
      </c>
      <c r="H709" s="40">
        <f t="shared" ca="1" si="95"/>
        <v>45449030694210.039</v>
      </c>
      <c r="I709" s="40">
        <f t="shared" ca="1" si="96"/>
        <v>26763096462498.883</v>
      </c>
      <c r="J709" s="40">
        <f t="shared" ca="1" si="97"/>
        <v>1300014592648.0015</v>
      </c>
      <c r="K709" s="41">
        <f t="shared" ca="1" si="98"/>
        <v>20.586766190051065</v>
      </c>
    </row>
    <row r="710" spans="2:11" ht="15" customHeight="1" x14ac:dyDescent="0.35">
      <c r="B710" s="5">
        <v>689</v>
      </c>
      <c r="C710" s="39">
        <f t="shared" ca="1" si="90"/>
        <v>3.069619484140246</v>
      </c>
      <c r="D710" s="40">
        <f t="shared" ca="1" si="91"/>
        <v>4900724242.7930193</v>
      </c>
      <c r="E710" s="40">
        <f t="shared" ca="1" si="92"/>
        <v>17723168827357.871</v>
      </c>
      <c r="F710" s="40">
        <f t="shared" ca="1" si="93"/>
        <v>3217643144655.5962</v>
      </c>
      <c r="G710" s="40">
        <f t="shared" ca="1" si="94"/>
        <v>1715455123542.2256</v>
      </c>
      <c r="H710" s="40">
        <f t="shared" ca="1" si="95"/>
        <v>1715455123542.2256</v>
      </c>
      <c r="I710" s="40">
        <f t="shared" ca="1" si="96"/>
        <v>25352725448191.605</v>
      </c>
      <c r="J710" s="40">
        <f t="shared" ca="1" si="97"/>
        <v>1329644364222.6211</v>
      </c>
      <c r="K710" s="41">
        <f t="shared" ca="1" si="98"/>
        <v>19.067298091406659</v>
      </c>
    </row>
    <row r="711" spans="2:11" ht="15" customHeight="1" x14ac:dyDescent="0.35">
      <c r="B711" s="5">
        <v>690</v>
      </c>
      <c r="C711" s="39">
        <f t="shared" ca="1" si="90"/>
        <v>2.3449202774023776</v>
      </c>
      <c r="D711" s="40">
        <f t="shared" ca="1" si="91"/>
        <v>1266430686.001493</v>
      </c>
      <c r="E711" s="40">
        <f t="shared" ca="1" si="92"/>
        <v>15292095366290.076</v>
      </c>
      <c r="F711" s="40">
        <f t="shared" ca="1" si="93"/>
        <v>6888010118008.8838</v>
      </c>
      <c r="G711" s="40">
        <f t="shared" ca="1" si="94"/>
        <v>3233777141688.0298</v>
      </c>
      <c r="H711" s="40">
        <f t="shared" ca="1" si="95"/>
        <v>3233777141688.0298</v>
      </c>
      <c r="I711" s="40">
        <f t="shared" ca="1" si="96"/>
        <v>1274774190195.4675</v>
      </c>
      <c r="J711" s="40">
        <f t="shared" ca="1" si="97"/>
        <v>933654934214.58093</v>
      </c>
      <c r="K711" s="41">
        <f t="shared" ca="1" si="98"/>
        <v>1.3653590244963965</v>
      </c>
    </row>
    <row r="712" spans="2:11" ht="15" customHeight="1" x14ac:dyDescent="0.35">
      <c r="B712" s="5">
        <v>691</v>
      </c>
      <c r="C712" s="39">
        <f t="shared" ca="1" si="90"/>
        <v>3.3382375057600546</v>
      </c>
      <c r="D712" s="40">
        <f t="shared" ca="1" si="91"/>
        <v>9823159507.2861176</v>
      </c>
      <c r="E712" s="40">
        <f t="shared" ca="1" si="92"/>
        <v>92545987747296.672</v>
      </c>
      <c r="F712" s="40">
        <f t="shared" ca="1" si="93"/>
        <v>1603631547141.7388</v>
      </c>
      <c r="G712" s="40">
        <f t="shared" ca="1" si="94"/>
        <v>2898447537682.1318</v>
      </c>
      <c r="H712" s="40">
        <f t="shared" ca="1" si="95"/>
        <v>1603631547141.7388</v>
      </c>
      <c r="I712" s="40">
        <f t="shared" ca="1" si="96"/>
        <v>1386347038796.3008</v>
      </c>
      <c r="J712" s="40">
        <f t="shared" ca="1" si="97"/>
        <v>1007341271760.1636</v>
      </c>
      <c r="K712" s="41">
        <f t="shared" ca="1" si="98"/>
        <v>1.3762436600794554</v>
      </c>
    </row>
    <row r="713" spans="2:11" ht="15" customHeight="1" x14ac:dyDescent="0.35">
      <c r="B713" s="5">
        <v>692</v>
      </c>
      <c r="C713" s="39">
        <f t="shared" ca="1" si="90"/>
        <v>2.7868625794480377</v>
      </c>
      <c r="D713" s="40">
        <f t="shared" ca="1" si="91"/>
        <v>4010939122.7121348</v>
      </c>
      <c r="E713" s="40">
        <f t="shared" ca="1" si="92"/>
        <v>36185208500943.641</v>
      </c>
      <c r="F713" s="40">
        <f t="shared" ca="1" si="93"/>
        <v>2081270964579.032</v>
      </c>
      <c r="G713" s="40">
        <f t="shared" ca="1" si="94"/>
        <v>752973815384.39111</v>
      </c>
      <c r="H713" s="40">
        <f t="shared" ca="1" si="95"/>
        <v>2081270964579.032</v>
      </c>
      <c r="I713" s="40">
        <f t="shared" ca="1" si="96"/>
        <v>1306287367116.6707</v>
      </c>
      <c r="J713" s="40">
        <f t="shared" ca="1" si="97"/>
        <v>1126627956107.3367</v>
      </c>
      <c r="K713" s="41">
        <f t="shared" ca="1" si="98"/>
        <v>1.1594664947158628</v>
      </c>
    </row>
    <row r="714" spans="2:11" ht="15" customHeight="1" x14ac:dyDescent="0.35">
      <c r="B714" s="5">
        <v>693</v>
      </c>
      <c r="C714" s="39">
        <f t="shared" ca="1" si="90"/>
        <v>2.887745063462348</v>
      </c>
      <c r="D714" s="40">
        <f t="shared" ca="1" si="91"/>
        <v>4068375004.1315503</v>
      </c>
      <c r="E714" s="40">
        <f t="shared" ca="1" si="92"/>
        <v>11760218305490.102</v>
      </c>
      <c r="F714" s="40">
        <f t="shared" ca="1" si="93"/>
        <v>3880270281022.8442</v>
      </c>
      <c r="G714" s="40">
        <f t="shared" ca="1" si="94"/>
        <v>155184121056378.41</v>
      </c>
      <c r="H714" s="40">
        <f t="shared" ca="1" si="95"/>
        <v>155184121056378.41</v>
      </c>
      <c r="I714" s="40">
        <f t="shared" ca="1" si="96"/>
        <v>2092494027163.2913</v>
      </c>
      <c r="J714" s="40">
        <f t="shared" ca="1" si="97"/>
        <v>1003611186388.6923</v>
      </c>
      <c r="K714" s="41">
        <f t="shared" ca="1" si="98"/>
        <v>2.0849648305463204</v>
      </c>
    </row>
    <row r="715" spans="2:11" ht="15" customHeight="1" x14ac:dyDescent="0.35">
      <c r="B715" s="5">
        <v>694</v>
      </c>
      <c r="C715" s="39">
        <f t="shared" ca="1" si="90"/>
        <v>2.6953070730934532</v>
      </c>
      <c r="D715" s="40">
        <f t="shared" ca="1" si="91"/>
        <v>2743456683.0914302</v>
      </c>
      <c r="E715" s="40">
        <f t="shared" ca="1" si="92"/>
        <v>14312739592205.531</v>
      </c>
      <c r="F715" s="40">
        <f t="shared" ca="1" si="93"/>
        <v>4007099749356.8682</v>
      </c>
      <c r="G715" s="40">
        <f t="shared" ca="1" si="94"/>
        <v>5700511079157.834</v>
      </c>
      <c r="H715" s="40">
        <f t="shared" ca="1" si="95"/>
        <v>4007099749356.8682</v>
      </c>
      <c r="I715" s="40">
        <f t="shared" ca="1" si="96"/>
        <v>4531979776310.3242</v>
      </c>
      <c r="J715" s="40">
        <f t="shared" ca="1" si="97"/>
        <v>934112003321.8457</v>
      </c>
      <c r="K715" s="41">
        <f t="shared" ca="1" si="98"/>
        <v>4.8516449421417436</v>
      </c>
    </row>
    <row r="716" spans="2:11" ht="15" customHeight="1" x14ac:dyDescent="0.35">
      <c r="B716" s="5">
        <v>695</v>
      </c>
      <c r="C716" s="39">
        <f t="shared" ca="1" si="90"/>
        <v>2.8889499461089203</v>
      </c>
      <c r="D716" s="40">
        <f t="shared" ca="1" si="91"/>
        <v>3548373631.1750565</v>
      </c>
      <c r="E716" s="40">
        <f t="shared" ca="1" si="92"/>
        <v>16922198920524.445</v>
      </c>
      <c r="F716" s="40">
        <f t="shared" ca="1" si="93"/>
        <v>2188369294510.5457</v>
      </c>
      <c r="G716" s="40">
        <f t="shared" ca="1" si="94"/>
        <v>1399211665936.6248</v>
      </c>
      <c r="H716" s="40">
        <f t="shared" ca="1" si="95"/>
        <v>1399211665936.6248</v>
      </c>
      <c r="I716" s="40">
        <f t="shared" ca="1" si="96"/>
        <v>804535044741.90942</v>
      </c>
      <c r="J716" s="40">
        <f t="shared" ca="1" si="97"/>
        <v>1239431123911.4497</v>
      </c>
      <c r="K716" s="41">
        <f t="shared" ca="1" si="98"/>
        <v>0.64911638026558782</v>
      </c>
    </row>
    <row r="717" spans="2:11" ht="15" customHeight="1" x14ac:dyDescent="0.35">
      <c r="B717" s="5">
        <v>696</v>
      </c>
      <c r="C717" s="39">
        <f t="shared" ca="1" si="90"/>
        <v>2.8626650194891932</v>
      </c>
      <c r="D717" s="40">
        <f t="shared" ca="1" si="91"/>
        <v>4077950076.6818266</v>
      </c>
      <c r="E717" s="40">
        <f t="shared" ca="1" si="92"/>
        <v>6300722668737.2314</v>
      </c>
      <c r="F717" s="40">
        <f t="shared" ca="1" si="93"/>
        <v>1774543796966.6318</v>
      </c>
      <c r="G717" s="40">
        <f t="shared" ca="1" si="94"/>
        <v>12187761409520.127</v>
      </c>
      <c r="H717" s="40">
        <f t="shared" ca="1" si="95"/>
        <v>12187761409520.127</v>
      </c>
      <c r="I717" s="40">
        <f t="shared" ca="1" si="96"/>
        <v>15540428507918.844</v>
      </c>
      <c r="J717" s="40">
        <f t="shared" ca="1" si="97"/>
        <v>759262882120.86157</v>
      </c>
      <c r="K717" s="41">
        <f t="shared" ca="1" si="98"/>
        <v>20.467783785912868</v>
      </c>
    </row>
    <row r="718" spans="2:11" ht="15" customHeight="1" x14ac:dyDescent="0.35">
      <c r="B718" s="5">
        <v>697</v>
      </c>
      <c r="C718" s="39">
        <f t="shared" ca="1" si="90"/>
        <v>3.3248003946181508</v>
      </c>
      <c r="D718" s="40">
        <f t="shared" ca="1" si="91"/>
        <v>8893209631.9910145</v>
      </c>
      <c r="E718" s="40">
        <f t="shared" ca="1" si="92"/>
        <v>38900092292274.289</v>
      </c>
      <c r="F718" s="40">
        <f t="shared" ca="1" si="93"/>
        <v>1550597761268.1228</v>
      </c>
      <c r="G718" s="40">
        <f t="shared" ca="1" si="94"/>
        <v>3321600103676.2681</v>
      </c>
      <c r="H718" s="40">
        <f t="shared" ca="1" si="95"/>
        <v>38900092292274.289</v>
      </c>
      <c r="I718" s="40">
        <f t="shared" ca="1" si="96"/>
        <v>150595835268316.16</v>
      </c>
      <c r="J718" s="40">
        <f t="shared" ca="1" si="97"/>
        <v>900213776973.4126</v>
      </c>
      <c r="K718" s="41">
        <f t="shared" ca="1" si="98"/>
        <v>167.28896970965147</v>
      </c>
    </row>
    <row r="719" spans="2:11" ht="15" customHeight="1" x14ac:dyDescent="0.35">
      <c r="B719" s="5">
        <v>698</v>
      </c>
      <c r="C719" s="39">
        <f t="shared" ca="1" si="90"/>
        <v>3.8876291094918809</v>
      </c>
      <c r="D719" s="40">
        <f t="shared" ca="1" si="91"/>
        <v>16405695830.286642</v>
      </c>
      <c r="E719" s="40">
        <f t="shared" ca="1" si="92"/>
        <v>40611067793385.969</v>
      </c>
      <c r="F719" s="40">
        <f t="shared" ca="1" si="93"/>
        <v>5502696612745.1875</v>
      </c>
      <c r="G719" s="40">
        <f t="shared" ca="1" si="94"/>
        <v>1407773100311.8591</v>
      </c>
      <c r="H719" s="40">
        <f t="shared" ca="1" si="95"/>
        <v>1407773100311.8591</v>
      </c>
      <c r="I719" s="40">
        <f t="shared" ca="1" si="96"/>
        <v>12966464925668.07</v>
      </c>
      <c r="J719" s="40">
        <f t="shared" ca="1" si="97"/>
        <v>1413782377897.4624</v>
      </c>
      <c r="K719" s="41">
        <f t="shared" ca="1" si="98"/>
        <v>9.1714715987275461</v>
      </c>
    </row>
    <row r="720" spans="2:11" ht="15" customHeight="1" x14ac:dyDescent="0.35">
      <c r="B720" s="5">
        <v>699</v>
      </c>
      <c r="C720" s="39">
        <f t="shared" ca="1" si="90"/>
        <v>3.1068368440223622</v>
      </c>
      <c r="D720" s="40">
        <f t="shared" ca="1" si="91"/>
        <v>6519329371.6058073</v>
      </c>
      <c r="E720" s="40">
        <f t="shared" ca="1" si="92"/>
        <v>57364321453963.242</v>
      </c>
      <c r="F720" s="40">
        <f t="shared" ca="1" si="93"/>
        <v>1356878148879.2729</v>
      </c>
      <c r="G720" s="40">
        <f t="shared" ca="1" si="94"/>
        <v>2585012042643.8188</v>
      </c>
      <c r="H720" s="40">
        <f t="shared" ca="1" si="95"/>
        <v>57364321453963.242</v>
      </c>
      <c r="I720" s="40">
        <f t="shared" ca="1" si="96"/>
        <v>13088297332790.971</v>
      </c>
      <c r="J720" s="40">
        <f t="shared" ca="1" si="97"/>
        <v>969404259528.78516</v>
      </c>
      <c r="K720" s="41">
        <f t="shared" ca="1" si="98"/>
        <v>13.501382116015275</v>
      </c>
    </row>
    <row r="721" spans="2:11" ht="15" customHeight="1" x14ac:dyDescent="0.35">
      <c r="B721" s="5">
        <v>700</v>
      </c>
      <c r="C721" s="39">
        <f t="shared" ca="1" si="90"/>
        <v>2.5423563262354465</v>
      </c>
      <c r="D721" s="40">
        <f t="shared" ca="1" si="91"/>
        <v>1855663959.3388464</v>
      </c>
      <c r="E721" s="40">
        <f t="shared" ca="1" si="92"/>
        <v>2676163824582.1265</v>
      </c>
      <c r="F721" s="40">
        <f t="shared" ca="1" si="93"/>
        <v>617439850942.29871</v>
      </c>
      <c r="G721" s="40">
        <f t="shared" ca="1" si="94"/>
        <v>3762452774898.5356</v>
      </c>
      <c r="H721" s="40">
        <f t="shared" ca="1" si="95"/>
        <v>3762452774898.5356</v>
      </c>
      <c r="I721" s="40">
        <f t="shared" ca="1" si="96"/>
        <v>15686985845479.627</v>
      </c>
      <c r="J721" s="40">
        <f t="shared" ca="1" si="97"/>
        <v>1227239962666.0527</v>
      </c>
      <c r="K721" s="41">
        <f t="shared" ca="1" si="98"/>
        <v>12.782329717654616</v>
      </c>
    </row>
    <row r="722" spans="2:11" ht="15" customHeight="1" x14ac:dyDescent="0.35">
      <c r="B722" s="5">
        <v>701</v>
      </c>
      <c r="C722" s="39">
        <f t="shared" ca="1" si="90"/>
        <v>3.0858977268778589</v>
      </c>
      <c r="D722" s="40">
        <f t="shared" ca="1" si="91"/>
        <v>5102272409.4687672</v>
      </c>
      <c r="E722" s="40">
        <f t="shared" ca="1" si="92"/>
        <v>81478403208503.781</v>
      </c>
      <c r="F722" s="40">
        <f t="shared" ca="1" si="93"/>
        <v>2776337268211.6675</v>
      </c>
      <c r="G722" s="40">
        <f t="shared" ca="1" si="94"/>
        <v>9993346949440.6094</v>
      </c>
      <c r="H722" s="40">
        <f t="shared" ca="1" si="95"/>
        <v>2776337268211.6675</v>
      </c>
      <c r="I722" s="40">
        <f t="shared" ca="1" si="96"/>
        <v>23269119388130.859</v>
      </c>
      <c r="J722" s="40">
        <f t="shared" ca="1" si="97"/>
        <v>1259623703037.5916</v>
      </c>
      <c r="K722" s="41">
        <f t="shared" ca="1" si="98"/>
        <v>18.473072023031332</v>
      </c>
    </row>
    <row r="723" spans="2:11" ht="15" customHeight="1" x14ac:dyDescent="0.35">
      <c r="B723" s="5">
        <v>702</v>
      </c>
      <c r="C723" s="39">
        <f t="shared" ca="1" si="90"/>
        <v>3.089731053160933</v>
      </c>
      <c r="D723" s="40">
        <f t="shared" ca="1" si="91"/>
        <v>5868201864.6454172</v>
      </c>
      <c r="E723" s="40">
        <f t="shared" ca="1" si="92"/>
        <v>45070455928745.039</v>
      </c>
      <c r="F723" s="40">
        <f t="shared" ca="1" si="93"/>
        <v>2879708118340.6704</v>
      </c>
      <c r="G723" s="40">
        <f t="shared" ca="1" si="94"/>
        <v>61993419727939.172</v>
      </c>
      <c r="H723" s="40">
        <f t="shared" ca="1" si="95"/>
        <v>45070455928745.039</v>
      </c>
      <c r="I723" s="40">
        <f t="shared" ca="1" si="96"/>
        <v>12965911872807.594</v>
      </c>
      <c r="J723" s="40">
        <f t="shared" ca="1" si="97"/>
        <v>1323010065373.9963</v>
      </c>
      <c r="K723" s="41">
        <f t="shared" ca="1" si="98"/>
        <v>9.8003123424025596</v>
      </c>
    </row>
    <row r="724" spans="2:11" ht="15" customHeight="1" x14ac:dyDescent="0.35">
      <c r="B724" s="5">
        <v>703</v>
      </c>
      <c r="C724" s="39">
        <f t="shared" ca="1" si="90"/>
        <v>3.5752263065224854</v>
      </c>
      <c r="D724" s="40">
        <f t="shared" ca="1" si="91"/>
        <v>12261699292.985216</v>
      </c>
      <c r="E724" s="40">
        <f t="shared" ca="1" si="92"/>
        <v>24308208163383.691</v>
      </c>
      <c r="F724" s="40">
        <f t="shared" ca="1" si="93"/>
        <v>10802179269815.545</v>
      </c>
      <c r="G724" s="40">
        <f t="shared" ca="1" si="94"/>
        <v>2761833972818.9355</v>
      </c>
      <c r="H724" s="40">
        <f t="shared" ca="1" si="95"/>
        <v>10802179269815.545</v>
      </c>
      <c r="I724" s="40">
        <f t="shared" ca="1" si="96"/>
        <v>1715824687731.0625</v>
      </c>
      <c r="J724" s="40">
        <f t="shared" ca="1" si="97"/>
        <v>571479392880.96423</v>
      </c>
      <c r="K724" s="41">
        <f t="shared" ca="1" si="98"/>
        <v>3.0024261751262458</v>
      </c>
    </row>
    <row r="725" spans="2:11" ht="15" customHeight="1" x14ac:dyDescent="0.35">
      <c r="B725" s="5">
        <v>704</v>
      </c>
      <c r="C725" s="39">
        <f t="shared" ca="1" si="90"/>
        <v>3.4233528749487609</v>
      </c>
      <c r="D725" s="40">
        <f t="shared" ca="1" si="91"/>
        <v>8970161052.3884048</v>
      </c>
      <c r="E725" s="40">
        <f t="shared" ca="1" si="92"/>
        <v>100295413045345.11</v>
      </c>
      <c r="F725" s="40">
        <f t="shared" ca="1" si="93"/>
        <v>8314882832384.7393</v>
      </c>
      <c r="G725" s="40">
        <f t="shared" ca="1" si="94"/>
        <v>5242516337548.2256</v>
      </c>
      <c r="H725" s="40">
        <f t="shared" ca="1" si="95"/>
        <v>5242516337548.2256</v>
      </c>
      <c r="I725" s="40">
        <f t="shared" ca="1" si="96"/>
        <v>568384497620.03235</v>
      </c>
      <c r="J725" s="40">
        <f t="shared" ca="1" si="97"/>
        <v>913637285576.77026</v>
      </c>
      <c r="K725" s="41">
        <f t="shared" ca="1" si="98"/>
        <v>0.62211175768862892</v>
      </c>
    </row>
    <row r="726" spans="2:11" ht="15" customHeight="1" x14ac:dyDescent="0.35">
      <c r="B726" s="5">
        <v>705</v>
      </c>
      <c r="C726" s="39">
        <f t="shared" ref="C726:C789" ca="1" si="99">MEDIAN(1.8,NORMINV(RAND(),$C$7,$D$7),4.5)</f>
        <v>3.3540406975113539</v>
      </c>
      <c r="D726" s="40">
        <f t="shared" ref="D726:D789" ca="1" si="100">($C$8+RAND()*($D$8-$C$8))*C726^5</f>
        <v>9914238678.8910236</v>
      </c>
      <c r="E726" s="40">
        <f t="shared" ref="E726:E789" ca="1" si="101">D726*($C$10+RAND()*($D$10-$C$10))*EXP(NORMINV(RAND(),$C$9,$D$9))*($C$11+RAND()*($D$11-$C$11))</f>
        <v>59302819647899.055</v>
      </c>
      <c r="F726" s="40">
        <f t="shared" ref="F726:F789" ca="1" si="102">EXP(NORMINV(RAND(),$C$12,$D$12))*EXP(NORMINV(RAND(),$C$13,$D$13))</f>
        <v>7383969048013.959</v>
      </c>
      <c r="G726" s="40">
        <f t="shared" ref="G726:G789" ca="1" si="103">EXP(NORMINV(RAND(),$C$14,$D$14))*($C$15+RAND()*($D$15-$C$15))*EXP(NORMINV(RAND(),$C$16,$D$16))/1000000*31536000</f>
        <v>28233059760497.664</v>
      </c>
      <c r="H726" s="40">
        <f t="shared" ref="H726:H789" ca="1" si="104">CHOOSE(RANDBETWEEN(1,3),E726,F726,G726)</f>
        <v>59302819647899.055</v>
      </c>
      <c r="I726" s="40">
        <f t="shared" ref="I726:I789" ca="1" si="105">EXP(NORMINV(RAND(),$C$14,$D$14))*($C$15+RAND()*($D$15-$C$15))*60</f>
        <v>1374957985652.1428</v>
      </c>
      <c r="J726" s="40">
        <f t="shared" ref="J726:J789" ca="1" si="106">($C$17+RAND()*($D$17-$C$17))*($C$18+RAND()*($D$18-$C$18))</f>
        <v>1491041870144.9905</v>
      </c>
      <c r="K726" s="41">
        <f t="shared" ref="K726:K789" ca="1" si="107">I726/J726</f>
        <v>0.92214579159902499</v>
      </c>
    </row>
    <row r="727" spans="2:11" ht="15" customHeight="1" x14ac:dyDescent="0.35">
      <c r="B727" s="5">
        <v>706</v>
      </c>
      <c r="C727" s="39">
        <f t="shared" ca="1" si="99"/>
        <v>2.7551539240998983</v>
      </c>
      <c r="D727" s="40">
        <f t="shared" ca="1" si="100"/>
        <v>2942380146.619915</v>
      </c>
      <c r="E727" s="40">
        <f t="shared" ca="1" si="101"/>
        <v>11342834009450.785</v>
      </c>
      <c r="F727" s="40">
        <f t="shared" ca="1" si="102"/>
        <v>1550650829382.407</v>
      </c>
      <c r="G727" s="40">
        <f t="shared" ca="1" si="103"/>
        <v>25349239805340.813</v>
      </c>
      <c r="H727" s="40">
        <f t="shared" ca="1" si="104"/>
        <v>1550650829382.407</v>
      </c>
      <c r="I727" s="40">
        <f t="shared" ca="1" si="105"/>
        <v>25065063499629.328</v>
      </c>
      <c r="J727" s="40">
        <f t="shared" ca="1" si="106"/>
        <v>558916880433.17639</v>
      </c>
      <c r="K727" s="41">
        <f t="shared" ca="1" si="107"/>
        <v>44.845780074137672</v>
      </c>
    </row>
    <row r="728" spans="2:11" ht="15" customHeight="1" x14ac:dyDescent="0.35">
      <c r="B728" s="5">
        <v>707</v>
      </c>
      <c r="C728" s="39">
        <f t="shared" ca="1" si="99"/>
        <v>2.5699971592498994</v>
      </c>
      <c r="D728" s="40">
        <f t="shared" ca="1" si="100"/>
        <v>2007187815.8040299</v>
      </c>
      <c r="E728" s="40">
        <f t="shared" ca="1" si="101"/>
        <v>4406239273275.7432</v>
      </c>
      <c r="F728" s="40">
        <f t="shared" ca="1" si="102"/>
        <v>3163696673398.9028</v>
      </c>
      <c r="G728" s="40">
        <f t="shared" ca="1" si="103"/>
        <v>22951481234499.492</v>
      </c>
      <c r="H728" s="40">
        <f t="shared" ca="1" si="104"/>
        <v>4406239273275.7432</v>
      </c>
      <c r="I728" s="40">
        <f t="shared" ca="1" si="105"/>
        <v>8310788422690.0859</v>
      </c>
      <c r="J728" s="40">
        <f t="shared" ca="1" si="106"/>
        <v>1730207173828.8665</v>
      </c>
      <c r="K728" s="41">
        <f t="shared" ca="1" si="107"/>
        <v>4.8033487251695446</v>
      </c>
    </row>
    <row r="729" spans="2:11" ht="15" customHeight="1" x14ac:dyDescent="0.35">
      <c r="B729" s="5">
        <v>708</v>
      </c>
      <c r="C729" s="39">
        <f t="shared" ca="1" si="99"/>
        <v>3.4897139392564407</v>
      </c>
      <c r="D729" s="40">
        <f t="shared" ca="1" si="100"/>
        <v>10783010012.435104</v>
      </c>
      <c r="E729" s="40">
        <f t="shared" ca="1" si="101"/>
        <v>44373988051128.578</v>
      </c>
      <c r="F729" s="40">
        <f t="shared" ca="1" si="102"/>
        <v>10697856327366.152</v>
      </c>
      <c r="G729" s="40">
        <f t="shared" ca="1" si="103"/>
        <v>9096483674658.1699</v>
      </c>
      <c r="H729" s="40">
        <f t="shared" ca="1" si="104"/>
        <v>9096483674658.1699</v>
      </c>
      <c r="I729" s="40">
        <f t="shared" ca="1" si="105"/>
        <v>3205674470378.4487</v>
      </c>
      <c r="J729" s="40">
        <f t="shared" ca="1" si="106"/>
        <v>1244296994352.1091</v>
      </c>
      <c r="K729" s="41">
        <f t="shared" ca="1" si="107"/>
        <v>2.5762936701841075</v>
      </c>
    </row>
    <row r="730" spans="2:11" ht="15" customHeight="1" x14ac:dyDescent="0.35">
      <c r="B730" s="5">
        <v>709</v>
      </c>
      <c r="C730" s="39">
        <f t="shared" ca="1" si="99"/>
        <v>2.5230691017195923</v>
      </c>
      <c r="D730" s="40">
        <f t="shared" ca="1" si="100"/>
        <v>2342458447.3034549</v>
      </c>
      <c r="E730" s="40">
        <f t="shared" ca="1" si="101"/>
        <v>40203776341201.445</v>
      </c>
      <c r="F730" s="40">
        <f t="shared" ca="1" si="102"/>
        <v>1509348728275.6321</v>
      </c>
      <c r="G730" s="40">
        <f t="shared" ca="1" si="103"/>
        <v>152670345072.27316</v>
      </c>
      <c r="H730" s="40">
        <f t="shared" ca="1" si="104"/>
        <v>1509348728275.6321</v>
      </c>
      <c r="I730" s="40">
        <f t="shared" ca="1" si="105"/>
        <v>2135710105919.0913</v>
      </c>
      <c r="J730" s="40">
        <f t="shared" ca="1" si="106"/>
        <v>1571313487712.157</v>
      </c>
      <c r="K730" s="41">
        <f t="shared" ca="1" si="107"/>
        <v>1.3591877894644051</v>
      </c>
    </row>
    <row r="731" spans="2:11" ht="15" customHeight="1" x14ac:dyDescent="0.35">
      <c r="B731" s="5">
        <v>710</v>
      </c>
      <c r="C731" s="39">
        <f t="shared" ca="1" si="99"/>
        <v>3.3866636837339072</v>
      </c>
      <c r="D731" s="40">
        <f t="shared" ca="1" si="100"/>
        <v>9376776218.2524586</v>
      </c>
      <c r="E731" s="40">
        <f t="shared" ca="1" si="101"/>
        <v>18005205829994.926</v>
      </c>
      <c r="F731" s="40">
        <f t="shared" ca="1" si="102"/>
        <v>20395755680872.645</v>
      </c>
      <c r="G731" s="40">
        <f t="shared" ca="1" si="103"/>
        <v>25586107237383.301</v>
      </c>
      <c r="H731" s="40">
        <f t="shared" ca="1" si="104"/>
        <v>20395755680872.645</v>
      </c>
      <c r="I731" s="40">
        <f t="shared" ca="1" si="105"/>
        <v>6926112398796.9805</v>
      </c>
      <c r="J731" s="40">
        <f t="shared" ca="1" si="106"/>
        <v>1147098505808.5327</v>
      </c>
      <c r="K731" s="41">
        <f t="shared" ca="1" si="107"/>
        <v>6.0379403893609886</v>
      </c>
    </row>
    <row r="732" spans="2:11" ht="15" customHeight="1" x14ac:dyDescent="0.35">
      <c r="B732" s="5">
        <v>711</v>
      </c>
      <c r="C732" s="39">
        <f t="shared" ca="1" si="99"/>
        <v>2.878273264331531</v>
      </c>
      <c r="D732" s="40">
        <f t="shared" ca="1" si="100"/>
        <v>4585059343.9250135</v>
      </c>
      <c r="E732" s="40">
        <f t="shared" ca="1" si="101"/>
        <v>11892741984886.213</v>
      </c>
      <c r="F732" s="40">
        <f t="shared" ca="1" si="102"/>
        <v>2333450490643.707</v>
      </c>
      <c r="G732" s="40">
        <f t="shared" ca="1" si="103"/>
        <v>18597481400095.133</v>
      </c>
      <c r="H732" s="40">
        <f t="shared" ca="1" si="104"/>
        <v>11892741984886.213</v>
      </c>
      <c r="I732" s="40">
        <f t="shared" ca="1" si="105"/>
        <v>14062956486420.668</v>
      </c>
      <c r="J732" s="40">
        <f t="shared" ca="1" si="106"/>
        <v>560584667040.77356</v>
      </c>
      <c r="K732" s="41">
        <f t="shared" ca="1" si="107"/>
        <v>25.086231060611247</v>
      </c>
    </row>
    <row r="733" spans="2:11" ht="15" customHeight="1" x14ac:dyDescent="0.35">
      <c r="B733" s="5">
        <v>712</v>
      </c>
      <c r="C733" s="39">
        <f t="shared" ca="1" si="99"/>
        <v>2.8874043373164286</v>
      </c>
      <c r="D733" s="40">
        <f t="shared" ca="1" si="100"/>
        <v>4794473926.4487486</v>
      </c>
      <c r="E733" s="40">
        <f t="shared" ca="1" si="101"/>
        <v>24299057605319.961</v>
      </c>
      <c r="F733" s="40">
        <f t="shared" ca="1" si="102"/>
        <v>24162410214872.805</v>
      </c>
      <c r="G733" s="40">
        <f t="shared" ca="1" si="103"/>
        <v>2137539132223.3306</v>
      </c>
      <c r="H733" s="40">
        <f t="shared" ca="1" si="104"/>
        <v>24299057605319.961</v>
      </c>
      <c r="I733" s="40">
        <f t="shared" ca="1" si="105"/>
        <v>86194676062710.063</v>
      </c>
      <c r="J733" s="40">
        <f t="shared" ca="1" si="106"/>
        <v>1426460619240.3306</v>
      </c>
      <c r="K733" s="41">
        <f t="shared" ca="1" si="107"/>
        <v>60.425556023140345</v>
      </c>
    </row>
    <row r="734" spans="2:11" ht="15" customHeight="1" x14ac:dyDescent="0.35">
      <c r="B734" s="5">
        <v>713</v>
      </c>
      <c r="C734" s="39">
        <f t="shared" ca="1" si="99"/>
        <v>2.6337134880942927</v>
      </c>
      <c r="D734" s="40">
        <f t="shared" ca="1" si="100"/>
        <v>2791291811.2899079</v>
      </c>
      <c r="E734" s="40">
        <f t="shared" ca="1" si="101"/>
        <v>28853019174153.223</v>
      </c>
      <c r="F734" s="40">
        <f t="shared" ca="1" si="102"/>
        <v>1168447234900.0007</v>
      </c>
      <c r="G734" s="40">
        <f t="shared" ca="1" si="103"/>
        <v>390747387434.44312</v>
      </c>
      <c r="H734" s="40">
        <f t="shared" ca="1" si="104"/>
        <v>390747387434.44312</v>
      </c>
      <c r="I734" s="40">
        <f t="shared" ca="1" si="105"/>
        <v>15224698352737.734</v>
      </c>
      <c r="J734" s="40">
        <f t="shared" ca="1" si="106"/>
        <v>641363055113.91357</v>
      </c>
      <c r="K734" s="41">
        <f t="shared" ca="1" si="107"/>
        <v>23.738034536513254</v>
      </c>
    </row>
    <row r="735" spans="2:11" ht="15" customHeight="1" x14ac:dyDescent="0.35">
      <c r="B735" s="5">
        <v>714</v>
      </c>
      <c r="C735" s="39">
        <f t="shared" ca="1" si="99"/>
        <v>4.0397385676904687</v>
      </c>
      <c r="D735" s="40">
        <f t="shared" ca="1" si="100"/>
        <v>22619718832.911396</v>
      </c>
      <c r="E735" s="40">
        <f t="shared" ca="1" si="101"/>
        <v>114792887957459.59</v>
      </c>
      <c r="F735" s="40">
        <f t="shared" ca="1" si="102"/>
        <v>4519910365190.8545</v>
      </c>
      <c r="G735" s="40">
        <f t="shared" ca="1" si="103"/>
        <v>2963596148094.5059</v>
      </c>
      <c r="H735" s="40">
        <f t="shared" ca="1" si="104"/>
        <v>114792887957459.59</v>
      </c>
      <c r="I735" s="40">
        <f t="shared" ca="1" si="105"/>
        <v>36980693538615.836</v>
      </c>
      <c r="J735" s="40">
        <f t="shared" ca="1" si="106"/>
        <v>754150342430.71509</v>
      </c>
      <c r="K735" s="41">
        <f t="shared" ca="1" si="107"/>
        <v>49.0362351615763</v>
      </c>
    </row>
    <row r="736" spans="2:11" ht="15" customHeight="1" x14ac:dyDescent="0.35">
      <c r="B736" s="5">
        <v>715</v>
      </c>
      <c r="C736" s="39">
        <f t="shared" ca="1" si="99"/>
        <v>2.9779452144309682</v>
      </c>
      <c r="D736" s="40">
        <f t="shared" ca="1" si="100"/>
        <v>5009800763.0378485</v>
      </c>
      <c r="E736" s="40">
        <f t="shared" ca="1" si="101"/>
        <v>35033411828421.664</v>
      </c>
      <c r="F736" s="40">
        <f t="shared" ca="1" si="102"/>
        <v>4522535113825.7002</v>
      </c>
      <c r="G736" s="40">
        <f t="shared" ca="1" si="103"/>
        <v>21121815266846.16</v>
      </c>
      <c r="H736" s="40">
        <f t="shared" ca="1" si="104"/>
        <v>4522535113825.7002</v>
      </c>
      <c r="I736" s="40">
        <f t="shared" ca="1" si="105"/>
        <v>4787053213812.9893</v>
      </c>
      <c r="J736" s="40">
        <f t="shared" ca="1" si="106"/>
        <v>482180016107.31055</v>
      </c>
      <c r="K736" s="41">
        <f t="shared" ca="1" si="107"/>
        <v>9.9279378113995023</v>
      </c>
    </row>
    <row r="737" spans="2:11" ht="15" customHeight="1" x14ac:dyDescent="0.35">
      <c r="B737" s="5">
        <v>716</v>
      </c>
      <c r="C737" s="39">
        <f t="shared" ca="1" si="99"/>
        <v>3.0431664727578203</v>
      </c>
      <c r="D737" s="40">
        <f t="shared" ca="1" si="100"/>
        <v>4909007974.3402033</v>
      </c>
      <c r="E737" s="40">
        <f t="shared" ca="1" si="101"/>
        <v>34045009816770.609</v>
      </c>
      <c r="F737" s="40">
        <f t="shared" ca="1" si="102"/>
        <v>864543041717.48425</v>
      </c>
      <c r="G737" s="40">
        <f t="shared" ca="1" si="103"/>
        <v>211905354980.5842</v>
      </c>
      <c r="H737" s="40">
        <f t="shared" ca="1" si="104"/>
        <v>211905354980.5842</v>
      </c>
      <c r="I737" s="40">
        <f t="shared" ca="1" si="105"/>
        <v>3449550627511.5479</v>
      </c>
      <c r="J737" s="40">
        <f t="shared" ca="1" si="106"/>
        <v>549693193019.28864</v>
      </c>
      <c r="K737" s="41">
        <f t="shared" ca="1" si="107"/>
        <v>6.2754108497583374</v>
      </c>
    </row>
    <row r="738" spans="2:11" ht="15" customHeight="1" x14ac:dyDescent="0.35">
      <c r="B738" s="5">
        <v>717</v>
      </c>
      <c r="C738" s="39">
        <f t="shared" ca="1" si="99"/>
        <v>3.0882798270935314</v>
      </c>
      <c r="D738" s="40">
        <f t="shared" ca="1" si="100"/>
        <v>4822403548.1174755</v>
      </c>
      <c r="E738" s="40">
        <f t="shared" ca="1" si="101"/>
        <v>13069664107465.623</v>
      </c>
      <c r="F738" s="40">
        <f t="shared" ca="1" si="102"/>
        <v>11916326136983.51</v>
      </c>
      <c r="G738" s="40">
        <f t="shared" ca="1" si="103"/>
        <v>105931396832202.33</v>
      </c>
      <c r="H738" s="40">
        <f t="shared" ca="1" si="104"/>
        <v>105931396832202.33</v>
      </c>
      <c r="I738" s="40">
        <f t="shared" ca="1" si="105"/>
        <v>25570188925844.629</v>
      </c>
      <c r="J738" s="40">
        <f t="shared" ca="1" si="106"/>
        <v>1196726794479.7119</v>
      </c>
      <c r="K738" s="41">
        <f t="shared" ca="1" si="107"/>
        <v>21.366772302413022</v>
      </c>
    </row>
    <row r="739" spans="2:11" ht="15" customHeight="1" x14ac:dyDescent="0.35">
      <c r="B739" s="5">
        <v>718</v>
      </c>
      <c r="C739" s="39">
        <f t="shared" ca="1" si="99"/>
        <v>3.07596294816301</v>
      </c>
      <c r="D739" s="40">
        <f t="shared" ca="1" si="100"/>
        <v>6557460887.0501795</v>
      </c>
      <c r="E739" s="40">
        <f t="shared" ca="1" si="101"/>
        <v>18641115582364.848</v>
      </c>
      <c r="F739" s="40">
        <f t="shared" ca="1" si="102"/>
        <v>2125956893330.7893</v>
      </c>
      <c r="G739" s="40">
        <f t="shared" ca="1" si="103"/>
        <v>6720887117350.5713</v>
      </c>
      <c r="H739" s="40">
        <f t="shared" ca="1" si="104"/>
        <v>18641115582364.848</v>
      </c>
      <c r="I739" s="40">
        <f t="shared" ca="1" si="105"/>
        <v>92311191188174.75</v>
      </c>
      <c r="J739" s="40">
        <f t="shared" ca="1" si="106"/>
        <v>784667294799.69031</v>
      </c>
      <c r="K739" s="41">
        <f t="shared" ca="1" si="107"/>
        <v>117.64373486694119</v>
      </c>
    </row>
    <row r="740" spans="2:11" ht="15" customHeight="1" x14ac:dyDescent="0.35">
      <c r="B740" s="5">
        <v>719</v>
      </c>
      <c r="C740" s="39">
        <f t="shared" ca="1" si="99"/>
        <v>2.4817573618237572</v>
      </c>
      <c r="D740" s="40">
        <f t="shared" ca="1" si="100"/>
        <v>1564310825.7289727</v>
      </c>
      <c r="E740" s="40">
        <f t="shared" ca="1" si="101"/>
        <v>9303795375412.8574</v>
      </c>
      <c r="F740" s="40">
        <f t="shared" ca="1" si="102"/>
        <v>5538358834466.2207</v>
      </c>
      <c r="G740" s="40">
        <f t="shared" ca="1" si="103"/>
        <v>24016983122601.527</v>
      </c>
      <c r="H740" s="40">
        <f t="shared" ca="1" si="104"/>
        <v>5538358834466.2207</v>
      </c>
      <c r="I740" s="40">
        <f t="shared" ca="1" si="105"/>
        <v>3475622506801.9741</v>
      </c>
      <c r="J740" s="40">
        <f t="shared" ca="1" si="106"/>
        <v>1173490171587.7134</v>
      </c>
      <c r="K740" s="41">
        <f t="shared" ca="1" si="107"/>
        <v>2.9617823744527088</v>
      </c>
    </row>
    <row r="741" spans="2:11" ht="15" customHeight="1" x14ac:dyDescent="0.35">
      <c r="B741" s="5">
        <v>720</v>
      </c>
      <c r="C741" s="39">
        <f t="shared" ca="1" si="99"/>
        <v>2.7956178214982188</v>
      </c>
      <c r="D741" s="40">
        <f t="shared" ca="1" si="100"/>
        <v>3467171613.2854404</v>
      </c>
      <c r="E741" s="40">
        <f t="shared" ca="1" si="101"/>
        <v>11990498367177.416</v>
      </c>
      <c r="F741" s="40">
        <f t="shared" ca="1" si="102"/>
        <v>3612110742238.6499</v>
      </c>
      <c r="G741" s="40">
        <f t="shared" ca="1" si="103"/>
        <v>26558415591329.035</v>
      </c>
      <c r="H741" s="40">
        <f t="shared" ca="1" si="104"/>
        <v>26558415591329.035</v>
      </c>
      <c r="I741" s="40">
        <f t="shared" ca="1" si="105"/>
        <v>5314673559351.3818</v>
      </c>
      <c r="J741" s="40">
        <f t="shared" ca="1" si="106"/>
        <v>453272999373.53064</v>
      </c>
      <c r="K741" s="41">
        <f t="shared" ca="1" si="107"/>
        <v>11.725105105966605</v>
      </c>
    </row>
    <row r="742" spans="2:11" ht="15" customHeight="1" x14ac:dyDescent="0.35">
      <c r="B742" s="5">
        <v>721</v>
      </c>
      <c r="C742" s="39">
        <f t="shared" ca="1" si="99"/>
        <v>3.5149994744220021</v>
      </c>
      <c r="D742" s="40">
        <f t="shared" ca="1" si="100"/>
        <v>11237043936.717596</v>
      </c>
      <c r="E742" s="40">
        <f t="shared" ca="1" si="101"/>
        <v>14814886865879.074</v>
      </c>
      <c r="F742" s="40">
        <f t="shared" ca="1" si="102"/>
        <v>522624212546.16919</v>
      </c>
      <c r="G742" s="40">
        <f t="shared" ca="1" si="103"/>
        <v>31733593539136.824</v>
      </c>
      <c r="H742" s="40">
        <f t="shared" ca="1" si="104"/>
        <v>14814886865879.074</v>
      </c>
      <c r="I742" s="40">
        <f t="shared" ca="1" si="105"/>
        <v>31734188391379.477</v>
      </c>
      <c r="J742" s="40">
        <f t="shared" ca="1" si="106"/>
        <v>961200878115.55688</v>
      </c>
      <c r="K742" s="41">
        <f t="shared" ca="1" si="107"/>
        <v>33.015147108057832</v>
      </c>
    </row>
    <row r="743" spans="2:11" ht="15" customHeight="1" x14ac:dyDescent="0.35">
      <c r="B743" s="5">
        <v>722</v>
      </c>
      <c r="C743" s="39">
        <f t="shared" ca="1" si="99"/>
        <v>3.248360719769527</v>
      </c>
      <c r="D743" s="40">
        <f t="shared" ca="1" si="100"/>
        <v>5917924779.8750744</v>
      </c>
      <c r="E743" s="40">
        <f t="shared" ca="1" si="101"/>
        <v>31907220583166.145</v>
      </c>
      <c r="F743" s="40">
        <f t="shared" ca="1" si="102"/>
        <v>3888781136638.2031</v>
      </c>
      <c r="G743" s="40">
        <f t="shared" ca="1" si="103"/>
        <v>5547094692305.5547</v>
      </c>
      <c r="H743" s="40">
        <f t="shared" ca="1" si="104"/>
        <v>5547094692305.5547</v>
      </c>
      <c r="I743" s="40">
        <f t="shared" ca="1" si="105"/>
        <v>31317023163040.047</v>
      </c>
      <c r="J743" s="40">
        <f t="shared" ca="1" si="106"/>
        <v>1317386701652.9531</v>
      </c>
      <c r="K743" s="41">
        <f t="shared" ca="1" si="107"/>
        <v>23.772080835297572</v>
      </c>
    </row>
    <row r="744" spans="2:11" ht="15" customHeight="1" x14ac:dyDescent="0.35">
      <c r="B744" s="5">
        <v>723</v>
      </c>
      <c r="C744" s="39">
        <f t="shared" ca="1" si="99"/>
        <v>2.2513731052773545</v>
      </c>
      <c r="D744" s="40">
        <f t="shared" ca="1" si="100"/>
        <v>1129526467.4087574</v>
      </c>
      <c r="E744" s="40">
        <f t="shared" ca="1" si="101"/>
        <v>5370435511341.5674</v>
      </c>
      <c r="F744" s="40">
        <f t="shared" ca="1" si="102"/>
        <v>1425410786939.2795</v>
      </c>
      <c r="G744" s="40">
        <f t="shared" ca="1" si="103"/>
        <v>215459411196.09372</v>
      </c>
      <c r="H744" s="40">
        <f t="shared" ca="1" si="104"/>
        <v>5370435511341.5674</v>
      </c>
      <c r="I744" s="40">
        <f t="shared" ca="1" si="105"/>
        <v>13041530775971.91</v>
      </c>
      <c r="J744" s="40">
        <f t="shared" ca="1" si="106"/>
        <v>1142069130997.4548</v>
      </c>
      <c r="K744" s="41">
        <f t="shared" ca="1" si="107"/>
        <v>11.419213094904125</v>
      </c>
    </row>
    <row r="745" spans="2:11" ht="15" customHeight="1" x14ac:dyDescent="0.35">
      <c r="B745" s="5">
        <v>724</v>
      </c>
      <c r="C745" s="39">
        <f t="shared" ca="1" si="99"/>
        <v>2.6236879707105487</v>
      </c>
      <c r="D745" s="40">
        <f t="shared" ca="1" si="100"/>
        <v>2958723530.2030077</v>
      </c>
      <c r="E745" s="40">
        <f t="shared" ca="1" si="101"/>
        <v>27655943459082.281</v>
      </c>
      <c r="F745" s="40">
        <f t="shared" ca="1" si="102"/>
        <v>2948303974255.9199</v>
      </c>
      <c r="G745" s="40">
        <f t="shared" ca="1" si="103"/>
        <v>4592075330875.5137</v>
      </c>
      <c r="H745" s="40">
        <f t="shared" ca="1" si="104"/>
        <v>27655943459082.281</v>
      </c>
      <c r="I745" s="40">
        <f t="shared" ca="1" si="105"/>
        <v>2366164812366.688</v>
      </c>
      <c r="J745" s="40">
        <f t="shared" ca="1" si="106"/>
        <v>547824515104.38129</v>
      </c>
      <c r="K745" s="41">
        <f t="shared" ca="1" si="107"/>
        <v>4.3192021297474144</v>
      </c>
    </row>
    <row r="746" spans="2:11" ht="15" customHeight="1" x14ac:dyDescent="0.35">
      <c r="B746" s="5">
        <v>725</v>
      </c>
      <c r="C746" s="39">
        <f t="shared" ca="1" si="99"/>
        <v>2.5578023592437056</v>
      </c>
      <c r="D746" s="40">
        <f t="shared" ca="1" si="100"/>
        <v>2105836558.8603034</v>
      </c>
      <c r="E746" s="40">
        <f t="shared" ca="1" si="101"/>
        <v>17680997700419.77</v>
      </c>
      <c r="F746" s="40">
        <f t="shared" ca="1" si="102"/>
        <v>24738854228686.082</v>
      </c>
      <c r="G746" s="40">
        <f t="shared" ca="1" si="103"/>
        <v>422733375845.95544</v>
      </c>
      <c r="H746" s="40">
        <f t="shared" ca="1" si="104"/>
        <v>24738854228686.082</v>
      </c>
      <c r="I746" s="40">
        <f t="shared" ca="1" si="105"/>
        <v>2728914719576.4014</v>
      </c>
      <c r="J746" s="40">
        <f t="shared" ca="1" si="106"/>
        <v>777538742657.9231</v>
      </c>
      <c r="K746" s="41">
        <f t="shared" ca="1" si="107"/>
        <v>3.5096832734635615</v>
      </c>
    </row>
    <row r="747" spans="2:11" ht="15" customHeight="1" x14ac:dyDescent="0.35">
      <c r="B747" s="5">
        <v>726</v>
      </c>
      <c r="C747" s="39">
        <f t="shared" ca="1" si="99"/>
        <v>3.0847610877763083</v>
      </c>
      <c r="D747" s="40">
        <f t="shared" ca="1" si="100"/>
        <v>4868916320.0171204</v>
      </c>
      <c r="E747" s="40">
        <f t="shared" ca="1" si="101"/>
        <v>6066152203757.6592</v>
      </c>
      <c r="F747" s="40">
        <f t="shared" ca="1" si="102"/>
        <v>746095548425.44141</v>
      </c>
      <c r="G747" s="40">
        <f t="shared" ca="1" si="103"/>
        <v>39050144923178.922</v>
      </c>
      <c r="H747" s="40">
        <f t="shared" ca="1" si="104"/>
        <v>6066152203757.6592</v>
      </c>
      <c r="I747" s="40">
        <f t="shared" ca="1" si="105"/>
        <v>1542137189059.363</v>
      </c>
      <c r="J747" s="40">
        <f t="shared" ca="1" si="106"/>
        <v>1227274786123.9993</v>
      </c>
      <c r="K747" s="41">
        <f t="shared" ca="1" si="107"/>
        <v>1.2565541201492192</v>
      </c>
    </row>
    <row r="748" spans="2:11" ht="15" customHeight="1" x14ac:dyDescent="0.35">
      <c r="B748" s="5">
        <v>727</v>
      </c>
      <c r="C748" s="39">
        <f t="shared" ca="1" si="99"/>
        <v>2.278841439591655</v>
      </c>
      <c r="D748" s="40">
        <f t="shared" ca="1" si="100"/>
        <v>1015041583.4910139</v>
      </c>
      <c r="E748" s="40">
        <f t="shared" ca="1" si="101"/>
        <v>1114031814267.1919</v>
      </c>
      <c r="F748" s="40">
        <f t="shared" ca="1" si="102"/>
        <v>3120876296550.9937</v>
      </c>
      <c r="G748" s="40">
        <f t="shared" ca="1" si="103"/>
        <v>24227293539464.152</v>
      </c>
      <c r="H748" s="40">
        <f t="shared" ca="1" si="104"/>
        <v>1114031814267.1919</v>
      </c>
      <c r="I748" s="40">
        <f t="shared" ca="1" si="105"/>
        <v>4204788285447.584</v>
      </c>
      <c r="J748" s="40">
        <f t="shared" ca="1" si="106"/>
        <v>858940403835.30957</v>
      </c>
      <c r="K748" s="41">
        <f t="shared" ca="1" si="107"/>
        <v>4.8953201720078781</v>
      </c>
    </row>
    <row r="749" spans="2:11" ht="15" customHeight="1" x14ac:dyDescent="0.35">
      <c r="B749" s="5">
        <v>728</v>
      </c>
      <c r="C749" s="39">
        <f t="shared" ca="1" si="99"/>
        <v>2.7730269138166621</v>
      </c>
      <c r="D749" s="40">
        <f t="shared" ca="1" si="100"/>
        <v>2729062402.0763321</v>
      </c>
      <c r="E749" s="40">
        <f t="shared" ca="1" si="101"/>
        <v>69109578762846.984</v>
      </c>
      <c r="F749" s="40">
        <f t="shared" ca="1" si="102"/>
        <v>2613644536938.0474</v>
      </c>
      <c r="G749" s="40">
        <f t="shared" ca="1" si="103"/>
        <v>3158291368580.7554</v>
      </c>
      <c r="H749" s="40">
        <f t="shared" ca="1" si="104"/>
        <v>3158291368580.7554</v>
      </c>
      <c r="I749" s="40">
        <f t="shared" ca="1" si="105"/>
        <v>2113149910409.2104</v>
      </c>
      <c r="J749" s="40">
        <f t="shared" ca="1" si="106"/>
        <v>765955792013.23645</v>
      </c>
      <c r="K749" s="41">
        <f t="shared" ca="1" si="107"/>
        <v>2.758840565530567</v>
      </c>
    </row>
    <row r="750" spans="2:11" ht="15" customHeight="1" x14ac:dyDescent="0.35">
      <c r="B750" s="5">
        <v>729</v>
      </c>
      <c r="C750" s="39">
        <f t="shared" ca="1" si="99"/>
        <v>3.1399487631789045</v>
      </c>
      <c r="D750" s="40">
        <f t="shared" ca="1" si="100"/>
        <v>5514762011.034153</v>
      </c>
      <c r="E750" s="40">
        <f t="shared" ca="1" si="101"/>
        <v>8218774103854.8271</v>
      </c>
      <c r="F750" s="40">
        <f t="shared" ca="1" si="102"/>
        <v>2086829263511.4468</v>
      </c>
      <c r="G750" s="40">
        <f t="shared" ca="1" si="103"/>
        <v>10053219727481.098</v>
      </c>
      <c r="H750" s="40">
        <f t="shared" ca="1" si="104"/>
        <v>10053219727481.098</v>
      </c>
      <c r="I750" s="40">
        <f t="shared" ca="1" si="105"/>
        <v>10785654322179.422</v>
      </c>
      <c r="J750" s="40">
        <f t="shared" ca="1" si="106"/>
        <v>977268998438.14355</v>
      </c>
      <c r="K750" s="41">
        <f t="shared" ca="1" si="107"/>
        <v>11.036525602896328</v>
      </c>
    </row>
    <row r="751" spans="2:11" ht="15" customHeight="1" x14ac:dyDescent="0.35">
      <c r="B751" s="5">
        <v>730</v>
      </c>
      <c r="C751" s="39">
        <f t="shared" ca="1" si="99"/>
        <v>1.9927812530665527</v>
      </c>
      <c r="D751" s="40">
        <f t="shared" ca="1" si="100"/>
        <v>739985297.38791013</v>
      </c>
      <c r="E751" s="40">
        <f t="shared" ca="1" si="101"/>
        <v>2074066609539.9175</v>
      </c>
      <c r="F751" s="40">
        <f t="shared" ca="1" si="102"/>
        <v>1738583502564.0117</v>
      </c>
      <c r="G751" s="40">
        <f t="shared" ca="1" si="103"/>
        <v>2193424341205.2097</v>
      </c>
      <c r="H751" s="40">
        <f t="shared" ca="1" si="104"/>
        <v>2193424341205.2097</v>
      </c>
      <c r="I751" s="40">
        <f t="shared" ca="1" si="105"/>
        <v>14284280572741.572</v>
      </c>
      <c r="J751" s="40">
        <f t="shared" ca="1" si="106"/>
        <v>877914255422.62598</v>
      </c>
      <c r="K751" s="41">
        <f t="shared" ca="1" si="107"/>
        <v>16.270701249594303</v>
      </c>
    </row>
    <row r="752" spans="2:11" ht="15" customHeight="1" x14ac:dyDescent="0.35">
      <c r="B752" s="5">
        <v>731</v>
      </c>
      <c r="C752" s="39">
        <f t="shared" ca="1" si="99"/>
        <v>2.7297586435443919</v>
      </c>
      <c r="D752" s="40">
        <f t="shared" ca="1" si="100"/>
        <v>2704251287.6416731</v>
      </c>
      <c r="E752" s="40">
        <f t="shared" ca="1" si="101"/>
        <v>10018564090879.965</v>
      </c>
      <c r="F752" s="40">
        <f t="shared" ca="1" si="102"/>
        <v>4494920588306.8213</v>
      </c>
      <c r="G752" s="40">
        <f t="shared" ca="1" si="103"/>
        <v>27322769182833.129</v>
      </c>
      <c r="H752" s="40">
        <f t="shared" ca="1" si="104"/>
        <v>27322769182833.129</v>
      </c>
      <c r="I752" s="40">
        <f t="shared" ca="1" si="105"/>
        <v>36930976222576.469</v>
      </c>
      <c r="J752" s="40">
        <f t="shared" ca="1" si="106"/>
        <v>860916235687.56189</v>
      </c>
      <c r="K752" s="41">
        <f t="shared" ca="1" si="107"/>
        <v>42.897293246051895</v>
      </c>
    </row>
    <row r="753" spans="2:11" ht="15" customHeight="1" x14ac:dyDescent="0.35">
      <c r="B753" s="5">
        <v>732</v>
      </c>
      <c r="C753" s="39">
        <f t="shared" ca="1" si="99"/>
        <v>2.4208279420399021</v>
      </c>
      <c r="D753" s="40">
        <f t="shared" ca="1" si="100"/>
        <v>1689339170.3198161</v>
      </c>
      <c r="E753" s="40">
        <f t="shared" ca="1" si="101"/>
        <v>948800797155.85535</v>
      </c>
      <c r="F753" s="40">
        <f t="shared" ca="1" si="102"/>
        <v>4947926916076.3398</v>
      </c>
      <c r="G753" s="40">
        <f t="shared" ca="1" si="103"/>
        <v>6177236414865.0771</v>
      </c>
      <c r="H753" s="40">
        <f t="shared" ca="1" si="104"/>
        <v>6177236414865.0771</v>
      </c>
      <c r="I753" s="40">
        <f t="shared" ca="1" si="105"/>
        <v>104649837563898.55</v>
      </c>
      <c r="J753" s="40">
        <f t="shared" ca="1" si="106"/>
        <v>733954789630.77222</v>
      </c>
      <c r="K753" s="41">
        <f t="shared" ca="1" si="107"/>
        <v>142.58349293768399</v>
      </c>
    </row>
    <row r="754" spans="2:11" ht="15" customHeight="1" x14ac:dyDescent="0.35">
      <c r="B754" s="5">
        <v>733</v>
      </c>
      <c r="C754" s="39">
        <f t="shared" ca="1" si="99"/>
        <v>2.7448481272492331</v>
      </c>
      <c r="D754" s="40">
        <f t="shared" ca="1" si="100"/>
        <v>3032176877.8395891</v>
      </c>
      <c r="E754" s="40">
        <f t="shared" ca="1" si="101"/>
        <v>1660751767574.2234</v>
      </c>
      <c r="F754" s="40">
        <f t="shared" ca="1" si="102"/>
        <v>3884387822407.8267</v>
      </c>
      <c r="G754" s="40">
        <f t="shared" ca="1" si="103"/>
        <v>16145132311493.502</v>
      </c>
      <c r="H754" s="40">
        <f t="shared" ca="1" si="104"/>
        <v>3884387822407.8267</v>
      </c>
      <c r="I754" s="40">
        <f t="shared" ca="1" si="105"/>
        <v>29930381236395.641</v>
      </c>
      <c r="J754" s="40">
        <f t="shared" ca="1" si="106"/>
        <v>1149788906523.7107</v>
      </c>
      <c r="K754" s="41">
        <f t="shared" ca="1" si="107"/>
        <v>26.031196741050156</v>
      </c>
    </row>
    <row r="755" spans="2:11" ht="15" customHeight="1" x14ac:dyDescent="0.35">
      <c r="B755" s="5">
        <v>734</v>
      </c>
      <c r="C755" s="39">
        <f t="shared" ca="1" si="99"/>
        <v>3.129452378756858</v>
      </c>
      <c r="D755" s="40">
        <f t="shared" ca="1" si="100"/>
        <v>6061146854.3704395</v>
      </c>
      <c r="E755" s="40">
        <f t="shared" ca="1" si="101"/>
        <v>336990616746533.56</v>
      </c>
      <c r="F755" s="40">
        <f t="shared" ca="1" si="102"/>
        <v>1464632826671.5293</v>
      </c>
      <c r="G755" s="40">
        <f t="shared" ca="1" si="103"/>
        <v>5086326105094.4746</v>
      </c>
      <c r="H755" s="40">
        <f t="shared" ca="1" si="104"/>
        <v>1464632826671.5293</v>
      </c>
      <c r="I755" s="40">
        <f t="shared" ca="1" si="105"/>
        <v>7026124089220.3652</v>
      </c>
      <c r="J755" s="40">
        <f t="shared" ca="1" si="106"/>
        <v>952228529296.83777</v>
      </c>
      <c r="K755" s="41">
        <f t="shared" ca="1" si="107"/>
        <v>7.3786111978904119</v>
      </c>
    </row>
    <row r="756" spans="2:11" ht="15" customHeight="1" x14ac:dyDescent="0.35">
      <c r="B756" s="5">
        <v>735</v>
      </c>
      <c r="C756" s="39">
        <f t="shared" ca="1" si="99"/>
        <v>3.0093398005717527</v>
      </c>
      <c r="D756" s="40">
        <f t="shared" ca="1" si="100"/>
        <v>5301996487.6966562</v>
      </c>
      <c r="E756" s="40">
        <f t="shared" ca="1" si="101"/>
        <v>4924864061846.3037</v>
      </c>
      <c r="F756" s="40">
        <f t="shared" ca="1" si="102"/>
        <v>5258681087389.291</v>
      </c>
      <c r="G756" s="40">
        <f t="shared" ca="1" si="103"/>
        <v>214132292889.6254</v>
      </c>
      <c r="H756" s="40">
        <f t="shared" ca="1" si="104"/>
        <v>5258681087389.291</v>
      </c>
      <c r="I756" s="40">
        <f t="shared" ca="1" si="105"/>
        <v>9969205671268.4453</v>
      </c>
      <c r="J756" s="40">
        <f t="shared" ca="1" si="106"/>
        <v>1452995236000.0745</v>
      </c>
      <c r="K756" s="41">
        <f t="shared" ca="1" si="107"/>
        <v>6.8611413336168257</v>
      </c>
    </row>
    <row r="757" spans="2:11" ht="15" customHeight="1" x14ac:dyDescent="0.35">
      <c r="B757" s="5">
        <v>736</v>
      </c>
      <c r="C757" s="39">
        <f t="shared" ca="1" si="99"/>
        <v>3.3086425557580625</v>
      </c>
      <c r="D757" s="40">
        <f t="shared" ca="1" si="100"/>
        <v>9341268678.3019371</v>
      </c>
      <c r="E757" s="40">
        <f t="shared" ca="1" si="101"/>
        <v>20608954712534.629</v>
      </c>
      <c r="F757" s="40">
        <f t="shared" ca="1" si="102"/>
        <v>2802667458059.3765</v>
      </c>
      <c r="G757" s="40">
        <f t="shared" ca="1" si="103"/>
        <v>2657981787355.7632</v>
      </c>
      <c r="H757" s="40">
        <f t="shared" ca="1" si="104"/>
        <v>20608954712534.629</v>
      </c>
      <c r="I757" s="40">
        <f t="shared" ca="1" si="105"/>
        <v>7477596774292.2207</v>
      </c>
      <c r="J757" s="40">
        <f t="shared" ca="1" si="106"/>
        <v>698866994545.88379</v>
      </c>
      <c r="K757" s="41">
        <f t="shared" ca="1" si="107"/>
        <v>10.699599255150234</v>
      </c>
    </row>
    <row r="758" spans="2:11" ht="15" customHeight="1" x14ac:dyDescent="0.35">
      <c r="B758" s="5">
        <v>737</v>
      </c>
      <c r="C758" s="39">
        <f t="shared" ca="1" si="99"/>
        <v>3.1979344976255466</v>
      </c>
      <c r="D758" s="40">
        <f t="shared" ca="1" si="100"/>
        <v>6439168510.2423668</v>
      </c>
      <c r="E758" s="40">
        <f t="shared" ca="1" si="101"/>
        <v>32346957712863.293</v>
      </c>
      <c r="F758" s="40">
        <f t="shared" ca="1" si="102"/>
        <v>8971357251098.457</v>
      </c>
      <c r="G758" s="40">
        <f t="shared" ca="1" si="103"/>
        <v>14434624548843.127</v>
      </c>
      <c r="H758" s="40">
        <f t="shared" ca="1" si="104"/>
        <v>8971357251098.457</v>
      </c>
      <c r="I758" s="40">
        <f t="shared" ca="1" si="105"/>
        <v>17506004672847.338</v>
      </c>
      <c r="J758" s="40">
        <f t="shared" ca="1" si="106"/>
        <v>997283895707.50012</v>
      </c>
      <c r="K758" s="41">
        <f t="shared" ca="1" si="107"/>
        <v>17.553682304704324</v>
      </c>
    </row>
    <row r="759" spans="2:11" ht="15" customHeight="1" x14ac:dyDescent="0.35">
      <c r="B759" s="5">
        <v>738</v>
      </c>
      <c r="C759" s="39">
        <f t="shared" ca="1" si="99"/>
        <v>3.0290311451293368</v>
      </c>
      <c r="D759" s="40">
        <f t="shared" ca="1" si="100"/>
        <v>5424152234.8418932</v>
      </c>
      <c r="E759" s="40">
        <f t="shared" ca="1" si="101"/>
        <v>44187150308907.539</v>
      </c>
      <c r="F759" s="40">
        <f t="shared" ca="1" si="102"/>
        <v>4118930743959.7354</v>
      </c>
      <c r="G759" s="40">
        <f t="shared" ca="1" si="103"/>
        <v>687615189629.55054</v>
      </c>
      <c r="H759" s="40">
        <f t="shared" ca="1" si="104"/>
        <v>4118930743959.7354</v>
      </c>
      <c r="I759" s="40">
        <f t="shared" ca="1" si="105"/>
        <v>18113144162094.234</v>
      </c>
      <c r="J759" s="40">
        <f t="shared" ca="1" si="106"/>
        <v>1333347059722.9485</v>
      </c>
      <c r="K759" s="41">
        <f t="shared" ca="1" si="107"/>
        <v>13.58471826971884</v>
      </c>
    </row>
    <row r="760" spans="2:11" ht="15" customHeight="1" x14ac:dyDescent="0.35">
      <c r="B760" s="5">
        <v>739</v>
      </c>
      <c r="C760" s="39">
        <f t="shared" ca="1" si="99"/>
        <v>2.6351339122389801</v>
      </c>
      <c r="D760" s="40">
        <f t="shared" ca="1" si="100"/>
        <v>2934695059.9928422</v>
      </c>
      <c r="E760" s="40">
        <f t="shared" ca="1" si="101"/>
        <v>11307747321089.582</v>
      </c>
      <c r="F760" s="40">
        <f t="shared" ca="1" si="102"/>
        <v>847790491033.36523</v>
      </c>
      <c r="G760" s="40">
        <f t="shared" ca="1" si="103"/>
        <v>1009797890688.4197</v>
      </c>
      <c r="H760" s="40">
        <f t="shared" ca="1" si="104"/>
        <v>1009797890688.4197</v>
      </c>
      <c r="I760" s="40">
        <f t="shared" ca="1" si="105"/>
        <v>8913419825657.5488</v>
      </c>
      <c r="J760" s="40">
        <f t="shared" ca="1" si="106"/>
        <v>709038819055.15979</v>
      </c>
      <c r="K760" s="41">
        <f t="shared" ca="1" si="107"/>
        <v>12.571130925575074</v>
      </c>
    </row>
    <row r="761" spans="2:11" ht="15" customHeight="1" x14ac:dyDescent="0.35">
      <c r="B761" s="5">
        <v>740</v>
      </c>
      <c r="C761" s="39">
        <f t="shared" ca="1" si="99"/>
        <v>3.7976808526701316</v>
      </c>
      <c r="D761" s="40">
        <f t="shared" ca="1" si="100"/>
        <v>18457842286.654152</v>
      </c>
      <c r="E761" s="40">
        <f t="shared" ca="1" si="101"/>
        <v>43842412225376.438</v>
      </c>
      <c r="F761" s="40">
        <f t="shared" ca="1" si="102"/>
        <v>2552374079207.6753</v>
      </c>
      <c r="G761" s="40">
        <f t="shared" ca="1" si="103"/>
        <v>1383798812566.9321</v>
      </c>
      <c r="H761" s="40">
        <f t="shared" ca="1" si="104"/>
        <v>2552374079207.6753</v>
      </c>
      <c r="I761" s="40">
        <f t="shared" ca="1" si="105"/>
        <v>19391634859284.957</v>
      </c>
      <c r="J761" s="40">
        <f t="shared" ca="1" si="106"/>
        <v>747474041787.16919</v>
      </c>
      <c r="K761" s="41">
        <f t="shared" ca="1" si="107"/>
        <v>25.94288734485097</v>
      </c>
    </row>
    <row r="762" spans="2:11" ht="15" customHeight="1" x14ac:dyDescent="0.35">
      <c r="B762" s="5">
        <v>741</v>
      </c>
      <c r="C762" s="39">
        <f t="shared" ca="1" si="99"/>
        <v>3.1130808569136899</v>
      </c>
      <c r="D762" s="40">
        <f t="shared" ca="1" si="100"/>
        <v>6301966674.6329584</v>
      </c>
      <c r="E762" s="40">
        <f t="shared" ca="1" si="101"/>
        <v>109395771069609.56</v>
      </c>
      <c r="F762" s="40">
        <f t="shared" ca="1" si="102"/>
        <v>7249759340018.9727</v>
      </c>
      <c r="G762" s="40">
        <f t="shared" ca="1" si="103"/>
        <v>3187022162429.8066</v>
      </c>
      <c r="H762" s="40">
        <f t="shared" ca="1" si="104"/>
        <v>3187022162429.8066</v>
      </c>
      <c r="I762" s="40">
        <f t="shared" ca="1" si="105"/>
        <v>16166539706941.586</v>
      </c>
      <c r="J762" s="40">
        <f t="shared" ca="1" si="106"/>
        <v>1336327159446.0076</v>
      </c>
      <c r="K762" s="41">
        <f t="shared" ca="1" si="107"/>
        <v>12.09774088079123</v>
      </c>
    </row>
    <row r="763" spans="2:11" ht="15" customHeight="1" x14ac:dyDescent="0.35">
      <c r="B763" s="5">
        <v>742</v>
      </c>
      <c r="C763" s="39">
        <f t="shared" ca="1" si="99"/>
        <v>3.4341808174143713</v>
      </c>
      <c r="D763" s="40">
        <f t="shared" ca="1" si="100"/>
        <v>10444611654.107269</v>
      </c>
      <c r="E763" s="40">
        <f t="shared" ca="1" si="101"/>
        <v>43072163104436.531</v>
      </c>
      <c r="F763" s="40">
        <f t="shared" ca="1" si="102"/>
        <v>2396679045000.1152</v>
      </c>
      <c r="G763" s="40">
        <f t="shared" ca="1" si="103"/>
        <v>537269386280967.38</v>
      </c>
      <c r="H763" s="40">
        <f t="shared" ca="1" si="104"/>
        <v>537269386280967.38</v>
      </c>
      <c r="I763" s="40">
        <f t="shared" ca="1" si="105"/>
        <v>1299748185392.179</v>
      </c>
      <c r="J763" s="40">
        <f t="shared" ca="1" si="106"/>
        <v>1328548205047.8276</v>
      </c>
      <c r="K763" s="41">
        <f t="shared" ca="1" si="107"/>
        <v>0.97832218692086381</v>
      </c>
    </row>
    <row r="764" spans="2:11" ht="15" customHeight="1" x14ac:dyDescent="0.35">
      <c r="B764" s="5">
        <v>743</v>
      </c>
      <c r="C764" s="39">
        <f t="shared" ca="1" si="99"/>
        <v>2.2429502039103655</v>
      </c>
      <c r="D764" s="40">
        <f t="shared" ca="1" si="100"/>
        <v>915667697.83347261</v>
      </c>
      <c r="E764" s="40">
        <f t="shared" ca="1" si="101"/>
        <v>9594397611175.7852</v>
      </c>
      <c r="F764" s="40">
        <f t="shared" ca="1" si="102"/>
        <v>22440338283700.652</v>
      </c>
      <c r="G764" s="40">
        <f t="shared" ca="1" si="103"/>
        <v>5766961359643.3926</v>
      </c>
      <c r="H764" s="40">
        <f t="shared" ca="1" si="104"/>
        <v>9594397611175.7852</v>
      </c>
      <c r="I764" s="40">
        <f t="shared" ca="1" si="105"/>
        <v>949468489665.93506</v>
      </c>
      <c r="J764" s="40">
        <f t="shared" ca="1" si="106"/>
        <v>1206623473710.8247</v>
      </c>
      <c r="K764" s="41">
        <f t="shared" ca="1" si="107"/>
        <v>0.78688050610018334</v>
      </c>
    </row>
    <row r="765" spans="2:11" ht="15" customHeight="1" x14ac:dyDescent="0.35">
      <c r="B765" s="5">
        <v>744</v>
      </c>
      <c r="C765" s="39">
        <f t="shared" ca="1" si="99"/>
        <v>3.6660828813756727</v>
      </c>
      <c r="D765" s="40">
        <f t="shared" ca="1" si="100"/>
        <v>15505025576.990644</v>
      </c>
      <c r="E765" s="40">
        <f t="shared" ca="1" si="101"/>
        <v>13911732119555.271</v>
      </c>
      <c r="F765" s="40">
        <f t="shared" ca="1" si="102"/>
        <v>1841589500082.4338</v>
      </c>
      <c r="G765" s="40">
        <f t="shared" ca="1" si="103"/>
        <v>3393786919094.6621</v>
      </c>
      <c r="H765" s="40">
        <f t="shared" ca="1" si="104"/>
        <v>13911732119555.271</v>
      </c>
      <c r="I765" s="40">
        <f t="shared" ca="1" si="105"/>
        <v>6478191261931.9541</v>
      </c>
      <c r="J765" s="40">
        <f t="shared" ca="1" si="106"/>
        <v>824342807529.93555</v>
      </c>
      <c r="K765" s="41">
        <f t="shared" ca="1" si="107"/>
        <v>7.858613191935568</v>
      </c>
    </row>
    <row r="766" spans="2:11" ht="15" customHeight="1" x14ac:dyDescent="0.35">
      <c r="B766" s="5">
        <v>745</v>
      </c>
      <c r="C766" s="39">
        <f t="shared" ca="1" si="99"/>
        <v>2.8569072341863033</v>
      </c>
      <c r="D766" s="40">
        <f t="shared" ca="1" si="100"/>
        <v>3902526440.393693</v>
      </c>
      <c r="E766" s="40">
        <f t="shared" ca="1" si="101"/>
        <v>20101151159152.254</v>
      </c>
      <c r="F766" s="40">
        <f t="shared" ca="1" si="102"/>
        <v>2026960422821.3398</v>
      </c>
      <c r="G766" s="40">
        <f t="shared" ca="1" si="103"/>
        <v>183134033627.00256</v>
      </c>
      <c r="H766" s="40">
        <f t="shared" ca="1" si="104"/>
        <v>20101151159152.254</v>
      </c>
      <c r="I766" s="40">
        <f t="shared" ca="1" si="105"/>
        <v>13872408695993.965</v>
      </c>
      <c r="J766" s="40">
        <f t="shared" ca="1" si="106"/>
        <v>700772528068.26721</v>
      </c>
      <c r="K766" s="41">
        <f t="shared" ca="1" si="107"/>
        <v>19.795879747504252</v>
      </c>
    </row>
    <row r="767" spans="2:11" ht="15" customHeight="1" x14ac:dyDescent="0.35">
      <c r="B767" s="5">
        <v>746</v>
      </c>
      <c r="C767" s="39">
        <f t="shared" ca="1" si="99"/>
        <v>2.7513276589086586</v>
      </c>
      <c r="D767" s="40">
        <f t="shared" ca="1" si="100"/>
        <v>2930254634.4951024</v>
      </c>
      <c r="E767" s="40">
        <f t="shared" ca="1" si="101"/>
        <v>9065447918789.0645</v>
      </c>
      <c r="F767" s="40">
        <f t="shared" ca="1" si="102"/>
        <v>686745434317.23694</v>
      </c>
      <c r="G767" s="40">
        <f t="shared" ca="1" si="103"/>
        <v>684354657187.18469</v>
      </c>
      <c r="H767" s="40">
        <f t="shared" ca="1" si="104"/>
        <v>686745434317.23694</v>
      </c>
      <c r="I767" s="40">
        <f t="shared" ca="1" si="105"/>
        <v>6687353331430.7256</v>
      </c>
      <c r="J767" s="40">
        <f t="shared" ca="1" si="106"/>
        <v>1083356038378.0211</v>
      </c>
      <c r="K767" s="41">
        <f t="shared" ca="1" si="107"/>
        <v>6.1728121638043358</v>
      </c>
    </row>
    <row r="768" spans="2:11" ht="15" customHeight="1" x14ac:dyDescent="0.35">
      <c r="B768" s="5">
        <v>747</v>
      </c>
      <c r="C768" s="39">
        <f t="shared" ca="1" si="99"/>
        <v>3.5724743009226323</v>
      </c>
      <c r="D768" s="40">
        <f t="shared" ca="1" si="100"/>
        <v>12411588979.23204</v>
      </c>
      <c r="E768" s="40">
        <f t="shared" ca="1" si="101"/>
        <v>8368223636089.8008</v>
      </c>
      <c r="F768" s="40">
        <f t="shared" ca="1" si="102"/>
        <v>16707649649578.104</v>
      </c>
      <c r="G768" s="40">
        <f t="shared" ca="1" si="103"/>
        <v>1940884432520.6509</v>
      </c>
      <c r="H768" s="40">
        <f t="shared" ca="1" si="104"/>
        <v>1940884432520.6509</v>
      </c>
      <c r="I768" s="40">
        <f t="shared" ca="1" si="105"/>
        <v>1663961767663.8013</v>
      </c>
      <c r="J768" s="40">
        <f t="shared" ca="1" si="106"/>
        <v>1396553646422.3062</v>
      </c>
      <c r="K768" s="41">
        <f t="shared" ca="1" si="107"/>
        <v>1.1914771565893953</v>
      </c>
    </row>
    <row r="769" spans="2:11" ht="15" customHeight="1" x14ac:dyDescent="0.35">
      <c r="B769" s="5">
        <v>748</v>
      </c>
      <c r="C769" s="39">
        <f t="shared" ca="1" si="99"/>
        <v>3.7845083897532588</v>
      </c>
      <c r="D769" s="40">
        <f t="shared" ca="1" si="100"/>
        <v>13104613317.162241</v>
      </c>
      <c r="E769" s="40">
        <f t="shared" ca="1" si="101"/>
        <v>38630521723209.203</v>
      </c>
      <c r="F769" s="40">
        <f t="shared" ca="1" si="102"/>
        <v>6900185934424.1826</v>
      </c>
      <c r="G769" s="40">
        <f t="shared" ca="1" si="103"/>
        <v>5718321423572.6641</v>
      </c>
      <c r="H769" s="40">
        <f t="shared" ca="1" si="104"/>
        <v>38630521723209.203</v>
      </c>
      <c r="I769" s="40">
        <f t="shared" ca="1" si="105"/>
        <v>1633727575847.7334</v>
      </c>
      <c r="J769" s="40">
        <f t="shared" ca="1" si="106"/>
        <v>856728550657.25159</v>
      </c>
      <c r="K769" s="41">
        <f t="shared" ca="1" si="107"/>
        <v>1.906937237698447</v>
      </c>
    </row>
    <row r="770" spans="2:11" ht="15" customHeight="1" x14ac:dyDescent="0.35">
      <c r="B770" s="5">
        <v>749</v>
      </c>
      <c r="C770" s="39">
        <f t="shared" ca="1" si="99"/>
        <v>3.6997604919202196</v>
      </c>
      <c r="D770" s="40">
        <f t="shared" ca="1" si="100"/>
        <v>13732649271.928894</v>
      </c>
      <c r="E770" s="40">
        <f t="shared" ca="1" si="101"/>
        <v>29824133757398.52</v>
      </c>
      <c r="F770" s="40">
        <f t="shared" ca="1" si="102"/>
        <v>1938202161615.4973</v>
      </c>
      <c r="G770" s="40">
        <f t="shared" ca="1" si="103"/>
        <v>22732090660689.375</v>
      </c>
      <c r="H770" s="40">
        <f t="shared" ca="1" si="104"/>
        <v>29824133757398.52</v>
      </c>
      <c r="I770" s="40">
        <f t="shared" ca="1" si="105"/>
        <v>5506181303071.0352</v>
      </c>
      <c r="J770" s="40">
        <f t="shared" ca="1" si="106"/>
        <v>1196926014271.7222</v>
      </c>
      <c r="K770" s="41">
        <f t="shared" ca="1" si="107"/>
        <v>4.6002687195509813</v>
      </c>
    </row>
    <row r="771" spans="2:11" ht="15" customHeight="1" x14ac:dyDescent="0.35">
      <c r="B771" s="5">
        <v>750</v>
      </c>
      <c r="C771" s="39">
        <f t="shared" ca="1" si="99"/>
        <v>3.3388436206956822</v>
      </c>
      <c r="D771" s="40">
        <f t="shared" ca="1" si="100"/>
        <v>8554293890.9229307</v>
      </c>
      <c r="E771" s="40">
        <f t="shared" ca="1" si="101"/>
        <v>40687728105030.961</v>
      </c>
      <c r="F771" s="40">
        <f t="shared" ca="1" si="102"/>
        <v>2585724439901.9971</v>
      </c>
      <c r="G771" s="40">
        <f t="shared" ca="1" si="103"/>
        <v>5460357163290.2402</v>
      </c>
      <c r="H771" s="40">
        <f t="shared" ca="1" si="104"/>
        <v>40687728105030.961</v>
      </c>
      <c r="I771" s="40">
        <f t="shared" ca="1" si="105"/>
        <v>3730066826118.0801</v>
      </c>
      <c r="J771" s="40">
        <f t="shared" ca="1" si="106"/>
        <v>1003124071720.1633</v>
      </c>
      <c r="K771" s="41">
        <f t="shared" ca="1" si="107"/>
        <v>3.7184501212514407</v>
      </c>
    </row>
    <row r="772" spans="2:11" ht="15" customHeight="1" x14ac:dyDescent="0.35">
      <c r="B772" s="5">
        <v>751</v>
      </c>
      <c r="C772" s="39">
        <f t="shared" ca="1" si="99"/>
        <v>2.7622306336953679</v>
      </c>
      <c r="D772" s="40">
        <f t="shared" ca="1" si="100"/>
        <v>3466179434.2371054</v>
      </c>
      <c r="E772" s="40">
        <f t="shared" ca="1" si="101"/>
        <v>4961861673780.1611</v>
      </c>
      <c r="F772" s="40">
        <f t="shared" ca="1" si="102"/>
        <v>2730943269704.2681</v>
      </c>
      <c r="G772" s="40">
        <f t="shared" ca="1" si="103"/>
        <v>4013363907081.8975</v>
      </c>
      <c r="H772" s="40">
        <f t="shared" ca="1" si="104"/>
        <v>4013363907081.8975</v>
      </c>
      <c r="I772" s="40">
        <f t="shared" ca="1" si="105"/>
        <v>4614891310560.4795</v>
      </c>
      <c r="J772" s="40">
        <f t="shared" ca="1" si="106"/>
        <v>693074256935.90613</v>
      </c>
      <c r="K772" s="41">
        <f t="shared" ca="1" si="107"/>
        <v>6.6585813343623492</v>
      </c>
    </row>
    <row r="773" spans="2:11" ht="15" customHeight="1" x14ac:dyDescent="0.35">
      <c r="B773" s="5">
        <v>752</v>
      </c>
      <c r="C773" s="39">
        <f t="shared" ca="1" si="99"/>
        <v>2.5608028868855746</v>
      </c>
      <c r="D773" s="40">
        <f t="shared" ca="1" si="100"/>
        <v>2219558499.2533817</v>
      </c>
      <c r="E773" s="40">
        <f t="shared" ca="1" si="101"/>
        <v>16153199856040.207</v>
      </c>
      <c r="F773" s="40">
        <f t="shared" ca="1" si="102"/>
        <v>19945789843737.91</v>
      </c>
      <c r="G773" s="40">
        <f t="shared" ca="1" si="103"/>
        <v>27014150356263.977</v>
      </c>
      <c r="H773" s="40">
        <f t="shared" ca="1" si="104"/>
        <v>16153199856040.207</v>
      </c>
      <c r="I773" s="40">
        <f t="shared" ca="1" si="105"/>
        <v>25322773228498.758</v>
      </c>
      <c r="J773" s="40">
        <f t="shared" ca="1" si="106"/>
        <v>1036371430151.155</v>
      </c>
      <c r="K773" s="41">
        <f t="shared" ca="1" si="107"/>
        <v>24.434071117538839</v>
      </c>
    </row>
    <row r="774" spans="2:11" ht="15" customHeight="1" x14ac:dyDescent="0.35">
      <c r="B774" s="5">
        <v>753</v>
      </c>
      <c r="C774" s="39">
        <f t="shared" ca="1" si="99"/>
        <v>2.7615785202073306</v>
      </c>
      <c r="D774" s="40">
        <f t="shared" ca="1" si="100"/>
        <v>3002563316.0861597</v>
      </c>
      <c r="E774" s="40">
        <f t="shared" ca="1" si="101"/>
        <v>3503219306542.8174</v>
      </c>
      <c r="F774" s="40">
        <f t="shared" ca="1" si="102"/>
        <v>948260038275.68616</v>
      </c>
      <c r="G774" s="40">
        <f t="shared" ca="1" si="103"/>
        <v>857054139278.98877</v>
      </c>
      <c r="H774" s="40">
        <f t="shared" ca="1" si="104"/>
        <v>3503219306542.8174</v>
      </c>
      <c r="I774" s="40">
        <f t="shared" ca="1" si="105"/>
        <v>12564538537053.666</v>
      </c>
      <c r="J774" s="40">
        <f t="shared" ca="1" si="106"/>
        <v>1242466873202.311</v>
      </c>
      <c r="K774" s="41">
        <f t="shared" ca="1" si="107"/>
        <v>10.112574273042837</v>
      </c>
    </row>
    <row r="775" spans="2:11" ht="15" customHeight="1" x14ac:dyDescent="0.35">
      <c r="B775" s="5">
        <v>754</v>
      </c>
      <c r="C775" s="39">
        <f t="shared" ca="1" si="99"/>
        <v>2.6927699981460798</v>
      </c>
      <c r="D775" s="40">
        <f t="shared" ca="1" si="100"/>
        <v>3133994669.1757607</v>
      </c>
      <c r="E775" s="40">
        <f t="shared" ca="1" si="101"/>
        <v>14733825484168.793</v>
      </c>
      <c r="F775" s="40">
        <f t="shared" ca="1" si="102"/>
        <v>282727072300.83734</v>
      </c>
      <c r="G775" s="40">
        <f t="shared" ca="1" si="103"/>
        <v>3658426919388.834</v>
      </c>
      <c r="H775" s="40">
        <f t="shared" ca="1" si="104"/>
        <v>3658426919388.834</v>
      </c>
      <c r="I775" s="40">
        <f t="shared" ca="1" si="105"/>
        <v>5465150036486.5684</v>
      </c>
      <c r="J775" s="40">
        <f t="shared" ca="1" si="106"/>
        <v>1602796670929.3755</v>
      </c>
      <c r="K775" s="41">
        <f t="shared" ca="1" si="107"/>
        <v>3.4097587895023653</v>
      </c>
    </row>
    <row r="776" spans="2:11" ht="15" customHeight="1" x14ac:dyDescent="0.35">
      <c r="B776" s="5">
        <v>755</v>
      </c>
      <c r="C776" s="39">
        <f t="shared" ca="1" si="99"/>
        <v>2.7228046488730406</v>
      </c>
      <c r="D776" s="40">
        <f t="shared" ca="1" si="100"/>
        <v>3462821391.8991628</v>
      </c>
      <c r="E776" s="40">
        <f t="shared" ca="1" si="101"/>
        <v>28821609429790.113</v>
      </c>
      <c r="F776" s="40">
        <f t="shared" ca="1" si="102"/>
        <v>1070225279124.0116</v>
      </c>
      <c r="G776" s="40">
        <f t="shared" ca="1" si="103"/>
        <v>4578869279327.5508</v>
      </c>
      <c r="H776" s="40">
        <f t="shared" ca="1" si="104"/>
        <v>1070225279124.0116</v>
      </c>
      <c r="I776" s="40">
        <f t="shared" ca="1" si="105"/>
        <v>3023216130238.4888</v>
      </c>
      <c r="J776" s="40">
        <f t="shared" ca="1" si="106"/>
        <v>963080167093.33423</v>
      </c>
      <c r="K776" s="41">
        <f t="shared" ca="1" si="107"/>
        <v>3.1391116062153341</v>
      </c>
    </row>
    <row r="777" spans="2:11" ht="15" customHeight="1" x14ac:dyDescent="0.35">
      <c r="B777" s="5">
        <v>756</v>
      </c>
      <c r="C777" s="39">
        <f t="shared" ca="1" si="99"/>
        <v>3.2940650784312129</v>
      </c>
      <c r="D777" s="40">
        <f t="shared" ca="1" si="100"/>
        <v>7537625681.3071747</v>
      </c>
      <c r="E777" s="40">
        <f t="shared" ca="1" si="101"/>
        <v>20804158842123.637</v>
      </c>
      <c r="F777" s="40">
        <f t="shared" ca="1" si="102"/>
        <v>8983728803337.5898</v>
      </c>
      <c r="G777" s="40">
        <f t="shared" ca="1" si="103"/>
        <v>38765016564558.688</v>
      </c>
      <c r="H777" s="40">
        <f t="shared" ca="1" si="104"/>
        <v>38765016564558.688</v>
      </c>
      <c r="I777" s="40">
        <f t="shared" ca="1" si="105"/>
        <v>6624536685992.1934</v>
      </c>
      <c r="J777" s="40">
        <f t="shared" ca="1" si="106"/>
        <v>871545792906.3446</v>
      </c>
      <c r="K777" s="41">
        <f t="shared" ca="1" si="107"/>
        <v>7.6009048978382934</v>
      </c>
    </row>
    <row r="778" spans="2:11" ht="15" customHeight="1" x14ac:dyDescent="0.35">
      <c r="B778" s="5">
        <v>757</v>
      </c>
      <c r="C778" s="39">
        <f t="shared" ca="1" si="99"/>
        <v>3.8310866013757154</v>
      </c>
      <c r="D778" s="40">
        <f t="shared" ca="1" si="100"/>
        <v>15169630386.678463</v>
      </c>
      <c r="E778" s="40">
        <f t="shared" ca="1" si="101"/>
        <v>55049768552450.992</v>
      </c>
      <c r="F778" s="40">
        <f t="shared" ca="1" si="102"/>
        <v>1976568231179.7734</v>
      </c>
      <c r="G778" s="40">
        <f t="shared" ca="1" si="103"/>
        <v>2500856983032.019</v>
      </c>
      <c r="H778" s="40">
        <f t="shared" ca="1" si="104"/>
        <v>1976568231179.7734</v>
      </c>
      <c r="I778" s="40">
        <f t="shared" ca="1" si="105"/>
        <v>28590962930596.219</v>
      </c>
      <c r="J778" s="40">
        <f t="shared" ca="1" si="106"/>
        <v>1152906289460.0796</v>
      </c>
      <c r="K778" s="41">
        <f t="shared" ca="1" si="107"/>
        <v>24.799034571999538</v>
      </c>
    </row>
    <row r="779" spans="2:11" ht="15" customHeight="1" x14ac:dyDescent="0.35">
      <c r="B779" s="5">
        <v>758</v>
      </c>
      <c r="C779" s="39">
        <f t="shared" ca="1" si="99"/>
        <v>2.9973535983457138</v>
      </c>
      <c r="D779" s="40">
        <f t="shared" ca="1" si="100"/>
        <v>4825660814.5108376</v>
      </c>
      <c r="E779" s="40">
        <f t="shared" ca="1" si="101"/>
        <v>4260794457071.9385</v>
      </c>
      <c r="F779" s="40">
        <f t="shared" ca="1" si="102"/>
        <v>6377286763641.3496</v>
      </c>
      <c r="G779" s="40">
        <f t="shared" ca="1" si="103"/>
        <v>22778871715884.723</v>
      </c>
      <c r="H779" s="40">
        <f t="shared" ca="1" si="104"/>
        <v>4260794457071.9385</v>
      </c>
      <c r="I779" s="40">
        <f t="shared" ca="1" si="105"/>
        <v>17241589078819.963</v>
      </c>
      <c r="J779" s="40">
        <f t="shared" ca="1" si="106"/>
        <v>1090906632278.4004</v>
      </c>
      <c r="K779" s="41">
        <f t="shared" ca="1" si="107"/>
        <v>15.804825608961824</v>
      </c>
    </row>
    <row r="780" spans="2:11" ht="15" customHeight="1" x14ac:dyDescent="0.35">
      <c r="B780" s="5">
        <v>759</v>
      </c>
      <c r="C780" s="39">
        <f t="shared" ca="1" si="99"/>
        <v>3.3171162117975346</v>
      </c>
      <c r="D780" s="40">
        <f t="shared" ca="1" si="100"/>
        <v>6933443600.1313553</v>
      </c>
      <c r="E780" s="40">
        <f t="shared" ca="1" si="101"/>
        <v>20602311588020.012</v>
      </c>
      <c r="F780" s="40">
        <f t="shared" ca="1" si="102"/>
        <v>2499805028986.877</v>
      </c>
      <c r="G780" s="40">
        <f t="shared" ca="1" si="103"/>
        <v>73412344086638.906</v>
      </c>
      <c r="H780" s="40">
        <f t="shared" ca="1" si="104"/>
        <v>73412344086638.906</v>
      </c>
      <c r="I780" s="40">
        <f t="shared" ca="1" si="105"/>
        <v>45725193194645.914</v>
      </c>
      <c r="J780" s="40">
        <f t="shared" ca="1" si="106"/>
        <v>1632965960105.7537</v>
      </c>
      <c r="K780" s="41">
        <f t="shared" ca="1" si="107"/>
        <v>28.001314364008344</v>
      </c>
    </row>
    <row r="781" spans="2:11" ht="15" customHeight="1" x14ac:dyDescent="0.35">
      <c r="B781" s="5">
        <v>760</v>
      </c>
      <c r="C781" s="39">
        <f t="shared" ca="1" si="99"/>
        <v>3.5135983383677352</v>
      </c>
      <c r="D781" s="40">
        <f t="shared" ca="1" si="100"/>
        <v>8795479983.1208992</v>
      </c>
      <c r="E781" s="40">
        <f t="shared" ca="1" si="101"/>
        <v>74592191073031.656</v>
      </c>
      <c r="F781" s="40">
        <f t="shared" ca="1" si="102"/>
        <v>1587265648514.2458</v>
      </c>
      <c r="G781" s="40">
        <f t="shared" ca="1" si="103"/>
        <v>20490435983453.391</v>
      </c>
      <c r="H781" s="40">
        <f t="shared" ca="1" si="104"/>
        <v>20490435983453.391</v>
      </c>
      <c r="I781" s="40">
        <f t="shared" ca="1" si="105"/>
        <v>78165506463372.609</v>
      </c>
      <c r="J781" s="40">
        <f t="shared" ca="1" si="106"/>
        <v>680352074452.47412</v>
      </c>
      <c r="K781" s="41">
        <f t="shared" ca="1" si="107"/>
        <v>114.88978927017712</v>
      </c>
    </row>
    <row r="782" spans="2:11" ht="15" customHeight="1" x14ac:dyDescent="0.35">
      <c r="B782" s="5">
        <v>761</v>
      </c>
      <c r="C782" s="39">
        <f t="shared" ca="1" si="99"/>
        <v>3.2010744741784825</v>
      </c>
      <c r="D782" s="40">
        <f t="shared" ca="1" si="100"/>
        <v>7429684897.0450783</v>
      </c>
      <c r="E782" s="40">
        <f t="shared" ca="1" si="101"/>
        <v>40845763775705.477</v>
      </c>
      <c r="F782" s="40">
        <f t="shared" ca="1" si="102"/>
        <v>2337553087005.3389</v>
      </c>
      <c r="G782" s="40">
        <f t="shared" ca="1" si="103"/>
        <v>533730957757.38293</v>
      </c>
      <c r="H782" s="40">
        <f t="shared" ca="1" si="104"/>
        <v>40845763775705.477</v>
      </c>
      <c r="I782" s="40">
        <f t="shared" ca="1" si="105"/>
        <v>67510919929084.133</v>
      </c>
      <c r="J782" s="40">
        <f t="shared" ca="1" si="106"/>
        <v>899219557971.04565</v>
      </c>
      <c r="K782" s="41">
        <f t="shared" ca="1" si="107"/>
        <v>75.077237067010003</v>
      </c>
    </row>
    <row r="783" spans="2:11" ht="15" customHeight="1" x14ac:dyDescent="0.35">
      <c r="B783" s="5">
        <v>762</v>
      </c>
      <c r="C783" s="39">
        <f t="shared" ca="1" si="99"/>
        <v>3.5113591102541211</v>
      </c>
      <c r="D783" s="40">
        <f t="shared" ca="1" si="100"/>
        <v>12225198729.146851</v>
      </c>
      <c r="E783" s="40">
        <f t="shared" ca="1" si="101"/>
        <v>12249219202671.127</v>
      </c>
      <c r="F783" s="40">
        <f t="shared" ca="1" si="102"/>
        <v>35218307345306.016</v>
      </c>
      <c r="G783" s="40">
        <f t="shared" ca="1" si="103"/>
        <v>1921364050151.7808</v>
      </c>
      <c r="H783" s="40">
        <f t="shared" ca="1" si="104"/>
        <v>12249219202671.127</v>
      </c>
      <c r="I783" s="40">
        <f t="shared" ca="1" si="105"/>
        <v>68992932709887.07</v>
      </c>
      <c r="J783" s="40">
        <f t="shared" ca="1" si="106"/>
        <v>1683901129570.8064</v>
      </c>
      <c r="K783" s="41">
        <f t="shared" ca="1" si="107"/>
        <v>40.97208054458163</v>
      </c>
    </row>
    <row r="784" spans="2:11" ht="15" customHeight="1" x14ac:dyDescent="0.35">
      <c r="B784" s="5">
        <v>763</v>
      </c>
      <c r="C784" s="39">
        <f t="shared" ca="1" si="99"/>
        <v>2.7108051674056179</v>
      </c>
      <c r="D784" s="40">
        <f t="shared" ca="1" si="100"/>
        <v>2440361272.4817634</v>
      </c>
      <c r="E784" s="40">
        <f t="shared" ca="1" si="101"/>
        <v>7422380803238.9053</v>
      </c>
      <c r="F784" s="40">
        <f t="shared" ca="1" si="102"/>
        <v>1164400235256.3088</v>
      </c>
      <c r="G784" s="40">
        <f t="shared" ca="1" si="103"/>
        <v>7177024033759.3379</v>
      </c>
      <c r="H784" s="40">
        <f t="shared" ca="1" si="104"/>
        <v>7422380803238.9053</v>
      </c>
      <c r="I784" s="40">
        <f t="shared" ca="1" si="105"/>
        <v>3642147024516.6206</v>
      </c>
      <c r="J784" s="40">
        <f t="shared" ca="1" si="106"/>
        <v>1148706722399.2847</v>
      </c>
      <c r="K784" s="41">
        <f t="shared" ca="1" si="107"/>
        <v>3.1706500480029649</v>
      </c>
    </row>
    <row r="785" spans="2:11" ht="15" customHeight="1" x14ac:dyDescent="0.35">
      <c r="B785" s="5">
        <v>764</v>
      </c>
      <c r="C785" s="39">
        <f t="shared" ca="1" si="99"/>
        <v>2.9624664597957593</v>
      </c>
      <c r="D785" s="40">
        <f t="shared" ca="1" si="100"/>
        <v>5331487354.1742811</v>
      </c>
      <c r="E785" s="40">
        <f t="shared" ca="1" si="101"/>
        <v>25349652430205.805</v>
      </c>
      <c r="F785" s="40">
        <f t="shared" ca="1" si="102"/>
        <v>3108594090459.6021</v>
      </c>
      <c r="G785" s="40">
        <f t="shared" ca="1" si="103"/>
        <v>514041665096904.94</v>
      </c>
      <c r="H785" s="40">
        <f t="shared" ca="1" si="104"/>
        <v>25349652430205.805</v>
      </c>
      <c r="I785" s="40">
        <f t="shared" ca="1" si="105"/>
        <v>5646807345815.1475</v>
      </c>
      <c r="J785" s="40">
        <f t="shared" ca="1" si="106"/>
        <v>624193226153.30176</v>
      </c>
      <c r="K785" s="41">
        <f t="shared" ca="1" si="107"/>
        <v>9.0465694102683081</v>
      </c>
    </row>
    <row r="786" spans="2:11" ht="15" customHeight="1" x14ac:dyDescent="0.35">
      <c r="B786" s="5">
        <v>765</v>
      </c>
      <c r="C786" s="39">
        <f t="shared" ca="1" si="99"/>
        <v>2.842514820897776</v>
      </c>
      <c r="D786" s="40">
        <f t="shared" ca="1" si="100"/>
        <v>4264261677.3043051</v>
      </c>
      <c r="E786" s="40">
        <f t="shared" ca="1" si="101"/>
        <v>46657297786079.078</v>
      </c>
      <c r="F786" s="40">
        <f t="shared" ca="1" si="102"/>
        <v>11043798287036.928</v>
      </c>
      <c r="G786" s="40">
        <f t="shared" ca="1" si="103"/>
        <v>22582100768826.313</v>
      </c>
      <c r="H786" s="40">
        <f t="shared" ca="1" si="104"/>
        <v>11043798287036.928</v>
      </c>
      <c r="I786" s="40">
        <f t="shared" ca="1" si="105"/>
        <v>25095306265307.555</v>
      </c>
      <c r="J786" s="40">
        <f t="shared" ca="1" si="106"/>
        <v>633343210227.76172</v>
      </c>
      <c r="K786" s="41">
        <f t="shared" ca="1" si="107"/>
        <v>39.623549854245418</v>
      </c>
    </row>
    <row r="787" spans="2:11" ht="15" customHeight="1" x14ac:dyDescent="0.35">
      <c r="B787" s="5">
        <v>766</v>
      </c>
      <c r="C787" s="39">
        <f t="shared" ca="1" si="99"/>
        <v>3.1390537926237738</v>
      </c>
      <c r="D787" s="40">
        <f t="shared" ca="1" si="100"/>
        <v>7012179915.7347431</v>
      </c>
      <c r="E787" s="40">
        <f t="shared" ca="1" si="101"/>
        <v>47181791443372.141</v>
      </c>
      <c r="F787" s="40">
        <f t="shared" ca="1" si="102"/>
        <v>2568338750546.3989</v>
      </c>
      <c r="G787" s="40">
        <f t="shared" ca="1" si="103"/>
        <v>2520762380959.0332</v>
      </c>
      <c r="H787" s="40">
        <f t="shared" ca="1" si="104"/>
        <v>2568338750546.3989</v>
      </c>
      <c r="I787" s="40">
        <f t="shared" ca="1" si="105"/>
        <v>6150349186126.4795</v>
      </c>
      <c r="J787" s="40">
        <f t="shared" ca="1" si="106"/>
        <v>1036462710228.5762</v>
      </c>
      <c r="K787" s="41">
        <f t="shared" ca="1" si="107"/>
        <v>5.9339801860986521</v>
      </c>
    </row>
    <row r="788" spans="2:11" ht="15" customHeight="1" x14ac:dyDescent="0.35">
      <c r="B788" s="5">
        <v>767</v>
      </c>
      <c r="C788" s="39">
        <f t="shared" ca="1" si="99"/>
        <v>2.5426140011506959</v>
      </c>
      <c r="D788" s="40">
        <f t="shared" ca="1" si="100"/>
        <v>2312139068.9960356</v>
      </c>
      <c r="E788" s="40">
        <f t="shared" ca="1" si="101"/>
        <v>6931730833293.125</v>
      </c>
      <c r="F788" s="40">
        <f t="shared" ca="1" si="102"/>
        <v>1579348106823.4722</v>
      </c>
      <c r="G788" s="40">
        <f t="shared" ca="1" si="103"/>
        <v>112298294781313.05</v>
      </c>
      <c r="H788" s="40">
        <f t="shared" ca="1" si="104"/>
        <v>6931730833293.125</v>
      </c>
      <c r="I788" s="40">
        <f t="shared" ca="1" si="105"/>
        <v>13640061272559.766</v>
      </c>
      <c r="J788" s="40">
        <f t="shared" ca="1" si="106"/>
        <v>719425186977.29333</v>
      </c>
      <c r="K788" s="41">
        <f t="shared" ca="1" si="107"/>
        <v>18.959666021520977</v>
      </c>
    </row>
    <row r="789" spans="2:11" ht="15" customHeight="1" x14ac:dyDescent="0.35">
      <c r="B789" s="5">
        <v>768</v>
      </c>
      <c r="C789" s="39">
        <f t="shared" ca="1" si="99"/>
        <v>2.4164473647844522</v>
      </c>
      <c r="D789" s="40">
        <f t="shared" ca="1" si="100"/>
        <v>1437832162.0150247</v>
      </c>
      <c r="E789" s="40">
        <f t="shared" ca="1" si="101"/>
        <v>7841266511801.8926</v>
      </c>
      <c r="F789" s="40">
        <f t="shared" ca="1" si="102"/>
        <v>1837558584477.8569</v>
      </c>
      <c r="G789" s="40">
        <f t="shared" ca="1" si="103"/>
        <v>11228893961591.643</v>
      </c>
      <c r="H789" s="40">
        <f t="shared" ca="1" si="104"/>
        <v>7841266511801.8926</v>
      </c>
      <c r="I789" s="40">
        <f t="shared" ca="1" si="105"/>
        <v>2376806570097.2222</v>
      </c>
      <c r="J789" s="40">
        <f t="shared" ca="1" si="106"/>
        <v>661825653651.9668</v>
      </c>
      <c r="K789" s="41">
        <f t="shared" ca="1" si="107"/>
        <v>3.5912880635284496</v>
      </c>
    </row>
    <row r="790" spans="2:11" ht="15" customHeight="1" x14ac:dyDescent="0.35">
      <c r="B790" s="5">
        <v>769</v>
      </c>
      <c r="C790" s="39">
        <f t="shared" ref="C790:C853" ca="1" si="108">MEDIAN(1.8,NORMINV(RAND(),$C$7,$D$7),4.5)</f>
        <v>3.014537433968981</v>
      </c>
      <c r="D790" s="40">
        <f t="shared" ref="D790:D853" ca="1" si="109">($C$8+RAND()*($D$8-$C$8))*C790^5</f>
        <v>4087304582.9419312</v>
      </c>
      <c r="E790" s="40">
        <f t="shared" ref="E790:E853" ca="1" si="110">D790*($C$10+RAND()*($D$10-$C$10))*EXP(NORMINV(RAND(),$C$9,$D$9))*($C$11+RAND()*($D$11-$C$11))</f>
        <v>126664135315555.88</v>
      </c>
      <c r="F790" s="40">
        <f t="shared" ref="F790:F853" ca="1" si="111">EXP(NORMINV(RAND(),$C$12,$D$12))*EXP(NORMINV(RAND(),$C$13,$D$13))</f>
        <v>901104493948.32776</v>
      </c>
      <c r="G790" s="40">
        <f t="shared" ref="G790:G853" ca="1" si="112">EXP(NORMINV(RAND(),$C$14,$D$14))*($C$15+RAND()*($D$15-$C$15))*EXP(NORMINV(RAND(),$C$16,$D$16))/1000000*31536000</f>
        <v>50751957968951.695</v>
      </c>
      <c r="H790" s="40">
        <f t="shared" ref="H790:H853" ca="1" si="113">CHOOSE(RANDBETWEEN(1,3),E790,F790,G790)</f>
        <v>901104493948.32776</v>
      </c>
      <c r="I790" s="40">
        <f t="shared" ref="I790:I853" ca="1" si="114">EXP(NORMINV(RAND(),$C$14,$D$14))*($C$15+RAND()*($D$15-$C$15))*60</f>
        <v>1594566403387.4692</v>
      </c>
      <c r="J790" s="40">
        <f t="shared" ref="J790:J853" ca="1" si="115">($C$17+RAND()*($D$17-$C$17))*($C$18+RAND()*($D$18-$C$18))</f>
        <v>1291967050176.5911</v>
      </c>
      <c r="K790" s="41">
        <f t="shared" ref="K790:K853" ca="1" si="116">I790/J790</f>
        <v>1.2342159989061003</v>
      </c>
    </row>
    <row r="791" spans="2:11" ht="15" customHeight="1" x14ac:dyDescent="0.35">
      <c r="B791" s="5">
        <v>770</v>
      </c>
      <c r="C791" s="39">
        <f t="shared" ca="1" si="108"/>
        <v>1.9105243813208963</v>
      </c>
      <c r="D791" s="40">
        <f t="shared" ca="1" si="109"/>
        <v>578898392.77578652</v>
      </c>
      <c r="E791" s="40">
        <f t="shared" ca="1" si="110"/>
        <v>461388216274.57318</v>
      </c>
      <c r="F791" s="40">
        <f t="shared" ca="1" si="111"/>
        <v>7211276571666.8057</v>
      </c>
      <c r="G791" s="40">
        <f t="shared" ca="1" si="112"/>
        <v>4976701100592.9775</v>
      </c>
      <c r="H791" s="40">
        <f t="shared" ca="1" si="113"/>
        <v>461388216274.57318</v>
      </c>
      <c r="I791" s="40">
        <f t="shared" ca="1" si="114"/>
        <v>1948525565790.2681</v>
      </c>
      <c r="J791" s="40">
        <f t="shared" ca="1" si="115"/>
        <v>981534094820.47888</v>
      </c>
      <c r="K791" s="41">
        <f t="shared" ca="1" si="116"/>
        <v>1.9851837812589184</v>
      </c>
    </row>
    <row r="792" spans="2:11" ht="15" customHeight="1" x14ac:dyDescent="0.35">
      <c r="B792" s="5">
        <v>771</v>
      </c>
      <c r="C792" s="39">
        <f t="shared" ca="1" si="108"/>
        <v>3.8801618073475415</v>
      </c>
      <c r="D792" s="40">
        <f t="shared" ca="1" si="109"/>
        <v>18630133324.001556</v>
      </c>
      <c r="E792" s="40">
        <f t="shared" ca="1" si="110"/>
        <v>36104421634844.047</v>
      </c>
      <c r="F792" s="40">
        <f t="shared" ca="1" si="111"/>
        <v>2242600215167.9927</v>
      </c>
      <c r="G792" s="40">
        <f t="shared" ca="1" si="112"/>
        <v>1794937763562.9048</v>
      </c>
      <c r="H792" s="40">
        <f t="shared" ca="1" si="113"/>
        <v>36104421634844.047</v>
      </c>
      <c r="I792" s="40">
        <f t="shared" ca="1" si="114"/>
        <v>1343151912468.0376</v>
      </c>
      <c r="J792" s="40">
        <f t="shared" ca="1" si="115"/>
        <v>936766517024.37085</v>
      </c>
      <c r="K792" s="41">
        <f t="shared" ca="1" si="116"/>
        <v>1.4338171658126144</v>
      </c>
    </row>
    <row r="793" spans="2:11" ht="15" customHeight="1" x14ac:dyDescent="0.35">
      <c r="B793" s="5">
        <v>772</v>
      </c>
      <c r="C793" s="39">
        <f t="shared" ca="1" si="108"/>
        <v>2.698957939048019</v>
      </c>
      <c r="D793" s="40">
        <f t="shared" ca="1" si="109"/>
        <v>3098323018.4509931</v>
      </c>
      <c r="E793" s="40">
        <f t="shared" ca="1" si="110"/>
        <v>72270625086287.703</v>
      </c>
      <c r="F793" s="40">
        <f t="shared" ca="1" si="111"/>
        <v>12594789294764.994</v>
      </c>
      <c r="G793" s="40">
        <f t="shared" ca="1" si="112"/>
        <v>2913443523771.8506</v>
      </c>
      <c r="H793" s="40">
        <f t="shared" ca="1" si="113"/>
        <v>2913443523771.8506</v>
      </c>
      <c r="I793" s="40">
        <f t="shared" ca="1" si="114"/>
        <v>9283356629613.375</v>
      </c>
      <c r="J793" s="40">
        <f t="shared" ca="1" si="115"/>
        <v>1215818193444.6902</v>
      </c>
      <c r="K793" s="41">
        <f t="shared" ca="1" si="116"/>
        <v>7.6354809293579571</v>
      </c>
    </row>
    <row r="794" spans="2:11" ht="15" customHeight="1" x14ac:dyDescent="0.35">
      <c r="B794" s="5">
        <v>773</v>
      </c>
      <c r="C794" s="39">
        <f t="shared" ca="1" si="108"/>
        <v>3.6355287361768172</v>
      </c>
      <c r="D794" s="40">
        <f t="shared" ca="1" si="109"/>
        <v>10980456384.710804</v>
      </c>
      <c r="E794" s="40">
        <f t="shared" ca="1" si="110"/>
        <v>8437861672901.0283</v>
      </c>
      <c r="F794" s="40">
        <f t="shared" ca="1" si="111"/>
        <v>1419457434369.0737</v>
      </c>
      <c r="G794" s="40">
        <f t="shared" ca="1" si="112"/>
        <v>4270162807410.6655</v>
      </c>
      <c r="H794" s="40">
        <f t="shared" ca="1" si="113"/>
        <v>4270162807410.6655</v>
      </c>
      <c r="I794" s="40">
        <f t="shared" ca="1" si="114"/>
        <v>770970249245.29651</v>
      </c>
      <c r="J794" s="40">
        <f t="shared" ca="1" si="115"/>
        <v>865094513003.58105</v>
      </c>
      <c r="K794" s="41">
        <f t="shared" ca="1" si="116"/>
        <v>0.89119771037330009</v>
      </c>
    </row>
    <row r="795" spans="2:11" ht="15" customHeight="1" x14ac:dyDescent="0.35">
      <c r="B795" s="5">
        <v>774</v>
      </c>
      <c r="C795" s="39">
        <f t="shared" ca="1" si="108"/>
        <v>2.4404387487522055</v>
      </c>
      <c r="D795" s="40">
        <f t="shared" ca="1" si="109"/>
        <v>1437974962.5358672</v>
      </c>
      <c r="E795" s="40">
        <f t="shared" ca="1" si="110"/>
        <v>1507394899960.6416</v>
      </c>
      <c r="F795" s="40">
        <f t="shared" ca="1" si="111"/>
        <v>5048940314534.0264</v>
      </c>
      <c r="G795" s="40">
        <f t="shared" ca="1" si="112"/>
        <v>15264637464490.459</v>
      </c>
      <c r="H795" s="40">
        <f t="shared" ca="1" si="113"/>
        <v>5048940314534.0264</v>
      </c>
      <c r="I795" s="40">
        <f t="shared" ca="1" si="114"/>
        <v>51507016420659.586</v>
      </c>
      <c r="J795" s="40">
        <f t="shared" ca="1" si="115"/>
        <v>1203846652251.7932</v>
      </c>
      <c r="K795" s="41">
        <f t="shared" ca="1" si="116"/>
        <v>42.78536333869085</v>
      </c>
    </row>
    <row r="796" spans="2:11" ht="15" customHeight="1" x14ac:dyDescent="0.35">
      <c r="B796" s="5">
        <v>775</v>
      </c>
      <c r="C796" s="39">
        <f t="shared" ca="1" si="108"/>
        <v>2.7222052306302218</v>
      </c>
      <c r="D796" s="40">
        <f t="shared" ca="1" si="109"/>
        <v>2402892965.1484337</v>
      </c>
      <c r="E796" s="40">
        <f t="shared" ca="1" si="110"/>
        <v>3693508059322.8359</v>
      </c>
      <c r="F796" s="40">
        <f t="shared" ca="1" si="111"/>
        <v>2924624915323.2124</v>
      </c>
      <c r="G796" s="40">
        <f t="shared" ca="1" si="112"/>
        <v>2976916134515.7583</v>
      </c>
      <c r="H796" s="40">
        <f t="shared" ca="1" si="113"/>
        <v>3693508059322.8359</v>
      </c>
      <c r="I796" s="40">
        <f t="shared" ca="1" si="114"/>
        <v>31889120064751.965</v>
      </c>
      <c r="J796" s="40">
        <f t="shared" ca="1" si="115"/>
        <v>1289024834913.5422</v>
      </c>
      <c r="K796" s="41">
        <f t="shared" ca="1" si="116"/>
        <v>24.738949321244721</v>
      </c>
    </row>
    <row r="797" spans="2:11" ht="15" customHeight="1" x14ac:dyDescent="0.35">
      <c r="B797" s="5">
        <v>776</v>
      </c>
      <c r="C797" s="39">
        <f t="shared" ca="1" si="108"/>
        <v>2.4035307887000426</v>
      </c>
      <c r="D797" s="40">
        <f t="shared" ca="1" si="109"/>
        <v>1671269135.9896414</v>
      </c>
      <c r="E797" s="40">
        <f t="shared" ca="1" si="110"/>
        <v>5582286289558.3545</v>
      </c>
      <c r="F797" s="40">
        <f t="shared" ca="1" si="111"/>
        <v>1459935942768.7227</v>
      </c>
      <c r="G797" s="40">
        <f t="shared" ca="1" si="112"/>
        <v>357869231980.18274</v>
      </c>
      <c r="H797" s="40">
        <f t="shared" ca="1" si="113"/>
        <v>5582286289558.3545</v>
      </c>
      <c r="I797" s="40">
        <f t="shared" ca="1" si="114"/>
        <v>64641013906457.359</v>
      </c>
      <c r="J797" s="40">
        <f t="shared" ca="1" si="115"/>
        <v>1348053157573.2332</v>
      </c>
      <c r="K797" s="41">
        <f t="shared" ca="1" si="116"/>
        <v>47.951383477209596</v>
      </c>
    </row>
    <row r="798" spans="2:11" ht="15" customHeight="1" x14ac:dyDescent="0.35">
      <c r="B798" s="5">
        <v>777</v>
      </c>
      <c r="C798" s="39">
        <f t="shared" ca="1" si="108"/>
        <v>2.8420900282308361</v>
      </c>
      <c r="D798" s="40">
        <f t="shared" ca="1" si="109"/>
        <v>4042709009.840734</v>
      </c>
      <c r="E798" s="40">
        <f t="shared" ca="1" si="110"/>
        <v>32491226018017.66</v>
      </c>
      <c r="F798" s="40">
        <f t="shared" ca="1" si="111"/>
        <v>1918783198653.7759</v>
      </c>
      <c r="G798" s="40">
        <f t="shared" ca="1" si="112"/>
        <v>13190244002673.633</v>
      </c>
      <c r="H798" s="40">
        <f t="shared" ca="1" si="113"/>
        <v>1918783198653.7759</v>
      </c>
      <c r="I798" s="40">
        <f t="shared" ca="1" si="114"/>
        <v>9136112881622.7578</v>
      </c>
      <c r="J798" s="40">
        <f t="shared" ca="1" si="115"/>
        <v>735894098871.3219</v>
      </c>
      <c r="K798" s="41">
        <f t="shared" ca="1" si="116"/>
        <v>12.41498320972444</v>
      </c>
    </row>
    <row r="799" spans="2:11" ht="15" customHeight="1" x14ac:dyDescent="0.35">
      <c r="B799" s="5">
        <v>778</v>
      </c>
      <c r="C799" s="39">
        <f t="shared" ca="1" si="108"/>
        <v>3.0792272693224652</v>
      </c>
      <c r="D799" s="40">
        <f t="shared" ca="1" si="109"/>
        <v>5013702665.8685474</v>
      </c>
      <c r="E799" s="40">
        <f t="shared" ca="1" si="110"/>
        <v>12051353787644.385</v>
      </c>
      <c r="F799" s="40">
        <f t="shared" ca="1" si="111"/>
        <v>4970075270808.2695</v>
      </c>
      <c r="G799" s="40">
        <f t="shared" ca="1" si="112"/>
        <v>6732750910667.6572</v>
      </c>
      <c r="H799" s="40">
        <f t="shared" ca="1" si="113"/>
        <v>12051353787644.385</v>
      </c>
      <c r="I799" s="40">
        <f t="shared" ca="1" si="114"/>
        <v>369283804381.04156</v>
      </c>
      <c r="J799" s="40">
        <f t="shared" ca="1" si="115"/>
        <v>1113374047347.1069</v>
      </c>
      <c r="K799" s="41">
        <f t="shared" ca="1" si="116"/>
        <v>0.33167991050353013</v>
      </c>
    </row>
    <row r="800" spans="2:11" ht="15" customHeight="1" x14ac:dyDescent="0.35">
      <c r="B800" s="5">
        <v>779</v>
      </c>
      <c r="C800" s="39">
        <f t="shared" ca="1" si="108"/>
        <v>2.4762283859686969</v>
      </c>
      <c r="D800" s="40">
        <f t="shared" ca="1" si="109"/>
        <v>1854459585.6692882</v>
      </c>
      <c r="E800" s="40">
        <f t="shared" ca="1" si="110"/>
        <v>3378341501467.9229</v>
      </c>
      <c r="F800" s="40">
        <f t="shared" ca="1" si="111"/>
        <v>2109278241707.7041</v>
      </c>
      <c r="G800" s="40">
        <f t="shared" ca="1" si="112"/>
        <v>4016302577204.3647</v>
      </c>
      <c r="H800" s="40">
        <f t="shared" ca="1" si="113"/>
        <v>3378341501467.9229</v>
      </c>
      <c r="I800" s="40">
        <f t="shared" ca="1" si="114"/>
        <v>12102281271629.34</v>
      </c>
      <c r="J800" s="40">
        <f t="shared" ca="1" si="115"/>
        <v>1031256148768.4851</v>
      </c>
      <c r="K800" s="41">
        <f t="shared" ca="1" si="116"/>
        <v>11.735475503425365</v>
      </c>
    </row>
    <row r="801" spans="2:11" ht="15" customHeight="1" x14ac:dyDescent="0.35">
      <c r="B801" s="5">
        <v>780</v>
      </c>
      <c r="C801" s="39">
        <f t="shared" ca="1" si="108"/>
        <v>3.3202184954087013</v>
      </c>
      <c r="D801" s="40">
        <f t="shared" ca="1" si="109"/>
        <v>8333400653.2340136</v>
      </c>
      <c r="E801" s="40">
        <f t="shared" ca="1" si="110"/>
        <v>15236877283705.955</v>
      </c>
      <c r="F801" s="40">
        <f t="shared" ca="1" si="111"/>
        <v>41928464999853.383</v>
      </c>
      <c r="G801" s="40">
        <f t="shared" ca="1" si="112"/>
        <v>400874927446.79578</v>
      </c>
      <c r="H801" s="40">
        <f t="shared" ca="1" si="113"/>
        <v>41928464999853.383</v>
      </c>
      <c r="I801" s="40">
        <f t="shared" ca="1" si="114"/>
        <v>34879464085329.895</v>
      </c>
      <c r="J801" s="40">
        <f t="shared" ca="1" si="115"/>
        <v>1601613951644.2795</v>
      </c>
      <c r="K801" s="41">
        <f t="shared" ca="1" si="116"/>
        <v>21.777697459191881</v>
      </c>
    </row>
    <row r="802" spans="2:11" ht="15" customHeight="1" x14ac:dyDescent="0.35">
      <c r="B802" s="5">
        <v>781</v>
      </c>
      <c r="C802" s="39">
        <f t="shared" ca="1" si="108"/>
        <v>3.1234457566870391</v>
      </c>
      <c r="D802" s="40">
        <f t="shared" ca="1" si="109"/>
        <v>5562339612.5310068</v>
      </c>
      <c r="E802" s="40">
        <f t="shared" ca="1" si="110"/>
        <v>37890693890156.656</v>
      </c>
      <c r="F802" s="40">
        <f t="shared" ca="1" si="111"/>
        <v>3710061910183.2207</v>
      </c>
      <c r="G802" s="40">
        <f t="shared" ca="1" si="112"/>
        <v>36943026600251.703</v>
      </c>
      <c r="H802" s="40">
        <f t="shared" ca="1" si="113"/>
        <v>37890693890156.656</v>
      </c>
      <c r="I802" s="40">
        <f t="shared" ca="1" si="114"/>
        <v>8029233553658.3438</v>
      </c>
      <c r="J802" s="40">
        <f t="shared" ca="1" si="115"/>
        <v>1315878660856.0923</v>
      </c>
      <c r="K802" s="41">
        <f t="shared" ca="1" si="116"/>
        <v>6.1018039067786356</v>
      </c>
    </row>
    <row r="803" spans="2:11" ht="15" customHeight="1" x14ac:dyDescent="0.35">
      <c r="B803" s="5">
        <v>782</v>
      </c>
      <c r="C803" s="39">
        <f t="shared" ca="1" si="108"/>
        <v>2.6054541045345423</v>
      </c>
      <c r="D803" s="40">
        <f t="shared" ca="1" si="109"/>
        <v>2676893001.329227</v>
      </c>
      <c r="E803" s="40">
        <f t="shared" ca="1" si="110"/>
        <v>8241842330711.8555</v>
      </c>
      <c r="F803" s="40">
        <f t="shared" ca="1" si="111"/>
        <v>1046490230958.2549</v>
      </c>
      <c r="G803" s="40">
        <f t="shared" ca="1" si="112"/>
        <v>375656397524.15796</v>
      </c>
      <c r="H803" s="40">
        <f t="shared" ca="1" si="113"/>
        <v>375656397524.15796</v>
      </c>
      <c r="I803" s="40">
        <f t="shared" ca="1" si="114"/>
        <v>26326142133521.602</v>
      </c>
      <c r="J803" s="40">
        <f t="shared" ca="1" si="115"/>
        <v>585744669687.7334</v>
      </c>
      <c r="K803" s="41">
        <f t="shared" ca="1" si="116"/>
        <v>44.944740423427739</v>
      </c>
    </row>
    <row r="804" spans="2:11" ht="15" customHeight="1" x14ac:dyDescent="0.35">
      <c r="B804" s="5">
        <v>783</v>
      </c>
      <c r="C804" s="39">
        <f t="shared" ca="1" si="108"/>
        <v>3.2457219994415216</v>
      </c>
      <c r="D804" s="40">
        <f t="shared" ca="1" si="109"/>
        <v>6382318746.752306</v>
      </c>
      <c r="E804" s="40">
        <f t="shared" ca="1" si="110"/>
        <v>20362981107491.938</v>
      </c>
      <c r="F804" s="40">
        <f t="shared" ca="1" si="111"/>
        <v>3689607352041.3989</v>
      </c>
      <c r="G804" s="40">
        <f t="shared" ca="1" si="112"/>
        <v>10496594942296.373</v>
      </c>
      <c r="H804" s="40">
        <f t="shared" ca="1" si="113"/>
        <v>3689607352041.3989</v>
      </c>
      <c r="I804" s="40">
        <f t="shared" ca="1" si="114"/>
        <v>54406576949867.031</v>
      </c>
      <c r="J804" s="40">
        <f t="shared" ca="1" si="115"/>
        <v>1024142461400.9366</v>
      </c>
      <c r="K804" s="41">
        <f t="shared" ca="1" si="116"/>
        <v>53.124032056481312</v>
      </c>
    </row>
    <row r="805" spans="2:11" ht="15" customHeight="1" x14ac:dyDescent="0.35">
      <c r="B805" s="5">
        <v>784</v>
      </c>
      <c r="C805" s="39">
        <f t="shared" ca="1" si="108"/>
        <v>3.090657390126978</v>
      </c>
      <c r="D805" s="40">
        <f t="shared" ca="1" si="109"/>
        <v>5822174286.69841</v>
      </c>
      <c r="E805" s="40">
        <f t="shared" ca="1" si="110"/>
        <v>17320669696545.695</v>
      </c>
      <c r="F805" s="40">
        <f t="shared" ca="1" si="111"/>
        <v>55369233161210.047</v>
      </c>
      <c r="G805" s="40">
        <f t="shared" ca="1" si="112"/>
        <v>2311464600593.731</v>
      </c>
      <c r="H805" s="40">
        <f t="shared" ca="1" si="113"/>
        <v>17320669696545.695</v>
      </c>
      <c r="I805" s="40">
        <f t="shared" ca="1" si="114"/>
        <v>5167112250499.1807</v>
      </c>
      <c r="J805" s="40">
        <f t="shared" ca="1" si="115"/>
        <v>969738432794.47705</v>
      </c>
      <c r="K805" s="41">
        <f t="shared" ca="1" si="116"/>
        <v>5.3283566740870629</v>
      </c>
    </row>
    <row r="806" spans="2:11" ht="15" customHeight="1" x14ac:dyDescent="0.35">
      <c r="B806" s="5">
        <v>785</v>
      </c>
      <c r="C806" s="39">
        <f t="shared" ca="1" si="108"/>
        <v>2.8664224490629722</v>
      </c>
      <c r="D806" s="40">
        <f t="shared" ca="1" si="109"/>
        <v>3982741723.1373734</v>
      </c>
      <c r="E806" s="40">
        <f t="shared" ca="1" si="110"/>
        <v>30633281962253.871</v>
      </c>
      <c r="F806" s="40">
        <f t="shared" ca="1" si="111"/>
        <v>7467385297095.4043</v>
      </c>
      <c r="G806" s="40">
        <f t="shared" ca="1" si="112"/>
        <v>2013650171314.1702</v>
      </c>
      <c r="H806" s="40">
        <f t="shared" ca="1" si="113"/>
        <v>2013650171314.1702</v>
      </c>
      <c r="I806" s="40">
        <f t="shared" ca="1" si="114"/>
        <v>3864588779152.4336</v>
      </c>
      <c r="J806" s="40">
        <f t="shared" ca="1" si="115"/>
        <v>754094927511.78552</v>
      </c>
      <c r="K806" s="41">
        <f t="shared" ca="1" si="116"/>
        <v>5.1248041037804688</v>
      </c>
    </row>
    <row r="807" spans="2:11" ht="15" customHeight="1" x14ac:dyDescent="0.35">
      <c r="B807" s="5">
        <v>786</v>
      </c>
      <c r="C807" s="39">
        <f t="shared" ca="1" si="108"/>
        <v>3.2232644950033</v>
      </c>
      <c r="D807" s="40">
        <f t="shared" ca="1" si="109"/>
        <v>6114369940.5129356</v>
      </c>
      <c r="E807" s="40">
        <f t="shared" ca="1" si="110"/>
        <v>20489405444661.781</v>
      </c>
      <c r="F807" s="40">
        <f t="shared" ca="1" si="111"/>
        <v>1221391336005.7759</v>
      </c>
      <c r="G807" s="40">
        <f t="shared" ca="1" si="112"/>
        <v>1413954576333.3625</v>
      </c>
      <c r="H807" s="40">
        <f t="shared" ca="1" si="113"/>
        <v>20489405444661.781</v>
      </c>
      <c r="I807" s="40">
        <f t="shared" ca="1" si="114"/>
        <v>17297356803499.406</v>
      </c>
      <c r="J807" s="40">
        <f t="shared" ca="1" si="115"/>
        <v>1380201579219.9087</v>
      </c>
      <c r="K807" s="41">
        <f t="shared" ca="1" si="116"/>
        <v>12.53248588026967</v>
      </c>
    </row>
    <row r="808" spans="2:11" ht="15" customHeight="1" x14ac:dyDescent="0.35">
      <c r="B808" s="5">
        <v>787</v>
      </c>
      <c r="C808" s="39">
        <f t="shared" ca="1" si="108"/>
        <v>3.0381209253840917</v>
      </c>
      <c r="D808" s="40">
        <f t="shared" ca="1" si="109"/>
        <v>6088010607.7497969</v>
      </c>
      <c r="E808" s="40">
        <f t="shared" ca="1" si="110"/>
        <v>16212604042740.285</v>
      </c>
      <c r="F808" s="40">
        <f t="shared" ca="1" si="111"/>
        <v>7258794597288.5781</v>
      </c>
      <c r="G808" s="40">
        <f t="shared" ca="1" si="112"/>
        <v>3615885547611.311</v>
      </c>
      <c r="H808" s="40">
        <f t="shared" ca="1" si="113"/>
        <v>16212604042740.285</v>
      </c>
      <c r="I808" s="40">
        <f t="shared" ca="1" si="114"/>
        <v>28110313106880.816</v>
      </c>
      <c r="J808" s="40">
        <f t="shared" ca="1" si="115"/>
        <v>1543086544854.3335</v>
      </c>
      <c r="K808" s="41">
        <f t="shared" ca="1" si="116"/>
        <v>18.216938771593277</v>
      </c>
    </row>
    <row r="809" spans="2:11" ht="15" customHeight="1" x14ac:dyDescent="0.35">
      <c r="B809" s="5">
        <v>788</v>
      </c>
      <c r="C809" s="39">
        <f t="shared" ca="1" si="108"/>
        <v>3.4131084189067415</v>
      </c>
      <c r="D809" s="40">
        <f t="shared" ca="1" si="109"/>
        <v>7753345993.65557</v>
      </c>
      <c r="E809" s="40">
        <f t="shared" ca="1" si="110"/>
        <v>9198196634386.3418</v>
      </c>
      <c r="F809" s="40">
        <f t="shared" ca="1" si="111"/>
        <v>2513191398207.6323</v>
      </c>
      <c r="G809" s="40">
        <f t="shared" ca="1" si="112"/>
        <v>2525513169843.7036</v>
      </c>
      <c r="H809" s="40">
        <f t="shared" ca="1" si="113"/>
        <v>2513191398207.6323</v>
      </c>
      <c r="I809" s="40">
        <f t="shared" ca="1" si="114"/>
        <v>26047503875049.641</v>
      </c>
      <c r="J809" s="40">
        <f t="shared" ca="1" si="115"/>
        <v>733807705045.66284</v>
      </c>
      <c r="K809" s="41">
        <f t="shared" ca="1" si="116"/>
        <v>35.496361915999202</v>
      </c>
    </row>
    <row r="810" spans="2:11" ht="15" customHeight="1" x14ac:dyDescent="0.35">
      <c r="B810" s="5">
        <v>789</v>
      </c>
      <c r="C810" s="39">
        <f t="shared" ca="1" si="108"/>
        <v>2.3953294933345557</v>
      </c>
      <c r="D810" s="40">
        <f t="shared" ca="1" si="109"/>
        <v>1561694636.4056299</v>
      </c>
      <c r="E810" s="40">
        <f t="shared" ca="1" si="110"/>
        <v>3532259002368.9146</v>
      </c>
      <c r="F810" s="40">
        <f t="shared" ca="1" si="111"/>
        <v>1608334197986.9509</v>
      </c>
      <c r="G810" s="40">
        <f t="shared" ca="1" si="112"/>
        <v>8488176731279.46</v>
      </c>
      <c r="H810" s="40">
        <f t="shared" ca="1" si="113"/>
        <v>3532259002368.9146</v>
      </c>
      <c r="I810" s="40">
        <f t="shared" ca="1" si="114"/>
        <v>169667672243483.63</v>
      </c>
      <c r="J810" s="40">
        <f t="shared" ca="1" si="115"/>
        <v>1674401919933.9233</v>
      </c>
      <c r="K810" s="41">
        <f t="shared" ca="1" si="116"/>
        <v>101.33031396080769</v>
      </c>
    </row>
    <row r="811" spans="2:11" ht="15" customHeight="1" x14ac:dyDescent="0.35">
      <c r="B811" s="5">
        <v>790</v>
      </c>
      <c r="C811" s="39">
        <f t="shared" ca="1" si="108"/>
        <v>2.5202547600993066</v>
      </c>
      <c r="D811" s="40">
        <f t="shared" ca="1" si="109"/>
        <v>2409652495.2401323</v>
      </c>
      <c r="E811" s="40">
        <f t="shared" ca="1" si="110"/>
        <v>16070396670321.281</v>
      </c>
      <c r="F811" s="40">
        <f t="shared" ca="1" si="111"/>
        <v>1536331706771.1543</v>
      </c>
      <c r="G811" s="40">
        <f t="shared" ca="1" si="112"/>
        <v>1879401817827.113</v>
      </c>
      <c r="H811" s="40">
        <f t="shared" ca="1" si="113"/>
        <v>16070396670321.281</v>
      </c>
      <c r="I811" s="40">
        <f t="shared" ca="1" si="114"/>
        <v>19071071340278.508</v>
      </c>
      <c r="J811" s="40">
        <f t="shared" ca="1" si="115"/>
        <v>1597202994407.459</v>
      </c>
      <c r="K811" s="41">
        <f t="shared" ca="1" si="116"/>
        <v>11.940292753679454</v>
      </c>
    </row>
    <row r="812" spans="2:11" ht="15" customHeight="1" x14ac:dyDescent="0.35">
      <c r="B812" s="5">
        <v>791</v>
      </c>
      <c r="C812" s="39">
        <f t="shared" ca="1" si="108"/>
        <v>3.0210648376678746</v>
      </c>
      <c r="D812" s="40">
        <f t="shared" ca="1" si="109"/>
        <v>5306918266.8190002</v>
      </c>
      <c r="E812" s="40">
        <f t="shared" ca="1" si="110"/>
        <v>17764475250203.859</v>
      </c>
      <c r="F812" s="40">
        <f t="shared" ca="1" si="111"/>
        <v>1194714104639.9958</v>
      </c>
      <c r="G812" s="40">
        <f t="shared" ca="1" si="112"/>
        <v>1616401491099.1226</v>
      </c>
      <c r="H812" s="40">
        <f t="shared" ca="1" si="113"/>
        <v>1194714104639.9958</v>
      </c>
      <c r="I812" s="40">
        <f t="shared" ca="1" si="114"/>
        <v>18054276909432.133</v>
      </c>
      <c r="J812" s="40">
        <f t="shared" ca="1" si="115"/>
        <v>810408146248.62793</v>
      </c>
      <c r="K812" s="41">
        <f t="shared" ca="1" si="116"/>
        <v>22.278005216266912</v>
      </c>
    </row>
    <row r="813" spans="2:11" ht="15" customHeight="1" x14ac:dyDescent="0.35">
      <c r="B813" s="5">
        <v>792</v>
      </c>
      <c r="C813" s="39">
        <f t="shared" ca="1" si="108"/>
        <v>3.2886933100015527</v>
      </c>
      <c r="D813" s="40">
        <f t="shared" ca="1" si="109"/>
        <v>8065989394.0399342</v>
      </c>
      <c r="E813" s="40">
        <f t="shared" ca="1" si="110"/>
        <v>125427928679729.64</v>
      </c>
      <c r="F813" s="40">
        <f t="shared" ca="1" si="111"/>
        <v>12473019256779.947</v>
      </c>
      <c r="G813" s="40">
        <f t="shared" ca="1" si="112"/>
        <v>12084134351135.336</v>
      </c>
      <c r="H813" s="40">
        <f t="shared" ca="1" si="113"/>
        <v>125427928679729.64</v>
      </c>
      <c r="I813" s="40">
        <f t="shared" ca="1" si="114"/>
        <v>2468164827115.6499</v>
      </c>
      <c r="J813" s="40">
        <f t="shared" ca="1" si="115"/>
        <v>1435948281414.9788</v>
      </c>
      <c r="K813" s="41">
        <f t="shared" ca="1" si="116"/>
        <v>1.7188396400206896</v>
      </c>
    </row>
    <row r="814" spans="2:11" ht="15" customHeight="1" x14ac:dyDescent="0.35">
      <c r="B814" s="5">
        <v>793</v>
      </c>
      <c r="C814" s="39">
        <f t="shared" ca="1" si="108"/>
        <v>3.3884491509666379</v>
      </c>
      <c r="D814" s="40">
        <f t="shared" ca="1" si="109"/>
        <v>9008387782.7022228</v>
      </c>
      <c r="E814" s="40">
        <f t="shared" ca="1" si="110"/>
        <v>61280963923648.688</v>
      </c>
      <c r="F814" s="40">
        <f t="shared" ca="1" si="111"/>
        <v>5113663648992.9434</v>
      </c>
      <c r="G814" s="40">
        <f t="shared" ca="1" si="112"/>
        <v>3111495921850.1841</v>
      </c>
      <c r="H814" s="40">
        <f t="shared" ca="1" si="113"/>
        <v>3111495921850.1841</v>
      </c>
      <c r="I814" s="40">
        <f t="shared" ca="1" si="114"/>
        <v>960840778789.83887</v>
      </c>
      <c r="J814" s="40">
        <f t="shared" ca="1" si="115"/>
        <v>989243720370.55237</v>
      </c>
      <c r="K814" s="41">
        <f t="shared" ca="1" si="116"/>
        <v>0.97128822655545966</v>
      </c>
    </row>
    <row r="815" spans="2:11" ht="15" customHeight="1" x14ac:dyDescent="0.35">
      <c r="B815" s="5">
        <v>794</v>
      </c>
      <c r="C815" s="39">
        <f t="shared" ca="1" si="108"/>
        <v>2.6869316622288917</v>
      </c>
      <c r="D815" s="40">
        <f t="shared" ca="1" si="109"/>
        <v>2593969407.7868075</v>
      </c>
      <c r="E815" s="40">
        <f t="shared" ca="1" si="110"/>
        <v>2326642272528.917</v>
      </c>
      <c r="F815" s="40">
        <f t="shared" ca="1" si="111"/>
        <v>3378183578035.9551</v>
      </c>
      <c r="G815" s="40">
        <f t="shared" ca="1" si="112"/>
        <v>1685250920137.8491</v>
      </c>
      <c r="H815" s="40">
        <f t="shared" ca="1" si="113"/>
        <v>1685250920137.8491</v>
      </c>
      <c r="I815" s="40">
        <f t="shared" ca="1" si="114"/>
        <v>7071308949401.4629</v>
      </c>
      <c r="J815" s="40">
        <f t="shared" ca="1" si="115"/>
        <v>617163090368.98486</v>
      </c>
      <c r="K815" s="41">
        <f t="shared" ca="1" si="116"/>
        <v>11.457763854889185</v>
      </c>
    </row>
    <row r="816" spans="2:11" ht="15" customHeight="1" x14ac:dyDescent="0.35">
      <c r="B816" s="5">
        <v>795</v>
      </c>
      <c r="C816" s="39">
        <f t="shared" ca="1" si="108"/>
        <v>2.1163888918966669</v>
      </c>
      <c r="D816" s="40">
        <f t="shared" ca="1" si="109"/>
        <v>898627144.83892477</v>
      </c>
      <c r="E816" s="40">
        <f t="shared" ca="1" si="110"/>
        <v>2467476596159.8022</v>
      </c>
      <c r="F816" s="40">
        <f t="shared" ca="1" si="111"/>
        <v>805890937668.67859</v>
      </c>
      <c r="G816" s="40">
        <f t="shared" ca="1" si="112"/>
        <v>3402434293038.0142</v>
      </c>
      <c r="H816" s="40">
        <f t="shared" ca="1" si="113"/>
        <v>2467476596159.8022</v>
      </c>
      <c r="I816" s="40">
        <f t="shared" ca="1" si="114"/>
        <v>13491454086463.305</v>
      </c>
      <c r="J816" s="40">
        <f t="shared" ca="1" si="115"/>
        <v>1156557944072.7588</v>
      </c>
      <c r="K816" s="41">
        <f t="shared" ca="1" si="116"/>
        <v>11.665177828405076</v>
      </c>
    </row>
    <row r="817" spans="2:11" ht="15" customHeight="1" x14ac:dyDescent="0.35">
      <c r="B817" s="5">
        <v>796</v>
      </c>
      <c r="C817" s="39">
        <f t="shared" ca="1" si="108"/>
        <v>2.852328521572193</v>
      </c>
      <c r="D817" s="40">
        <f t="shared" ca="1" si="109"/>
        <v>3873744518.4049525</v>
      </c>
      <c r="E817" s="40">
        <f t="shared" ca="1" si="110"/>
        <v>11053723951061.793</v>
      </c>
      <c r="F817" s="40">
        <f t="shared" ca="1" si="111"/>
        <v>10036037055983.82</v>
      </c>
      <c r="G817" s="40">
        <f t="shared" ca="1" si="112"/>
        <v>1085233528961.5854</v>
      </c>
      <c r="H817" s="40">
        <f t="shared" ca="1" si="113"/>
        <v>1085233528961.5854</v>
      </c>
      <c r="I817" s="40">
        <f t="shared" ca="1" si="114"/>
        <v>1499982285599.772</v>
      </c>
      <c r="J817" s="40">
        <f t="shared" ca="1" si="115"/>
        <v>1157927614500.4048</v>
      </c>
      <c r="K817" s="41">
        <f t="shared" ca="1" si="116"/>
        <v>1.2954024645547026</v>
      </c>
    </row>
    <row r="818" spans="2:11" ht="15" customHeight="1" x14ac:dyDescent="0.35">
      <c r="B818" s="5">
        <v>797</v>
      </c>
      <c r="C818" s="39">
        <f t="shared" ca="1" si="108"/>
        <v>3.2567883272833535</v>
      </c>
      <c r="D818" s="40">
        <f t="shared" ca="1" si="109"/>
        <v>8521841845.342967</v>
      </c>
      <c r="E818" s="40">
        <f t="shared" ca="1" si="110"/>
        <v>18154266013379.547</v>
      </c>
      <c r="F818" s="40">
        <f t="shared" ca="1" si="111"/>
        <v>2223748011732.0669</v>
      </c>
      <c r="G818" s="40">
        <f t="shared" ca="1" si="112"/>
        <v>11223298437620.717</v>
      </c>
      <c r="H818" s="40">
        <f t="shared" ca="1" si="113"/>
        <v>2223748011732.0669</v>
      </c>
      <c r="I818" s="40">
        <f t="shared" ca="1" si="114"/>
        <v>51691809752629.703</v>
      </c>
      <c r="J818" s="40">
        <f t="shared" ca="1" si="115"/>
        <v>1231156129849.6396</v>
      </c>
      <c r="K818" s="41">
        <f t="shared" ca="1" si="116"/>
        <v>41.986396769143155</v>
      </c>
    </row>
    <row r="819" spans="2:11" ht="15" customHeight="1" x14ac:dyDescent="0.35">
      <c r="B819" s="5">
        <v>798</v>
      </c>
      <c r="C819" s="39">
        <f t="shared" ca="1" si="108"/>
        <v>3.3456181141075962</v>
      </c>
      <c r="D819" s="40">
        <f t="shared" ca="1" si="109"/>
        <v>8917444887.4128819</v>
      </c>
      <c r="E819" s="40">
        <f t="shared" ca="1" si="110"/>
        <v>55513368588201.039</v>
      </c>
      <c r="F819" s="40">
        <f t="shared" ca="1" si="111"/>
        <v>2311339641276.895</v>
      </c>
      <c r="G819" s="40">
        <f t="shared" ca="1" si="112"/>
        <v>3492939772227.2534</v>
      </c>
      <c r="H819" s="40">
        <f t="shared" ca="1" si="113"/>
        <v>2311339641276.895</v>
      </c>
      <c r="I819" s="40">
        <f t="shared" ca="1" si="114"/>
        <v>9180108327312.2617</v>
      </c>
      <c r="J819" s="40">
        <f t="shared" ca="1" si="115"/>
        <v>902041228663.2511</v>
      </c>
      <c r="K819" s="41">
        <f t="shared" ca="1" si="116"/>
        <v>10.177038516206634</v>
      </c>
    </row>
    <row r="820" spans="2:11" ht="15" customHeight="1" x14ac:dyDescent="0.35">
      <c r="B820" s="5">
        <v>799</v>
      </c>
      <c r="C820" s="39">
        <f t="shared" ca="1" si="108"/>
        <v>2.6910605749110488</v>
      </c>
      <c r="D820" s="40">
        <f t="shared" ca="1" si="109"/>
        <v>2319882124.4043951</v>
      </c>
      <c r="E820" s="40">
        <f t="shared" ca="1" si="110"/>
        <v>6651657805226.2695</v>
      </c>
      <c r="F820" s="40">
        <f t="shared" ca="1" si="111"/>
        <v>821288408821.07959</v>
      </c>
      <c r="G820" s="40">
        <f t="shared" ca="1" si="112"/>
        <v>29001674943302.457</v>
      </c>
      <c r="H820" s="40">
        <f t="shared" ca="1" si="113"/>
        <v>821288408821.07959</v>
      </c>
      <c r="I820" s="40">
        <f t="shared" ca="1" si="114"/>
        <v>2594172421420.8022</v>
      </c>
      <c r="J820" s="40">
        <f t="shared" ca="1" si="115"/>
        <v>1528414695690.0273</v>
      </c>
      <c r="K820" s="41">
        <f t="shared" ca="1" si="116"/>
        <v>1.6972961780177214</v>
      </c>
    </row>
    <row r="821" spans="2:11" ht="15" customHeight="1" x14ac:dyDescent="0.35">
      <c r="B821" s="5">
        <v>800</v>
      </c>
      <c r="C821" s="39">
        <f t="shared" ca="1" si="108"/>
        <v>2.9110273771943955</v>
      </c>
      <c r="D821" s="40">
        <f t="shared" ca="1" si="109"/>
        <v>4058436381.3458905</v>
      </c>
      <c r="E821" s="40">
        <f t="shared" ca="1" si="110"/>
        <v>20422262807166.078</v>
      </c>
      <c r="F821" s="40">
        <f t="shared" ca="1" si="111"/>
        <v>253781242186.36749</v>
      </c>
      <c r="G821" s="40">
        <f t="shared" ca="1" si="112"/>
        <v>1953584643456.5662</v>
      </c>
      <c r="H821" s="40">
        <f t="shared" ca="1" si="113"/>
        <v>20422262807166.078</v>
      </c>
      <c r="I821" s="40">
        <f t="shared" ca="1" si="114"/>
        <v>444271422299535.5</v>
      </c>
      <c r="J821" s="40">
        <f t="shared" ca="1" si="115"/>
        <v>1054532216224.2854</v>
      </c>
      <c r="K821" s="41">
        <f t="shared" ca="1" si="116"/>
        <v>421.29715476141007</v>
      </c>
    </row>
    <row r="822" spans="2:11" ht="15" customHeight="1" x14ac:dyDescent="0.35">
      <c r="B822" s="5">
        <v>801</v>
      </c>
      <c r="C822" s="39">
        <f t="shared" ca="1" si="108"/>
        <v>2.6649053026295508</v>
      </c>
      <c r="D822" s="40">
        <f t="shared" ca="1" si="109"/>
        <v>2822025344.6327829</v>
      </c>
      <c r="E822" s="40">
        <f t="shared" ca="1" si="110"/>
        <v>2274881231062.395</v>
      </c>
      <c r="F822" s="40">
        <f t="shared" ca="1" si="111"/>
        <v>1579853687466.0537</v>
      </c>
      <c r="G822" s="40">
        <f t="shared" ca="1" si="112"/>
        <v>2472382601820.6904</v>
      </c>
      <c r="H822" s="40">
        <f t="shared" ca="1" si="113"/>
        <v>2472382601820.6904</v>
      </c>
      <c r="I822" s="40">
        <f t="shared" ca="1" si="114"/>
        <v>3628726621703.3853</v>
      </c>
      <c r="J822" s="40">
        <f t="shared" ca="1" si="115"/>
        <v>1386879137124.0718</v>
      </c>
      <c r="K822" s="41">
        <f t="shared" ca="1" si="116"/>
        <v>2.6164692542914469</v>
      </c>
    </row>
    <row r="823" spans="2:11" ht="15" customHeight="1" x14ac:dyDescent="0.35">
      <c r="B823" s="5">
        <v>802</v>
      </c>
      <c r="C823" s="39">
        <f t="shared" ca="1" si="108"/>
        <v>3.480628550114699</v>
      </c>
      <c r="D823" s="40">
        <f t="shared" ca="1" si="109"/>
        <v>9353101568.3100929</v>
      </c>
      <c r="E823" s="40">
        <f t="shared" ca="1" si="110"/>
        <v>24672605701851.301</v>
      </c>
      <c r="F823" s="40">
        <f t="shared" ca="1" si="111"/>
        <v>74434382812.624908</v>
      </c>
      <c r="G823" s="40">
        <f t="shared" ca="1" si="112"/>
        <v>3046953362877.4771</v>
      </c>
      <c r="H823" s="40">
        <f t="shared" ca="1" si="113"/>
        <v>24672605701851.301</v>
      </c>
      <c r="I823" s="40">
        <f t="shared" ca="1" si="114"/>
        <v>103675801751548.22</v>
      </c>
      <c r="J823" s="40">
        <f t="shared" ca="1" si="115"/>
        <v>802811321327.18079</v>
      </c>
      <c r="K823" s="41">
        <f t="shared" ca="1" si="116"/>
        <v>129.1409313712154</v>
      </c>
    </row>
    <row r="824" spans="2:11" ht="15" customHeight="1" x14ac:dyDescent="0.35">
      <c r="B824" s="5">
        <v>803</v>
      </c>
      <c r="C824" s="39">
        <f t="shared" ca="1" si="108"/>
        <v>2.6176622135542069</v>
      </c>
      <c r="D824" s="40">
        <f t="shared" ca="1" si="109"/>
        <v>2247883792.5571246</v>
      </c>
      <c r="E824" s="40">
        <f t="shared" ca="1" si="110"/>
        <v>10898331394224.836</v>
      </c>
      <c r="F824" s="40">
        <f t="shared" ca="1" si="111"/>
        <v>3571805817322.2407</v>
      </c>
      <c r="G824" s="40">
        <f t="shared" ca="1" si="112"/>
        <v>2211692012647.5781</v>
      </c>
      <c r="H824" s="40">
        <f t="shared" ca="1" si="113"/>
        <v>3571805817322.2407</v>
      </c>
      <c r="I824" s="40">
        <f t="shared" ca="1" si="114"/>
        <v>7367237191849.8291</v>
      </c>
      <c r="J824" s="40">
        <f t="shared" ca="1" si="115"/>
        <v>779583072590.74976</v>
      </c>
      <c r="K824" s="41">
        <f t="shared" ca="1" si="116"/>
        <v>9.450227244373913</v>
      </c>
    </row>
    <row r="825" spans="2:11" ht="15" customHeight="1" x14ac:dyDescent="0.35">
      <c r="B825" s="5">
        <v>804</v>
      </c>
      <c r="C825" s="39">
        <f t="shared" ca="1" si="108"/>
        <v>2.9352486820392016</v>
      </c>
      <c r="D825" s="40">
        <f t="shared" ca="1" si="109"/>
        <v>3960688120.5333023</v>
      </c>
      <c r="E825" s="40">
        <f t="shared" ca="1" si="110"/>
        <v>120135392488493.55</v>
      </c>
      <c r="F825" s="40">
        <f t="shared" ca="1" si="111"/>
        <v>4203699677319.9336</v>
      </c>
      <c r="G825" s="40">
        <f t="shared" ca="1" si="112"/>
        <v>6904346838241.0469</v>
      </c>
      <c r="H825" s="40">
        <f t="shared" ca="1" si="113"/>
        <v>6904346838241.0469</v>
      </c>
      <c r="I825" s="40">
        <f t="shared" ca="1" si="114"/>
        <v>21121744937291.074</v>
      </c>
      <c r="J825" s="40">
        <f t="shared" ca="1" si="115"/>
        <v>1060947099050.6492</v>
      </c>
      <c r="K825" s="41">
        <f t="shared" ca="1" si="116"/>
        <v>19.908386531421893</v>
      </c>
    </row>
    <row r="826" spans="2:11" ht="15" customHeight="1" x14ac:dyDescent="0.35">
      <c r="B826" s="5">
        <v>805</v>
      </c>
      <c r="C826" s="39">
        <f t="shared" ca="1" si="108"/>
        <v>3.4738649459605648</v>
      </c>
      <c r="D826" s="40">
        <f t="shared" ca="1" si="109"/>
        <v>9574072391.6573334</v>
      </c>
      <c r="E826" s="40">
        <f t="shared" ca="1" si="110"/>
        <v>134391957438193.8</v>
      </c>
      <c r="F826" s="40">
        <f t="shared" ca="1" si="111"/>
        <v>4004969679215.0122</v>
      </c>
      <c r="G826" s="40">
        <f t="shared" ca="1" si="112"/>
        <v>32201325623646.188</v>
      </c>
      <c r="H826" s="40">
        <f t="shared" ca="1" si="113"/>
        <v>4004969679215.0122</v>
      </c>
      <c r="I826" s="40">
        <f t="shared" ca="1" si="114"/>
        <v>2019880585839.0164</v>
      </c>
      <c r="J826" s="40">
        <f t="shared" ca="1" si="115"/>
        <v>931835744066.1145</v>
      </c>
      <c r="K826" s="41">
        <f t="shared" ca="1" si="116"/>
        <v>2.1676358722033573</v>
      </c>
    </row>
    <row r="827" spans="2:11" ht="15" customHeight="1" x14ac:dyDescent="0.35">
      <c r="B827" s="5">
        <v>806</v>
      </c>
      <c r="C827" s="39">
        <f t="shared" ca="1" si="108"/>
        <v>3.0434055853438693</v>
      </c>
      <c r="D827" s="40">
        <f t="shared" ca="1" si="109"/>
        <v>4239563440.9049983</v>
      </c>
      <c r="E827" s="40">
        <f t="shared" ca="1" si="110"/>
        <v>12551073627345.063</v>
      </c>
      <c r="F827" s="40">
        <f t="shared" ca="1" si="111"/>
        <v>2561244371107.1499</v>
      </c>
      <c r="G827" s="40">
        <f t="shared" ca="1" si="112"/>
        <v>1580320164909.3843</v>
      </c>
      <c r="H827" s="40">
        <f t="shared" ca="1" si="113"/>
        <v>1580320164909.3843</v>
      </c>
      <c r="I827" s="40">
        <f t="shared" ca="1" si="114"/>
        <v>23018309149190.188</v>
      </c>
      <c r="J827" s="40">
        <f t="shared" ca="1" si="115"/>
        <v>658288265547.97766</v>
      </c>
      <c r="K827" s="41">
        <f t="shared" ca="1" si="116"/>
        <v>34.966913970476291</v>
      </c>
    </row>
    <row r="828" spans="2:11" ht="15" customHeight="1" x14ac:dyDescent="0.35">
      <c r="B828" s="5">
        <v>807</v>
      </c>
      <c r="C828" s="39">
        <f t="shared" ca="1" si="108"/>
        <v>2.5724550746969674</v>
      </c>
      <c r="D828" s="40">
        <f t="shared" ca="1" si="109"/>
        <v>1930953746.0170548</v>
      </c>
      <c r="E828" s="40">
        <f t="shared" ca="1" si="110"/>
        <v>3978479084829.499</v>
      </c>
      <c r="F828" s="40">
        <f t="shared" ca="1" si="111"/>
        <v>16914185549398.217</v>
      </c>
      <c r="G828" s="40">
        <f t="shared" ca="1" si="112"/>
        <v>460191211578.52313</v>
      </c>
      <c r="H828" s="40">
        <f t="shared" ca="1" si="113"/>
        <v>16914185549398.217</v>
      </c>
      <c r="I828" s="40">
        <f t="shared" ca="1" si="114"/>
        <v>15583258219328.25</v>
      </c>
      <c r="J828" s="40">
        <f t="shared" ca="1" si="115"/>
        <v>783412884466.0072</v>
      </c>
      <c r="K828" s="41">
        <f t="shared" ca="1" si="116"/>
        <v>19.891501056879054</v>
      </c>
    </row>
    <row r="829" spans="2:11" ht="15" customHeight="1" x14ac:dyDescent="0.35">
      <c r="B829" s="5">
        <v>808</v>
      </c>
      <c r="C829" s="39">
        <f t="shared" ca="1" si="108"/>
        <v>2.5020300379310165</v>
      </c>
      <c r="D829" s="40">
        <f t="shared" ca="1" si="109"/>
        <v>2156459809.2300258</v>
      </c>
      <c r="E829" s="40">
        <f t="shared" ca="1" si="110"/>
        <v>11428210825333.521</v>
      </c>
      <c r="F829" s="40">
        <f t="shared" ca="1" si="111"/>
        <v>3269266507810.3594</v>
      </c>
      <c r="G829" s="40">
        <f t="shared" ca="1" si="112"/>
        <v>12241896812665.543</v>
      </c>
      <c r="H829" s="40">
        <f t="shared" ca="1" si="113"/>
        <v>3269266507810.3594</v>
      </c>
      <c r="I829" s="40">
        <f t="shared" ca="1" si="114"/>
        <v>17261511817911.307</v>
      </c>
      <c r="J829" s="40">
        <f t="shared" ca="1" si="115"/>
        <v>1146451379253.6802</v>
      </c>
      <c r="K829" s="41">
        <f t="shared" ca="1" si="116"/>
        <v>15.056470889457387</v>
      </c>
    </row>
    <row r="830" spans="2:11" ht="15" customHeight="1" x14ac:dyDescent="0.35">
      <c r="B830" s="5">
        <v>809</v>
      </c>
      <c r="C830" s="39">
        <f t="shared" ca="1" si="108"/>
        <v>2.3432581076067094</v>
      </c>
      <c r="D830" s="40">
        <f t="shared" ca="1" si="109"/>
        <v>1624101737.6162517</v>
      </c>
      <c r="E830" s="40">
        <f t="shared" ca="1" si="110"/>
        <v>3028246739146.8989</v>
      </c>
      <c r="F830" s="40">
        <f t="shared" ca="1" si="111"/>
        <v>836815577944.15344</v>
      </c>
      <c r="G830" s="40">
        <f t="shared" ca="1" si="112"/>
        <v>12570047646298.691</v>
      </c>
      <c r="H830" s="40">
        <f t="shared" ca="1" si="113"/>
        <v>12570047646298.691</v>
      </c>
      <c r="I830" s="40">
        <f t="shared" ca="1" si="114"/>
        <v>9702869244022.8574</v>
      </c>
      <c r="J830" s="40">
        <f t="shared" ca="1" si="115"/>
        <v>745455225492.9248</v>
      </c>
      <c r="K830" s="41">
        <f t="shared" ca="1" si="116"/>
        <v>13.016032234004305</v>
      </c>
    </row>
    <row r="831" spans="2:11" ht="15" customHeight="1" x14ac:dyDescent="0.35">
      <c r="B831" s="5">
        <v>810</v>
      </c>
      <c r="C831" s="39">
        <f t="shared" ca="1" si="108"/>
        <v>3.2055353699735218</v>
      </c>
      <c r="D831" s="40">
        <f t="shared" ca="1" si="109"/>
        <v>5708465493.978035</v>
      </c>
      <c r="E831" s="40">
        <f t="shared" ca="1" si="110"/>
        <v>16628023056954.25</v>
      </c>
      <c r="F831" s="40">
        <f t="shared" ca="1" si="111"/>
        <v>1704478964962.1709</v>
      </c>
      <c r="G831" s="40">
        <f t="shared" ca="1" si="112"/>
        <v>21637672749593.145</v>
      </c>
      <c r="H831" s="40">
        <f t="shared" ca="1" si="113"/>
        <v>21637672749593.145</v>
      </c>
      <c r="I831" s="40">
        <f t="shared" ca="1" si="114"/>
        <v>70928986558888.047</v>
      </c>
      <c r="J831" s="40">
        <f t="shared" ca="1" si="115"/>
        <v>1016172413777.0339</v>
      </c>
      <c r="K831" s="41">
        <f t="shared" ca="1" si="116"/>
        <v>69.800149656937165</v>
      </c>
    </row>
    <row r="832" spans="2:11" ht="15" customHeight="1" x14ac:dyDescent="0.35">
      <c r="B832" s="5">
        <v>811</v>
      </c>
      <c r="C832" s="39">
        <f t="shared" ca="1" si="108"/>
        <v>3.0199267479242269</v>
      </c>
      <c r="D832" s="40">
        <f t="shared" ca="1" si="109"/>
        <v>4194444507.1178031</v>
      </c>
      <c r="E832" s="40">
        <f t="shared" ca="1" si="110"/>
        <v>5049683347779.3398</v>
      </c>
      <c r="F832" s="40">
        <f t="shared" ca="1" si="111"/>
        <v>1122742055814.3662</v>
      </c>
      <c r="G832" s="40">
        <f t="shared" ca="1" si="112"/>
        <v>126053668541411.91</v>
      </c>
      <c r="H832" s="40">
        <f t="shared" ca="1" si="113"/>
        <v>1122742055814.3662</v>
      </c>
      <c r="I832" s="40">
        <f t="shared" ca="1" si="114"/>
        <v>5127613205487.4033</v>
      </c>
      <c r="J832" s="40">
        <f t="shared" ca="1" si="115"/>
        <v>1020314882512.6451</v>
      </c>
      <c r="K832" s="41">
        <f t="shared" ca="1" si="116"/>
        <v>5.0255203500120018</v>
      </c>
    </row>
    <row r="833" spans="2:11" ht="15" customHeight="1" x14ac:dyDescent="0.35">
      <c r="B833" s="5">
        <v>812</v>
      </c>
      <c r="C833" s="39">
        <f t="shared" ca="1" si="108"/>
        <v>3.2869071323942736</v>
      </c>
      <c r="D833" s="40">
        <f t="shared" ca="1" si="109"/>
        <v>7113229206.6844501</v>
      </c>
      <c r="E833" s="40">
        <f t="shared" ca="1" si="110"/>
        <v>26461175168622.145</v>
      </c>
      <c r="F833" s="40">
        <f t="shared" ca="1" si="111"/>
        <v>2535893000541.0869</v>
      </c>
      <c r="G833" s="40">
        <f t="shared" ca="1" si="112"/>
        <v>47737669252149.852</v>
      </c>
      <c r="H833" s="40">
        <f t="shared" ca="1" si="113"/>
        <v>2535893000541.0869</v>
      </c>
      <c r="I833" s="40">
        <f t="shared" ca="1" si="114"/>
        <v>73330466099388.906</v>
      </c>
      <c r="J833" s="40">
        <f t="shared" ca="1" si="115"/>
        <v>1066056698372.7205</v>
      </c>
      <c r="K833" s="41">
        <f t="shared" ca="1" si="116"/>
        <v>68.786647287451046</v>
      </c>
    </row>
    <row r="834" spans="2:11" ht="15" customHeight="1" x14ac:dyDescent="0.35">
      <c r="B834" s="5">
        <v>813</v>
      </c>
      <c r="C834" s="39">
        <f t="shared" ca="1" si="108"/>
        <v>3.3862714202727826</v>
      </c>
      <c r="D834" s="40">
        <f t="shared" ca="1" si="109"/>
        <v>10358910320.328568</v>
      </c>
      <c r="E834" s="40">
        <f t="shared" ca="1" si="110"/>
        <v>48601188747318.109</v>
      </c>
      <c r="F834" s="40">
        <f t="shared" ca="1" si="111"/>
        <v>8934725532762.2227</v>
      </c>
      <c r="G834" s="40">
        <f t="shared" ca="1" si="112"/>
        <v>299637022766.01971</v>
      </c>
      <c r="H834" s="40">
        <f t="shared" ca="1" si="113"/>
        <v>8934725532762.2227</v>
      </c>
      <c r="I834" s="40">
        <f t="shared" ca="1" si="114"/>
        <v>28678892290956.82</v>
      </c>
      <c r="J834" s="40">
        <f t="shared" ca="1" si="115"/>
        <v>730324832711.58826</v>
      </c>
      <c r="K834" s="41">
        <f t="shared" ca="1" si="116"/>
        <v>39.268680190534297</v>
      </c>
    </row>
    <row r="835" spans="2:11" ht="15" customHeight="1" x14ac:dyDescent="0.35">
      <c r="B835" s="5">
        <v>814</v>
      </c>
      <c r="C835" s="39">
        <f t="shared" ca="1" si="108"/>
        <v>4.2321780654065293</v>
      </c>
      <c r="D835" s="40">
        <f t="shared" ca="1" si="109"/>
        <v>25710315695.715397</v>
      </c>
      <c r="E835" s="40">
        <f t="shared" ca="1" si="110"/>
        <v>171301275340442.81</v>
      </c>
      <c r="F835" s="40">
        <f t="shared" ca="1" si="111"/>
        <v>4703191900566.9189</v>
      </c>
      <c r="G835" s="40">
        <f t="shared" ca="1" si="112"/>
        <v>3889548727096.6392</v>
      </c>
      <c r="H835" s="40">
        <f t="shared" ca="1" si="113"/>
        <v>3889548727096.6392</v>
      </c>
      <c r="I835" s="40">
        <f t="shared" ca="1" si="114"/>
        <v>14456757350715.934</v>
      </c>
      <c r="J835" s="40">
        <f t="shared" ca="1" si="115"/>
        <v>659958355904.66431</v>
      </c>
      <c r="K835" s="41">
        <f t="shared" ca="1" si="116"/>
        <v>21.905559981733628</v>
      </c>
    </row>
    <row r="836" spans="2:11" ht="15" customHeight="1" x14ac:dyDescent="0.35">
      <c r="B836" s="5">
        <v>815</v>
      </c>
      <c r="C836" s="39">
        <f t="shared" ca="1" si="108"/>
        <v>3.381619516298354</v>
      </c>
      <c r="D836" s="40">
        <f t="shared" ca="1" si="109"/>
        <v>9736502244.3821487</v>
      </c>
      <c r="E836" s="40">
        <f t="shared" ca="1" si="110"/>
        <v>11694131372453.898</v>
      </c>
      <c r="F836" s="40">
        <f t="shared" ca="1" si="111"/>
        <v>4755803755160.7617</v>
      </c>
      <c r="G836" s="40">
        <f t="shared" ca="1" si="112"/>
        <v>33467303220261.609</v>
      </c>
      <c r="H836" s="40">
        <f t="shared" ca="1" si="113"/>
        <v>33467303220261.609</v>
      </c>
      <c r="I836" s="40">
        <f t="shared" ca="1" si="114"/>
        <v>44695424820144.195</v>
      </c>
      <c r="J836" s="40">
        <f t="shared" ca="1" si="115"/>
        <v>571472308573.58398</v>
      </c>
      <c r="K836" s="41">
        <f t="shared" ca="1" si="116"/>
        <v>78.211007164468967</v>
      </c>
    </row>
    <row r="837" spans="2:11" ht="15" customHeight="1" x14ac:dyDescent="0.35">
      <c r="B837" s="5">
        <v>816</v>
      </c>
      <c r="C837" s="39">
        <f t="shared" ca="1" si="108"/>
        <v>3.4687062264730182</v>
      </c>
      <c r="D837" s="40">
        <f t="shared" ca="1" si="109"/>
        <v>8282459861.5340681</v>
      </c>
      <c r="E837" s="40">
        <f t="shared" ca="1" si="110"/>
        <v>24768142657779.055</v>
      </c>
      <c r="F837" s="40">
        <f t="shared" ca="1" si="111"/>
        <v>20795925898678.59</v>
      </c>
      <c r="G837" s="40">
        <f t="shared" ca="1" si="112"/>
        <v>9472658209577.7441</v>
      </c>
      <c r="H837" s="40">
        <f t="shared" ca="1" si="113"/>
        <v>24768142657779.055</v>
      </c>
      <c r="I837" s="40">
        <f t="shared" ca="1" si="114"/>
        <v>192056501899.72626</v>
      </c>
      <c r="J837" s="40">
        <f t="shared" ca="1" si="115"/>
        <v>1193534133247.4299</v>
      </c>
      <c r="K837" s="41">
        <f t="shared" ca="1" si="116"/>
        <v>0.16091412599752711</v>
      </c>
    </row>
    <row r="838" spans="2:11" ht="15" customHeight="1" x14ac:dyDescent="0.35">
      <c r="B838" s="5">
        <v>817</v>
      </c>
      <c r="C838" s="39">
        <f t="shared" ca="1" si="108"/>
        <v>2.287262008465532</v>
      </c>
      <c r="D838" s="40">
        <f t="shared" ca="1" si="109"/>
        <v>1100123838.8771234</v>
      </c>
      <c r="E838" s="40">
        <f t="shared" ca="1" si="110"/>
        <v>1648529497747.8018</v>
      </c>
      <c r="F838" s="40">
        <f t="shared" ca="1" si="111"/>
        <v>2105418468358.2004</v>
      </c>
      <c r="G838" s="40">
        <f t="shared" ca="1" si="112"/>
        <v>28785916288291.559</v>
      </c>
      <c r="H838" s="40">
        <f t="shared" ca="1" si="113"/>
        <v>1648529497747.8018</v>
      </c>
      <c r="I838" s="40">
        <f t="shared" ca="1" si="114"/>
        <v>11290383613196.014</v>
      </c>
      <c r="J838" s="40">
        <f t="shared" ca="1" si="115"/>
        <v>863778181580.15405</v>
      </c>
      <c r="K838" s="41">
        <f t="shared" ca="1" si="116"/>
        <v>13.070929382057244</v>
      </c>
    </row>
    <row r="839" spans="2:11" ht="15" customHeight="1" x14ac:dyDescent="0.35">
      <c r="B839" s="5">
        <v>818</v>
      </c>
      <c r="C839" s="39">
        <f t="shared" ca="1" si="108"/>
        <v>2.9946318696730923</v>
      </c>
      <c r="D839" s="40">
        <f t="shared" ca="1" si="109"/>
        <v>4566813269.3281155</v>
      </c>
      <c r="E839" s="40">
        <f t="shared" ca="1" si="110"/>
        <v>23705849234197.219</v>
      </c>
      <c r="F839" s="40">
        <f t="shared" ca="1" si="111"/>
        <v>3970008158668.8901</v>
      </c>
      <c r="G839" s="40">
        <f t="shared" ca="1" si="112"/>
        <v>1105872380290.6367</v>
      </c>
      <c r="H839" s="40">
        <f t="shared" ca="1" si="113"/>
        <v>23705849234197.219</v>
      </c>
      <c r="I839" s="40">
        <f t="shared" ca="1" si="114"/>
        <v>3502817285819.1743</v>
      </c>
      <c r="J839" s="40">
        <f t="shared" ca="1" si="115"/>
        <v>1091923507864.1619</v>
      </c>
      <c r="K839" s="41">
        <f t="shared" ca="1" si="116"/>
        <v>3.2079328456539962</v>
      </c>
    </row>
    <row r="840" spans="2:11" ht="15" customHeight="1" x14ac:dyDescent="0.35">
      <c r="B840" s="5">
        <v>819</v>
      </c>
      <c r="C840" s="39">
        <f t="shared" ca="1" si="108"/>
        <v>2.960789823126726</v>
      </c>
      <c r="D840" s="40">
        <f t="shared" ca="1" si="109"/>
        <v>3687130765.6901598</v>
      </c>
      <c r="E840" s="40">
        <f t="shared" ca="1" si="110"/>
        <v>13135970236798.07</v>
      </c>
      <c r="F840" s="40">
        <f t="shared" ca="1" si="111"/>
        <v>1481511172030.6416</v>
      </c>
      <c r="G840" s="40">
        <f t="shared" ca="1" si="112"/>
        <v>9600509975570.6484</v>
      </c>
      <c r="H840" s="40">
        <f t="shared" ca="1" si="113"/>
        <v>9600509975570.6484</v>
      </c>
      <c r="I840" s="40">
        <f t="shared" ca="1" si="114"/>
        <v>1061317100857.6394</v>
      </c>
      <c r="J840" s="40">
        <f t="shared" ca="1" si="115"/>
        <v>1449448281307.2466</v>
      </c>
      <c r="K840" s="41">
        <f t="shared" ca="1" si="116"/>
        <v>0.73222143524875927</v>
      </c>
    </row>
    <row r="841" spans="2:11" ht="15" customHeight="1" x14ac:dyDescent="0.35">
      <c r="B841" s="5">
        <v>820</v>
      </c>
      <c r="C841" s="39">
        <f t="shared" ca="1" si="108"/>
        <v>3.5398611920167475</v>
      </c>
      <c r="D841" s="40">
        <f t="shared" ca="1" si="109"/>
        <v>11707111157.556774</v>
      </c>
      <c r="E841" s="40">
        <f t="shared" ca="1" si="110"/>
        <v>19883611182441.535</v>
      </c>
      <c r="F841" s="40">
        <f t="shared" ca="1" si="111"/>
        <v>13056668168582.076</v>
      </c>
      <c r="G841" s="40">
        <f t="shared" ca="1" si="112"/>
        <v>2206538716929.7178</v>
      </c>
      <c r="H841" s="40">
        <f t="shared" ca="1" si="113"/>
        <v>13056668168582.076</v>
      </c>
      <c r="I841" s="40">
        <f t="shared" ca="1" si="114"/>
        <v>2744154519472.7261</v>
      </c>
      <c r="J841" s="40">
        <f t="shared" ca="1" si="115"/>
        <v>1272032196735.2</v>
      </c>
      <c r="K841" s="41">
        <f t="shared" ca="1" si="116"/>
        <v>2.1572995766269738</v>
      </c>
    </row>
    <row r="842" spans="2:11" ht="15" customHeight="1" x14ac:dyDescent="0.35">
      <c r="B842" s="5">
        <v>821</v>
      </c>
      <c r="C842" s="39">
        <f t="shared" ca="1" si="108"/>
        <v>3.9932014081869558</v>
      </c>
      <c r="D842" s="40">
        <f t="shared" ca="1" si="109"/>
        <v>19987010408.057755</v>
      </c>
      <c r="E842" s="40">
        <f t="shared" ca="1" si="110"/>
        <v>300107701545249.13</v>
      </c>
      <c r="F842" s="40">
        <f t="shared" ca="1" si="111"/>
        <v>816940179978.35327</v>
      </c>
      <c r="G842" s="40">
        <f t="shared" ca="1" si="112"/>
        <v>14775951906561.916</v>
      </c>
      <c r="H842" s="40">
        <f t="shared" ca="1" si="113"/>
        <v>14775951906561.916</v>
      </c>
      <c r="I842" s="40">
        <f t="shared" ca="1" si="114"/>
        <v>46970230249626.961</v>
      </c>
      <c r="J842" s="40">
        <f t="shared" ca="1" si="115"/>
        <v>1196170773458.9324</v>
      </c>
      <c r="K842" s="41">
        <f t="shared" ca="1" si="116"/>
        <v>39.267160920346271</v>
      </c>
    </row>
    <row r="843" spans="2:11" ht="15" customHeight="1" x14ac:dyDescent="0.35">
      <c r="B843" s="5">
        <v>822</v>
      </c>
      <c r="C843" s="39">
        <f t="shared" ca="1" si="108"/>
        <v>2.6328181936862922</v>
      </c>
      <c r="D843" s="40">
        <f t="shared" ca="1" si="109"/>
        <v>2416555398.6229978</v>
      </c>
      <c r="E843" s="40">
        <f t="shared" ca="1" si="110"/>
        <v>14356479718168.678</v>
      </c>
      <c r="F843" s="40">
        <f t="shared" ca="1" si="111"/>
        <v>8514592266292.8223</v>
      </c>
      <c r="G843" s="40">
        <f t="shared" ca="1" si="112"/>
        <v>13245407019982.668</v>
      </c>
      <c r="H843" s="40">
        <f t="shared" ca="1" si="113"/>
        <v>13245407019982.668</v>
      </c>
      <c r="I843" s="40">
        <f t="shared" ca="1" si="114"/>
        <v>122316292657676.52</v>
      </c>
      <c r="J843" s="40">
        <f t="shared" ca="1" si="115"/>
        <v>1178133616176.7876</v>
      </c>
      <c r="K843" s="41">
        <f t="shared" ca="1" si="116"/>
        <v>103.82208857991033</v>
      </c>
    </row>
    <row r="844" spans="2:11" ht="15" customHeight="1" x14ac:dyDescent="0.35">
      <c r="B844" s="5">
        <v>823</v>
      </c>
      <c r="C844" s="39">
        <f t="shared" ca="1" si="108"/>
        <v>3.2111362732822557</v>
      </c>
      <c r="D844" s="40">
        <f t="shared" ca="1" si="109"/>
        <v>5545793043.6901827</v>
      </c>
      <c r="E844" s="40">
        <f t="shared" ca="1" si="110"/>
        <v>9354315478923.8809</v>
      </c>
      <c r="F844" s="40">
        <f t="shared" ca="1" si="111"/>
        <v>3546075484399.8184</v>
      </c>
      <c r="G844" s="40">
        <f t="shared" ca="1" si="112"/>
        <v>6546939123119.835</v>
      </c>
      <c r="H844" s="40">
        <f t="shared" ca="1" si="113"/>
        <v>9354315478923.8809</v>
      </c>
      <c r="I844" s="40">
        <f t="shared" ca="1" si="114"/>
        <v>20886073920113.91</v>
      </c>
      <c r="J844" s="40">
        <f t="shared" ca="1" si="115"/>
        <v>1394395414755.8232</v>
      </c>
      <c r="K844" s="41">
        <f t="shared" ca="1" si="116"/>
        <v>14.978587636686495</v>
      </c>
    </row>
    <row r="845" spans="2:11" ht="15" customHeight="1" x14ac:dyDescent="0.35">
      <c r="B845" s="5">
        <v>824</v>
      </c>
      <c r="C845" s="39">
        <f t="shared" ca="1" si="108"/>
        <v>2.7280338126513941</v>
      </c>
      <c r="D845" s="40">
        <f t="shared" ca="1" si="109"/>
        <v>2717092350.0132456</v>
      </c>
      <c r="E845" s="40">
        <f t="shared" ca="1" si="110"/>
        <v>3250662665498.4253</v>
      </c>
      <c r="F845" s="40">
        <f t="shared" ca="1" si="111"/>
        <v>4046942980585.7334</v>
      </c>
      <c r="G845" s="40">
        <f t="shared" ca="1" si="112"/>
        <v>413496103425376.13</v>
      </c>
      <c r="H845" s="40">
        <f t="shared" ca="1" si="113"/>
        <v>4046942980585.7334</v>
      </c>
      <c r="I845" s="40">
        <f t="shared" ca="1" si="114"/>
        <v>1053499125540.322</v>
      </c>
      <c r="J845" s="40">
        <f t="shared" ca="1" si="115"/>
        <v>1320453399280.5229</v>
      </c>
      <c r="K845" s="41">
        <f t="shared" ca="1" si="116"/>
        <v>0.79783135558918128</v>
      </c>
    </row>
    <row r="846" spans="2:11" ht="15" customHeight="1" x14ac:dyDescent="0.35">
      <c r="B846" s="5">
        <v>825</v>
      </c>
      <c r="C846" s="39">
        <f t="shared" ca="1" si="108"/>
        <v>2.8189938340335083</v>
      </c>
      <c r="D846" s="40">
        <f t="shared" ca="1" si="109"/>
        <v>3518154198.7652121</v>
      </c>
      <c r="E846" s="40">
        <f t="shared" ca="1" si="110"/>
        <v>34193371507067.77</v>
      </c>
      <c r="F846" s="40">
        <f t="shared" ca="1" si="111"/>
        <v>17673972468071.84</v>
      </c>
      <c r="G846" s="40">
        <f t="shared" ca="1" si="112"/>
        <v>11570878755535.215</v>
      </c>
      <c r="H846" s="40">
        <f t="shared" ca="1" si="113"/>
        <v>34193371507067.77</v>
      </c>
      <c r="I846" s="40">
        <f t="shared" ca="1" si="114"/>
        <v>2396566406120.8896</v>
      </c>
      <c r="J846" s="40">
        <f t="shared" ca="1" si="115"/>
        <v>1107357277035.9412</v>
      </c>
      <c r="K846" s="41">
        <f t="shared" ca="1" si="116"/>
        <v>2.164221481016289</v>
      </c>
    </row>
    <row r="847" spans="2:11" ht="15" customHeight="1" x14ac:dyDescent="0.35">
      <c r="B847" s="5">
        <v>826</v>
      </c>
      <c r="C847" s="39">
        <f t="shared" ca="1" si="108"/>
        <v>3.748277774117033</v>
      </c>
      <c r="D847" s="40">
        <f t="shared" ca="1" si="109"/>
        <v>15250083455.484104</v>
      </c>
      <c r="E847" s="40">
        <f t="shared" ca="1" si="110"/>
        <v>102962517710331.5</v>
      </c>
      <c r="F847" s="40">
        <f t="shared" ca="1" si="111"/>
        <v>4200975284941.2729</v>
      </c>
      <c r="G847" s="40">
        <f t="shared" ca="1" si="112"/>
        <v>42288905734327.148</v>
      </c>
      <c r="H847" s="40">
        <f t="shared" ca="1" si="113"/>
        <v>42288905734327.148</v>
      </c>
      <c r="I847" s="40">
        <f t="shared" ca="1" si="114"/>
        <v>2777384761670.2925</v>
      </c>
      <c r="J847" s="40">
        <f t="shared" ca="1" si="115"/>
        <v>1253699640119.322</v>
      </c>
      <c r="K847" s="41">
        <f t="shared" ca="1" si="116"/>
        <v>2.2153510081616936</v>
      </c>
    </row>
    <row r="848" spans="2:11" ht="15" customHeight="1" x14ac:dyDescent="0.35">
      <c r="B848" s="5">
        <v>827</v>
      </c>
      <c r="C848" s="39">
        <f t="shared" ca="1" si="108"/>
        <v>3.6348294006864372</v>
      </c>
      <c r="D848" s="40">
        <f t="shared" ca="1" si="109"/>
        <v>13857502357.398207</v>
      </c>
      <c r="E848" s="40">
        <f t="shared" ca="1" si="110"/>
        <v>125695525983887.94</v>
      </c>
      <c r="F848" s="40">
        <f t="shared" ca="1" si="111"/>
        <v>577020836121.55408</v>
      </c>
      <c r="G848" s="40">
        <f t="shared" ca="1" si="112"/>
        <v>49154652757150.813</v>
      </c>
      <c r="H848" s="40">
        <f t="shared" ca="1" si="113"/>
        <v>577020836121.55408</v>
      </c>
      <c r="I848" s="40">
        <f t="shared" ca="1" si="114"/>
        <v>768037100518.3396</v>
      </c>
      <c r="J848" s="40">
        <f t="shared" ca="1" si="115"/>
        <v>1221292207700.1758</v>
      </c>
      <c r="K848" s="41">
        <f t="shared" ca="1" si="116"/>
        <v>0.6288725136178801</v>
      </c>
    </row>
    <row r="849" spans="2:11" ht="15" customHeight="1" x14ac:dyDescent="0.35">
      <c r="B849" s="5">
        <v>828</v>
      </c>
      <c r="C849" s="39">
        <f t="shared" ca="1" si="108"/>
        <v>2.9018762114346912</v>
      </c>
      <c r="D849" s="40">
        <f t="shared" ca="1" si="109"/>
        <v>3779965082.9155083</v>
      </c>
      <c r="E849" s="40">
        <f t="shared" ca="1" si="110"/>
        <v>8562982904792.1738</v>
      </c>
      <c r="F849" s="40">
        <f t="shared" ca="1" si="111"/>
        <v>13809362426141.41</v>
      </c>
      <c r="G849" s="40">
        <f t="shared" ca="1" si="112"/>
        <v>900610541401.54895</v>
      </c>
      <c r="H849" s="40">
        <f t="shared" ca="1" si="113"/>
        <v>8562982904792.1738</v>
      </c>
      <c r="I849" s="40">
        <f t="shared" ca="1" si="114"/>
        <v>25567591571820.148</v>
      </c>
      <c r="J849" s="40">
        <f t="shared" ca="1" si="115"/>
        <v>976375838381.38794</v>
      </c>
      <c r="K849" s="41">
        <f t="shared" ca="1" si="116"/>
        <v>26.18621904266443</v>
      </c>
    </row>
    <row r="850" spans="2:11" ht="15" customHeight="1" x14ac:dyDescent="0.35">
      <c r="B850" s="5">
        <v>829</v>
      </c>
      <c r="C850" s="39">
        <f t="shared" ca="1" si="108"/>
        <v>3.7347549199309427</v>
      </c>
      <c r="D850" s="40">
        <f t="shared" ca="1" si="109"/>
        <v>14947798351.951994</v>
      </c>
      <c r="E850" s="40">
        <f t="shared" ca="1" si="110"/>
        <v>58177344049236.336</v>
      </c>
      <c r="F850" s="40">
        <f t="shared" ca="1" si="111"/>
        <v>2215779431327.2827</v>
      </c>
      <c r="G850" s="40">
        <f t="shared" ca="1" si="112"/>
        <v>3500554956443.6426</v>
      </c>
      <c r="H850" s="40">
        <f t="shared" ca="1" si="113"/>
        <v>3500554956443.6426</v>
      </c>
      <c r="I850" s="40">
        <f t="shared" ca="1" si="114"/>
        <v>4751579012549.582</v>
      </c>
      <c r="J850" s="40">
        <f t="shared" ca="1" si="115"/>
        <v>1089614562865.2137</v>
      </c>
      <c r="K850" s="41">
        <f t="shared" ca="1" si="116"/>
        <v>4.3607888279824287</v>
      </c>
    </row>
    <row r="851" spans="2:11" ht="15" customHeight="1" x14ac:dyDescent="0.35">
      <c r="B851" s="5">
        <v>830</v>
      </c>
      <c r="C851" s="39">
        <f t="shared" ca="1" si="108"/>
        <v>2.7601522439974051</v>
      </c>
      <c r="D851" s="40">
        <f t="shared" ca="1" si="109"/>
        <v>3592904567.6896539</v>
      </c>
      <c r="E851" s="40">
        <f t="shared" ca="1" si="110"/>
        <v>10564090046819.053</v>
      </c>
      <c r="F851" s="40">
        <f t="shared" ca="1" si="111"/>
        <v>9247412575110.125</v>
      </c>
      <c r="G851" s="40">
        <f t="shared" ca="1" si="112"/>
        <v>24435671468959.305</v>
      </c>
      <c r="H851" s="40">
        <f t="shared" ca="1" si="113"/>
        <v>24435671468959.305</v>
      </c>
      <c r="I851" s="40">
        <f t="shared" ca="1" si="114"/>
        <v>61103050789983.57</v>
      </c>
      <c r="J851" s="40">
        <f t="shared" ca="1" si="115"/>
        <v>1230338566512.981</v>
      </c>
      <c r="K851" s="41">
        <f t="shared" ca="1" si="116"/>
        <v>49.663606793341053</v>
      </c>
    </row>
    <row r="852" spans="2:11" ht="15" customHeight="1" x14ac:dyDescent="0.35">
      <c r="B852" s="5">
        <v>831</v>
      </c>
      <c r="C852" s="39">
        <f t="shared" ca="1" si="108"/>
        <v>3.1404596436863157</v>
      </c>
      <c r="D852" s="40">
        <f t="shared" ca="1" si="109"/>
        <v>4983543814.0512161</v>
      </c>
      <c r="E852" s="40">
        <f t="shared" ca="1" si="110"/>
        <v>11152285505581.592</v>
      </c>
      <c r="F852" s="40">
        <f t="shared" ca="1" si="111"/>
        <v>4352299061736.834</v>
      </c>
      <c r="G852" s="40">
        <f t="shared" ca="1" si="112"/>
        <v>13408663675414.904</v>
      </c>
      <c r="H852" s="40">
        <f t="shared" ca="1" si="113"/>
        <v>13408663675414.904</v>
      </c>
      <c r="I852" s="40">
        <f t="shared" ca="1" si="114"/>
        <v>21456912762425.965</v>
      </c>
      <c r="J852" s="40">
        <f t="shared" ca="1" si="115"/>
        <v>1478770601319.9092</v>
      </c>
      <c r="K852" s="41">
        <f t="shared" ca="1" si="116"/>
        <v>14.50996709244431</v>
      </c>
    </row>
    <row r="853" spans="2:11" ht="15" customHeight="1" x14ac:dyDescent="0.35">
      <c r="B853" s="5">
        <v>832</v>
      </c>
      <c r="C853" s="39">
        <f t="shared" ca="1" si="108"/>
        <v>2.9497260373555809</v>
      </c>
      <c r="D853" s="40">
        <f t="shared" ca="1" si="109"/>
        <v>3977389381.7913203</v>
      </c>
      <c r="E853" s="40">
        <f t="shared" ca="1" si="110"/>
        <v>7844909316191.9131</v>
      </c>
      <c r="F853" s="40">
        <f t="shared" ca="1" si="111"/>
        <v>8241710451094.1758</v>
      </c>
      <c r="G853" s="40">
        <f t="shared" ca="1" si="112"/>
        <v>16734384728797.229</v>
      </c>
      <c r="H853" s="40">
        <f t="shared" ca="1" si="113"/>
        <v>16734384728797.229</v>
      </c>
      <c r="I853" s="40">
        <f t="shared" ca="1" si="114"/>
        <v>19132654247762.117</v>
      </c>
      <c r="J853" s="40">
        <f t="shared" ca="1" si="115"/>
        <v>1320345224137.9448</v>
      </c>
      <c r="K853" s="41">
        <f t="shared" ca="1" si="116"/>
        <v>14.490645247915259</v>
      </c>
    </row>
    <row r="854" spans="2:11" ht="15" customHeight="1" x14ac:dyDescent="0.35">
      <c r="B854" s="5">
        <v>833</v>
      </c>
      <c r="C854" s="39">
        <f t="shared" ref="C854:C917" ca="1" si="117">MEDIAN(1.8,NORMINV(RAND(),$C$7,$D$7),4.5)</f>
        <v>2.5488443172019162</v>
      </c>
      <c r="D854" s="40">
        <f t="shared" ref="D854:D917" ca="1" si="118">($C$8+RAND()*($D$8-$C$8))*C854^5</f>
        <v>1726678251.8337166</v>
      </c>
      <c r="E854" s="40">
        <f t="shared" ref="E854:E917" ca="1" si="119">D854*($C$10+RAND()*($D$10-$C$10))*EXP(NORMINV(RAND(),$C$9,$D$9))*($C$11+RAND()*($D$11-$C$11))</f>
        <v>25478665880074.289</v>
      </c>
      <c r="F854" s="40">
        <f t="shared" ref="F854:F917" ca="1" si="120">EXP(NORMINV(RAND(),$C$12,$D$12))*EXP(NORMINV(RAND(),$C$13,$D$13))</f>
        <v>1937854843293.7976</v>
      </c>
      <c r="G854" s="40">
        <f t="shared" ref="G854:G917" ca="1" si="121">EXP(NORMINV(RAND(),$C$14,$D$14))*($C$15+RAND()*($D$15-$C$15))*EXP(NORMINV(RAND(),$C$16,$D$16))/1000000*31536000</f>
        <v>7530662302375.123</v>
      </c>
      <c r="H854" s="40">
        <f t="shared" ref="H854:H917" ca="1" si="122">CHOOSE(RANDBETWEEN(1,3),E854,F854,G854)</f>
        <v>1937854843293.7976</v>
      </c>
      <c r="I854" s="40">
        <f t="shared" ref="I854:I917" ca="1" si="123">EXP(NORMINV(RAND(),$C$14,$D$14))*($C$15+RAND()*($D$15-$C$15))*60</f>
        <v>1924270383103.262</v>
      </c>
      <c r="J854" s="40">
        <f t="shared" ref="J854:J917" ca="1" si="124">($C$17+RAND()*($D$17-$C$17))*($C$18+RAND()*($D$18-$C$18))</f>
        <v>1024498660844.0043</v>
      </c>
      <c r="K854" s="41">
        <f t="shared" ref="K854:K917" ca="1" si="125">I854/J854</f>
        <v>1.8782556353153319</v>
      </c>
    </row>
    <row r="855" spans="2:11" ht="15" customHeight="1" x14ac:dyDescent="0.35">
      <c r="B855" s="5">
        <v>834</v>
      </c>
      <c r="C855" s="39">
        <f t="shared" ca="1" si="117"/>
        <v>3.2689060670372911</v>
      </c>
      <c r="D855" s="40">
        <f t="shared" ca="1" si="118"/>
        <v>7323388122.4381762</v>
      </c>
      <c r="E855" s="40">
        <f t="shared" ca="1" si="119"/>
        <v>27727505290635.508</v>
      </c>
      <c r="F855" s="40">
        <f t="shared" ca="1" si="120"/>
        <v>5685768277060.4424</v>
      </c>
      <c r="G855" s="40">
        <f t="shared" ca="1" si="121"/>
        <v>88106637931965</v>
      </c>
      <c r="H855" s="40">
        <f t="shared" ca="1" si="122"/>
        <v>5685768277060.4424</v>
      </c>
      <c r="I855" s="40">
        <f t="shared" ca="1" si="123"/>
        <v>5894091594094.5166</v>
      </c>
      <c r="J855" s="40">
        <f t="shared" ca="1" si="124"/>
        <v>1813378125907.7827</v>
      </c>
      <c r="K855" s="41">
        <f t="shared" ca="1" si="125"/>
        <v>3.2503378693530429</v>
      </c>
    </row>
    <row r="856" spans="2:11" ht="15" customHeight="1" x14ac:dyDescent="0.35">
      <c r="B856" s="5">
        <v>835</v>
      </c>
      <c r="C856" s="39">
        <f t="shared" ca="1" si="117"/>
        <v>2.3779704675778888</v>
      </c>
      <c r="D856" s="40">
        <f t="shared" ca="1" si="118"/>
        <v>1521376773.0712385</v>
      </c>
      <c r="E856" s="40">
        <f t="shared" ca="1" si="119"/>
        <v>7976782787160.9492</v>
      </c>
      <c r="F856" s="40">
        <f t="shared" ca="1" si="120"/>
        <v>2401114763233.5703</v>
      </c>
      <c r="G856" s="40">
        <f t="shared" ca="1" si="121"/>
        <v>20198024430176.18</v>
      </c>
      <c r="H856" s="40">
        <f t="shared" ca="1" si="122"/>
        <v>2401114763233.5703</v>
      </c>
      <c r="I856" s="40">
        <f t="shared" ca="1" si="123"/>
        <v>3612929014843.2339</v>
      </c>
      <c r="J856" s="40">
        <f t="shared" ca="1" si="124"/>
        <v>1039812200086.0496</v>
      </c>
      <c r="K856" s="41">
        <f t="shared" ca="1" si="125"/>
        <v>3.4745976384430248</v>
      </c>
    </row>
    <row r="857" spans="2:11" ht="15" customHeight="1" x14ac:dyDescent="0.35">
      <c r="B857" s="5">
        <v>836</v>
      </c>
      <c r="C857" s="39">
        <f t="shared" ca="1" si="117"/>
        <v>2.4394933536862506</v>
      </c>
      <c r="D857" s="40">
        <f t="shared" ca="1" si="118"/>
        <v>1617017161.5793173</v>
      </c>
      <c r="E857" s="40">
        <f t="shared" ca="1" si="119"/>
        <v>5230829586925.9443</v>
      </c>
      <c r="F857" s="40">
        <f t="shared" ca="1" si="120"/>
        <v>5273651443493.7109</v>
      </c>
      <c r="G857" s="40">
        <f t="shared" ca="1" si="121"/>
        <v>52099902953071.844</v>
      </c>
      <c r="H857" s="40">
        <f t="shared" ca="1" si="122"/>
        <v>52099902953071.844</v>
      </c>
      <c r="I857" s="40">
        <f t="shared" ca="1" si="123"/>
        <v>76411397301544.344</v>
      </c>
      <c r="J857" s="40">
        <f t="shared" ca="1" si="124"/>
        <v>1023490125222.3885</v>
      </c>
      <c r="K857" s="41">
        <f t="shared" ca="1" si="125"/>
        <v>74.657679071345541</v>
      </c>
    </row>
    <row r="858" spans="2:11" ht="15" customHeight="1" x14ac:dyDescent="0.35">
      <c r="B858" s="5">
        <v>837</v>
      </c>
      <c r="C858" s="39">
        <f t="shared" ca="1" si="117"/>
        <v>3.1169619789345826</v>
      </c>
      <c r="D858" s="40">
        <f t="shared" ca="1" si="118"/>
        <v>5605527437.905735</v>
      </c>
      <c r="E858" s="40">
        <f t="shared" ca="1" si="119"/>
        <v>14652852834338.9</v>
      </c>
      <c r="F858" s="40">
        <f t="shared" ca="1" si="120"/>
        <v>4984547217546.7021</v>
      </c>
      <c r="G858" s="40">
        <f t="shared" ca="1" si="121"/>
        <v>737166042917.42224</v>
      </c>
      <c r="H858" s="40">
        <f t="shared" ca="1" si="122"/>
        <v>737166042917.42224</v>
      </c>
      <c r="I858" s="40">
        <f t="shared" ca="1" si="123"/>
        <v>1642322221612.1021</v>
      </c>
      <c r="J858" s="40">
        <f t="shared" ca="1" si="124"/>
        <v>422305956491.68103</v>
      </c>
      <c r="K858" s="41">
        <f t="shared" ca="1" si="125"/>
        <v>3.8889392781852794</v>
      </c>
    </row>
    <row r="859" spans="2:11" ht="15" customHeight="1" x14ac:dyDescent="0.35">
      <c r="B859" s="5">
        <v>838</v>
      </c>
      <c r="C859" s="39">
        <f t="shared" ca="1" si="117"/>
        <v>3.4319597954167862</v>
      </c>
      <c r="D859" s="40">
        <f t="shared" ca="1" si="118"/>
        <v>8601563847.3791866</v>
      </c>
      <c r="E859" s="40">
        <f t="shared" ca="1" si="119"/>
        <v>18980056228300.195</v>
      </c>
      <c r="F859" s="40">
        <f t="shared" ca="1" si="120"/>
        <v>9609942890106.6191</v>
      </c>
      <c r="G859" s="40">
        <f t="shared" ca="1" si="121"/>
        <v>5869285447508.9307</v>
      </c>
      <c r="H859" s="40">
        <f t="shared" ca="1" si="122"/>
        <v>5869285447508.9307</v>
      </c>
      <c r="I859" s="40">
        <f t="shared" ca="1" si="123"/>
        <v>20474042655757.68</v>
      </c>
      <c r="J859" s="40">
        <f t="shared" ca="1" si="124"/>
        <v>1534619241964.7124</v>
      </c>
      <c r="K859" s="41">
        <f t="shared" ca="1" si="125"/>
        <v>13.341447895274381</v>
      </c>
    </row>
    <row r="860" spans="2:11" ht="15" customHeight="1" x14ac:dyDescent="0.35">
      <c r="B860" s="5">
        <v>839</v>
      </c>
      <c r="C860" s="39">
        <f t="shared" ca="1" si="117"/>
        <v>2.8622662801961178</v>
      </c>
      <c r="D860" s="40">
        <f t="shared" ca="1" si="118"/>
        <v>3773922968.2363596</v>
      </c>
      <c r="E860" s="40">
        <f t="shared" ca="1" si="119"/>
        <v>6935145653731.2656</v>
      </c>
      <c r="F860" s="40">
        <f t="shared" ca="1" si="120"/>
        <v>10042825040081.188</v>
      </c>
      <c r="G860" s="40">
        <f t="shared" ca="1" si="121"/>
        <v>7965559093613.3408</v>
      </c>
      <c r="H860" s="40">
        <f t="shared" ca="1" si="122"/>
        <v>10042825040081.188</v>
      </c>
      <c r="I860" s="40">
        <f t="shared" ca="1" si="123"/>
        <v>7792550334604.1436</v>
      </c>
      <c r="J860" s="40">
        <f t="shared" ca="1" si="124"/>
        <v>641275616933.82349</v>
      </c>
      <c r="K860" s="41">
        <f t="shared" ca="1" si="125"/>
        <v>12.151639839143138</v>
      </c>
    </row>
    <row r="861" spans="2:11" ht="15" customHeight="1" x14ac:dyDescent="0.35">
      <c r="B861" s="5">
        <v>840</v>
      </c>
      <c r="C861" s="39">
        <f t="shared" ca="1" si="117"/>
        <v>2.6986981740020179</v>
      </c>
      <c r="D861" s="40">
        <f t="shared" ca="1" si="118"/>
        <v>3052165653.6836286</v>
      </c>
      <c r="E861" s="40">
        <f t="shared" ca="1" si="119"/>
        <v>3376475051076.4912</v>
      </c>
      <c r="F861" s="40">
        <f t="shared" ca="1" si="120"/>
        <v>12388941763028.479</v>
      </c>
      <c r="G861" s="40">
        <f t="shared" ca="1" si="121"/>
        <v>1193035276457.5999</v>
      </c>
      <c r="H861" s="40">
        <f t="shared" ca="1" si="122"/>
        <v>12388941763028.479</v>
      </c>
      <c r="I861" s="40">
        <f t="shared" ca="1" si="123"/>
        <v>6211430247452.1172</v>
      </c>
      <c r="J861" s="40">
        <f t="shared" ca="1" si="124"/>
        <v>627276148659.12036</v>
      </c>
      <c r="K861" s="41">
        <f t="shared" ca="1" si="125"/>
        <v>9.9022260940891993</v>
      </c>
    </row>
    <row r="862" spans="2:11" ht="15" customHeight="1" x14ac:dyDescent="0.35">
      <c r="B862" s="5">
        <v>841</v>
      </c>
      <c r="C862" s="39">
        <f t="shared" ca="1" si="117"/>
        <v>2.0829964335089084</v>
      </c>
      <c r="D862" s="40">
        <f t="shared" ca="1" si="118"/>
        <v>876959408.78318989</v>
      </c>
      <c r="E862" s="40">
        <f t="shared" ca="1" si="119"/>
        <v>18635245928265.188</v>
      </c>
      <c r="F862" s="40">
        <f t="shared" ca="1" si="120"/>
        <v>4092015440311.6914</v>
      </c>
      <c r="G862" s="40">
        <f t="shared" ca="1" si="121"/>
        <v>120781674388092.45</v>
      </c>
      <c r="H862" s="40">
        <f t="shared" ca="1" si="122"/>
        <v>4092015440311.6914</v>
      </c>
      <c r="I862" s="40">
        <f t="shared" ca="1" si="123"/>
        <v>8782212200791.9443</v>
      </c>
      <c r="J862" s="40">
        <f t="shared" ca="1" si="124"/>
        <v>637363207810.01453</v>
      </c>
      <c r="K862" s="41">
        <f t="shared" ca="1" si="125"/>
        <v>13.778975775786778</v>
      </c>
    </row>
    <row r="863" spans="2:11" ht="15" customHeight="1" x14ac:dyDescent="0.35">
      <c r="B863" s="5">
        <v>842</v>
      </c>
      <c r="C863" s="39">
        <f t="shared" ca="1" si="117"/>
        <v>3.3900690748271654</v>
      </c>
      <c r="D863" s="40">
        <f t="shared" ca="1" si="118"/>
        <v>10149531823.163334</v>
      </c>
      <c r="E863" s="40">
        <f t="shared" ca="1" si="119"/>
        <v>53148055424064.781</v>
      </c>
      <c r="F863" s="40">
        <f t="shared" ca="1" si="120"/>
        <v>746913014413.45251</v>
      </c>
      <c r="G863" s="40">
        <f t="shared" ca="1" si="121"/>
        <v>97726805026.156433</v>
      </c>
      <c r="H863" s="40">
        <f t="shared" ca="1" si="122"/>
        <v>97726805026.156433</v>
      </c>
      <c r="I863" s="40">
        <f t="shared" ca="1" si="123"/>
        <v>54011762365070.953</v>
      </c>
      <c r="J863" s="40">
        <f t="shared" ca="1" si="124"/>
        <v>858434368314.16248</v>
      </c>
      <c r="K863" s="41">
        <f t="shared" ca="1" si="125"/>
        <v>62.918918858225616</v>
      </c>
    </row>
    <row r="864" spans="2:11" ht="15" customHeight="1" x14ac:dyDescent="0.35">
      <c r="B864" s="5">
        <v>843</v>
      </c>
      <c r="C864" s="39">
        <f t="shared" ca="1" si="117"/>
        <v>2.8128895440853317</v>
      </c>
      <c r="D864" s="40">
        <f t="shared" ca="1" si="118"/>
        <v>3225434514.0277967</v>
      </c>
      <c r="E864" s="40">
        <f t="shared" ca="1" si="119"/>
        <v>9501293185631.4902</v>
      </c>
      <c r="F864" s="40">
        <f t="shared" ca="1" si="120"/>
        <v>1596029163423.7583</v>
      </c>
      <c r="G864" s="40">
        <f t="shared" ca="1" si="121"/>
        <v>2462415388343.2051</v>
      </c>
      <c r="H864" s="40">
        <f t="shared" ca="1" si="122"/>
        <v>2462415388343.2051</v>
      </c>
      <c r="I864" s="40">
        <f t="shared" ca="1" si="123"/>
        <v>3916777072656.7524</v>
      </c>
      <c r="J864" s="40">
        <f t="shared" ca="1" si="124"/>
        <v>1179901731070.7048</v>
      </c>
      <c r="K864" s="41">
        <f t="shared" ca="1" si="125"/>
        <v>3.3195790543526562</v>
      </c>
    </row>
    <row r="865" spans="2:11" ht="15" customHeight="1" x14ac:dyDescent="0.35">
      <c r="B865" s="5">
        <v>844</v>
      </c>
      <c r="C865" s="39">
        <f t="shared" ca="1" si="117"/>
        <v>3.4881048415307783</v>
      </c>
      <c r="D865" s="40">
        <f t="shared" ca="1" si="118"/>
        <v>11365903050.731483</v>
      </c>
      <c r="E865" s="40">
        <f t="shared" ca="1" si="119"/>
        <v>9331099158320.8398</v>
      </c>
      <c r="F865" s="40">
        <f t="shared" ca="1" si="120"/>
        <v>5392534094819.207</v>
      </c>
      <c r="G865" s="40">
        <f t="shared" ca="1" si="121"/>
        <v>748443754743.74268</v>
      </c>
      <c r="H865" s="40">
        <f t="shared" ca="1" si="122"/>
        <v>9331099158320.8398</v>
      </c>
      <c r="I865" s="40">
        <f t="shared" ca="1" si="123"/>
        <v>3023536314097.9771</v>
      </c>
      <c r="J865" s="40">
        <f t="shared" ca="1" si="124"/>
        <v>1296378959483.3562</v>
      </c>
      <c r="K865" s="41">
        <f t="shared" ca="1" si="125"/>
        <v>2.3322935720145765</v>
      </c>
    </row>
    <row r="866" spans="2:11" ht="15" customHeight="1" x14ac:dyDescent="0.35">
      <c r="B866" s="5">
        <v>845</v>
      </c>
      <c r="C866" s="39">
        <f t="shared" ca="1" si="117"/>
        <v>3.1178811697304014</v>
      </c>
      <c r="D866" s="40">
        <f t="shared" ca="1" si="118"/>
        <v>5370804019.7952347</v>
      </c>
      <c r="E866" s="40">
        <f t="shared" ca="1" si="119"/>
        <v>33276206646388.5</v>
      </c>
      <c r="F866" s="40">
        <f t="shared" ca="1" si="120"/>
        <v>3399921480818.5166</v>
      </c>
      <c r="G866" s="40">
        <f t="shared" ca="1" si="121"/>
        <v>163731272545.87485</v>
      </c>
      <c r="H866" s="40">
        <f t="shared" ca="1" si="122"/>
        <v>163731272545.87485</v>
      </c>
      <c r="I866" s="40">
        <f t="shared" ca="1" si="123"/>
        <v>4877884038377.4199</v>
      </c>
      <c r="J866" s="40">
        <f t="shared" ca="1" si="124"/>
        <v>761780178153.87158</v>
      </c>
      <c r="K866" s="41">
        <f t="shared" ca="1" si="125"/>
        <v>6.4032698385493285</v>
      </c>
    </row>
    <row r="867" spans="2:11" ht="15" customHeight="1" x14ac:dyDescent="0.35">
      <c r="B867" s="5">
        <v>846</v>
      </c>
      <c r="C867" s="39">
        <f t="shared" ca="1" si="117"/>
        <v>3.230898219770594</v>
      </c>
      <c r="D867" s="40">
        <f t="shared" ca="1" si="118"/>
        <v>7989842802.8269844</v>
      </c>
      <c r="E867" s="40">
        <f t="shared" ca="1" si="119"/>
        <v>30706635641385.016</v>
      </c>
      <c r="F867" s="40">
        <f t="shared" ca="1" si="120"/>
        <v>6109500315264.9521</v>
      </c>
      <c r="G867" s="40">
        <f t="shared" ca="1" si="121"/>
        <v>4137351435532.2109</v>
      </c>
      <c r="H867" s="40">
        <f t="shared" ca="1" si="122"/>
        <v>30706635641385.016</v>
      </c>
      <c r="I867" s="40">
        <f t="shared" ca="1" si="123"/>
        <v>3081276597178.8564</v>
      </c>
      <c r="J867" s="40">
        <f t="shared" ca="1" si="124"/>
        <v>918208336401.27429</v>
      </c>
      <c r="K867" s="41">
        <f t="shared" ca="1" si="125"/>
        <v>3.3557488807554026</v>
      </c>
    </row>
    <row r="868" spans="2:11" ht="15" customHeight="1" x14ac:dyDescent="0.35">
      <c r="B868" s="5">
        <v>847</v>
      </c>
      <c r="C868" s="39">
        <f t="shared" ca="1" si="117"/>
        <v>2.8754097342400478</v>
      </c>
      <c r="D868" s="40">
        <f t="shared" ca="1" si="118"/>
        <v>3203420756.4863157</v>
      </c>
      <c r="E868" s="40">
        <f t="shared" ca="1" si="119"/>
        <v>7859917302064.8535</v>
      </c>
      <c r="F868" s="40">
        <f t="shared" ca="1" si="120"/>
        <v>2823682873768.3887</v>
      </c>
      <c r="G868" s="40">
        <f t="shared" ca="1" si="121"/>
        <v>5294592787323.7334</v>
      </c>
      <c r="H868" s="40">
        <f t="shared" ca="1" si="122"/>
        <v>5294592787323.7334</v>
      </c>
      <c r="I868" s="40">
        <f t="shared" ca="1" si="123"/>
        <v>6589820611515.042</v>
      </c>
      <c r="J868" s="40">
        <f t="shared" ca="1" si="124"/>
        <v>1044073466039.2729</v>
      </c>
      <c r="K868" s="41">
        <f t="shared" ca="1" si="125"/>
        <v>6.3116445593754467</v>
      </c>
    </row>
    <row r="869" spans="2:11" ht="15" customHeight="1" x14ac:dyDescent="0.35">
      <c r="B869" s="5">
        <v>848</v>
      </c>
      <c r="C869" s="39">
        <f t="shared" ca="1" si="117"/>
        <v>3.2534446524526275</v>
      </c>
      <c r="D869" s="40">
        <f t="shared" ca="1" si="118"/>
        <v>7689444556.7980642</v>
      </c>
      <c r="E869" s="40">
        <f t="shared" ca="1" si="119"/>
        <v>26962604583861.32</v>
      </c>
      <c r="F869" s="40">
        <f t="shared" ca="1" si="120"/>
        <v>18458891386787.922</v>
      </c>
      <c r="G869" s="40">
        <f t="shared" ca="1" si="121"/>
        <v>13332011140283.896</v>
      </c>
      <c r="H869" s="40">
        <f t="shared" ca="1" si="122"/>
        <v>13332011140283.896</v>
      </c>
      <c r="I869" s="40">
        <f t="shared" ca="1" si="123"/>
        <v>1169325254129.8467</v>
      </c>
      <c r="J869" s="40">
        <f t="shared" ca="1" si="124"/>
        <v>626902405202.11902</v>
      </c>
      <c r="K869" s="41">
        <f t="shared" ca="1" si="125"/>
        <v>1.8652428901638136</v>
      </c>
    </row>
    <row r="870" spans="2:11" ht="15" customHeight="1" x14ac:dyDescent="0.35">
      <c r="B870" s="5">
        <v>849</v>
      </c>
      <c r="C870" s="39">
        <f t="shared" ca="1" si="117"/>
        <v>2.7849588149273443</v>
      </c>
      <c r="D870" s="40">
        <f t="shared" ca="1" si="118"/>
        <v>3183190727.4688172</v>
      </c>
      <c r="E870" s="40">
        <f t="shared" ca="1" si="119"/>
        <v>7755445813384.9063</v>
      </c>
      <c r="F870" s="40">
        <f t="shared" ca="1" si="120"/>
        <v>1358172149928.8086</v>
      </c>
      <c r="G870" s="40">
        <f t="shared" ca="1" si="121"/>
        <v>17978211864152.684</v>
      </c>
      <c r="H870" s="40">
        <f t="shared" ca="1" si="122"/>
        <v>7755445813384.9063</v>
      </c>
      <c r="I870" s="40">
        <f t="shared" ca="1" si="123"/>
        <v>9782415848995.668</v>
      </c>
      <c r="J870" s="40">
        <f t="shared" ca="1" si="124"/>
        <v>1030035116334.4333</v>
      </c>
      <c r="K870" s="41">
        <f t="shared" ca="1" si="125"/>
        <v>9.497167323584236</v>
      </c>
    </row>
    <row r="871" spans="2:11" ht="15" customHeight="1" x14ac:dyDescent="0.35">
      <c r="B871" s="5">
        <v>850</v>
      </c>
      <c r="C871" s="39">
        <f t="shared" ca="1" si="117"/>
        <v>2.6595000827325426</v>
      </c>
      <c r="D871" s="40">
        <f t="shared" ca="1" si="118"/>
        <v>3115380373.0854259</v>
      </c>
      <c r="E871" s="40">
        <f t="shared" ca="1" si="119"/>
        <v>3232401367629.9458</v>
      </c>
      <c r="F871" s="40">
        <f t="shared" ca="1" si="120"/>
        <v>5703808828935.1797</v>
      </c>
      <c r="G871" s="40">
        <f t="shared" ca="1" si="121"/>
        <v>160273515694.27951</v>
      </c>
      <c r="H871" s="40">
        <f t="shared" ca="1" si="122"/>
        <v>5703808828935.1797</v>
      </c>
      <c r="I871" s="40">
        <f t="shared" ca="1" si="123"/>
        <v>4600943357466.334</v>
      </c>
      <c r="J871" s="40">
        <f t="shared" ca="1" si="124"/>
        <v>713073593649.30811</v>
      </c>
      <c r="K871" s="41">
        <f t="shared" ca="1" si="125"/>
        <v>6.4522700019222601</v>
      </c>
    </row>
    <row r="872" spans="2:11" ht="15" customHeight="1" x14ac:dyDescent="0.35">
      <c r="B872" s="5">
        <v>851</v>
      </c>
      <c r="C872" s="39">
        <f t="shared" ca="1" si="117"/>
        <v>3.1845528319294711</v>
      </c>
      <c r="D872" s="40">
        <f t="shared" ca="1" si="118"/>
        <v>5544598510.5265961</v>
      </c>
      <c r="E872" s="40">
        <f t="shared" ca="1" si="119"/>
        <v>1702986008245.4846</v>
      </c>
      <c r="F872" s="40">
        <f t="shared" ca="1" si="120"/>
        <v>20182092851290.113</v>
      </c>
      <c r="G872" s="40">
        <f t="shared" ca="1" si="121"/>
        <v>7812512135872.3945</v>
      </c>
      <c r="H872" s="40">
        <f t="shared" ca="1" si="122"/>
        <v>7812512135872.3945</v>
      </c>
      <c r="I872" s="40">
        <f t="shared" ca="1" si="123"/>
        <v>3424431175752.8818</v>
      </c>
      <c r="J872" s="40">
        <f t="shared" ca="1" si="124"/>
        <v>1533703661285.0093</v>
      </c>
      <c r="K872" s="41">
        <f t="shared" ca="1" si="125"/>
        <v>2.2327854214573186</v>
      </c>
    </row>
    <row r="873" spans="2:11" ht="15" customHeight="1" x14ac:dyDescent="0.35">
      <c r="B873" s="5">
        <v>852</v>
      </c>
      <c r="C873" s="39">
        <f t="shared" ca="1" si="117"/>
        <v>3.2530550723904872</v>
      </c>
      <c r="D873" s="40">
        <f t="shared" ca="1" si="118"/>
        <v>8319165302.6945028</v>
      </c>
      <c r="E873" s="40">
        <f t="shared" ca="1" si="119"/>
        <v>111142223969796.84</v>
      </c>
      <c r="F873" s="40">
        <f t="shared" ca="1" si="120"/>
        <v>26966287764475.629</v>
      </c>
      <c r="G873" s="40">
        <f t="shared" ca="1" si="121"/>
        <v>3226540551333.4834</v>
      </c>
      <c r="H873" s="40">
        <f t="shared" ca="1" si="122"/>
        <v>3226540551333.4834</v>
      </c>
      <c r="I873" s="40">
        <f t="shared" ca="1" si="123"/>
        <v>2209575608087.5703</v>
      </c>
      <c r="J873" s="40">
        <f t="shared" ca="1" si="124"/>
        <v>557200304011.51282</v>
      </c>
      <c r="K873" s="41">
        <f t="shared" ca="1" si="125"/>
        <v>3.965496056229568</v>
      </c>
    </row>
    <row r="874" spans="2:11" ht="15" customHeight="1" x14ac:dyDescent="0.35">
      <c r="B874" s="5">
        <v>853</v>
      </c>
      <c r="C874" s="39">
        <f t="shared" ca="1" si="117"/>
        <v>3.5688658920038741</v>
      </c>
      <c r="D874" s="40">
        <f t="shared" ca="1" si="118"/>
        <v>11955545729.443308</v>
      </c>
      <c r="E874" s="40">
        <f t="shared" ca="1" si="119"/>
        <v>37283446562923.844</v>
      </c>
      <c r="F874" s="40">
        <f t="shared" ca="1" si="120"/>
        <v>590390928119.63037</v>
      </c>
      <c r="G874" s="40">
        <f t="shared" ca="1" si="121"/>
        <v>730095246814.90747</v>
      </c>
      <c r="H874" s="40">
        <f t="shared" ca="1" si="122"/>
        <v>730095246814.90747</v>
      </c>
      <c r="I874" s="40">
        <f t="shared" ca="1" si="123"/>
        <v>94207799675800.203</v>
      </c>
      <c r="J874" s="40">
        <f t="shared" ca="1" si="124"/>
        <v>861876351730.13599</v>
      </c>
      <c r="K874" s="41">
        <f t="shared" ca="1" si="125"/>
        <v>109.30546996293248</v>
      </c>
    </row>
    <row r="875" spans="2:11" ht="15" customHeight="1" x14ac:dyDescent="0.35">
      <c r="B875" s="5">
        <v>854</v>
      </c>
      <c r="C875" s="39">
        <f t="shared" ca="1" si="117"/>
        <v>2.8785897371246918</v>
      </c>
      <c r="D875" s="40">
        <f t="shared" ca="1" si="118"/>
        <v>3850833435.8061872</v>
      </c>
      <c r="E875" s="40">
        <f t="shared" ca="1" si="119"/>
        <v>15127483371605.752</v>
      </c>
      <c r="F875" s="40">
        <f t="shared" ca="1" si="120"/>
        <v>4860100177644.751</v>
      </c>
      <c r="G875" s="40">
        <f t="shared" ca="1" si="121"/>
        <v>3166700431698.6392</v>
      </c>
      <c r="H875" s="40">
        <f t="shared" ca="1" si="122"/>
        <v>15127483371605.752</v>
      </c>
      <c r="I875" s="40">
        <f t="shared" ca="1" si="123"/>
        <v>12349901111616.74</v>
      </c>
      <c r="J875" s="40">
        <f t="shared" ca="1" si="124"/>
        <v>897795390014.93787</v>
      </c>
      <c r="K875" s="41">
        <f t="shared" ca="1" si="125"/>
        <v>13.755808115044184</v>
      </c>
    </row>
    <row r="876" spans="2:11" ht="15" customHeight="1" x14ac:dyDescent="0.35">
      <c r="B876" s="5">
        <v>855</v>
      </c>
      <c r="C876" s="39">
        <f t="shared" ca="1" si="117"/>
        <v>4.0858737994491818</v>
      </c>
      <c r="D876" s="40">
        <f t="shared" ca="1" si="118"/>
        <v>20650383373.488708</v>
      </c>
      <c r="E876" s="40">
        <f t="shared" ca="1" si="119"/>
        <v>42324562570357.773</v>
      </c>
      <c r="F876" s="40">
        <f t="shared" ca="1" si="120"/>
        <v>4726901514899.249</v>
      </c>
      <c r="G876" s="40">
        <f t="shared" ca="1" si="121"/>
        <v>4518601433343.4688</v>
      </c>
      <c r="H876" s="40">
        <f t="shared" ca="1" si="122"/>
        <v>42324562570357.773</v>
      </c>
      <c r="I876" s="40">
        <f t="shared" ca="1" si="123"/>
        <v>68871401196706.453</v>
      </c>
      <c r="J876" s="40">
        <f t="shared" ca="1" si="124"/>
        <v>915040941835.42761</v>
      </c>
      <c r="K876" s="41">
        <f t="shared" ca="1" si="125"/>
        <v>75.265923138434985</v>
      </c>
    </row>
    <row r="877" spans="2:11" ht="15" customHeight="1" x14ac:dyDescent="0.35">
      <c r="B877" s="5">
        <v>856</v>
      </c>
      <c r="C877" s="39">
        <f t="shared" ca="1" si="117"/>
        <v>3.1456986860231719</v>
      </c>
      <c r="D877" s="40">
        <f t="shared" ca="1" si="118"/>
        <v>7316602932.3035173</v>
      </c>
      <c r="E877" s="40">
        <f t="shared" ca="1" si="119"/>
        <v>63602756117161.211</v>
      </c>
      <c r="F877" s="40">
        <f t="shared" ca="1" si="120"/>
        <v>7409453323688.2051</v>
      </c>
      <c r="G877" s="40">
        <f t="shared" ca="1" si="121"/>
        <v>292232537413.60724</v>
      </c>
      <c r="H877" s="40">
        <f t="shared" ca="1" si="122"/>
        <v>7409453323688.2051</v>
      </c>
      <c r="I877" s="40">
        <f t="shared" ca="1" si="123"/>
        <v>68331889851882.016</v>
      </c>
      <c r="J877" s="40">
        <f t="shared" ca="1" si="124"/>
        <v>1480061490098.3262</v>
      </c>
      <c r="K877" s="41">
        <f t="shared" ca="1" si="125"/>
        <v>46.168277675640667</v>
      </c>
    </row>
    <row r="878" spans="2:11" ht="15" customHeight="1" x14ac:dyDescent="0.35">
      <c r="B878" s="5">
        <v>857</v>
      </c>
      <c r="C878" s="39">
        <f t="shared" ca="1" si="117"/>
        <v>2.5773450932938271</v>
      </c>
      <c r="D878" s="40">
        <f t="shared" ca="1" si="118"/>
        <v>2357512678.0079021</v>
      </c>
      <c r="E878" s="40">
        <f t="shared" ca="1" si="119"/>
        <v>56352341717814.688</v>
      </c>
      <c r="F878" s="40">
        <f t="shared" ca="1" si="120"/>
        <v>2399243481300.2334</v>
      </c>
      <c r="G878" s="40">
        <f t="shared" ca="1" si="121"/>
        <v>3454392780433.3833</v>
      </c>
      <c r="H878" s="40">
        <f t="shared" ca="1" si="122"/>
        <v>56352341717814.688</v>
      </c>
      <c r="I878" s="40">
        <f t="shared" ca="1" si="123"/>
        <v>2908864826258.167</v>
      </c>
      <c r="J878" s="40">
        <f t="shared" ca="1" si="124"/>
        <v>1068503295166.8632</v>
      </c>
      <c r="K878" s="41">
        <f t="shared" ca="1" si="125"/>
        <v>2.722373285525435</v>
      </c>
    </row>
    <row r="879" spans="2:11" ht="15" customHeight="1" x14ac:dyDescent="0.35">
      <c r="B879" s="5">
        <v>858</v>
      </c>
      <c r="C879" s="39">
        <f t="shared" ca="1" si="117"/>
        <v>2.9765880423416666</v>
      </c>
      <c r="D879" s="40">
        <f t="shared" ca="1" si="118"/>
        <v>5410120632.9917727</v>
      </c>
      <c r="E879" s="40">
        <f t="shared" ca="1" si="119"/>
        <v>19274083106190.648</v>
      </c>
      <c r="F879" s="40">
        <f t="shared" ca="1" si="120"/>
        <v>259407830849.43686</v>
      </c>
      <c r="G879" s="40">
        <f t="shared" ca="1" si="121"/>
        <v>16861802230429.389</v>
      </c>
      <c r="H879" s="40">
        <f t="shared" ca="1" si="122"/>
        <v>19274083106190.648</v>
      </c>
      <c r="I879" s="40">
        <f t="shared" ca="1" si="123"/>
        <v>1578037646563.6382</v>
      </c>
      <c r="J879" s="40">
        <f t="shared" ca="1" si="124"/>
        <v>1467952540048.3562</v>
      </c>
      <c r="K879" s="41">
        <f t="shared" ca="1" si="125"/>
        <v>1.0749922790498769</v>
      </c>
    </row>
    <row r="880" spans="2:11" ht="15" customHeight="1" x14ac:dyDescent="0.35">
      <c r="B880" s="5">
        <v>859</v>
      </c>
      <c r="C880" s="39">
        <f t="shared" ca="1" si="117"/>
        <v>3.1818507311664139</v>
      </c>
      <c r="D880" s="40">
        <f t="shared" ca="1" si="118"/>
        <v>7177991619.690238</v>
      </c>
      <c r="E880" s="40">
        <f t="shared" ca="1" si="119"/>
        <v>14879911282837.979</v>
      </c>
      <c r="F880" s="40">
        <f t="shared" ca="1" si="120"/>
        <v>12824672845964.482</v>
      </c>
      <c r="G880" s="40">
        <f t="shared" ca="1" si="121"/>
        <v>1193512474143.0264</v>
      </c>
      <c r="H880" s="40">
        <f t="shared" ca="1" si="122"/>
        <v>14879911282837.979</v>
      </c>
      <c r="I880" s="40">
        <f t="shared" ca="1" si="123"/>
        <v>2789337926730.6719</v>
      </c>
      <c r="J880" s="40">
        <f t="shared" ca="1" si="124"/>
        <v>881862987783.40063</v>
      </c>
      <c r="K880" s="41">
        <f t="shared" ca="1" si="125"/>
        <v>3.1630060058896325</v>
      </c>
    </row>
    <row r="881" spans="2:11" ht="15" customHeight="1" x14ac:dyDescent="0.35">
      <c r="B881" s="5">
        <v>860</v>
      </c>
      <c r="C881" s="39">
        <f t="shared" ca="1" si="117"/>
        <v>2.7418908598638208</v>
      </c>
      <c r="D881" s="40">
        <f t="shared" ca="1" si="118"/>
        <v>3569503209.7448974</v>
      </c>
      <c r="E881" s="40">
        <f t="shared" ca="1" si="119"/>
        <v>23349677430193.906</v>
      </c>
      <c r="F881" s="40">
        <f t="shared" ca="1" si="120"/>
        <v>3795079437582.6396</v>
      </c>
      <c r="G881" s="40">
        <f t="shared" ca="1" si="121"/>
        <v>2914887088218.2632</v>
      </c>
      <c r="H881" s="40">
        <f t="shared" ca="1" si="122"/>
        <v>23349677430193.906</v>
      </c>
      <c r="I881" s="40">
        <f t="shared" ca="1" si="123"/>
        <v>3168172360801.4756</v>
      </c>
      <c r="J881" s="40">
        <f t="shared" ca="1" si="124"/>
        <v>684169501199.63831</v>
      </c>
      <c r="K881" s="41">
        <f t="shared" ca="1" si="125"/>
        <v>4.6306834128769703</v>
      </c>
    </row>
    <row r="882" spans="2:11" ht="15" customHeight="1" x14ac:dyDescent="0.35">
      <c r="B882" s="5">
        <v>861</v>
      </c>
      <c r="C882" s="39">
        <f t="shared" ca="1" si="117"/>
        <v>3.3130569920405359</v>
      </c>
      <c r="D882" s="40">
        <f t="shared" ca="1" si="118"/>
        <v>8945803515.5228291</v>
      </c>
      <c r="E882" s="40">
        <f t="shared" ca="1" si="119"/>
        <v>69021515148863.992</v>
      </c>
      <c r="F882" s="40">
        <f t="shared" ca="1" si="120"/>
        <v>11800159044876.527</v>
      </c>
      <c r="G882" s="40">
        <f t="shared" ca="1" si="121"/>
        <v>31499484439601.555</v>
      </c>
      <c r="H882" s="40">
        <f t="shared" ca="1" si="122"/>
        <v>11800159044876.527</v>
      </c>
      <c r="I882" s="40">
        <f t="shared" ca="1" si="123"/>
        <v>42863743815940.563</v>
      </c>
      <c r="J882" s="40">
        <f t="shared" ca="1" si="124"/>
        <v>592589884394.39197</v>
      </c>
      <c r="K882" s="41">
        <f t="shared" ca="1" si="125"/>
        <v>72.332898256854222</v>
      </c>
    </row>
    <row r="883" spans="2:11" ht="15" customHeight="1" x14ac:dyDescent="0.35">
      <c r="B883" s="5">
        <v>862</v>
      </c>
      <c r="C883" s="39">
        <f t="shared" ca="1" si="117"/>
        <v>2.5437267200667946</v>
      </c>
      <c r="D883" s="40">
        <f t="shared" ca="1" si="118"/>
        <v>2439899439.6256232</v>
      </c>
      <c r="E883" s="40">
        <f t="shared" ca="1" si="119"/>
        <v>5805935895745.4814</v>
      </c>
      <c r="F883" s="40">
        <f t="shared" ca="1" si="120"/>
        <v>6348551312960.0156</v>
      </c>
      <c r="G883" s="40">
        <f t="shared" ca="1" si="121"/>
        <v>2171194398007.6589</v>
      </c>
      <c r="H883" s="40">
        <f t="shared" ca="1" si="122"/>
        <v>6348551312960.0156</v>
      </c>
      <c r="I883" s="40">
        <f t="shared" ca="1" si="123"/>
        <v>65689830121707.883</v>
      </c>
      <c r="J883" s="40">
        <f t="shared" ca="1" si="124"/>
        <v>1724367196832.2178</v>
      </c>
      <c r="K883" s="41">
        <f t="shared" ca="1" si="125"/>
        <v>38.095035815100552</v>
      </c>
    </row>
    <row r="884" spans="2:11" ht="15" customHeight="1" x14ac:dyDescent="0.35">
      <c r="B884" s="5">
        <v>863</v>
      </c>
      <c r="C884" s="39">
        <f t="shared" ca="1" si="117"/>
        <v>3.086315257695246</v>
      </c>
      <c r="D884" s="40">
        <f t="shared" ca="1" si="118"/>
        <v>4925958238.4782276</v>
      </c>
      <c r="E884" s="40">
        <f t="shared" ca="1" si="119"/>
        <v>28404896312493.168</v>
      </c>
      <c r="F884" s="40">
        <f t="shared" ca="1" si="120"/>
        <v>3134540507780.8066</v>
      </c>
      <c r="G884" s="40">
        <f t="shared" ca="1" si="121"/>
        <v>269600817600.07733</v>
      </c>
      <c r="H884" s="40">
        <f t="shared" ca="1" si="122"/>
        <v>28404896312493.168</v>
      </c>
      <c r="I884" s="40">
        <f t="shared" ca="1" si="123"/>
        <v>12322600395996.279</v>
      </c>
      <c r="J884" s="40">
        <f t="shared" ca="1" si="124"/>
        <v>1603245698039.6841</v>
      </c>
      <c r="K884" s="41">
        <f t="shared" ca="1" si="125"/>
        <v>7.68603365726372</v>
      </c>
    </row>
    <row r="885" spans="2:11" ht="15" customHeight="1" x14ac:dyDescent="0.35">
      <c r="B885" s="5">
        <v>864</v>
      </c>
      <c r="C885" s="39">
        <f t="shared" ca="1" si="117"/>
        <v>2.7147105633237265</v>
      </c>
      <c r="D885" s="40">
        <f t="shared" ca="1" si="118"/>
        <v>3090419687.2495871</v>
      </c>
      <c r="E885" s="40">
        <f t="shared" ca="1" si="119"/>
        <v>15464480860816.57</v>
      </c>
      <c r="F885" s="40">
        <f t="shared" ca="1" si="120"/>
        <v>1166435842793.1782</v>
      </c>
      <c r="G885" s="40">
        <f t="shared" ca="1" si="121"/>
        <v>11834541875885.303</v>
      </c>
      <c r="H885" s="40">
        <f t="shared" ca="1" si="122"/>
        <v>11834541875885.303</v>
      </c>
      <c r="I885" s="40">
        <f t="shared" ca="1" si="123"/>
        <v>28456102333360.918</v>
      </c>
      <c r="J885" s="40">
        <f t="shared" ca="1" si="124"/>
        <v>1076387474123.4072</v>
      </c>
      <c r="K885" s="41">
        <f t="shared" ca="1" si="125"/>
        <v>26.436671753854359</v>
      </c>
    </row>
    <row r="886" spans="2:11" ht="15" customHeight="1" x14ac:dyDescent="0.35">
      <c r="B886" s="5">
        <v>865</v>
      </c>
      <c r="C886" s="39">
        <f t="shared" ca="1" si="117"/>
        <v>3.3516208105844623</v>
      </c>
      <c r="D886" s="40">
        <f t="shared" ca="1" si="118"/>
        <v>8047591198.3385801</v>
      </c>
      <c r="E886" s="40">
        <f t="shared" ca="1" si="119"/>
        <v>78423984011564.125</v>
      </c>
      <c r="F886" s="40">
        <f t="shared" ca="1" si="120"/>
        <v>1472858308582.3408</v>
      </c>
      <c r="G886" s="40">
        <f t="shared" ca="1" si="121"/>
        <v>44745458434579.516</v>
      </c>
      <c r="H886" s="40">
        <f t="shared" ca="1" si="122"/>
        <v>78423984011564.125</v>
      </c>
      <c r="I886" s="40">
        <f t="shared" ca="1" si="123"/>
        <v>7476689351103.1777</v>
      </c>
      <c r="J886" s="40">
        <f t="shared" ca="1" si="124"/>
        <v>1332692165708.7715</v>
      </c>
      <c r="K886" s="41">
        <f t="shared" ca="1" si="125"/>
        <v>5.6102148294139758</v>
      </c>
    </row>
    <row r="887" spans="2:11" ht="15" customHeight="1" x14ac:dyDescent="0.35">
      <c r="B887" s="5">
        <v>866</v>
      </c>
      <c r="C887" s="39">
        <f t="shared" ca="1" si="117"/>
        <v>3.0462852146654527</v>
      </c>
      <c r="D887" s="40">
        <f t="shared" ca="1" si="118"/>
        <v>4587804461.9365921</v>
      </c>
      <c r="E887" s="40">
        <f t="shared" ca="1" si="119"/>
        <v>2743157258170.6362</v>
      </c>
      <c r="F887" s="40">
        <f t="shared" ca="1" si="120"/>
        <v>961057759722.97839</v>
      </c>
      <c r="G887" s="40">
        <f t="shared" ca="1" si="121"/>
        <v>2916275453885.8105</v>
      </c>
      <c r="H887" s="40">
        <f t="shared" ca="1" si="122"/>
        <v>961057759722.97839</v>
      </c>
      <c r="I887" s="40">
        <f t="shared" ca="1" si="123"/>
        <v>18189926977448.402</v>
      </c>
      <c r="J887" s="40">
        <f t="shared" ca="1" si="124"/>
        <v>824641735957.37769</v>
      </c>
      <c r="K887" s="41">
        <f t="shared" ca="1" si="125"/>
        <v>22.05797522039142</v>
      </c>
    </row>
    <row r="888" spans="2:11" ht="15" customHeight="1" x14ac:dyDescent="0.35">
      <c r="B888" s="5">
        <v>867</v>
      </c>
      <c r="C888" s="39">
        <f t="shared" ca="1" si="117"/>
        <v>2.3435561640100335</v>
      </c>
      <c r="D888" s="40">
        <f t="shared" ca="1" si="118"/>
        <v>1194906802.838769</v>
      </c>
      <c r="E888" s="40">
        <f t="shared" ca="1" si="119"/>
        <v>3993315416924.7578</v>
      </c>
      <c r="F888" s="40">
        <f t="shared" ca="1" si="120"/>
        <v>12625111754099.018</v>
      </c>
      <c r="G888" s="40">
        <f t="shared" ca="1" si="121"/>
        <v>2973709269227.0415</v>
      </c>
      <c r="H888" s="40">
        <f t="shared" ca="1" si="122"/>
        <v>2973709269227.0415</v>
      </c>
      <c r="I888" s="40">
        <f t="shared" ca="1" si="123"/>
        <v>2435750781154.1011</v>
      </c>
      <c r="J888" s="40">
        <f t="shared" ca="1" si="124"/>
        <v>779461405416.57263</v>
      </c>
      <c r="K888" s="41">
        <f t="shared" ca="1" si="125"/>
        <v>3.1249151840331941</v>
      </c>
    </row>
    <row r="889" spans="2:11" ht="15" customHeight="1" x14ac:dyDescent="0.35">
      <c r="B889" s="5">
        <v>868</v>
      </c>
      <c r="C889" s="39">
        <f t="shared" ca="1" si="117"/>
        <v>3.1761933522247743</v>
      </c>
      <c r="D889" s="40">
        <f t="shared" ca="1" si="118"/>
        <v>5580085060.5872173</v>
      </c>
      <c r="E889" s="40">
        <f t="shared" ca="1" si="119"/>
        <v>18040164936852.109</v>
      </c>
      <c r="F889" s="40">
        <f t="shared" ca="1" si="120"/>
        <v>2350259906582.5112</v>
      </c>
      <c r="G889" s="40">
        <f t="shared" ca="1" si="121"/>
        <v>186320213590.91989</v>
      </c>
      <c r="H889" s="40">
        <f t="shared" ca="1" si="122"/>
        <v>18040164936852.109</v>
      </c>
      <c r="I889" s="40">
        <f t="shared" ca="1" si="123"/>
        <v>9507349178280.4648</v>
      </c>
      <c r="J889" s="40">
        <f t="shared" ca="1" si="124"/>
        <v>1404518605137.9067</v>
      </c>
      <c r="K889" s="41">
        <f t="shared" ca="1" si="125"/>
        <v>6.7691158689542306</v>
      </c>
    </row>
    <row r="890" spans="2:11" ht="15" customHeight="1" x14ac:dyDescent="0.35">
      <c r="B890" s="5">
        <v>869</v>
      </c>
      <c r="C890" s="39">
        <f t="shared" ca="1" si="117"/>
        <v>2.7750038328890616</v>
      </c>
      <c r="D890" s="40">
        <f t="shared" ca="1" si="118"/>
        <v>3839320519.8703527</v>
      </c>
      <c r="E890" s="40">
        <f t="shared" ca="1" si="119"/>
        <v>6117458252052.5293</v>
      </c>
      <c r="F890" s="40">
        <f t="shared" ca="1" si="120"/>
        <v>1793182039139.9688</v>
      </c>
      <c r="G890" s="40">
        <f t="shared" ca="1" si="121"/>
        <v>55143688301534.375</v>
      </c>
      <c r="H890" s="40">
        <f t="shared" ca="1" si="122"/>
        <v>6117458252052.5293</v>
      </c>
      <c r="I890" s="40">
        <f t="shared" ca="1" si="123"/>
        <v>7463534157208.9668</v>
      </c>
      <c r="J890" s="40">
        <f t="shared" ca="1" si="124"/>
        <v>985429060381.03711</v>
      </c>
      <c r="K890" s="41">
        <f t="shared" ca="1" si="125"/>
        <v>7.5738928932368124</v>
      </c>
    </row>
    <row r="891" spans="2:11" ht="15" customHeight="1" x14ac:dyDescent="0.35">
      <c r="B891" s="5">
        <v>870</v>
      </c>
      <c r="C891" s="39">
        <f t="shared" ca="1" si="117"/>
        <v>3.4176513997958535</v>
      </c>
      <c r="D891" s="40">
        <f t="shared" ca="1" si="118"/>
        <v>9103095112.6998997</v>
      </c>
      <c r="E891" s="40">
        <f t="shared" ca="1" si="119"/>
        <v>5880731153742.9688</v>
      </c>
      <c r="F891" s="40">
        <f t="shared" ca="1" si="120"/>
        <v>403496552259.83136</v>
      </c>
      <c r="G891" s="40">
        <f t="shared" ca="1" si="121"/>
        <v>5918202464563.793</v>
      </c>
      <c r="H891" s="40">
        <f t="shared" ca="1" si="122"/>
        <v>5880731153742.9688</v>
      </c>
      <c r="I891" s="40">
        <f t="shared" ca="1" si="123"/>
        <v>7276988403562.9766</v>
      </c>
      <c r="J891" s="40">
        <f t="shared" ca="1" si="124"/>
        <v>1484429815609.4255</v>
      </c>
      <c r="K891" s="41">
        <f t="shared" ca="1" si="125"/>
        <v>4.9022111567972271</v>
      </c>
    </row>
    <row r="892" spans="2:11" ht="15" customHeight="1" x14ac:dyDescent="0.35">
      <c r="B892" s="5">
        <v>871</v>
      </c>
      <c r="C892" s="39">
        <f t="shared" ca="1" si="117"/>
        <v>3.3413925998845895</v>
      </c>
      <c r="D892" s="40">
        <f t="shared" ca="1" si="118"/>
        <v>6719535772.417676</v>
      </c>
      <c r="E892" s="40">
        <f t="shared" ca="1" si="119"/>
        <v>20268953973458.316</v>
      </c>
      <c r="F892" s="40">
        <f t="shared" ca="1" si="120"/>
        <v>859040719456.02173</v>
      </c>
      <c r="G892" s="40">
        <f t="shared" ca="1" si="121"/>
        <v>2884914667199.854</v>
      </c>
      <c r="H892" s="40">
        <f t="shared" ca="1" si="122"/>
        <v>20268953973458.316</v>
      </c>
      <c r="I892" s="40">
        <f t="shared" ca="1" si="123"/>
        <v>4566390430881.2686</v>
      </c>
      <c r="J892" s="40">
        <f t="shared" ca="1" si="124"/>
        <v>945701097827.40991</v>
      </c>
      <c r="K892" s="41">
        <f t="shared" ca="1" si="125"/>
        <v>4.8285768530583146</v>
      </c>
    </row>
    <row r="893" spans="2:11" ht="15" customHeight="1" x14ac:dyDescent="0.35">
      <c r="B893" s="5">
        <v>872</v>
      </c>
      <c r="C893" s="39">
        <f t="shared" ca="1" si="117"/>
        <v>3.3683133972628325</v>
      </c>
      <c r="D893" s="40">
        <f t="shared" ca="1" si="118"/>
        <v>10373446028.061281</v>
      </c>
      <c r="E893" s="40">
        <f t="shared" ca="1" si="119"/>
        <v>75620906749883.391</v>
      </c>
      <c r="F893" s="40">
        <f t="shared" ca="1" si="120"/>
        <v>24410670051001.121</v>
      </c>
      <c r="G893" s="40">
        <f t="shared" ca="1" si="121"/>
        <v>1625479340634.2783</v>
      </c>
      <c r="H893" s="40">
        <f t="shared" ca="1" si="122"/>
        <v>1625479340634.2783</v>
      </c>
      <c r="I893" s="40">
        <f t="shared" ca="1" si="123"/>
        <v>6339339794053.5645</v>
      </c>
      <c r="J893" s="40">
        <f t="shared" ca="1" si="124"/>
        <v>614607080632.63818</v>
      </c>
      <c r="K893" s="41">
        <f t="shared" ca="1" si="125"/>
        <v>10.314459422641606</v>
      </c>
    </row>
    <row r="894" spans="2:11" ht="15" customHeight="1" x14ac:dyDescent="0.35">
      <c r="B894" s="5">
        <v>873</v>
      </c>
      <c r="C894" s="39">
        <f t="shared" ca="1" si="117"/>
        <v>3.217442559710439</v>
      </c>
      <c r="D894" s="40">
        <f t="shared" ca="1" si="118"/>
        <v>7464294894.6901846</v>
      </c>
      <c r="E894" s="40">
        <f t="shared" ca="1" si="119"/>
        <v>17983506859622.535</v>
      </c>
      <c r="F894" s="40">
        <f t="shared" ca="1" si="120"/>
        <v>6488134954629.6758</v>
      </c>
      <c r="G894" s="40">
        <f t="shared" ca="1" si="121"/>
        <v>6907871315331.7695</v>
      </c>
      <c r="H894" s="40">
        <f t="shared" ca="1" si="122"/>
        <v>6907871315331.7695</v>
      </c>
      <c r="I894" s="40">
        <f t="shared" ca="1" si="123"/>
        <v>9628853794175.3887</v>
      </c>
      <c r="J894" s="40">
        <f t="shared" ca="1" si="124"/>
        <v>1643805319069.1641</v>
      </c>
      <c r="K894" s="41">
        <f t="shared" ca="1" si="125"/>
        <v>5.8576606867459891</v>
      </c>
    </row>
    <row r="895" spans="2:11" ht="15" customHeight="1" x14ac:dyDescent="0.35">
      <c r="B895" s="5">
        <v>874</v>
      </c>
      <c r="C895" s="39">
        <f t="shared" ca="1" si="117"/>
        <v>3.1951899183555614</v>
      </c>
      <c r="D895" s="40">
        <f t="shared" ca="1" si="118"/>
        <v>5519780124.7013969</v>
      </c>
      <c r="E895" s="40">
        <f t="shared" ca="1" si="119"/>
        <v>16638295741440.133</v>
      </c>
      <c r="F895" s="40">
        <f t="shared" ca="1" si="120"/>
        <v>747752975984.83984</v>
      </c>
      <c r="G895" s="40">
        <f t="shared" ca="1" si="121"/>
        <v>69376931105316.391</v>
      </c>
      <c r="H895" s="40">
        <f t="shared" ca="1" si="122"/>
        <v>747752975984.83984</v>
      </c>
      <c r="I895" s="40">
        <f t="shared" ca="1" si="123"/>
        <v>34057016772012.723</v>
      </c>
      <c r="J895" s="40">
        <f t="shared" ca="1" si="124"/>
        <v>1041952281148.2422</v>
      </c>
      <c r="K895" s="41">
        <f t="shared" ca="1" si="125"/>
        <v>32.685773991954349</v>
      </c>
    </row>
    <row r="896" spans="2:11" ht="15" customHeight="1" x14ac:dyDescent="0.35">
      <c r="B896" s="5">
        <v>875</v>
      </c>
      <c r="C896" s="39">
        <f t="shared" ca="1" si="117"/>
        <v>2.4767795825550847</v>
      </c>
      <c r="D896" s="40">
        <f t="shared" ca="1" si="118"/>
        <v>1766168902.8827305</v>
      </c>
      <c r="E896" s="40">
        <f t="shared" ca="1" si="119"/>
        <v>1257758046880.1479</v>
      </c>
      <c r="F896" s="40">
        <f t="shared" ca="1" si="120"/>
        <v>497320239481.3537</v>
      </c>
      <c r="G896" s="40">
        <f t="shared" ca="1" si="121"/>
        <v>1443078490370.467</v>
      </c>
      <c r="H896" s="40">
        <f t="shared" ca="1" si="122"/>
        <v>1443078490370.467</v>
      </c>
      <c r="I896" s="40">
        <f t="shared" ca="1" si="123"/>
        <v>11478860975869.672</v>
      </c>
      <c r="J896" s="40">
        <f t="shared" ca="1" si="124"/>
        <v>909509160262.22473</v>
      </c>
      <c r="K896" s="41">
        <f t="shared" ca="1" si="125"/>
        <v>12.620940478004805</v>
      </c>
    </row>
    <row r="897" spans="2:11" ht="15" customHeight="1" x14ac:dyDescent="0.35">
      <c r="B897" s="5">
        <v>876</v>
      </c>
      <c r="C897" s="39">
        <f t="shared" ca="1" si="117"/>
        <v>3.395103951173188</v>
      </c>
      <c r="D897" s="40">
        <f t="shared" ca="1" si="118"/>
        <v>9809167451.8581429</v>
      </c>
      <c r="E897" s="40">
        <f t="shared" ca="1" si="119"/>
        <v>30042250043161.395</v>
      </c>
      <c r="F897" s="40">
        <f t="shared" ca="1" si="120"/>
        <v>10008006820017.555</v>
      </c>
      <c r="G897" s="40">
        <f t="shared" ca="1" si="121"/>
        <v>1135122588567.4424</v>
      </c>
      <c r="H897" s="40">
        <f t="shared" ca="1" si="122"/>
        <v>10008006820017.555</v>
      </c>
      <c r="I897" s="40">
        <f t="shared" ca="1" si="123"/>
        <v>18745174210876.344</v>
      </c>
      <c r="J897" s="40">
        <f t="shared" ca="1" si="124"/>
        <v>1502980702119.3533</v>
      </c>
      <c r="K897" s="41">
        <f t="shared" ca="1" si="125"/>
        <v>12.471999264158063</v>
      </c>
    </row>
    <row r="898" spans="2:11" ht="15" customHeight="1" x14ac:dyDescent="0.35">
      <c r="B898" s="5">
        <v>877</v>
      </c>
      <c r="C898" s="39">
        <f t="shared" ca="1" si="117"/>
        <v>3.1921711301372042</v>
      </c>
      <c r="D898" s="40">
        <f t="shared" ca="1" si="118"/>
        <v>6078259451.1167917</v>
      </c>
      <c r="E898" s="40">
        <f t="shared" ca="1" si="119"/>
        <v>11830559659336.49</v>
      </c>
      <c r="F898" s="40">
        <f t="shared" ca="1" si="120"/>
        <v>3302858565073.3286</v>
      </c>
      <c r="G898" s="40">
        <f t="shared" ca="1" si="121"/>
        <v>13644665989142.619</v>
      </c>
      <c r="H898" s="40">
        <f t="shared" ca="1" si="122"/>
        <v>11830559659336.49</v>
      </c>
      <c r="I898" s="40">
        <f t="shared" ca="1" si="123"/>
        <v>13893108888334.938</v>
      </c>
      <c r="J898" s="40">
        <f t="shared" ca="1" si="124"/>
        <v>1108960131966.1611</v>
      </c>
      <c r="K898" s="41">
        <f t="shared" ca="1" si="125"/>
        <v>12.528050817934069</v>
      </c>
    </row>
    <row r="899" spans="2:11" ht="15" customHeight="1" x14ac:dyDescent="0.35">
      <c r="B899" s="5">
        <v>878</v>
      </c>
      <c r="C899" s="39">
        <f t="shared" ca="1" si="117"/>
        <v>3.5058042784846988</v>
      </c>
      <c r="D899" s="40">
        <f t="shared" ca="1" si="118"/>
        <v>11527202387.860228</v>
      </c>
      <c r="E899" s="40">
        <f t="shared" ca="1" si="119"/>
        <v>50293399199784.727</v>
      </c>
      <c r="F899" s="40">
        <f t="shared" ca="1" si="120"/>
        <v>20231510444866.25</v>
      </c>
      <c r="G899" s="40">
        <f t="shared" ca="1" si="121"/>
        <v>29759905247799.938</v>
      </c>
      <c r="H899" s="40">
        <f t="shared" ca="1" si="122"/>
        <v>20231510444866.25</v>
      </c>
      <c r="I899" s="40">
        <f t="shared" ca="1" si="123"/>
        <v>7513723842009.7266</v>
      </c>
      <c r="J899" s="40">
        <f t="shared" ca="1" si="124"/>
        <v>1023203272590.526</v>
      </c>
      <c r="K899" s="41">
        <f t="shared" ca="1" si="125"/>
        <v>7.3433344510193246</v>
      </c>
    </row>
    <row r="900" spans="2:11" ht="15" customHeight="1" x14ac:dyDescent="0.35">
      <c r="B900" s="5">
        <v>879</v>
      </c>
      <c r="C900" s="39">
        <f t="shared" ca="1" si="117"/>
        <v>3.3301576174243852</v>
      </c>
      <c r="D900" s="40">
        <f t="shared" ca="1" si="118"/>
        <v>7007526507.2232609</v>
      </c>
      <c r="E900" s="40">
        <f t="shared" ca="1" si="119"/>
        <v>44811548889364.078</v>
      </c>
      <c r="F900" s="40">
        <f t="shared" ca="1" si="120"/>
        <v>584753581110.43274</v>
      </c>
      <c r="G900" s="40">
        <f t="shared" ca="1" si="121"/>
        <v>1259997771177.427</v>
      </c>
      <c r="H900" s="40">
        <f t="shared" ca="1" si="122"/>
        <v>584753581110.43274</v>
      </c>
      <c r="I900" s="40">
        <f t="shared" ca="1" si="123"/>
        <v>1624593313565.7122</v>
      </c>
      <c r="J900" s="40">
        <f t="shared" ca="1" si="124"/>
        <v>675891508310.88928</v>
      </c>
      <c r="K900" s="41">
        <f t="shared" ca="1" si="125"/>
        <v>2.4036303069196858</v>
      </c>
    </row>
    <row r="901" spans="2:11" ht="15" customHeight="1" x14ac:dyDescent="0.35">
      <c r="B901" s="5">
        <v>880</v>
      </c>
      <c r="C901" s="39">
        <f t="shared" ca="1" si="117"/>
        <v>2.9211757119669661</v>
      </c>
      <c r="D901" s="40">
        <f t="shared" ca="1" si="118"/>
        <v>3660308922.1571412</v>
      </c>
      <c r="E901" s="40">
        <f t="shared" ca="1" si="119"/>
        <v>12779314730395.076</v>
      </c>
      <c r="F901" s="40">
        <f t="shared" ca="1" si="120"/>
        <v>5214383461648.7529</v>
      </c>
      <c r="G901" s="40">
        <f t="shared" ca="1" si="121"/>
        <v>60457635302746.555</v>
      </c>
      <c r="H901" s="40">
        <f t="shared" ca="1" si="122"/>
        <v>12779314730395.076</v>
      </c>
      <c r="I901" s="40">
        <f t="shared" ca="1" si="123"/>
        <v>48271411490275.68</v>
      </c>
      <c r="J901" s="40">
        <f t="shared" ca="1" si="124"/>
        <v>558178577756.02844</v>
      </c>
      <c r="K901" s="41">
        <f t="shared" ca="1" si="125"/>
        <v>86.4802294712471</v>
      </c>
    </row>
    <row r="902" spans="2:11" ht="15" customHeight="1" x14ac:dyDescent="0.35">
      <c r="B902" s="5">
        <v>881</v>
      </c>
      <c r="C902" s="39">
        <f t="shared" ca="1" si="117"/>
        <v>2.6581644099092028</v>
      </c>
      <c r="D902" s="40">
        <f t="shared" ca="1" si="118"/>
        <v>2899834459.3138885</v>
      </c>
      <c r="E902" s="40">
        <f t="shared" ca="1" si="119"/>
        <v>8265402533805.1494</v>
      </c>
      <c r="F902" s="40">
        <f t="shared" ca="1" si="120"/>
        <v>970524907080.07617</v>
      </c>
      <c r="G902" s="40">
        <f t="shared" ca="1" si="121"/>
        <v>539890131440.42468</v>
      </c>
      <c r="H902" s="40">
        <f t="shared" ca="1" si="122"/>
        <v>8265402533805.1494</v>
      </c>
      <c r="I902" s="40">
        <f t="shared" ca="1" si="123"/>
        <v>911829802068.45996</v>
      </c>
      <c r="J902" s="40">
        <f t="shared" ca="1" si="124"/>
        <v>722640986224.46399</v>
      </c>
      <c r="K902" s="41">
        <f t="shared" ca="1" si="125"/>
        <v>1.2618019451573577</v>
      </c>
    </row>
    <row r="903" spans="2:11" ht="15" customHeight="1" x14ac:dyDescent="0.35">
      <c r="B903" s="5">
        <v>882</v>
      </c>
      <c r="C903" s="39">
        <f t="shared" ca="1" si="117"/>
        <v>3.2336037107424564</v>
      </c>
      <c r="D903" s="40">
        <f t="shared" ca="1" si="118"/>
        <v>6433055017.2844477</v>
      </c>
      <c r="E903" s="40">
        <f t="shared" ca="1" si="119"/>
        <v>2383857794716.2803</v>
      </c>
      <c r="F903" s="40">
        <f t="shared" ca="1" si="120"/>
        <v>1313963786103.5352</v>
      </c>
      <c r="G903" s="40">
        <f t="shared" ca="1" si="121"/>
        <v>4013667667227.583</v>
      </c>
      <c r="H903" s="40">
        <f t="shared" ca="1" si="122"/>
        <v>2383857794716.2803</v>
      </c>
      <c r="I903" s="40">
        <f t="shared" ca="1" si="123"/>
        <v>4149026089326.9526</v>
      </c>
      <c r="J903" s="40">
        <f t="shared" ca="1" si="124"/>
        <v>650270229434.5769</v>
      </c>
      <c r="K903" s="41">
        <f t="shared" ca="1" si="125"/>
        <v>6.380464461574098</v>
      </c>
    </row>
    <row r="904" spans="2:11" ht="15" customHeight="1" x14ac:dyDescent="0.35">
      <c r="B904" s="5">
        <v>883</v>
      </c>
      <c r="C904" s="39">
        <f t="shared" ca="1" si="117"/>
        <v>3.0373288475832436</v>
      </c>
      <c r="D904" s="40">
        <f t="shared" ca="1" si="118"/>
        <v>4781472507.7055349</v>
      </c>
      <c r="E904" s="40">
        <f t="shared" ca="1" si="119"/>
        <v>10838990305893.758</v>
      </c>
      <c r="F904" s="40">
        <f t="shared" ca="1" si="120"/>
        <v>261976096365.15298</v>
      </c>
      <c r="G904" s="40">
        <f t="shared" ca="1" si="121"/>
        <v>4421841133062.0264</v>
      </c>
      <c r="H904" s="40">
        <f t="shared" ca="1" si="122"/>
        <v>4421841133062.0264</v>
      </c>
      <c r="I904" s="40">
        <f t="shared" ca="1" si="123"/>
        <v>58257901140178.555</v>
      </c>
      <c r="J904" s="40">
        <f t="shared" ca="1" si="124"/>
        <v>1287434897800.7639</v>
      </c>
      <c r="K904" s="41">
        <f t="shared" ca="1" si="125"/>
        <v>45.25114337019798</v>
      </c>
    </row>
    <row r="905" spans="2:11" ht="15" customHeight="1" x14ac:dyDescent="0.35">
      <c r="B905" s="5">
        <v>884</v>
      </c>
      <c r="C905" s="39">
        <f t="shared" ca="1" si="117"/>
        <v>3.1000639301269763</v>
      </c>
      <c r="D905" s="40">
        <f t="shared" ca="1" si="118"/>
        <v>5800507551.7734632</v>
      </c>
      <c r="E905" s="40">
        <f t="shared" ca="1" si="119"/>
        <v>17156331222020.355</v>
      </c>
      <c r="F905" s="40">
        <f t="shared" ca="1" si="120"/>
        <v>737309434299.10364</v>
      </c>
      <c r="G905" s="40">
        <f t="shared" ca="1" si="121"/>
        <v>2233687912736.8286</v>
      </c>
      <c r="H905" s="40">
        <f t="shared" ca="1" si="122"/>
        <v>2233687912736.8286</v>
      </c>
      <c r="I905" s="40">
        <f t="shared" ca="1" si="123"/>
        <v>6708062139545.5938</v>
      </c>
      <c r="J905" s="40">
        <f t="shared" ca="1" si="124"/>
        <v>1513330890652.9382</v>
      </c>
      <c r="K905" s="41">
        <f t="shared" ca="1" si="125"/>
        <v>4.4326473350790776</v>
      </c>
    </row>
    <row r="906" spans="2:11" ht="15" customHeight="1" x14ac:dyDescent="0.35">
      <c r="B906" s="5">
        <v>885</v>
      </c>
      <c r="C906" s="39">
        <f t="shared" ca="1" si="117"/>
        <v>3.3196504448534303</v>
      </c>
      <c r="D906" s="40">
        <f t="shared" ca="1" si="118"/>
        <v>7712001682.3304834</v>
      </c>
      <c r="E906" s="40">
        <f t="shared" ca="1" si="119"/>
        <v>156917147435321.59</v>
      </c>
      <c r="F906" s="40">
        <f t="shared" ca="1" si="120"/>
        <v>626301602562.38892</v>
      </c>
      <c r="G906" s="40">
        <f t="shared" ca="1" si="121"/>
        <v>1870970881630.8242</v>
      </c>
      <c r="H906" s="40">
        <f t="shared" ca="1" si="122"/>
        <v>1870970881630.8242</v>
      </c>
      <c r="I906" s="40">
        <f t="shared" ca="1" si="123"/>
        <v>8042150001326.9092</v>
      </c>
      <c r="J906" s="40">
        <f t="shared" ca="1" si="124"/>
        <v>631727944418.43201</v>
      </c>
      <c r="K906" s="41">
        <f t="shared" ca="1" si="125"/>
        <v>12.730400914479892</v>
      </c>
    </row>
    <row r="907" spans="2:11" ht="15" customHeight="1" x14ac:dyDescent="0.35">
      <c r="B907" s="5">
        <v>886</v>
      </c>
      <c r="C907" s="39">
        <f t="shared" ca="1" si="117"/>
        <v>2.5318079764535688</v>
      </c>
      <c r="D907" s="40">
        <f t="shared" ca="1" si="118"/>
        <v>1674357304.3913758</v>
      </c>
      <c r="E907" s="40">
        <f t="shared" ca="1" si="119"/>
        <v>23250474501383.957</v>
      </c>
      <c r="F907" s="40">
        <f t="shared" ca="1" si="120"/>
        <v>26422517578871.332</v>
      </c>
      <c r="G907" s="40">
        <f t="shared" ca="1" si="121"/>
        <v>5094795990920.5137</v>
      </c>
      <c r="H907" s="40">
        <f t="shared" ca="1" si="122"/>
        <v>26422517578871.332</v>
      </c>
      <c r="I907" s="40">
        <f t="shared" ca="1" si="123"/>
        <v>1243310972575.7893</v>
      </c>
      <c r="J907" s="40">
        <f t="shared" ca="1" si="124"/>
        <v>1340729878145.7576</v>
      </c>
      <c r="K907" s="41">
        <f t="shared" ca="1" si="125"/>
        <v>0.9273389016252106</v>
      </c>
    </row>
    <row r="908" spans="2:11" ht="15" customHeight="1" x14ac:dyDescent="0.35">
      <c r="B908" s="5">
        <v>887</v>
      </c>
      <c r="C908" s="39">
        <f t="shared" ca="1" si="117"/>
        <v>2.8180393763727545</v>
      </c>
      <c r="D908" s="40">
        <f t="shared" ca="1" si="118"/>
        <v>3868870526.4455123</v>
      </c>
      <c r="E908" s="40">
        <f t="shared" ca="1" si="119"/>
        <v>16578647153036.482</v>
      </c>
      <c r="F908" s="40">
        <f t="shared" ca="1" si="120"/>
        <v>2512027376413.5127</v>
      </c>
      <c r="G908" s="40">
        <f t="shared" ca="1" si="121"/>
        <v>67833129358747.375</v>
      </c>
      <c r="H908" s="40">
        <f t="shared" ca="1" si="122"/>
        <v>16578647153036.482</v>
      </c>
      <c r="I908" s="40">
        <f t="shared" ca="1" si="123"/>
        <v>11609997243143.135</v>
      </c>
      <c r="J908" s="40">
        <f t="shared" ca="1" si="124"/>
        <v>1234735462306.97</v>
      </c>
      <c r="K908" s="41">
        <f t="shared" ca="1" si="125"/>
        <v>9.4028215739840402</v>
      </c>
    </row>
    <row r="909" spans="2:11" ht="15" customHeight="1" x14ac:dyDescent="0.35">
      <c r="B909" s="5">
        <v>888</v>
      </c>
      <c r="C909" s="39">
        <f t="shared" ca="1" si="117"/>
        <v>3.2705585866229092</v>
      </c>
      <c r="D909" s="40">
        <f t="shared" ca="1" si="118"/>
        <v>7164922284.25383</v>
      </c>
      <c r="E909" s="40">
        <f t="shared" ca="1" si="119"/>
        <v>59461177200914.313</v>
      </c>
      <c r="F909" s="40">
        <f t="shared" ca="1" si="120"/>
        <v>11227503005391.535</v>
      </c>
      <c r="G909" s="40">
        <f t="shared" ca="1" si="121"/>
        <v>6945085836230.4092</v>
      </c>
      <c r="H909" s="40">
        <f t="shared" ca="1" si="122"/>
        <v>6945085836230.4092</v>
      </c>
      <c r="I909" s="40">
        <f t="shared" ca="1" si="123"/>
        <v>214616680375.48419</v>
      </c>
      <c r="J909" s="40">
        <f t="shared" ca="1" si="124"/>
        <v>646159193704.06445</v>
      </c>
      <c r="K909" s="41">
        <f t="shared" ca="1" si="125"/>
        <v>0.33214211368750851</v>
      </c>
    </row>
    <row r="910" spans="2:11" ht="15" customHeight="1" x14ac:dyDescent="0.35">
      <c r="B910" s="5">
        <v>889</v>
      </c>
      <c r="C910" s="39">
        <f t="shared" ca="1" si="117"/>
        <v>2.7140285130242412</v>
      </c>
      <c r="D910" s="40">
        <f t="shared" ca="1" si="118"/>
        <v>3243163857.6240902</v>
      </c>
      <c r="E910" s="40">
        <f t="shared" ca="1" si="119"/>
        <v>11616460450489.277</v>
      </c>
      <c r="F910" s="40">
        <f t="shared" ca="1" si="120"/>
        <v>4991557654325.8203</v>
      </c>
      <c r="G910" s="40">
        <f t="shared" ca="1" si="121"/>
        <v>8427434502953.6328</v>
      </c>
      <c r="H910" s="40">
        <f t="shared" ca="1" si="122"/>
        <v>4991557654325.8203</v>
      </c>
      <c r="I910" s="40">
        <f t="shared" ca="1" si="123"/>
        <v>7229385552053.5977</v>
      </c>
      <c r="J910" s="40">
        <f t="shared" ca="1" si="124"/>
        <v>1368600744895.1028</v>
      </c>
      <c r="K910" s="41">
        <f t="shared" ca="1" si="125"/>
        <v>5.2823188786205861</v>
      </c>
    </row>
    <row r="911" spans="2:11" ht="15" customHeight="1" x14ac:dyDescent="0.35">
      <c r="B911" s="5">
        <v>890</v>
      </c>
      <c r="C911" s="39">
        <f t="shared" ca="1" si="117"/>
        <v>3.1506383257804305</v>
      </c>
      <c r="D911" s="40">
        <f t="shared" ca="1" si="118"/>
        <v>6522890093.233058</v>
      </c>
      <c r="E911" s="40">
        <f t="shared" ca="1" si="119"/>
        <v>7057416805022.9678</v>
      </c>
      <c r="F911" s="40">
        <f t="shared" ca="1" si="120"/>
        <v>1009501662793.6062</v>
      </c>
      <c r="G911" s="40">
        <f t="shared" ca="1" si="121"/>
        <v>1332143387984.4988</v>
      </c>
      <c r="H911" s="40">
        <f t="shared" ca="1" si="122"/>
        <v>1332143387984.4988</v>
      </c>
      <c r="I911" s="40">
        <f t="shared" ca="1" si="123"/>
        <v>8300785370170.6855</v>
      </c>
      <c r="J911" s="40">
        <f t="shared" ca="1" si="124"/>
        <v>1009742370008.2705</v>
      </c>
      <c r="K911" s="41">
        <f t="shared" ca="1" si="125"/>
        <v>8.2206963050413506</v>
      </c>
    </row>
    <row r="912" spans="2:11" ht="15" customHeight="1" x14ac:dyDescent="0.35">
      <c r="B912" s="5">
        <v>891</v>
      </c>
      <c r="C912" s="39">
        <f t="shared" ca="1" si="117"/>
        <v>2.6349240039869484</v>
      </c>
      <c r="D912" s="40">
        <f t="shared" ca="1" si="118"/>
        <v>2927217520.7194934</v>
      </c>
      <c r="E912" s="40">
        <f t="shared" ca="1" si="119"/>
        <v>43433938025056.359</v>
      </c>
      <c r="F912" s="40">
        <f t="shared" ca="1" si="120"/>
        <v>2844509532352.3823</v>
      </c>
      <c r="G912" s="40">
        <f t="shared" ca="1" si="121"/>
        <v>226168692365.95316</v>
      </c>
      <c r="H912" s="40">
        <f t="shared" ca="1" si="122"/>
        <v>2844509532352.3823</v>
      </c>
      <c r="I912" s="40">
        <f t="shared" ca="1" si="123"/>
        <v>4867127988958.7236</v>
      </c>
      <c r="J912" s="40">
        <f t="shared" ca="1" si="124"/>
        <v>1097469149768.8843</v>
      </c>
      <c r="K912" s="41">
        <f t="shared" ca="1" si="125"/>
        <v>4.4348654264984946</v>
      </c>
    </row>
    <row r="913" spans="2:11" ht="15" customHeight="1" x14ac:dyDescent="0.35">
      <c r="B913" s="5">
        <v>892</v>
      </c>
      <c r="C913" s="39">
        <f t="shared" ca="1" si="117"/>
        <v>3.4413988408193994</v>
      </c>
      <c r="D913" s="40">
        <f t="shared" ca="1" si="118"/>
        <v>10779881327.011082</v>
      </c>
      <c r="E913" s="40">
        <f t="shared" ca="1" si="119"/>
        <v>210581553615872.91</v>
      </c>
      <c r="F913" s="40">
        <f t="shared" ca="1" si="120"/>
        <v>2698067389230.0005</v>
      </c>
      <c r="G913" s="40">
        <f t="shared" ca="1" si="121"/>
        <v>1482824234113.8391</v>
      </c>
      <c r="H913" s="40">
        <f t="shared" ca="1" si="122"/>
        <v>1482824234113.8391</v>
      </c>
      <c r="I913" s="40">
        <f t="shared" ca="1" si="123"/>
        <v>41334281237884.781</v>
      </c>
      <c r="J913" s="40">
        <f t="shared" ca="1" si="124"/>
        <v>1705437979788.5596</v>
      </c>
      <c r="K913" s="41">
        <f t="shared" ca="1" si="125"/>
        <v>24.236754269427852</v>
      </c>
    </row>
    <row r="914" spans="2:11" ht="15" customHeight="1" x14ac:dyDescent="0.35">
      <c r="B914" s="5">
        <v>893</v>
      </c>
      <c r="C914" s="39">
        <f t="shared" ca="1" si="117"/>
        <v>2.568813938213574</v>
      </c>
      <c r="D914" s="40">
        <f t="shared" ca="1" si="118"/>
        <v>1966603338.731122</v>
      </c>
      <c r="E914" s="40">
        <f t="shared" ca="1" si="119"/>
        <v>452372476007.36694</v>
      </c>
      <c r="F914" s="40">
        <f t="shared" ca="1" si="120"/>
        <v>3517739295867.2373</v>
      </c>
      <c r="G914" s="40">
        <f t="shared" ca="1" si="121"/>
        <v>2200075205815.8276</v>
      </c>
      <c r="H914" s="40">
        <f t="shared" ca="1" si="122"/>
        <v>2200075205815.8276</v>
      </c>
      <c r="I914" s="40">
        <f t="shared" ca="1" si="123"/>
        <v>5101954926539.9043</v>
      </c>
      <c r="J914" s="40">
        <f t="shared" ca="1" si="124"/>
        <v>1759800491849.7834</v>
      </c>
      <c r="K914" s="41">
        <f t="shared" ca="1" si="125"/>
        <v>2.8991666669993221</v>
      </c>
    </row>
    <row r="915" spans="2:11" ht="15" customHeight="1" x14ac:dyDescent="0.35">
      <c r="B915" s="5">
        <v>894</v>
      </c>
      <c r="C915" s="39">
        <f t="shared" ca="1" si="117"/>
        <v>2.8604590871163227</v>
      </c>
      <c r="D915" s="40">
        <f t="shared" ca="1" si="118"/>
        <v>3270052538.8494225</v>
      </c>
      <c r="E915" s="40">
        <f t="shared" ca="1" si="119"/>
        <v>16460632400637.924</v>
      </c>
      <c r="F915" s="40">
        <f t="shared" ca="1" si="120"/>
        <v>2121819606046.7458</v>
      </c>
      <c r="G915" s="40">
        <f t="shared" ca="1" si="121"/>
        <v>5535487267174.5039</v>
      </c>
      <c r="H915" s="40">
        <f t="shared" ca="1" si="122"/>
        <v>16460632400637.924</v>
      </c>
      <c r="I915" s="40">
        <f t="shared" ca="1" si="123"/>
        <v>34765392912012.113</v>
      </c>
      <c r="J915" s="40">
        <f t="shared" ca="1" si="124"/>
        <v>1458587246494.5691</v>
      </c>
      <c r="K915" s="41">
        <f t="shared" ca="1" si="125"/>
        <v>23.834976615601143</v>
      </c>
    </row>
    <row r="916" spans="2:11" ht="15" customHeight="1" x14ac:dyDescent="0.35">
      <c r="B916" s="5">
        <v>895</v>
      </c>
      <c r="C916" s="39">
        <f t="shared" ca="1" si="117"/>
        <v>3.1509351571155531</v>
      </c>
      <c r="D916" s="40">
        <f t="shared" ca="1" si="118"/>
        <v>6175612512.3127022</v>
      </c>
      <c r="E916" s="40">
        <f t="shared" ca="1" si="119"/>
        <v>19777303081495.281</v>
      </c>
      <c r="F916" s="40">
        <f t="shared" ca="1" si="120"/>
        <v>163617089240.78168</v>
      </c>
      <c r="G916" s="40">
        <f t="shared" ca="1" si="121"/>
        <v>3123519811430.8999</v>
      </c>
      <c r="H916" s="40">
        <f t="shared" ca="1" si="122"/>
        <v>19777303081495.281</v>
      </c>
      <c r="I916" s="40">
        <f t="shared" ca="1" si="123"/>
        <v>16855913265447.459</v>
      </c>
      <c r="J916" s="40">
        <f t="shared" ca="1" si="124"/>
        <v>1862669501986.6257</v>
      </c>
      <c r="K916" s="41">
        <f t="shared" ca="1" si="125"/>
        <v>9.0493312138679585</v>
      </c>
    </row>
    <row r="917" spans="2:11" ht="15" customHeight="1" x14ac:dyDescent="0.35">
      <c r="B917" s="5">
        <v>896</v>
      </c>
      <c r="C917" s="39">
        <f t="shared" ca="1" si="117"/>
        <v>2.7842614182950411</v>
      </c>
      <c r="D917" s="40">
        <f t="shared" ca="1" si="118"/>
        <v>2946979528.463779</v>
      </c>
      <c r="E917" s="40">
        <f t="shared" ca="1" si="119"/>
        <v>5101325423029.1367</v>
      </c>
      <c r="F917" s="40">
        <f t="shared" ca="1" si="120"/>
        <v>7497890906752.917</v>
      </c>
      <c r="G917" s="40">
        <f t="shared" ca="1" si="121"/>
        <v>695510919745.02942</v>
      </c>
      <c r="H917" s="40">
        <f t="shared" ca="1" si="122"/>
        <v>7497890906752.917</v>
      </c>
      <c r="I917" s="40">
        <f t="shared" ca="1" si="123"/>
        <v>6681730687881.8994</v>
      </c>
      <c r="J917" s="40">
        <f t="shared" ca="1" si="124"/>
        <v>1154704461476.2583</v>
      </c>
      <c r="K917" s="41">
        <f t="shared" ca="1" si="125"/>
        <v>5.786528857210345</v>
      </c>
    </row>
    <row r="918" spans="2:11" ht="15" customHeight="1" x14ac:dyDescent="0.35">
      <c r="B918" s="5">
        <v>897</v>
      </c>
      <c r="C918" s="39">
        <f t="shared" ref="C918:C981" ca="1" si="126">MEDIAN(1.8,NORMINV(RAND(),$C$7,$D$7),4.5)</f>
        <v>3.2420535236750219</v>
      </c>
      <c r="D918" s="40">
        <f t="shared" ref="D918:D981" ca="1" si="127">($C$8+RAND()*($D$8-$C$8))*C918^5</f>
        <v>7304815632.7512941</v>
      </c>
      <c r="E918" s="40">
        <f t="shared" ref="E918:E981" ca="1" si="128">D918*($C$10+RAND()*($D$10-$C$10))*EXP(NORMINV(RAND(),$C$9,$D$9))*($C$11+RAND()*($D$11-$C$11))</f>
        <v>67198311225778.227</v>
      </c>
      <c r="F918" s="40">
        <f t="shared" ref="F918:F981" ca="1" si="129">EXP(NORMINV(RAND(),$C$12,$D$12))*EXP(NORMINV(RAND(),$C$13,$D$13))</f>
        <v>1087458442529.8102</v>
      </c>
      <c r="G918" s="40">
        <f t="shared" ref="G918:G981" ca="1" si="130">EXP(NORMINV(RAND(),$C$14,$D$14))*($C$15+RAND()*($D$15-$C$15))*EXP(NORMINV(RAND(),$C$16,$D$16))/1000000*31536000</f>
        <v>23683683803656.109</v>
      </c>
      <c r="H918" s="40">
        <f t="shared" ref="H918:H981" ca="1" si="131">CHOOSE(RANDBETWEEN(1,3),E918,F918,G918)</f>
        <v>23683683803656.109</v>
      </c>
      <c r="I918" s="40">
        <f t="shared" ref="I918:I981" ca="1" si="132">EXP(NORMINV(RAND(),$C$14,$D$14))*($C$15+RAND()*($D$15-$C$15))*60</f>
        <v>26408183477053.906</v>
      </c>
      <c r="J918" s="40">
        <f t="shared" ref="J918:J981" ca="1" si="133">($C$17+RAND()*($D$17-$C$17))*($C$18+RAND()*($D$18-$C$18))</f>
        <v>782844259004.84949</v>
      </c>
      <c r="K918" s="41">
        <f t="shared" ref="K918:K981" ca="1" si="134">I918/J918</f>
        <v>33.733636254322093</v>
      </c>
    </row>
    <row r="919" spans="2:11" ht="15" customHeight="1" x14ac:dyDescent="0.35">
      <c r="B919" s="5">
        <v>898</v>
      </c>
      <c r="C919" s="39">
        <f t="shared" ca="1" si="126"/>
        <v>2.4107888471069372</v>
      </c>
      <c r="D919" s="40">
        <f t="shared" ca="1" si="127"/>
        <v>1563645951.9083972</v>
      </c>
      <c r="E919" s="40">
        <f t="shared" ca="1" si="128"/>
        <v>32910805025915.242</v>
      </c>
      <c r="F919" s="40">
        <f t="shared" ca="1" si="129"/>
        <v>1610278859961.5254</v>
      </c>
      <c r="G919" s="40">
        <f t="shared" ca="1" si="130"/>
        <v>607062284703.86804</v>
      </c>
      <c r="H919" s="40">
        <f t="shared" ca="1" si="131"/>
        <v>1610278859961.5254</v>
      </c>
      <c r="I919" s="40">
        <f t="shared" ca="1" si="132"/>
        <v>12324430814192.648</v>
      </c>
      <c r="J919" s="40">
        <f t="shared" ca="1" si="133"/>
        <v>690796007967.73547</v>
      </c>
      <c r="K919" s="41">
        <f t="shared" ca="1" si="134"/>
        <v>17.84091203776655</v>
      </c>
    </row>
    <row r="920" spans="2:11" ht="15" customHeight="1" x14ac:dyDescent="0.35">
      <c r="B920" s="5">
        <v>899</v>
      </c>
      <c r="C920" s="39">
        <f t="shared" ca="1" si="126"/>
        <v>2.1944642025078851</v>
      </c>
      <c r="D920" s="40">
        <f t="shared" ca="1" si="127"/>
        <v>835288207.00827301</v>
      </c>
      <c r="E920" s="40">
        <f t="shared" ca="1" si="128"/>
        <v>2680580606557.5864</v>
      </c>
      <c r="F920" s="40">
        <f t="shared" ca="1" si="129"/>
        <v>2409787477130.2471</v>
      </c>
      <c r="G920" s="40">
        <f t="shared" ca="1" si="130"/>
        <v>5796306027780.0322</v>
      </c>
      <c r="H920" s="40">
        <f t="shared" ca="1" si="131"/>
        <v>2409787477130.2471</v>
      </c>
      <c r="I920" s="40">
        <f t="shared" ca="1" si="132"/>
        <v>8312547282499.8691</v>
      </c>
      <c r="J920" s="40">
        <f t="shared" ca="1" si="133"/>
        <v>1144463480441.1287</v>
      </c>
      <c r="K920" s="41">
        <f t="shared" ca="1" si="134"/>
        <v>7.2632700165284723</v>
      </c>
    </row>
    <row r="921" spans="2:11" ht="15" customHeight="1" x14ac:dyDescent="0.35">
      <c r="B921" s="5">
        <v>900</v>
      </c>
      <c r="C921" s="39">
        <f t="shared" ca="1" si="126"/>
        <v>3.1212410747657717</v>
      </c>
      <c r="D921" s="40">
        <f t="shared" ca="1" si="127"/>
        <v>5273809403.7655792</v>
      </c>
      <c r="E921" s="40">
        <f t="shared" ca="1" si="128"/>
        <v>23062311775991.734</v>
      </c>
      <c r="F921" s="40">
        <f t="shared" ca="1" si="129"/>
        <v>3687307671844.6284</v>
      </c>
      <c r="G921" s="40">
        <f t="shared" ca="1" si="130"/>
        <v>68773078520375.57</v>
      </c>
      <c r="H921" s="40">
        <f t="shared" ca="1" si="131"/>
        <v>23062311775991.734</v>
      </c>
      <c r="I921" s="40">
        <f t="shared" ca="1" si="132"/>
        <v>3934096675623.1875</v>
      </c>
      <c r="J921" s="40">
        <f t="shared" ca="1" si="133"/>
        <v>1010591965537.9662</v>
      </c>
      <c r="K921" s="41">
        <f t="shared" ca="1" si="134"/>
        <v>3.8928635985434128</v>
      </c>
    </row>
    <row r="922" spans="2:11" ht="15" customHeight="1" x14ac:dyDescent="0.35">
      <c r="B922" s="5">
        <v>901</v>
      </c>
      <c r="C922" s="39">
        <f t="shared" ca="1" si="126"/>
        <v>3.5053459046977382</v>
      </c>
      <c r="D922" s="40">
        <f t="shared" ca="1" si="127"/>
        <v>11739733501.83567</v>
      </c>
      <c r="E922" s="40">
        <f t="shared" ca="1" si="128"/>
        <v>26818184846737.742</v>
      </c>
      <c r="F922" s="40">
        <f t="shared" ca="1" si="129"/>
        <v>4118888219865.5605</v>
      </c>
      <c r="G922" s="40">
        <f t="shared" ca="1" si="130"/>
        <v>4986121685816.4375</v>
      </c>
      <c r="H922" s="40">
        <f t="shared" ca="1" si="131"/>
        <v>4986121685816.4375</v>
      </c>
      <c r="I922" s="40">
        <f t="shared" ca="1" si="132"/>
        <v>32839112427209.473</v>
      </c>
      <c r="J922" s="40">
        <f t="shared" ca="1" si="133"/>
        <v>874727286167.51294</v>
      </c>
      <c r="K922" s="41">
        <f t="shared" ca="1" si="134"/>
        <v>37.542115064329529</v>
      </c>
    </row>
    <row r="923" spans="2:11" ht="15" customHeight="1" x14ac:dyDescent="0.35">
      <c r="B923" s="5">
        <v>902</v>
      </c>
      <c r="C923" s="39">
        <f t="shared" ca="1" si="126"/>
        <v>3.0973875822529662</v>
      </c>
      <c r="D923" s="40">
        <f t="shared" ca="1" si="127"/>
        <v>6764663956.9573154</v>
      </c>
      <c r="E923" s="40">
        <f t="shared" ca="1" si="128"/>
        <v>26353030208492.336</v>
      </c>
      <c r="F923" s="40">
        <f t="shared" ca="1" si="129"/>
        <v>4421857142507.0205</v>
      </c>
      <c r="G923" s="40">
        <f t="shared" ca="1" si="130"/>
        <v>567708339975.48828</v>
      </c>
      <c r="H923" s="40">
        <f t="shared" ca="1" si="131"/>
        <v>26353030208492.336</v>
      </c>
      <c r="I923" s="40">
        <f t="shared" ca="1" si="132"/>
        <v>11005787944681.678</v>
      </c>
      <c r="J923" s="40">
        <f t="shared" ca="1" si="133"/>
        <v>1479930979259.666</v>
      </c>
      <c r="K923" s="41">
        <f t="shared" ca="1" si="134"/>
        <v>7.4366900206300919</v>
      </c>
    </row>
    <row r="924" spans="2:11" ht="15" customHeight="1" x14ac:dyDescent="0.35">
      <c r="B924" s="5">
        <v>903</v>
      </c>
      <c r="C924" s="39">
        <f t="shared" ca="1" si="126"/>
        <v>2.0424868988671667</v>
      </c>
      <c r="D924" s="40">
        <f t="shared" ca="1" si="127"/>
        <v>804705279.42582917</v>
      </c>
      <c r="E924" s="40">
        <f t="shared" ca="1" si="128"/>
        <v>2132416760651.7126</v>
      </c>
      <c r="F924" s="40">
        <f t="shared" ca="1" si="129"/>
        <v>1703669419722.4961</v>
      </c>
      <c r="G924" s="40">
        <f t="shared" ca="1" si="130"/>
        <v>19036326250208.477</v>
      </c>
      <c r="H924" s="40">
        <f t="shared" ca="1" si="131"/>
        <v>19036326250208.477</v>
      </c>
      <c r="I924" s="40">
        <f t="shared" ca="1" si="132"/>
        <v>1268526572824.1501</v>
      </c>
      <c r="J924" s="40">
        <f t="shared" ca="1" si="133"/>
        <v>1264177445126.3245</v>
      </c>
      <c r="K924" s="41">
        <f t="shared" ca="1" si="134"/>
        <v>1.0034402826237665</v>
      </c>
    </row>
    <row r="925" spans="2:11" ht="15" customHeight="1" x14ac:dyDescent="0.35">
      <c r="B925" s="5">
        <v>904</v>
      </c>
      <c r="C925" s="39">
        <f t="shared" ca="1" si="126"/>
        <v>2.3204273678329965</v>
      </c>
      <c r="D925" s="40">
        <f t="shared" ca="1" si="127"/>
        <v>1225487818.5348444</v>
      </c>
      <c r="E925" s="40">
        <f t="shared" ca="1" si="128"/>
        <v>4439916047262.4727</v>
      </c>
      <c r="F925" s="40">
        <f t="shared" ca="1" si="129"/>
        <v>2414139086629.2529</v>
      </c>
      <c r="G925" s="40">
        <f t="shared" ca="1" si="130"/>
        <v>3431568957593.6313</v>
      </c>
      <c r="H925" s="40">
        <f t="shared" ca="1" si="131"/>
        <v>3431568957593.6313</v>
      </c>
      <c r="I925" s="40">
        <f t="shared" ca="1" si="132"/>
        <v>1780167482104.2827</v>
      </c>
      <c r="J925" s="40">
        <f t="shared" ca="1" si="133"/>
        <v>1072120770982.4714</v>
      </c>
      <c r="K925" s="41">
        <f t="shared" ca="1" si="134"/>
        <v>1.6604169327611948</v>
      </c>
    </row>
    <row r="926" spans="2:11" ht="15" customHeight="1" x14ac:dyDescent="0.35">
      <c r="B926" s="5">
        <v>905</v>
      </c>
      <c r="C926" s="39">
        <f t="shared" ca="1" si="126"/>
        <v>3.0994129684847027</v>
      </c>
      <c r="D926" s="40">
        <f t="shared" ca="1" si="127"/>
        <v>5856656116.5721064</v>
      </c>
      <c r="E926" s="40">
        <f t="shared" ca="1" si="128"/>
        <v>22304334692224.559</v>
      </c>
      <c r="F926" s="40">
        <f t="shared" ca="1" si="129"/>
        <v>1729464038830.9072</v>
      </c>
      <c r="G926" s="40">
        <f t="shared" ca="1" si="130"/>
        <v>128192292218766.56</v>
      </c>
      <c r="H926" s="40">
        <f t="shared" ca="1" si="131"/>
        <v>22304334692224.559</v>
      </c>
      <c r="I926" s="40">
        <f t="shared" ca="1" si="132"/>
        <v>3131493013984.6982</v>
      </c>
      <c r="J926" s="40">
        <f t="shared" ca="1" si="133"/>
        <v>1397240788212.6133</v>
      </c>
      <c r="K926" s="41">
        <f t="shared" ca="1" si="134"/>
        <v>2.241197823884447</v>
      </c>
    </row>
    <row r="927" spans="2:11" ht="15" customHeight="1" x14ac:dyDescent="0.35">
      <c r="B927" s="5">
        <v>906</v>
      </c>
      <c r="C927" s="39">
        <f t="shared" ca="1" si="126"/>
        <v>2.8130425576074116</v>
      </c>
      <c r="D927" s="40">
        <f t="shared" ca="1" si="127"/>
        <v>3277020505.6494651</v>
      </c>
      <c r="E927" s="40">
        <f t="shared" ca="1" si="128"/>
        <v>9661295535983.1836</v>
      </c>
      <c r="F927" s="40">
        <f t="shared" ca="1" si="129"/>
        <v>2504976171727.6201</v>
      </c>
      <c r="G927" s="40">
        <f t="shared" ca="1" si="130"/>
        <v>5794204681332.1865</v>
      </c>
      <c r="H927" s="40">
        <f t="shared" ca="1" si="131"/>
        <v>5794204681332.1865</v>
      </c>
      <c r="I927" s="40">
        <f t="shared" ca="1" si="132"/>
        <v>66599402870760.453</v>
      </c>
      <c r="J927" s="40">
        <f t="shared" ca="1" si="133"/>
        <v>438158677680.10974</v>
      </c>
      <c r="K927" s="41">
        <f t="shared" ca="1" si="134"/>
        <v>151.99836557700965</v>
      </c>
    </row>
    <row r="928" spans="2:11" ht="15" customHeight="1" x14ac:dyDescent="0.35">
      <c r="B928" s="5">
        <v>907</v>
      </c>
      <c r="C928" s="39">
        <f t="shared" ca="1" si="126"/>
        <v>2.9303920604868074</v>
      </c>
      <c r="D928" s="40">
        <f t="shared" ca="1" si="127"/>
        <v>4170941718.4584723</v>
      </c>
      <c r="E928" s="40">
        <f t="shared" ca="1" si="128"/>
        <v>8078832824193.5381</v>
      </c>
      <c r="F928" s="40">
        <f t="shared" ca="1" si="129"/>
        <v>792752745150.91443</v>
      </c>
      <c r="G928" s="40">
        <f t="shared" ca="1" si="130"/>
        <v>854454444054.45898</v>
      </c>
      <c r="H928" s="40">
        <f t="shared" ca="1" si="131"/>
        <v>792752745150.91443</v>
      </c>
      <c r="I928" s="40">
        <f t="shared" ca="1" si="132"/>
        <v>625013299568.23596</v>
      </c>
      <c r="J928" s="40">
        <f t="shared" ca="1" si="133"/>
        <v>729334816436.83374</v>
      </c>
      <c r="K928" s="41">
        <f t="shared" ca="1" si="134"/>
        <v>0.85696347614630453</v>
      </c>
    </row>
    <row r="929" spans="2:11" ht="15" customHeight="1" x14ac:dyDescent="0.35">
      <c r="B929" s="5">
        <v>908</v>
      </c>
      <c r="C929" s="39">
        <f t="shared" ca="1" si="126"/>
        <v>3.0534629215293414</v>
      </c>
      <c r="D929" s="40">
        <f t="shared" ca="1" si="127"/>
        <v>6252176870.7009697</v>
      </c>
      <c r="E929" s="40">
        <f t="shared" ca="1" si="128"/>
        <v>25722415143079.016</v>
      </c>
      <c r="F929" s="40">
        <f t="shared" ca="1" si="129"/>
        <v>4262908873562.8101</v>
      </c>
      <c r="G929" s="40">
        <f t="shared" ca="1" si="130"/>
        <v>1838904475399.4063</v>
      </c>
      <c r="H929" s="40">
        <f t="shared" ca="1" si="131"/>
        <v>25722415143079.016</v>
      </c>
      <c r="I929" s="40">
        <f t="shared" ca="1" si="132"/>
        <v>90418236153431.125</v>
      </c>
      <c r="J929" s="40">
        <f t="shared" ca="1" si="133"/>
        <v>961070209760.29077</v>
      </c>
      <c r="K929" s="41">
        <f t="shared" ca="1" si="134"/>
        <v>94.080781232396291</v>
      </c>
    </row>
    <row r="930" spans="2:11" ht="15" customHeight="1" x14ac:dyDescent="0.35">
      <c r="B930" s="5">
        <v>909</v>
      </c>
      <c r="C930" s="39">
        <f t="shared" ca="1" si="126"/>
        <v>2.3110429043342524</v>
      </c>
      <c r="D930" s="40">
        <f t="shared" ca="1" si="127"/>
        <v>1551453925.4650784</v>
      </c>
      <c r="E930" s="40">
        <f t="shared" ca="1" si="128"/>
        <v>5896072844506.998</v>
      </c>
      <c r="F930" s="40">
        <f t="shared" ca="1" si="129"/>
        <v>2349418870857.7227</v>
      </c>
      <c r="G930" s="40">
        <f t="shared" ca="1" si="130"/>
        <v>35314234337980.336</v>
      </c>
      <c r="H930" s="40">
        <f t="shared" ca="1" si="131"/>
        <v>2349418870857.7227</v>
      </c>
      <c r="I930" s="40">
        <f t="shared" ca="1" si="132"/>
        <v>494663502814.12134</v>
      </c>
      <c r="J930" s="40">
        <f t="shared" ca="1" si="133"/>
        <v>1611344086055.2427</v>
      </c>
      <c r="K930" s="41">
        <f t="shared" ca="1" si="134"/>
        <v>0.30698812692769734</v>
      </c>
    </row>
    <row r="931" spans="2:11" ht="15" customHeight="1" x14ac:dyDescent="0.35">
      <c r="B931" s="5">
        <v>910</v>
      </c>
      <c r="C931" s="39">
        <f t="shared" ca="1" si="126"/>
        <v>3.3550732617446211</v>
      </c>
      <c r="D931" s="40">
        <f t="shared" ca="1" si="127"/>
        <v>9879074477.8739262</v>
      </c>
      <c r="E931" s="40">
        <f t="shared" ca="1" si="128"/>
        <v>30944795617734.938</v>
      </c>
      <c r="F931" s="40">
        <f t="shared" ca="1" si="129"/>
        <v>3904757074302.521</v>
      </c>
      <c r="G931" s="40">
        <f t="shared" ca="1" si="130"/>
        <v>12722982943796.664</v>
      </c>
      <c r="H931" s="40">
        <f t="shared" ca="1" si="131"/>
        <v>3904757074302.521</v>
      </c>
      <c r="I931" s="40">
        <f t="shared" ca="1" si="132"/>
        <v>10244761175908.467</v>
      </c>
      <c r="J931" s="40">
        <f t="shared" ca="1" si="133"/>
        <v>667207988691.9989</v>
      </c>
      <c r="K931" s="41">
        <f t="shared" ca="1" si="134"/>
        <v>15.354674028997161</v>
      </c>
    </row>
    <row r="932" spans="2:11" ht="15" customHeight="1" x14ac:dyDescent="0.35">
      <c r="B932" s="5">
        <v>911</v>
      </c>
      <c r="C932" s="39">
        <f t="shared" ca="1" si="126"/>
        <v>3.0510311355867836</v>
      </c>
      <c r="D932" s="40">
        <f t="shared" ca="1" si="127"/>
        <v>4857666463.0555506</v>
      </c>
      <c r="E932" s="40">
        <f t="shared" ca="1" si="128"/>
        <v>9141183114465.6836</v>
      </c>
      <c r="F932" s="40">
        <f t="shared" ca="1" si="129"/>
        <v>1648063980240.1951</v>
      </c>
      <c r="G932" s="40">
        <f t="shared" ca="1" si="130"/>
        <v>2145110463522.0901</v>
      </c>
      <c r="H932" s="40">
        <f t="shared" ca="1" si="131"/>
        <v>1648063980240.1951</v>
      </c>
      <c r="I932" s="40">
        <f t="shared" ca="1" si="132"/>
        <v>23530400853176.531</v>
      </c>
      <c r="J932" s="40">
        <f t="shared" ca="1" si="133"/>
        <v>892611335964.44495</v>
      </c>
      <c r="K932" s="41">
        <f t="shared" ca="1" si="134"/>
        <v>26.361306321247312</v>
      </c>
    </row>
    <row r="933" spans="2:11" ht="15" customHeight="1" x14ac:dyDescent="0.35">
      <c r="B933" s="5">
        <v>912</v>
      </c>
      <c r="C933" s="39">
        <f t="shared" ca="1" si="126"/>
        <v>2.9027102231123836</v>
      </c>
      <c r="D933" s="40">
        <f t="shared" ca="1" si="127"/>
        <v>4117761644.5419431</v>
      </c>
      <c r="E933" s="40">
        <f t="shared" ca="1" si="128"/>
        <v>14698371002982.131</v>
      </c>
      <c r="F933" s="40">
        <f t="shared" ca="1" si="129"/>
        <v>3013752502619.5933</v>
      </c>
      <c r="G933" s="40">
        <f t="shared" ca="1" si="130"/>
        <v>2462795639221.5933</v>
      </c>
      <c r="H933" s="40">
        <f t="shared" ca="1" si="131"/>
        <v>3013752502619.5933</v>
      </c>
      <c r="I933" s="40">
        <f t="shared" ca="1" si="132"/>
        <v>13657966160681.797</v>
      </c>
      <c r="J933" s="40">
        <f t="shared" ca="1" si="133"/>
        <v>1713531866734.5239</v>
      </c>
      <c r="K933" s="41">
        <f t="shared" ca="1" si="134"/>
        <v>7.970651976674219</v>
      </c>
    </row>
    <row r="934" spans="2:11" ht="15" customHeight="1" x14ac:dyDescent="0.35">
      <c r="B934" s="5">
        <v>913</v>
      </c>
      <c r="C934" s="39">
        <f t="shared" ca="1" si="126"/>
        <v>3.1107404175985103</v>
      </c>
      <c r="D934" s="40">
        <f t="shared" ca="1" si="127"/>
        <v>4799055672.2026939</v>
      </c>
      <c r="E934" s="40">
        <f t="shared" ca="1" si="128"/>
        <v>23421118199062.77</v>
      </c>
      <c r="F934" s="40">
        <f t="shared" ca="1" si="129"/>
        <v>2104025366807.3479</v>
      </c>
      <c r="G934" s="40">
        <f t="shared" ca="1" si="130"/>
        <v>986972613285.70618</v>
      </c>
      <c r="H934" s="40">
        <f t="shared" ca="1" si="131"/>
        <v>23421118199062.77</v>
      </c>
      <c r="I934" s="40">
        <f t="shared" ca="1" si="132"/>
        <v>16220786158345.258</v>
      </c>
      <c r="J934" s="40">
        <f t="shared" ca="1" si="133"/>
        <v>562190475131.02332</v>
      </c>
      <c r="K934" s="41">
        <f t="shared" ca="1" si="134"/>
        <v>28.852829914211664</v>
      </c>
    </row>
    <row r="935" spans="2:11" ht="15" customHeight="1" x14ac:dyDescent="0.35">
      <c r="B935" s="5">
        <v>914</v>
      </c>
      <c r="C935" s="39">
        <f t="shared" ca="1" si="126"/>
        <v>3.6994003013248635</v>
      </c>
      <c r="D935" s="40">
        <f t="shared" ca="1" si="127"/>
        <v>15709058814.746254</v>
      </c>
      <c r="E935" s="40">
        <f t="shared" ca="1" si="128"/>
        <v>73623155218087.828</v>
      </c>
      <c r="F935" s="40">
        <f t="shared" ca="1" si="129"/>
        <v>10302955837167.377</v>
      </c>
      <c r="G935" s="40">
        <f t="shared" ca="1" si="130"/>
        <v>5454793609675.2314</v>
      </c>
      <c r="H935" s="40">
        <f t="shared" ca="1" si="131"/>
        <v>5454793609675.2314</v>
      </c>
      <c r="I935" s="40">
        <f t="shared" ca="1" si="132"/>
        <v>66372539166782.961</v>
      </c>
      <c r="J935" s="40">
        <f t="shared" ca="1" si="133"/>
        <v>664747714733.72595</v>
      </c>
      <c r="K935" s="41">
        <f t="shared" ca="1" si="134"/>
        <v>99.846208863417331</v>
      </c>
    </row>
    <row r="936" spans="2:11" ht="15" customHeight="1" x14ac:dyDescent="0.35">
      <c r="B936" s="5">
        <v>915</v>
      </c>
      <c r="C936" s="39">
        <f t="shared" ca="1" si="126"/>
        <v>3.4544752943804404</v>
      </c>
      <c r="D936" s="40">
        <f t="shared" ca="1" si="127"/>
        <v>11595375916.807276</v>
      </c>
      <c r="E936" s="40">
        <f t="shared" ca="1" si="128"/>
        <v>44480967761938.641</v>
      </c>
      <c r="F936" s="40">
        <f t="shared" ca="1" si="129"/>
        <v>3107257618528.2266</v>
      </c>
      <c r="G936" s="40">
        <f t="shared" ca="1" si="130"/>
        <v>3237517062521.2598</v>
      </c>
      <c r="H936" s="40">
        <f t="shared" ca="1" si="131"/>
        <v>44480967761938.641</v>
      </c>
      <c r="I936" s="40">
        <f t="shared" ca="1" si="132"/>
        <v>29177517113055.684</v>
      </c>
      <c r="J936" s="40">
        <f t="shared" ca="1" si="133"/>
        <v>1306717575194.7051</v>
      </c>
      <c r="K936" s="41">
        <f t="shared" ca="1" si="134"/>
        <v>22.328862538416644</v>
      </c>
    </row>
    <row r="937" spans="2:11" ht="15" customHeight="1" x14ac:dyDescent="0.35">
      <c r="B937" s="5">
        <v>916</v>
      </c>
      <c r="C937" s="39">
        <f t="shared" ca="1" si="126"/>
        <v>3.1061617597480571</v>
      </c>
      <c r="D937" s="40">
        <f t="shared" ca="1" si="127"/>
        <v>5081731484.2521515</v>
      </c>
      <c r="E937" s="40">
        <f t="shared" ca="1" si="128"/>
        <v>1196213723248.3862</v>
      </c>
      <c r="F937" s="40">
        <f t="shared" ca="1" si="129"/>
        <v>2864595259077.5879</v>
      </c>
      <c r="G937" s="40">
        <f t="shared" ca="1" si="130"/>
        <v>483870849808.11981</v>
      </c>
      <c r="H937" s="40">
        <f t="shared" ca="1" si="131"/>
        <v>1196213723248.3862</v>
      </c>
      <c r="I937" s="40">
        <f t="shared" ca="1" si="132"/>
        <v>1978909530777.7139</v>
      </c>
      <c r="J937" s="40">
        <f t="shared" ca="1" si="133"/>
        <v>721533910387.20374</v>
      </c>
      <c r="K937" s="41">
        <f t="shared" ca="1" si="134"/>
        <v>2.7426424486629499</v>
      </c>
    </row>
    <row r="938" spans="2:11" ht="15" customHeight="1" x14ac:dyDescent="0.35">
      <c r="B938" s="5">
        <v>917</v>
      </c>
      <c r="C938" s="39">
        <f t="shared" ca="1" si="126"/>
        <v>2.4181021666258147</v>
      </c>
      <c r="D938" s="40">
        <f t="shared" ca="1" si="127"/>
        <v>1401661836.1418533</v>
      </c>
      <c r="E938" s="40">
        <f t="shared" ca="1" si="128"/>
        <v>10063910533767.613</v>
      </c>
      <c r="F938" s="40">
        <f t="shared" ca="1" si="129"/>
        <v>40263735843867</v>
      </c>
      <c r="G938" s="40">
        <f t="shared" ca="1" si="130"/>
        <v>7623882720330.5576</v>
      </c>
      <c r="H938" s="40">
        <f t="shared" ca="1" si="131"/>
        <v>7623882720330.5576</v>
      </c>
      <c r="I938" s="40">
        <f t="shared" ca="1" si="132"/>
        <v>6425745315932.6973</v>
      </c>
      <c r="J938" s="40">
        <f t="shared" ca="1" si="133"/>
        <v>1059494906805.7239</v>
      </c>
      <c r="K938" s="41">
        <f t="shared" ca="1" si="134"/>
        <v>6.0649138326730672</v>
      </c>
    </row>
    <row r="939" spans="2:11" ht="15" customHeight="1" x14ac:dyDescent="0.35">
      <c r="B939" s="5">
        <v>918</v>
      </c>
      <c r="C939" s="39">
        <f t="shared" ca="1" si="126"/>
        <v>2.7999067065387102</v>
      </c>
      <c r="D939" s="40">
        <f t="shared" ca="1" si="127"/>
        <v>3842508734.1011925</v>
      </c>
      <c r="E939" s="40">
        <f t="shared" ca="1" si="128"/>
        <v>11843905488190</v>
      </c>
      <c r="F939" s="40">
        <f t="shared" ca="1" si="129"/>
        <v>14418248703572.893</v>
      </c>
      <c r="G939" s="40">
        <f t="shared" ca="1" si="130"/>
        <v>2656589773721.8457</v>
      </c>
      <c r="H939" s="40">
        <f t="shared" ca="1" si="131"/>
        <v>14418248703572.893</v>
      </c>
      <c r="I939" s="40">
        <f t="shared" ca="1" si="132"/>
        <v>5020559712936.3799</v>
      </c>
      <c r="J939" s="40">
        <f t="shared" ca="1" si="133"/>
        <v>743763616423.93066</v>
      </c>
      <c r="K939" s="41">
        <f t="shared" ca="1" si="134"/>
        <v>6.7502088056896286</v>
      </c>
    </row>
    <row r="940" spans="2:11" ht="15" customHeight="1" x14ac:dyDescent="0.35">
      <c r="B940" s="5">
        <v>919</v>
      </c>
      <c r="C940" s="39">
        <f t="shared" ca="1" si="126"/>
        <v>3.2973885800331302</v>
      </c>
      <c r="D940" s="40">
        <f t="shared" ca="1" si="127"/>
        <v>6581601100.8228817</v>
      </c>
      <c r="E940" s="40">
        <f t="shared" ca="1" si="128"/>
        <v>48703288876291.75</v>
      </c>
      <c r="F940" s="40">
        <f t="shared" ca="1" si="129"/>
        <v>8718324633298.1807</v>
      </c>
      <c r="G940" s="40">
        <f t="shared" ca="1" si="130"/>
        <v>1139677232662.2817</v>
      </c>
      <c r="H940" s="40">
        <f t="shared" ca="1" si="131"/>
        <v>1139677232662.2817</v>
      </c>
      <c r="I940" s="40">
        <f t="shared" ca="1" si="132"/>
        <v>4766634155586.0283</v>
      </c>
      <c r="J940" s="40">
        <f t="shared" ca="1" si="133"/>
        <v>938998699187.78333</v>
      </c>
      <c r="K940" s="41">
        <f t="shared" ca="1" si="134"/>
        <v>5.0762947379044077</v>
      </c>
    </row>
    <row r="941" spans="2:11" ht="15" customHeight="1" x14ac:dyDescent="0.35">
      <c r="B941" s="5">
        <v>920</v>
      </c>
      <c r="C941" s="39">
        <f t="shared" ca="1" si="126"/>
        <v>3.4884571959757884</v>
      </c>
      <c r="D941" s="40">
        <f t="shared" ca="1" si="127"/>
        <v>10927191902.072193</v>
      </c>
      <c r="E941" s="40">
        <f t="shared" ca="1" si="128"/>
        <v>13923574611215.898</v>
      </c>
      <c r="F941" s="40">
        <f t="shared" ca="1" si="129"/>
        <v>3586469299341.9199</v>
      </c>
      <c r="G941" s="40">
        <f t="shared" ca="1" si="130"/>
        <v>1135896305477.676</v>
      </c>
      <c r="H941" s="40">
        <f t="shared" ca="1" si="131"/>
        <v>3586469299341.9199</v>
      </c>
      <c r="I941" s="40">
        <f t="shared" ca="1" si="132"/>
        <v>3279632340433.3042</v>
      </c>
      <c r="J941" s="40">
        <f t="shared" ca="1" si="133"/>
        <v>1162436366092.2256</v>
      </c>
      <c r="K941" s="41">
        <f t="shared" ca="1" si="134"/>
        <v>2.8213435471383939</v>
      </c>
    </row>
    <row r="942" spans="2:11" ht="15" customHeight="1" x14ac:dyDescent="0.35">
      <c r="B942" s="5">
        <v>921</v>
      </c>
      <c r="C942" s="39">
        <f t="shared" ca="1" si="126"/>
        <v>3.1062284894497205</v>
      </c>
      <c r="D942" s="40">
        <f t="shared" ca="1" si="127"/>
        <v>5081397272.055747</v>
      </c>
      <c r="E942" s="40">
        <f t="shared" ca="1" si="128"/>
        <v>8864258749921.1328</v>
      </c>
      <c r="F942" s="40">
        <f t="shared" ca="1" si="129"/>
        <v>1384267780252.1729</v>
      </c>
      <c r="G942" s="40">
        <f t="shared" ca="1" si="130"/>
        <v>12570063701638.926</v>
      </c>
      <c r="H942" s="40">
        <f t="shared" ca="1" si="131"/>
        <v>1384267780252.1729</v>
      </c>
      <c r="I942" s="40">
        <f t="shared" ca="1" si="132"/>
        <v>19213151137618.859</v>
      </c>
      <c r="J942" s="40">
        <f t="shared" ca="1" si="133"/>
        <v>1214211631285.4822</v>
      </c>
      <c r="K942" s="41">
        <f t="shared" ca="1" si="134"/>
        <v>15.823560442488889</v>
      </c>
    </row>
    <row r="943" spans="2:11" ht="15" customHeight="1" x14ac:dyDescent="0.35">
      <c r="B943" s="5">
        <v>922</v>
      </c>
      <c r="C943" s="39">
        <f t="shared" ca="1" si="126"/>
        <v>3.2470355721136039</v>
      </c>
      <c r="D943" s="40">
        <f t="shared" ca="1" si="127"/>
        <v>7457926681.7107153</v>
      </c>
      <c r="E943" s="40">
        <f t="shared" ca="1" si="128"/>
        <v>40440150555492.219</v>
      </c>
      <c r="F943" s="40">
        <f t="shared" ca="1" si="129"/>
        <v>4497339208413.3379</v>
      </c>
      <c r="G943" s="40">
        <f t="shared" ca="1" si="130"/>
        <v>47632560810626.625</v>
      </c>
      <c r="H943" s="40">
        <f t="shared" ca="1" si="131"/>
        <v>47632560810626.625</v>
      </c>
      <c r="I943" s="40">
        <f t="shared" ca="1" si="132"/>
        <v>10301070434191.434</v>
      </c>
      <c r="J943" s="40">
        <f t="shared" ca="1" si="133"/>
        <v>1427821303365.8254</v>
      </c>
      <c r="K943" s="41">
        <f t="shared" ca="1" si="134"/>
        <v>7.2145375684678186</v>
      </c>
    </row>
    <row r="944" spans="2:11" ht="15" customHeight="1" x14ac:dyDescent="0.35">
      <c r="B944" s="5">
        <v>923</v>
      </c>
      <c r="C944" s="39">
        <f t="shared" ca="1" si="126"/>
        <v>3.3746386423779313</v>
      </c>
      <c r="D944" s="40">
        <f t="shared" ca="1" si="127"/>
        <v>8699363199.0895443</v>
      </c>
      <c r="E944" s="40">
        <f t="shared" ca="1" si="128"/>
        <v>21997168893793</v>
      </c>
      <c r="F944" s="40">
        <f t="shared" ca="1" si="129"/>
        <v>41586907496689.016</v>
      </c>
      <c r="G944" s="40">
        <f t="shared" ca="1" si="130"/>
        <v>892536486453.58386</v>
      </c>
      <c r="H944" s="40">
        <f t="shared" ca="1" si="131"/>
        <v>41586907496689.016</v>
      </c>
      <c r="I944" s="40">
        <f t="shared" ca="1" si="132"/>
        <v>7544667392974.3672</v>
      </c>
      <c r="J944" s="40">
        <f t="shared" ca="1" si="133"/>
        <v>1073615900541.2478</v>
      </c>
      <c r="K944" s="41">
        <f t="shared" ca="1" si="134"/>
        <v>7.0273431952440655</v>
      </c>
    </row>
    <row r="945" spans="2:11" ht="15" customHeight="1" x14ac:dyDescent="0.35">
      <c r="B945" s="5">
        <v>924</v>
      </c>
      <c r="C945" s="39">
        <f t="shared" ca="1" si="126"/>
        <v>3.6350237208466818</v>
      </c>
      <c r="D945" s="40">
        <f t="shared" ca="1" si="127"/>
        <v>13963055630.140024</v>
      </c>
      <c r="E945" s="40">
        <f t="shared" ca="1" si="128"/>
        <v>36657227999717.055</v>
      </c>
      <c r="F945" s="40">
        <f t="shared" ca="1" si="129"/>
        <v>2117009386832.3486</v>
      </c>
      <c r="G945" s="40">
        <f t="shared" ca="1" si="130"/>
        <v>12739091505876.186</v>
      </c>
      <c r="H945" s="40">
        <f t="shared" ca="1" si="131"/>
        <v>2117009386832.3486</v>
      </c>
      <c r="I945" s="40">
        <f t="shared" ca="1" si="132"/>
        <v>23947645310499.961</v>
      </c>
      <c r="J945" s="40">
        <f t="shared" ca="1" si="133"/>
        <v>624750790086.22632</v>
      </c>
      <c r="K945" s="41">
        <f t="shared" ca="1" si="134"/>
        <v>38.331516647133455</v>
      </c>
    </row>
    <row r="946" spans="2:11" ht="15" customHeight="1" x14ac:dyDescent="0.35">
      <c r="B946" s="5">
        <v>925</v>
      </c>
      <c r="C946" s="39">
        <f t="shared" ca="1" si="126"/>
        <v>2.3601209541197536</v>
      </c>
      <c r="D946" s="40">
        <f t="shared" ca="1" si="127"/>
        <v>1515441544.3833127</v>
      </c>
      <c r="E946" s="40">
        <f t="shared" ca="1" si="128"/>
        <v>4887339615186.5332</v>
      </c>
      <c r="F946" s="40">
        <f t="shared" ca="1" si="129"/>
        <v>1789815192828.5017</v>
      </c>
      <c r="G946" s="40">
        <f t="shared" ca="1" si="130"/>
        <v>84437303682232.516</v>
      </c>
      <c r="H946" s="40">
        <f t="shared" ca="1" si="131"/>
        <v>1789815192828.5017</v>
      </c>
      <c r="I946" s="40">
        <f t="shared" ca="1" si="132"/>
        <v>61202541730116.578</v>
      </c>
      <c r="J946" s="40">
        <f t="shared" ca="1" si="133"/>
        <v>1709693940823.1133</v>
      </c>
      <c r="K946" s="41">
        <f t="shared" ca="1" si="134"/>
        <v>35.797367159557979</v>
      </c>
    </row>
    <row r="947" spans="2:11" ht="15" customHeight="1" x14ac:dyDescent="0.35">
      <c r="B947" s="5">
        <v>926</v>
      </c>
      <c r="C947" s="39">
        <f t="shared" ca="1" si="126"/>
        <v>3.8804625244779505</v>
      </c>
      <c r="D947" s="40">
        <f t="shared" ca="1" si="127"/>
        <v>18221406055.631981</v>
      </c>
      <c r="E947" s="40">
        <f t="shared" ca="1" si="128"/>
        <v>389073864779330.56</v>
      </c>
      <c r="F947" s="40">
        <f t="shared" ca="1" si="129"/>
        <v>1550908192605.2671</v>
      </c>
      <c r="G947" s="40">
        <f t="shared" ca="1" si="130"/>
        <v>11500712930221.641</v>
      </c>
      <c r="H947" s="40">
        <f t="shared" ca="1" si="131"/>
        <v>389073864779330.56</v>
      </c>
      <c r="I947" s="40">
        <f t="shared" ca="1" si="132"/>
        <v>6560143671131.8291</v>
      </c>
      <c r="J947" s="40">
        <f t="shared" ca="1" si="133"/>
        <v>1187351720347.9138</v>
      </c>
      <c r="K947" s="41">
        <f t="shared" ca="1" si="134"/>
        <v>5.5250214057967577</v>
      </c>
    </row>
    <row r="948" spans="2:11" ht="15" customHeight="1" x14ac:dyDescent="0.35">
      <c r="B948" s="5">
        <v>927</v>
      </c>
      <c r="C948" s="39">
        <f t="shared" ca="1" si="126"/>
        <v>2.7794282568446418</v>
      </c>
      <c r="D948" s="40">
        <f t="shared" ca="1" si="127"/>
        <v>3505883872.8431015</v>
      </c>
      <c r="E948" s="40">
        <f t="shared" ca="1" si="128"/>
        <v>11474745347580.174</v>
      </c>
      <c r="F948" s="40">
        <f t="shared" ca="1" si="129"/>
        <v>1666501753692.9309</v>
      </c>
      <c r="G948" s="40">
        <f t="shared" ca="1" si="130"/>
        <v>8170838781976.9805</v>
      </c>
      <c r="H948" s="40">
        <f t="shared" ca="1" si="131"/>
        <v>1666501753692.9309</v>
      </c>
      <c r="I948" s="40">
        <f t="shared" ca="1" si="132"/>
        <v>12011105675295.719</v>
      </c>
      <c r="J948" s="40">
        <f t="shared" ca="1" si="133"/>
        <v>675857903354.69092</v>
      </c>
      <c r="K948" s="41">
        <f t="shared" ca="1" si="134"/>
        <v>17.771643441139545</v>
      </c>
    </row>
    <row r="949" spans="2:11" ht="15" customHeight="1" x14ac:dyDescent="0.35">
      <c r="B949" s="5">
        <v>928</v>
      </c>
      <c r="C949" s="39">
        <f t="shared" ca="1" si="126"/>
        <v>2.8537672657940134</v>
      </c>
      <c r="D949" s="40">
        <f t="shared" ca="1" si="127"/>
        <v>4242964161.0634651</v>
      </c>
      <c r="E949" s="40">
        <f t="shared" ca="1" si="128"/>
        <v>33315643945841.516</v>
      </c>
      <c r="F949" s="40">
        <f t="shared" ca="1" si="129"/>
        <v>880781680016.8551</v>
      </c>
      <c r="G949" s="40">
        <f t="shared" ca="1" si="130"/>
        <v>6497777377116.4629</v>
      </c>
      <c r="H949" s="40">
        <f t="shared" ca="1" si="131"/>
        <v>880781680016.8551</v>
      </c>
      <c r="I949" s="40">
        <f t="shared" ca="1" si="132"/>
        <v>3277548039024.8105</v>
      </c>
      <c r="J949" s="40">
        <f t="shared" ca="1" si="133"/>
        <v>965471168588.52332</v>
      </c>
      <c r="K949" s="41">
        <f t="shared" ca="1" si="134"/>
        <v>3.3947653183848492</v>
      </c>
    </row>
    <row r="950" spans="2:11" ht="15" customHeight="1" x14ac:dyDescent="0.35">
      <c r="B950" s="5">
        <v>929</v>
      </c>
      <c r="C950" s="39">
        <f t="shared" ca="1" si="126"/>
        <v>3.5208372087810829</v>
      </c>
      <c r="D950" s="40">
        <f t="shared" ca="1" si="127"/>
        <v>12663000330.963034</v>
      </c>
      <c r="E950" s="40">
        <f t="shared" ca="1" si="128"/>
        <v>157578654848597.47</v>
      </c>
      <c r="F950" s="40">
        <f t="shared" ca="1" si="129"/>
        <v>9030545528068.9883</v>
      </c>
      <c r="G950" s="40">
        <f t="shared" ca="1" si="130"/>
        <v>39597230530428.555</v>
      </c>
      <c r="H950" s="40">
        <f t="shared" ca="1" si="131"/>
        <v>9030545528068.9883</v>
      </c>
      <c r="I950" s="40">
        <f t="shared" ca="1" si="132"/>
        <v>5188888792693.5635</v>
      </c>
      <c r="J950" s="40">
        <f t="shared" ca="1" si="133"/>
        <v>1026106907659.7152</v>
      </c>
      <c r="K950" s="41">
        <f t="shared" ca="1" si="134"/>
        <v>5.0568695658896576</v>
      </c>
    </row>
    <row r="951" spans="2:11" ht="15" customHeight="1" x14ac:dyDescent="0.35">
      <c r="B951" s="5">
        <v>930</v>
      </c>
      <c r="C951" s="39">
        <f t="shared" ca="1" si="126"/>
        <v>3.8979200817513688</v>
      </c>
      <c r="D951" s="40">
        <f t="shared" ca="1" si="127"/>
        <v>19981191995.065712</v>
      </c>
      <c r="E951" s="40">
        <f t="shared" ca="1" si="128"/>
        <v>53973331729140.859</v>
      </c>
      <c r="F951" s="40">
        <f t="shared" ca="1" si="129"/>
        <v>273020991367.50229</v>
      </c>
      <c r="G951" s="40">
        <f t="shared" ca="1" si="130"/>
        <v>7350116720457.21</v>
      </c>
      <c r="H951" s="40">
        <f t="shared" ca="1" si="131"/>
        <v>7350116720457.21</v>
      </c>
      <c r="I951" s="40">
        <f t="shared" ca="1" si="132"/>
        <v>24205713538455.484</v>
      </c>
      <c r="J951" s="40">
        <f t="shared" ca="1" si="133"/>
        <v>898370427588.60034</v>
      </c>
      <c r="K951" s="41">
        <f t="shared" ca="1" si="134"/>
        <v>26.944023083471585</v>
      </c>
    </row>
    <row r="952" spans="2:11" ht="15" customHeight="1" x14ac:dyDescent="0.35">
      <c r="B952" s="5">
        <v>931</v>
      </c>
      <c r="C952" s="39">
        <f t="shared" ca="1" si="126"/>
        <v>3.1285001927591862</v>
      </c>
      <c r="D952" s="40">
        <f t="shared" ca="1" si="127"/>
        <v>6211604716.0943203</v>
      </c>
      <c r="E952" s="40">
        <f t="shared" ca="1" si="128"/>
        <v>14336038615110.027</v>
      </c>
      <c r="F952" s="40">
        <f t="shared" ca="1" si="129"/>
        <v>1210608066103.5928</v>
      </c>
      <c r="G952" s="40">
        <f t="shared" ca="1" si="130"/>
        <v>1848989989186.8406</v>
      </c>
      <c r="H952" s="40">
        <f t="shared" ca="1" si="131"/>
        <v>1210608066103.5928</v>
      </c>
      <c r="I952" s="40">
        <f t="shared" ca="1" si="132"/>
        <v>9145732084630.6074</v>
      </c>
      <c r="J952" s="40">
        <f t="shared" ca="1" si="133"/>
        <v>1159459340579.1001</v>
      </c>
      <c r="K952" s="41">
        <f t="shared" ca="1" si="134"/>
        <v>7.8879282477147559</v>
      </c>
    </row>
    <row r="953" spans="2:11" ht="15" customHeight="1" x14ac:dyDescent="0.35">
      <c r="B953" s="5">
        <v>932</v>
      </c>
      <c r="C953" s="39">
        <f t="shared" ca="1" si="126"/>
        <v>2.3847565903114458</v>
      </c>
      <c r="D953" s="40">
        <f t="shared" ca="1" si="127"/>
        <v>1545087919.7465463</v>
      </c>
      <c r="E953" s="40">
        <f t="shared" ca="1" si="128"/>
        <v>16571844592023.785</v>
      </c>
      <c r="F953" s="40">
        <f t="shared" ca="1" si="129"/>
        <v>6082463991353.2002</v>
      </c>
      <c r="G953" s="40">
        <f t="shared" ca="1" si="130"/>
        <v>2882422986466.1279</v>
      </c>
      <c r="H953" s="40">
        <f t="shared" ca="1" si="131"/>
        <v>16571844592023.785</v>
      </c>
      <c r="I953" s="40">
        <f t="shared" ca="1" si="132"/>
        <v>3778235213357.9741</v>
      </c>
      <c r="J953" s="40">
        <f t="shared" ca="1" si="133"/>
        <v>719543771064.45947</v>
      </c>
      <c r="K953" s="41">
        <f t="shared" ca="1" si="134"/>
        <v>5.2508761319254136</v>
      </c>
    </row>
    <row r="954" spans="2:11" ht="15" customHeight="1" x14ac:dyDescent="0.35">
      <c r="B954" s="5">
        <v>933</v>
      </c>
      <c r="C954" s="39">
        <f t="shared" ca="1" si="126"/>
        <v>2.8866981340517146</v>
      </c>
      <c r="D954" s="40">
        <f t="shared" ca="1" si="127"/>
        <v>4297593657.2552137</v>
      </c>
      <c r="E954" s="40">
        <f t="shared" ca="1" si="128"/>
        <v>12206379666618.322</v>
      </c>
      <c r="F954" s="40">
        <f t="shared" ca="1" si="129"/>
        <v>944984225660.74316</v>
      </c>
      <c r="G954" s="40">
        <f t="shared" ca="1" si="130"/>
        <v>17898134908778.445</v>
      </c>
      <c r="H954" s="40">
        <f t="shared" ca="1" si="131"/>
        <v>12206379666618.322</v>
      </c>
      <c r="I954" s="40">
        <f t="shared" ca="1" si="132"/>
        <v>7101748754903.4248</v>
      </c>
      <c r="J954" s="40">
        <f t="shared" ca="1" si="133"/>
        <v>1505332809786.7166</v>
      </c>
      <c r="K954" s="41">
        <f t="shared" ca="1" si="134"/>
        <v>4.7177266772718767</v>
      </c>
    </row>
    <row r="955" spans="2:11" ht="15" customHeight="1" x14ac:dyDescent="0.35">
      <c r="B955" s="5">
        <v>934</v>
      </c>
      <c r="C955" s="39">
        <f t="shared" ca="1" si="126"/>
        <v>3.2386015499516798</v>
      </c>
      <c r="D955" s="40">
        <f t="shared" ca="1" si="127"/>
        <v>7510633004.5835629</v>
      </c>
      <c r="E955" s="40">
        <f t="shared" ca="1" si="128"/>
        <v>23749038120043.551</v>
      </c>
      <c r="F955" s="40">
        <f t="shared" ca="1" si="129"/>
        <v>4175676966413.186</v>
      </c>
      <c r="G955" s="40">
        <f t="shared" ca="1" si="130"/>
        <v>4543828403943.5615</v>
      </c>
      <c r="H955" s="40">
        <f t="shared" ca="1" si="131"/>
        <v>23749038120043.551</v>
      </c>
      <c r="I955" s="40">
        <f t="shared" ca="1" si="132"/>
        <v>17134521366393</v>
      </c>
      <c r="J955" s="40">
        <f t="shared" ca="1" si="133"/>
        <v>1240135248601.2393</v>
      </c>
      <c r="K955" s="41">
        <f t="shared" ca="1" si="134"/>
        <v>13.816655389578834</v>
      </c>
    </row>
    <row r="956" spans="2:11" ht="15" customHeight="1" x14ac:dyDescent="0.35">
      <c r="B956" s="5">
        <v>935</v>
      </c>
      <c r="C956" s="39">
        <f t="shared" ca="1" si="126"/>
        <v>3.2366861826493056</v>
      </c>
      <c r="D956" s="40">
        <f t="shared" ca="1" si="127"/>
        <v>6486716917.9048424</v>
      </c>
      <c r="E956" s="40">
        <f t="shared" ca="1" si="128"/>
        <v>44087699425818.898</v>
      </c>
      <c r="F956" s="40">
        <f t="shared" ca="1" si="129"/>
        <v>1408678129474.729</v>
      </c>
      <c r="G956" s="40">
        <f t="shared" ca="1" si="130"/>
        <v>18061977569500.758</v>
      </c>
      <c r="H956" s="40">
        <f t="shared" ca="1" si="131"/>
        <v>44087699425818.898</v>
      </c>
      <c r="I956" s="40">
        <f t="shared" ca="1" si="132"/>
        <v>966185992138.78992</v>
      </c>
      <c r="J956" s="40">
        <f t="shared" ca="1" si="133"/>
        <v>659708529686.8634</v>
      </c>
      <c r="K956" s="41">
        <f t="shared" ca="1" si="134"/>
        <v>1.4645649535521374</v>
      </c>
    </row>
    <row r="957" spans="2:11" ht="15" customHeight="1" x14ac:dyDescent="0.35">
      <c r="B957" s="5">
        <v>936</v>
      </c>
      <c r="C957" s="39">
        <f t="shared" ca="1" si="126"/>
        <v>3.2774347825243972</v>
      </c>
      <c r="D957" s="40">
        <f t="shared" ca="1" si="127"/>
        <v>7618480715.9345007</v>
      </c>
      <c r="E957" s="40">
        <f t="shared" ca="1" si="128"/>
        <v>123407345995502.78</v>
      </c>
      <c r="F957" s="40">
        <f t="shared" ca="1" si="129"/>
        <v>322825428295.48901</v>
      </c>
      <c r="G957" s="40">
        <f t="shared" ca="1" si="130"/>
        <v>5172444263429.541</v>
      </c>
      <c r="H957" s="40">
        <f t="shared" ca="1" si="131"/>
        <v>123407345995502.78</v>
      </c>
      <c r="I957" s="40">
        <f t="shared" ca="1" si="132"/>
        <v>5023293340998.1543</v>
      </c>
      <c r="J957" s="40">
        <f t="shared" ca="1" si="133"/>
        <v>1545996658379.5623</v>
      </c>
      <c r="K957" s="41">
        <f t="shared" ca="1" si="134"/>
        <v>3.249226519197864</v>
      </c>
    </row>
    <row r="958" spans="2:11" ht="15" customHeight="1" x14ac:dyDescent="0.35">
      <c r="B958" s="5">
        <v>937</v>
      </c>
      <c r="C958" s="39">
        <f t="shared" ca="1" si="126"/>
        <v>3.3493771261259186</v>
      </c>
      <c r="D958" s="40">
        <f t="shared" ca="1" si="127"/>
        <v>8515652108.2250328</v>
      </c>
      <c r="E958" s="40">
        <f t="shared" ca="1" si="128"/>
        <v>92542533117610.516</v>
      </c>
      <c r="F958" s="40">
        <f t="shared" ca="1" si="129"/>
        <v>6715218065301.1621</v>
      </c>
      <c r="G958" s="40">
        <f t="shared" ca="1" si="130"/>
        <v>2673295982783.54</v>
      </c>
      <c r="H958" s="40">
        <f t="shared" ca="1" si="131"/>
        <v>6715218065301.1621</v>
      </c>
      <c r="I958" s="40">
        <f t="shared" ca="1" si="132"/>
        <v>2962230078574.9883</v>
      </c>
      <c r="J958" s="40">
        <f t="shared" ca="1" si="133"/>
        <v>1298305453258.6965</v>
      </c>
      <c r="K958" s="41">
        <f t="shared" ca="1" si="134"/>
        <v>2.2816125982833277</v>
      </c>
    </row>
    <row r="959" spans="2:11" ht="15" customHeight="1" x14ac:dyDescent="0.35">
      <c r="B959" s="5">
        <v>938</v>
      </c>
      <c r="C959" s="39">
        <f t="shared" ca="1" si="126"/>
        <v>3.4217630817834808</v>
      </c>
      <c r="D959" s="40">
        <f t="shared" ca="1" si="127"/>
        <v>10154529226.251234</v>
      </c>
      <c r="E959" s="40">
        <f t="shared" ca="1" si="128"/>
        <v>6900145050617.877</v>
      </c>
      <c r="F959" s="40">
        <f t="shared" ca="1" si="129"/>
        <v>3046402445377.9697</v>
      </c>
      <c r="G959" s="40">
        <f t="shared" ca="1" si="130"/>
        <v>15904279109635.131</v>
      </c>
      <c r="H959" s="40">
        <f t="shared" ca="1" si="131"/>
        <v>3046402445377.9697</v>
      </c>
      <c r="I959" s="40">
        <f t="shared" ca="1" si="132"/>
        <v>1481638026464.2961</v>
      </c>
      <c r="J959" s="40">
        <f t="shared" ca="1" si="133"/>
        <v>1027188379711.1847</v>
      </c>
      <c r="K959" s="41">
        <f t="shared" ca="1" si="134"/>
        <v>1.4424209382906856</v>
      </c>
    </row>
    <row r="960" spans="2:11" ht="15" customHeight="1" x14ac:dyDescent="0.35">
      <c r="B960" s="5">
        <v>939</v>
      </c>
      <c r="C960" s="39">
        <f t="shared" ca="1" si="126"/>
        <v>1.8273125159260806</v>
      </c>
      <c r="D960" s="40">
        <f t="shared" ca="1" si="127"/>
        <v>366815557.68117684</v>
      </c>
      <c r="E960" s="40">
        <f t="shared" ca="1" si="128"/>
        <v>2167163047569.0344</v>
      </c>
      <c r="F960" s="40">
        <f t="shared" ca="1" si="129"/>
        <v>2658912482969.3032</v>
      </c>
      <c r="G960" s="40">
        <f t="shared" ca="1" si="130"/>
        <v>713315902015.71973</v>
      </c>
      <c r="H960" s="40">
        <f t="shared" ca="1" si="131"/>
        <v>713315902015.71973</v>
      </c>
      <c r="I960" s="40">
        <f t="shared" ca="1" si="132"/>
        <v>15356730065887.873</v>
      </c>
      <c r="J960" s="40">
        <f t="shared" ca="1" si="133"/>
        <v>1531356391679.249</v>
      </c>
      <c r="K960" s="41">
        <f t="shared" ca="1" si="134"/>
        <v>10.028188179662115</v>
      </c>
    </row>
    <row r="961" spans="2:11" ht="15" customHeight="1" x14ac:dyDescent="0.35">
      <c r="B961" s="5">
        <v>940</v>
      </c>
      <c r="C961" s="39">
        <f t="shared" ca="1" si="126"/>
        <v>3.0289526731326859</v>
      </c>
      <c r="D961" s="40">
        <f t="shared" ca="1" si="127"/>
        <v>4923142338.8717813</v>
      </c>
      <c r="E961" s="40">
        <f t="shared" ca="1" si="128"/>
        <v>15256419738195.762</v>
      </c>
      <c r="F961" s="40">
        <f t="shared" ca="1" si="129"/>
        <v>1602088626367.7551</v>
      </c>
      <c r="G961" s="40">
        <f t="shared" ca="1" si="130"/>
        <v>4621476763385.1484</v>
      </c>
      <c r="H961" s="40">
        <f t="shared" ca="1" si="131"/>
        <v>15256419738195.762</v>
      </c>
      <c r="I961" s="40">
        <f t="shared" ca="1" si="132"/>
        <v>45782041478971.609</v>
      </c>
      <c r="J961" s="40">
        <f t="shared" ca="1" si="133"/>
        <v>850136884895.0011</v>
      </c>
      <c r="K961" s="41">
        <f t="shared" ca="1" si="134"/>
        <v>53.852552797572201</v>
      </c>
    </row>
    <row r="962" spans="2:11" ht="15" customHeight="1" x14ac:dyDescent="0.35">
      <c r="B962" s="5">
        <v>941</v>
      </c>
      <c r="C962" s="39">
        <f t="shared" ca="1" si="126"/>
        <v>3.4210090287013251</v>
      </c>
      <c r="D962" s="40">
        <f t="shared" ca="1" si="127"/>
        <v>10247112967.588772</v>
      </c>
      <c r="E962" s="40">
        <f t="shared" ca="1" si="128"/>
        <v>58531645520330.258</v>
      </c>
      <c r="F962" s="40">
        <f t="shared" ca="1" si="129"/>
        <v>3703940614660.314</v>
      </c>
      <c r="G962" s="40">
        <f t="shared" ca="1" si="130"/>
        <v>4817153646997.208</v>
      </c>
      <c r="H962" s="40">
        <f t="shared" ca="1" si="131"/>
        <v>4817153646997.208</v>
      </c>
      <c r="I962" s="40">
        <f t="shared" ca="1" si="132"/>
        <v>4866828584659.6143</v>
      </c>
      <c r="J962" s="40">
        <f t="shared" ca="1" si="133"/>
        <v>938388788295.44751</v>
      </c>
      <c r="K962" s="41">
        <f t="shared" ca="1" si="134"/>
        <v>5.186366935926471</v>
      </c>
    </row>
    <row r="963" spans="2:11" ht="15" customHeight="1" x14ac:dyDescent="0.35">
      <c r="B963" s="5">
        <v>942</v>
      </c>
      <c r="C963" s="39">
        <f t="shared" ca="1" si="126"/>
        <v>2.0898929230109733</v>
      </c>
      <c r="D963" s="40">
        <f t="shared" ca="1" si="127"/>
        <v>867740469.76105249</v>
      </c>
      <c r="E963" s="40">
        <f t="shared" ca="1" si="128"/>
        <v>2423368114101.0059</v>
      </c>
      <c r="F963" s="40">
        <f t="shared" ca="1" si="129"/>
        <v>3759386877026.6875</v>
      </c>
      <c r="G963" s="40">
        <f t="shared" ca="1" si="130"/>
        <v>9077602535117.4648</v>
      </c>
      <c r="H963" s="40">
        <f t="shared" ca="1" si="131"/>
        <v>9077602535117.4648</v>
      </c>
      <c r="I963" s="40">
        <f t="shared" ca="1" si="132"/>
        <v>2366868590309.3682</v>
      </c>
      <c r="J963" s="40">
        <f t="shared" ca="1" si="133"/>
        <v>792535518280.19617</v>
      </c>
      <c r="K963" s="41">
        <f t="shared" ca="1" si="134"/>
        <v>2.9864511251754093</v>
      </c>
    </row>
    <row r="964" spans="2:11" ht="15" customHeight="1" x14ac:dyDescent="0.35">
      <c r="B964" s="5">
        <v>943</v>
      </c>
      <c r="C964" s="39">
        <f t="shared" ca="1" si="126"/>
        <v>3.2448632903844561</v>
      </c>
      <c r="D964" s="40">
        <f t="shared" ca="1" si="127"/>
        <v>8326709587.0103483</v>
      </c>
      <c r="E964" s="40">
        <f t="shared" ca="1" si="128"/>
        <v>18257206757025.887</v>
      </c>
      <c r="F964" s="40">
        <f t="shared" ca="1" si="129"/>
        <v>2615780762849.1714</v>
      </c>
      <c r="G964" s="40">
        <f t="shared" ca="1" si="130"/>
        <v>2844199263241.1006</v>
      </c>
      <c r="H964" s="40">
        <f t="shared" ca="1" si="131"/>
        <v>18257206757025.887</v>
      </c>
      <c r="I964" s="40">
        <f t="shared" ca="1" si="132"/>
        <v>2719310081171.3047</v>
      </c>
      <c r="J964" s="40">
        <f t="shared" ca="1" si="133"/>
        <v>1206041810531.7505</v>
      </c>
      <c r="K964" s="41">
        <f t="shared" ca="1" si="134"/>
        <v>2.2547394770437901</v>
      </c>
    </row>
    <row r="965" spans="2:11" ht="15" customHeight="1" x14ac:dyDescent="0.35">
      <c r="B965" s="5">
        <v>944</v>
      </c>
      <c r="C965" s="39">
        <f t="shared" ca="1" si="126"/>
        <v>2.7092537238573287</v>
      </c>
      <c r="D965" s="40">
        <f t="shared" ca="1" si="127"/>
        <v>3159568154.0013413</v>
      </c>
      <c r="E965" s="40">
        <f t="shared" ca="1" si="128"/>
        <v>6925001746963.3535</v>
      </c>
      <c r="F965" s="40">
        <f t="shared" ca="1" si="129"/>
        <v>4382849856995.4624</v>
      </c>
      <c r="G965" s="40">
        <f t="shared" ca="1" si="130"/>
        <v>3879190311224.4893</v>
      </c>
      <c r="H965" s="40">
        <f t="shared" ca="1" si="131"/>
        <v>6925001746963.3535</v>
      </c>
      <c r="I965" s="40">
        <f t="shared" ca="1" si="132"/>
        <v>6771846392827.9326</v>
      </c>
      <c r="J965" s="40">
        <f t="shared" ca="1" si="133"/>
        <v>975578265092.4823</v>
      </c>
      <c r="K965" s="41">
        <f t="shared" ca="1" si="134"/>
        <v>6.9413666080250147</v>
      </c>
    </row>
    <row r="966" spans="2:11" ht="15" customHeight="1" x14ac:dyDescent="0.35">
      <c r="B966" s="5">
        <v>945</v>
      </c>
      <c r="C966" s="39">
        <f t="shared" ca="1" si="126"/>
        <v>3.1595831890966632</v>
      </c>
      <c r="D966" s="40">
        <f t="shared" ca="1" si="127"/>
        <v>7473662219.0925093</v>
      </c>
      <c r="E966" s="40">
        <f t="shared" ca="1" si="128"/>
        <v>18012717919733.117</v>
      </c>
      <c r="F966" s="40">
        <f t="shared" ca="1" si="129"/>
        <v>8953097194368.1152</v>
      </c>
      <c r="G966" s="40">
        <f t="shared" ca="1" si="130"/>
        <v>2268549559871.7656</v>
      </c>
      <c r="H966" s="40">
        <f t="shared" ca="1" si="131"/>
        <v>8953097194368.1152</v>
      </c>
      <c r="I966" s="40">
        <f t="shared" ca="1" si="132"/>
        <v>26035687704248.273</v>
      </c>
      <c r="J966" s="40">
        <f t="shared" ca="1" si="133"/>
        <v>1000413307671.4785</v>
      </c>
      <c r="K966" s="41">
        <f t="shared" ca="1" si="134"/>
        <v>26.024931400450765</v>
      </c>
    </row>
    <row r="967" spans="2:11" ht="15" customHeight="1" x14ac:dyDescent="0.35">
      <c r="B967" s="5">
        <v>946</v>
      </c>
      <c r="C967" s="39">
        <f t="shared" ca="1" si="126"/>
        <v>2.8885111570506505</v>
      </c>
      <c r="D967" s="40">
        <f t="shared" ca="1" si="127"/>
        <v>3624778713.9767485</v>
      </c>
      <c r="E967" s="40">
        <f t="shared" ca="1" si="128"/>
        <v>23571439113970.652</v>
      </c>
      <c r="F967" s="40">
        <f t="shared" ca="1" si="129"/>
        <v>962325187011.30225</v>
      </c>
      <c r="G967" s="40">
        <f t="shared" ca="1" si="130"/>
        <v>18320567013432.281</v>
      </c>
      <c r="H967" s="40">
        <f t="shared" ca="1" si="131"/>
        <v>962325187011.30225</v>
      </c>
      <c r="I967" s="40">
        <f t="shared" ca="1" si="132"/>
        <v>11728878098748.273</v>
      </c>
      <c r="J967" s="40">
        <f t="shared" ca="1" si="133"/>
        <v>1259673484544.3213</v>
      </c>
      <c r="K967" s="41">
        <f t="shared" ca="1" si="134"/>
        <v>9.3110462692569254</v>
      </c>
    </row>
    <row r="968" spans="2:11" ht="15" customHeight="1" x14ac:dyDescent="0.35">
      <c r="B968" s="5">
        <v>947</v>
      </c>
      <c r="C968" s="39">
        <f t="shared" ca="1" si="126"/>
        <v>2.7029006433526312</v>
      </c>
      <c r="D968" s="40">
        <f t="shared" ca="1" si="127"/>
        <v>2556657135.8572259</v>
      </c>
      <c r="E968" s="40">
        <f t="shared" ca="1" si="128"/>
        <v>15247933659435.52</v>
      </c>
      <c r="F968" s="40">
        <f t="shared" ca="1" si="129"/>
        <v>986820217718.3302</v>
      </c>
      <c r="G968" s="40">
        <f t="shared" ca="1" si="130"/>
        <v>23877031688270.078</v>
      </c>
      <c r="H968" s="40">
        <f t="shared" ca="1" si="131"/>
        <v>23877031688270.078</v>
      </c>
      <c r="I968" s="40">
        <f t="shared" ca="1" si="132"/>
        <v>56959737335516.797</v>
      </c>
      <c r="J968" s="40">
        <f t="shared" ca="1" si="133"/>
        <v>616862370468.84033</v>
      </c>
      <c r="K968" s="41">
        <f t="shared" ca="1" si="134"/>
        <v>92.337837518318864</v>
      </c>
    </row>
    <row r="969" spans="2:11" ht="15" customHeight="1" x14ac:dyDescent="0.35">
      <c r="B969" s="5">
        <v>948</v>
      </c>
      <c r="C969" s="39">
        <f t="shared" ca="1" si="126"/>
        <v>2.8581260648859836</v>
      </c>
      <c r="D969" s="40">
        <f t="shared" ca="1" si="127"/>
        <v>4156889803.3101788</v>
      </c>
      <c r="E969" s="40">
        <f t="shared" ca="1" si="128"/>
        <v>23487167545698.148</v>
      </c>
      <c r="F969" s="40">
        <f t="shared" ca="1" si="129"/>
        <v>9789580832666.8125</v>
      </c>
      <c r="G969" s="40">
        <f t="shared" ca="1" si="130"/>
        <v>16043034357650.133</v>
      </c>
      <c r="H969" s="40">
        <f t="shared" ca="1" si="131"/>
        <v>9789580832666.8125</v>
      </c>
      <c r="I969" s="40">
        <f t="shared" ca="1" si="132"/>
        <v>10931962016551.465</v>
      </c>
      <c r="J969" s="40">
        <f t="shared" ca="1" si="133"/>
        <v>1231588355441.6643</v>
      </c>
      <c r="K969" s="41">
        <f t="shared" ca="1" si="134"/>
        <v>8.8763116087039613</v>
      </c>
    </row>
    <row r="970" spans="2:11" ht="15" customHeight="1" x14ac:dyDescent="0.35">
      <c r="B970" s="5">
        <v>949</v>
      </c>
      <c r="C970" s="39">
        <f t="shared" ca="1" si="126"/>
        <v>3.7801765698923768</v>
      </c>
      <c r="D970" s="40">
        <f t="shared" ca="1" si="127"/>
        <v>14601517066.423925</v>
      </c>
      <c r="E970" s="40">
        <f t="shared" ca="1" si="128"/>
        <v>43698836411188.688</v>
      </c>
      <c r="F970" s="40">
        <f t="shared" ca="1" si="129"/>
        <v>82371899891245.375</v>
      </c>
      <c r="G970" s="40">
        <f t="shared" ca="1" si="130"/>
        <v>5369103973889.502</v>
      </c>
      <c r="H970" s="40">
        <f t="shared" ca="1" si="131"/>
        <v>5369103973889.502</v>
      </c>
      <c r="I970" s="40">
        <f t="shared" ca="1" si="132"/>
        <v>7674287234979.7754</v>
      </c>
      <c r="J970" s="40">
        <f t="shared" ca="1" si="133"/>
        <v>896253897963.1792</v>
      </c>
      <c r="K970" s="41">
        <f t="shared" ca="1" si="134"/>
        <v>8.5626263410628507</v>
      </c>
    </row>
    <row r="971" spans="2:11" ht="15" customHeight="1" x14ac:dyDescent="0.35">
      <c r="B971" s="5">
        <v>950</v>
      </c>
      <c r="C971" s="39">
        <f t="shared" ca="1" si="126"/>
        <v>2.401554399107392</v>
      </c>
      <c r="D971" s="40">
        <f t="shared" ca="1" si="127"/>
        <v>1365514389.1012866</v>
      </c>
      <c r="E971" s="40">
        <f t="shared" ca="1" si="128"/>
        <v>1764534856578.9946</v>
      </c>
      <c r="F971" s="40">
        <f t="shared" ca="1" si="129"/>
        <v>3482304513046.6499</v>
      </c>
      <c r="G971" s="40">
        <f t="shared" ca="1" si="130"/>
        <v>6877858430182.2939</v>
      </c>
      <c r="H971" s="40">
        <f t="shared" ca="1" si="131"/>
        <v>1764534856578.9946</v>
      </c>
      <c r="I971" s="40">
        <f t="shared" ca="1" si="132"/>
        <v>1010284534999.5177</v>
      </c>
      <c r="J971" s="40">
        <f t="shared" ca="1" si="133"/>
        <v>672250278433.10095</v>
      </c>
      <c r="K971" s="41">
        <f t="shared" ca="1" si="134"/>
        <v>1.5028398907536582</v>
      </c>
    </row>
    <row r="972" spans="2:11" ht="15" customHeight="1" x14ac:dyDescent="0.35">
      <c r="B972" s="5">
        <v>951</v>
      </c>
      <c r="C972" s="39">
        <f t="shared" ca="1" si="126"/>
        <v>3.467887198301038</v>
      </c>
      <c r="D972" s="40">
        <f t="shared" ca="1" si="127"/>
        <v>9198860532.592514</v>
      </c>
      <c r="E972" s="40">
        <f t="shared" ca="1" si="128"/>
        <v>44095906345966</v>
      </c>
      <c r="F972" s="40">
        <f t="shared" ca="1" si="129"/>
        <v>3879896248072.4565</v>
      </c>
      <c r="G972" s="40">
        <f t="shared" ca="1" si="130"/>
        <v>34973596939707.098</v>
      </c>
      <c r="H972" s="40">
        <f t="shared" ca="1" si="131"/>
        <v>3879896248072.4565</v>
      </c>
      <c r="I972" s="40">
        <f t="shared" ca="1" si="132"/>
        <v>103949268810789.05</v>
      </c>
      <c r="J972" s="40">
        <f t="shared" ca="1" si="133"/>
        <v>1181466781464.4016</v>
      </c>
      <c r="K972" s="41">
        <f t="shared" ca="1" si="134"/>
        <v>87.983234435035286</v>
      </c>
    </row>
    <row r="973" spans="2:11" ht="15" customHeight="1" x14ac:dyDescent="0.35">
      <c r="B973" s="5">
        <v>952</v>
      </c>
      <c r="C973" s="39">
        <f t="shared" ca="1" si="126"/>
        <v>2.8398482201690021</v>
      </c>
      <c r="D973" s="40">
        <f t="shared" ca="1" si="127"/>
        <v>3617907486.385437</v>
      </c>
      <c r="E973" s="40">
        <f t="shared" ca="1" si="128"/>
        <v>10555461949898.574</v>
      </c>
      <c r="F973" s="40">
        <f t="shared" ca="1" si="129"/>
        <v>14630035921413.139</v>
      </c>
      <c r="G973" s="40">
        <f t="shared" ca="1" si="130"/>
        <v>35483444608865.398</v>
      </c>
      <c r="H973" s="40">
        <f t="shared" ca="1" si="131"/>
        <v>10555461949898.574</v>
      </c>
      <c r="I973" s="40">
        <f t="shared" ca="1" si="132"/>
        <v>32108953104210.063</v>
      </c>
      <c r="J973" s="40">
        <f t="shared" ca="1" si="133"/>
        <v>962723756437.25989</v>
      </c>
      <c r="K973" s="41">
        <f t="shared" ca="1" si="134"/>
        <v>33.352197750926265</v>
      </c>
    </row>
    <row r="974" spans="2:11" ht="15" customHeight="1" x14ac:dyDescent="0.35">
      <c r="B974" s="5">
        <v>953</v>
      </c>
      <c r="C974" s="39">
        <f t="shared" ca="1" si="126"/>
        <v>3.2429031508152284</v>
      </c>
      <c r="D974" s="40">
        <f t="shared" ca="1" si="127"/>
        <v>8405191223.8809137</v>
      </c>
      <c r="E974" s="40">
        <f t="shared" ca="1" si="128"/>
        <v>46360078089584.633</v>
      </c>
      <c r="F974" s="40">
        <f t="shared" ca="1" si="129"/>
        <v>2416047610415.0415</v>
      </c>
      <c r="G974" s="40">
        <f t="shared" ca="1" si="130"/>
        <v>10398107847828.664</v>
      </c>
      <c r="H974" s="40">
        <f t="shared" ca="1" si="131"/>
        <v>46360078089584.633</v>
      </c>
      <c r="I974" s="40">
        <f t="shared" ca="1" si="132"/>
        <v>28253146526398.535</v>
      </c>
      <c r="J974" s="40">
        <f t="shared" ca="1" si="133"/>
        <v>1160470158336.5613</v>
      </c>
      <c r="K974" s="41">
        <f t="shared" ca="1" si="134"/>
        <v>24.346293029109084</v>
      </c>
    </row>
    <row r="975" spans="2:11" ht="15" customHeight="1" x14ac:dyDescent="0.35">
      <c r="B975" s="5">
        <v>954</v>
      </c>
      <c r="C975" s="39">
        <f t="shared" ca="1" si="126"/>
        <v>2.7197663729444495</v>
      </c>
      <c r="D975" s="40">
        <f t="shared" ca="1" si="127"/>
        <v>3513887777.7115674</v>
      </c>
      <c r="E975" s="40">
        <f t="shared" ca="1" si="128"/>
        <v>29185997430533.117</v>
      </c>
      <c r="F975" s="40">
        <f t="shared" ca="1" si="129"/>
        <v>2953357518935.0386</v>
      </c>
      <c r="G975" s="40">
        <f t="shared" ca="1" si="130"/>
        <v>33082778176400.098</v>
      </c>
      <c r="H975" s="40">
        <f t="shared" ca="1" si="131"/>
        <v>33082778176400.098</v>
      </c>
      <c r="I975" s="40">
        <f t="shared" ca="1" si="132"/>
        <v>7972453550251.8428</v>
      </c>
      <c r="J975" s="40">
        <f t="shared" ca="1" si="133"/>
        <v>1329669844908.5767</v>
      </c>
      <c r="K975" s="41">
        <f t="shared" ca="1" si="134"/>
        <v>5.9958143600677056</v>
      </c>
    </row>
    <row r="976" spans="2:11" ht="15" customHeight="1" x14ac:dyDescent="0.35">
      <c r="B976" s="5">
        <v>955</v>
      </c>
      <c r="C976" s="39">
        <f t="shared" ca="1" si="126"/>
        <v>2.9228912629153725</v>
      </c>
      <c r="D976" s="40">
        <f t="shared" ca="1" si="127"/>
        <v>4269668702.2374244</v>
      </c>
      <c r="E976" s="40">
        <f t="shared" ca="1" si="128"/>
        <v>21614235675497.672</v>
      </c>
      <c r="F976" s="40">
        <f t="shared" ca="1" si="129"/>
        <v>974637417420.58032</v>
      </c>
      <c r="G976" s="40">
        <f t="shared" ca="1" si="130"/>
        <v>2608992520063.6499</v>
      </c>
      <c r="H976" s="40">
        <f t="shared" ca="1" si="131"/>
        <v>2608992520063.6499</v>
      </c>
      <c r="I976" s="40">
        <f t="shared" ca="1" si="132"/>
        <v>3977954929673.876</v>
      </c>
      <c r="J976" s="40">
        <f t="shared" ca="1" si="133"/>
        <v>1045797714987.4937</v>
      </c>
      <c r="K976" s="41">
        <f t="shared" ca="1" si="134"/>
        <v>3.8037517893424035</v>
      </c>
    </row>
    <row r="977" spans="2:11" ht="15" customHeight="1" x14ac:dyDescent="0.35">
      <c r="B977" s="5">
        <v>956</v>
      </c>
      <c r="C977" s="39">
        <f t="shared" ca="1" si="126"/>
        <v>2.987956507582036</v>
      </c>
      <c r="D977" s="40">
        <f t="shared" ca="1" si="127"/>
        <v>5608087516.9172373</v>
      </c>
      <c r="E977" s="40">
        <f t="shared" ca="1" si="128"/>
        <v>15595990952975.73</v>
      </c>
      <c r="F977" s="40">
        <f t="shared" ca="1" si="129"/>
        <v>7722604063088.6406</v>
      </c>
      <c r="G977" s="40">
        <f t="shared" ca="1" si="130"/>
        <v>3516718399039.4292</v>
      </c>
      <c r="H977" s="40">
        <f t="shared" ca="1" si="131"/>
        <v>3516718399039.4292</v>
      </c>
      <c r="I977" s="40">
        <f t="shared" ca="1" si="132"/>
        <v>39028148170389.547</v>
      </c>
      <c r="J977" s="40">
        <f t="shared" ca="1" si="133"/>
        <v>561934981892.39478</v>
      </c>
      <c r="K977" s="41">
        <f t="shared" ca="1" si="134"/>
        <v>69.453138580119699</v>
      </c>
    </row>
    <row r="978" spans="2:11" ht="15" customHeight="1" x14ac:dyDescent="0.35">
      <c r="B978" s="5">
        <v>957</v>
      </c>
      <c r="C978" s="39">
        <f t="shared" ca="1" si="126"/>
        <v>3.6290593247790159</v>
      </c>
      <c r="D978" s="40">
        <f t="shared" ca="1" si="127"/>
        <v>10938605513.674789</v>
      </c>
      <c r="E978" s="40">
        <f t="shared" ca="1" si="128"/>
        <v>31690628839380.816</v>
      </c>
      <c r="F978" s="40">
        <f t="shared" ca="1" si="129"/>
        <v>36450737872239.266</v>
      </c>
      <c r="G978" s="40">
        <f t="shared" ca="1" si="130"/>
        <v>14170391639628.525</v>
      </c>
      <c r="H978" s="40">
        <f t="shared" ca="1" si="131"/>
        <v>36450737872239.266</v>
      </c>
      <c r="I978" s="40">
        <f t="shared" ca="1" si="132"/>
        <v>13884626273266.607</v>
      </c>
      <c r="J978" s="40">
        <f t="shared" ca="1" si="133"/>
        <v>1071345172631.8846</v>
      </c>
      <c r="K978" s="41">
        <f t="shared" ca="1" si="134"/>
        <v>12.959993313039718</v>
      </c>
    </row>
    <row r="979" spans="2:11" ht="15" customHeight="1" x14ac:dyDescent="0.35">
      <c r="B979" s="5">
        <v>958</v>
      </c>
      <c r="C979" s="39">
        <f t="shared" ca="1" si="126"/>
        <v>3.1145250430513345</v>
      </c>
      <c r="D979" s="40">
        <f t="shared" ca="1" si="127"/>
        <v>6772808789.0694208</v>
      </c>
      <c r="E979" s="40">
        <f t="shared" ca="1" si="128"/>
        <v>112117339773084.7</v>
      </c>
      <c r="F979" s="40">
        <f t="shared" ca="1" si="129"/>
        <v>1193930162688.1472</v>
      </c>
      <c r="G979" s="40">
        <f t="shared" ca="1" si="130"/>
        <v>23574773788289.418</v>
      </c>
      <c r="H979" s="40">
        <f t="shared" ca="1" si="131"/>
        <v>1193930162688.1472</v>
      </c>
      <c r="I979" s="40">
        <f t="shared" ca="1" si="132"/>
        <v>31292690800550.008</v>
      </c>
      <c r="J979" s="40">
        <f t="shared" ca="1" si="133"/>
        <v>861612500935.14502</v>
      </c>
      <c r="K979" s="41">
        <f t="shared" ca="1" si="134"/>
        <v>36.318752068460832</v>
      </c>
    </row>
    <row r="980" spans="2:11" ht="15" customHeight="1" x14ac:dyDescent="0.35">
      <c r="B980" s="5">
        <v>959</v>
      </c>
      <c r="C980" s="39">
        <f t="shared" ca="1" si="126"/>
        <v>2.8620688587275667</v>
      </c>
      <c r="D980" s="40">
        <f t="shared" ca="1" si="127"/>
        <v>3970946392.8218331</v>
      </c>
      <c r="E980" s="40">
        <f t="shared" ca="1" si="128"/>
        <v>3667581771586.3403</v>
      </c>
      <c r="F980" s="40">
        <f t="shared" ca="1" si="129"/>
        <v>3141736831459.1992</v>
      </c>
      <c r="G980" s="40">
        <f t="shared" ca="1" si="130"/>
        <v>1633858204996.6709</v>
      </c>
      <c r="H980" s="40">
        <f t="shared" ca="1" si="131"/>
        <v>3667581771586.3403</v>
      </c>
      <c r="I980" s="40">
        <f t="shared" ca="1" si="132"/>
        <v>1208612181439.8711</v>
      </c>
      <c r="J980" s="40">
        <f t="shared" ca="1" si="133"/>
        <v>697894549776.84241</v>
      </c>
      <c r="K980" s="41">
        <f t="shared" ca="1" si="134"/>
        <v>1.7317977075853865</v>
      </c>
    </row>
    <row r="981" spans="2:11" ht="15" customHeight="1" x14ac:dyDescent="0.35">
      <c r="B981" s="5">
        <v>960</v>
      </c>
      <c r="C981" s="39">
        <f t="shared" ca="1" si="126"/>
        <v>3.1712123659895677</v>
      </c>
      <c r="D981" s="40">
        <f t="shared" ca="1" si="127"/>
        <v>5651000802.5071306</v>
      </c>
      <c r="E981" s="40">
        <f t="shared" ca="1" si="128"/>
        <v>25720356822687.637</v>
      </c>
      <c r="F981" s="40">
        <f t="shared" ca="1" si="129"/>
        <v>3649472968406.8135</v>
      </c>
      <c r="G981" s="40">
        <f t="shared" ca="1" si="130"/>
        <v>30419191466079.391</v>
      </c>
      <c r="H981" s="40">
        <f t="shared" ca="1" si="131"/>
        <v>25720356822687.637</v>
      </c>
      <c r="I981" s="40">
        <f t="shared" ca="1" si="132"/>
        <v>3209303639186.3667</v>
      </c>
      <c r="J981" s="40">
        <f t="shared" ca="1" si="133"/>
        <v>739621420000.54297</v>
      </c>
      <c r="K981" s="41">
        <f t="shared" ca="1" si="134"/>
        <v>4.3391166783460795</v>
      </c>
    </row>
    <row r="982" spans="2:11" ht="15" customHeight="1" x14ac:dyDescent="0.35">
      <c r="B982" s="5">
        <v>961</v>
      </c>
      <c r="C982" s="39">
        <f t="shared" ref="C982:C1045" ca="1" si="135">MEDIAN(1.8,NORMINV(RAND(),$C$7,$D$7),4.5)</f>
        <v>3.0735298148788344</v>
      </c>
      <c r="D982" s="40">
        <f t="shared" ref="D982:D1045" ca="1" si="136">($C$8+RAND()*($D$8-$C$8))*C982^5</f>
        <v>4757432858.7315845</v>
      </c>
      <c r="E982" s="40">
        <f t="shared" ref="E982:E1045" ca="1" si="137">D982*($C$10+RAND()*($D$10-$C$10))*EXP(NORMINV(RAND(),$C$9,$D$9))*($C$11+RAND()*($D$11-$C$11))</f>
        <v>24628780304951.902</v>
      </c>
      <c r="F982" s="40">
        <f t="shared" ref="F982:F1045" ca="1" si="138">EXP(NORMINV(RAND(),$C$12,$D$12))*EXP(NORMINV(RAND(),$C$13,$D$13))</f>
        <v>5790610670505.5332</v>
      </c>
      <c r="G982" s="40">
        <f t="shared" ref="G982:G1045" ca="1" si="139">EXP(NORMINV(RAND(),$C$14,$D$14))*($C$15+RAND()*($D$15-$C$15))*EXP(NORMINV(RAND(),$C$16,$D$16))/1000000*31536000</f>
        <v>7108835289812.9883</v>
      </c>
      <c r="H982" s="40">
        <f t="shared" ref="H982:H1045" ca="1" si="140">CHOOSE(RANDBETWEEN(1,3),E982,F982,G982)</f>
        <v>5790610670505.5332</v>
      </c>
      <c r="I982" s="40">
        <f t="shared" ref="I982:I1045" ca="1" si="141">EXP(NORMINV(RAND(),$C$14,$D$14))*($C$15+RAND()*($D$15-$C$15))*60</f>
        <v>73211594820987.266</v>
      </c>
      <c r="J982" s="40">
        <f t="shared" ref="J982:J1045" ca="1" si="142">($C$17+RAND()*($D$17-$C$17))*($C$18+RAND()*($D$18-$C$18))</f>
        <v>1151048423273.2903</v>
      </c>
      <c r="K982" s="41">
        <f t="shared" ref="K982:K1045" ca="1" si="143">I982/J982</f>
        <v>63.60427010776143</v>
      </c>
    </row>
    <row r="983" spans="2:11" ht="15" customHeight="1" x14ac:dyDescent="0.35">
      <c r="B983" s="5">
        <v>962</v>
      </c>
      <c r="C983" s="39">
        <f t="shared" ca="1" si="135"/>
        <v>3.4980431038765136</v>
      </c>
      <c r="D983" s="40">
        <f t="shared" ca="1" si="136"/>
        <v>12299250938.939756</v>
      </c>
      <c r="E983" s="40">
        <f t="shared" ca="1" si="137"/>
        <v>69997797149198.672</v>
      </c>
      <c r="F983" s="40">
        <f t="shared" ca="1" si="138"/>
        <v>4156182666416.8945</v>
      </c>
      <c r="G983" s="40">
        <f t="shared" ca="1" si="139"/>
        <v>24844125608451.184</v>
      </c>
      <c r="H983" s="40">
        <f t="shared" ca="1" si="140"/>
        <v>4156182666416.8945</v>
      </c>
      <c r="I983" s="40">
        <f t="shared" ca="1" si="141"/>
        <v>4837533813717.7646</v>
      </c>
      <c r="J983" s="40">
        <f t="shared" ca="1" si="142"/>
        <v>1378136567156.8337</v>
      </c>
      <c r="K983" s="41">
        <f t="shared" ca="1" si="143"/>
        <v>3.5101991551518328</v>
      </c>
    </row>
    <row r="984" spans="2:11" ht="15" customHeight="1" x14ac:dyDescent="0.35">
      <c r="B984" s="5">
        <v>963</v>
      </c>
      <c r="C984" s="39">
        <f t="shared" ca="1" si="135"/>
        <v>2.5525107907886802</v>
      </c>
      <c r="D984" s="40">
        <f t="shared" ca="1" si="136"/>
        <v>1794806690.0695951</v>
      </c>
      <c r="E984" s="40">
        <f t="shared" ca="1" si="137"/>
        <v>12784385467635.242</v>
      </c>
      <c r="F984" s="40">
        <f t="shared" ca="1" si="138"/>
        <v>9068175621363.3398</v>
      </c>
      <c r="G984" s="40">
        <f t="shared" ca="1" si="139"/>
        <v>1342308136858.0759</v>
      </c>
      <c r="H984" s="40">
        <f t="shared" ca="1" si="140"/>
        <v>12784385467635.242</v>
      </c>
      <c r="I984" s="40">
        <f t="shared" ca="1" si="141"/>
        <v>2136688321134.022</v>
      </c>
      <c r="J984" s="40">
        <f t="shared" ca="1" si="142"/>
        <v>1185047852009.8962</v>
      </c>
      <c r="K984" s="41">
        <f t="shared" ca="1" si="143"/>
        <v>1.8030396979413947</v>
      </c>
    </row>
    <row r="985" spans="2:11" ht="15" customHeight="1" x14ac:dyDescent="0.35">
      <c r="B985" s="5">
        <v>964</v>
      </c>
      <c r="C985" s="39">
        <f t="shared" ca="1" si="135"/>
        <v>3.230378367041876</v>
      </c>
      <c r="D985" s="40">
        <f t="shared" ca="1" si="136"/>
        <v>6574753272.043438</v>
      </c>
      <c r="E985" s="40">
        <f t="shared" ca="1" si="137"/>
        <v>6553893077195.1426</v>
      </c>
      <c r="F985" s="40">
        <f t="shared" ca="1" si="138"/>
        <v>3541566292894.8691</v>
      </c>
      <c r="G985" s="40">
        <f t="shared" ca="1" si="139"/>
        <v>1460068042687.7739</v>
      </c>
      <c r="H985" s="40">
        <f t="shared" ca="1" si="140"/>
        <v>1460068042687.7739</v>
      </c>
      <c r="I985" s="40">
        <f t="shared" ca="1" si="141"/>
        <v>6190503052708.377</v>
      </c>
      <c r="J985" s="40">
        <f t="shared" ca="1" si="142"/>
        <v>1320575227419.3347</v>
      </c>
      <c r="K985" s="41">
        <f t="shared" ca="1" si="143"/>
        <v>4.6877322277246138</v>
      </c>
    </row>
    <row r="986" spans="2:11" ht="15" customHeight="1" x14ac:dyDescent="0.35">
      <c r="B986" s="5">
        <v>965</v>
      </c>
      <c r="C986" s="39">
        <f t="shared" ca="1" si="135"/>
        <v>2.3000562242937796</v>
      </c>
      <c r="D986" s="40">
        <f t="shared" ca="1" si="136"/>
        <v>1279349111.5715096</v>
      </c>
      <c r="E986" s="40">
        <f t="shared" ca="1" si="137"/>
        <v>8959038566854.002</v>
      </c>
      <c r="F986" s="40">
        <f t="shared" ca="1" si="138"/>
        <v>18556283040512.879</v>
      </c>
      <c r="G986" s="40">
        <f t="shared" ca="1" si="139"/>
        <v>844972634552.85986</v>
      </c>
      <c r="H986" s="40">
        <f t="shared" ca="1" si="140"/>
        <v>8959038566854.002</v>
      </c>
      <c r="I986" s="40">
        <f t="shared" ca="1" si="141"/>
        <v>15421091723264.451</v>
      </c>
      <c r="J986" s="40">
        <f t="shared" ca="1" si="142"/>
        <v>1162113449923.3489</v>
      </c>
      <c r="K986" s="41">
        <f t="shared" ca="1" si="143"/>
        <v>13.269867691731475</v>
      </c>
    </row>
    <row r="987" spans="2:11" ht="15" customHeight="1" x14ac:dyDescent="0.35">
      <c r="B987" s="5">
        <v>966</v>
      </c>
      <c r="C987" s="39">
        <f t="shared" ca="1" si="135"/>
        <v>2.7322696194135112</v>
      </c>
      <c r="D987" s="40">
        <f t="shared" ca="1" si="136"/>
        <v>2470902686.2754078</v>
      </c>
      <c r="E987" s="40">
        <f t="shared" ca="1" si="137"/>
        <v>8889862011824.8105</v>
      </c>
      <c r="F987" s="40">
        <f t="shared" ca="1" si="138"/>
        <v>842920814615.98706</v>
      </c>
      <c r="G987" s="40">
        <f t="shared" ca="1" si="139"/>
        <v>887526763329.25598</v>
      </c>
      <c r="H987" s="40">
        <f t="shared" ca="1" si="140"/>
        <v>8889862011824.8105</v>
      </c>
      <c r="I987" s="40">
        <f t="shared" ca="1" si="141"/>
        <v>9898957003603.0625</v>
      </c>
      <c r="J987" s="40">
        <f t="shared" ca="1" si="142"/>
        <v>887688658441.92334</v>
      </c>
      <c r="K987" s="41">
        <f t="shared" ca="1" si="143"/>
        <v>11.151383888330592</v>
      </c>
    </row>
    <row r="988" spans="2:11" ht="15" customHeight="1" x14ac:dyDescent="0.35">
      <c r="B988" s="5">
        <v>967</v>
      </c>
      <c r="C988" s="39">
        <f t="shared" ca="1" si="135"/>
        <v>2.4481683227785895</v>
      </c>
      <c r="D988" s="40">
        <f t="shared" ca="1" si="136"/>
        <v>2075949373.6613727</v>
      </c>
      <c r="E988" s="40">
        <f t="shared" ca="1" si="137"/>
        <v>8682542677883.2588</v>
      </c>
      <c r="F988" s="40">
        <f t="shared" ca="1" si="138"/>
        <v>684161121772.42322</v>
      </c>
      <c r="G988" s="40">
        <f t="shared" ca="1" si="139"/>
        <v>3201482706677.5107</v>
      </c>
      <c r="H988" s="40">
        <f t="shared" ca="1" si="140"/>
        <v>8682542677883.2588</v>
      </c>
      <c r="I988" s="40">
        <f t="shared" ca="1" si="141"/>
        <v>37279662756522.828</v>
      </c>
      <c r="J988" s="40">
        <f t="shared" ca="1" si="142"/>
        <v>1069153540740.6201</v>
      </c>
      <c r="K988" s="41">
        <f t="shared" ca="1" si="143"/>
        <v>34.868390119812538</v>
      </c>
    </row>
    <row r="989" spans="2:11" ht="15" customHeight="1" x14ac:dyDescent="0.35">
      <c r="B989" s="5">
        <v>968</v>
      </c>
      <c r="C989" s="39">
        <f t="shared" ca="1" si="135"/>
        <v>4.4325816710771688</v>
      </c>
      <c r="D989" s="40">
        <f t="shared" ca="1" si="136"/>
        <v>28088815535.1077</v>
      </c>
      <c r="E989" s="40">
        <f t="shared" ca="1" si="137"/>
        <v>61172559769197.141</v>
      </c>
      <c r="F989" s="40">
        <f t="shared" ca="1" si="138"/>
        <v>609535170180.95166</v>
      </c>
      <c r="G989" s="40">
        <f t="shared" ca="1" si="139"/>
        <v>105687026795721.67</v>
      </c>
      <c r="H989" s="40">
        <f t="shared" ca="1" si="140"/>
        <v>61172559769197.141</v>
      </c>
      <c r="I989" s="40">
        <f t="shared" ca="1" si="141"/>
        <v>28304524683439.855</v>
      </c>
      <c r="J989" s="40">
        <f t="shared" ca="1" si="142"/>
        <v>1229822657763.1506</v>
      </c>
      <c r="K989" s="41">
        <f t="shared" ca="1" si="143"/>
        <v>23.015127022396243</v>
      </c>
    </row>
    <row r="990" spans="2:11" ht="15" customHeight="1" x14ac:dyDescent="0.35">
      <c r="B990" s="5">
        <v>969</v>
      </c>
      <c r="C990" s="39">
        <f t="shared" ca="1" si="135"/>
        <v>2.5444848919453285</v>
      </c>
      <c r="D990" s="40">
        <f t="shared" ca="1" si="136"/>
        <v>2430227394.2364936</v>
      </c>
      <c r="E990" s="40">
        <f t="shared" ca="1" si="137"/>
        <v>52910383183805.195</v>
      </c>
      <c r="F990" s="40">
        <f t="shared" ca="1" si="138"/>
        <v>8796395416075.793</v>
      </c>
      <c r="G990" s="40">
        <f t="shared" ca="1" si="139"/>
        <v>8882535008960.4141</v>
      </c>
      <c r="H990" s="40">
        <f t="shared" ca="1" si="140"/>
        <v>52910383183805.195</v>
      </c>
      <c r="I990" s="40">
        <f t="shared" ca="1" si="141"/>
        <v>7227549028569.3906</v>
      </c>
      <c r="J990" s="40">
        <f t="shared" ca="1" si="142"/>
        <v>831697374441.17627</v>
      </c>
      <c r="K990" s="41">
        <f t="shared" ca="1" si="143"/>
        <v>8.6901188469251025</v>
      </c>
    </row>
    <row r="991" spans="2:11" ht="15" customHeight="1" x14ac:dyDescent="0.35">
      <c r="B991" s="5">
        <v>970</v>
      </c>
      <c r="C991" s="39">
        <f t="shared" ca="1" si="135"/>
        <v>4.0303272619304291</v>
      </c>
      <c r="D991" s="40">
        <f t="shared" ca="1" si="136"/>
        <v>19895029276.222084</v>
      </c>
      <c r="E991" s="40">
        <f t="shared" ca="1" si="137"/>
        <v>108298312716550.25</v>
      </c>
      <c r="F991" s="40">
        <f t="shared" ca="1" si="138"/>
        <v>1916491446301.5212</v>
      </c>
      <c r="G991" s="40">
        <f t="shared" ca="1" si="139"/>
        <v>6805271896284.0859</v>
      </c>
      <c r="H991" s="40">
        <f t="shared" ca="1" si="140"/>
        <v>6805271896284.0859</v>
      </c>
      <c r="I991" s="40">
        <f t="shared" ca="1" si="141"/>
        <v>9789334362906.8262</v>
      </c>
      <c r="J991" s="40">
        <f t="shared" ca="1" si="142"/>
        <v>1389553271123.9077</v>
      </c>
      <c r="K991" s="41">
        <f t="shared" ca="1" si="143"/>
        <v>7.0449507524018502</v>
      </c>
    </row>
    <row r="992" spans="2:11" ht="15" customHeight="1" x14ac:dyDescent="0.35">
      <c r="B992" s="5">
        <v>971</v>
      </c>
      <c r="C992" s="39">
        <f t="shared" ca="1" si="135"/>
        <v>2.6045251743155999</v>
      </c>
      <c r="D992" s="40">
        <f t="shared" ca="1" si="136"/>
        <v>2213000370.9750547</v>
      </c>
      <c r="E992" s="40">
        <f t="shared" ca="1" si="137"/>
        <v>2568155697022.7534</v>
      </c>
      <c r="F992" s="40">
        <f t="shared" ca="1" si="138"/>
        <v>1133555610486.481</v>
      </c>
      <c r="G992" s="40">
        <f t="shared" ca="1" si="139"/>
        <v>5304340680103.8828</v>
      </c>
      <c r="H992" s="40">
        <f t="shared" ca="1" si="140"/>
        <v>2568155697022.7534</v>
      </c>
      <c r="I992" s="40">
        <f t="shared" ca="1" si="141"/>
        <v>17587587267481.305</v>
      </c>
      <c r="J992" s="40">
        <f t="shared" ca="1" si="142"/>
        <v>746809995961.08325</v>
      </c>
      <c r="K992" s="41">
        <f t="shared" ca="1" si="143"/>
        <v>23.550283690093785</v>
      </c>
    </row>
    <row r="993" spans="2:11" ht="15" customHeight="1" x14ac:dyDescent="0.35">
      <c r="B993" s="5">
        <v>972</v>
      </c>
      <c r="C993" s="39">
        <f t="shared" ca="1" si="135"/>
        <v>2.9681624440346601</v>
      </c>
      <c r="D993" s="40">
        <f t="shared" ca="1" si="136"/>
        <v>4616681843.6509266</v>
      </c>
      <c r="E993" s="40">
        <f t="shared" ca="1" si="137"/>
        <v>3826329695003.7949</v>
      </c>
      <c r="F993" s="40">
        <f t="shared" ca="1" si="138"/>
        <v>437761272778.79462</v>
      </c>
      <c r="G993" s="40">
        <f t="shared" ca="1" si="139"/>
        <v>4155866647173.0771</v>
      </c>
      <c r="H993" s="40">
        <f t="shared" ca="1" si="140"/>
        <v>4155866647173.0771</v>
      </c>
      <c r="I993" s="40">
        <f t="shared" ca="1" si="141"/>
        <v>723404044907338.38</v>
      </c>
      <c r="J993" s="40">
        <f t="shared" ca="1" si="142"/>
        <v>1368628303959.9568</v>
      </c>
      <c r="K993" s="41">
        <f t="shared" ca="1" si="143"/>
        <v>528.56136528395484</v>
      </c>
    </row>
    <row r="994" spans="2:11" ht="15" customHeight="1" x14ac:dyDescent="0.35">
      <c r="B994" s="5">
        <v>973</v>
      </c>
      <c r="C994" s="39">
        <f t="shared" ca="1" si="135"/>
        <v>3.4359298586090175</v>
      </c>
      <c r="D994" s="40">
        <f t="shared" ca="1" si="136"/>
        <v>11112210384.467915</v>
      </c>
      <c r="E994" s="40">
        <f t="shared" ca="1" si="137"/>
        <v>13849967511895.383</v>
      </c>
      <c r="F994" s="40">
        <f t="shared" ca="1" si="138"/>
        <v>8957504496849.3633</v>
      </c>
      <c r="G994" s="40">
        <f t="shared" ca="1" si="139"/>
        <v>3534565293878.6382</v>
      </c>
      <c r="H994" s="40">
        <f t="shared" ca="1" si="140"/>
        <v>8957504496849.3633</v>
      </c>
      <c r="I994" s="40">
        <f t="shared" ca="1" si="141"/>
        <v>23275258101864.219</v>
      </c>
      <c r="J994" s="40">
        <f t="shared" ca="1" si="142"/>
        <v>1073155617362.4578</v>
      </c>
      <c r="K994" s="41">
        <f t="shared" ca="1" si="143"/>
        <v>21.688614144394879</v>
      </c>
    </row>
    <row r="995" spans="2:11" ht="15" customHeight="1" x14ac:dyDescent="0.35">
      <c r="B995" s="5">
        <v>974</v>
      </c>
      <c r="C995" s="39">
        <f t="shared" ca="1" si="135"/>
        <v>3.3197599641560602</v>
      </c>
      <c r="D995" s="40">
        <f t="shared" ca="1" si="136"/>
        <v>7909208395.5769758</v>
      </c>
      <c r="E995" s="40">
        <f t="shared" ca="1" si="137"/>
        <v>5751962002521.417</v>
      </c>
      <c r="F995" s="40">
        <f t="shared" ca="1" si="138"/>
        <v>11578647005846.055</v>
      </c>
      <c r="G995" s="40">
        <f t="shared" ca="1" si="139"/>
        <v>25219900124093.336</v>
      </c>
      <c r="H995" s="40">
        <f t="shared" ca="1" si="140"/>
        <v>11578647005846.055</v>
      </c>
      <c r="I995" s="40">
        <f t="shared" ca="1" si="141"/>
        <v>1169286954992.6819</v>
      </c>
      <c r="J995" s="40">
        <f t="shared" ca="1" si="142"/>
        <v>1337273128789.2227</v>
      </c>
      <c r="K995" s="41">
        <f t="shared" ca="1" si="143"/>
        <v>0.87438155289291075</v>
      </c>
    </row>
    <row r="996" spans="2:11" ht="15" customHeight="1" x14ac:dyDescent="0.35">
      <c r="B996" s="5">
        <v>975</v>
      </c>
      <c r="C996" s="39">
        <f t="shared" ca="1" si="135"/>
        <v>2.7899538994424193</v>
      </c>
      <c r="D996" s="40">
        <f t="shared" ca="1" si="136"/>
        <v>2744580429.6230841</v>
      </c>
      <c r="E996" s="40">
        <f t="shared" ca="1" si="137"/>
        <v>9659351493094.7012</v>
      </c>
      <c r="F996" s="40">
        <f t="shared" ca="1" si="138"/>
        <v>1206262753422.083</v>
      </c>
      <c r="G996" s="40">
        <f t="shared" ca="1" si="139"/>
        <v>7000089519790.0693</v>
      </c>
      <c r="H996" s="40">
        <f t="shared" ca="1" si="140"/>
        <v>1206262753422.083</v>
      </c>
      <c r="I996" s="40">
        <f t="shared" ca="1" si="141"/>
        <v>14890513589971.051</v>
      </c>
      <c r="J996" s="40">
        <f t="shared" ca="1" si="142"/>
        <v>1032240434784.8455</v>
      </c>
      <c r="K996" s="41">
        <f t="shared" ca="1" si="143"/>
        <v>14.425431409373871</v>
      </c>
    </row>
    <row r="997" spans="2:11" ht="15" customHeight="1" x14ac:dyDescent="0.35">
      <c r="B997" s="5">
        <v>976</v>
      </c>
      <c r="C997" s="39">
        <f t="shared" ca="1" si="135"/>
        <v>4.0374799483174808</v>
      </c>
      <c r="D997" s="40">
        <f t="shared" ca="1" si="136"/>
        <v>20108974504.299393</v>
      </c>
      <c r="E997" s="40">
        <f t="shared" ca="1" si="137"/>
        <v>31084942829007.609</v>
      </c>
      <c r="F997" s="40">
        <f t="shared" ca="1" si="138"/>
        <v>1893468600988.2</v>
      </c>
      <c r="G997" s="40">
        <f t="shared" ca="1" si="139"/>
        <v>13085041157279.889</v>
      </c>
      <c r="H997" s="40">
        <f t="shared" ca="1" si="140"/>
        <v>13085041157279.889</v>
      </c>
      <c r="I997" s="40">
        <f t="shared" ca="1" si="141"/>
        <v>1156855292508.439</v>
      </c>
      <c r="J997" s="40">
        <f t="shared" ca="1" si="142"/>
        <v>1854809782785.0837</v>
      </c>
      <c r="K997" s="41">
        <f t="shared" ca="1" si="143"/>
        <v>0.62370562374938876</v>
      </c>
    </row>
    <row r="998" spans="2:11" ht="15" customHeight="1" x14ac:dyDescent="0.35">
      <c r="B998" s="5">
        <v>977</v>
      </c>
      <c r="C998" s="39">
        <f t="shared" ca="1" si="135"/>
        <v>3.1128867946884502</v>
      </c>
      <c r="D998" s="40">
        <f t="shared" ca="1" si="136"/>
        <v>6447945276.4686708</v>
      </c>
      <c r="E998" s="40">
        <f t="shared" ca="1" si="137"/>
        <v>14694319593562.186</v>
      </c>
      <c r="F998" s="40">
        <f t="shared" ca="1" si="138"/>
        <v>2349587500630.7744</v>
      </c>
      <c r="G998" s="40">
        <f t="shared" ca="1" si="139"/>
        <v>24372852610620.875</v>
      </c>
      <c r="H998" s="40">
        <f t="shared" ca="1" si="140"/>
        <v>14694319593562.186</v>
      </c>
      <c r="I998" s="40">
        <f t="shared" ca="1" si="141"/>
        <v>27821027447534.297</v>
      </c>
      <c r="J998" s="40">
        <f t="shared" ca="1" si="142"/>
        <v>953822906753.28223</v>
      </c>
      <c r="K998" s="41">
        <f t="shared" ca="1" si="143"/>
        <v>29.167917074076456</v>
      </c>
    </row>
    <row r="999" spans="2:11" ht="15" customHeight="1" x14ac:dyDescent="0.35">
      <c r="B999" s="5">
        <v>978</v>
      </c>
      <c r="C999" s="39">
        <f t="shared" ca="1" si="135"/>
        <v>3.5926572095010183</v>
      </c>
      <c r="D999" s="40">
        <f t="shared" ca="1" si="136"/>
        <v>12046966425.165075</v>
      </c>
      <c r="E999" s="40">
        <f t="shared" ca="1" si="137"/>
        <v>40544945596169.867</v>
      </c>
      <c r="F999" s="40">
        <f t="shared" ca="1" si="138"/>
        <v>9394002682656.2793</v>
      </c>
      <c r="G999" s="40">
        <f t="shared" ca="1" si="139"/>
        <v>6863797649678.8711</v>
      </c>
      <c r="H999" s="40">
        <f t="shared" ca="1" si="140"/>
        <v>6863797649678.8711</v>
      </c>
      <c r="I999" s="40">
        <f t="shared" ca="1" si="141"/>
        <v>9437209918964.3516</v>
      </c>
      <c r="J999" s="40">
        <f t="shared" ca="1" si="142"/>
        <v>699188581466.02917</v>
      </c>
      <c r="K999" s="41">
        <f t="shared" ca="1" si="143"/>
        <v>13.497374197926412</v>
      </c>
    </row>
    <row r="1000" spans="2:11" ht="15" customHeight="1" x14ac:dyDescent="0.35">
      <c r="B1000" s="5">
        <v>979</v>
      </c>
      <c r="C1000" s="39">
        <f t="shared" ca="1" si="135"/>
        <v>3.0313208257557456</v>
      </c>
      <c r="D1000" s="40">
        <f t="shared" ca="1" si="136"/>
        <v>6010510651.6231155</v>
      </c>
      <c r="E1000" s="40">
        <f t="shared" ca="1" si="137"/>
        <v>48578366584239.695</v>
      </c>
      <c r="F1000" s="40">
        <f t="shared" ca="1" si="138"/>
        <v>6306952414370.7334</v>
      </c>
      <c r="G1000" s="40">
        <f t="shared" ca="1" si="139"/>
        <v>2577476722491.3447</v>
      </c>
      <c r="H1000" s="40">
        <f t="shared" ca="1" si="140"/>
        <v>2577476722491.3447</v>
      </c>
      <c r="I1000" s="40">
        <f t="shared" ca="1" si="141"/>
        <v>4596643239833.3984</v>
      </c>
      <c r="J1000" s="40">
        <f t="shared" ca="1" si="142"/>
        <v>813945432586.63147</v>
      </c>
      <c r="K1000" s="41">
        <f t="shared" ca="1" si="143"/>
        <v>5.6473604443307188</v>
      </c>
    </row>
    <row r="1001" spans="2:11" ht="15" customHeight="1" x14ac:dyDescent="0.35">
      <c r="B1001" s="5">
        <v>980</v>
      </c>
      <c r="C1001" s="39">
        <f t="shared" ca="1" si="135"/>
        <v>3.3951563657403101</v>
      </c>
      <c r="D1001" s="40">
        <f t="shared" ca="1" si="136"/>
        <v>9284141785.6809978</v>
      </c>
      <c r="E1001" s="40">
        <f t="shared" ca="1" si="137"/>
        <v>13330434448415.092</v>
      </c>
      <c r="F1001" s="40">
        <f t="shared" ca="1" si="138"/>
        <v>2649302406064.4111</v>
      </c>
      <c r="G1001" s="40">
        <f t="shared" ca="1" si="139"/>
        <v>864462101075.81323</v>
      </c>
      <c r="H1001" s="40">
        <f t="shared" ca="1" si="140"/>
        <v>13330434448415.092</v>
      </c>
      <c r="I1001" s="40">
        <f t="shared" ca="1" si="141"/>
        <v>31192832913326.047</v>
      </c>
      <c r="J1001" s="40">
        <f t="shared" ca="1" si="142"/>
        <v>1449921277837.9258</v>
      </c>
      <c r="K1001" s="41">
        <f t="shared" ca="1" si="143"/>
        <v>21.513466551673591</v>
      </c>
    </row>
    <row r="1002" spans="2:11" ht="15" customHeight="1" x14ac:dyDescent="0.35">
      <c r="B1002" s="5">
        <v>981</v>
      </c>
      <c r="C1002" s="39">
        <f t="shared" ca="1" si="135"/>
        <v>3.4266731491529403</v>
      </c>
      <c r="D1002" s="40">
        <f t="shared" ca="1" si="136"/>
        <v>9539731843.8840389</v>
      </c>
      <c r="E1002" s="40">
        <f t="shared" ca="1" si="137"/>
        <v>9738110327442.2031</v>
      </c>
      <c r="F1002" s="40">
        <f t="shared" ca="1" si="138"/>
        <v>905437327654.73608</v>
      </c>
      <c r="G1002" s="40">
        <f t="shared" ca="1" si="139"/>
        <v>17283715724585.049</v>
      </c>
      <c r="H1002" s="40">
        <f t="shared" ca="1" si="140"/>
        <v>17283715724585.049</v>
      </c>
      <c r="I1002" s="40">
        <f t="shared" ca="1" si="141"/>
        <v>20996315068441.984</v>
      </c>
      <c r="J1002" s="40">
        <f t="shared" ca="1" si="142"/>
        <v>555783382111.14368</v>
      </c>
      <c r="K1002" s="41">
        <f t="shared" ca="1" si="143"/>
        <v>37.777874877596126</v>
      </c>
    </row>
    <row r="1003" spans="2:11" ht="15" customHeight="1" x14ac:dyDescent="0.35">
      <c r="B1003" s="5">
        <v>982</v>
      </c>
      <c r="C1003" s="39">
        <f t="shared" ca="1" si="135"/>
        <v>3.6608245563623574</v>
      </c>
      <c r="D1003" s="40">
        <f t="shared" ca="1" si="136"/>
        <v>13138762797.03056</v>
      </c>
      <c r="E1003" s="40">
        <f t="shared" ca="1" si="137"/>
        <v>20797406963631.176</v>
      </c>
      <c r="F1003" s="40">
        <f t="shared" ca="1" si="138"/>
        <v>4658191276650.6133</v>
      </c>
      <c r="G1003" s="40">
        <f t="shared" ca="1" si="139"/>
        <v>947604397258.74353</v>
      </c>
      <c r="H1003" s="40">
        <f t="shared" ca="1" si="140"/>
        <v>4658191276650.6133</v>
      </c>
      <c r="I1003" s="40">
        <f t="shared" ca="1" si="141"/>
        <v>52973892343570.297</v>
      </c>
      <c r="J1003" s="40">
        <f t="shared" ca="1" si="142"/>
        <v>1020067125278.4082</v>
      </c>
      <c r="K1003" s="41">
        <f t="shared" ca="1" si="143"/>
        <v>51.931770989200409</v>
      </c>
    </row>
    <row r="1004" spans="2:11" ht="15" customHeight="1" x14ac:dyDescent="0.35">
      <c r="B1004" s="5">
        <v>983</v>
      </c>
      <c r="C1004" s="39">
        <f t="shared" ca="1" si="135"/>
        <v>2.3817078882127247</v>
      </c>
      <c r="D1004" s="40">
        <f t="shared" ca="1" si="136"/>
        <v>1626253603.8216748</v>
      </c>
      <c r="E1004" s="40">
        <f t="shared" ca="1" si="137"/>
        <v>14724439666030.074</v>
      </c>
      <c r="F1004" s="40">
        <f t="shared" ca="1" si="138"/>
        <v>1963430920771.5508</v>
      </c>
      <c r="G1004" s="40">
        <f t="shared" ca="1" si="139"/>
        <v>2484440783758.6479</v>
      </c>
      <c r="H1004" s="40">
        <f t="shared" ca="1" si="140"/>
        <v>14724439666030.074</v>
      </c>
      <c r="I1004" s="40">
        <f t="shared" ca="1" si="141"/>
        <v>4498244275429.9023</v>
      </c>
      <c r="J1004" s="40">
        <f t="shared" ca="1" si="142"/>
        <v>1049684335887.9255</v>
      </c>
      <c r="K1004" s="41">
        <f t="shared" ca="1" si="143"/>
        <v>4.2853304766378626</v>
      </c>
    </row>
    <row r="1005" spans="2:11" ht="15" customHeight="1" x14ac:dyDescent="0.35">
      <c r="B1005" s="5">
        <v>984</v>
      </c>
      <c r="C1005" s="39">
        <f t="shared" ca="1" si="135"/>
        <v>3.2115108834883515</v>
      </c>
      <c r="D1005" s="40">
        <f t="shared" ca="1" si="136"/>
        <v>7596262521.5919476</v>
      </c>
      <c r="E1005" s="40">
        <f t="shared" ca="1" si="137"/>
        <v>21807104122833.066</v>
      </c>
      <c r="F1005" s="40">
        <f t="shared" ca="1" si="138"/>
        <v>1715057516077.7241</v>
      </c>
      <c r="G1005" s="40">
        <f t="shared" ca="1" si="139"/>
        <v>25879751435490.309</v>
      </c>
      <c r="H1005" s="40">
        <f t="shared" ca="1" si="140"/>
        <v>21807104122833.066</v>
      </c>
      <c r="I1005" s="40">
        <f t="shared" ca="1" si="141"/>
        <v>22670484172815.113</v>
      </c>
      <c r="J1005" s="40">
        <f t="shared" ca="1" si="142"/>
        <v>969859432861.78271</v>
      </c>
      <c r="K1005" s="41">
        <f t="shared" ca="1" si="143"/>
        <v>23.375020549030371</v>
      </c>
    </row>
    <row r="1006" spans="2:11" ht="15" customHeight="1" x14ac:dyDescent="0.35">
      <c r="B1006" s="5">
        <v>985</v>
      </c>
      <c r="C1006" s="39">
        <f t="shared" ca="1" si="135"/>
        <v>2.4416011997590856</v>
      </c>
      <c r="D1006" s="40">
        <f t="shared" ca="1" si="136"/>
        <v>1920656875.4808612</v>
      </c>
      <c r="E1006" s="40">
        <f t="shared" ca="1" si="137"/>
        <v>4237201980250.6099</v>
      </c>
      <c r="F1006" s="40">
        <f t="shared" ca="1" si="138"/>
        <v>5341095708824.9697</v>
      </c>
      <c r="G1006" s="40">
        <f t="shared" ca="1" si="139"/>
        <v>12033566376257.912</v>
      </c>
      <c r="H1006" s="40">
        <f t="shared" ca="1" si="140"/>
        <v>12033566376257.912</v>
      </c>
      <c r="I1006" s="40">
        <f t="shared" ca="1" si="141"/>
        <v>14285675279212.457</v>
      </c>
      <c r="J1006" s="40">
        <f t="shared" ca="1" si="142"/>
        <v>1503458528761.5037</v>
      </c>
      <c r="K1006" s="41">
        <f t="shared" ca="1" si="143"/>
        <v>9.5018751804085309</v>
      </c>
    </row>
    <row r="1007" spans="2:11" ht="15" customHeight="1" x14ac:dyDescent="0.35">
      <c r="B1007" s="5">
        <v>986</v>
      </c>
      <c r="C1007" s="39">
        <f t="shared" ca="1" si="135"/>
        <v>3.7683502276111227</v>
      </c>
      <c r="D1007" s="40">
        <f t="shared" ca="1" si="136"/>
        <v>16109033200.021807</v>
      </c>
      <c r="E1007" s="40">
        <f t="shared" ca="1" si="137"/>
        <v>16270173651728.213</v>
      </c>
      <c r="F1007" s="40">
        <f t="shared" ca="1" si="138"/>
        <v>2615968938534.1621</v>
      </c>
      <c r="G1007" s="40">
        <f t="shared" ca="1" si="139"/>
        <v>897623494324.51123</v>
      </c>
      <c r="H1007" s="40">
        <f t="shared" ca="1" si="140"/>
        <v>2615968938534.1621</v>
      </c>
      <c r="I1007" s="40">
        <f t="shared" ca="1" si="141"/>
        <v>52860828584862.984</v>
      </c>
      <c r="J1007" s="40">
        <f t="shared" ca="1" si="142"/>
        <v>567648189138.67383</v>
      </c>
      <c r="K1007" s="41">
        <f t="shared" ca="1" si="143"/>
        <v>93.122517778259535</v>
      </c>
    </row>
    <row r="1008" spans="2:11" ht="15" customHeight="1" x14ac:dyDescent="0.35">
      <c r="B1008" s="5">
        <v>987</v>
      </c>
      <c r="C1008" s="39">
        <f t="shared" ca="1" si="135"/>
        <v>3.0373325354053176</v>
      </c>
      <c r="D1008" s="40">
        <f t="shared" ca="1" si="136"/>
        <v>4747966825.7816763</v>
      </c>
      <c r="E1008" s="40">
        <f t="shared" ca="1" si="137"/>
        <v>96512384414109.453</v>
      </c>
      <c r="F1008" s="40">
        <f t="shared" ca="1" si="138"/>
        <v>1345300917650.2439</v>
      </c>
      <c r="G1008" s="40">
        <f t="shared" ca="1" si="139"/>
        <v>3338297255036.3672</v>
      </c>
      <c r="H1008" s="40">
        <f t="shared" ca="1" si="140"/>
        <v>3338297255036.3672</v>
      </c>
      <c r="I1008" s="40">
        <f t="shared" ca="1" si="141"/>
        <v>3663218899623.2739</v>
      </c>
      <c r="J1008" s="40">
        <f t="shared" ca="1" si="142"/>
        <v>1483172140898.8887</v>
      </c>
      <c r="K1008" s="41">
        <f t="shared" ca="1" si="143"/>
        <v>2.4698541717505225</v>
      </c>
    </row>
    <row r="1009" spans="2:11" ht="15" customHeight="1" x14ac:dyDescent="0.35">
      <c r="B1009" s="5">
        <v>988</v>
      </c>
      <c r="C1009" s="39">
        <f t="shared" ca="1" si="135"/>
        <v>2.9276590627909744</v>
      </c>
      <c r="D1009" s="40">
        <f t="shared" ca="1" si="136"/>
        <v>4200408443.504014</v>
      </c>
      <c r="E1009" s="40">
        <f t="shared" ca="1" si="137"/>
        <v>4741709816592.6553</v>
      </c>
      <c r="F1009" s="40">
        <f t="shared" ca="1" si="138"/>
        <v>12122339982039.695</v>
      </c>
      <c r="G1009" s="40">
        <f t="shared" ca="1" si="139"/>
        <v>24444390272009.031</v>
      </c>
      <c r="H1009" s="40">
        <f t="shared" ca="1" si="140"/>
        <v>12122339982039.695</v>
      </c>
      <c r="I1009" s="40">
        <f t="shared" ca="1" si="141"/>
        <v>1260586900479.3137</v>
      </c>
      <c r="J1009" s="40">
        <f t="shared" ca="1" si="142"/>
        <v>1107757209183.6357</v>
      </c>
      <c r="K1009" s="41">
        <f t="shared" ca="1" si="143"/>
        <v>1.1379631656004352</v>
      </c>
    </row>
    <row r="1010" spans="2:11" ht="15" customHeight="1" x14ac:dyDescent="0.35">
      <c r="B1010" s="5">
        <v>989</v>
      </c>
      <c r="C1010" s="39">
        <f t="shared" ca="1" si="135"/>
        <v>3.0695551413519064</v>
      </c>
      <c r="D1010" s="40">
        <f t="shared" ca="1" si="136"/>
        <v>4596256888.8853331</v>
      </c>
      <c r="E1010" s="40">
        <f t="shared" ca="1" si="137"/>
        <v>186693732556419.63</v>
      </c>
      <c r="F1010" s="40">
        <f t="shared" ca="1" si="138"/>
        <v>541192908141.14392</v>
      </c>
      <c r="G1010" s="40">
        <f t="shared" ca="1" si="139"/>
        <v>24651043199067.027</v>
      </c>
      <c r="H1010" s="40">
        <f t="shared" ca="1" si="140"/>
        <v>541192908141.14392</v>
      </c>
      <c r="I1010" s="40">
        <f t="shared" ca="1" si="141"/>
        <v>12074736379553.455</v>
      </c>
      <c r="J1010" s="40">
        <f t="shared" ca="1" si="142"/>
        <v>1416000138953.054</v>
      </c>
      <c r="K1010" s="41">
        <f t="shared" ca="1" si="143"/>
        <v>8.5273553634543688</v>
      </c>
    </row>
    <row r="1011" spans="2:11" ht="15" customHeight="1" x14ac:dyDescent="0.35">
      <c r="B1011" s="5">
        <v>990</v>
      </c>
      <c r="C1011" s="39">
        <f t="shared" ca="1" si="135"/>
        <v>2.9169263159863004</v>
      </c>
      <c r="D1011" s="40">
        <f t="shared" ca="1" si="136"/>
        <v>3703127500.7151504</v>
      </c>
      <c r="E1011" s="40">
        <f t="shared" ca="1" si="137"/>
        <v>35048873012429.512</v>
      </c>
      <c r="F1011" s="40">
        <f t="shared" ca="1" si="138"/>
        <v>2753534657363.6567</v>
      </c>
      <c r="G1011" s="40">
        <f t="shared" ca="1" si="139"/>
        <v>3456143044962.8618</v>
      </c>
      <c r="H1011" s="40">
        <f t="shared" ca="1" si="140"/>
        <v>35048873012429.512</v>
      </c>
      <c r="I1011" s="40">
        <f t="shared" ca="1" si="141"/>
        <v>12370637854308.256</v>
      </c>
      <c r="J1011" s="40">
        <f t="shared" ca="1" si="142"/>
        <v>939745881645.51367</v>
      </c>
      <c r="K1011" s="41">
        <f t="shared" ca="1" si="143"/>
        <v>13.163811723917346</v>
      </c>
    </row>
    <row r="1012" spans="2:11" ht="15" customHeight="1" x14ac:dyDescent="0.35">
      <c r="B1012" s="5">
        <v>991</v>
      </c>
      <c r="C1012" s="39">
        <f t="shared" ca="1" si="135"/>
        <v>3.379504785665318</v>
      </c>
      <c r="D1012" s="40">
        <f t="shared" ca="1" si="136"/>
        <v>10451015312.912148</v>
      </c>
      <c r="E1012" s="40">
        <f t="shared" ca="1" si="137"/>
        <v>43300648573985.914</v>
      </c>
      <c r="F1012" s="40">
        <f t="shared" ca="1" si="138"/>
        <v>1205895198385.9207</v>
      </c>
      <c r="G1012" s="40">
        <f t="shared" ca="1" si="139"/>
        <v>585038372843.70618</v>
      </c>
      <c r="H1012" s="40">
        <f t="shared" ca="1" si="140"/>
        <v>585038372843.70618</v>
      </c>
      <c r="I1012" s="40">
        <f t="shared" ca="1" si="141"/>
        <v>64823286972771.625</v>
      </c>
      <c r="J1012" s="40">
        <f t="shared" ca="1" si="142"/>
        <v>1052807959068.4489</v>
      </c>
      <c r="K1012" s="41">
        <f t="shared" ca="1" si="143"/>
        <v>61.571805583735241</v>
      </c>
    </row>
    <row r="1013" spans="2:11" ht="15" customHeight="1" x14ac:dyDescent="0.35">
      <c r="B1013" s="5">
        <v>992</v>
      </c>
      <c r="C1013" s="39">
        <f t="shared" ca="1" si="135"/>
        <v>3.3286270019207711</v>
      </c>
      <c r="D1013" s="40">
        <f t="shared" ca="1" si="136"/>
        <v>6956011698.9686842</v>
      </c>
      <c r="E1013" s="40">
        <f t="shared" ca="1" si="137"/>
        <v>24846459405642.754</v>
      </c>
      <c r="F1013" s="40">
        <f t="shared" ca="1" si="138"/>
        <v>6458870640007.9229</v>
      </c>
      <c r="G1013" s="40">
        <f t="shared" ca="1" si="139"/>
        <v>1593509242502.3689</v>
      </c>
      <c r="H1013" s="40">
        <f t="shared" ca="1" si="140"/>
        <v>6458870640007.9229</v>
      </c>
      <c r="I1013" s="40">
        <f t="shared" ca="1" si="141"/>
        <v>4557601980669.6797</v>
      </c>
      <c r="J1013" s="40">
        <f t="shared" ca="1" si="142"/>
        <v>1315842104395.2708</v>
      </c>
      <c r="K1013" s="41">
        <f t="shared" ca="1" si="143"/>
        <v>3.4636389620350716</v>
      </c>
    </row>
    <row r="1014" spans="2:11" ht="15" customHeight="1" x14ac:dyDescent="0.35">
      <c r="B1014" s="5">
        <v>993</v>
      </c>
      <c r="C1014" s="39">
        <f t="shared" ca="1" si="135"/>
        <v>3.4174020973774892</v>
      </c>
      <c r="D1014" s="40">
        <f t="shared" ca="1" si="136"/>
        <v>8729278620.5483723</v>
      </c>
      <c r="E1014" s="40">
        <f t="shared" ca="1" si="137"/>
        <v>161998529227332.72</v>
      </c>
      <c r="F1014" s="40">
        <f t="shared" ca="1" si="138"/>
        <v>1467165416997.4636</v>
      </c>
      <c r="G1014" s="40">
        <f t="shared" ca="1" si="139"/>
        <v>63505354664803.398</v>
      </c>
      <c r="H1014" s="40">
        <f t="shared" ca="1" si="140"/>
        <v>161998529227332.72</v>
      </c>
      <c r="I1014" s="40">
        <f t="shared" ca="1" si="141"/>
        <v>10861247159777.582</v>
      </c>
      <c r="J1014" s="40">
        <f t="shared" ca="1" si="142"/>
        <v>831152913118.92542</v>
      </c>
      <c r="K1014" s="41">
        <f t="shared" ca="1" si="143"/>
        <v>13.067688253681789</v>
      </c>
    </row>
    <row r="1015" spans="2:11" ht="15" customHeight="1" x14ac:dyDescent="0.35">
      <c r="B1015" s="5">
        <v>994</v>
      </c>
      <c r="C1015" s="39">
        <f t="shared" ca="1" si="135"/>
        <v>3.3659538236291535</v>
      </c>
      <c r="D1015" s="40">
        <f t="shared" ca="1" si="136"/>
        <v>8592239227.4593849</v>
      </c>
      <c r="E1015" s="40">
        <f t="shared" ca="1" si="137"/>
        <v>164429272988249.88</v>
      </c>
      <c r="F1015" s="40">
        <f t="shared" ca="1" si="138"/>
        <v>9671738870948.082</v>
      </c>
      <c r="G1015" s="40">
        <f t="shared" ca="1" si="139"/>
        <v>4211027190884.8662</v>
      </c>
      <c r="H1015" s="40">
        <f t="shared" ca="1" si="140"/>
        <v>164429272988249.88</v>
      </c>
      <c r="I1015" s="40">
        <f t="shared" ca="1" si="141"/>
        <v>21991253594230.277</v>
      </c>
      <c r="J1015" s="40">
        <f t="shared" ca="1" si="142"/>
        <v>1018162512873.4971</v>
      </c>
      <c r="K1015" s="41">
        <f t="shared" ca="1" si="143"/>
        <v>21.598962165839051</v>
      </c>
    </row>
    <row r="1016" spans="2:11" ht="15" customHeight="1" x14ac:dyDescent="0.35">
      <c r="B1016" s="5">
        <v>995</v>
      </c>
      <c r="C1016" s="39">
        <f t="shared" ca="1" si="135"/>
        <v>2.4402428641618203</v>
      </c>
      <c r="D1016" s="40">
        <f t="shared" ca="1" si="136"/>
        <v>1657024776.9418416</v>
      </c>
      <c r="E1016" s="40">
        <f t="shared" ca="1" si="137"/>
        <v>13237891244538.533</v>
      </c>
      <c r="F1016" s="40">
        <f t="shared" ca="1" si="138"/>
        <v>993590307023.87561</v>
      </c>
      <c r="G1016" s="40">
        <f t="shared" ca="1" si="139"/>
        <v>1321154254135.7981</v>
      </c>
      <c r="H1016" s="40">
        <f t="shared" ca="1" si="140"/>
        <v>993590307023.87561</v>
      </c>
      <c r="I1016" s="40">
        <f t="shared" ca="1" si="141"/>
        <v>2382662088760.5142</v>
      </c>
      <c r="J1016" s="40">
        <f t="shared" ca="1" si="142"/>
        <v>1319779932198.4541</v>
      </c>
      <c r="K1016" s="41">
        <f t="shared" ca="1" si="143"/>
        <v>1.8053480210079718</v>
      </c>
    </row>
    <row r="1017" spans="2:11" ht="15" customHeight="1" x14ac:dyDescent="0.35">
      <c r="B1017" s="5">
        <v>996</v>
      </c>
      <c r="C1017" s="39">
        <f t="shared" ca="1" si="135"/>
        <v>2.4506418744961023</v>
      </c>
      <c r="D1017" s="40">
        <f t="shared" ca="1" si="136"/>
        <v>1760058192.1920633</v>
      </c>
      <c r="E1017" s="40">
        <f t="shared" ca="1" si="137"/>
        <v>4046752981901.0493</v>
      </c>
      <c r="F1017" s="40">
        <f t="shared" ca="1" si="138"/>
        <v>2298457044153.3115</v>
      </c>
      <c r="G1017" s="40">
        <f t="shared" ca="1" si="139"/>
        <v>339582395219.80658</v>
      </c>
      <c r="H1017" s="40">
        <f t="shared" ca="1" si="140"/>
        <v>339582395219.80658</v>
      </c>
      <c r="I1017" s="40">
        <f t="shared" ca="1" si="141"/>
        <v>4855325701066.6768</v>
      </c>
      <c r="J1017" s="40">
        <f t="shared" ca="1" si="142"/>
        <v>848274329198.33972</v>
      </c>
      <c r="K1017" s="41">
        <f t="shared" ca="1" si="143"/>
        <v>5.7237682833750192</v>
      </c>
    </row>
    <row r="1018" spans="2:11" ht="15" customHeight="1" x14ac:dyDescent="0.35">
      <c r="B1018" s="5">
        <v>997</v>
      </c>
      <c r="C1018" s="39">
        <f t="shared" ca="1" si="135"/>
        <v>2.052427747075634</v>
      </c>
      <c r="D1018" s="40">
        <f t="shared" ca="1" si="136"/>
        <v>763064066.78483522</v>
      </c>
      <c r="E1018" s="40">
        <f t="shared" ca="1" si="137"/>
        <v>8837522657718.0742</v>
      </c>
      <c r="F1018" s="40">
        <f t="shared" ca="1" si="138"/>
        <v>1030243828845.0063</v>
      </c>
      <c r="G1018" s="40">
        <f t="shared" ca="1" si="139"/>
        <v>35144464230655.445</v>
      </c>
      <c r="H1018" s="40">
        <f t="shared" ca="1" si="140"/>
        <v>1030243828845.0063</v>
      </c>
      <c r="I1018" s="40">
        <f t="shared" ca="1" si="141"/>
        <v>179919650263263.25</v>
      </c>
      <c r="J1018" s="40">
        <f t="shared" ca="1" si="142"/>
        <v>1275143653277.7073</v>
      </c>
      <c r="K1018" s="41">
        <f t="shared" ca="1" si="143"/>
        <v>141.09755383308129</v>
      </c>
    </row>
    <row r="1019" spans="2:11" ht="15" customHeight="1" x14ac:dyDescent="0.35">
      <c r="B1019" s="5">
        <v>998</v>
      </c>
      <c r="C1019" s="39">
        <f t="shared" ca="1" si="135"/>
        <v>3.2834818248859476</v>
      </c>
      <c r="D1019" s="40">
        <f t="shared" ca="1" si="136"/>
        <v>8708049592.7732162</v>
      </c>
      <c r="E1019" s="40">
        <f t="shared" ca="1" si="137"/>
        <v>14318851172962.084</v>
      </c>
      <c r="F1019" s="40">
        <f t="shared" ca="1" si="138"/>
        <v>1031649353901.4994</v>
      </c>
      <c r="G1019" s="40">
        <f t="shared" ca="1" si="139"/>
        <v>6220251977228.7461</v>
      </c>
      <c r="H1019" s="40">
        <f t="shared" ca="1" si="140"/>
        <v>6220251977228.7461</v>
      </c>
      <c r="I1019" s="40">
        <f t="shared" ca="1" si="141"/>
        <v>12141985514363.787</v>
      </c>
      <c r="J1019" s="40">
        <f t="shared" ca="1" si="142"/>
        <v>1093947788039.6409</v>
      </c>
      <c r="K1019" s="41">
        <f t="shared" ca="1" si="143"/>
        <v>11.09923677081726</v>
      </c>
    </row>
    <row r="1020" spans="2:11" ht="15" customHeight="1" x14ac:dyDescent="0.35">
      <c r="B1020" s="5">
        <v>999</v>
      </c>
      <c r="C1020" s="39">
        <f t="shared" ca="1" si="135"/>
        <v>2.2379529947557861</v>
      </c>
      <c r="D1020" s="40">
        <f t="shared" ca="1" si="136"/>
        <v>1249285861.8961875</v>
      </c>
      <c r="E1020" s="40">
        <f t="shared" ca="1" si="137"/>
        <v>1453764414734.2703</v>
      </c>
      <c r="F1020" s="40">
        <f t="shared" ca="1" si="138"/>
        <v>13375182518044.857</v>
      </c>
      <c r="G1020" s="40">
        <f t="shared" ca="1" si="139"/>
        <v>1802924009334.3625</v>
      </c>
      <c r="H1020" s="40">
        <f t="shared" ca="1" si="140"/>
        <v>1802924009334.3625</v>
      </c>
      <c r="I1020" s="40">
        <f t="shared" ca="1" si="141"/>
        <v>2711439619209.064</v>
      </c>
      <c r="J1020" s="40">
        <f t="shared" ca="1" si="142"/>
        <v>622599432213.18945</v>
      </c>
      <c r="K1020" s="41">
        <f t="shared" ca="1" si="143"/>
        <v>4.3550306648538948</v>
      </c>
    </row>
    <row r="1021" spans="2:11" ht="15" customHeight="1" x14ac:dyDescent="0.35">
      <c r="B1021" s="5">
        <v>1000</v>
      </c>
      <c r="C1021" s="39">
        <f t="shared" ca="1" si="135"/>
        <v>2.9047168956726011</v>
      </c>
      <c r="D1021" s="40">
        <f t="shared" ca="1" si="136"/>
        <v>3593265615.613627</v>
      </c>
      <c r="E1021" s="40">
        <f t="shared" ca="1" si="137"/>
        <v>63814659433580.984</v>
      </c>
      <c r="F1021" s="40">
        <f t="shared" ca="1" si="138"/>
        <v>1844498827337.6943</v>
      </c>
      <c r="G1021" s="40">
        <f t="shared" ca="1" si="139"/>
        <v>1830626601782.1675</v>
      </c>
      <c r="H1021" s="40">
        <f t="shared" ca="1" si="140"/>
        <v>1844498827337.6943</v>
      </c>
      <c r="I1021" s="40">
        <f t="shared" ca="1" si="141"/>
        <v>12240576785973.736</v>
      </c>
      <c r="J1021" s="40">
        <f t="shared" ca="1" si="142"/>
        <v>685448870178.9043</v>
      </c>
      <c r="K1021" s="41">
        <f t="shared" ca="1" si="143"/>
        <v>17.857753245371764</v>
      </c>
    </row>
    <row r="1022" spans="2:11" ht="15" customHeight="1" x14ac:dyDescent="0.35">
      <c r="B1022" s="5">
        <v>1001</v>
      </c>
      <c r="C1022" s="39">
        <f t="shared" ca="1" si="135"/>
        <v>2.9340815153016271</v>
      </c>
      <c r="D1022" s="40">
        <f t="shared" ca="1" si="136"/>
        <v>4586210668.039547</v>
      </c>
      <c r="E1022" s="40">
        <f t="shared" ca="1" si="137"/>
        <v>34164512690843.547</v>
      </c>
      <c r="F1022" s="40">
        <f t="shared" ca="1" si="138"/>
        <v>2517969374487.0684</v>
      </c>
      <c r="G1022" s="40">
        <f t="shared" ca="1" si="139"/>
        <v>219976428161459.78</v>
      </c>
      <c r="H1022" s="40">
        <f t="shared" ca="1" si="140"/>
        <v>219976428161459.78</v>
      </c>
      <c r="I1022" s="40">
        <f t="shared" ca="1" si="141"/>
        <v>10290880219913.164</v>
      </c>
      <c r="J1022" s="40">
        <f t="shared" ca="1" si="142"/>
        <v>1331958940315.3386</v>
      </c>
      <c r="K1022" s="41">
        <f t="shared" ca="1" si="143"/>
        <v>7.726124213316079</v>
      </c>
    </row>
    <row r="1023" spans="2:11" ht="15" customHeight="1" x14ac:dyDescent="0.35">
      <c r="B1023" s="5">
        <v>1002</v>
      </c>
      <c r="C1023" s="39">
        <f t="shared" ca="1" si="135"/>
        <v>2.4891883705662163</v>
      </c>
      <c r="D1023" s="40">
        <f t="shared" ca="1" si="136"/>
        <v>1545003050.0930634</v>
      </c>
      <c r="E1023" s="40">
        <f t="shared" ca="1" si="137"/>
        <v>3969839390299.8169</v>
      </c>
      <c r="F1023" s="40">
        <f t="shared" ca="1" si="138"/>
        <v>3363991880106.8418</v>
      </c>
      <c r="G1023" s="40">
        <f t="shared" ca="1" si="139"/>
        <v>9336750127353.2871</v>
      </c>
      <c r="H1023" s="40">
        <f t="shared" ca="1" si="140"/>
        <v>9336750127353.2871</v>
      </c>
      <c r="I1023" s="40">
        <f t="shared" ca="1" si="141"/>
        <v>7018353656475.7236</v>
      </c>
      <c r="J1023" s="40">
        <f t="shared" ca="1" si="142"/>
        <v>1121633929363.9749</v>
      </c>
      <c r="K1023" s="41">
        <f t="shared" ca="1" si="143"/>
        <v>6.2572586944258166</v>
      </c>
    </row>
    <row r="1024" spans="2:11" ht="15" customHeight="1" x14ac:dyDescent="0.35">
      <c r="B1024" s="5">
        <v>1003</v>
      </c>
      <c r="C1024" s="39">
        <f t="shared" ca="1" si="135"/>
        <v>3.9675254948242311</v>
      </c>
      <c r="D1024" s="40">
        <f t="shared" ca="1" si="136"/>
        <v>22184659076.260059</v>
      </c>
      <c r="E1024" s="40">
        <f t="shared" ca="1" si="137"/>
        <v>219440294120764.28</v>
      </c>
      <c r="F1024" s="40">
        <f t="shared" ca="1" si="138"/>
        <v>4138546870784.8647</v>
      </c>
      <c r="G1024" s="40">
        <f t="shared" ca="1" si="139"/>
        <v>24847382613361.004</v>
      </c>
      <c r="H1024" s="40">
        <f t="shared" ca="1" si="140"/>
        <v>4138546870784.8647</v>
      </c>
      <c r="I1024" s="40">
        <f t="shared" ca="1" si="141"/>
        <v>15979147008409.615</v>
      </c>
      <c r="J1024" s="40">
        <f t="shared" ca="1" si="142"/>
        <v>951704755279.90747</v>
      </c>
      <c r="K1024" s="41">
        <f t="shared" ca="1" si="143"/>
        <v>16.790025393652638</v>
      </c>
    </row>
    <row r="1025" spans="2:11" ht="15" customHeight="1" x14ac:dyDescent="0.35">
      <c r="B1025" s="5">
        <v>1004</v>
      </c>
      <c r="C1025" s="39">
        <f t="shared" ca="1" si="135"/>
        <v>2.9194964721224821</v>
      </c>
      <c r="D1025" s="40">
        <f t="shared" ca="1" si="136"/>
        <v>3969441763.27667</v>
      </c>
      <c r="E1025" s="40">
        <f t="shared" ca="1" si="137"/>
        <v>42504908748998.219</v>
      </c>
      <c r="F1025" s="40">
        <f t="shared" ca="1" si="138"/>
        <v>582218084009.3595</v>
      </c>
      <c r="G1025" s="40">
        <f t="shared" ca="1" si="139"/>
        <v>2848330883411.9517</v>
      </c>
      <c r="H1025" s="40">
        <f t="shared" ca="1" si="140"/>
        <v>42504908748998.219</v>
      </c>
      <c r="I1025" s="40">
        <f t="shared" ca="1" si="141"/>
        <v>120366129652172.06</v>
      </c>
      <c r="J1025" s="40">
        <f t="shared" ca="1" si="142"/>
        <v>776518986797.06055</v>
      </c>
      <c r="K1025" s="41">
        <f t="shared" ca="1" si="143"/>
        <v>155.00732332206215</v>
      </c>
    </row>
    <row r="1026" spans="2:11" ht="15" customHeight="1" x14ac:dyDescent="0.35">
      <c r="B1026" s="5">
        <v>1005</v>
      </c>
      <c r="C1026" s="39">
        <f t="shared" ca="1" si="135"/>
        <v>3.3226278200452186</v>
      </c>
      <c r="D1026" s="40">
        <f t="shared" ca="1" si="136"/>
        <v>9485709062.4216423</v>
      </c>
      <c r="E1026" s="40">
        <f t="shared" ca="1" si="137"/>
        <v>18256990387617.738</v>
      </c>
      <c r="F1026" s="40">
        <f t="shared" ca="1" si="138"/>
        <v>800222342989.77429</v>
      </c>
      <c r="G1026" s="40">
        <f t="shared" ca="1" si="139"/>
        <v>10380871608803.434</v>
      </c>
      <c r="H1026" s="40">
        <f t="shared" ca="1" si="140"/>
        <v>800222342989.77429</v>
      </c>
      <c r="I1026" s="40">
        <f t="shared" ca="1" si="141"/>
        <v>491246048323.06848</v>
      </c>
      <c r="J1026" s="40">
        <f t="shared" ca="1" si="142"/>
        <v>1266564014546.2429</v>
      </c>
      <c r="K1026" s="41">
        <f t="shared" ca="1" si="143"/>
        <v>0.38785726002097215</v>
      </c>
    </row>
    <row r="1027" spans="2:11" ht="15" customHeight="1" x14ac:dyDescent="0.35">
      <c r="B1027" s="5">
        <v>1006</v>
      </c>
      <c r="C1027" s="39">
        <f t="shared" ca="1" si="135"/>
        <v>1.9460051267466894</v>
      </c>
      <c r="D1027" s="40">
        <f t="shared" ca="1" si="136"/>
        <v>549509304.59267807</v>
      </c>
      <c r="E1027" s="40">
        <f t="shared" ca="1" si="137"/>
        <v>4002214801815.0322</v>
      </c>
      <c r="F1027" s="40">
        <f t="shared" ca="1" si="138"/>
        <v>10623870282159.492</v>
      </c>
      <c r="G1027" s="40">
        <f t="shared" ca="1" si="139"/>
        <v>6367007445386.0342</v>
      </c>
      <c r="H1027" s="40">
        <f t="shared" ca="1" si="140"/>
        <v>6367007445386.0342</v>
      </c>
      <c r="I1027" s="40">
        <f t="shared" ca="1" si="141"/>
        <v>15551780950104.635</v>
      </c>
      <c r="J1027" s="40">
        <f t="shared" ca="1" si="142"/>
        <v>1275625548626.7861</v>
      </c>
      <c r="K1027" s="41">
        <f t="shared" ca="1" si="143"/>
        <v>12.191493786594478</v>
      </c>
    </row>
    <row r="1028" spans="2:11" ht="15" customHeight="1" x14ac:dyDescent="0.35">
      <c r="B1028" s="5">
        <v>1007</v>
      </c>
      <c r="C1028" s="39">
        <f t="shared" ca="1" si="135"/>
        <v>3.4490477158470232</v>
      </c>
      <c r="D1028" s="40">
        <f t="shared" ca="1" si="136"/>
        <v>9335475747.5972996</v>
      </c>
      <c r="E1028" s="40">
        <f t="shared" ca="1" si="137"/>
        <v>37621842722622.125</v>
      </c>
      <c r="F1028" s="40">
        <f t="shared" ca="1" si="138"/>
        <v>790481298763.82886</v>
      </c>
      <c r="G1028" s="40">
        <f t="shared" ca="1" si="139"/>
        <v>6010133385937.0352</v>
      </c>
      <c r="H1028" s="40">
        <f t="shared" ca="1" si="140"/>
        <v>6010133385937.0352</v>
      </c>
      <c r="I1028" s="40">
        <f t="shared" ca="1" si="141"/>
        <v>16271658976454.324</v>
      </c>
      <c r="J1028" s="40">
        <f t="shared" ca="1" si="142"/>
        <v>920601451791.34521</v>
      </c>
      <c r="K1028" s="41">
        <f t="shared" ca="1" si="143"/>
        <v>17.675030758198613</v>
      </c>
    </row>
    <row r="1029" spans="2:11" ht="15" customHeight="1" x14ac:dyDescent="0.35">
      <c r="B1029" s="5">
        <v>1008</v>
      </c>
      <c r="C1029" s="39">
        <f t="shared" ca="1" si="135"/>
        <v>3.4138751096455544</v>
      </c>
      <c r="D1029" s="40">
        <f t="shared" ca="1" si="136"/>
        <v>8498786829.5625343</v>
      </c>
      <c r="E1029" s="40">
        <f t="shared" ca="1" si="137"/>
        <v>29449663872261.855</v>
      </c>
      <c r="F1029" s="40">
        <f t="shared" ca="1" si="138"/>
        <v>3652000643971.3892</v>
      </c>
      <c r="G1029" s="40">
        <f t="shared" ca="1" si="139"/>
        <v>15957627296997.383</v>
      </c>
      <c r="H1029" s="40">
        <f t="shared" ca="1" si="140"/>
        <v>29449663872261.855</v>
      </c>
      <c r="I1029" s="40">
        <f t="shared" ca="1" si="141"/>
        <v>382738427748537.5</v>
      </c>
      <c r="J1029" s="40">
        <f t="shared" ca="1" si="142"/>
        <v>937804740740.59363</v>
      </c>
      <c r="K1029" s="41">
        <f t="shared" ca="1" si="143"/>
        <v>408.12166021498803</v>
      </c>
    </row>
    <row r="1030" spans="2:11" ht="15" customHeight="1" x14ac:dyDescent="0.35">
      <c r="B1030" s="5">
        <v>1009</v>
      </c>
      <c r="C1030" s="39">
        <f t="shared" ca="1" si="135"/>
        <v>3.2430897809012142</v>
      </c>
      <c r="D1030" s="40">
        <f t="shared" ca="1" si="136"/>
        <v>6637016646.7290316</v>
      </c>
      <c r="E1030" s="40">
        <f t="shared" ca="1" si="137"/>
        <v>85829189835045.625</v>
      </c>
      <c r="F1030" s="40">
        <f t="shared" ca="1" si="138"/>
        <v>1991370185262.5068</v>
      </c>
      <c r="G1030" s="40">
        <f t="shared" ca="1" si="139"/>
        <v>181678039328.24292</v>
      </c>
      <c r="H1030" s="40">
        <f t="shared" ca="1" si="140"/>
        <v>85829189835045.625</v>
      </c>
      <c r="I1030" s="40">
        <f t="shared" ca="1" si="141"/>
        <v>3298571632043.9238</v>
      </c>
      <c r="J1030" s="40">
        <f t="shared" ca="1" si="142"/>
        <v>610740934160.39343</v>
      </c>
      <c r="K1030" s="41">
        <f t="shared" ca="1" si="143"/>
        <v>5.4009342546829346</v>
      </c>
    </row>
    <row r="1031" spans="2:11" ht="15" customHeight="1" x14ac:dyDescent="0.35">
      <c r="B1031" s="5">
        <v>1010</v>
      </c>
      <c r="C1031" s="39">
        <f t="shared" ca="1" si="135"/>
        <v>3.6409189578400274</v>
      </c>
      <c r="D1031" s="40">
        <f t="shared" ca="1" si="136"/>
        <v>13599235686.485651</v>
      </c>
      <c r="E1031" s="40">
        <f t="shared" ca="1" si="137"/>
        <v>78173200950978.328</v>
      </c>
      <c r="F1031" s="40">
        <f t="shared" ca="1" si="138"/>
        <v>31311434982471.176</v>
      </c>
      <c r="G1031" s="40">
        <f t="shared" ca="1" si="139"/>
        <v>4915863703928.873</v>
      </c>
      <c r="H1031" s="40">
        <f t="shared" ca="1" si="140"/>
        <v>78173200950978.328</v>
      </c>
      <c r="I1031" s="40">
        <f t="shared" ca="1" si="141"/>
        <v>44873335869268.734</v>
      </c>
      <c r="J1031" s="40">
        <f t="shared" ca="1" si="142"/>
        <v>891605835788.0033</v>
      </c>
      <c r="K1031" s="41">
        <f t="shared" ca="1" si="143"/>
        <v>50.32866998858254</v>
      </c>
    </row>
    <row r="1032" spans="2:11" ht="15" customHeight="1" x14ac:dyDescent="0.35">
      <c r="B1032" s="5">
        <v>1011</v>
      </c>
      <c r="C1032" s="39">
        <f t="shared" ca="1" si="135"/>
        <v>3.608633013070889</v>
      </c>
      <c r="D1032" s="40">
        <f t="shared" ca="1" si="136"/>
        <v>13773645854.352388</v>
      </c>
      <c r="E1032" s="40">
        <f t="shared" ca="1" si="137"/>
        <v>92310941563912.641</v>
      </c>
      <c r="F1032" s="40">
        <f t="shared" ca="1" si="138"/>
        <v>17985011165443.328</v>
      </c>
      <c r="G1032" s="40">
        <f t="shared" ca="1" si="139"/>
        <v>5914508925126.8701</v>
      </c>
      <c r="H1032" s="40">
        <f t="shared" ca="1" si="140"/>
        <v>5914508925126.8701</v>
      </c>
      <c r="I1032" s="40">
        <f t="shared" ca="1" si="141"/>
        <v>6346392473444.6396</v>
      </c>
      <c r="J1032" s="40">
        <f t="shared" ca="1" si="142"/>
        <v>1297139372662.4746</v>
      </c>
      <c r="K1032" s="41">
        <f t="shared" ca="1" si="143"/>
        <v>4.8926064594109109</v>
      </c>
    </row>
    <row r="1033" spans="2:11" ht="15" customHeight="1" x14ac:dyDescent="0.35">
      <c r="B1033" s="5">
        <v>1012</v>
      </c>
      <c r="C1033" s="39">
        <f t="shared" ca="1" si="135"/>
        <v>2.9824891998121301</v>
      </c>
      <c r="D1033" s="40">
        <f t="shared" ca="1" si="136"/>
        <v>3865767748.0012131</v>
      </c>
      <c r="E1033" s="40">
        <f t="shared" ca="1" si="137"/>
        <v>21024578199385.543</v>
      </c>
      <c r="F1033" s="40">
        <f t="shared" ca="1" si="138"/>
        <v>506615536270.79279</v>
      </c>
      <c r="G1033" s="40">
        <f t="shared" ca="1" si="139"/>
        <v>728586692594.00122</v>
      </c>
      <c r="H1033" s="40">
        <f t="shared" ca="1" si="140"/>
        <v>21024578199385.543</v>
      </c>
      <c r="I1033" s="40">
        <f t="shared" ca="1" si="141"/>
        <v>4416672293615.001</v>
      </c>
      <c r="J1033" s="40">
        <f t="shared" ca="1" si="142"/>
        <v>817149222618.29175</v>
      </c>
      <c r="K1033" s="41">
        <f t="shared" ca="1" si="143"/>
        <v>5.404976436816761</v>
      </c>
    </row>
    <row r="1034" spans="2:11" ht="15" customHeight="1" x14ac:dyDescent="0.35">
      <c r="B1034" s="5">
        <v>1013</v>
      </c>
      <c r="C1034" s="39">
        <f t="shared" ca="1" si="135"/>
        <v>3.6508492796390097</v>
      </c>
      <c r="D1034" s="40">
        <f t="shared" ca="1" si="136"/>
        <v>14732364645.747194</v>
      </c>
      <c r="E1034" s="40">
        <f t="shared" ca="1" si="137"/>
        <v>42627333135393.008</v>
      </c>
      <c r="F1034" s="40">
        <f t="shared" ca="1" si="138"/>
        <v>1054915972597.9946</v>
      </c>
      <c r="G1034" s="40">
        <f t="shared" ca="1" si="139"/>
        <v>441940630034.79321</v>
      </c>
      <c r="H1034" s="40">
        <f t="shared" ca="1" si="140"/>
        <v>441940630034.79321</v>
      </c>
      <c r="I1034" s="40">
        <f t="shared" ca="1" si="141"/>
        <v>1415673698933.062</v>
      </c>
      <c r="J1034" s="40">
        <f t="shared" ca="1" si="142"/>
        <v>963287501889.98792</v>
      </c>
      <c r="K1034" s="41">
        <f t="shared" ca="1" si="143"/>
        <v>1.4696273917760627</v>
      </c>
    </row>
    <row r="1035" spans="2:11" ht="15" customHeight="1" x14ac:dyDescent="0.35">
      <c r="B1035" s="5">
        <v>1014</v>
      </c>
      <c r="C1035" s="39">
        <f t="shared" ca="1" si="135"/>
        <v>2.688832736024009</v>
      </c>
      <c r="D1035" s="40">
        <f t="shared" ca="1" si="136"/>
        <v>2359209109.4130063</v>
      </c>
      <c r="E1035" s="40">
        <f t="shared" ca="1" si="137"/>
        <v>11848073465499.066</v>
      </c>
      <c r="F1035" s="40">
        <f t="shared" ca="1" si="138"/>
        <v>5555094311076.3594</v>
      </c>
      <c r="G1035" s="40">
        <f t="shared" ca="1" si="139"/>
        <v>50550892289164.82</v>
      </c>
      <c r="H1035" s="40">
        <f t="shared" ca="1" si="140"/>
        <v>5555094311076.3594</v>
      </c>
      <c r="I1035" s="40">
        <f t="shared" ca="1" si="141"/>
        <v>445486524602.50244</v>
      </c>
      <c r="J1035" s="40">
        <f t="shared" ca="1" si="142"/>
        <v>535277797320.45288</v>
      </c>
      <c r="K1035" s="41">
        <f t="shared" ca="1" si="143"/>
        <v>0.83225294759574076</v>
      </c>
    </row>
    <row r="1036" spans="2:11" ht="15" customHeight="1" x14ac:dyDescent="0.35">
      <c r="B1036" s="5">
        <v>1015</v>
      </c>
      <c r="C1036" s="39">
        <f t="shared" ca="1" si="135"/>
        <v>2.1600667459801839</v>
      </c>
      <c r="D1036" s="40">
        <f t="shared" ca="1" si="136"/>
        <v>1064037785.6523906</v>
      </c>
      <c r="E1036" s="40">
        <f t="shared" ca="1" si="137"/>
        <v>1608980119689.7178</v>
      </c>
      <c r="F1036" s="40">
        <f t="shared" ca="1" si="138"/>
        <v>474863697992.35992</v>
      </c>
      <c r="G1036" s="40">
        <f t="shared" ca="1" si="139"/>
        <v>5799888738045.6846</v>
      </c>
      <c r="H1036" s="40">
        <f t="shared" ca="1" si="140"/>
        <v>1608980119689.7178</v>
      </c>
      <c r="I1036" s="40">
        <f t="shared" ca="1" si="141"/>
        <v>428525611500268</v>
      </c>
      <c r="J1036" s="40">
        <f t="shared" ca="1" si="142"/>
        <v>1106811306658.8423</v>
      </c>
      <c r="K1036" s="41">
        <f t="shared" ca="1" si="143"/>
        <v>387.17133527833982</v>
      </c>
    </row>
    <row r="1037" spans="2:11" ht="15" customHeight="1" x14ac:dyDescent="0.35">
      <c r="B1037" s="5">
        <v>1016</v>
      </c>
      <c r="C1037" s="39">
        <f t="shared" ca="1" si="135"/>
        <v>3.2667042183759398</v>
      </c>
      <c r="D1037" s="40">
        <f t="shared" ca="1" si="136"/>
        <v>6558609966.6664667</v>
      </c>
      <c r="E1037" s="40">
        <f t="shared" ca="1" si="137"/>
        <v>17400231548867.691</v>
      </c>
      <c r="F1037" s="40">
        <f t="shared" ca="1" si="138"/>
        <v>8066882374298.3262</v>
      </c>
      <c r="G1037" s="40">
        <f t="shared" ca="1" si="139"/>
        <v>4715910853951.3711</v>
      </c>
      <c r="H1037" s="40">
        <f t="shared" ca="1" si="140"/>
        <v>8066882374298.3262</v>
      </c>
      <c r="I1037" s="40">
        <f t="shared" ca="1" si="141"/>
        <v>11143864665162.193</v>
      </c>
      <c r="J1037" s="40">
        <f t="shared" ca="1" si="142"/>
        <v>1567821334860.8264</v>
      </c>
      <c r="K1037" s="41">
        <f t="shared" ca="1" si="143"/>
        <v>7.1078664496879176</v>
      </c>
    </row>
    <row r="1038" spans="2:11" ht="15" customHeight="1" x14ac:dyDescent="0.35">
      <c r="B1038" s="5">
        <v>1017</v>
      </c>
      <c r="C1038" s="39">
        <f t="shared" ca="1" si="135"/>
        <v>2.9918714181748016</v>
      </c>
      <c r="D1038" s="40">
        <f t="shared" ca="1" si="136"/>
        <v>4451361943.5043573</v>
      </c>
      <c r="E1038" s="40">
        <f t="shared" ca="1" si="137"/>
        <v>2689097331209.8027</v>
      </c>
      <c r="F1038" s="40">
        <f t="shared" ca="1" si="138"/>
        <v>178865586210.30685</v>
      </c>
      <c r="G1038" s="40">
        <f t="shared" ca="1" si="139"/>
        <v>9732374157383.0625</v>
      </c>
      <c r="H1038" s="40">
        <f t="shared" ca="1" si="140"/>
        <v>178865586210.30685</v>
      </c>
      <c r="I1038" s="40">
        <f t="shared" ca="1" si="141"/>
        <v>3219098267527.0562</v>
      </c>
      <c r="J1038" s="40">
        <f t="shared" ca="1" si="142"/>
        <v>1149820521817.8135</v>
      </c>
      <c r="K1038" s="41">
        <f t="shared" ca="1" si="143"/>
        <v>2.799652820979234</v>
      </c>
    </row>
    <row r="1039" spans="2:11" ht="15" customHeight="1" x14ac:dyDescent="0.35">
      <c r="B1039" s="5">
        <v>1018</v>
      </c>
      <c r="C1039" s="39">
        <f t="shared" ca="1" si="135"/>
        <v>3.2624841028327589</v>
      </c>
      <c r="D1039" s="40">
        <f t="shared" ca="1" si="136"/>
        <v>8164401603.7176142</v>
      </c>
      <c r="E1039" s="40">
        <f t="shared" ca="1" si="137"/>
        <v>48018148637209.578</v>
      </c>
      <c r="F1039" s="40">
        <f t="shared" ca="1" si="138"/>
        <v>2807530701258.4551</v>
      </c>
      <c r="G1039" s="40">
        <f t="shared" ca="1" si="139"/>
        <v>53268972323510.859</v>
      </c>
      <c r="H1039" s="40">
        <f t="shared" ca="1" si="140"/>
        <v>53268972323510.859</v>
      </c>
      <c r="I1039" s="40">
        <f t="shared" ca="1" si="141"/>
        <v>9703476785749.1191</v>
      </c>
      <c r="J1039" s="40">
        <f t="shared" ca="1" si="142"/>
        <v>1540596679807.3721</v>
      </c>
      <c r="K1039" s="41">
        <f t="shared" ca="1" si="143"/>
        <v>6.2985185629261444</v>
      </c>
    </row>
    <row r="1040" spans="2:11" ht="15" customHeight="1" x14ac:dyDescent="0.35">
      <c r="B1040" s="5">
        <v>1019</v>
      </c>
      <c r="C1040" s="39">
        <f t="shared" ca="1" si="135"/>
        <v>2.6880596518510367</v>
      </c>
      <c r="D1040" s="40">
        <f t="shared" ca="1" si="136"/>
        <v>2622961832.4693475</v>
      </c>
      <c r="E1040" s="40">
        <f t="shared" ca="1" si="137"/>
        <v>10219293227786.094</v>
      </c>
      <c r="F1040" s="40">
        <f t="shared" ca="1" si="138"/>
        <v>560243329590.13977</v>
      </c>
      <c r="G1040" s="40">
        <f t="shared" ca="1" si="139"/>
        <v>28029397917027.594</v>
      </c>
      <c r="H1040" s="40">
        <f t="shared" ca="1" si="140"/>
        <v>560243329590.13977</v>
      </c>
      <c r="I1040" s="40">
        <f t="shared" ca="1" si="141"/>
        <v>2981850934609.7817</v>
      </c>
      <c r="J1040" s="40">
        <f t="shared" ca="1" si="142"/>
        <v>1203143110824.8137</v>
      </c>
      <c r="K1040" s="41">
        <f t="shared" ca="1" si="143"/>
        <v>2.4783842485417851</v>
      </c>
    </row>
    <row r="1041" spans="2:11" ht="15" customHeight="1" x14ac:dyDescent="0.35">
      <c r="B1041" s="5">
        <v>1020</v>
      </c>
      <c r="C1041" s="39">
        <f t="shared" ca="1" si="135"/>
        <v>3.1102261426818618</v>
      </c>
      <c r="D1041" s="40">
        <f t="shared" ca="1" si="136"/>
        <v>4944735450.8674335</v>
      </c>
      <c r="E1041" s="40">
        <f t="shared" ca="1" si="137"/>
        <v>5778043194377.3506</v>
      </c>
      <c r="F1041" s="40">
        <f t="shared" ca="1" si="138"/>
        <v>2731499476355.4521</v>
      </c>
      <c r="G1041" s="40">
        <f t="shared" ca="1" si="139"/>
        <v>6700641915006.3691</v>
      </c>
      <c r="H1041" s="40">
        <f t="shared" ca="1" si="140"/>
        <v>2731499476355.4521</v>
      </c>
      <c r="I1041" s="40">
        <f t="shared" ca="1" si="141"/>
        <v>4686803273960.5098</v>
      </c>
      <c r="J1041" s="40">
        <f t="shared" ca="1" si="142"/>
        <v>1637578781052.6206</v>
      </c>
      <c r="K1041" s="41">
        <f t="shared" ca="1" si="143"/>
        <v>2.8620322443039203</v>
      </c>
    </row>
    <row r="1042" spans="2:11" ht="15" customHeight="1" x14ac:dyDescent="0.35">
      <c r="B1042" s="5">
        <v>1021</v>
      </c>
      <c r="C1042" s="39">
        <f t="shared" ca="1" si="135"/>
        <v>3.0176969862709573</v>
      </c>
      <c r="D1042" s="40">
        <f t="shared" ca="1" si="136"/>
        <v>4313827359.6336412</v>
      </c>
      <c r="E1042" s="40">
        <f t="shared" ca="1" si="137"/>
        <v>39247770391382.32</v>
      </c>
      <c r="F1042" s="40">
        <f t="shared" ca="1" si="138"/>
        <v>795159985892.99829</v>
      </c>
      <c r="G1042" s="40">
        <f t="shared" ca="1" si="139"/>
        <v>3219324609542.8887</v>
      </c>
      <c r="H1042" s="40">
        <f t="shared" ca="1" si="140"/>
        <v>3219324609542.8887</v>
      </c>
      <c r="I1042" s="40">
        <f t="shared" ca="1" si="141"/>
        <v>13176974045165.592</v>
      </c>
      <c r="J1042" s="40">
        <f t="shared" ca="1" si="142"/>
        <v>1345270451630.8896</v>
      </c>
      <c r="K1042" s="41">
        <f t="shared" ca="1" si="143"/>
        <v>9.7950371460184584</v>
      </c>
    </row>
    <row r="1043" spans="2:11" ht="15" customHeight="1" x14ac:dyDescent="0.35">
      <c r="B1043" s="5">
        <v>1022</v>
      </c>
      <c r="C1043" s="39">
        <f t="shared" ca="1" si="135"/>
        <v>2.1854847472916967</v>
      </c>
      <c r="D1043" s="40">
        <f t="shared" ca="1" si="136"/>
        <v>983874124.52610779</v>
      </c>
      <c r="E1043" s="40">
        <f t="shared" ca="1" si="137"/>
        <v>5414833383915.6094</v>
      </c>
      <c r="F1043" s="40">
        <f t="shared" ca="1" si="138"/>
        <v>691666301714.87061</v>
      </c>
      <c r="G1043" s="40">
        <f t="shared" ca="1" si="139"/>
        <v>8591316394304.3975</v>
      </c>
      <c r="H1043" s="40">
        <f t="shared" ca="1" si="140"/>
        <v>5414833383915.6094</v>
      </c>
      <c r="I1043" s="40">
        <f t="shared" ca="1" si="141"/>
        <v>3032059904792.1714</v>
      </c>
      <c r="J1043" s="40">
        <f t="shared" ca="1" si="142"/>
        <v>767175278751.77612</v>
      </c>
      <c r="K1043" s="41">
        <f t="shared" ca="1" si="143"/>
        <v>3.9522388022271131</v>
      </c>
    </row>
    <row r="1044" spans="2:11" ht="15" customHeight="1" x14ac:dyDescent="0.35">
      <c r="B1044" s="5">
        <v>1023</v>
      </c>
      <c r="C1044" s="39">
        <f t="shared" ca="1" si="135"/>
        <v>2.7085031406546225</v>
      </c>
      <c r="D1044" s="40">
        <f t="shared" ca="1" si="136"/>
        <v>2380731375.6075182</v>
      </c>
      <c r="E1044" s="40">
        <f t="shared" ca="1" si="137"/>
        <v>20203043988956.793</v>
      </c>
      <c r="F1044" s="40">
        <f t="shared" ca="1" si="138"/>
        <v>2102294980211.4072</v>
      </c>
      <c r="G1044" s="40">
        <f t="shared" ca="1" si="139"/>
        <v>12440546118681.398</v>
      </c>
      <c r="H1044" s="40">
        <f t="shared" ca="1" si="140"/>
        <v>2102294980211.4072</v>
      </c>
      <c r="I1044" s="40">
        <f t="shared" ca="1" si="141"/>
        <v>62060055988819.547</v>
      </c>
      <c r="J1044" s="40">
        <f t="shared" ca="1" si="142"/>
        <v>1306474371682.3921</v>
      </c>
      <c r="K1044" s="41">
        <f t="shared" ca="1" si="143"/>
        <v>47.501931407121802</v>
      </c>
    </row>
    <row r="1045" spans="2:11" ht="15" customHeight="1" x14ac:dyDescent="0.35">
      <c r="B1045" s="5">
        <v>1024</v>
      </c>
      <c r="C1045" s="39">
        <f t="shared" ca="1" si="135"/>
        <v>3.1884036758274719</v>
      </c>
      <c r="D1045" s="40">
        <f t="shared" ca="1" si="136"/>
        <v>7560931491.4999905</v>
      </c>
      <c r="E1045" s="40">
        <f t="shared" ca="1" si="137"/>
        <v>13987878525205.762</v>
      </c>
      <c r="F1045" s="40">
        <f t="shared" ca="1" si="138"/>
        <v>1190562589956.5068</v>
      </c>
      <c r="G1045" s="40">
        <f t="shared" ca="1" si="139"/>
        <v>2754437392379.1768</v>
      </c>
      <c r="H1045" s="40">
        <f t="shared" ca="1" si="140"/>
        <v>1190562589956.5068</v>
      </c>
      <c r="I1045" s="40">
        <f t="shared" ca="1" si="141"/>
        <v>94905682562728.516</v>
      </c>
      <c r="J1045" s="40">
        <f t="shared" ca="1" si="142"/>
        <v>853775295566.92236</v>
      </c>
      <c r="K1045" s="41">
        <f t="shared" ca="1" si="143"/>
        <v>111.16002425405084</v>
      </c>
    </row>
    <row r="1046" spans="2:11" ht="15" customHeight="1" x14ac:dyDescent="0.35">
      <c r="B1046" s="5">
        <v>1025</v>
      </c>
      <c r="C1046" s="39">
        <f t="shared" ref="C1046:C1109" ca="1" si="144">MEDIAN(1.8,NORMINV(RAND(),$C$7,$D$7),4.5)</f>
        <v>2.9171699946393255</v>
      </c>
      <c r="D1046" s="40">
        <f t="shared" ref="D1046:D1109" ca="1" si="145">($C$8+RAND()*($D$8-$C$8))*C1046^5</f>
        <v>4505662322.6428013</v>
      </c>
      <c r="E1046" s="40">
        <f t="shared" ref="E1046:E1109" ca="1" si="146">D1046*($C$10+RAND()*($D$10-$C$10))*EXP(NORMINV(RAND(),$C$9,$D$9))*($C$11+RAND()*($D$11-$C$11))</f>
        <v>55214853185535.969</v>
      </c>
      <c r="F1046" s="40">
        <f t="shared" ref="F1046:F1109" ca="1" si="147">EXP(NORMINV(RAND(),$C$12,$D$12))*EXP(NORMINV(RAND(),$C$13,$D$13))</f>
        <v>1081858334674.9465</v>
      </c>
      <c r="G1046" s="40">
        <f t="shared" ref="G1046:G1109" ca="1" si="148">EXP(NORMINV(RAND(),$C$14,$D$14))*($C$15+RAND()*($D$15-$C$15))*EXP(NORMINV(RAND(),$C$16,$D$16))/1000000*31536000</f>
        <v>994437599353.30322</v>
      </c>
      <c r="H1046" s="40">
        <f t="shared" ref="H1046:H1109" ca="1" si="149">CHOOSE(RANDBETWEEN(1,3),E1046,F1046,G1046)</f>
        <v>994437599353.30322</v>
      </c>
      <c r="I1046" s="40">
        <f t="shared" ref="I1046:I1109" ca="1" si="150">EXP(NORMINV(RAND(),$C$14,$D$14))*($C$15+RAND()*($D$15-$C$15))*60</f>
        <v>8797617235313.1855</v>
      </c>
      <c r="J1046" s="40">
        <f t="shared" ref="J1046:J1109" ca="1" si="151">($C$17+RAND()*($D$17-$C$17))*($C$18+RAND()*($D$18-$C$18))</f>
        <v>1257992415775.231</v>
      </c>
      <c r="K1046" s="41">
        <f t="shared" ref="K1046:K1109" ca="1" si="152">I1046/J1046</f>
        <v>6.9933785967157061</v>
      </c>
    </row>
    <row r="1047" spans="2:11" ht="15" customHeight="1" x14ac:dyDescent="0.35">
      <c r="B1047" s="5">
        <v>1026</v>
      </c>
      <c r="C1047" s="39">
        <f t="shared" ca="1" si="144"/>
        <v>2.6242927470118596</v>
      </c>
      <c r="D1047" s="40">
        <f t="shared" ca="1" si="145"/>
        <v>2568463056.6563854</v>
      </c>
      <c r="E1047" s="40">
        <f t="shared" ca="1" si="146"/>
        <v>5903149755432.8174</v>
      </c>
      <c r="F1047" s="40">
        <f t="shared" ca="1" si="147"/>
        <v>1059000489840.5355</v>
      </c>
      <c r="G1047" s="40">
        <f t="shared" ca="1" si="148"/>
        <v>6947956285077.8643</v>
      </c>
      <c r="H1047" s="40">
        <f t="shared" ca="1" si="149"/>
        <v>6947956285077.8643</v>
      </c>
      <c r="I1047" s="40">
        <f t="shared" ca="1" si="150"/>
        <v>146239991018118.75</v>
      </c>
      <c r="J1047" s="40">
        <f t="shared" ca="1" si="151"/>
        <v>1022051301184.3146</v>
      </c>
      <c r="K1047" s="41">
        <f t="shared" ca="1" si="152"/>
        <v>143.08478532208838</v>
      </c>
    </row>
    <row r="1048" spans="2:11" ht="15" customHeight="1" x14ac:dyDescent="0.35">
      <c r="B1048" s="5">
        <v>1027</v>
      </c>
      <c r="C1048" s="39">
        <f t="shared" ca="1" si="144"/>
        <v>3.6365407496567008</v>
      </c>
      <c r="D1048" s="40">
        <f t="shared" ca="1" si="145"/>
        <v>10675827879.643038</v>
      </c>
      <c r="E1048" s="40">
        <f t="shared" ca="1" si="146"/>
        <v>57015593771300.164</v>
      </c>
      <c r="F1048" s="40">
        <f t="shared" ca="1" si="147"/>
        <v>703411649431.20056</v>
      </c>
      <c r="G1048" s="40">
        <f t="shared" ca="1" si="148"/>
        <v>26387870530379.992</v>
      </c>
      <c r="H1048" s="40">
        <f t="shared" ca="1" si="149"/>
        <v>57015593771300.164</v>
      </c>
      <c r="I1048" s="40">
        <f t="shared" ca="1" si="150"/>
        <v>5621312062387.1475</v>
      </c>
      <c r="J1048" s="40">
        <f t="shared" ca="1" si="151"/>
        <v>1725401898354.8025</v>
      </c>
      <c r="K1048" s="41">
        <f t="shared" ca="1" si="152"/>
        <v>3.2579725730840772</v>
      </c>
    </row>
    <row r="1049" spans="2:11" ht="15" customHeight="1" x14ac:dyDescent="0.35">
      <c r="B1049" s="5">
        <v>1028</v>
      </c>
      <c r="C1049" s="39">
        <f t="shared" ca="1" si="144"/>
        <v>3.0338579905262253</v>
      </c>
      <c r="D1049" s="40">
        <f t="shared" ca="1" si="145"/>
        <v>4810433368.3665581</v>
      </c>
      <c r="E1049" s="40">
        <f t="shared" ca="1" si="146"/>
        <v>27674403777593.934</v>
      </c>
      <c r="F1049" s="40">
        <f t="shared" ca="1" si="147"/>
        <v>1863774818143.187</v>
      </c>
      <c r="G1049" s="40">
        <f t="shared" ca="1" si="148"/>
        <v>5101007230130.5713</v>
      </c>
      <c r="H1049" s="40">
        <f t="shared" ca="1" si="149"/>
        <v>1863774818143.187</v>
      </c>
      <c r="I1049" s="40">
        <f t="shared" ca="1" si="150"/>
        <v>14829232040375.68</v>
      </c>
      <c r="J1049" s="40">
        <f t="shared" ca="1" si="151"/>
        <v>642033913633.81726</v>
      </c>
      <c r="K1049" s="41">
        <f t="shared" ca="1" si="152"/>
        <v>23.097272161908727</v>
      </c>
    </row>
    <row r="1050" spans="2:11" ht="15" customHeight="1" x14ac:dyDescent="0.35">
      <c r="B1050" s="5">
        <v>1029</v>
      </c>
      <c r="C1050" s="39">
        <f t="shared" ca="1" si="144"/>
        <v>3.2826971142512757</v>
      </c>
      <c r="D1050" s="40">
        <f t="shared" ca="1" si="145"/>
        <v>7360381693.2715702</v>
      </c>
      <c r="E1050" s="40">
        <f t="shared" ca="1" si="146"/>
        <v>68334273181449.164</v>
      </c>
      <c r="F1050" s="40">
        <f t="shared" ca="1" si="147"/>
        <v>3441170630824.998</v>
      </c>
      <c r="G1050" s="40">
        <f t="shared" ca="1" si="148"/>
        <v>109671168552675.23</v>
      </c>
      <c r="H1050" s="40">
        <f t="shared" ca="1" si="149"/>
        <v>68334273181449.164</v>
      </c>
      <c r="I1050" s="40">
        <f t="shared" ca="1" si="150"/>
        <v>2972253473328.7471</v>
      </c>
      <c r="J1050" s="40">
        <f t="shared" ca="1" si="151"/>
        <v>1311408250062.635</v>
      </c>
      <c r="K1050" s="41">
        <f t="shared" ca="1" si="152"/>
        <v>2.26645933727105</v>
      </c>
    </row>
    <row r="1051" spans="2:11" ht="15" customHeight="1" x14ac:dyDescent="0.35">
      <c r="B1051" s="5">
        <v>1030</v>
      </c>
      <c r="C1051" s="39">
        <f t="shared" ca="1" si="144"/>
        <v>2.9065180123654923</v>
      </c>
      <c r="D1051" s="40">
        <f t="shared" ca="1" si="145"/>
        <v>4078947231.5874467</v>
      </c>
      <c r="E1051" s="40">
        <f t="shared" ca="1" si="146"/>
        <v>70442374209470.063</v>
      </c>
      <c r="F1051" s="40">
        <f t="shared" ca="1" si="147"/>
        <v>3904189908906.2397</v>
      </c>
      <c r="G1051" s="40">
        <f t="shared" ca="1" si="148"/>
        <v>39683516405677.078</v>
      </c>
      <c r="H1051" s="40">
        <f t="shared" ca="1" si="149"/>
        <v>70442374209470.063</v>
      </c>
      <c r="I1051" s="40">
        <f t="shared" ca="1" si="150"/>
        <v>2281081912042.665</v>
      </c>
      <c r="J1051" s="40">
        <f t="shared" ca="1" si="151"/>
        <v>1013409534450.8412</v>
      </c>
      <c r="K1051" s="41">
        <f t="shared" ca="1" si="152"/>
        <v>2.2508984122384104</v>
      </c>
    </row>
    <row r="1052" spans="2:11" ht="15" customHeight="1" x14ac:dyDescent="0.35">
      <c r="B1052" s="5">
        <v>1031</v>
      </c>
      <c r="C1052" s="39">
        <f t="shared" ca="1" si="144"/>
        <v>3.4133512311761791</v>
      </c>
      <c r="D1052" s="40">
        <f t="shared" ca="1" si="145"/>
        <v>7726758642.4751921</v>
      </c>
      <c r="E1052" s="40">
        <f t="shared" ca="1" si="146"/>
        <v>68340264435163.781</v>
      </c>
      <c r="F1052" s="40">
        <f t="shared" ca="1" si="147"/>
        <v>8748358379679.6982</v>
      </c>
      <c r="G1052" s="40">
        <f t="shared" ca="1" si="148"/>
        <v>118799551064.51244</v>
      </c>
      <c r="H1052" s="40">
        <f t="shared" ca="1" si="149"/>
        <v>68340264435163.781</v>
      </c>
      <c r="I1052" s="40">
        <f t="shared" ca="1" si="150"/>
        <v>6464961560102.1553</v>
      </c>
      <c r="J1052" s="40">
        <f t="shared" ca="1" si="151"/>
        <v>790018020218.80432</v>
      </c>
      <c r="K1052" s="41">
        <f t="shared" ca="1" si="152"/>
        <v>8.1833089811186994</v>
      </c>
    </row>
    <row r="1053" spans="2:11" ht="15" customHeight="1" x14ac:dyDescent="0.35">
      <c r="B1053" s="5">
        <v>1032</v>
      </c>
      <c r="C1053" s="39">
        <f t="shared" ca="1" si="144"/>
        <v>2.3779480646629549</v>
      </c>
      <c r="D1053" s="40">
        <f t="shared" ca="1" si="145"/>
        <v>1730060528.1445391</v>
      </c>
      <c r="E1053" s="40">
        <f t="shared" ca="1" si="146"/>
        <v>14161261009014.252</v>
      </c>
      <c r="F1053" s="40">
        <f t="shared" ca="1" si="147"/>
        <v>2844104266981.9868</v>
      </c>
      <c r="G1053" s="40">
        <f t="shared" ca="1" si="148"/>
        <v>5350392149377.7148</v>
      </c>
      <c r="H1053" s="40">
        <f t="shared" ca="1" si="149"/>
        <v>5350392149377.7148</v>
      </c>
      <c r="I1053" s="40">
        <f t="shared" ca="1" si="150"/>
        <v>11234970227920.717</v>
      </c>
      <c r="J1053" s="40">
        <f t="shared" ca="1" si="151"/>
        <v>918133719950.1593</v>
      </c>
      <c r="K1053" s="41">
        <f t="shared" ca="1" si="152"/>
        <v>12.23674720119266</v>
      </c>
    </row>
    <row r="1054" spans="2:11" ht="15" customHeight="1" x14ac:dyDescent="0.35">
      <c r="B1054" s="5">
        <v>1033</v>
      </c>
      <c r="C1054" s="39">
        <f t="shared" ca="1" si="144"/>
        <v>3.0514862349964833</v>
      </c>
      <c r="D1054" s="40">
        <f t="shared" ca="1" si="145"/>
        <v>5357852664.9658537</v>
      </c>
      <c r="E1054" s="40">
        <f t="shared" ca="1" si="146"/>
        <v>5990602215484.417</v>
      </c>
      <c r="F1054" s="40">
        <f t="shared" ca="1" si="147"/>
        <v>4755657601816.4854</v>
      </c>
      <c r="G1054" s="40">
        <f t="shared" ca="1" si="148"/>
        <v>8564499248223.332</v>
      </c>
      <c r="H1054" s="40">
        <f t="shared" ca="1" si="149"/>
        <v>5990602215484.417</v>
      </c>
      <c r="I1054" s="40">
        <f t="shared" ca="1" si="150"/>
        <v>15717047919021.799</v>
      </c>
      <c r="J1054" s="40">
        <f t="shared" ca="1" si="151"/>
        <v>856505148689.10632</v>
      </c>
      <c r="K1054" s="41">
        <f t="shared" ca="1" si="152"/>
        <v>18.350208335673138</v>
      </c>
    </row>
    <row r="1055" spans="2:11" ht="15" customHeight="1" x14ac:dyDescent="0.35">
      <c r="B1055" s="5">
        <v>1034</v>
      </c>
      <c r="C1055" s="39">
        <f t="shared" ca="1" si="144"/>
        <v>2.9425309906309818</v>
      </c>
      <c r="D1055" s="40">
        <f t="shared" ca="1" si="145"/>
        <v>4853075136.8737478</v>
      </c>
      <c r="E1055" s="40">
        <f t="shared" ca="1" si="146"/>
        <v>9527830935617.0586</v>
      </c>
      <c r="F1055" s="40">
        <f t="shared" ca="1" si="147"/>
        <v>1421695965011.7361</v>
      </c>
      <c r="G1055" s="40">
        <f t="shared" ca="1" si="148"/>
        <v>25054714401590.148</v>
      </c>
      <c r="H1055" s="40">
        <f t="shared" ca="1" si="149"/>
        <v>25054714401590.148</v>
      </c>
      <c r="I1055" s="40">
        <f t="shared" ca="1" si="150"/>
        <v>3894880726877.0454</v>
      </c>
      <c r="J1055" s="40">
        <f t="shared" ca="1" si="151"/>
        <v>1141469377797.3477</v>
      </c>
      <c r="K1055" s="41">
        <f t="shared" ca="1" si="152"/>
        <v>3.4121640077571387</v>
      </c>
    </row>
    <row r="1056" spans="2:11" ht="15" customHeight="1" x14ac:dyDescent="0.35">
      <c r="B1056" s="5">
        <v>1035</v>
      </c>
      <c r="C1056" s="39">
        <f t="shared" ca="1" si="144"/>
        <v>2.6890512319584445</v>
      </c>
      <c r="D1056" s="40">
        <f t="shared" ca="1" si="145"/>
        <v>3259264002.6175199</v>
      </c>
      <c r="E1056" s="40">
        <f t="shared" ca="1" si="146"/>
        <v>9964963989548.9805</v>
      </c>
      <c r="F1056" s="40">
        <f t="shared" ca="1" si="147"/>
        <v>1422274681343.0571</v>
      </c>
      <c r="G1056" s="40">
        <f t="shared" ca="1" si="148"/>
        <v>7357910276163.6846</v>
      </c>
      <c r="H1056" s="40">
        <f t="shared" ca="1" si="149"/>
        <v>9964963989548.9805</v>
      </c>
      <c r="I1056" s="40">
        <f t="shared" ca="1" si="150"/>
        <v>4183831171973.1519</v>
      </c>
      <c r="J1056" s="40">
        <f t="shared" ca="1" si="151"/>
        <v>909850320456.052</v>
      </c>
      <c r="K1056" s="41">
        <f t="shared" ca="1" si="152"/>
        <v>4.5983730267590106</v>
      </c>
    </row>
    <row r="1057" spans="2:11" ht="15" customHeight="1" x14ac:dyDescent="0.35">
      <c r="B1057" s="5">
        <v>1036</v>
      </c>
      <c r="C1057" s="39">
        <f t="shared" ca="1" si="144"/>
        <v>2.8854462334080586</v>
      </c>
      <c r="D1057" s="40">
        <f t="shared" ca="1" si="145"/>
        <v>4146815081.9974408</v>
      </c>
      <c r="E1057" s="40">
        <f t="shared" ca="1" si="146"/>
        <v>12726329862050.73</v>
      </c>
      <c r="F1057" s="40">
        <f t="shared" ca="1" si="147"/>
        <v>5375795893710.6494</v>
      </c>
      <c r="G1057" s="40">
        <f t="shared" ca="1" si="148"/>
        <v>16597449312859.557</v>
      </c>
      <c r="H1057" s="40">
        <f t="shared" ca="1" si="149"/>
        <v>5375795893710.6494</v>
      </c>
      <c r="I1057" s="40">
        <f t="shared" ca="1" si="150"/>
        <v>235078890626.72427</v>
      </c>
      <c r="J1057" s="40">
        <f t="shared" ca="1" si="151"/>
        <v>898935184950.17273</v>
      </c>
      <c r="K1057" s="41">
        <f t="shared" ca="1" si="152"/>
        <v>0.26150816495157492</v>
      </c>
    </row>
    <row r="1058" spans="2:11" ht="15" customHeight="1" x14ac:dyDescent="0.35">
      <c r="B1058" s="5">
        <v>1037</v>
      </c>
      <c r="C1058" s="39">
        <f t="shared" ca="1" si="144"/>
        <v>2.7580940756395349</v>
      </c>
      <c r="D1058" s="40">
        <f t="shared" ca="1" si="145"/>
        <v>2633331769.2969513</v>
      </c>
      <c r="E1058" s="40">
        <f t="shared" ca="1" si="146"/>
        <v>16735919183163.939</v>
      </c>
      <c r="F1058" s="40">
        <f t="shared" ca="1" si="147"/>
        <v>1774286284903.0229</v>
      </c>
      <c r="G1058" s="40">
        <f t="shared" ca="1" si="148"/>
        <v>21383616762045.461</v>
      </c>
      <c r="H1058" s="40">
        <f t="shared" ca="1" si="149"/>
        <v>16735919183163.939</v>
      </c>
      <c r="I1058" s="40">
        <f t="shared" ca="1" si="150"/>
        <v>14233007752361.15</v>
      </c>
      <c r="J1058" s="40">
        <f t="shared" ca="1" si="151"/>
        <v>1466469493874.9346</v>
      </c>
      <c r="K1058" s="41">
        <f t="shared" ca="1" si="152"/>
        <v>9.7056282533041145</v>
      </c>
    </row>
    <row r="1059" spans="2:11" ht="15" customHeight="1" x14ac:dyDescent="0.35">
      <c r="B1059" s="5">
        <v>1038</v>
      </c>
      <c r="C1059" s="39">
        <f t="shared" ca="1" si="144"/>
        <v>3.430525025694898</v>
      </c>
      <c r="D1059" s="40">
        <f t="shared" ca="1" si="145"/>
        <v>10611367185.60812</v>
      </c>
      <c r="E1059" s="40">
        <f t="shared" ca="1" si="146"/>
        <v>53982354056789.32</v>
      </c>
      <c r="F1059" s="40">
        <f t="shared" ca="1" si="147"/>
        <v>1357024001218.2178</v>
      </c>
      <c r="G1059" s="40">
        <f t="shared" ca="1" si="148"/>
        <v>519418810797.35175</v>
      </c>
      <c r="H1059" s="40">
        <f t="shared" ca="1" si="149"/>
        <v>519418810797.35175</v>
      </c>
      <c r="I1059" s="40">
        <f t="shared" ca="1" si="150"/>
        <v>55592470832460.898</v>
      </c>
      <c r="J1059" s="40">
        <f t="shared" ca="1" si="151"/>
        <v>583086154590.25818</v>
      </c>
      <c r="K1059" s="41">
        <f t="shared" ca="1" si="152"/>
        <v>95.341778217194019</v>
      </c>
    </row>
    <row r="1060" spans="2:11" ht="15" customHeight="1" x14ac:dyDescent="0.35">
      <c r="B1060" s="5">
        <v>1039</v>
      </c>
      <c r="C1060" s="39">
        <f t="shared" ca="1" si="144"/>
        <v>2.8456703607671008</v>
      </c>
      <c r="D1060" s="40">
        <f t="shared" ca="1" si="145"/>
        <v>4293036581.8790379</v>
      </c>
      <c r="E1060" s="40">
        <f t="shared" ca="1" si="146"/>
        <v>23559695210563.766</v>
      </c>
      <c r="F1060" s="40">
        <f t="shared" ca="1" si="147"/>
        <v>3075217399308.4585</v>
      </c>
      <c r="G1060" s="40">
        <f t="shared" ca="1" si="148"/>
        <v>10423039878695.023</v>
      </c>
      <c r="H1060" s="40">
        <f t="shared" ca="1" si="149"/>
        <v>10423039878695.023</v>
      </c>
      <c r="I1060" s="40">
        <f t="shared" ca="1" si="150"/>
        <v>880238040594.5033</v>
      </c>
      <c r="J1060" s="40">
        <f t="shared" ca="1" si="151"/>
        <v>1275678498496.8206</v>
      </c>
      <c r="K1060" s="41">
        <f t="shared" ca="1" si="152"/>
        <v>0.69001558122341999</v>
      </c>
    </row>
    <row r="1061" spans="2:11" ht="15" customHeight="1" x14ac:dyDescent="0.35">
      <c r="B1061" s="5">
        <v>1040</v>
      </c>
      <c r="C1061" s="39">
        <f t="shared" ca="1" si="144"/>
        <v>2.7934669794075417</v>
      </c>
      <c r="D1061" s="40">
        <f t="shared" ca="1" si="145"/>
        <v>3310159915.8315368</v>
      </c>
      <c r="E1061" s="40">
        <f t="shared" ca="1" si="146"/>
        <v>23584321463913.926</v>
      </c>
      <c r="F1061" s="40">
        <f t="shared" ca="1" si="147"/>
        <v>1260773076774.7639</v>
      </c>
      <c r="G1061" s="40">
        <f t="shared" ca="1" si="148"/>
        <v>2322642497704.9741</v>
      </c>
      <c r="H1061" s="40">
        <f t="shared" ca="1" si="149"/>
        <v>1260773076774.7639</v>
      </c>
      <c r="I1061" s="40">
        <f t="shared" ca="1" si="150"/>
        <v>347490806360.42188</v>
      </c>
      <c r="J1061" s="40">
        <f t="shared" ca="1" si="151"/>
        <v>690197362681.40259</v>
      </c>
      <c r="K1061" s="41">
        <f t="shared" ca="1" si="152"/>
        <v>0.50346585650577858</v>
      </c>
    </row>
    <row r="1062" spans="2:11" ht="15" customHeight="1" x14ac:dyDescent="0.35">
      <c r="B1062" s="5">
        <v>1041</v>
      </c>
      <c r="C1062" s="39">
        <f t="shared" ca="1" si="144"/>
        <v>2.7364362666018835</v>
      </c>
      <c r="D1062" s="40">
        <f t="shared" ca="1" si="145"/>
        <v>3500744587.5417867</v>
      </c>
      <c r="E1062" s="40">
        <f t="shared" ca="1" si="146"/>
        <v>9077624275289.8379</v>
      </c>
      <c r="F1062" s="40">
        <f t="shared" ca="1" si="147"/>
        <v>1808883507050.5334</v>
      </c>
      <c r="G1062" s="40">
        <f t="shared" ca="1" si="148"/>
        <v>5931372958301.249</v>
      </c>
      <c r="H1062" s="40">
        <f t="shared" ca="1" si="149"/>
        <v>1808883507050.5334</v>
      </c>
      <c r="I1062" s="40">
        <f t="shared" ca="1" si="150"/>
        <v>6691851778224.9229</v>
      </c>
      <c r="J1062" s="40">
        <f t="shared" ca="1" si="151"/>
        <v>1127589997719.1104</v>
      </c>
      <c r="K1062" s="41">
        <f t="shared" ca="1" si="152"/>
        <v>5.9346498210885201</v>
      </c>
    </row>
    <row r="1063" spans="2:11" ht="15" customHeight="1" x14ac:dyDescent="0.35">
      <c r="B1063" s="5">
        <v>1042</v>
      </c>
      <c r="C1063" s="39">
        <f t="shared" ca="1" si="144"/>
        <v>3.7694778792759767</v>
      </c>
      <c r="D1063" s="40">
        <f t="shared" ca="1" si="145"/>
        <v>12235708751.554495</v>
      </c>
      <c r="E1063" s="40">
        <f t="shared" ca="1" si="146"/>
        <v>50304801992140.828</v>
      </c>
      <c r="F1063" s="40">
        <f t="shared" ca="1" si="147"/>
        <v>774441455603.68115</v>
      </c>
      <c r="G1063" s="40">
        <f t="shared" ca="1" si="148"/>
        <v>116205551463.55072</v>
      </c>
      <c r="H1063" s="40">
        <f t="shared" ca="1" si="149"/>
        <v>116205551463.55072</v>
      </c>
      <c r="I1063" s="40">
        <f t="shared" ca="1" si="150"/>
        <v>3322888081934.7173</v>
      </c>
      <c r="J1063" s="40">
        <f t="shared" ca="1" si="151"/>
        <v>1512638323339.5913</v>
      </c>
      <c r="K1063" s="41">
        <f t="shared" ca="1" si="152"/>
        <v>2.1967498976215745</v>
      </c>
    </row>
    <row r="1064" spans="2:11" ht="15" customHeight="1" x14ac:dyDescent="0.35">
      <c r="B1064" s="5">
        <v>1043</v>
      </c>
      <c r="C1064" s="39">
        <f t="shared" ca="1" si="144"/>
        <v>2.4466483532014536</v>
      </c>
      <c r="D1064" s="40">
        <f t="shared" ca="1" si="145"/>
        <v>1872835495.1206789</v>
      </c>
      <c r="E1064" s="40">
        <f t="shared" ca="1" si="146"/>
        <v>9934772053141.6797</v>
      </c>
      <c r="F1064" s="40">
        <f t="shared" ca="1" si="147"/>
        <v>11078521468410.172</v>
      </c>
      <c r="G1064" s="40">
        <f t="shared" ca="1" si="148"/>
        <v>404649523941.07404</v>
      </c>
      <c r="H1064" s="40">
        <f t="shared" ca="1" si="149"/>
        <v>404649523941.07404</v>
      </c>
      <c r="I1064" s="40">
        <f t="shared" ca="1" si="150"/>
        <v>2853570287964.6421</v>
      </c>
      <c r="J1064" s="40">
        <f t="shared" ca="1" si="151"/>
        <v>1190232455229.8909</v>
      </c>
      <c r="K1064" s="41">
        <f t="shared" ca="1" si="152"/>
        <v>2.3974898982346109</v>
      </c>
    </row>
    <row r="1065" spans="2:11" ht="15" customHeight="1" x14ac:dyDescent="0.35">
      <c r="B1065" s="5">
        <v>1044</v>
      </c>
      <c r="C1065" s="39">
        <f t="shared" ca="1" si="144"/>
        <v>3.2822560472090077</v>
      </c>
      <c r="D1065" s="40">
        <f t="shared" ca="1" si="145"/>
        <v>6397441717.5230417</v>
      </c>
      <c r="E1065" s="40">
        <f t="shared" ca="1" si="146"/>
        <v>13122958992515.031</v>
      </c>
      <c r="F1065" s="40">
        <f t="shared" ca="1" si="147"/>
        <v>10303492964248.555</v>
      </c>
      <c r="G1065" s="40">
        <f t="shared" ca="1" si="148"/>
        <v>300306731103.47833</v>
      </c>
      <c r="H1065" s="40">
        <f t="shared" ca="1" si="149"/>
        <v>300306731103.47833</v>
      </c>
      <c r="I1065" s="40">
        <f t="shared" ca="1" si="150"/>
        <v>1249750802369.1873</v>
      </c>
      <c r="J1065" s="40">
        <f t="shared" ca="1" si="151"/>
        <v>1020446261900.5775</v>
      </c>
      <c r="K1065" s="41">
        <f t="shared" ca="1" si="152"/>
        <v>1.224710059735562</v>
      </c>
    </row>
    <row r="1066" spans="2:11" ht="15" customHeight="1" x14ac:dyDescent="0.35">
      <c r="B1066" s="5">
        <v>1045</v>
      </c>
      <c r="C1066" s="39">
        <f t="shared" ca="1" si="144"/>
        <v>3.1007863438610435</v>
      </c>
      <c r="D1066" s="40">
        <f t="shared" ca="1" si="145"/>
        <v>5929102178.8599958</v>
      </c>
      <c r="E1066" s="40">
        <f t="shared" ca="1" si="146"/>
        <v>26579006108441.668</v>
      </c>
      <c r="F1066" s="40">
        <f t="shared" ca="1" si="147"/>
        <v>8055283651059.7471</v>
      </c>
      <c r="G1066" s="40">
        <f t="shared" ca="1" si="148"/>
        <v>2257952975160.5693</v>
      </c>
      <c r="H1066" s="40">
        <f t="shared" ca="1" si="149"/>
        <v>8055283651059.7471</v>
      </c>
      <c r="I1066" s="40">
        <f t="shared" ca="1" si="150"/>
        <v>83441648977016.188</v>
      </c>
      <c r="J1066" s="40">
        <f t="shared" ca="1" si="151"/>
        <v>1096174199674.2861</v>
      </c>
      <c r="K1066" s="41">
        <f t="shared" ca="1" si="152"/>
        <v>76.120792663985142</v>
      </c>
    </row>
    <row r="1067" spans="2:11" ht="15" customHeight="1" x14ac:dyDescent="0.35">
      <c r="B1067" s="5">
        <v>1046</v>
      </c>
      <c r="C1067" s="39">
        <f t="shared" ca="1" si="144"/>
        <v>3.7896149233062681</v>
      </c>
      <c r="D1067" s="40">
        <f t="shared" ca="1" si="145"/>
        <v>16945735151.731071</v>
      </c>
      <c r="E1067" s="40">
        <f t="shared" ca="1" si="146"/>
        <v>40144293415540.211</v>
      </c>
      <c r="F1067" s="40">
        <f t="shared" ca="1" si="147"/>
        <v>1602198214214.2297</v>
      </c>
      <c r="G1067" s="40">
        <f t="shared" ca="1" si="148"/>
        <v>3098764889755.5942</v>
      </c>
      <c r="H1067" s="40">
        <f t="shared" ca="1" si="149"/>
        <v>1602198214214.2297</v>
      </c>
      <c r="I1067" s="40">
        <f t="shared" ca="1" si="150"/>
        <v>3497308129086.168</v>
      </c>
      <c r="J1067" s="40">
        <f t="shared" ca="1" si="151"/>
        <v>1392035355138.6394</v>
      </c>
      <c r="K1067" s="41">
        <f t="shared" ca="1" si="152"/>
        <v>2.5123701895760071</v>
      </c>
    </row>
    <row r="1068" spans="2:11" ht="15" customHeight="1" x14ac:dyDescent="0.35">
      <c r="B1068" s="5">
        <v>1047</v>
      </c>
      <c r="C1068" s="39">
        <f t="shared" ca="1" si="144"/>
        <v>2.4239090672330552</v>
      </c>
      <c r="D1068" s="40">
        <f t="shared" ca="1" si="145"/>
        <v>1999038276.1791317</v>
      </c>
      <c r="E1068" s="40">
        <f t="shared" ca="1" si="146"/>
        <v>2729100574215.479</v>
      </c>
      <c r="F1068" s="40">
        <f t="shared" ca="1" si="147"/>
        <v>880571340493.07825</v>
      </c>
      <c r="G1068" s="40">
        <f t="shared" ca="1" si="148"/>
        <v>15515728655079.391</v>
      </c>
      <c r="H1068" s="40">
        <f t="shared" ca="1" si="149"/>
        <v>15515728655079.391</v>
      </c>
      <c r="I1068" s="40">
        <f t="shared" ca="1" si="150"/>
        <v>15524509444976.473</v>
      </c>
      <c r="J1068" s="40">
        <f t="shared" ca="1" si="151"/>
        <v>823502460592.34729</v>
      </c>
      <c r="K1068" s="41">
        <f t="shared" ca="1" si="152"/>
        <v>18.851806992549427</v>
      </c>
    </row>
    <row r="1069" spans="2:11" ht="15" customHeight="1" x14ac:dyDescent="0.35">
      <c r="B1069" s="5">
        <v>1048</v>
      </c>
      <c r="C1069" s="39">
        <f t="shared" ca="1" si="144"/>
        <v>3.6386073624355268</v>
      </c>
      <c r="D1069" s="40">
        <f t="shared" ca="1" si="145"/>
        <v>15084762693.075678</v>
      </c>
      <c r="E1069" s="40">
        <f t="shared" ca="1" si="146"/>
        <v>29863672485963.367</v>
      </c>
      <c r="F1069" s="40">
        <f t="shared" ca="1" si="147"/>
        <v>1351196258445.2332</v>
      </c>
      <c r="G1069" s="40">
        <f t="shared" ca="1" si="148"/>
        <v>2348643863665.2588</v>
      </c>
      <c r="H1069" s="40">
        <f t="shared" ca="1" si="149"/>
        <v>29863672485963.367</v>
      </c>
      <c r="I1069" s="40">
        <f t="shared" ca="1" si="150"/>
        <v>66328004575361.18</v>
      </c>
      <c r="J1069" s="40">
        <f t="shared" ca="1" si="151"/>
        <v>657829213066.7981</v>
      </c>
      <c r="K1069" s="41">
        <f t="shared" ca="1" si="152"/>
        <v>100.82860909466181</v>
      </c>
    </row>
    <row r="1070" spans="2:11" ht="15" customHeight="1" x14ac:dyDescent="0.35">
      <c r="B1070" s="5">
        <v>1049</v>
      </c>
      <c r="C1070" s="39">
        <f t="shared" ca="1" si="144"/>
        <v>2.8897576093018915</v>
      </c>
      <c r="D1070" s="40">
        <f t="shared" ca="1" si="145"/>
        <v>4052762349.0798821</v>
      </c>
      <c r="E1070" s="40">
        <f t="shared" ca="1" si="146"/>
        <v>8993547149502.3047</v>
      </c>
      <c r="F1070" s="40">
        <f t="shared" ca="1" si="147"/>
        <v>622099588648.58435</v>
      </c>
      <c r="G1070" s="40">
        <f t="shared" ca="1" si="148"/>
        <v>18895615986032.188</v>
      </c>
      <c r="H1070" s="40">
        <f t="shared" ca="1" si="149"/>
        <v>8993547149502.3047</v>
      </c>
      <c r="I1070" s="40">
        <f t="shared" ca="1" si="150"/>
        <v>129159703904949.89</v>
      </c>
      <c r="J1070" s="40">
        <f t="shared" ca="1" si="151"/>
        <v>621309107496.63928</v>
      </c>
      <c r="K1070" s="41">
        <f t="shared" ca="1" si="152"/>
        <v>207.88316531421282</v>
      </c>
    </row>
    <row r="1071" spans="2:11" ht="15" customHeight="1" x14ac:dyDescent="0.35">
      <c r="B1071" s="5">
        <v>1050</v>
      </c>
      <c r="C1071" s="39">
        <f t="shared" ca="1" si="144"/>
        <v>2.2004403005908513</v>
      </c>
      <c r="D1071" s="40">
        <f t="shared" ca="1" si="145"/>
        <v>1055119616.5771661</v>
      </c>
      <c r="E1071" s="40">
        <f t="shared" ca="1" si="146"/>
        <v>436361403656.61975</v>
      </c>
      <c r="F1071" s="40">
        <f t="shared" ca="1" si="147"/>
        <v>4211356240457.7139</v>
      </c>
      <c r="G1071" s="40">
        <f t="shared" ca="1" si="148"/>
        <v>1911315850117.2051</v>
      </c>
      <c r="H1071" s="40">
        <f t="shared" ca="1" si="149"/>
        <v>436361403656.61975</v>
      </c>
      <c r="I1071" s="40">
        <f t="shared" ca="1" si="150"/>
        <v>2324466771790.3667</v>
      </c>
      <c r="J1071" s="40">
        <f t="shared" ca="1" si="151"/>
        <v>974133039890.59961</v>
      </c>
      <c r="K1071" s="41">
        <f t="shared" ca="1" si="152"/>
        <v>2.3861902600607992</v>
      </c>
    </row>
    <row r="1072" spans="2:11" ht="15" customHeight="1" x14ac:dyDescent="0.35">
      <c r="B1072" s="5">
        <v>1051</v>
      </c>
      <c r="C1072" s="39">
        <f t="shared" ca="1" si="144"/>
        <v>2.3601663161737427</v>
      </c>
      <c r="D1072" s="40">
        <f t="shared" ca="1" si="145"/>
        <v>1173368390.2846766</v>
      </c>
      <c r="E1072" s="40">
        <f t="shared" ca="1" si="146"/>
        <v>5447276120351.0791</v>
      </c>
      <c r="F1072" s="40">
        <f t="shared" ca="1" si="147"/>
        <v>3170725927090.9448</v>
      </c>
      <c r="G1072" s="40">
        <f t="shared" ca="1" si="148"/>
        <v>1934243334067.9014</v>
      </c>
      <c r="H1072" s="40">
        <f t="shared" ca="1" si="149"/>
        <v>5447276120351.0791</v>
      </c>
      <c r="I1072" s="40">
        <f t="shared" ca="1" si="150"/>
        <v>8254845848466.6104</v>
      </c>
      <c r="J1072" s="40">
        <f t="shared" ca="1" si="151"/>
        <v>916279081392.90332</v>
      </c>
      <c r="K1072" s="41">
        <f t="shared" ca="1" si="152"/>
        <v>9.0090956086412142</v>
      </c>
    </row>
    <row r="1073" spans="2:11" ht="15" customHeight="1" x14ac:dyDescent="0.35">
      <c r="B1073" s="5">
        <v>1052</v>
      </c>
      <c r="C1073" s="39">
        <f t="shared" ca="1" si="144"/>
        <v>2.8860984288329883</v>
      </c>
      <c r="D1073" s="40">
        <f t="shared" ca="1" si="145"/>
        <v>4740259533.3468084</v>
      </c>
      <c r="E1073" s="40">
        <f t="shared" ca="1" si="146"/>
        <v>16152336851558.258</v>
      </c>
      <c r="F1073" s="40">
        <f t="shared" ca="1" si="147"/>
        <v>853624823923.71643</v>
      </c>
      <c r="G1073" s="40">
        <f t="shared" ca="1" si="148"/>
        <v>9283477373397.6016</v>
      </c>
      <c r="H1073" s="40">
        <f t="shared" ca="1" si="149"/>
        <v>853624823923.71643</v>
      </c>
      <c r="I1073" s="40">
        <f t="shared" ca="1" si="150"/>
        <v>4178016221179.8286</v>
      </c>
      <c r="J1073" s="40">
        <f t="shared" ca="1" si="151"/>
        <v>1504919427750.385</v>
      </c>
      <c r="K1073" s="41">
        <f t="shared" ca="1" si="152"/>
        <v>2.7762391422013191</v>
      </c>
    </row>
    <row r="1074" spans="2:11" ht="15" customHeight="1" x14ac:dyDescent="0.35">
      <c r="B1074" s="5">
        <v>1053</v>
      </c>
      <c r="C1074" s="39">
        <f t="shared" ca="1" si="144"/>
        <v>2.7987872861111147</v>
      </c>
      <c r="D1074" s="40">
        <f t="shared" ca="1" si="145"/>
        <v>3358639355.2064123</v>
      </c>
      <c r="E1074" s="40">
        <f t="shared" ca="1" si="146"/>
        <v>18164174734782.457</v>
      </c>
      <c r="F1074" s="40">
        <f t="shared" ca="1" si="147"/>
        <v>5252860303485.9199</v>
      </c>
      <c r="G1074" s="40">
        <f t="shared" ca="1" si="148"/>
        <v>39881540812769.086</v>
      </c>
      <c r="H1074" s="40">
        <f t="shared" ca="1" si="149"/>
        <v>5252860303485.9199</v>
      </c>
      <c r="I1074" s="40">
        <f t="shared" ca="1" si="150"/>
        <v>16677096287831.447</v>
      </c>
      <c r="J1074" s="40">
        <f t="shared" ca="1" si="151"/>
        <v>492365030707.07782</v>
      </c>
      <c r="K1074" s="41">
        <f t="shared" ca="1" si="152"/>
        <v>33.871406878513952</v>
      </c>
    </row>
    <row r="1075" spans="2:11" ht="15" customHeight="1" x14ac:dyDescent="0.35">
      <c r="B1075" s="5">
        <v>1054</v>
      </c>
      <c r="C1075" s="39">
        <f t="shared" ca="1" si="144"/>
        <v>2.3905891568402029</v>
      </c>
      <c r="D1075" s="40">
        <f t="shared" ca="1" si="145"/>
        <v>1560313934.1523802</v>
      </c>
      <c r="E1075" s="40">
        <f t="shared" ca="1" si="146"/>
        <v>3731949453227.2788</v>
      </c>
      <c r="F1075" s="40">
        <f t="shared" ca="1" si="147"/>
        <v>2400767304739.8096</v>
      </c>
      <c r="G1075" s="40">
        <f t="shared" ca="1" si="148"/>
        <v>3656786804738.2734</v>
      </c>
      <c r="H1075" s="40">
        <f t="shared" ca="1" si="149"/>
        <v>3731949453227.2788</v>
      </c>
      <c r="I1075" s="40">
        <f t="shared" ca="1" si="150"/>
        <v>492391518200.85968</v>
      </c>
      <c r="J1075" s="40">
        <f t="shared" ca="1" si="151"/>
        <v>1125757492083.2849</v>
      </c>
      <c r="K1075" s="41">
        <f t="shared" ca="1" si="152"/>
        <v>0.43738684544720041</v>
      </c>
    </row>
    <row r="1076" spans="2:11" ht="15" customHeight="1" x14ac:dyDescent="0.35">
      <c r="B1076" s="5">
        <v>1055</v>
      </c>
      <c r="C1076" s="39">
        <f t="shared" ca="1" si="144"/>
        <v>3.4901926679991426</v>
      </c>
      <c r="D1076" s="40">
        <f t="shared" ca="1" si="145"/>
        <v>10707153575.474163</v>
      </c>
      <c r="E1076" s="40">
        <f t="shared" ca="1" si="146"/>
        <v>54000640878454.719</v>
      </c>
      <c r="F1076" s="40">
        <f t="shared" ca="1" si="147"/>
        <v>21244815883684.461</v>
      </c>
      <c r="G1076" s="40">
        <f t="shared" ca="1" si="148"/>
        <v>1342461224457.769</v>
      </c>
      <c r="H1076" s="40">
        <f t="shared" ca="1" si="149"/>
        <v>54000640878454.719</v>
      </c>
      <c r="I1076" s="40">
        <f t="shared" ca="1" si="150"/>
        <v>1579259106806.134</v>
      </c>
      <c r="J1076" s="40">
        <f t="shared" ca="1" si="151"/>
        <v>1014401016524.0808</v>
      </c>
      <c r="K1076" s="41">
        <f t="shared" ca="1" si="152"/>
        <v>1.5568390420364333</v>
      </c>
    </row>
    <row r="1077" spans="2:11" ht="15" customHeight="1" x14ac:dyDescent="0.35">
      <c r="B1077" s="5">
        <v>1056</v>
      </c>
      <c r="C1077" s="39">
        <f t="shared" ca="1" si="144"/>
        <v>2.3679319930606391</v>
      </c>
      <c r="D1077" s="40">
        <f t="shared" ca="1" si="145"/>
        <v>1684013459.5964053</v>
      </c>
      <c r="E1077" s="40">
        <f t="shared" ca="1" si="146"/>
        <v>3811576323425.5264</v>
      </c>
      <c r="F1077" s="40">
        <f t="shared" ca="1" si="147"/>
        <v>2361456246867.6406</v>
      </c>
      <c r="G1077" s="40">
        <f t="shared" ca="1" si="148"/>
        <v>7070248303360.6719</v>
      </c>
      <c r="H1077" s="40">
        <f t="shared" ca="1" si="149"/>
        <v>7070248303360.6719</v>
      </c>
      <c r="I1077" s="40">
        <f t="shared" ca="1" si="150"/>
        <v>12890361833810.797</v>
      </c>
      <c r="J1077" s="40">
        <f t="shared" ca="1" si="151"/>
        <v>1376752765680.6797</v>
      </c>
      <c r="K1077" s="41">
        <f t="shared" ca="1" si="152"/>
        <v>9.3628733895716412</v>
      </c>
    </row>
    <row r="1078" spans="2:11" ht="15" customHeight="1" x14ac:dyDescent="0.35">
      <c r="B1078" s="5">
        <v>1057</v>
      </c>
      <c r="C1078" s="39">
        <f t="shared" ca="1" si="144"/>
        <v>2.3362975103833152</v>
      </c>
      <c r="D1078" s="40">
        <f t="shared" ca="1" si="145"/>
        <v>1627929216.2044213</v>
      </c>
      <c r="E1078" s="40">
        <f t="shared" ca="1" si="146"/>
        <v>2771720210880.7261</v>
      </c>
      <c r="F1078" s="40">
        <f t="shared" ca="1" si="147"/>
        <v>510638979786.81091</v>
      </c>
      <c r="G1078" s="40">
        <f t="shared" ca="1" si="148"/>
        <v>3324436416728.8242</v>
      </c>
      <c r="H1078" s="40">
        <f t="shared" ca="1" si="149"/>
        <v>3324436416728.8242</v>
      </c>
      <c r="I1078" s="40">
        <f t="shared" ca="1" si="150"/>
        <v>2310464509712.4297</v>
      </c>
      <c r="J1078" s="40">
        <f t="shared" ca="1" si="151"/>
        <v>835929904480.55286</v>
      </c>
      <c r="K1078" s="41">
        <f t="shared" ca="1" si="152"/>
        <v>2.7639452749906743</v>
      </c>
    </row>
    <row r="1079" spans="2:11" ht="15" customHeight="1" x14ac:dyDescent="0.35">
      <c r="B1079" s="5">
        <v>1058</v>
      </c>
      <c r="C1079" s="39">
        <f t="shared" ca="1" si="144"/>
        <v>3.2257760915277296</v>
      </c>
      <c r="D1079" s="40">
        <f t="shared" ca="1" si="145"/>
        <v>5810510631.5596371</v>
      </c>
      <c r="E1079" s="40">
        <f t="shared" ca="1" si="146"/>
        <v>6516794137356.3203</v>
      </c>
      <c r="F1079" s="40">
        <f t="shared" ca="1" si="147"/>
        <v>1058313882418.5229</v>
      </c>
      <c r="G1079" s="40">
        <f t="shared" ca="1" si="148"/>
        <v>2947687335716.6108</v>
      </c>
      <c r="H1079" s="40">
        <f t="shared" ca="1" si="149"/>
        <v>1058313882418.5229</v>
      </c>
      <c r="I1079" s="40">
        <f t="shared" ca="1" si="150"/>
        <v>34931293056990.211</v>
      </c>
      <c r="J1079" s="40">
        <f t="shared" ca="1" si="151"/>
        <v>1590527796939.7832</v>
      </c>
      <c r="K1079" s="41">
        <f t="shared" ca="1" si="152"/>
        <v>21.962076440411117</v>
      </c>
    </row>
    <row r="1080" spans="2:11" ht="15" customHeight="1" x14ac:dyDescent="0.35">
      <c r="B1080" s="5">
        <v>1059</v>
      </c>
      <c r="C1080" s="39">
        <f t="shared" ca="1" si="144"/>
        <v>2.8496727053920208</v>
      </c>
      <c r="D1080" s="40">
        <f t="shared" ca="1" si="145"/>
        <v>3920960448.3846354</v>
      </c>
      <c r="E1080" s="40">
        <f t="shared" ca="1" si="146"/>
        <v>19913996254462.316</v>
      </c>
      <c r="F1080" s="40">
        <f t="shared" ca="1" si="147"/>
        <v>3077380019335.8613</v>
      </c>
      <c r="G1080" s="40">
        <f t="shared" ca="1" si="148"/>
        <v>28303274261314.832</v>
      </c>
      <c r="H1080" s="40">
        <f t="shared" ca="1" si="149"/>
        <v>19913996254462.316</v>
      </c>
      <c r="I1080" s="40">
        <f t="shared" ca="1" si="150"/>
        <v>1581551426670.0728</v>
      </c>
      <c r="J1080" s="40">
        <f t="shared" ca="1" si="151"/>
        <v>867096177992.19861</v>
      </c>
      <c r="K1080" s="41">
        <f t="shared" ca="1" si="152"/>
        <v>1.823963092920359</v>
      </c>
    </row>
    <row r="1081" spans="2:11" ht="15" customHeight="1" x14ac:dyDescent="0.35">
      <c r="B1081" s="5">
        <v>1060</v>
      </c>
      <c r="C1081" s="39">
        <f t="shared" ca="1" si="144"/>
        <v>3.0422648078302661</v>
      </c>
      <c r="D1081" s="40">
        <f t="shared" ca="1" si="145"/>
        <v>5370424294.2653389</v>
      </c>
      <c r="E1081" s="40">
        <f t="shared" ca="1" si="146"/>
        <v>166526570130742.56</v>
      </c>
      <c r="F1081" s="40">
        <f t="shared" ca="1" si="147"/>
        <v>43734930855601.328</v>
      </c>
      <c r="G1081" s="40">
        <f t="shared" ca="1" si="148"/>
        <v>7610612563852.1006</v>
      </c>
      <c r="H1081" s="40">
        <f t="shared" ca="1" si="149"/>
        <v>43734930855601.328</v>
      </c>
      <c r="I1081" s="40">
        <f t="shared" ca="1" si="150"/>
        <v>1273811962619.7783</v>
      </c>
      <c r="J1081" s="40">
        <f t="shared" ca="1" si="151"/>
        <v>830875630031.00806</v>
      </c>
      <c r="K1081" s="41">
        <f t="shared" ca="1" si="152"/>
        <v>1.5330958287610867</v>
      </c>
    </row>
    <row r="1082" spans="2:11" ht="15" customHeight="1" x14ac:dyDescent="0.35">
      <c r="B1082" s="5">
        <v>1061</v>
      </c>
      <c r="C1082" s="39">
        <f t="shared" ca="1" si="144"/>
        <v>3.6762628180681118</v>
      </c>
      <c r="D1082" s="40">
        <f t="shared" ca="1" si="145"/>
        <v>14760672740.065228</v>
      </c>
      <c r="E1082" s="40">
        <f t="shared" ca="1" si="146"/>
        <v>29590169588957.023</v>
      </c>
      <c r="F1082" s="40">
        <f t="shared" ca="1" si="147"/>
        <v>19213384457208.254</v>
      </c>
      <c r="G1082" s="40">
        <f t="shared" ca="1" si="148"/>
        <v>1164867177149.4602</v>
      </c>
      <c r="H1082" s="40">
        <f t="shared" ca="1" si="149"/>
        <v>19213384457208.254</v>
      </c>
      <c r="I1082" s="40">
        <f t="shared" ca="1" si="150"/>
        <v>33426001425613.695</v>
      </c>
      <c r="J1082" s="40">
        <f t="shared" ca="1" si="151"/>
        <v>489392255014.79272</v>
      </c>
      <c r="K1082" s="41">
        <f t="shared" ca="1" si="152"/>
        <v>68.301042942748111</v>
      </c>
    </row>
    <row r="1083" spans="2:11" ht="15" customHeight="1" x14ac:dyDescent="0.35">
      <c r="B1083" s="5">
        <v>1062</v>
      </c>
      <c r="C1083" s="39">
        <f t="shared" ca="1" si="144"/>
        <v>3.9339235292618397</v>
      </c>
      <c r="D1083" s="40">
        <f t="shared" ca="1" si="145"/>
        <v>20783040391.386562</v>
      </c>
      <c r="E1083" s="40">
        <f t="shared" ca="1" si="146"/>
        <v>168703863840961.88</v>
      </c>
      <c r="F1083" s="40">
        <f t="shared" ca="1" si="147"/>
        <v>6499484781876.0205</v>
      </c>
      <c r="G1083" s="40">
        <f t="shared" ca="1" si="148"/>
        <v>34468622475815.852</v>
      </c>
      <c r="H1083" s="40">
        <f t="shared" ca="1" si="149"/>
        <v>168703863840961.88</v>
      </c>
      <c r="I1083" s="40">
        <f t="shared" ca="1" si="150"/>
        <v>25316651032838.422</v>
      </c>
      <c r="J1083" s="40">
        <f t="shared" ca="1" si="151"/>
        <v>1416757285548.5898</v>
      </c>
      <c r="K1083" s="41">
        <f t="shared" ca="1" si="152"/>
        <v>17.869434158607788</v>
      </c>
    </row>
    <row r="1084" spans="2:11" ht="15" customHeight="1" x14ac:dyDescent="0.35">
      <c r="B1084" s="5">
        <v>1063</v>
      </c>
      <c r="C1084" s="39">
        <f t="shared" ca="1" si="144"/>
        <v>2.7664533853958653</v>
      </c>
      <c r="D1084" s="40">
        <f t="shared" ca="1" si="145"/>
        <v>2778778887.3402977</v>
      </c>
      <c r="E1084" s="40">
        <f t="shared" ca="1" si="146"/>
        <v>5182763141117.9004</v>
      </c>
      <c r="F1084" s="40">
        <f t="shared" ca="1" si="147"/>
        <v>33207773089590.523</v>
      </c>
      <c r="G1084" s="40">
        <f t="shared" ca="1" si="148"/>
        <v>11300218042316.26</v>
      </c>
      <c r="H1084" s="40">
        <f t="shared" ca="1" si="149"/>
        <v>5182763141117.9004</v>
      </c>
      <c r="I1084" s="40">
        <f t="shared" ca="1" si="150"/>
        <v>4301580042918.3389</v>
      </c>
      <c r="J1084" s="40">
        <f t="shared" ca="1" si="151"/>
        <v>1197539851160.0925</v>
      </c>
      <c r="K1084" s="41">
        <f t="shared" ca="1" si="152"/>
        <v>3.5920141102204406</v>
      </c>
    </row>
    <row r="1085" spans="2:11" ht="15" customHeight="1" x14ac:dyDescent="0.35">
      <c r="B1085" s="5">
        <v>1064</v>
      </c>
      <c r="C1085" s="39">
        <f t="shared" ca="1" si="144"/>
        <v>3.0532061985376151</v>
      </c>
      <c r="D1085" s="40">
        <f t="shared" ca="1" si="145"/>
        <v>6194898652.4511652</v>
      </c>
      <c r="E1085" s="40">
        <f t="shared" ca="1" si="146"/>
        <v>69016391214747.148</v>
      </c>
      <c r="F1085" s="40">
        <f t="shared" ca="1" si="147"/>
        <v>3825741658143.8457</v>
      </c>
      <c r="G1085" s="40">
        <f t="shared" ca="1" si="148"/>
        <v>1182490528522.1089</v>
      </c>
      <c r="H1085" s="40">
        <f t="shared" ca="1" si="149"/>
        <v>3825741658143.8457</v>
      </c>
      <c r="I1085" s="40">
        <f t="shared" ca="1" si="150"/>
        <v>9402487146199.3613</v>
      </c>
      <c r="J1085" s="40">
        <f t="shared" ca="1" si="151"/>
        <v>1448138653110.8054</v>
      </c>
      <c r="K1085" s="41">
        <f t="shared" ca="1" si="152"/>
        <v>6.4928086312740128</v>
      </c>
    </row>
    <row r="1086" spans="2:11" ht="15" customHeight="1" x14ac:dyDescent="0.35">
      <c r="B1086" s="5">
        <v>1065</v>
      </c>
      <c r="C1086" s="39">
        <f t="shared" ca="1" si="144"/>
        <v>3.0574486352371748</v>
      </c>
      <c r="D1086" s="40">
        <f t="shared" ca="1" si="145"/>
        <v>5276348469.4294806</v>
      </c>
      <c r="E1086" s="40">
        <f t="shared" ca="1" si="146"/>
        <v>19970470865216.391</v>
      </c>
      <c r="F1086" s="40">
        <f t="shared" ca="1" si="147"/>
        <v>646331554796.69958</v>
      </c>
      <c r="G1086" s="40">
        <f t="shared" ca="1" si="148"/>
        <v>618383082652.48047</v>
      </c>
      <c r="H1086" s="40">
        <f t="shared" ca="1" si="149"/>
        <v>646331554796.69958</v>
      </c>
      <c r="I1086" s="40">
        <f t="shared" ca="1" si="150"/>
        <v>42969742162692.813</v>
      </c>
      <c r="J1086" s="40">
        <f t="shared" ca="1" si="151"/>
        <v>1441737582324.3008</v>
      </c>
      <c r="K1086" s="41">
        <f t="shared" ca="1" si="152"/>
        <v>29.804135433175738</v>
      </c>
    </row>
    <row r="1087" spans="2:11" ht="15" customHeight="1" x14ac:dyDescent="0.35">
      <c r="B1087" s="5">
        <v>1066</v>
      </c>
      <c r="C1087" s="39">
        <f t="shared" ca="1" si="144"/>
        <v>2.7210248756365787</v>
      </c>
      <c r="D1087" s="40">
        <f t="shared" ca="1" si="145"/>
        <v>2690264837.9521098</v>
      </c>
      <c r="E1087" s="40">
        <f t="shared" ca="1" si="146"/>
        <v>11155966254985.537</v>
      </c>
      <c r="F1087" s="40">
        <f t="shared" ca="1" si="147"/>
        <v>4151561805653.1357</v>
      </c>
      <c r="G1087" s="40">
        <f t="shared" ca="1" si="148"/>
        <v>2040377933706.8218</v>
      </c>
      <c r="H1087" s="40">
        <f t="shared" ca="1" si="149"/>
        <v>4151561805653.1357</v>
      </c>
      <c r="I1087" s="40">
        <f t="shared" ca="1" si="150"/>
        <v>7487049303096.3555</v>
      </c>
      <c r="J1087" s="40">
        <f t="shared" ca="1" si="151"/>
        <v>488693145174.41541</v>
      </c>
      <c r="K1087" s="41">
        <f t="shared" ca="1" si="152"/>
        <v>15.32055314674859</v>
      </c>
    </row>
    <row r="1088" spans="2:11" ht="15" customHeight="1" x14ac:dyDescent="0.35">
      <c r="B1088" s="5">
        <v>1067</v>
      </c>
      <c r="C1088" s="39">
        <f t="shared" ca="1" si="144"/>
        <v>3.2171366515463777</v>
      </c>
      <c r="D1088" s="40">
        <f t="shared" ca="1" si="145"/>
        <v>7679350475.7981291</v>
      </c>
      <c r="E1088" s="40">
        <f t="shared" ca="1" si="146"/>
        <v>22024838727715.656</v>
      </c>
      <c r="F1088" s="40">
        <f t="shared" ca="1" si="147"/>
        <v>1730289618770.5625</v>
      </c>
      <c r="G1088" s="40">
        <f t="shared" ca="1" si="148"/>
        <v>4940276638366.3975</v>
      </c>
      <c r="H1088" s="40">
        <f t="shared" ca="1" si="149"/>
        <v>22024838727715.656</v>
      </c>
      <c r="I1088" s="40">
        <f t="shared" ca="1" si="150"/>
        <v>3676148182720.7002</v>
      </c>
      <c r="J1088" s="40">
        <f t="shared" ca="1" si="151"/>
        <v>1157399364950.6448</v>
      </c>
      <c r="K1088" s="41">
        <f t="shared" ca="1" si="152"/>
        <v>3.1762141003744744</v>
      </c>
    </row>
    <row r="1089" spans="2:11" ht="15" customHeight="1" x14ac:dyDescent="0.35">
      <c r="B1089" s="5">
        <v>1068</v>
      </c>
      <c r="C1089" s="39">
        <f t="shared" ca="1" si="144"/>
        <v>3.3586445720911904</v>
      </c>
      <c r="D1089" s="40">
        <f t="shared" ca="1" si="145"/>
        <v>9812345482.8345509</v>
      </c>
      <c r="E1089" s="40">
        <f t="shared" ca="1" si="146"/>
        <v>50919355128326.172</v>
      </c>
      <c r="F1089" s="40">
        <f t="shared" ca="1" si="147"/>
        <v>1650073801978.1956</v>
      </c>
      <c r="G1089" s="40">
        <f t="shared" ca="1" si="148"/>
        <v>114013652519268.89</v>
      </c>
      <c r="H1089" s="40">
        <f t="shared" ca="1" si="149"/>
        <v>114013652519268.89</v>
      </c>
      <c r="I1089" s="40">
        <f t="shared" ca="1" si="150"/>
        <v>728230936519.28491</v>
      </c>
      <c r="J1089" s="40">
        <f t="shared" ca="1" si="151"/>
        <v>1109927770365.1382</v>
      </c>
      <c r="K1089" s="41">
        <f t="shared" ca="1" si="152"/>
        <v>0.65610660077431471</v>
      </c>
    </row>
    <row r="1090" spans="2:11" ht="15" customHeight="1" x14ac:dyDescent="0.35">
      <c r="B1090" s="5">
        <v>1069</v>
      </c>
      <c r="C1090" s="39">
        <f t="shared" ca="1" si="144"/>
        <v>2.5515070554485497</v>
      </c>
      <c r="D1090" s="40">
        <f t="shared" ca="1" si="145"/>
        <v>2552954602.7676091</v>
      </c>
      <c r="E1090" s="40">
        <f t="shared" ca="1" si="146"/>
        <v>10547592091744.615</v>
      </c>
      <c r="F1090" s="40">
        <f t="shared" ca="1" si="147"/>
        <v>282665660514.44672</v>
      </c>
      <c r="G1090" s="40">
        <f t="shared" ca="1" si="148"/>
        <v>134913893874679.95</v>
      </c>
      <c r="H1090" s="40">
        <f t="shared" ca="1" si="149"/>
        <v>10547592091744.615</v>
      </c>
      <c r="I1090" s="40">
        <f t="shared" ca="1" si="150"/>
        <v>21415007098835.891</v>
      </c>
      <c r="J1090" s="40">
        <f t="shared" ca="1" si="151"/>
        <v>795004759549.59326</v>
      </c>
      <c r="K1090" s="41">
        <f t="shared" ca="1" si="152"/>
        <v>26.936954579955568</v>
      </c>
    </row>
    <row r="1091" spans="2:11" ht="15" customHeight="1" x14ac:dyDescent="0.35">
      <c r="B1091" s="5">
        <v>1070</v>
      </c>
      <c r="C1091" s="39">
        <f t="shared" ca="1" si="144"/>
        <v>4.5</v>
      </c>
      <c r="D1091" s="40">
        <f t="shared" ca="1" si="145"/>
        <v>29527675879.576515</v>
      </c>
      <c r="E1091" s="40">
        <f t="shared" ca="1" si="146"/>
        <v>99621732038241.359</v>
      </c>
      <c r="F1091" s="40">
        <f t="shared" ca="1" si="147"/>
        <v>7949128553150.1309</v>
      </c>
      <c r="G1091" s="40">
        <f t="shared" ca="1" si="148"/>
        <v>946861459213.2301</v>
      </c>
      <c r="H1091" s="40">
        <f t="shared" ca="1" si="149"/>
        <v>946861459213.2301</v>
      </c>
      <c r="I1091" s="40">
        <f t="shared" ca="1" si="150"/>
        <v>40722307832607.531</v>
      </c>
      <c r="J1091" s="40">
        <f t="shared" ca="1" si="151"/>
        <v>1387137563607.6292</v>
      </c>
      <c r="K1091" s="41">
        <f t="shared" ca="1" si="152"/>
        <v>29.357079572337494</v>
      </c>
    </row>
    <row r="1092" spans="2:11" ht="15" customHeight="1" x14ac:dyDescent="0.35">
      <c r="B1092" s="5">
        <v>1071</v>
      </c>
      <c r="C1092" s="39">
        <f t="shared" ca="1" si="144"/>
        <v>2.5800305866618145</v>
      </c>
      <c r="D1092" s="40">
        <f t="shared" ca="1" si="145"/>
        <v>2105031574.0066831</v>
      </c>
      <c r="E1092" s="40">
        <f t="shared" ca="1" si="146"/>
        <v>14232030789312.059</v>
      </c>
      <c r="F1092" s="40">
        <f t="shared" ca="1" si="147"/>
        <v>2236048310408.3706</v>
      </c>
      <c r="G1092" s="40">
        <f t="shared" ca="1" si="148"/>
        <v>2331776057908.8999</v>
      </c>
      <c r="H1092" s="40">
        <f t="shared" ca="1" si="149"/>
        <v>14232030789312.059</v>
      </c>
      <c r="I1092" s="40">
        <f t="shared" ca="1" si="150"/>
        <v>9081352062063.2402</v>
      </c>
      <c r="J1092" s="40">
        <f t="shared" ca="1" si="151"/>
        <v>1002146790890.3917</v>
      </c>
      <c r="K1092" s="41">
        <f t="shared" ca="1" si="152"/>
        <v>9.0618980618543929</v>
      </c>
    </row>
    <row r="1093" spans="2:11" ht="15" customHeight="1" x14ac:dyDescent="0.35">
      <c r="B1093" s="5">
        <v>1072</v>
      </c>
      <c r="C1093" s="39">
        <f t="shared" ca="1" si="144"/>
        <v>3.6934843842182499</v>
      </c>
      <c r="D1093" s="40">
        <f t="shared" ca="1" si="145"/>
        <v>16473649821.619595</v>
      </c>
      <c r="E1093" s="40">
        <f t="shared" ca="1" si="146"/>
        <v>170444532298691.09</v>
      </c>
      <c r="F1093" s="40">
        <f t="shared" ca="1" si="147"/>
        <v>3140296621620.3027</v>
      </c>
      <c r="G1093" s="40">
        <f t="shared" ca="1" si="148"/>
        <v>18267802741437.961</v>
      </c>
      <c r="H1093" s="40">
        <f t="shared" ca="1" si="149"/>
        <v>18267802741437.961</v>
      </c>
      <c r="I1093" s="40">
        <f t="shared" ca="1" si="150"/>
        <v>2438681819644.4189</v>
      </c>
      <c r="J1093" s="40">
        <f t="shared" ca="1" si="151"/>
        <v>1035048100719.1398</v>
      </c>
      <c r="K1093" s="41">
        <f t="shared" ca="1" si="152"/>
        <v>2.3561048205876136</v>
      </c>
    </row>
    <row r="1094" spans="2:11" ht="15" customHeight="1" x14ac:dyDescent="0.35">
      <c r="B1094" s="5">
        <v>1073</v>
      </c>
      <c r="C1094" s="39">
        <f t="shared" ca="1" si="144"/>
        <v>3.6247893048961526</v>
      </c>
      <c r="D1094" s="40">
        <f t="shared" ca="1" si="145"/>
        <v>10344159411.434565</v>
      </c>
      <c r="E1094" s="40">
        <f t="shared" ca="1" si="146"/>
        <v>282579009563972.38</v>
      </c>
      <c r="F1094" s="40">
        <f t="shared" ca="1" si="147"/>
        <v>2738297215800.6631</v>
      </c>
      <c r="G1094" s="40">
        <f t="shared" ca="1" si="148"/>
        <v>3599989518914.1807</v>
      </c>
      <c r="H1094" s="40">
        <f t="shared" ca="1" si="149"/>
        <v>3599989518914.1807</v>
      </c>
      <c r="I1094" s="40">
        <f t="shared" ca="1" si="150"/>
        <v>1875661895968.863</v>
      </c>
      <c r="J1094" s="40">
        <f t="shared" ca="1" si="151"/>
        <v>1201233930998.7124</v>
      </c>
      <c r="K1094" s="41">
        <f t="shared" ca="1" si="152"/>
        <v>1.5614459828065526</v>
      </c>
    </row>
    <row r="1095" spans="2:11" ht="15" customHeight="1" x14ac:dyDescent="0.35">
      <c r="B1095" s="5">
        <v>1074</v>
      </c>
      <c r="C1095" s="39">
        <f t="shared" ca="1" si="144"/>
        <v>2.2848606685405333</v>
      </c>
      <c r="D1095" s="40">
        <f t="shared" ca="1" si="145"/>
        <v>1310143426.6002622</v>
      </c>
      <c r="E1095" s="40">
        <f t="shared" ca="1" si="146"/>
        <v>8852068949519.1563</v>
      </c>
      <c r="F1095" s="40">
        <f t="shared" ca="1" si="147"/>
        <v>20798916656839.695</v>
      </c>
      <c r="G1095" s="40">
        <f t="shared" ca="1" si="148"/>
        <v>1901103190892.8171</v>
      </c>
      <c r="H1095" s="40">
        <f t="shared" ca="1" si="149"/>
        <v>20798916656839.695</v>
      </c>
      <c r="I1095" s="40">
        <f t="shared" ca="1" si="150"/>
        <v>7038036084377.8789</v>
      </c>
      <c r="J1095" s="40">
        <f t="shared" ca="1" si="151"/>
        <v>1062026813507.6332</v>
      </c>
      <c r="K1095" s="41">
        <f t="shared" ca="1" si="152"/>
        <v>6.6269853028784134</v>
      </c>
    </row>
    <row r="1096" spans="2:11" ht="15" customHeight="1" x14ac:dyDescent="0.35">
      <c r="B1096" s="5">
        <v>1075</v>
      </c>
      <c r="C1096" s="39">
        <f t="shared" ca="1" si="144"/>
        <v>3.1155173630422754</v>
      </c>
      <c r="D1096" s="40">
        <f t="shared" ca="1" si="145"/>
        <v>4990381195.7137728</v>
      </c>
      <c r="E1096" s="40">
        <f t="shared" ca="1" si="146"/>
        <v>13565340086029.08</v>
      </c>
      <c r="F1096" s="40">
        <f t="shared" ca="1" si="147"/>
        <v>1496926580048.4646</v>
      </c>
      <c r="G1096" s="40">
        <f t="shared" ca="1" si="148"/>
        <v>2247728680000.022</v>
      </c>
      <c r="H1096" s="40">
        <f t="shared" ca="1" si="149"/>
        <v>2247728680000.022</v>
      </c>
      <c r="I1096" s="40">
        <f t="shared" ca="1" si="150"/>
        <v>9001833370010.1992</v>
      </c>
      <c r="J1096" s="40">
        <f t="shared" ca="1" si="151"/>
        <v>788499896366.10486</v>
      </c>
      <c r="K1096" s="41">
        <f t="shared" ca="1" si="152"/>
        <v>11.416403998905027</v>
      </c>
    </row>
    <row r="1097" spans="2:11" ht="15" customHeight="1" x14ac:dyDescent="0.35">
      <c r="B1097" s="5">
        <v>1076</v>
      </c>
      <c r="C1097" s="39">
        <f t="shared" ca="1" si="144"/>
        <v>3.042931379296979</v>
      </c>
      <c r="D1097" s="40">
        <f t="shared" ca="1" si="145"/>
        <v>4456122760.0736551</v>
      </c>
      <c r="E1097" s="40">
        <f t="shared" ca="1" si="146"/>
        <v>8830643666282.5742</v>
      </c>
      <c r="F1097" s="40">
        <f t="shared" ca="1" si="147"/>
        <v>18160032289068.258</v>
      </c>
      <c r="G1097" s="40">
        <f t="shared" ca="1" si="148"/>
        <v>12654910719019.717</v>
      </c>
      <c r="H1097" s="40">
        <f t="shared" ca="1" si="149"/>
        <v>8830643666282.5742</v>
      </c>
      <c r="I1097" s="40">
        <f t="shared" ca="1" si="150"/>
        <v>3695779314512.0615</v>
      </c>
      <c r="J1097" s="40">
        <f t="shared" ca="1" si="151"/>
        <v>526410884115.00732</v>
      </c>
      <c r="K1097" s="41">
        <f t="shared" ca="1" si="152"/>
        <v>7.0207121965674029</v>
      </c>
    </row>
    <row r="1098" spans="2:11" ht="15" customHeight="1" x14ac:dyDescent="0.35">
      <c r="B1098" s="5">
        <v>1077</v>
      </c>
      <c r="C1098" s="39">
        <f t="shared" ca="1" si="144"/>
        <v>3.3795051033233015</v>
      </c>
      <c r="D1098" s="40">
        <f t="shared" ca="1" si="145"/>
        <v>9382764363.3044167</v>
      </c>
      <c r="E1098" s="40">
        <f t="shared" ca="1" si="146"/>
        <v>70252394772387.633</v>
      </c>
      <c r="F1098" s="40">
        <f t="shared" ca="1" si="147"/>
        <v>1645251209890.1042</v>
      </c>
      <c r="G1098" s="40">
        <f t="shared" ca="1" si="148"/>
        <v>871504990172.07751</v>
      </c>
      <c r="H1098" s="40">
        <f t="shared" ca="1" si="149"/>
        <v>1645251209890.1042</v>
      </c>
      <c r="I1098" s="40">
        <f t="shared" ca="1" si="150"/>
        <v>7104794233878.7949</v>
      </c>
      <c r="J1098" s="40">
        <f t="shared" ca="1" si="151"/>
        <v>1700897575077.147</v>
      </c>
      <c r="K1098" s="41">
        <f t="shared" ca="1" si="152"/>
        <v>4.1770852860182046</v>
      </c>
    </row>
    <row r="1099" spans="2:11" ht="15" customHeight="1" x14ac:dyDescent="0.35">
      <c r="B1099" s="5">
        <v>1078</v>
      </c>
      <c r="C1099" s="39">
        <f t="shared" ca="1" si="144"/>
        <v>3.0704849701736512</v>
      </c>
      <c r="D1099" s="40">
        <f t="shared" ca="1" si="145"/>
        <v>5630867721.6869869</v>
      </c>
      <c r="E1099" s="40">
        <f t="shared" ca="1" si="146"/>
        <v>28716830310312.863</v>
      </c>
      <c r="F1099" s="40">
        <f t="shared" ca="1" si="147"/>
        <v>2279693368706.9497</v>
      </c>
      <c r="G1099" s="40">
        <f t="shared" ca="1" si="148"/>
        <v>1335066034162.594</v>
      </c>
      <c r="H1099" s="40">
        <f t="shared" ca="1" si="149"/>
        <v>28716830310312.863</v>
      </c>
      <c r="I1099" s="40">
        <f t="shared" ca="1" si="150"/>
        <v>11785411761651.053</v>
      </c>
      <c r="J1099" s="40">
        <f t="shared" ca="1" si="151"/>
        <v>1495962793100.509</v>
      </c>
      <c r="K1099" s="41">
        <f t="shared" ca="1" si="152"/>
        <v>7.8781449752669266</v>
      </c>
    </row>
    <row r="1100" spans="2:11" ht="15" customHeight="1" x14ac:dyDescent="0.35">
      <c r="B1100" s="5">
        <v>1079</v>
      </c>
      <c r="C1100" s="39">
        <f t="shared" ca="1" si="144"/>
        <v>3.8419068093548039</v>
      </c>
      <c r="D1100" s="40">
        <f t="shared" ca="1" si="145"/>
        <v>14697016420.01615</v>
      </c>
      <c r="E1100" s="40">
        <f t="shared" ca="1" si="146"/>
        <v>69208544483816.07</v>
      </c>
      <c r="F1100" s="40">
        <f t="shared" ca="1" si="147"/>
        <v>660670788865.95496</v>
      </c>
      <c r="G1100" s="40">
        <f t="shared" ca="1" si="148"/>
        <v>43342020910421.203</v>
      </c>
      <c r="H1100" s="40">
        <f t="shared" ca="1" si="149"/>
        <v>660670788865.95496</v>
      </c>
      <c r="I1100" s="40">
        <f t="shared" ca="1" si="150"/>
        <v>18106576357939.797</v>
      </c>
      <c r="J1100" s="40">
        <f t="shared" ca="1" si="151"/>
        <v>848281516081.92285</v>
      </c>
      <c r="K1100" s="41">
        <f t="shared" ca="1" si="152"/>
        <v>21.345008720184293</v>
      </c>
    </row>
    <row r="1101" spans="2:11" ht="15" customHeight="1" x14ac:dyDescent="0.35">
      <c r="B1101" s="5">
        <v>1080</v>
      </c>
      <c r="C1101" s="39">
        <f t="shared" ca="1" si="144"/>
        <v>2.6799296913110786</v>
      </c>
      <c r="D1101" s="40">
        <f t="shared" ca="1" si="145"/>
        <v>2644543279.7237406</v>
      </c>
      <c r="E1101" s="40">
        <f t="shared" ca="1" si="146"/>
        <v>19076045698730.395</v>
      </c>
      <c r="F1101" s="40">
        <f t="shared" ca="1" si="147"/>
        <v>1185014569559.4639</v>
      </c>
      <c r="G1101" s="40">
        <f t="shared" ca="1" si="148"/>
        <v>727958692652.34741</v>
      </c>
      <c r="H1101" s="40">
        <f t="shared" ca="1" si="149"/>
        <v>19076045698730.395</v>
      </c>
      <c r="I1101" s="40">
        <f t="shared" ca="1" si="150"/>
        <v>498441550046.23401</v>
      </c>
      <c r="J1101" s="40">
        <f t="shared" ca="1" si="151"/>
        <v>1029022167952.4232</v>
      </c>
      <c r="K1101" s="41">
        <f t="shared" ca="1" si="152"/>
        <v>0.48438368537584259</v>
      </c>
    </row>
    <row r="1102" spans="2:11" ht="15" customHeight="1" x14ac:dyDescent="0.35">
      <c r="B1102" s="5">
        <v>1081</v>
      </c>
      <c r="C1102" s="39">
        <f t="shared" ca="1" si="144"/>
        <v>3.7424935339038603</v>
      </c>
      <c r="D1102" s="40">
        <f t="shared" ca="1" si="145"/>
        <v>12666745754.767313</v>
      </c>
      <c r="E1102" s="40">
        <f t="shared" ca="1" si="146"/>
        <v>67577338953563.453</v>
      </c>
      <c r="F1102" s="40">
        <f t="shared" ca="1" si="147"/>
        <v>1736313164113.9167</v>
      </c>
      <c r="G1102" s="40">
        <f t="shared" ca="1" si="148"/>
        <v>2113661036513.0269</v>
      </c>
      <c r="H1102" s="40">
        <f t="shared" ca="1" si="149"/>
        <v>2113661036513.0269</v>
      </c>
      <c r="I1102" s="40">
        <f t="shared" ca="1" si="150"/>
        <v>2912544900643.9258</v>
      </c>
      <c r="J1102" s="40">
        <f t="shared" ca="1" si="151"/>
        <v>611146266192.99194</v>
      </c>
      <c r="K1102" s="41">
        <f t="shared" ca="1" si="152"/>
        <v>4.7657084101765292</v>
      </c>
    </row>
    <row r="1103" spans="2:11" ht="15" customHeight="1" x14ac:dyDescent="0.35">
      <c r="B1103" s="5">
        <v>1082</v>
      </c>
      <c r="C1103" s="39">
        <f t="shared" ca="1" si="144"/>
        <v>3.3975723926872483</v>
      </c>
      <c r="D1103" s="40">
        <f t="shared" ca="1" si="145"/>
        <v>7989323425.5055351</v>
      </c>
      <c r="E1103" s="40">
        <f t="shared" ca="1" si="146"/>
        <v>18745678760063.465</v>
      </c>
      <c r="F1103" s="40">
        <f t="shared" ca="1" si="147"/>
        <v>575696348653.60486</v>
      </c>
      <c r="G1103" s="40">
        <f t="shared" ca="1" si="148"/>
        <v>1841623941913.5952</v>
      </c>
      <c r="H1103" s="40">
        <f t="shared" ca="1" si="149"/>
        <v>18745678760063.465</v>
      </c>
      <c r="I1103" s="40">
        <f t="shared" ca="1" si="150"/>
        <v>1997555273247.6497</v>
      </c>
      <c r="J1103" s="40">
        <f t="shared" ca="1" si="151"/>
        <v>1109560159921.6707</v>
      </c>
      <c r="K1103" s="41">
        <f t="shared" ca="1" si="152"/>
        <v>1.8003127233665879</v>
      </c>
    </row>
    <row r="1104" spans="2:11" ht="15" customHeight="1" x14ac:dyDescent="0.35">
      <c r="B1104" s="5">
        <v>1083</v>
      </c>
      <c r="C1104" s="39">
        <f t="shared" ca="1" si="144"/>
        <v>3.5104532421366312</v>
      </c>
      <c r="D1104" s="40">
        <f t="shared" ca="1" si="145"/>
        <v>11784055294.589794</v>
      </c>
      <c r="E1104" s="40">
        <f t="shared" ca="1" si="146"/>
        <v>38674043188772.93</v>
      </c>
      <c r="F1104" s="40">
        <f t="shared" ca="1" si="147"/>
        <v>3332980734716.0093</v>
      </c>
      <c r="G1104" s="40">
        <f t="shared" ca="1" si="148"/>
        <v>4685525973087.3848</v>
      </c>
      <c r="H1104" s="40">
        <f t="shared" ca="1" si="149"/>
        <v>3332980734716.0093</v>
      </c>
      <c r="I1104" s="40">
        <f t="shared" ca="1" si="150"/>
        <v>10510867542372.063</v>
      </c>
      <c r="J1104" s="40">
        <f t="shared" ca="1" si="151"/>
        <v>869375857199.53076</v>
      </c>
      <c r="K1104" s="41">
        <f t="shared" ca="1" si="152"/>
        <v>12.090130471566235</v>
      </c>
    </row>
    <row r="1105" spans="2:11" ht="15" customHeight="1" x14ac:dyDescent="0.35">
      <c r="B1105" s="5">
        <v>1084</v>
      </c>
      <c r="C1105" s="39">
        <f t="shared" ca="1" si="144"/>
        <v>2.8859070272568861</v>
      </c>
      <c r="D1105" s="40">
        <f t="shared" ca="1" si="145"/>
        <v>3430376550.6152411</v>
      </c>
      <c r="E1105" s="40">
        <f t="shared" ca="1" si="146"/>
        <v>5978783138486.8564</v>
      </c>
      <c r="F1105" s="40">
        <f t="shared" ca="1" si="147"/>
        <v>3295762975304.2686</v>
      </c>
      <c r="G1105" s="40">
        <f t="shared" ca="1" si="148"/>
        <v>3111769932205.6343</v>
      </c>
      <c r="H1105" s="40">
        <f t="shared" ca="1" si="149"/>
        <v>5978783138486.8564</v>
      </c>
      <c r="I1105" s="40">
        <f t="shared" ca="1" si="150"/>
        <v>695292563101.84985</v>
      </c>
      <c r="J1105" s="40">
        <f t="shared" ca="1" si="151"/>
        <v>1497791648938.4832</v>
      </c>
      <c r="K1105" s="41">
        <f t="shared" ca="1" si="152"/>
        <v>0.46421180382105781</v>
      </c>
    </row>
    <row r="1106" spans="2:11" ht="15" customHeight="1" x14ac:dyDescent="0.35">
      <c r="B1106" s="5">
        <v>1085</v>
      </c>
      <c r="C1106" s="39">
        <f t="shared" ca="1" si="144"/>
        <v>2.1509756140586505</v>
      </c>
      <c r="D1106" s="40">
        <f t="shared" ca="1" si="145"/>
        <v>995799463.27189672</v>
      </c>
      <c r="E1106" s="40">
        <f t="shared" ca="1" si="146"/>
        <v>8432479790929.5684</v>
      </c>
      <c r="F1106" s="40">
        <f t="shared" ca="1" si="147"/>
        <v>3492815929440.0698</v>
      </c>
      <c r="G1106" s="40">
        <f t="shared" ca="1" si="148"/>
        <v>4957123564707.1836</v>
      </c>
      <c r="H1106" s="40">
        <f t="shared" ca="1" si="149"/>
        <v>3492815929440.0698</v>
      </c>
      <c r="I1106" s="40">
        <f t="shared" ca="1" si="150"/>
        <v>17847820031650.406</v>
      </c>
      <c r="J1106" s="40">
        <f t="shared" ca="1" si="151"/>
        <v>1185657334327.9939</v>
      </c>
      <c r="K1106" s="41">
        <f t="shared" ca="1" si="152"/>
        <v>15.053101359817575</v>
      </c>
    </row>
    <row r="1107" spans="2:11" ht="15" customHeight="1" x14ac:dyDescent="0.35">
      <c r="B1107" s="5">
        <v>1086</v>
      </c>
      <c r="C1107" s="39">
        <f t="shared" ca="1" si="144"/>
        <v>3.0979109052388187</v>
      </c>
      <c r="D1107" s="40">
        <f t="shared" ca="1" si="145"/>
        <v>6799012191.6557789</v>
      </c>
      <c r="E1107" s="40">
        <f t="shared" ca="1" si="146"/>
        <v>18130955595405.656</v>
      </c>
      <c r="F1107" s="40">
        <f t="shared" ca="1" si="147"/>
        <v>1627261356297.8743</v>
      </c>
      <c r="G1107" s="40">
        <f t="shared" ca="1" si="148"/>
        <v>244082121543.23279</v>
      </c>
      <c r="H1107" s="40">
        <f t="shared" ca="1" si="149"/>
        <v>244082121543.23279</v>
      </c>
      <c r="I1107" s="40">
        <f t="shared" ca="1" si="150"/>
        <v>962196491228.75818</v>
      </c>
      <c r="J1107" s="40">
        <f t="shared" ca="1" si="151"/>
        <v>785884256086.47791</v>
      </c>
      <c r="K1107" s="41">
        <f t="shared" ca="1" si="152"/>
        <v>1.2243488577061901</v>
      </c>
    </row>
    <row r="1108" spans="2:11" ht="15" customHeight="1" x14ac:dyDescent="0.35">
      <c r="B1108" s="5">
        <v>1087</v>
      </c>
      <c r="C1108" s="39">
        <f t="shared" ca="1" si="144"/>
        <v>2.8764014042222508</v>
      </c>
      <c r="D1108" s="40">
        <f t="shared" ca="1" si="145"/>
        <v>3713894853.5585642</v>
      </c>
      <c r="E1108" s="40">
        <f t="shared" ca="1" si="146"/>
        <v>24938671186806.402</v>
      </c>
      <c r="F1108" s="40">
        <f t="shared" ca="1" si="147"/>
        <v>837009538692.1814</v>
      </c>
      <c r="G1108" s="40">
        <f t="shared" ca="1" si="148"/>
        <v>701392013467.04407</v>
      </c>
      <c r="H1108" s="40">
        <f t="shared" ca="1" si="149"/>
        <v>701392013467.04407</v>
      </c>
      <c r="I1108" s="40">
        <f t="shared" ca="1" si="150"/>
        <v>3913818171234.4902</v>
      </c>
      <c r="J1108" s="40">
        <f t="shared" ca="1" si="151"/>
        <v>757178056094.97266</v>
      </c>
      <c r="K1108" s="41">
        <f t="shared" ca="1" si="152"/>
        <v>5.1689535106437114</v>
      </c>
    </row>
    <row r="1109" spans="2:11" ht="15" customHeight="1" x14ac:dyDescent="0.35">
      <c r="B1109" s="5">
        <v>1088</v>
      </c>
      <c r="C1109" s="39">
        <f t="shared" ca="1" si="144"/>
        <v>2.9018608509273025</v>
      </c>
      <c r="D1109" s="40">
        <f t="shared" ca="1" si="145"/>
        <v>4786023205.7444696</v>
      </c>
      <c r="E1109" s="40">
        <f t="shared" ca="1" si="146"/>
        <v>11682958946486.627</v>
      </c>
      <c r="F1109" s="40">
        <f t="shared" ca="1" si="147"/>
        <v>1544791401160.1194</v>
      </c>
      <c r="G1109" s="40">
        <f t="shared" ca="1" si="148"/>
        <v>18105594292291.891</v>
      </c>
      <c r="H1109" s="40">
        <f t="shared" ca="1" si="149"/>
        <v>11682958946486.627</v>
      </c>
      <c r="I1109" s="40">
        <f t="shared" ca="1" si="150"/>
        <v>3709296991071.6367</v>
      </c>
      <c r="J1109" s="40">
        <f t="shared" ca="1" si="151"/>
        <v>1134742244492.1323</v>
      </c>
      <c r="K1109" s="41">
        <f t="shared" ca="1" si="152"/>
        <v>3.2688454220119194</v>
      </c>
    </row>
    <row r="1110" spans="2:11" ht="15" customHeight="1" x14ac:dyDescent="0.35">
      <c r="B1110" s="5">
        <v>1089</v>
      </c>
      <c r="C1110" s="39">
        <f t="shared" ref="C1110:C1173" ca="1" si="153">MEDIAN(1.8,NORMINV(RAND(),$C$7,$D$7),4.5)</f>
        <v>2.3585593721597329</v>
      </c>
      <c r="D1110" s="40">
        <f t="shared" ref="D1110:D1173" ca="1" si="154">($C$8+RAND()*($D$8-$C$8))*C1110^5</f>
        <v>1664062024.2962832</v>
      </c>
      <c r="E1110" s="40">
        <f t="shared" ref="E1110:E1173" ca="1" si="155">D1110*($C$10+RAND()*($D$10-$C$10))*EXP(NORMINV(RAND(),$C$9,$D$9))*($C$11+RAND()*($D$11-$C$11))</f>
        <v>3843264085424.2944</v>
      </c>
      <c r="F1110" s="40">
        <f t="shared" ref="F1110:F1173" ca="1" si="156">EXP(NORMINV(RAND(),$C$12,$D$12))*EXP(NORMINV(RAND(),$C$13,$D$13))</f>
        <v>21042343215413.695</v>
      </c>
      <c r="G1110" s="40">
        <f t="shared" ref="G1110:G1173" ca="1" si="157">EXP(NORMINV(RAND(),$C$14,$D$14))*($C$15+RAND()*($D$15-$C$15))*EXP(NORMINV(RAND(),$C$16,$D$16))/1000000*31536000</f>
        <v>102081188949475.94</v>
      </c>
      <c r="H1110" s="40">
        <f t="shared" ref="H1110:H1173" ca="1" si="158">CHOOSE(RANDBETWEEN(1,3),E1110,F1110,G1110)</f>
        <v>21042343215413.695</v>
      </c>
      <c r="I1110" s="40">
        <f t="shared" ref="I1110:I1173" ca="1" si="159">EXP(NORMINV(RAND(),$C$14,$D$14))*($C$15+RAND()*($D$15-$C$15))*60</f>
        <v>10507614465831.641</v>
      </c>
      <c r="J1110" s="40">
        <f t="shared" ref="J1110:J1173" ca="1" si="160">($C$17+RAND()*($D$17-$C$17))*($C$18+RAND()*($D$18-$C$18))</f>
        <v>1136865294853.5276</v>
      </c>
      <c r="K1110" s="41">
        <f t="shared" ref="K1110:K1173" ca="1" si="161">I1110/J1110</f>
        <v>9.2426204875797797</v>
      </c>
    </row>
    <row r="1111" spans="2:11" ht="15" customHeight="1" x14ac:dyDescent="0.35">
      <c r="B1111" s="5">
        <v>1090</v>
      </c>
      <c r="C1111" s="39">
        <f t="shared" ca="1" si="153"/>
        <v>3.6364367064250143</v>
      </c>
      <c r="D1111" s="40">
        <f t="shared" ca="1" si="154"/>
        <v>10945436835.49081</v>
      </c>
      <c r="E1111" s="40">
        <f t="shared" ca="1" si="155"/>
        <v>20256466494073.824</v>
      </c>
      <c r="F1111" s="40">
        <f t="shared" ca="1" si="156"/>
        <v>4032436948861.9482</v>
      </c>
      <c r="G1111" s="40">
        <f t="shared" ca="1" si="157"/>
        <v>5021648854269.0137</v>
      </c>
      <c r="H1111" s="40">
        <f t="shared" ca="1" si="158"/>
        <v>5021648854269.0137</v>
      </c>
      <c r="I1111" s="40">
        <f t="shared" ca="1" si="159"/>
        <v>68908185656705.641</v>
      </c>
      <c r="J1111" s="40">
        <f t="shared" ca="1" si="160"/>
        <v>684603038076.80005</v>
      </c>
      <c r="K1111" s="41">
        <f t="shared" ca="1" si="161"/>
        <v>100.65422124079939</v>
      </c>
    </row>
    <row r="1112" spans="2:11" ht="15" customHeight="1" x14ac:dyDescent="0.35">
      <c r="B1112" s="5">
        <v>1091</v>
      </c>
      <c r="C1112" s="39">
        <f t="shared" ca="1" si="153"/>
        <v>3.0217652752295141</v>
      </c>
      <c r="D1112" s="40">
        <f t="shared" ca="1" si="154"/>
        <v>4751126366.6441908</v>
      </c>
      <c r="E1112" s="40">
        <f t="shared" ca="1" si="155"/>
        <v>35280318260964.336</v>
      </c>
      <c r="F1112" s="40">
        <f t="shared" ca="1" si="156"/>
        <v>730764171195.52368</v>
      </c>
      <c r="G1112" s="40">
        <f t="shared" ca="1" si="157"/>
        <v>37192514682125.492</v>
      </c>
      <c r="H1112" s="40">
        <f t="shared" ca="1" si="158"/>
        <v>37192514682125.492</v>
      </c>
      <c r="I1112" s="40">
        <f t="shared" ca="1" si="159"/>
        <v>40341383850819.266</v>
      </c>
      <c r="J1112" s="40">
        <f t="shared" ca="1" si="160"/>
        <v>1154865800006.4827</v>
      </c>
      <c r="K1112" s="41">
        <f t="shared" ca="1" si="161"/>
        <v>34.931663792098455</v>
      </c>
    </row>
    <row r="1113" spans="2:11" ht="15" customHeight="1" x14ac:dyDescent="0.35">
      <c r="B1113" s="5">
        <v>1092</v>
      </c>
      <c r="C1113" s="39">
        <f t="shared" ca="1" si="153"/>
        <v>3.2734682299199873</v>
      </c>
      <c r="D1113" s="40">
        <f t="shared" ca="1" si="154"/>
        <v>7192147743.9901152</v>
      </c>
      <c r="E1113" s="40">
        <f t="shared" ca="1" si="155"/>
        <v>28404233406199.066</v>
      </c>
      <c r="F1113" s="40">
        <f t="shared" ca="1" si="156"/>
        <v>10187573816990.461</v>
      </c>
      <c r="G1113" s="40">
        <f t="shared" ca="1" si="157"/>
        <v>56361304931779.891</v>
      </c>
      <c r="H1113" s="40">
        <f t="shared" ca="1" si="158"/>
        <v>10187573816990.461</v>
      </c>
      <c r="I1113" s="40">
        <f t="shared" ca="1" si="159"/>
        <v>41366783131904.789</v>
      </c>
      <c r="J1113" s="40">
        <f t="shared" ca="1" si="160"/>
        <v>1288266658191.4719</v>
      </c>
      <c r="K1113" s="41">
        <f t="shared" ca="1" si="161"/>
        <v>32.110419740255786</v>
      </c>
    </row>
    <row r="1114" spans="2:11" ht="15" customHeight="1" x14ac:dyDescent="0.35">
      <c r="B1114" s="5">
        <v>1093</v>
      </c>
      <c r="C1114" s="39">
        <f t="shared" ca="1" si="153"/>
        <v>2.5688663413135631</v>
      </c>
      <c r="D1114" s="40">
        <f t="shared" ca="1" si="154"/>
        <v>1800326961.729075</v>
      </c>
      <c r="E1114" s="40">
        <f t="shared" ca="1" si="155"/>
        <v>11568804736956.686</v>
      </c>
      <c r="F1114" s="40">
        <f t="shared" ca="1" si="156"/>
        <v>13907515070068.338</v>
      </c>
      <c r="G1114" s="40">
        <f t="shared" ca="1" si="157"/>
        <v>4303833187902.6265</v>
      </c>
      <c r="H1114" s="40">
        <f t="shared" ca="1" si="158"/>
        <v>13907515070068.338</v>
      </c>
      <c r="I1114" s="40">
        <f t="shared" ca="1" si="159"/>
        <v>77503915820120.5</v>
      </c>
      <c r="J1114" s="40">
        <f t="shared" ca="1" si="160"/>
        <v>1073209653838.3462</v>
      </c>
      <c r="K1114" s="41">
        <f t="shared" ca="1" si="161"/>
        <v>72.216938734129798</v>
      </c>
    </row>
    <row r="1115" spans="2:11" ht="15" customHeight="1" x14ac:dyDescent="0.35">
      <c r="B1115" s="5">
        <v>1094</v>
      </c>
      <c r="C1115" s="39">
        <f t="shared" ca="1" si="153"/>
        <v>3.3364725183857447</v>
      </c>
      <c r="D1115" s="40">
        <f t="shared" ca="1" si="154"/>
        <v>9014731307.2803478</v>
      </c>
      <c r="E1115" s="40">
        <f t="shared" ca="1" si="155"/>
        <v>9892594835576.1953</v>
      </c>
      <c r="F1115" s="40">
        <f t="shared" ca="1" si="156"/>
        <v>2094329242899.1489</v>
      </c>
      <c r="G1115" s="40">
        <f t="shared" ca="1" si="157"/>
        <v>40929389472546.141</v>
      </c>
      <c r="H1115" s="40">
        <f t="shared" ca="1" si="158"/>
        <v>40929389472546.141</v>
      </c>
      <c r="I1115" s="40">
        <f t="shared" ca="1" si="159"/>
        <v>7024699885408.5459</v>
      </c>
      <c r="J1115" s="40">
        <f t="shared" ca="1" si="160"/>
        <v>1702582284032.292</v>
      </c>
      <c r="K1115" s="41">
        <f t="shared" ca="1" si="161"/>
        <v>4.1259091858818566</v>
      </c>
    </row>
    <row r="1116" spans="2:11" ht="15" customHeight="1" x14ac:dyDescent="0.35">
      <c r="B1116" s="5">
        <v>1095</v>
      </c>
      <c r="C1116" s="39">
        <f t="shared" ca="1" si="153"/>
        <v>2.8317606227098109</v>
      </c>
      <c r="D1116" s="40">
        <f t="shared" ca="1" si="154"/>
        <v>2923937317.6911135</v>
      </c>
      <c r="E1116" s="40">
        <f t="shared" ca="1" si="155"/>
        <v>8751748728128.6572</v>
      </c>
      <c r="F1116" s="40">
        <f t="shared" ca="1" si="156"/>
        <v>14711757652971.82</v>
      </c>
      <c r="G1116" s="40">
        <f t="shared" ca="1" si="157"/>
        <v>6453962497775.8486</v>
      </c>
      <c r="H1116" s="40">
        <f t="shared" ca="1" si="158"/>
        <v>8751748728128.6572</v>
      </c>
      <c r="I1116" s="40">
        <f t="shared" ca="1" si="159"/>
        <v>7506301706653.5527</v>
      </c>
      <c r="J1116" s="40">
        <f t="shared" ca="1" si="160"/>
        <v>1276375180709.592</v>
      </c>
      <c r="K1116" s="41">
        <f t="shared" ca="1" si="161"/>
        <v>5.8809524190845481</v>
      </c>
    </row>
    <row r="1117" spans="2:11" ht="15" customHeight="1" x14ac:dyDescent="0.35">
      <c r="B1117" s="5">
        <v>1096</v>
      </c>
      <c r="C1117" s="39">
        <f t="shared" ca="1" si="153"/>
        <v>2.5529229586988729</v>
      </c>
      <c r="D1117" s="40">
        <f t="shared" ca="1" si="154"/>
        <v>2222895326.0245914</v>
      </c>
      <c r="E1117" s="40">
        <f t="shared" ca="1" si="155"/>
        <v>4124501775989.3384</v>
      </c>
      <c r="F1117" s="40">
        <f t="shared" ca="1" si="156"/>
        <v>703689716610.24207</v>
      </c>
      <c r="G1117" s="40">
        <f t="shared" ca="1" si="157"/>
        <v>830696973576.05774</v>
      </c>
      <c r="H1117" s="40">
        <f t="shared" ca="1" si="158"/>
        <v>830696973576.05774</v>
      </c>
      <c r="I1117" s="40">
        <f t="shared" ca="1" si="159"/>
        <v>54217454276212.633</v>
      </c>
      <c r="J1117" s="40">
        <f t="shared" ca="1" si="160"/>
        <v>1124142711433.7573</v>
      </c>
      <c r="K1117" s="41">
        <f t="shared" ca="1" si="161"/>
        <v>48.23004563812227</v>
      </c>
    </row>
    <row r="1118" spans="2:11" ht="15" customHeight="1" x14ac:dyDescent="0.35">
      <c r="B1118" s="5">
        <v>1097</v>
      </c>
      <c r="C1118" s="39">
        <f t="shared" ca="1" si="153"/>
        <v>3.3611232070429433</v>
      </c>
      <c r="D1118" s="40">
        <f t="shared" ca="1" si="154"/>
        <v>9479372229.332159</v>
      </c>
      <c r="E1118" s="40">
        <f t="shared" ca="1" si="155"/>
        <v>22733947875622.379</v>
      </c>
      <c r="F1118" s="40">
        <f t="shared" ca="1" si="156"/>
        <v>6525766253203.4287</v>
      </c>
      <c r="G1118" s="40">
        <f t="shared" ca="1" si="157"/>
        <v>12758561295151.633</v>
      </c>
      <c r="H1118" s="40">
        <f t="shared" ca="1" si="158"/>
        <v>6525766253203.4287</v>
      </c>
      <c r="I1118" s="40">
        <f t="shared" ca="1" si="159"/>
        <v>2970048470134.189</v>
      </c>
      <c r="J1118" s="40">
        <f t="shared" ca="1" si="160"/>
        <v>891545595020.43909</v>
      </c>
      <c r="K1118" s="41">
        <f t="shared" ca="1" si="161"/>
        <v>3.3313478152130842</v>
      </c>
    </row>
    <row r="1119" spans="2:11" ht="15" customHeight="1" x14ac:dyDescent="0.35">
      <c r="B1119" s="5">
        <v>1098</v>
      </c>
      <c r="C1119" s="39">
        <f t="shared" ca="1" si="153"/>
        <v>3.1328843576017626</v>
      </c>
      <c r="D1119" s="40">
        <f t="shared" ca="1" si="154"/>
        <v>5500648346.7682333</v>
      </c>
      <c r="E1119" s="40">
        <f t="shared" ca="1" si="155"/>
        <v>42951754083490.133</v>
      </c>
      <c r="F1119" s="40">
        <f t="shared" ca="1" si="156"/>
        <v>5000068329625.1602</v>
      </c>
      <c r="G1119" s="40">
        <f t="shared" ca="1" si="157"/>
        <v>29732763591052.602</v>
      </c>
      <c r="H1119" s="40">
        <f t="shared" ca="1" si="158"/>
        <v>29732763591052.602</v>
      </c>
      <c r="I1119" s="40">
        <f t="shared" ca="1" si="159"/>
        <v>3550537472644.2661</v>
      </c>
      <c r="J1119" s="40">
        <f t="shared" ca="1" si="160"/>
        <v>1796110814793.8906</v>
      </c>
      <c r="K1119" s="41">
        <f t="shared" ca="1" si="161"/>
        <v>1.9767919904494877</v>
      </c>
    </row>
    <row r="1120" spans="2:11" ht="15" customHeight="1" x14ac:dyDescent="0.35">
      <c r="B1120" s="5">
        <v>1099</v>
      </c>
      <c r="C1120" s="39">
        <f t="shared" ca="1" si="153"/>
        <v>3.2620517509762808</v>
      </c>
      <c r="D1120" s="40">
        <f t="shared" ca="1" si="154"/>
        <v>7008987412.0326595</v>
      </c>
      <c r="E1120" s="40">
        <f t="shared" ca="1" si="155"/>
        <v>24129360826566.117</v>
      </c>
      <c r="F1120" s="40">
        <f t="shared" ca="1" si="156"/>
        <v>951482343921.17175</v>
      </c>
      <c r="G1120" s="40">
        <f t="shared" ca="1" si="157"/>
        <v>14375301503134.902</v>
      </c>
      <c r="H1120" s="40">
        <f t="shared" ca="1" si="158"/>
        <v>14375301503134.902</v>
      </c>
      <c r="I1120" s="40">
        <f t="shared" ca="1" si="159"/>
        <v>5396956725584.7822</v>
      </c>
      <c r="J1120" s="40">
        <f t="shared" ca="1" si="160"/>
        <v>1015909129046.5122</v>
      </c>
      <c r="K1120" s="41">
        <f t="shared" ca="1" si="161"/>
        <v>5.3124404253066704</v>
      </c>
    </row>
    <row r="1121" spans="2:11" ht="15" customHeight="1" x14ac:dyDescent="0.35">
      <c r="B1121" s="5">
        <v>1100</v>
      </c>
      <c r="C1121" s="39">
        <f t="shared" ca="1" si="153"/>
        <v>3.0513771403139041</v>
      </c>
      <c r="D1121" s="40">
        <f t="shared" ca="1" si="154"/>
        <v>6141391116.6642494</v>
      </c>
      <c r="E1121" s="40">
        <f t="shared" ca="1" si="155"/>
        <v>138108396633079.72</v>
      </c>
      <c r="F1121" s="40">
        <f t="shared" ca="1" si="156"/>
        <v>2604358162661.6265</v>
      </c>
      <c r="G1121" s="40">
        <f t="shared" ca="1" si="157"/>
        <v>3554344669752.0244</v>
      </c>
      <c r="H1121" s="40">
        <f t="shared" ca="1" si="158"/>
        <v>2604358162661.6265</v>
      </c>
      <c r="I1121" s="40">
        <f t="shared" ca="1" si="159"/>
        <v>118363148169817.63</v>
      </c>
      <c r="J1121" s="40">
        <f t="shared" ca="1" si="160"/>
        <v>798438529667.03113</v>
      </c>
      <c r="K1121" s="41">
        <f t="shared" ca="1" si="161"/>
        <v>148.24328207104188</v>
      </c>
    </row>
    <row r="1122" spans="2:11" ht="15" customHeight="1" x14ac:dyDescent="0.35">
      <c r="B1122" s="5">
        <v>1101</v>
      </c>
      <c r="C1122" s="39">
        <f t="shared" ca="1" si="153"/>
        <v>2.6347931900734984</v>
      </c>
      <c r="D1122" s="40">
        <f t="shared" ca="1" si="154"/>
        <v>2308504131.9477205</v>
      </c>
      <c r="E1122" s="40">
        <f t="shared" ca="1" si="155"/>
        <v>2979862886526.7627</v>
      </c>
      <c r="F1122" s="40">
        <f t="shared" ca="1" si="156"/>
        <v>1723988307008.3372</v>
      </c>
      <c r="G1122" s="40">
        <f t="shared" ca="1" si="157"/>
        <v>7868271416434.3096</v>
      </c>
      <c r="H1122" s="40">
        <f t="shared" ca="1" si="158"/>
        <v>7868271416434.3096</v>
      </c>
      <c r="I1122" s="40">
        <f t="shared" ca="1" si="159"/>
        <v>23393970135736.75</v>
      </c>
      <c r="J1122" s="40">
        <f t="shared" ca="1" si="160"/>
        <v>1555120886218.2368</v>
      </c>
      <c r="K1122" s="41">
        <f t="shared" ca="1" si="161"/>
        <v>15.043184322876989</v>
      </c>
    </row>
    <row r="1123" spans="2:11" ht="15" customHeight="1" x14ac:dyDescent="0.35">
      <c r="B1123" s="5">
        <v>1102</v>
      </c>
      <c r="C1123" s="39">
        <f t="shared" ca="1" si="153"/>
        <v>3.4093018259639316</v>
      </c>
      <c r="D1123" s="40">
        <f t="shared" ca="1" si="154"/>
        <v>9804063126.2600021</v>
      </c>
      <c r="E1123" s="40">
        <f t="shared" ca="1" si="155"/>
        <v>5764036550311.6152</v>
      </c>
      <c r="F1123" s="40">
        <f t="shared" ca="1" si="156"/>
        <v>43932892305767.695</v>
      </c>
      <c r="G1123" s="40">
        <f t="shared" ca="1" si="157"/>
        <v>4889377580511.2617</v>
      </c>
      <c r="H1123" s="40">
        <f t="shared" ca="1" si="158"/>
        <v>5764036550311.6152</v>
      </c>
      <c r="I1123" s="40">
        <f t="shared" ca="1" si="159"/>
        <v>9459089329410.1816</v>
      </c>
      <c r="J1123" s="40">
        <f t="shared" ca="1" si="160"/>
        <v>1544660147461.2441</v>
      </c>
      <c r="K1123" s="41">
        <f t="shared" ca="1" si="161"/>
        <v>6.1237349490480799</v>
      </c>
    </row>
    <row r="1124" spans="2:11" ht="15" customHeight="1" x14ac:dyDescent="0.35">
      <c r="B1124" s="5">
        <v>1103</v>
      </c>
      <c r="C1124" s="39">
        <f t="shared" ca="1" si="153"/>
        <v>3.4835827292681927</v>
      </c>
      <c r="D1124" s="40">
        <f t="shared" ca="1" si="154"/>
        <v>9220242926.9228649</v>
      </c>
      <c r="E1124" s="40">
        <f t="shared" ca="1" si="155"/>
        <v>20050220434333.98</v>
      </c>
      <c r="F1124" s="40">
        <f t="shared" ca="1" si="156"/>
        <v>5666726719951.627</v>
      </c>
      <c r="G1124" s="40">
        <f t="shared" ca="1" si="157"/>
        <v>7047758648744.2803</v>
      </c>
      <c r="H1124" s="40">
        <f t="shared" ca="1" si="158"/>
        <v>5666726719951.627</v>
      </c>
      <c r="I1124" s="40">
        <f t="shared" ca="1" si="159"/>
        <v>42238225160417.188</v>
      </c>
      <c r="J1124" s="40">
        <f t="shared" ca="1" si="160"/>
        <v>1548230317142.4155</v>
      </c>
      <c r="K1124" s="41">
        <f t="shared" ca="1" si="161"/>
        <v>27.281616108885345</v>
      </c>
    </row>
    <row r="1125" spans="2:11" ht="15" customHeight="1" x14ac:dyDescent="0.35">
      <c r="B1125" s="5">
        <v>1104</v>
      </c>
      <c r="C1125" s="39">
        <f t="shared" ca="1" si="153"/>
        <v>2.6490867987110231</v>
      </c>
      <c r="D1125" s="40">
        <f t="shared" ca="1" si="154"/>
        <v>2618967705.1827927</v>
      </c>
      <c r="E1125" s="40">
        <f t="shared" ca="1" si="155"/>
        <v>58319195259548.078</v>
      </c>
      <c r="F1125" s="40">
        <f t="shared" ca="1" si="156"/>
        <v>896138383974.45203</v>
      </c>
      <c r="G1125" s="40">
        <f t="shared" ca="1" si="157"/>
        <v>16816547759877.721</v>
      </c>
      <c r="H1125" s="40">
        <f t="shared" ca="1" si="158"/>
        <v>16816547759877.721</v>
      </c>
      <c r="I1125" s="40">
        <f t="shared" ca="1" si="159"/>
        <v>3858031464215.6968</v>
      </c>
      <c r="J1125" s="40">
        <f t="shared" ca="1" si="160"/>
        <v>636506447861.92273</v>
      </c>
      <c r="K1125" s="41">
        <f t="shared" ca="1" si="161"/>
        <v>6.0612606159374192</v>
      </c>
    </row>
    <row r="1126" spans="2:11" ht="15" customHeight="1" x14ac:dyDescent="0.35">
      <c r="B1126" s="5">
        <v>1105</v>
      </c>
      <c r="C1126" s="39">
        <f t="shared" ca="1" si="153"/>
        <v>2.3074444483317702</v>
      </c>
      <c r="D1126" s="40">
        <f t="shared" ca="1" si="154"/>
        <v>1095331359.347357</v>
      </c>
      <c r="E1126" s="40">
        <f t="shared" ca="1" si="155"/>
        <v>2208659110175.4341</v>
      </c>
      <c r="F1126" s="40">
        <f t="shared" ca="1" si="156"/>
        <v>20907160779654.672</v>
      </c>
      <c r="G1126" s="40">
        <f t="shared" ca="1" si="157"/>
        <v>1529673179430.1453</v>
      </c>
      <c r="H1126" s="40">
        <f t="shared" ca="1" si="158"/>
        <v>2208659110175.4341</v>
      </c>
      <c r="I1126" s="40">
        <f t="shared" ca="1" si="159"/>
        <v>11627182175645.506</v>
      </c>
      <c r="J1126" s="40">
        <f t="shared" ca="1" si="160"/>
        <v>781310761411.47046</v>
      </c>
      <c r="K1126" s="41">
        <f t="shared" ca="1" si="161"/>
        <v>14.881635771457335</v>
      </c>
    </row>
    <row r="1127" spans="2:11" ht="15" customHeight="1" x14ac:dyDescent="0.35">
      <c r="B1127" s="5">
        <v>1106</v>
      </c>
      <c r="C1127" s="39">
        <f t="shared" ca="1" si="153"/>
        <v>3.1484430662320886</v>
      </c>
      <c r="D1127" s="40">
        <f t="shared" ca="1" si="154"/>
        <v>5171724631.5150108</v>
      </c>
      <c r="E1127" s="40">
        <f t="shared" ca="1" si="155"/>
        <v>27263525797424.313</v>
      </c>
      <c r="F1127" s="40">
        <f t="shared" ca="1" si="156"/>
        <v>9320301629762.4453</v>
      </c>
      <c r="G1127" s="40">
        <f t="shared" ca="1" si="157"/>
        <v>3167029389900.5132</v>
      </c>
      <c r="H1127" s="40">
        <f t="shared" ca="1" si="158"/>
        <v>9320301629762.4453</v>
      </c>
      <c r="I1127" s="40">
        <f t="shared" ca="1" si="159"/>
        <v>35566141902956.57</v>
      </c>
      <c r="J1127" s="40">
        <f t="shared" ca="1" si="160"/>
        <v>1581724190188.0684</v>
      </c>
      <c r="K1127" s="41">
        <f t="shared" ca="1" si="161"/>
        <v>22.48567868126726</v>
      </c>
    </row>
    <row r="1128" spans="2:11" ht="15" customHeight="1" x14ac:dyDescent="0.35">
      <c r="B1128" s="5">
        <v>1107</v>
      </c>
      <c r="C1128" s="39">
        <f t="shared" ca="1" si="153"/>
        <v>2.9287347710758613</v>
      </c>
      <c r="D1128" s="40">
        <f t="shared" ca="1" si="154"/>
        <v>4303508648.9001303</v>
      </c>
      <c r="E1128" s="40">
        <f t="shared" ca="1" si="155"/>
        <v>15687384941820.287</v>
      </c>
      <c r="F1128" s="40">
        <f t="shared" ca="1" si="156"/>
        <v>1911724243692.2356</v>
      </c>
      <c r="G1128" s="40">
        <f t="shared" ca="1" si="157"/>
        <v>6920183872650.4727</v>
      </c>
      <c r="H1128" s="40">
        <f t="shared" ca="1" si="158"/>
        <v>1911724243692.2356</v>
      </c>
      <c r="I1128" s="40">
        <f t="shared" ca="1" si="159"/>
        <v>22200263923999.621</v>
      </c>
      <c r="J1128" s="40">
        <f t="shared" ca="1" si="160"/>
        <v>837564213832.7124</v>
      </c>
      <c r="K1128" s="41">
        <f t="shared" ca="1" si="161"/>
        <v>26.505745538495159</v>
      </c>
    </row>
    <row r="1129" spans="2:11" ht="15" customHeight="1" x14ac:dyDescent="0.35">
      <c r="B1129" s="5">
        <v>1108</v>
      </c>
      <c r="C1129" s="39">
        <f t="shared" ca="1" si="153"/>
        <v>3.2839025537724504</v>
      </c>
      <c r="D1129" s="40">
        <f t="shared" ca="1" si="154"/>
        <v>6905784786.2755604</v>
      </c>
      <c r="E1129" s="40">
        <f t="shared" ca="1" si="155"/>
        <v>17223932985976.326</v>
      </c>
      <c r="F1129" s="40">
        <f t="shared" ca="1" si="156"/>
        <v>6012244660391.5703</v>
      </c>
      <c r="G1129" s="40">
        <f t="shared" ca="1" si="157"/>
        <v>3140410234991.0674</v>
      </c>
      <c r="H1129" s="40">
        <f t="shared" ca="1" si="158"/>
        <v>3140410234991.0674</v>
      </c>
      <c r="I1129" s="40">
        <f t="shared" ca="1" si="159"/>
        <v>7283351542416.5625</v>
      </c>
      <c r="J1129" s="40">
        <f t="shared" ca="1" si="160"/>
        <v>623882940285.90979</v>
      </c>
      <c r="K1129" s="41">
        <f t="shared" ca="1" si="161"/>
        <v>11.674227763110155</v>
      </c>
    </row>
    <row r="1130" spans="2:11" ht="15" customHeight="1" x14ac:dyDescent="0.35">
      <c r="B1130" s="5">
        <v>1109</v>
      </c>
      <c r="C1130" s="39">
        <f t="shared" ca="1" si="153"/>
        <v>2.2857048163425855</v>
      </c>
      <c r="D1130" s="40">
        <f t="shared" ca="1" si="154"/>
        <v>1136443220.4711583</v>
      </c>
      <c r="E1130" s="40">
        <f t="shared" ca="1" si="155"/>
        <v>5195652510816.7744</v>
      </c>
      <c r="F1130" s="40">
        <f t="shared" ca="1" si="156"/>
        <v>1526541649275.7119</v>
      </c>
      <c r="G1130" s="40">
        <f t="shared" ca="1" si="157"/>
        <v>1046607826413.3633</v>
      </c>
      <c r="H1130" s="40">
        <f t="shared" ca="1" si="158"/>
        <v>5195652510816.7744</v>
      </c>
      <c r="I1130" s="40">
        <f t="shared" ca="1" si="159"/>
        <v>32117357901786</v>
      </c>
      <c r="J1130" s="40">
        <f t="shared" ca="1" si="160"/>
        <v>767687197438.80908</v>
      </c>
      <c r="K1130" s="41">
        <f t="shared" ca="1" si="161"/>
        <v>41.836516238563448</v>
      </c>
    </row>
    <row r="1131" spans="2:11" ht="15" customHeight="1" x14ac:dyDescent="0.35">
      <c r="B1131" s="5">
        <v>1110</v>
      </c>
      <c r="C1131" s="39">
        <f t="shared" ca="1" si="153"/>
        <v>3.9558941222315704</v>
      </c>
      <c r="D1131" s="40">
        <f t="shared" ca="1" si="154"/>
        <v>21776742378.604408</v>
      </c>
      <c r="E1131" s="40">
        <f t="shared" ca="1" si="155"/>
        <v>98652643065778.953</v>
      </c>
      <c r="F1131" s="40">
        <f t="shared" ca="1" si="156"/>
        <v>1154100686435.0808</v>
      </c>
      <c r="G1131" s="40">
        <f t="shared" ca="1" si="157"/>
        <v>13719442365995.123</v>
      </c>
      <c r="H1131" s="40">
        <f t="shared" ca="1" si="158"/>
        <v>1154100686435.0808</v>
      </c>
      <c r="I1131" s="40">
        <f t="shared" ca="1" si="159"/>
        <v>552706062464.04785</v>
      </c>
      <c r="J1131" s="40">
        <f t="shared" ca="1" si="160"/>
        <v>593043531290.0946</v>
      </c>
      <c r="K1131" s="41">
        <f t="shared" ca="1" si="161"/>
        <v>0.93198228005573647</v>
      </c>
    </row>
    <row r="1132" spans="2:11" ht="15" customHeight="1" x14ac:dyDescent="0.35">
      <c r="B1132" s="5">
        <v>1111</v>
      </c>
      <c r="C1132" s="39">
        <f t="shared" ca="1" si="153"/>
        <v>3.0324881304975237</v>
      </c>
      <c r="D1132" s="40">
        <f t="shared" ca="1" si="154"/>
        <v>5333096298.3337278</v>
      </c>
      <c r="E1132" s="40">
        <f t="shared" ca="1" si="155"/>
        <v>46618333079885.82</v>
      </c>
      <c r="F1132" s="40">
        <f t="shared" ca="1" si="156"/>
        <v>1784761826994.6912</v>
      </c>
      <c r="G1132" s="40">
        <f t="shared" ca="1" si="157"/>
        <v>22860257590149.645</v>
      </c>
      <c r="H1132" s="40">
        <f t="shared" ca="1" si="158"/>
        <v>22860257590149.645</v>
      </c>
      <c r="I1132" s="40">
        <f t="shared" ca="1" si="159"/>
        <v>12430730336897.75</v>
      </c>
      <c r="J1132" s="40">
        <f t="shared" ca="1" si="160"/>
        <v>792656843410.55493</v>
      </c>
      <c r="K1132" s="41">
        <f t="shared" ca="1" si="161"/>
        <v>15.682360456780009</v>
      </c>
    </row>
    <row r="1133" spans="2:11" ht="15" customHeight="1" x14ac:dyDescent="0.35">
      <c r="B1133" s="5">
        <v>1112</v>
      </c>
      <c r="C1133" s="39">
        <f t="shared" ca="1" si="153"/>
        <v>3.453556754646173</v>
      </c>
      <c r="D1133" s="40">
        <f t="shared" ca="1" si="154"/>
        <v>11721503490.343365</v>
      </c>
      <c r="E1133" s="40">
        <f t="shared" ca="1" si="155"/>
        <v>12348770294027.67</v>
      </c>
      <c r="F1133" s="40">
        <f t="shared" ca="1" si="156"/>
        <v>761280564826.77039</v>
      </c>
      <c r="G1133" s="40">
        <f t="shared" ca="1" si="157"/>
        <v>4743492535828.9102</v>
      </c>
      <c r="H1133" s="40">
        <f t="shared" ca="1" si="158"/>
        <v>12348770294027.67</v>
      </c>
      <c r="I1133" s="40">
        <f t="shared" ca="1" si="159"/>
        <v>97733552383462.047</v>
      </c>
      <c r="J1133" s="40">
        <f t="shared" ca="1" si="160"/>
        <v>875437263052.20642</v>
      </c>
      <c r="K1133" s="41">
        <f t="shared" ca="1" si="161"/>
        <v>111.63969882058097</v>
      </c>
    </row>
    <row r="1134" spans="2:11" ht="15" customHeight="1" x14ac:dyDescent="0.35">
      <c r="B1134" s="5">
        <v>1113</v>
      </c>
      <c r="C1134" s="39">
        <f t="shared" ca="1" si="153"/>
        <v>2.6940207958850677</v>
      </c>
      <c r="D1134" s="40">
        <f t="shared" ca="1" si="154"/>
        <v>2843391121.8092985</v>
      </c>
      <c r="E1134" s="40">
        <f t="shared" ca="1" si="155"/>
        <v>5511492789116.0791</v>
      </c>
      <c r="F1134" s="40">
        <f t="shared" ca="1" si="156"/>
        <v>5636044954555.1816</v>
      </c>
      <c r="G1134" s="40">
        <f t="shared" ca="1" si="157"/>
        <v>5600898741363.3066</v>
      </c>
      <c r="H1134" s="40">
        <f t="shared" ca="1" si="158"/>
        <v>5636044954555.1816</v>
      </c>
      <c r="I1134" s="40">
        <f t="shared" ca="1" si="159"/>
        <v>3993799474187.4136</v>
      </c>
      <c r="J1134" s="40">
        <f t="shared" ca="1" si="160"/>
        <v>1049123583573.2388</v>
      </c>
      <c r="K1134" s="41">
        <f t="shared" ca="1" si="161"/>
        <v>3.8067960121388391</v>
      </c>
    </row>
    <row r="1135" spans="2:11" ht="15" customHeight="1" x14ac:dyDescent="0.35">
      <c r="B1135" s="5">
        <v>1114</v>
      </c>
      <c r="C1135" s="39">
        <f t="shared" ca="1" si="153"/>
        <v>2.8385480989230967</v>
      </c>
      <c r="D1135" s="40">
        <f t="shared" ca="1" si="154"/>
        <v>3104717799.3741651</v>
      </c>
      <c r="E1135" s="40">
        <f t="shared" ca="1" si="155"/>
        <v>19757159664815.203</v>
      </c>
      <c r="F1135" s="40">
        <f t="shared" ca="1" si="156"/>
        <v>4645782018750.9375</v>
      </c>
      <c r="G1135" s="40">
        <f t="shared" ca="1" si="157"/>
        <v>3024270672557.3091</v>
      </c>
      <c r="H1135" s="40">
        <f t="shared" ca="1" si="158"/>
        <v>4645782018750.9375</v>
      </c>
      <c r="I1135" s="40">
        <f t="shared" ca="1" si="159"/>
        <v>14112499257593.301</v>
      </c>
      <c r="J1135" s="40">
        <f t="shared" ca="1" si="160"/>
        <v>874523206112.2561</v>
      </c>
      <c r="K1135" s="41">
        <f t="shared" ca="1" si="161"/>
        <v>16.137363947528893</v>
      </c>
    </row>
    <row r="1136" spans="2:11" ht="15" customHeight="1" x14ac:dyDescent="0.35">
      <c r="B1136" s="5">
        <v>1115</v>
      </c>
      <c r="C1136" s="39">
        <f t="shared" ca="1" si="153"/>
        <v>2.6785333275569223</v>
      </c>
      <c r="D1136" s="40">
        <f t="shared" ca="1" si="154"/>
        <v>3166467271.0605826</v>
      </c>
      <c r="E1136" s="40">
        <f t="shared" ca="1" si="155"/>
        <v>4362190042610.2363</v>
      </c>
      <c r="F1136" s="40">
        <f t="shared" ca="1" si="156"/>
        <v>15744782539048.453</v>
      </c>
      <c r="G1136" s="40">
        <f t="shared" ca="1" si="157"/>
        <v>13074047589217.275</v>
      </c>
      <c r="H1136" s="40">
        <f t="shared" ca="1" si="158"/>
        <v>15744782539048.453</v>
      </c>
      <c r="I1136" s="40">
        <f t="shared" ca="1" si="159"/>
        <v>2899809388627.3599</v>
      </c>
      <c r="J1136" s="40">
        <f t="shared" ca="1" si="160"/>
        <v>1149577891069.4214</v>
      </c>
      <c r="K1136" s="41">
        <f t="shared" ca="1" si="161"/>
        <v>2.5224992679093239</v>
      </c>
    </row>
    <row r="1137" spans="2:11" ht="15" customHeight="1" x14ac:dyDescent="0.35">
      <c r="B1137" s="5">
        <v>1116</v>
      </c>
      <c r="C1137" s="39">
        <f t="shared" ca="1" si="153"/>
        <v>3.6665747512319098</v>
      </c>
      <c r="D1137" s="40">
        <f t="shared" ca="1" si="154"/>
        <v>12291067585.448008</v>
      </c>
      <c r="E1137" s="40">
        <f t="shared" ca="1" si="155"/>
        <v>37446228633484.359</v>
      </c>
      <c r="F1137" s="40">
        <f t="shared" ca="1" si="156"/>
        <v>1455513956866.3374</v>
      </c>
      <c r="G1137" s="40">
        <f t="shared" ca="1" si="157"/>
        <v>2775493163181.6021</v>
      </c>
      <c r="H1137" s="40">
        <f t="shared" ca="1" si="158"/>
        <v>37446228633484.359</v>
      </c>
      <c r="I1137" s="40">
        <f t="shared" ca="1" si="159"/>
        <v>4258936870979.8726</v>
      </c>
      <c r="J1137" s="40">
        <f t="shared" ca="1" si="160"/>
        <v>983376797665.79834</v>
      </c>
      <c r="K1137" s="41">
        <f t="shared" ca="1" si="161"/>
        <v>4.3309308101321271</v>
      </c>
    </row>
    <row r="1138" spans="2:11" ht="15" customHeight="1" x14ac:dyDescent="0.35">
      <c r="B1138" s="5">
        <v>1117</v>
      </c>
      <c r="C1138" s="39">
        <f t="shared" ca="1" si="153"/>
        <v>3.4025166445619859</v>
      </c>
      <c r="D1138" s="40">
        <f t="shared" ca="1" si="154"/>
        <v>8871497718.9096279</v>
      </c>
      <c r="E1138" s="40">
        <f t="shared" ca="1" si="155"/>
        <v>58773360435713.508</v>
      </c>
      <c r="F1138" s="40">
        <f t="shared" ca="1" si="156"/>
        <v>955276342682.47461</v>
      </c>
      <c r="G1138" s="40">
        <f t="shared" ca="1" si="157"/>
        <v>30502156432104.832</v>
      </c>
      <c r="H1138" s="40">
        <f t="shared" ca="1" si="158"/>
        <v>58773360435713.508</v>
      </c>
      <c r="I1138" s="40">
        <f t="shared" ca="1" si="159"/>
        <v>2023607964391.8923</v>
      </c>
      <c r="J1138" s="40">
        <f t="shared" ca="1" si="160"/>
        <v>1088253873865.6799</v>
      </c>
      <c r="K1138" s="41">
        <f t="shared" ca="1" si="161"/>
        <v>1.8594998951886668</v>
      </c>
    </row>
    <row r="1139" spans="2:11" ht="15" customHeight="1" x14ac:dyDescent="0.35">
      <c r="B1139" s="5">
        <v>1118</v>
      </c>
      <c r="C1139" s="39">
        <f t="shared" ca="1" si="153"/>
        <v>3.0811576419223421</v>
      </c>
      <c r="D1139" s="40">
        <f t="shared" ca="1" si="154"/>
        <v>5324142967.292057</v>
      </c>
      <c r="E1139" s="40">
        <f t="shared" ca="1" si="155"/>
        <v>11255200555099.014</v>
      </c>
      <c r="F1139" s="40">
        <f t="shared" ca="1" si="156"/>
        <v>5297327660301.2061</v>
      </c>
      <c r="G1139" s="40">
        <f t="shared" ca="1" si="157"/>
        <v>1523266518976.8062</v>
      </c>
      <c r="H1139" s="40">
        <f t="shared" ca="1" si="158"/>
        <v>1523266518976.8062</v>
      </c>
      <c r="I1139" s="40">
        <f t="shared" ca="1" si="159"/>
        <v>60670489677730.531</v>
      </c>
      <c r="J1139" s="40">
        <f t="shared" ca="1" si="160"/>
        <v>1042657626830.6941</v>
      </c>
      <c r="K1139" s="41">
        <f t="shared" ca="1" si="161"/>
        <v>58.188314281215298</v>
      </c>
    </row>
    <row r="1140" spans="2:11" ht="15" customHeight="1" x14ac:dyDescent="0.35">
      <c r="B1140" s="5">
        <v>1119</v>
      </c>
      <c r="C1140" s="39">
        <f t="shared" ca="1" si="153"/>
        <v>2.5284515841789501</v>
      </c>
      <c r="D1140" s="40">
        <f t="shared" ca="1" si="154"/>
        <v>1658877280.0670273</v>
      </c>
      <c r="E1140" s="40">
        <f t="shared" ca="1" si="155"/>
        <v>4209630958017.2954</v>
      </c>
      <c r="F1140" s="40">
        <f t="shared" ca="1" si="156"/>
        <v>6737487123923.5234</v>
      </c>
      <c r="G1140" s="40">
        <f t="shared" ca="1" si="157"/>
        <v>5029001972444.6748</v>
      </c>
      <c r="H1140" s="40">
        <f t="shared" ca="1" si="158"/>
        <v>4209630958017.2954</v>
      </c>
      <c r="I1140" s="40">
        <f t="shared" ca="1" si="159"/>
        <v>2418993409472.9131</v>
      </c>
      <c r="J1140" s="40">
        <f t="shared" ca="1" si="160"/>
        <v>1207956074957.9907</v>
      </c>
      <c r="K1140" s="41">
        <f t="shared" ca="1" si="161"/>
        <v>2.0025508043055611</v>
      </c>
    </row>
    <row r="1141" spans="2:11" ht="15" customHeight="1" x14ac:dyDescent="0.35">
      <c r="B1141" s="5">
        <v>1120</v>
      </c>
      <c r="C1141" s="39">
        <f t="shared" ca="1" si="153"/>
        <v>2.9957745956729687</v>
      </c>
      <c r="D1141" s="40">
        <f t="shared" ca="1" si="154"/>
        <v>5684615935.9947319</v>
      </c>
      <c r="E1141" s="40">
        <f t="shared" ca="1" si="155"/>
        <v>32464932633302.91</v>
      </c>
      <c r="F1141" s="40">
        <f t="shared" ca="1" si="156"/>
        <v>1639261218535.4875</v>
      </c>
      <c r="G1141" s="40">
        <f t="shared" ca="1" si="157"/>
        <v>24293292329268.512</v>
      </c>
      <c r="H1141" s="40">
        <f t="shared" ca="1" si="158"/>
        <v>32464932633302.91</v>
      </c>
      <c r="I1141" s="40">
        <f t="shared" ca="1" si="159"/>
        <v>96474960662493.969</v>
      </c>
      <c r="J1141" s="40">
        <f t="shared" ca="1" si="160"/>
        <v>1202819526812.9124</v>
      </c>
      <c r="K1141" s="41">
        <f t="shared" ca="1" si="161"/>
        <v>80.207344919085088</v>
      </c>
    </row>
    <row r="1142" spans="2:11" ht="15" customHeight="1" x14ac:dyDescent="0.35">
      <c r="B1142" s="5">
        <v>1121</v>
      </c>
      <c r="C1142" s="39">
        <f t="shared" ca="1" si="153"/>
        <v>3.7353800964143451</v>
      </c>
      <c r="D1142" s="40">
        <f t="shared" ca="1" si="154"/>
        <v>15735142146.511145</v>
      </c>
      <c r="E1142" s="40">
        <f t="shared" ca="1" si="155"/>
        <v>93178067992863.328</v>
      </c>
      <c r="F1142" s="40">
        <f t="shared" ca="1" si="156"/>
        <v>5513304506298.4834</v>
      </c>
      <c r="G1142" s="40">
        <f t="shared" ca="1" si="157"/>
        <v>10311119350107.16</v>
      </c>
      <c r="H1142" s="40">
        <f t="shared" ca="1" si="158"/>
        <v>10311119350107.16</v>
      </c>
      <c r="I1142" s="40">
        <f t="shared" ca="1" si="159"/>
        <v>5049001009978.7803</v>
      </c>
      <c r="J1142" s="40">
        <f t="shared" ca="1" si="160"/>
        <v>941817823245.52063</v>
      </c>
      <c r="K1142" s="41">
        <f t="shared" ca="1" si="161"/>
        <v>5.36091044930519</v>
      </c>
    </row>
    <row r="1143" spans="2:11" ht="15" customHeight="1" x14ac:dyDescent="0.35">
      <c r="B1143" s="5">
        <v>1122</v>
      </c>
      <c r="C1143" s="39">
        <f t="shared" ca="1" si="153"/>
        <v>3.1623901261911143</v>
      </c>
      <c r="D1143" s="40">
        <f t="shared" ca="1" si="154"/>
        <v>7093195946.6143723</v>
      </c>
      <c r="E1143" s="40">
        <f t="shared" ca="1" si="155"/>
        <v>64922084924840.93</v>
      </c>
      <c r="F1143" s="40">
        <f t="shared" ca="1" si="156"/>
        <v>3101691060018.1709</v>
      </c>
      <c r="G1143" s="40">
        <f t="shared" ca="1" si="157"/>
        <v>1624556120731.4937</v>
      </c>
      <c r="H1143" s="40">
        <f t="shared" ca="1" si="158"/>
        <v>1624556120731.4937</v>
      </c>
      <c r="I1143" s="40">
        <f t="shared" ca="1" si="159"/>
        <v>153430350901636.66</v>
      </c>
      <c r="J1143" s="40">
        <f t="shared" ca="1" si="160"/>
        <v>790975429100.70251</v>
      </c>
      <c r="K1143" s="41">
        <f t="shared" ca="1" si="161"/>
        <v>193.97612777438474</v>
      </c>
    </row>
    <row r="1144" spans="2:11" ht="15" customHeight="1" x14ac:dyDescent="0.35">
      <c r="B1144" s="5">
        <v>1123</v>
      </c>
      <c r="C1144" s="39">
        <f t="shared" ca="1" si="153"/>
        <v>2.285462407975638</v>
      </c>
      <c r="D1144" s="40">
        <f t="shared" ca="1" si="154"/>
        <v>1470123827.4316385</v>
      </c>
      <c r="E1144" s="40">
        <f t="shared" ca="1" si="155"/>
        <v>11532222256610.07</v>
      </c>
      <c r="F1144" s="40">
        <f t="shared" ca="1" si="156"/>
        <v>5023787997850.2441</v>
      </c>
      <c r="G1144" s="40">
        <f t="shared" ca="1" si="157"/>
        <v>661664051959.79419</v>
      </c>
      <c r="H1144" s="40">
        <f t="shared" ca="1" si="158"/>
        <v>11532222256610.07</v>
      </c>
      <c r="I1144" s="40">
        <f t="shared" ca="1" si="159"/>
        <v>4897189020246.7773</v>
      </c>
      <c r="J1144" s="40">
        <f t="shared" ca="1" si="160"/>
        <v>790736866674.54565</v>
      </c>
      <c r="K1144" s="41">
        <f t="shared" ca="1" si="161"/>
        <v>6.1931967847179941</v>
      </c>
    </row>
    <row r="1145" spans="2:11" ht="15" customHeight="1" x14ac:dyDescent="0.35">
      <c r="B1145" s="5">
        <v>1124</v>
      </c>
      <c r="C1145" s="39">
        <f t="shared" ca="1" si="153"/>
        <v>3.2920737923435062</v>
      </c>
      <c r="D1145" s="40">
        <f t="shared" ca="1" si="154"/>
        <v>8024693829.2370691</v>
      </c>
      <c r="E1145" s="40">
        <f t="shared" ca="1" si="155"/>
        <v>72641716296941.234</v>
      </c>
      <c r="F1145" s="40">
        <f t="shared" ca="1" si="156"/>
        <v>755677437923.51172</v>
      </c>
      <c r="G1145" s="40">
        <f t="shared" ca="1" si="157"/>
        <v>301897164776.78271</v>
      </c>
      <c r="H1145" s="40">
        <f t="shared" ca="1" si="158"/>
        <v>755677437923.51172</v>
      </c>
      <c r="I1145" s="40">
        <f t="shared" ca="1" si="159"/>
        <v>4500767746081.333</v>
      </c>
      <c r="J1145" s="40">
        <f t="shared" ca="1" si="160"/>
        <v>666843102686.58093</v>
      </c>
      <c r="K1145" s="41">
        <f t="shared" ca="1" si="161"/>
        <v>6.7493653723771256</v>
      </c>
    </row>
    <row r="1146" spans="2:11" ht="15" customHeight="1" x14ac:dyDescent="0.35">
      <c r="B1146" s="5">
        <v>1125</v>
      </c>
      <c r="C1146" s="39">
        <f t="shared" ca="1" si="153"/>
        <v>1.9180230332468662</v>
      </c>
      <c r="D1146" s="40">
        <f t="shared" ca="1" si="154"/>
        <v>433514530.17557722</v>
      </c>
      <c r="E1146" s="40">
        <f t="shared" ca="1" si="155"/>
        <v>1302701147537.0178</v>
      </c>
      <c r="F1146" s="40">
        <f t="shared" ca="1" si="156"/>
        <v>1536672239439.2141</v>
      </c>
      <c r="G1146" s="40">
        <f t="shared" ca="1" si="157"/>
        <v>9317617792673.1738</v>
      </c>
      <c r="H1146" s="40">
        <f t="shared" ca="1" si="158"/>
        <v>1302701147537.0178</v>
      </c>
      <c r="I1146" s="40">
        <f t="shared" ca="1" si="159"/>
        <v>4961211810193.7188</v>
      </c>
      <c r="J1146" s="40">
        <f t="shared" ca="1" si="160"/>
        <v>999568657484.04138</v>
      </c>
      <c r="K1146" s="41">
        <f t="shared" ca="1" si="161"/>
        <v>4.9633527152415011</v>
      </c>
    </row>
    <row r="1147" spans="2:11" ht="15" customHeight="1" x14ac:dyDescent="0.35">
      <c r="B1147" s="5">
        <v>1126</v>
      </c>
      <c r="C1147" s="39">
        <f t="shared" ca="1" si="153"/>
        <v>2.4360771312684357</v>
      </c>
      <c r="D1147" s="40">
        <f t="shared" ca="1" si="154"/>
        <v>1830273060.370748</v>
      </c>
      <c r="E1147" s="40">
        <f t="shared" ca="1" si="155"/>
        <v>9868304318632.9766</v>
      </c>
      <c r="F1147" s="40">
        <f t="shared" ca="1" si="156"/>
        <v>3527409173446.6284</v>
      </c>
      <c r="G1147" s="40">
        <f t="shared" ca="1" si="157"/>
        <v>1971585679933.7876</v>
      </c>
      <c r="H1147" s="40">
        <f t="shared" ca="1" si="158"/>
        <v>1971585679933.7876</v>
      </c>
      <c r="I1147" s="40">
        <f t="shared" ca="1" si="159"/>
        <v>18930802991726.262</v>
      </c>
      <c r="J1147" s="40">
        <f t="shared" ca="1" si="160"/>
        <v>1031693629103.5383</v>
      </c>
      <c r="K1147" s="41">
        <f t="shared" ca="1" si="161"/>
        <v>18.34924870882033</v>
      </c>
    </row>
    <row r="1148" spans="2:11" ht="15" customHeight="1" x14ac:dyDescent="0.35">
      <c r="B1148" s="5">
        <v>1127</v>
      </c>
      <c r="C1148" s="39">
        <f t="shared" ca="1" si="153"/>
        <v>2.5814750268432389</v>
      </c>
      <c r="D1148" s="40">
        <f t="shared" ca="1" si="154"/>
        <v>2124437937.6201527</v>
      </c>
      <c r="E1148" s="40">
        <f t="shared" ca="1" si="155"/>
        <v>2072521581566.1587</v>
      </c>
      <c r="F1148" s="40">
        <f t="shared" ca="1" si="156"/>
        <v>1384845111060.4502</v>
      </c>
      <c r="G1148" s="40">
        <f t="shared" ca="1" si="157"/>
        <v>1434774131697.2964</v>
      </c>
      <c r="H1148" s="40">
        <f t="shared" ca="1" si="158"/>
        <v>1434774131697.2964</v>
      </c>
      <c r="I1148" s="40">
        <f t="shared" ca="1" si="159"/>
        <v>1715356546646.7563</v>
      </c>
      <c r="J1148" s="40">
        <f t="shared" ca="1" si="160"/>
        <v>742834449484.42566</v>
      </c>
      <c r="K1148" s="41">
        <f t="shared" ca="1" si="161"/>
        <v>2.3092043561486988</v>
      </c>
    </row>
    <row r="1149" spans="2:11" ht="15" customHeight="1" x14ac:dyDescent="0.35">
      <c r="B1149" s="5">
        <v>1128</v>
      </c>
      <c r="C1149" s="39">
        <f t="shared" ca="1" si="153"/>
        <v>3.1469960318385413</v>
      </c>
      <c r="D1149" s="40">
        <f t="shared" ca="1" si="154"/>
        <v>6434812855.5278997</v>
      </c>
      <c r="E1149" s="40">
        <f t="shared" ca="1" si="155"/>
        <v>29027575557109.602</v>
      </c>
      <c r="F1149" s="40">
        <f t="shared" ca="1" si="156"/>
        <v>3553105592254.3887</v>
      </c>
      <c r="G1149" s="40">
        <f t="shared" ca="1" si="157"/>
        <v>39026468909820.148</v>
      </c>
      <c r="H1149" s="40">
        <f t="shared" ca="1" si="158"/>
        <v>29027575557109.602</v>
      </c>
      <c r="I1149" s="40">
        <f t="shared" ca="1" si="159"/>
        <v>8791646689045.873</v>
      </c>
      <c r="J1149" s="40">
        <f t="shared" ca="1" si="160"/>
        <v>668206612304.89197</v>
      </c>
      <c r="K1149" s="41">
        <f t="shared" ca="1" si="161"/>
        <v>13.157078255661418</v>
      </c>
    </row>
    <row r="1150" spans="2:11" ht="15" customHeight="1" x14ac:dyDescent="0.35">
      <c r="B1150" s="5">
        <v>1129</v>
      </c>
      <c r="C1150" s="39">
        <f t="shared" ca="1" si="153"/>
        <v>2.1574626171938909</v>
      </c>
      <c r="D1150" s="40">
        <f t="shared" ca="1" si="154"/>
        <v>1054498776.5543987</v>
      </c>
      <c r="E1150" s="40">
        <f t="shared" ca="1" si="155"/>
        <v>290425822111.00757</v>
      </c>
      <c r="F1150" s="40">
        <f t="shared" ca="1" si="156"/>
        <v>3513569634357.1802</v>
      </c>
      <c r="G1150" s="40">
        <f t="shared" ca="1" si="157"/>
        <v>2196304376128.4221</v>
      </c>
      <c r="H1150" s="40">
        <f t="shared" ca="1" si="158"/>
        <v>290425822111.00757</v>
      </c>
      <c r="I1150" s="40">
        <f t="shared" ca="1" si="159"/>
        <v>7264634671342.2012</v>
      </c>
      <c r="J1150" s="40">
        <f t="shared" ca="1" si="160"/>
        <v>1075687853259.287</v>
      </c>
      <c r="K1150" s="41">
        <f t="shared" ca="1" si="161"/>
        <v>6.7534783899722184</v>
      </c>
    </row>
    <row r="1151" spans="2:11" ht="15" customHeight="1" x14ac:dyDescent="0.35">
      <c r="B1151" s="5">
        <v>1130</v>
      </c>
      <c r="C1151" s="39">
        <f t="shared" ca="1" si="153"/>
        <v>2.4490798583295774</v>
      </c>
      <c r="D1151" s="40">
        <f t="shared" ca="1" si="154"/>
        <v>1547642723.7923546</v>
      </c>
      <c r="E1151" s="40">
        <f t="shared" ca="1" si="155"/>
        <v>2541875380997.0703</v>
      </c>
      <c r="F1151" s="40">
        <f t="shared" ca="1" si="156"/>
        <v>4587147325667.3662</v>
      </c>
      <c r="G1151" s="40">
        <f t="shared" ca="1" si="157"/>
        <v>42235727584206.008</v>
      </c>
      <c r="H1151" s="40">
        <f t="shared" ca="1" si="158"/>
        <v>2541875380997.0703</v>
      </c>
      <c r="I1151" s="40">
        <f t="shared" ca="1" si="159"/>
        <v>6622048620948.1436</v>
      </c>
      <c r="J1151" s="40">
        <f t="shared" ca="1" si="160"/>
        <v>1248382597269.3857</v>
      </c>
      <c r="K1151" s="41">
        <f t="shared" ca="1" si="161"/>
        <v>5.3045025102341974</v>
      </c>
    </row>
    <row r="1152" spans="2:11" ht="15" customHeight="1" x14ac:dyDescent="0.35">
      <c r="B1152" s="5">
        <v>1131</v>
      </c>
      <c r="C1152" s="39">
        <f t="shared" ca="1" si="153"/>
        <v>3.0743918792805323</v>
      </c>
      <c r="D1152" s="40">
        <f t="shared" ca="1" si="154"/>
        <v>4436900583.5340109</v>
      </c>
      <c r="E1152" s="40">
        <f t="shared" ca="1" si="155"/>
        <v>6152243995826.3691</v>
      </c>
      <c r="F1152" s="40">
        <f t="shared" ca="1" si="156"/>
        <v>1133066863695.7043</v>
      </c>
      <c r="G1152" s="40">
        <f t="shared" ca="1" si="157"/>
        <v>1684771472274.0872</v>
      </c>
      <c r="H1152" s="40">
        <f t="shared" ca="1" si="158"/>
        <v>1684771472274.0872</v>
      </c>
      <c r="I1152" s="40">
        <f t="shared" ca="1" si="159"/>
        <v>70766336570467.594</v>
      </c>
      <c r="J1152" s="40">
        <f t="shared" ca="1" si="160"/>
        <v>592213076039.94214</v>
      </c>
      <c r="K1152" s="41">
        <f t="shared" ca="1" si="161"/>
        <v>119.49472146693147</v>
      </c>
    </row>
    <row r="1153" spans="2:11" ht="15" customHeight="1" x14ac:dyDescent="0.35">
      <c r="B1153" s="5">
        <v>1132</v>
      </c>
      <c r="C1153" s="39">
        <f t="shared" ca="1" si="153"/>
        <v>2.4066399198170196</v>
      </c>
      <c r="D1153" s="40">
        <f t="shared" ca="1" si="154"/>
        <v>1650214992.4206774</v>
      </c>
      <c r="E1153" s="40">
        <f t="shared" ca="1" si="155"/>
        <v>1887748676314.5913</v>
      </c>
      <c r="F1153" s="40">
        <f t="shared" ca="1" si="156"/>
        <v>21716869807020.102</v>
      </c>
      <c r="G1153" s="40">
        <f t="shared" ca="1" si="157"/>
        <v>1891175810412.4875</v>
      </c>
      <c r="H1153" s="40">
        <f t="shared" ca="1" si="158"/>
        <v>1891175810412.4875</v>
      </c>
      <c r="I1153" s="40">
        <f t="shared" ca="1" si="159"/>
        <v>55119163311154.672</v>
      </c>
      <c r="J1153" s="40">
        <f t="shared" ca="1" si="160"/>
        <v>638053626635.11475</v>
      </c>
      <c r="K1153" s="41">
        <f t="shared" ca="1" si="161"/>
        <v>86.386411753248765</v>
      </c>
    </row>
    <row r="1154" spans="2:11" ht="15" customHeight="1" x14ac:dyDescent="0.35">
      <c r="B1154" s="5">
        <v>1133</v>
      </c>
      <c r="C1154" s="39">
        <f t="shared" ca="1" si="153"/>
        <v>2.6852165788107207</v>
      </c>
      <c r="D1154" s="40">
        <f t="shared" ca="1" si="154"/>
        <v>2428004828.6805687</v>
      </c>
      <c r="E1154" s="40">
        <f t="shared" ca="1" si="155"/>
        <v>11635248252701.703</v>
      </c>
      <c r="F1154" s="40">
        <f t="shared" ca="1" si="156"/>
        <v>1791743772100.655</v>
      </c>
      <c r="G1154" s="40">
        <f t="shared" ca="1" si="157"/>
        <v>2947050249689.3848</v>
      </c>
      <c r="H1154" s="40">
        <f t="shared" ca="1" si="158"/>
        <v>11635248252701.703</v>
      </c>
      <c r="I1154" s="40">
        <f t="shared" ca="1" si="159"/>
        <v>1842178104794.7305</v>
      </c>
      <c r="J1154" s="40">
        <f t="shared" ca="1" si="160"/>
        <v>1449513777372.23</v>
      </c>
      <c r="K1154" s="41">
        <f t="shared" ca="1" si="161"/>
        <v>1.2708938221576254</v>
      </c>
    </row>
    <row r="1155" spans="2:11" ht="15" customHeight="1" x14ac:dyDescent="0.35">
      <c r="B1155" s="5">
        <v>1134</v>
      </c>
      <c r="C1155" s="39">
        <f t="shared" ca="1" si="153"/>
        <v>3.0731796750640807</v>
      </c>
      <c r="D1155" s="40">
        <f t="shared" ca="1" si="154"/>
        <v>4641712492.5732355</v>
      </c>
      <c r="E1155" s="40">
        <f t="shared" ca="1" si="155"/>
        <v>14898448819057.209</v>
      </c>
      <c r="F1155" s="40">
        <f t="shared" ca="1" si="156"/>
        <v>6540617448387.5879</v>
      </c>
      <c r="G1155" s="40">
        <f t="shared" ca="1" si="157"/>
        <v>2576546570395.3325</v>
      </c>
      <c r="H1155" s="40">
        <f t="shared" ca="1" si="158"/>
        <v>14898448819057.209</v>
      </c>
      <c r="I1155" s="40">
        <f t="shared" ca="1" si="159"/>
        <v>2204056644577.3262</v>
      </c>
      <c r="J1155" s="40">
        <f t="shared" ca="1" si="160"/>
        <v>1197000561144.9617</v>
      </c>
      <c r="K1155" s="41">
        <f t="shared" ca="1" si="161"/>
        <v>1.8413163001937858</v>
      </c>
    </row>
    <row r="1156" spans="2:11" ht="15" customHeight="1" x14ac:dyDescent="0.35">
      <c r="B1156" s="5">
        <v>1135</v>
      </c>
      <c r="C1156" s="39">
        <f t="shared" ca="1" si="153"/>
        <v>2.1339309849552315</v>
      </c>
      <c r="D1156" s="40">
        <f t="shared" ca="1" si="154"/>
        <v>854699134.34546483</v>
      </c>
      <c r="E1156" s="40">
        <f t="shared" ca="1" si="155"/>
        <v>5036856118915.1299</v>
      </c>
      <c r="F1156" s="40">
        <f t="shared" ca="1" si="156"/>
        <v>9563228226858.3613</v>
      </c>
      <c r="G1156" s="40">
        <f t="shared" ca="1" si="157"/>
        <v>18114124353802.719</v>
      </c>
      <c r="H1156" s="40">
        <f t="shared" ca="1" si="158"/>
        <v>9563228226858.3613</v>
      </c>
      <c r="I1156" s="40">
        <f t="shared" ca="1" si="159"/>
        <v>50590831524742.836</v>
      </c>
      <c r="J1156" s="40">
        <f t="shared" ca="1" si="160"/>
        <v>1145290583334.7388</v>
      </c>
      <c r="K1156" s="41">
        <f t="shared" ca="1" si="161"/>
        <v>44.17292192994173</v>
      </c>
    </row>
    <row r="1157" spans="2:11" ht="15" customHeight="1" x14ac:dyDescent="0.35">
      <c r="B1157" s="5">
        <v>1136</v>
      </c>
      <c r="C1157" s="39">
        <f t="shared" ca="1" si="153"/>
        <v>2.4970651939188073</v>
      </c>
      <c r="D1157" s="40">
        <f t="shared" ca="1" si="154"/>
        <v>1822044238.6682792</v>
      </c>
      <c r="E1157" s="40">
        <f t="shared" ca="1" si="155"/>
        <v>7613310309484.5215</v>
      </c>
      <c r="F1157" s="40">
        <f t="shared" ca="1" si="156"/>
        <v>6049634138381.7246</v>
      </c>
      <c r="G1157" s="40">
        <f t="shared" ca="1" si="157"/>
        <v>1477213865831.8167</v>
      </c>
      <c r="H1157" s="40">
        <f t="shared" ca="1" si="158"/>
        <v>1477213865831.8167</v>
      </c>
      <c r="I1157" s="40">
        <f t="shared" ca="1" si="159"/>
        <v>1588233284128.1609</v>
      </c>
      <c r="J1157" s="40">
        <f t="shared" ca="1" si="160"/>
        <v>1521464790463.1167</v>
      </c>
      <c r="K1157" s="41">
        <f t="shared" ca="1" si="161"/>
        <v>1.0438843501890835</v>
      </c>
    </row>
    <row r="1158" spans="2:11" ht="15" customHeight="1" x14ac:dyDescent="0.35">
      <c r="B1158" s="5">
        <v>1137</v>
      </c>
      <c r="C1158" s="39">
        <f t="shared" ca="1" si="153"/>
        <v>3.232959101794123</v>
      </c>
      <c r="D1158" s="40">
        <f t="shared" ca="1" si="154"/>
        <v>8041772230.1398287</v>
      </c>
      <c r="E1158" s="40">
        <f t="shared" ca="1" si="155"/>
        <v>71452655582341.266</v>
      </c>
      <c r="F1158" s="40">
        <f t="shared" ca="1" si="156"/>
        <v>1878939145219.3418</v>
      </c>
      <c r="G1158" s="40">
        <f t="shared" ca="1" si="157"/>
        <v>9420955073341.5508</v>
      </c>
      <c r="H1158" s="40">
        <f t="shared" ca="1" si="158"/>
        <v>1878939145219.3418</v>
      </c>
      <c r="I1158" s="40">
        <f t="shared" ca="1" si="159"/>
        <v>21379241497505.652</v>
      </c>
      <c r="J1158" s="40">
        <f t="shared" ca="1" si="160"/>
        <v>760997677414.67249</v>
      </c>
      <c r="K1158" s="41">
        <f t="shared" ca="1" si="161"/>
        <v>28.093701376510204</v>
      </c>
    </row>
    <row r="1159" spans="2:11" ht="15" customHeight="1" x14ac:dyDescent="0.35">
      <c r="B1159" s="5">
        <v>1138</v>
      </c>
      <c r="C1159" s="39">
        <f t="shared" ca="1" si="153"/>
        <v>3.1265053154551583</v>
      </c>
      <c r="D1159" s="40">
        <f t="shared" ca="1" si="154"/>
        <v>6057021742.5149288</v>
      </c>
      <c r="E1159" s="40">
        <f t="shared" ca="1" si="155"/>
        <v>10508392130827.475</v>
      </c>
      <c r="F1159" s="40">
        <f t="shared" ca="1" si="156"/>
        <v>1425470534949.262</v>
      </c>
      <c r="G1159" s="40">
        <f t="shared" ca="1" si="157"/>
        <v>6300921002018.8096</v>
      </c>
      <c r="H1159" s="40">
        <f t="shared" ca="1" si="158"/>
        <v>1425470534949.262</v>
      </c>
      <c r="I1159" s="40">
        <f t="shared" ca="1" si="159"/>
        <v>5341859415969.6113</v>
      </c>
      <c r="J1159" s="40">
        <f t="shared" ca="1" si="160"/>
        <v>962479998733.36267</v>
      </c>
      <c r="K1159" s="41">
        <f t="shared" ca="1" si="161"/>
        <v>5.5500991428388895</v>
      </c>
    </row>
    <row r="1160" spans="2:11" ht="15" customHeight="1" x14ac:dyDescent="0.35">
      <c r="B1160" s="5">
        <v>1139</v>
      </c>
      <c r="C1160" s="39">
        <f t="shared" ca="1" si="153"/>
        <v>3.0561812108881892</v>
      </c>
      <c r="D1160" s="40">
        <f t="shared" ca="1" si="154"/>
        <v>5339143673.9090195</v>
      </c>
      <c r="E1160" s="40">
        <f t="shared" ca="1" si="155"/>
        <v>3570167279566.7817</v>
      </c>
      <c r="F1160" s="40">
        <f t="shared" ca="1" si="156"/>
        <v>1892114482958.2903</v>
      </c>
      <c r="G1160" s="40">
        <f t="shared" ca="1" si="157"/>
        <v>2018840567962.6467</v>
      </c>
      <c r="H1160" s="40">
        <f t="shared" ca="1" si="158"/>
        <v>1892114482958.2903</v>
      </c>
      <c r="I1160" s="40">
        <f t="shared" ca="1" si="159"/>
        <v>35832087286345.328</v>
      </c>
      <c r="J1160" s="40">
        <f t="shared" ca="1" si="160"/>
        <v>1039942314050.8018</v>
      </c>
      <c r="K1160" s="41">
        <f t="shared" ca="1" si="161"/>
        <v>34.455841254089897</v>
      </c>
    </row>
    <row r="1161" spans="2:11" ht="15" customHeight="1" x14ac:dyDescent="0.35">
      <c r="B1161" s="5">
        <v>1140</v>
      </c>
      <c r="C1161" s="39">
        <f t="shared" ca="1" si="153"/>
        <v>3.7717483254285109</v>
      </c>
      <c r="D1161" s="40">
        <f t="shared" ca="1" si="154"/>
        <v>18051317221.400848</v>
      </c>
      <c r="E1161" s="40">
        <f t="shared" ca="1" si="155"/>
        <v>45415194016118.406</v>
      </c>
      <c r="F1161" s="40">
        <f t="shared" ca="1" si="156"/>
        <v>2324385045984.5435</v>
      </c>
      <c r="G1161" s="40">
        <f t="shared" ca="1" si="157"/>
        <v>4256504993216.8496</v>
      </c>
      <c r="H1161" s="40">
        <f t="shared" ca="1" si="158"/>
        <v>2324385045984.5435</v>
      </c>
      <c r="I1161" s="40">
        <f t="shared" ca="1" si="159"/>
        <v>1580212322059.4675</v>
      </c>
      <c r="J1161" s="40">
        <f t="shared" ca="1" si="160"/>
        <v>767118415860.19495</v>
      </c>
      <c r="K1161" s="41">
        <f t="shared" ca="1" si="161"/>
        <v>2.0599327162385013</v>
      </c>
    </row>
    <row r="1162" spans="2:11" ht="15" customHeight="1" x14ac:dyDescent="0.35">
      <c r="B1162" s="5">
        <v>1141</v>
      </c>
      <c r="C1162" s="39">
        <f t="shared" ca="1" si="153"/>
        <v>3.0693685224172995</v>
      </c>
      <c r="D1162" s="40">
        <f t="shared" ca="1" si="154"/>
        <v>6317059301.0936127</v>
      </c>
      <c r="E1162" s="40">
        <f t="shared" ca="1" si="155"/>
        <v>28698531426444.973</v>
      </c>
      <c r="F1162" s="40">
        <f t="shared" ca="1" si="156"/>
        <v>1975506171322.4199</v>
      </c>
      <c r="G1162" s="40">
        <f t="shared" ca="1" si="157"/>
        <v>11456477343442.586</v>
      </c>
      <c r="H1162" s="40">
        <f t="shared" ca="1" si="158"/>
        <v>28698531426444.973</v>
      </c>
      <c r="I1162" s="40">
        <f t="shared" ca="1" si="159"/>
        <v>2491280576491.4985</v>
      </c>
      <c r="J1162" s="40">
        <f t="shared" ca="1" si="160"/>
        <v>735209822417.09302</v>
      </c>
      <c r="K1162" s="41">
        <f t="shared" ca="1" si="161"/>
        <v>3.388530050239408</v>
      </c>
    </row>
    <row r="1163" spans="2:11" ht="15" customHeight="1" x14ac:dyDescent="0.35">
      <c r="B1163" s="5">
        <v>1142</v>
      </c>
      <c r="C1163" s="39">
        <f t="shared" ca="1" si="153"/>
        <v>2.8214262284218101</v>
      </c>
      <c r="D1163" s="40">
        <f t="shared" ca="1" si="154"/>
        <v>3265957839.6165204</v>
      </c>
      <c r="E1163" s="40">
        <f t="shared" ca="1" si="155"/>
        <v>6205953464904.0576</v>
      </c>
      <c r="F1163" s="40">
        <f t="shared" ca="1" si="156"/>
        <v>2854124956167.9131</v>
      </c>
      <c r="G1163" s="40">
        <f t="shared" ca="1" si="157"/>
        <v>23662660047647.582</v>
      </c>
      <c r="H1163" s="40">
        <f t="shared" ca="1" si="158"/>
        <v>23662660047647.582</v>
      </c>
      <c r="I1163" s="40">
        <f t="shared" ca="1" si="159"/>
        <v>10718981488698.088</v>
      </c>
      <c r="J1163" s="40">
        <f t="shared" ca="1" si="160"/>
        <v>1256656713888.4519</v>
      </c>
      <c r="K1163" s="41">
        <f t="shared" ca="1" si="161"/>
        <v>8.5297610478923254</v>
      </c>
    </row>
    <row r="1164" spans="2:11" ht="15" customHeight="1" x14ac:dyDescent="0.35">
      <c r="B1164" s="5">
        <v>1143</v>
      </c>
      <c r="C1164" s="39">
        <f t="shared" ca="1" si="153"/>
        <v>2.5333047628069441</v>
      </c>
      <c r="D1164" s="40">
        <f t="shared" ca="1" si="154"/>
        <v>2068068474.943759</v>
      </c>
      <c r="E1164" s="40">
        <f t="shared" ca="1" si="155"/>
        <v>18167653393703.758</v>
      </c>
      <c r="F1164" s="40">
        <f t="shared" ca="1" si="156"/>
        <v>7338626821227.8584</v>
      </c>
      <c r="G1164" s="40">
        <f t="shared" ca="1" si="157"/>
        <v>14120968453598.279</v>
      </c>
      <c r="H1164" s="40">
        <f t="shared" ca="1" si="158"/>
        <v>7338626821227.8584</v>
      </c>
      <c r="I1164" s="40">
        <f t="shared" ca="1" si="159"/>
        <v>2633944600042.9648</v>
      </c>
      <c r="J1164" s="40">
        <f t="shared" ca="1" si="160"/>
        <v>933589917284.67908</v>
      </c>
      <c r="K1164" s="41">
        <f t="shared" ca="1" si="161"/>
        <v>2.8213078904105147</v>
      </c>
    </row>
    <row r="1165" spans="2:11" ht="15" customHeight="1" x14ac:dyDescent="0.35">
      <c r="B1165" s="5">
        <v>1144</v>
      </c>
      <c r="C1165" s="39">
        <f t="shared" ca="1" si="153"/>
        <v>2.8740472885591886</v>
      </c>
      <c r="D1165" s="40">
        <f t="shared" ca="1" si="154"/>
        <v>4471372256.1964817</v>
      </c>
      <c r="E1165" s="40">
        <f t="shared" ca="1" si="155"/>
        <v>75999737165342.063</v>
      </c>
      <c r="F1165" s="40">
        <f t="shared" ca="1" si="156"/>
        <v>7318998895639.1113</v>
      </c>
      <c r="G1165" s="40">
        <f t="shared" ca="1" si="157"/>
        <v>178684331168292.09</v>
      </c>
      <c r="H1165" s="40">
        <f t="shared" ca="1" si="158"/>
        <v>7318998895639.1113</v>
      </c>
      <c r="I1165" s="40">
        <f t="shared" ca="1" si="159"/>
        <v>5681926413963.5273</v>
      </c>
      <c r="J1165" s="40">
        <f t="shared" ca="1" si="160"/>
        <v>1626079035769.7058</v>
      </c>
      <c r="K1165" s="41">
        <f t="shared" ca="1" si="161"/>
        <v>3.4942498420896144</v>
      </c>
    </row>
    <row r="1166" spans="2:11" ht="15" customHeight="1" x14ac:dyDescent="0.35">
      <c r="B1166" s="5">
        <v>1145</v>
      </c>
      <c r="C1166" s="39">
        <f t="shared" ca="1" si="153"/>
        <v>3.0141909785437209</v>
      </c>
      <c r="D1166" s="40">
        <f t="shared" ca="1" si="154"/>
        <v>4469395273.2164011</v>
      </c>
      <c r="E1166" s="40">
        <f t="shared" ca="1" si="155"/>
        <v>24450967613897.457</v>
      </c>
      <c r="F1166" s="40">
        <f t="shared" ca="1" si="156"/>
        <v>957895707154.55566</v>
      </c>
      <c r="G1166" s="40">
        <f t="shared" ca="1" si="157"/>
        <v>1113032096748.1841</v>
      </c>
      <c r="H1166" s="40">
        <f t="shared" ca="1" si="158"/>
        <v>1113032096748.1841</v>
      </c>
      <c r="I1166" s="40">
        <f t="shared" ca="1" si="159"/>
        <v>8502726792939.624</v>
      </c>
      <c r="J1166" s="40">
        <f t="shared" ca="1" si="160"/>
        <v>1108346867889.071</v>
      </c>
      <c r="K1166" s="41">
        <f t="shared" ca="1" si="161"/>
        <v>7.671539514641025</v>
      </c>
    </row>
    <row r="1167" spans="2:11" ht="15" customHeight="1" x14ac:dyDescent="0.35">
      <c r="B1167" s="5">
        <v>1146</v>
      </c>
      <c r="C1167" s="39">
        <f t="shared" ca="1" si="153"/>
        <v>3.3076441967753603</v>
      </c>
      <c r="D1167" s="40">
        <f t="shared" ca="1" si="154"/>
        <v>6710049111.2296457</v>
      </c>
      <c r="E1167" s="40">
        <f t="shared" ca="1" si="155"/>
        <v>23210270521310.527</v>
      </c>
      <c r="F1167" s="40">
        <f t="shared" ca="1" si="156"/>
        <v>1552998535862.8455</v>
      </c>
      <c r="G1167" s="40">
        <f t="shared" ca="1" si="157"/>
        <v>14709641692557.777</v>
      </c>
      <c r="H1167" s="40">
        <f t="shared" ca="1" si="158"/>
        <v>14709641692557.777</v>
      </c>
      <c r="I1167" s="40">
        <f t="shared" ca="1" si="159"/>
        <v>19468730122269.906</v>
      </c>
      <c r="J1167" s="40">
        <f t="shared" ca="1" si="160"/>
        <v>1141799442468.179</v>
      </c>
      <c r="K1167" s="41">
        <f t="shared" ca="1" si="161"/>
        <v>17.050919275442268</v>
      </c>
    </row>
    <row r="1168" spans="2:11" ht="15" customHeight="1" x14ac:dyDescent="0.35">
      <c r="B1168" s="5">
        <v>1147</v>
      </c>
      <c r="C1168" s="39">
        <f t="shared" ca="1" si="153"/>
        <v>3.5647696198675023</v>
      </c>
      <c r="D1168" s="40">
        <f t="shared" ca="1" si="154"/>
        <v>13566634132.820314</v>
      </c>
      <c r="E1168" s="40">
        <f t="shared" ca="1" si="155"/>
        <v>42903158549953.633</v>
      </c>
      <c r="F1168" s="40">
        <f t="shared" ca="1" si="156"/>
        <v>11726363374743.018</v>
      </c>
      <c r="G1168" s="40">
        <f t="shared" ca="1" si="157"/>
        <v>4630196034176.8809</v>
      </c>
      <c r="H1168" s="40">
        <f t="shared" ca="1" si="158"/>
        <v>42903158549953.633</v>
      </c>
      <c r="I1168" s="40">
        <f t="shared" ca="1" si="159"/>
        <v>15478477464234.82</v>
      </c>
      <c r="J1168" s="40">
        <f t="shared" ca="1" si="160"/>
        <v>1185676032409.844</v>
      </c>
      <c r="K1168" s="41">
        <f t="shared" ca="1" si="161"/>
        <v>13.054558784304149</v>
      </c>
    </row>
    <row r="1169" spans="2:11" ht="15" customHeight="1" x14ac:dyDescent="0.35">
      <c r="B1169" s="5">
        <v>1148</v>
      </c>
      <c r="C1169" s="39">
        <f t="shared" ca="1" si="153"/>
        <v>3.2119794544183793</v>
      </c>
      <c r="D1169" s="40">
        <f t="shared" ca="1" si="154"/>
        <v>6034812794.3810654</v>
      </c>
      <c r="E1169" s="40">
        <f t="shared" ca="1" si="155"/>
        <v>13476897513005.154</v>
      </c>
      <c r="F1169" s="40">
        <f t="shared" ca="1" si="156"/>
        <v>2753906744356.7964</v>
      </c>
      <c r="G1169" s="40">
        <f t="shared" ca="1" si="157"/>
        <v>6444846458859.877</v>
      </c>
      <c r="H1169" s="40">
        <f t="shared" ca="1" si="158"/>
        <v>13476897513005.154</v>
      </c>
      <c r="I1169" s="40">
        <f t="shared" ca="1" si="159"/>
        <v>3697921208882.6621</v>
      </c>
      <c r="J1169" s="40">
        <f t="shared" ca="1" si="160"/>
        <v>1564207507977.3904</v>
      </c>
      <c r="K1169" s="41">
        <f t="shared" ca="1" si="161"/>
        <v>2.3640860883376562</v>
      </c>
    </row>
    <row r="1170" spans="2:11" ht="15" customHeight="1" x14ac:dyDescent="0.35">
      <c r="B1170" s="5">
        <v>1149</v>
      </c>
      <c r="C1170" s="39">
        <f t="shared" ca="1" si="153"/>
        <v>3.1566371530660331</v>
      </c>
      <c r="D1170" s="40">
        <f t="shared" ca="1" si="154"/>
        <v>7239062941.2419968</v>
      </c>
      <c r="E1170" s="40">
        <f t="shared" ca="1" si="155"/>
        <v>49638932633437.898</v>
      </c>
      <c r="F1170" s="40">
        <f t="shared" ca="1" si="156"/>
        <v>6932572678319</v>
      </c>
      <c r="G1170" s="40">
        <f t="shared" ca="1" si="157"/>
        <v>27321314663586.449</v>
      </c>
      <c r="H1170" s="40">
        <f t="shared" ca="1" si="158"/>
        <v>27321314663586.449</v>
      </c>
      <c r="I1170" s="40">
        <f t="shared" ca="1" si="159"/>
        <v>14329041763123.516</v>
      </c>
      <c r="J1170" s="40">
        <f t="shared" ca="1" si="160"/>
        <v>906681402914.0907</v>
      </c>
      <c r="K1170" s="41">
        <f t="shared" ca="1" si="161"/>
        <v>15.803833316829607</v>
      </c>
    </row>
    <row r="1171" spans="2:11" ht="15" customHeight="1" x14ac:dyDescent="0.35">
      <c r="B1171" s="5">
        <v>1150</v>
      </c>
      <c r="C1171" s="39">
        <f t="shared" ca="1" si="153"/>
        <v>2.6810497726599865</v>
      </c>
      <c r="D1171" s="40">
        <f t="shared" ca="1" si="154"/>
        <v>3120526374.5224953</v>
      </c>
      <c r="E1171" s="40">
        <f t="shared" ca="1" si="155"/>
        <v>23903233780288.223</v>
      </c>
      <c r="F1171" s="40">
        <f t="shared" ca="1" si="156"/>
        <v>1317397268160.135</v>
      </c>
      <c r="G1171" s="40">
        <f t="shared" ca="1" si="157"/>
        <v>8411111002409.3271</v>
      </c>
      <c r="H1171" s="40">
        <f t="shared" ca="1" si="158"/>
        <v>23903233780288.223</v>
      </c>
      <c r="I1171" s="40">
        <f t="shared" ca="1" si="159"/>
        <v>66328669608753.688</v>
      </c>
      <c r="J1171" s="40">
        <f t="shared" ca="1" si="160"/>
        <v>1728902083034.2605</v>
      </c>
      <c r="K1171" s="41">
        <f t="shared" ca="1" si="161"/>
        <v>38.364618944958089</v>
      </c>
    </row>
    <row r="1172" spans="2:11" ht="15" customHeight="1" x14ac:dyDescent="0.35">
      <c r="B1172" s="5">
        <v>1151</v>
      </c>
      <c r="C1172" s="39">
        <f t="shared" ca="1" si="153"/>
        <v>2.7245207456371698</v>
      </c>
      <c r="D1172" s="40">
        <f t="shared" ca="1" si="154"/>
        <v>2857834101.7363453</v>
      </c>
      <c r="E1172" s="40">
        <f t="shared" ca="1" si="155"/>
        <v>5104185301615.2998</v>
      </c>
      <c r="F1172" s="40">
        <f t="shared" ca="1" si="156"/>
        <v>14573539095489.457</v>
      </c>
      <c r="G1172" s="40">
        <f t="shared" ca="1" si="157"/>
        <v>1160173998299.1565</v>
      </c>
      <c r="H1172" s="40">
        <f t="shared" ca="1" si="158"/>
        <v>14573539095489.457</v>
      </c>
      <c r="I1172" s="40">
        <f t="shared" ca="1" si="159"/>
        <v>10755238387983.406</v>
      </c>
      <c r="J1172" s="40">
        <f t="shared" ca="1" si="160"/>
        <v>1349352244664.0994</v>
      </c>
      <c r="K1172" s="41">
        <f t="shared" ca="1" si="161"/>
        <v>7.9706677263213495</v>
      </c>
    </row>
    <row r="1173" spans="2:11" ht="15" customHeight="1" x14ac:dyDescent="0.35">
      <c r="B1173" s="5">
        <v>1152</v>
      </c>
      <c r="C1173" s="39">
        <f t="shared" ca="1" si="153"/>
        <v>3.241215744526837</v>
      </c>
      <c r="D1173" s="40">
        <f t="shared" ca="1" si="154"/>
        <v>7330830431.300786</v>
      </c>
      <c r="E1173" s="40">
        <f t="shared" ca="1" si="155"/>
        <v>146420405377518.97</v>
      </c>
      <c r="F1173" s="40">
        <f t="shared" ca="1" si="156"/>
        <v>3103572404865.5771</v>
      </c>
      <c r="G1173" s="40">
        <f t="shared" ca="1" si="157"/>
        <v>23033560401611.699</v>
      </c>
      <c r="H1173" s="40">
        <f t="shared" ca="1" si="158"/>
        <v>3103572404865.5771</v>
      </c>
      <c r="I1173" s="40">
        <f t="shared" ca="1" si="159"/>
        <v>5342477555764.6914</v>
      </c>
      <c r="J1173" s="40">
        <f t="shared" ca="1" si="160"/>
        <v>814480706367.76648</v>
      </c>
      <c r="K1173" s="41">
        <f t="shared" ca="1" si="161"/>
        <v>6.559366617276722</v>
      </c>
    </row>
    <row r="1174" spans="2:11" ht="15" customHeight="1" x14ac:dyDescent="0.35">
      <c r="B1174" s="5">
        <v>1153</v>
      </c>
      <c r="C1174" s="39">
        <f t="shared" ref="C1174:C1237" ca="1" si="162">MEDIAN(1.8,NORMINV(RAND(),$C$7,$D$7),4.5)</f>
        <v>3.6434266089796843</v>
      </c>
      <c r="D1174" s="40">
        <f t="shared" ref="D1174:D1237" ca="1" si="163">($C$8+RAND()*($D$8-$C$8))*C1174^5</f>
        <v>11661434078.734203</v>
      </c>
      <c r="E1174" s="40">
        <f t="shared" ref="E1174:E1237" ca="1" si="164">D1174*($C$10+RAND()*($D$10-$C$10))*EXP(NORMINV(RAND(),$C$9,$D$9))*($C$11+RAND()*($D$11-$C$11))</f>
        <v>16829201302493.195</v>
      </c>
      <c r="F1174" s="40">
        <f t="shared" ref="F1174:F1237" ca="1" si="165">EXP(NORMINV(RAND(),$C$12,$D$12))*EXP(NORMINV(RAND(),$C$13,$D$13))</f>
        <v>9184498078298.3105</v>
      </c>
      <c r="G1174" s="40">
        <f t="shared" ref="G1174:G1237" ca="1" si="166">EXP(NORMINV(RAND(),$C$14,$D$14))*($C$15+RAND()*($D$15-$C$15))*EXP(NORMINV(RAND(),$C$16,$D$16))/1000000*31536000</f>
        <v>5445599046394.6094</v>
      </c>
      <c r="H1174" s="40">
        <f t="shared" ref="H1174:H1237" ca="1" si="167">CHOOSE(RANDBETWEEN(1,3),E1174,F1174,G1174)</f>
        <v>9184498078298.3105</v>
      </c>
      <c r="I1174" s="40">
        <f t="shared" ref="I1174:I1237" ca="1" si="168">EXP(NORMINV(RAND(),$C$14,$D$14))*($C$15+RAND()*($D$15-$C$15))*60</f>
        <v>27659106701469.98</v>
      </c>
      <c r="J1174" s="40">
        <f t="shared" ref="J1174:J1237" ca="1" si="169">($C$17+RAND()*($D$17-$C$17))*($C$18+RAND()*($D$18-$C$18))</f>
        <v>1216704684698.1309</v>
      </c>
      <c r="K1174" s="41">
        <f t="shared" ref="K1174:K1237" ca="1" si="170">I1174/J1174</f>
        <v>22.732802009661295</v>
      </c>
    </row>
    <row r="1175" spans="2:11" ht="15" customHeight="1" x14ac:dyDescent="0.35">
      <c r="B1175" s="5">
        <v>1154</v>
      </c>
      <c r="C1175" s="39">
        <f t="shared" ca="1" si="162"/>
        <v>2.5626382925956142</v>
      </c>
      <c r="D1175" s="40">
        <f t="shared" ca="1" si="163"/>
        <v>2504321777.970809</v>
      </c>
      <c r="E1175" s="40">
        <f t="shared" ca="1" si="164"/>
        <v>9065868065877.332</v>
      </c>
      <c r="F1175" s="40">
        <f t="shared" ca="1" si="165"/>
        <v>4264225522286.8701</v>
      </c>
      <c r="G1175" s="40">
        <f t="shared" ca="1" si="166"/>
        <v>30211885435400.617</v>
      </c>
      <c r="H1175" s="40">
        <f t="shared" ca="1" si="167"/>
        <v>4264225522286.8701</v>
      </c>
      <c r="I1175" s="40">
        <f t="shared" ca="1" si="168"/>
        <v>544173184397536.63</v>
      </c>
      <c r="J1175" s="40">
        <f t="shared" ca="1" si="169"/>
        <v>669437111614.05359</v>
      </c>
      <c r="K1175" s="41">
        <f t="shared" ca="1" si="170"/>
        <v>812.88171055456121</v>
      </c>
    </row>
    <row r="1176" spans="2:11" ht="15" customHeight="1" x14ac:dyDescent="0.35">
      <c r="B1176" s="5">
        <v>1155</v>
      </c>
      <c r="C1176" s="39">
        <f t="shared" ca="1" si="162"/>
        <v>4.1526552636315621</v>
      </c>
      <c r="D1176" s="40">
        <f t="shared" ca="1" si="163"/>
        <v>22391814688.554108</v>
      </c>
      <c r="E1176" s="40">
        <f t="shared" ca="1" si="164"/>
        <v>124757380789985.14</v>
      </c>
      <c r="F1176" s="40">
        <f t="shared" ca="1" si="165"/>
        <v>4577289154748.2969</v>
      </c>
      <c r="G1176" s="40">
        <f t="shared" ca="1" si="166"/>
        <v>2303815915385.6821</v>
      </c>
      <c r="H1176" s="40">
        <f t="shared" ca="1" si="167"/>
        <v>2303815915385.6821</v>
      </c>
      <c r="I1176" s="40">
        <f t="shared" ca="1" si="168"/>
        <v>24518148208866.883</v>
      </c>
      <c r="J1176" s="40">
        <f t="shared" ca="1" si="169"/>
        <v>820324724452.70728</v>
      </c>
      <c r="K1176" s="41">
        <f t="shared" ca="1" si="170"/>
        <v>29.888344795683874</v>
      </c>
    </row>
    <row r="1177" spans="2:11" ht="15" customHeight="1" x14ac:dyDescent="0.35">
      <c r="B1177" s="5">
        <v>1156</v>
      </c>
      <c r="C1177" s="39">
        <f t="shared" ca="1" si="162"/>
        <v>3.3915992915841748</v>
      </c>
      <c r="D1177" s="40">
        <f t="shared" ca="1" si="163"/>
        <v>8355006247.8320208</v>
      </c>
      <c r="E1177" s="40">
        <f t="shared" ca="1" si="164"/>
        <v>23964430766557.648</v>
      </c>
      <c r="F1177" s="40">
        <f t="shared" ca="1" si="165"/>
        <v>1560971937961.4724</v>
      </c>
      <c r="G1177" s="40">
        <f t="shared" ca="1" si="166"/>
        <v>485296823677.88458</v>
      </c>
      <c r="H1177" s="40">
        <f t="shared" ca="1" si="167"/>
        <v>1560971937961.4724</v>
      </c>
      <c r="I1177" s="40">
        <f t="shared" ca="1" si="168"/>
        <v>27621506644020.441</v>
      </c>
      <c r="J1177" s="40">
        <f t="shared" ca="1" si="169"/>
        <v>820291269676.5415</v>
      </c>
      <c r="K1177" s="41">
        <f t="shared" ca="1" si="170"/>
        <v>33.672803387158069</v>
      </c>
    </row>
    <row r="1178" spans="2:11" ht="15" customHeight="1" x14ac:dyDescent="0.35">
      <c r="B1178" s="5">
        <v>1157</v>
      </c>
      <c r="C1178" s="39">
        <f t="shared" ca="1" si="162"/>
        <v>3.8161990304969526</v>
      </c>
      <c r="D1178" s="40">
        <f t="shared" ca="1" si="163"/>
        <v>15101029986.104788</v>
      </c>
      <c r="E1178" s="40">
        <f t="shared" ca="1" si="164"/>
        <v>104250398492733.84</v>
      </c>
      <c r="F1178" s="40">
        <f t="shared" ca="1" si="165"/>
        <v>7288999356684.8994</v>
      </c>
      <c r="G1178" s="40">
        <f t="shared" ca="1" si="166"/>
        <v>19256644789400.289</v>
      </c>
      <c r="H1178" s="40">
        <f t="shared" ca="1" si="167"/>
        <v>104250398492733.84</v>
      </c>
      <c r="I1178" s="40">
        <f t="shared" ca="1" si="168"/>
        <v>84683465463336.578</v>
      </c>
      <c r="J1178" s="40">
        <f t="shared" ca="1" si="169"/>
        <v>1265454959127.6655</v>
      </c>
      <c r="K1178" s="41">
        <f t="shared" ca="1" si="170"/>
        <v>66.919383303624386</v>
      </c>
    </row>
    <row r="1179" spans="2:11" ht="15" customHeight="1" x14ac:dyDescent="0.35">
      <c r="B1179" s="5">
        <v>1158</v>
      </c>
      <c r="C1179" s="39">
        <f t="shared" ca="1" si="162"/>
        <v>3.2594175517458677</v>
      </c>
      <c r="D1179" s="40">
        <f t="shared" ca="1" si="163"/>
        <v>7833301614.7712994</v>
      </c>
      <c r="E1179" s="40">
        <f t="shared" ca="1" si="164"/>
        <v>13892067703018.941</v>
      </c>
      <c r="F1179" s="40">
        <f t="shared" ca="1" si="165"/>
        <v>631549410849.5072</v>
      </c>
      <c r="G1179" s="40">
        <f t="shared" ca="1" si="166"/>
        <v>3011837489014.4438</v>
      </c>
      <c r="H1179" s="40">
        <f t="shared" ca="1" si="167"/>
        <v>3011837489014.4438</v>
      </c>
      <c r="I1179" s="40">
        <f t="shared" ca="1" si="168"/>
        <v>13064338318175.469</v>
      </c>
      <c r="J1179" s="40">
        <f t="shared" ca="1" si="169"/>
        <v>470248909709.95465</v>
      </c>
      <c r="K1179" s="41">
        <f t="shared" ca="1" si="170"/>
        <v>27.781751426565638</v>
      </c>
    </row>
    <row r="1180" spans="2:11" ht="15" customHeight="1" x14ac:dyDescent="0.35">
      <c r="B1180" s="5">
        <v>1159</v>
      </c>
      <c r="C1180" s="39">
        <f t="shared" ca="1" si="162"/>
        <v>2.4606975859956357</v>
      </c>
      <c r="D1180" s="40">
        <f t="shared" ca="1" si="163"/>
        <v>1708658846.8891172</v>
      </c>
      <c r="E1180" s="40">
        <f t="shared" ca="1" si="164"/>
        <v>5683871738831.748</v>
      </c>
      <c r="F1180" s="40">
        <f t="shared" ca="1" si="165"/>
        <v>31433508450856.723</v>
      </c>
      <c r="G1180" s="40">
        <f t="shared" ca="1" si="166"/>
        <v>366612489149701.5</v>
      </c>
      <c r="H1180" s="40">
        <f t="shared" ca="1" si="167"/>
        <v>366612489149701.5</v>
      </c>
      <c r="I1180" s="40">
        <f t="shared" ca="1" si="168"/>
        <v>2222483787827.002</v>
      </c>
      <c r="J1180" s="40">
        <f t="shared" ca="1" si="169"/>
        <v>1281830759660.0911</v>
      </c>
      <c r="K1180" s="41">
        <f t="shared" ca="1" si="170"/>
        <v>1.7338355871693609</v>
      </c>
    </row>
    <row r="1181" spans="2:11" ht="15" customHeight="1" x14ac:dyDescent="0.35">
      <c r="B1181" s="5">
        <v>1160</v>
      </c>
      <c r="C1181" s="39">
        <f t="shared" ca="1" si="162"/>
        <v>2.9030183548611532</v>
      </c>
      <c r="D1181" s="40">
        <f t="shared" ca="1" si="163"/>
        <v>4703638030.7229357</v>
      </c>
      <c r="E1181" s="40">
        <f t="shared" ca="1" si="164"/>
        <v>22227342094221.789</v>
      </c>
      <c r="F1181" s="40">
        <f t="shared" ca="1" si="165"/>
        <v>8707005573304.3271</v>
      </c>
      <c r="G1181" s="40">
        <f t="shared" ca="1" si="166"/>
        <v>8725882657770.416</v>
      </c>
      <c r="H1181" s="40">
        <f t="shared" ca="1" si="167"/>
        <v>8725882657770.416</v>
      </c>
      <c r="I1181" s="40">
        <f t="shared" ca="1" si="168"/>
        <v>8485896573504.7832</v>
      </c>
      <c r="J1181" s="40">
        <f t="shared" ca="1" si="169"/>
        <v>576725850030.87134</v>
      </c>
      <c r="K1181" s="41">
        <f t="shared" ca="1" si="170"/>
        <v>14.71391749312181</v>
      </c>
    </row>
    <row r="1182" spans="2:11" ht="15" customHeight="1" x14ac:dyDescent="0.35">
      <c r="B1182" s="5">
        <v>1161</v>
      </c>
      <c r="C1182" s="39">
        <f t="shared" ca="1" si="162"/>
        <v>3.2813455471715716</v>
      </c>
      <c r="D1182" s="40">
        <f t="shared" ca="1" si="163"/>
        <v>8540976905.6147842</v>
      </c>
      <c r="E1182" s="40">
        <f t="shared" ca="1" si="164"/>
        <v>22916424038643.074</v>
      </c>
      <c r="F1182" s="40">
        <f t="shared" ca="1" si="165"/>
        <v>1990430132030.1799</v>
      </c>
      <c r="G1182" s="40">
        <f t="shared" ca="1" si="166"/>
        <v>4140618722809.5542</v>
      </c>
      <c r="H1182" s="40">
        <f t="shared" ca="1" si="167"/>
        <v>1990430132030.1799</v>
      </c>
      <c r="I1182" s="40">
        <f t="shared" ca="1" si="168"/>
        <v>2243032685332.584</v>
      </c>
      <c r="J1182" s="40">
        <f t="shared" ca="1" si="169"/>
        <v>1271770906014.7222</v>
      </c>
      <c r="K1182" s="41">
        <f t="shared" ca="1" si="170"/>
        <v>1.7637081291326682</v>
      </c>
    </row>
    <row r="1183" spans="2:11" ht="15" customHeight="1" x14ac:dyDescent="0.35">
      <c r="B1183" s="5">
        <v>1162</v>
      </c>
      <c r="C1183" s="39">
        <f t="shared" ca="1" si="162"/>
        <v>3.2511297576660216</v>
      </c>
      <c r="D1183" s="40">
        <f t="shared" ca="1" si="163"/>
        <v>8265876097.7803373</v>
      </c>
      <c r="E1183" s="40">
        <f t="shared" ca="1" si="164"/>
        <v>22719611276131.445</v>
      </c>
      <c r="F1183" s="40">
        <f t="shared" ca="1" si="165"/>
        <v>4017548103842.7026</v>
      </c>
      <c r="G1183" s="40">
        <f t="shared" ca="1" si="166"/>
        <v>11557254680397.953</v>
      </c>
      <c r="H1183" s="40">
        <f t="shared" ca="1" si="167"/>
        <v>11557254680397.953</v>
      </c>
      <c r="I1183" s="40">
        <f t="shared" ca="1" si="168"/>
        <v>4197968374166.6914</v>
      </c>
      <c r="J1183" s="40">
        <f t="shared" ca="1" si="169"/>
        <v>1013669952232.8654</v>
      </c>
      <c r="K1183" s="41">
        <f t="shared" ca="1" si="170"/>
        <v>4.1413562322919804</v>
      </c>
    </row>
    <row r="1184" spans="2:11" ht="15" customHeight="1" x14ac:dyDescent="0.35">
      <c r="B1184" s="5">
        <v>1163</v>
      </c>
      <c r="C1184" s="39">
        <f t="shared" ca="1" si="162"/>
        <v>2.7610510607583842</v>
      </c>
      <c r="D1184" s="40">
        <f t="shared" ca="1" si="163"/>
        <v>3380108520.8893189</v>
      </c>
      <c r="E1184" s="40">
        <f t="shared" ca="1" si="164"/>
        <v>22632193737771.203</v>
      </c>
      <c r="F1184" s="40">
        <f t="shared" ca="1" si="165"/>
        <v>934613430813.91174</v>
      </c>
      <c r="G1184" s="40">
        <f t="shared" ca="1" si="166"/>
        <v>12333678700244.395</v>
      </c>
      <c r="H1184" s="40">
        <f t="shared" ca="1" si="167"/>
        <v>934613430813.91174</v>
      </c>
      <c r="I1184" s="40">
        <f t="shared" ca="1" si="168"/>
        <v>31116814628535.402</v>
      </c>
      <c r="J1184" s="40">
        <f t="shared" ca="1" si="169"/>
        <v>674704209184.88879</v>
      </c>
      <c r="K1184" s="41">
        <f t="shared" ca="1" si="170"/>
        <v>46.119194463196955</v>
      </c>
    </row>
    <row r="1185" spans="2:11" ht="15" customHeight="1" x14ac:dyDescent="0.35">
      <c r="B1185" s="5">
        <v>1164</v>
      </c>
      <c r="C1185" s="39">
        <f t="shared" ca="1" si="162"/>
        <v>3.674519776195547</v>
      </c>
      <c r="D1185" s="40">
        <f t="shared" ca="1" si="163"/>
        <v>12272612528.425205</v>
      </c>
      <c r="E1185" s="40">
        <f t="shared" ca="1" si="164"/>
        <v>133707412660595.77</v>
      </c>
      <c r="F1185" s="40">
        <f t="shared" ca="1" si="165"/>
        <v>4141548733062.521</v>
      </c>
      <c r="G1185" s="40">
        <f t="shared" ca="1" si="166"/>
        <v>1688572949966.6587</v>
      </c>
      <c r="H1185" s="40">
        <f t="shared" ca="1" si="167"/>
        <v>1688572949966.6587</v>
      </c>
      <c r="I1185" s="40">
        <f t="shared" ca="1" si="168"/>
        <v>21678400977710.512</v>
      </c>
      <c r="J1185" s="40">
        <f t="shared" ca="1" si="169"/>
        <v>1421224971480.8328</v>
      </c>
      <c r="K1185" s="41">
        <f t="shared" ca="1" si="170"/>
        <v>15.253321193141501</v>
      </c>
    </row>
    <row r="1186" spans="2:11" ht="15" customHeight="1" x14ac:dyDescent="0.35">
      <c r="B1186" s="5">
        <v>1165</v>
      </c>
      <c r="C1186" s="39">
        <f t="shared" ca="1" si="162"/>
        <v>3.9208888639396324</v>
      </c>
      <c r="D1186" s="40">
        <f t="shared" ca="1" si="163"/>
        <v>20502380193.289692</v>
      </c>
      <c r="E1186" s="40">
        <f t="shared" ca="1" si="164"/>
        <v>37821389957991.922</v>
      </c>
      <c r="F1186" s="40">
        <f t="shared" ca="1" si="165"/>
        <v>381671173515.96545</v>
      </c>
      <c r="G1186" s="40">
        <f t="shared" ca="1" si="166"/>
        <v>8959128301518.6211</v>
      </c>
      <c r="H1186" s="40">
        <f t="shared" ca="1" si="167"/>
        <v>37821389957991.922</v>
      </c>
      <c r="I1186" s="40">
        <f t="shared" ca="1" si="168"/>
        <v>14761709380061.893</v>
      </c>
      <c r="J1186" s="40">
        <f t="shared" ca="1" si="169"/>
        <v>1302401601530.6777</v>
      </c>
      <c r="K1186" s="41">
        <f t="shared" ca="1" si="170"/>
        <v>11.334222380188146</v>
      </c>
    </row>
    <row r="1187" spans="2:11" ht="15" customHeight="1" x14ac:dyDescent="0.35">
      <c r="B1187" s="5">
        <v>1166</v>
      </c>
      <c r="C1187" s="39">
        <f t="shared" ca="1" si="162"/>
        <v>2.6266205968878014</v>
      </c>
      <c r="D1187" s="40">
        <f t="shared" ca="1" si="163"/>
        <v>2666677875.0575414</v>
      </c>
      <c r="E1187" s="40">
        <f t="shared" ca="1" si="164"/>
        <v>5318955961011.0293</v>
      </c>
      <c r="F1187" s="40">
        <f t="shared" ca="1" si="165"/>
        <v>5694840049614.458</v>
      </c>
      <c r="G1187" s="40">
        <f t="shared" ca="1" si="166"/>
        <v>2906089433160.8076</v>
      </c>
      <c r="H1187" s="40">
        <f t="shared" ca="1" si="167"/>
        <v>2906089433160.8076</v>
      </c>
      <c r="I1187" s="40">
        <f t="shared" ca="1" si="168"/>
        <v>33249844491660.434</v>
      </c>
      <c r="J1187" s="40">
        <f t="shared" ca="1" si="169"/>
        <v>1238050486614.1062</v>
      </c>
      <c r="K1187" s="41">
        <f t="shared" ca="1" si="170"/>
        <v>26.856614371675647</v>
      </c>
    </row>
    <row r="1188" spans="2:11" ht="15" customHeight="1" x14ac:dyDescent="0.35">
      <c r="B1188" s="5">
        <v>1167</v>
      </c>
      <c r="C1188" s="39">
        <f t="shared" ca="1" si="162"/>
        <v>2.5174044367429573</v>
      </c>
      <c r="D1188" s="40">
        <f t="shared" ca="1" si="163"/>
        <v>2142209528.9058905</v>
      </c>
      <c r="E1188" s="40">
        <f t="shared" ca="1" si="164"/>
        <v>12897522580605.031</v>
      </c>
      <c r="F1188" s="40">
        <f t="shared" ca="1" si="165"/>
        <v>2754762750513.8892</v>
      </c>
      <c r="G1188" s="40">
        <f t="shared" ca="1" si="166"/>
        <v>1413771012140.6716</v>
      </c>
      <c r="H1188" s="40">
        <f t="shared" ca="1" si="167"/>
        <v>1413771012140.6716</v>
      </c>
      <c r="I1188" s="40">
        <f t="shared" ca="1" si="168"/>
        <v>29060099928574.902</v>
      </c>
      <c r="J1188" s="40">
        <f t="shared" ca="1" si="169"/>
        <v>1661398266901.8667</v>
      </c>
      <c r="K1188" s="41">
        <f t="shared" ca="1" si="170"/>
        <v>17.491350814254453</v>
      </c>
    </row>
    <row r="1189" spans="2:11" ht="15" customHeight="1" x14ac:dyDescent="0.35">
      <c r="B1189" s="5">
        <v>1168</v>
      </c>
      <c r="C1189" s="39">
        <f t="shared" ca="1" si="162"/>
        <v>2.4845863338002854</v>
      </c>
      <c r="D1189" s="40">
        <f t="shared" ca="1" si="163"/>
        <v>1919403018.1209049</v>
      </c>
      <c r="E1189" s="40">
        <f t="shared" ca="1" si="164"/>
        <v>3707993171094.293</v>
      </c>
      <c r="F1189" s="40">
        <f t="shared" ca="1" si="165"/>
        <v>1786778759396.8467</v>
      </c>
      <c r="G1189" s="40">
        <f t="shared" ca="1" si="166"/>
        <v>137062918236.23306</v>
      </c>
      <c r="H1189" s="40">
        <f t="shared" ca="1" si="167"/>
        <v>137062918236.23306</v>
      </c>
      <c r="I1189" s="40">
        <f t="shared" ca="1" si="168"/>
        <v>30850916494637.609</v>
      </c>
      <c r="J1189" s="40">
        <f t="shared" ca="1" si="169"/>
        <v>1354704933136.5466</v>
      </c>
      <c r="K1189" s="41">
        <f t="shared" ca="1" si="170"/>
        <v>22.773163173775799</v>
      </c>
    </row>
    <row r="1190" spans="2:11" ht="15" customHeight="1" x14ac:dyDescent="0.35">
      <c r="B1190" s="5">
        <v>1169</v>
      </c>
      <c r="C1190" s="39">
        <f t="shared" ca="1" si="162"/>
        <v>3.3655190692812291</v>
      </c>
      <c r="D1190" s="40">
        <f t="shared" ca="1" si="163"/>
        <v>9144394260.5131531</v>
      </c>
      <c r="E1190" s="40">
        <f t="shared" ca="1" si="164"/>
        <v>114484966904035.09</v>
      </c>
      <c r="F1190" s="40">
        <f t="shared" ca="1" si="165"/>
        <v>322420621060.54889</v>
      </c>
      <c r="G1190" s="40">
        <f t="shared" ca="1" si="166"/>
        <v>707314353141.59875</v>
      </c>
      <c r="H1190" s="40">
        <f t="shared" ca="1" si="167"/>
        <v>114484966904035.09</v>
      </c>
      <c r="I1190" s="40">
        <f t="shared" ca="1" si="168"/>
        <v>711935579066.271</v>
      </c>
      <c r="J1190" s="40">
        <f t="shared" ca="1" si="169"/>
        <v>1046298639372.5142</v>
      </c>
      <c r="K1190" s="41">
        <f t="shared" ca="1" si="170"/>
        <v>0.68043248101061538</v>
      </c>
    </row>
    <row r="1191" spans="2:11" ht="15" customHeight="1" x14ac:dyDescent="0.35">
      <c r="B1191" s="5">
        <v>1170</v>
      </c>
      <c r="C1191" s="39">
        <f t="shared" ca="1" si="162"/>
        <v>2.4598777720743641</v>
      </c>
      <c r="D1191" s="40">
        <f t="shared" ca="1" si="163"/>
        <v>2005753236.2228508</v>
      </c>
      <c r="E1191" s="40">
        <f t="shared" ca="1" si="164"/>
        <v>2685220771764.731</v>
      </c>
      <c r="F1191" s="40">
        <f t="shared" ca="1" si="165"/>
        <v>787846158928.96301</v>
      </c>
      <c r="G1191" s="40">
        <f t="shared" ca="1" si="166"/>
        <v>11422503525537.004</v>
      </c>
      <c r="H1191" s="40">
        <f t="shared" ca="1" si="167"/>
        <v>11422503525537.004</v>
      </c>
      <c r="I1191" s="40">
        <f t="shared" ca="1" si="168"/>
        <v>170074393948861.63</v>
      </c>
      <c r="J1191" s="40">
        <f t="shared" ca="1" si="169"/>
        <v>1164386920899.5793</v>
      </c>
      <c r="K1191" s="41">
        <f t="shared" ca="1" si="170"/>
        <v>146.0634698794675</v>
      </c>
    </row>
    <row r="1192" spans="2:11" ht="15" customHeight="1" x14ac:dyDescent="0.35">
      <c r="B1192" s="5">
        <v>1171</v>
      </c>
      <c r="C1192" s="39">
        <f t="shared" ca="1" si="162"/>
        <v>2.1937995132919812</v>
      </c>
      <c r="D1192" s="40">
        <f t="shared" ca="1" si="163"/>
        <v>1055602869.7204654</v>
      </c>
      <c r="E1192" s="40">
        <f t="shared" ca="1" si="164"/>
        <v>2988167501023.4282</v>
      </c>
      <c r="F1192" s="40">
        <f t="shared" ca="1" si="165"/>
        <v>4763288400490.0518</v>
      </c>
      <c r="G1192" s="40">
        <f t="shared" ca="1" si="166"/>
        <v>2691366507658.9297</v>
      </c>
      <c r="H1192" s="40">
        <f t="shared" ca="1" si="167"/>
        <v>2691366507658.9297</v>
      </c>
      <c r="I1192" s="40">
        <f t="shared" ca="1" si="168"/>
        <v>104949878058820.91</v>
      </c>
      <c r="J1192" s="40">
        <f t="shared" ca="1" si="169"/>
        <v>701238056376.08105</v>
      </c>
      <c r="K1192" s="41">
        <f t="shared" ca="1" si="170"/>
        <v>149.66369423985628</v>
      </c>
    </row>
    <row r="1193" spans="2:11" ht="15" customHeight="1" x14ac:dyDescent="0.35">
      <c r="B1193" s="5">
        <v>1172</v>
      </c>
      <c r="C1193" s="39">
        <f t="shared" ca="1" si="162"/>
        <v>4.0093820638697952</v>
      </c>
      <c r="D1193" s="40">
        <f t="shared" ca="1" si="163"/>
        <v>24745385143.793713</v>
      </c>
      <c r="E1193" s="40">
        <f t="shared" ca="1" si="164"/>
        <v>58718803934818.016</v>
      </c>
      <c r="F1193" s="40">
        <f t="shared" ca="1" si="165"/>
        <v>997712879049.50623</v>
      </c>
      <c r="G1193" s="40">
        <f t="shared" ca="1" si="166"/>
        <v>14717789410462.807</v>
      </c>
      <c r="H1193" s="40">
        <f t="shared" ca="1" si="167"/>
        <v>997712879049.50623</v>
      </c>
      <c r="I1193" s="40">
        <f t="shared" ca="1" si="168"/>
        <v>109591444266678.47</v>
      </c>
      <c r="J1193" s="40">
        <f t="shared" ca="1" si="169"/>
        <v>646877990583.79285</v>
      </c>
      <c r="K1193" s="41">
        <f t="shared" ca="1" si="170"/>
        <v>169.41594220538352</v>
      </c>
    </row>
    <row r="1194" spans="2:11" ht="15" customHeight="1" x14ac:dyDescent="0.35">
      <c r="B1194" s="5">
        <v>1173</v>
      </c>
      <c r="C1194" s="39">
        <f t="shared" ca="1" si="162"/>
        <v>3.1471155434919225</v>
      </c>
      <c r="D1194" s="40">
        <f t="shared" ca="1" si="163"/>
        <v>5108573260.6771498</v>
      </c>
      <c r="E1194" s="40">
        <f t="shared" ca="1" si="164"/>
        <v>24779607954086.715</v>
      </c>
      <c r="F1194" s="40">
        <f t="shared" ca="1" si="165"/>
        <v>3928640249845.9556</v>
      </c>
      <c r="G1194" s="40">
        <f t="shared" ca="1" si="166"/>
        <v>771893142060.41162</v>
      </c>
      <c r="H1194" s="40">
        <f t="shared" ca="1" si="167"/>
        <v>3928640249845.9556</v>
      </c>
      <c r="I1194" s="40">
        <f t="shared" ca="1" si="168"/>
        <v>1826373978215.8394</v>
      </c>
      <c r="J1194" s="40">
        <f t="shared" ca="1" si="169"/>
        <v>1843262140924.9456</v>
      </c>
      <c r="K1194" s="41">
        <f t="shared" ca="1" si="170"/>
        <v>0.99083789422342727</v>
      </c>
    </row>
    <row r="1195" spans="2:11" ht="15" customHeight="1" x14ac:dyDescent="0.35">
      <c r="B1195" s="5">
        <v>1174</v>
      </c>
      <c r="C1195" s="39">
        <f t="shared" ca="1" si="162"/>
        <v>2.9865667169801764</v>
      </c>
      <c r="D1195" s="40">
        <f t="shared" ca="1" si="163"/>
        <v>4980212663.8209944</v>
      </c>
      <c r="E1195" s="40">
        <f t="shared" ca="1" si="164"/>
        <v>16716064552689.828</v>
      </c>
      <c r="F1195" s="40">
        <f t="shared" ca="1" si="165"/>
        <v>4609388765849.8584</v>
      </c>
      <c r="G1195" s="40">
        <f t="shared" ca="1" si="166"/>
        <v>10639531958834.973</v>
      </c>
      <c r="H1195" s="40">
        <f t="shared" ca="1" si="167"/>
        <v>4609388765849.8584</v>
      </c>
      <c r="I1195" s="40">
        <f t="shared" ca="1" si="168"/>
        <v>130898270858148.64</v>
      </c>
      <c r="J1195" s="40">
        <f t="shared" ca="1" si="169"/>
        <v>1088152732738.3618</v>
      </c>
      <c r="K1195" s="41">
        <f t="shared" ca="1" si="170"/>
        <v>120.29402391770876</v>
      </c>
    </row>
    <row r="1196" spans="2:11" ht="15" customHeight="1" x14ac:dyDescent="0.35">
      <c r="B1196" s="5">
        <v>1175</v>
      </c>
      <c r="C1196" s="39">
        <f t="shared" ca="1" si="162"/>
        <v>2.6329033504174157</v>
      </c>
      <c r="D1196" s="40">
        <f t="shared" ca="1" si="163"/>
        <v>2967270808.1709795</v>
      </c>
      <c r="E1196" s="40">
        <f t="shared" ca="1" si="164"/>
        <v>24507829344509.387</v>
      </c>
      <c r="F1196" s="40">
        <f t="shared" ca="1" si="165"/>
        <v>902287401056.3905</v>
      </c>
      <c r="G1196" s="40">
        <f t="shared" ca="1" si="166"/>
        <v>12585484811311.535</v>
      </c>
      <c r="H1196" s="40">
        <f t="shared" ca="1" si="167"/>
        <v>12585484811311.535</v>
      </c>
      <c r="I1196" s="40">
        <f t="shared" ca="1" si="168"/>
        <v>30674686662195.863</v>
      </c>
      <c r="J1196" s="40">
        <f t="shared" ca="1" si="169"/>
        <v>1333813104845.783</v>
      </c>
      <c r="K1196" s="41">
        <f t="shared" ca="1" si="170"/>
        <v>22.997739751359322</v>
      </c>
    </row>
    <row r="1197" spans="2:11" ht="15" customHeight="1" x14ac:dyDescent="0.35">
      <c r="B1197" s="5">
        <v>1176</v>
      </c>
      <c r="C1197" s="39">
        <f t="shared" ca="1" si="162"/>
        <v>2.9611968143138672</v>
      </c>
      <c r="D1197" s="40">
        <f t="shared" ca="1" si="163"/>
        <v>3662350489.6418099</v>
      </c>
      <c r="E1197" s="40">
        <f t="shared" ca="1" si="164"/>
        <v>18461476786127.191</v>
      </c>
      <c r="F1197" s="40">
        <f t="shared" ca="1" si="165"/>
        <v>3038968950523.3232</v>
      </c>
      <c r="G1197" s="40">
        <f t="shared" ca="1" si="166"/>
        <v>2412719817154.3975</v>
      </c>
      <c r="H1197" s="40">
        <f t="shared" ca="1" si="167"/>
        <v>18461476786127.191</v>
      </c>
      <c r="I1197" s="40">
        <f t="shared" ca="1" si="168"/>
        <v>83448309744816.609</v>
      </c>
      <c r="J1197" s="40">
        <f t="shared" ca="1" si="169"/>
        <v>590190415409.0813</v>
      </c>
      <c r="K1197" s="41">
        <f t="shared" ca="1" si="170"/>
        <v>141.39218049987429</v>
      </c>
    </row>
    <row r="1198" spans="2:11" ht="15" customHeight="1" x14ac:dyDescent="0.35">
      <c r="B1198" s="5">
        <v>1177</v>
      </c>
      <c r="C1198" s="39">
        <f t="shared" ca="1" si="162"/>
        <v>2.832602442756277</v>
      </c>
      <c r="D1198" s="40">
        <f t="shared" ca="1" si="163"/>
        <v>4041774293.4253359</v>
      </c>
      <c r="E1198" s="40">
        <f t="shared" ca="1" si="164"/>
        <v>10325771146123.191</v>
      </c>
      <c r="F1198" s="40">
        <f t="shared" ca="1" si="165"/>
        <v>4694760611083.1748</v>
      </c>
      <c r="G1198" s="40">
        <f t="shared" ca="1" si="166"/>
        <v>13437674079698.98</v>
      </c>
      <c r="H1198" s="40">
        <f t="shared" ca="1" si="167"/>
        <v>4694760611083.1748</v>
      </c>
      <c r="I1198" s="40">
        <f t="shared" ca="1" si="168"/>
        <v>1992451059202.6235</v>
      </c>
      <c r="J1198" s="40">
        <f t="shared" ca="1" si="169"/>
        <v>1169779150647.6167</v>
      </c>
      <c r="K1198" s="41">
        <f t="shared" ca="1" si="170"/>
        <v>1.7032711329309953</v>
      </c>
    </row>
    <row r="1199" spans="2:11" ht="15" customHeight="1" x14ac:dyDescent="0.35">
      <c r="B1199" s="5">
        <v>1178</v>
      </c>
      <c r="C1199" s="39">
        <f t="shared" ca="1" si="162"/>
        <v>3.3615139810351948</v>
      </c>
      <c r="D1199" s="40">
        <f t="shared" ca="1" si="163"/>
        <v>8854674091.4651222</v>
      </c>
      <c r="E1199" s="40">
        <f t="shared" ca="1" si="164"/>
        <v>57836715486938.156</v>
      </c>
      <c r="F1199" s="40">
        <f t="shared" ca="1" si="165"/>
        <v>3656938427368.2119</v>
      </c>
      <c r="G1199" s="40">
        <f t="shared" ca="1" si="166"/>
        <v>4340442023615.4683</v>
      </c>
      <c r="H1199" s="40">
        <f t="shared" ca="1" si="167"/>
        <v>3656938427368.2119</v>
      </c>
      <c r="I1199" s="40">
        <f t="shared" ca="1" si="168"/>
        <v>1585093588900.9421</v>
      </c>
      <c r="J1199" s="40">
        <f t="shared" ca="1" si="169"/>
        <v>1548550803763.8787</v>
      </c>
      <c r="K1199" s="41">
        <f t="shared" ca="1" si="170"/>
        <v>1.0235980537727554</v>
      </c>
    </row>
    <row r="1200" spans="2:11" ht="15" customHeight="1" x14ac:dyDescent="0.35">
      <c r="B1200" s="5">
        <v>1179</v>
      </c>
      <c r="C1200" s="39">
        <f t="shared" ca="1" si="162"/>
        <v>2.6010837527362196</v>
      </c>
      <c r="D1200" s="40">
        <f t="shared" ca="1" si="163"/>
        <v>2494317169.3622971</v>
      </c>
      <c r="E1200" s="40">
        <f t="shared" ca="1" si="164"/>
        <v>7271449891511.9258</v>
      </c>
      <c r="F1200" s="40">
        <f t="shared" ca="1" si="165"/>
        <v>2966320282944.4482</v>
      </c>
      <c r="G1200" s="40">
        <f t="shared" ca="1" si="166"/>
        <v>6066359290987.4814</v>
      </c>
      <c r="H1200" s="40">
        <f t="shared" ca="1" si="167"/>
        <v>6066359290987.4814</v>
      </c>
      <c r="I1200" s="40">
        <f t="shared" ca="1" si="168"/>
        <v>19833642880466.902</v>
      </c>
      <c r="J1200" s="40">
        <f t="shared" ca="1" si="169"/>
        <v>651690972282.35718</v>
      </c>
      <c r="K1200" s="41">
        <f t="shared" ca="1" si="170"/>
        <v>30.434122496749286</v>
      </c>
    </row>
    <row r="1201" spans="2:11" ht="15" customHeight="1" x14ac:dyDescent="0.35">
      <c r="B1201" s="5">
        <v>1180</v>
      </c>
      <c r="C1201" s="39">
        <f t="shared" ca="1" si="162"/>
        <v>2.8445797260674417</v>
      </c>
      <c r="D1201" s="40">
        <f t="shared" ca="1" si="163"/>
        <v>3621680230.6665578</v>
      </c>
      <c r="E1201" s="40">
        <f t="shared" ca="1" si="164"/>
        <v>6886051306988.5957</v>
      </c>
      <c r="F1201" s="40">
        <f t="shared" ca="1" si="165"/>
        <v>11021992786505.387</v>
      </c>
      <c r="G1201" s="40">
        <f t="shared" ca="1" si="166"/>
        <v>31606089722339.824</v>
      </c>
      <c r="H1201" s="40">
        <f t="shared" ca="1" si="167"/>
        <v>6886051306988.5957</v>
      </c>
      <c r="I1201" s="40">
        <f t="shared" ca="1" si="168"/>
        <v>1779941638710.0315</v>
      </c>
      <c r="J1201" s="40">
        <f t="shared" ca="1" si="169"/>
        <v>906144031095.00061</v>
      </c>
      <c r="K1201" s="41">
        <f t="shared" ca="1" si="170"/>
        <v>1.964303220713288</v>
      </c>
    </row>
    <row r="1202" spans="2:11" ht="15" customHeight="1" x14ac:dyDescent="0.35">
      <c r="B1202" s="5">
        <v>1181</v>
      </c>
      <c r="C1202" s="39">
        <f t="shared" ca="1" si="162"/>
        <v>3.4787927937719365</v>
      </c>
      <c r="D1202" s="40">
        <f t="shared" ca="1" si="163"/>
        <v>8691311784.5349045</v>
      </c>
      <c r="E1202" s="40">
        <f t="shared" ca="1" si="164"/>
        <v>10602607132497.762</v>
      </c>
      <c r="F1202" s="40">
        <f t="shared" ca="1" si="165"/>
        <v>2044852252818.7908</v>
      </c>
      <c r="G1202" s="40">
        <f t="shared" ca="1" si="166"/>
        <v>2694179325908.4224</v>
      </c>
      <c r="H1202" s="40">
        <f t="shared" ca="1" si="167"/>
        <v>2044852252818.7908</v>
      </c>
      <c r="I1202" s="40">
        <f t="shared" ca="1" si="168"/>
        <v>1056453115971.4283</v>
      </c>
      <c r="J1202" s="40">
        <f t="shared" ca="1" si="169"/>
        <v>1057118602453.5295</v>
      </c>
      <c r="K1202" s="41">
        <f t="shared" ca="1" si="170"/>
        <v>0.99937047131650447</v>
      </c>
    </row>
    <row r="1203" spans="2:11" ht="15" customHeight="1" x14ac:dyDescent="0.35">
      <c r="B1203" s="5">
        <v>1182</v>
      </c>
      <c r="C1203" s="39">
        <f t="shared" ca="1" si="162"/>
        <v>2.9104814041223173</v>
      </c>
      <c r="D1203" s="40">
        <f t="shared" ca="1" si="163"/>
        <v>3603577070.2030907</v>
      </c>
      <c r="E1203" s="40">
        <f t="shared" ca="1" si="164"/>
        <v>23632668262807.941</v>
      </c>
      <c r="F1203" s="40">
        <f t="shared" ca="1" si="165"/>
        <v>3410772181498.4092</v>
      </c>
      <c r="G1203" s="40">
        <f t="shared" ca="1" si="166"/>
        <v>21476445621588.086</v>
      </c>
      <c r="H1203" s="40">
        <f t="shared" ca="1" si="167"/>
        <v>21476445621588.086</v>
      </c>
      <c r="I1203" s="40">
        <f t="shared" ca="1" si="168"/>
        <v>19946786970129.578</v>
      </c>
      <c r="J1203" s="40">
        <f t="shared" ca="1" si="169"/>
        <v>798949304240.71973</v>
      </c>
      <c r="K1203" s="41">
        <f t="shared" ca="1" si="170"/>
        <v>24.966273659986445</v>
      </c>
    </row>
    <row r="1204" spans="2:11" ht="15" customHeight="1" x14ac:dyDescent="0.35">
      <c r="B1204" s="5">
        <v>1183</v>
      </c>
      <c r="C1204" s="39">
        <f t="shared" ca="1" si="162"/>
        <v>2.8292463961102534</v>
      </c>
      <c r="D1204" s="40">
        <f t="shared" ca="1" si="163"/>
        <v>3715824243.5135326</v>
      </c>
      <c r="E1204" s="40">
        <f t="shared" ca="1" si="164"/>
        <v>9928771705805.3203</v>
      </c>
      <c r="F1204" s="40">
        <f t="shared" ca="1" si="165"/>
        <v>892530221435.80127</v>
      </c>
      <c r="G1204" s="40">
        <f t="shared" ca="1" si="166"/>
        <v>21448212574411.5</v>
      </c>
      <c r="H1204" s="40">
        <f t="shared" ca="1" si="167"/>
        <v>9928771705805.3203</v>
      </c>
      <c r="I1204" s="40">
        <f t="shared" ca="1" si="168"/>
        <v>677630462036.92578</v>
      </c>
      <c r="J1204" s="40">
        <f t="shared" ca="1" si="169"/>
        <v>1306399029172.9597</v>
      </c>
      <c r="K1204" s="41">
        <f t="shared" ca="1" si="170"/>
        <v>0.51870098408287424</v>
      </c>
    </row>
    <row r="1205" spans="2:11" ht="15" customHeight="1" x14ac:dyDescent="0.35">
      <c r="B1205" s="5">
        <v>1184</v>
      </c>
      <c r="C1205" s="39">
        <f t="shared" ca="1" si="162"/>
        <v>2.7602939893132428</v>
      </c>
      <c r="D1205" s="40">
        <f t="shared" ca="1" si="163"/>
        <v>3672718038.3350787</v>
      </c>
      <c r="E1205" s="40">
        <f t="shared" ca="1" si="164"/>
        <v>16588094425662.584</v>
      </c>
      <c r="F1205" s="40">
        <f t="shared" ca="1" si="165"/>
        <v>1249287153293.2791</v>
      </c>
      <c r="G1205" s="40">
        <f t="shared" ca="1" si="166"/>
        <v>5145797583746.2695</v>
      </c>
      <c r="H1205" s="40">
        <f t="shared" ca="1" si="167"/>
        <v>16588094425662.584</v>
      </c>
      <c r="I1205" s="40">
        <f t="shared" ca="1" si="168"/>
        <v>23884006817297.836</v>
      </c>
      <c r="J1205" s="40">
        <f t="shared" ca="1" si="169"/>
        <v>1287592518434.2871</v>
      </c>
      <c r="K1205" s="41">
        <f t="shared" ca="1" si="170"/>
        <v>18.549351969162416</v>
      </c>
    </row>
    <row r="1206" spans="2:11" ht="15" customHeight="1" x14ac:dyDescent="0.35">
      <c r="B1206" s="5">
        <v>1185</v>
      </c>
      <c r="C1206" s="39">
        <f t="shared" ca="1" si="162"/>
        <v>3.2050434349435371</v>
      </c>
      <c r="D1206" s="40">
        <f t="shared" ca="1" si="163"/>
        <v>5871067845.762578</v>
      </c>
      <c r="E1206" s="40">
        <f t="shared" ca="1" si="164"/>
        <v>25303485350184.344</v>
      </c>
      <c r="F1206" s="40">
        <f t="shared" ca="1" si="165"/>
        <v>13066358731020.428</v>
      </c>
      <c r="G1206" s="40">
        <f t="shared" ca="1" si="166"/>
        <v>326682237182.90619</v>
      </c>
      <c r="H1206" s="40">
        <f t="shared" ca="1" si="167"/>
        <v>13066358731020.428</v>
      </c>
      <c r="I1206" s="40">
        <f t="shared" ca="1" si="168"/>
        <v>41177224946153.344</v>
      </c>
      <c r="J1206" s="40">
        <f t="shared" ca="1" si="169"/>
        <v>1481827601541.9692</v>
      </c>
      <c r="K1206" s="41">
        <f t="shared" ca="1" si="170"/>
        <v>27.788134667828359</v>
      </c>
    </row>
    <row r="1207" spans="2:11" ht="15" customHeight="1" x14ac:dyDescent="0.35">
      <c r="B1207" s="5">
        <v>1186</v>
      </c>
      <c r="C1207" s="39">
        <f t="shared" ca="1" si="162"/>
        <v>2.9824992347940857</v>
      </c>
      <c r="D1207" s="40">
        <f t="shared" ca="1" si="163"/>
        <v>4710622256.6972866</v>
      </c>
      <c r="E1207" s="40">
        <f t="shared" ca="1" si="164"/>
        <v>22315261539864.867</v>
      </c>
      <c r="F1207" s="40">
        <f t="shared" ca="1" si="165"/>
        <v>3085998966903.8286</v>
      </c>
      <c r="G1207" s="40">
        <f t="shared" ca="1" si="166"/>
        <v>2894022585716.2676</v>
      </c>
      <c r="H1207" s="40">
        <f t="shared" ca="1" si="167"/>
        <v>3085998966903.8286</v>
      </c>
      <c r="I1207" s="40">
        <f t="shared" ca="1" si="168"/>
        <v>1340217485062.9136</v>
      </c>
      <c r="J1207" s="40">
        <f t="shared" ca="1" si="169"/>
        <v>685031343902.52942</v>
      </c>
      <c r="K1207" s="41">
        <f t="shared" ca="1" si="170"/>
        <v>1.9564323545078663</v>
      </c>
    </row>
    <row r="1208" spans="2:11" ht="15" customHeight="1" x14ac:dyDescent="0.35">
      <c r="B1208" s="5">
        <v>1187</v>
      </c>
      <c r="C1208" s="39">
        <f t="shared" ca="1" si="162"/>
        <v>2.9542881801455425</v>
      </c>
      <c r="D1208" s="40">
        <f t="shared" ca="1" si="163"/>
        <v>5062630770.6651077</v>
      </c>
      <c r="E1208" s="40">
        <f t="shared" ca="1" si="164"/>
        <v>17302691294530.07</v>
      </c>
      <c r="F1208" s="40">
        <f t="shared" ca="1" si="165"/>
        <v>4515216764764.3096</v>
      </c>
      <c r="G1208" s="40">
        <f t="shared" ca="1" si="166"/>
        <v>39466618997807.875</v>
      </c>
      <c r="H1208" s="40">
        <f t="shared" ca="1" si="167"/>
        <v>4515216764764.3096</v>
      </c>
      <c r="I1208" s="40">
        <f t="shared" ca="1" si="168"/>
        <v>12185192368472.898</v>
      </c>
      <c r="J1208" s="40">
        <f t="shared" ca="1" si="169"/>
        <v>1378631283494.1973</v>
      </c>
      <c r="K1208" s="41">
        <f t="shared" ca="1" si="170"/>
        <v>8.8386158898041476</v>
      </c>
    </row>
    <row r="1209" spans="2:11" ht="15" customHeight="1" x14ac:dyDescent="0.35">
      <c r="B1209" s="5">
        <v>1188</v>
      </c>
      <c r="C1209" s="39">
        <f t="shared" ca="1" si="162"/>
        <v>3.7725393581686415</v>
      </c>
      <c r="D1209" s="40">
        <f t="shared" ca="1" si="163"/>
        <v>15893144896.207743</v>
      </c>
      <c r="E1209" s="40">
        <f t="shared" ca="1" si="164"/>
        <v>703998201526577.13</v>
      </c>
      <c r="F1209" s="40">
        <f t="shared" ca="1" si="165"/>
        <v>3989740385962.8525</v>
      </c>
      <c r="G1209" s="40">
        <f t="shared" ca="1" si="166"/>
        <v>7412509868837.1309</v>
      </c>
      <c r="H1209" s="40">
        <f t="shared" ca="1" si="167"/>
        <v>3989740385962.8525</v>
      </c>
      <c r="I1209" s="40">
        <f t="shared" ca="1" si="168"/>
        <v>932334990139.66614</v>
      </c>
      <c r="J1209" s="40">
        <f t="shared" ca="1" si="169"/>
        <v>826782033107.47046</v>
      </c>
      <c r="K1209" s="41">
        <f t="shared" ca="1" si="170"/>
        <v>1.1276672119197773</v>
      </c>
    </row>
    <row r="1210" spans="2:11" ht="15" customHeight="1" x14ac:dyDescent="0.35">
      <c r="B1210" s="5">
        <v>1189</v>
      </c>
      <c r="C1210" s="39">
        <f t="shared" ca="1" si="162"/>
        <v>2.6441393799014805</v>
      </c>
      <c r="D1210" s="40">
        <f t="shared" ca="1" si="163"/>
        <v>2826550781.2403946</v>
      </c>
      <c r="E1210" s="40">
        <f t="shared" ca="1" si="164"/>
        <v>5413009020486.4424</v>
      </c>
      <c r="F1210" s="40">
        <f t="shared" ca="1" si="165"/>
        <v>31038426063126.566</v>
      </c>
      <c r="G1210" s="40">
        <f t="shared" ca="1" si="166"/>
        <v>499536675978.56616</v>
      </c>
      <c r="H1210" s="40">
        <f t="shared" ca="1" si="167"/>
        <v>499536675978.56616</v>
      </c>
      <c r="I1210" s="40">
        <f t="shared" ca="1" si="168"/>
        <v>4673787224087.5742</v>
      </c>
      <c r="J1210" s="40">
        <f t="shared" ca="1" si="169"/>
        <v>982345416560.48022</v>
      </c>
      <c r="K1210" s="41">
        <f t="shared" ca="1" si="170"/>
        <v>4.7577839172417233</v>
      </c>
    </row>
    <row r="1211" spans="2:11" ht="15" customHeight="1" x14ac:dyDescent="0.35">
      <c r="B1211" s="5">
        <v>1190</v>
      </c>
      <c r="C1211" s="39">
        <f t="shared" ca="1" si="162"/>
        <v>2.3704947564899568</v>
      </c>
      <c r="D1211" s="40">
        <f t="shared" ca="1" si="163"/>
        <v>1265446945.7047174</v>
      </c>
      <c r="E1211" s="40">
        <f t="shared" ca="1" si="164"/>
        <v>4180547510824.3081</v>
      </c>
      <c r="F1211" s="40">
        <f t="shared" ca="1" si="165"/>
        <v>2088132744732.1079</v>
      </c>
      <c r="G1211" s="40">
        <f t="shared" ca="1" si="166"/>
        <v>42508579731733.258</v>
      </c>
      <c r="H1211" s="40">
        <f t="shared" ca="1" si="167"/>
        <v>4180547510824.3081</v>
      </c>
      <c r="I1211" s="40">
        <f t="shared" ca="1" si="168"/>
        <v>38796351907919.117</v>
      </c>
      <c r="J1211" s="40">
        <f t="shared" ca="1" si="169"/>
        <v>1551009186045.9106</v>
      </c>
      <c r="K1211" s="41">
        <f t="shared" ca="1" si="170"/>
        <v>25.013618395662245</v>
      </c>
    </row>
    <row r="1212" spans="2:11" ht="15" customHeight="1" x14ac:dyDescent="0.35">
      <c r="B1212" s="5">
        <v>1191</v>
      </c>
      <c r="C1212" s="39">
        <f t="shared" ca="1" si="162"/>
        <v>3.0340612490019501</v>
      </c>
      <c r="D1212" s="40">
        <f t="shared" ca="1" si="163"/>
        <v>5904752477.3079624</v>
      </c>
      <c r="E1212" s="40">
        <f t="shared" ca="1" si="164"/>
        <v>12990292910123.807</v>
      </c>
      <c r="F1212" s="40">
        <f t="shared" ca="1" si="165"/>
        <v>3141870682469.3018</v>
      </c>
      <c r="G1212" s="40">
        <f t="shared" ca="1" si="166"/>
        <v>2813121638788.8955</v>
      </c>
      <c r="H1212" s="40">
        <f t="shared" ca="1" si="167"/>
        <v>12990292910123.807</v>
      </c>
      <c r="I1212" s="40">
        <f t="shared" ca="1" si="168"/>
        <v>55814776650336.359</v>
      </c>
      <c r="J1212" s="40">
        <f t="shared" ca="1" si="169"/>
        <v>738032625901.14441</v>
      </c>
      <c r="K1212" s="41">
        <f t="shared" ca="1" si="170"/>
        <v>75.626435324842205</v>
      </c>
    </row>
    <row r="1213" spans="2:11" ht="15" customHeight="1" x14ac:dyDescent="0.35">
      <c r="B1213" s="5">
        <v>1192</v>
      </c>
      <c r="C1213" s="39">
        <f t="shared" ca="1" si="162"/>
        <v>2.2988329909367353</v>
      </c>
      <c r="D1213" s="40">
        <f t="shared" ca="1" si="163"/>
        <v>1092812666.6297545</v>
      </c>
      <c r="E1213" s="40">
        <f t="shared" ca="1" si="164"/>
        <v>1167472308482.0144</v>
      </c>
      <c r="F1213" s="40">
        <f t="shared" ca="1" si="165"/>
        <v>2827000168979.3599</v>
      </c>
      <c r="G1213" s="40">
        <f t="shared" ca="1" si="166"/>
        <v>8537388335670.873</v>
      </c>
      <c r="H1213" s="40">
        <f t="shared" ca="1" si="167"/>
        <v>8537388335670.873</v>
      </c>
      <c r="I1213" s="40">
        <f t="shared" ca="1" si="168"/>
        <v>43177178672375.867</v>
      </c>
      <c r="J1213" s="40">
        <f t="shared" ca="1" si="169"/>
        <v>662286152415.15845</v>
      </c>
      <c r="K1213" s="41">
        <f t="shared" ca="1" si="170"/>
        <v>65.194143822759514</v>
      </c>
    </row>
    <row r="1214" spans="2:11" ht="15" customHeight="1" x14ac:dyDescent="0.35">
      <c r="B1214" s="5">
        <v>1193</v>
      </c>
      <c r="C1214" s="39">
        <f t="shared" ca="1" si="162"/>
        <v>3.1969203723682384</v>
      </c>
      <c r="D1214" s="40">
        <f t="shared" ca="1" si="163"/>
        <v>7936637315.7050819</v>
      </c>
      <c r="E1214" s="40">
        <f t="shared" ca="1" si="164"/>
        <v>22038210126685.145</v>
      </c>
      <c r="F1214" s="40">
        <f t="shared" ca="1" si="165"/>
        <v>4109171578702.7368</v>
      </c>
      <c r="G1214" s="40">
        <f t="shared" ca="1" si="166"/>
        <v>6130920436908.1943</v>
      </c>
      <c r="H1214" s="40">
        <f t="shared" ca="1" si="167"/>
        <v>6130920436908.1943</v>
      </c>
      <c r="I1214" s="40">
        <f t="shared" ca="1" si="168"/>
        <v>9347925321599.3203</v>
      </c>
      <c r="J1214" s="40">
        <f t="shared" ca="1" si="169"/>
        <v>1306933554857.0981</v>
      </c>
      <c r="K1214" s="41">
        <f t="shared" ca="1" si="170"/>
        <v>7.1525635613674599</v>
      </c>
    </row>
    <row r="1215" spans="2:11" ht="15" customHeight="1" x14ac:dyDescent="0.35">
      <c r="B1215" s="5">
        <v>1194</v>
      </c>
      <c r="C1215" s="39">
        <f t="shared" ca="1" si="162"/>
        <v>3.1819829615009949</v>
      </c>
      <c r="D1215" s="40">
        <f t="shared" ca="1" si="163"/>
        <v>5493011874.7798491</v>
      </c>
      <c r="E1215" s="40">
        <f t="shared" ca="1" si="164"/>
        <v>21583161616994.25</v>
      </c>
      <c r="F1215" s="40">
        <f t="shared" ca="1" si="165"/>
        <v>277968403276.16663</v>
      </c>
      <c r="G1215" s="40">
        <f t="shared" ca="1" si="166"/>
        <v>11399930699830.221</v>
      </c>
      <c r="H1215" s="40">
        <f t="shared" ca="1" si="167"/>
        <v>11399930699830.221</v>
      </c>
      <c r="I1215" s="40">
        <f t="shared" ca="1" si="168"/>
        <v>10130836288622.654</v>
      </c>
      <c r="J1215" s="40">
        <f t="shared" ca="1" si="169"/>
        <v>1252562057205.1243</v>
      </c>
      <c r="K1215" s="41">
        <f t="shared" ca="1" si="170"/>
        <v>8.0880913088073765</v>
      </c>
    </row>
    <row r="1216" spans="2:11" ht="15" customHeight="1" x14ac:dyDescent="0.35">
      <c r="B1216" s="5">
        <v>1195</v>
      </c>
      <c r="C1216" s="39">
        <f t="shared" ca="1" si="162"/>
        <v>2.6906617053912969</v>
      </c>
      <c r="D1216" s="40">
        <f t="shared" ca="1" si="163"/>
        <v>2295780016.2233014</v>
      </c>
      <c r="E1216" s="40">
        <f t="shared" ca="1" si="164"/>
        <v>3618192215909.3828</v>
      </c>
      <c r="F1216" s="40">
        <f t="shared" ca="1" si="165"/>
        <v>2110199477541.0378</v>
      </c>
      <c r="G1216" s="40">
        <f t="shared" ca="1" si="166"/>
        <v>536593224060.5307</v>
      </c>
      <c r="H1216" s="40">
        <f t="shared" ca="1" si="167"/>
        <v>3618192215909.3828</v>
      </c>
      <c r="I1216" s="40">
        <f t="shared" ca="1" si="168"/>
        <v>652830292788.12878</v>
      </c>
      <c r="J1216" s="40">
        <f t="shared" ca="1" si="169"/>
        <v>1227980365663.5049</v>
      </c>
      <c r="K1216" s="41">
        <f t="shared" ca="1" si="170"/>
        <v>0.53162925975236597</v>
      </c>
    </row>
    <row r="1217" spans="2:11" ht="15" customHeight="1" x14ac:dyDescent="0.35">
      <c r="B1217" s="5">
        <v>1196</v>
      </c>
      <c r="C1217" s="39">
        <f t="shared" ca="1" si="162"/>
        <v>2.6397030079920163</v>
      </c>
      <c r="D1217" s="40">
        <f t="shared" ca="1" si="163"/>
        <v>2357019929.626379</v>
      </c>
      <c r="E1217" s="40">
        <f t="shared" ca="1" si="164"/>
        <v>2352414492344.0293</v>
      </c>
      <c r="F1217" s="40">
        <f t="shared" ca="1" si="165"/>
        <v>2177411195955.4111</v>
      </c>
      <c r="G1217" s="40">
        <f t="shared" ca="1" si="166"/>
        <v>75141161403554.781</v>
      </c>
      <c r="H1217" s="40">
        <f t="shared" ca="1" si="167"/>
        <v>2177411195955.4111</v>
      </c>
      <c r="I1217" s="40">
        <f t="shared" ca="1" si="168"/>
        <v>41850918726952.93</v>
      </c>
      <c r="J1217" s="40">
        <f t="shared" ca="1" si="169"/>
        <v>1115825464744.0647</v>
      </c>
      <c r="K1217" s="41">
        <f t="shared" ca="1" si="170"/>
        <v>37.506689038103481</v>
      </c>
    </row>
    <row r="1218" spans="2:11" ht="15" customHeight="1" x14ac:dyDescent="0.35">
      <c r="B1218" s="5">
        <v>1197</v>
      </c>
      <c r="C1218" s="39">
        <f t="shared" ca="1" si="162"/>
        <v>2.2489109644905292</v>
      </c>
      <c r="D1218" s="40">
        <f t="shared" ca="1" si="163"/>
        <v>1128811519.796056</v>
      </c>
      <c r="E1218" s="40">
        <f t="shared" ca="1" si="164"/>
        <v>3628324977788.9731</v>
      </c>
      <c r="F1218" s="40">
        <f t="shared" ca="1" si="165"/>
        <v>1985585904505.4875</v>
      </c>
      <c r="G1218" s="40">
        <f t="shared" ca="1" si="166"/>
        <v>26021276950113.848</v>
      </c>
      <c r="H1218" s="40">
        <f t="shared" ca="1" si="167"/>
        <v>26021276950113.848</v>
      </c>
      <c r="I1218" s="40">
        <f t="shared" ca="1" si="168"/>
        <v>3967976661003.2017</v>
      </c>
      <c r="J1218" s="40">
        <f t="shared" ca="1" si="169"/>
        <v>623492613780.73071</v>
      </c>
      <c r="K1218" s="41">
        <f t="shared" ca="1" si="170"/>
        <v>6.3641117365323847</v>
      </c>
    </row>
    <row r="1219" spans="2:11" ht="15" customHeight="1" x14ac:dyDescent="0.35">
      <c r="B1219" s="5">
        <v>1198</v>
      </c>
      <c r="C1219" s="39">
        <f t="shared" ca="1" si="162"/>
        <v>2.0047265178907834</v>
      </c>
      <c r="D1219" s="40">
        <f t="shared" ca="1" si="163"/>
        <v>719232761.07026446</v>
      </c>
      <c r="E1219" s="40">
        <f t="shared" ca="1" si="164"/>
        <v>12143440804931.742</v>
      </c>
      <c r="F1219" s="40">
        <f t="shared" ca="1" si="165"/>
        <v>6093873355492.6914</v>
      </c>
      <c r="G1219" s="40">
        <f t="shared" ca="1" si="166"/>
        <v>7619547608069.1484</v>
      </c>
      <c r="H1219" s="40">
        <f t="shared" ca="1" si="167"/>
        <v>7619547608069.1484</v>
      </c>
      <c r="I1219" s="40">
        <f t="shared" ca="1" si="168"/>
        <v>4570846749933.542</v>
      </c>
      <c r="J1219" s="40">
        <f t="shared" ca="1" si="169"/>
        <v>880441359512.58496</v>
      </c>
      <c r="K1219" s="41">
        <f t="shared" ca="1" si="170"/>
        <v>5.1915402434796754</v>
      </c>
    </row>
    <row r="1220" spans="2:11" ht="15" customHeight="1" x14ac:dyDescent="0.35">
      <c r="B1220" s="5">
        <v>1199</v>
      </c>
      <c r="C1220" s="39">
        <f t="shared" ca="1" si="162"/>
        <v>3.5658062460619511</v>
      </c>
      <c r="D1220" s="40">
        <f t="shared" ca="1" si="163"/>
        <v>9939678264.2716389</v>
      </c>
      <c r="E1220" s="40">
        <f t="shared" ca="1" si="164"/>
        <v>290594607419417</v>
      </c>
      <c r="F1220" s="40">
        <f t="shared" ca="1" si="165"/>
        <v>3783619902159.647</v>
      </c>
      <c r="G1220" s="40">
        <f t="shared" ca="1" si="166"/>
        <v>4226045095253.3799</v>
      </c>
      <c r="H1220" s="40">
        <f t="shared" ca="1" si="167"/>
        <v>4226045095253.3799</v>
      </c>
      <c r="I1220" s="40">
        <f t="shared" ca="1" si="168"/>
        <v>1359537966786.1157</v>
      </c>
      <c r="J1220" s="40">
        <f t="shared" ca="1" si="169"/>
        <v>602322974638.22754</v>
      </c>
      <c r="K1220" s="41">
        <f t="shared" ca="1" si="170"/>
        <v>2.2571577443193052</v>
      </c>
    </row>
    <row r="1221" spans="2:11" ht="15" customHeight="1" x14ac:dyDescent="0.35">
      <c r="B1221" s="5">
        <v>1200</v>
      </c>
      <c r="C1221" s="39">
        <f t="shared" ca="1" si="162"/>
        <v>3.1325412842968734</v>
      </c>
      <c r="D1221" s="40">
        <f t="shared" ca="1" si="163"/>
        <v>5507364524.3586264</v>
      </c>
      <c r="E1221" s="40">
        <f t="shared" ca="1" si="164"/>
        <v>85459408013916.734</v>
      </c>
      <c r="F1221" s="40">
        <f t="shared" ca="1" si="165"/>
        <v>710163845695.47351</v>
      </c>
      <c r="G1221" s="40">
        <f t="shared" ca="1" si="166"/>
        <v>965126604702.1051</v>
      </c>
      <c r="H1221" s="40">
        <f t="shared" ca="1" si="167"/>
        <v>710163845695.47351</v>
      </c>
      <c r="I1221" s="40">
        <f t="shared" ca="1" si="168"/>
        <v>3444398170333.7788</v>
      </c>
      <c r="J1221" s="40">
        <f t="shared" ca="1" si="169"/>
        <v>1751842754979.6216</v>
      </c>
      <c r="K1221" s="41">
        <f t="shared" ca="1" si="170"/>
        <v>1.9661571568241842</v>
      </c>
    </row>
    <row r="1222" spans="2:11" ht="15" customHeight="1" x14ac:dyDescent="0.35">
      <c r="B1222" s="5">
        <v>1201</v>
      </c>
      <c r="C1222" s="39">
        <f t="shared" ca="1" si="162"/>
        <v>3.3392127693342291</v>
      </c>
      <c r="D1222" s="40">
        <f t="shared" ca="1" si="163"/>
        <v>7418421066.3530731</v>
      </c>
      <c r="E1222" s="40">
        <f t="shared" ca="1" si="164"/>
        <v>6128953338746.1133</v>
      </c>
      <c r="F1222" s="40">
        <f t="shared" ca="1" si="165"/>
        <v>2211006291639.7388</v>
      </c>
      <c r="G1222" s="40">
        <f t="shared" ca="1" si="166"/>
        <v>14760725474164.518</v>
      </c>
      <c r="H1222" s="40">
        <f t="shared" ca="1" si="167"/>
        <v>14760725474164.518</v>
      </c>
      <c r="I1222" s="40">
        <f t="shared" ca="1" si="168"/>
        <v>4280384218397.3018</v>
      </c>
      <c r="J1222" s="40">
        <f t="shared" ca="1" si="169"/>
        <v>1775130852162.5796</v>
      </c>
      <c r="K1222" s="41">
        <f t="shared" ca="1" si="170"/>
        <v>2.4113063063394229</v>
      </c>
    </row>
    <row r="1223" spans="2:11" ht="15" customHeight="1" x14ac:dyDescent="0.35">
      <c r="B1223" s="5">
        <v>1202</v>
      </c>
      <c r="C1223" s="39">
        <f t="shared" ca="1" si="162"/>
        <v>3.0813485292952385</v>
      </c>
      <c r="D1223" s="40">
        <f t="shared" ca="1" si="163"/>
        <v>5007608719.3577757</v>
      </c>
      <c r="E1223" s="40">
        <f t="shared" ca="1" si="164"/>
        <v>13104306662952.701</v>
      </c>
      <c r="F1223" s="40">
        <f t="shared" ca="1" si="165"/>
        <v>9443112855513.1758</v>
      </c>
      <c r="G1223" s="40">
        <f t="shared" ca="1" si="166"/>
        <v>7025953544993.8848</v>
      </c>
      <c r="H1223" s="40">
        <f t="shared" ca="1" si="167"/>
        <v>9443112855513.1758</v>
      </c>
      <c r="I1223" s="40">
        <f t="shared" ca="1" si="168"/>
        <v>61196518825191.563</v>
      </c>
      <c r="J1223" s="40">
        <f t="shared" ca="1" si="169"/>
        <v>1615909018739.3679</v>
      </c>
      <c r="K1223" s="41">
        <f t="shared" ca="1" si="170"/>
        <v>37.871265099401015</v>
      </c>
    </row>
    <row r="1224" spans="2:11" ht="15" customHeight="1" x14ac:dyDescent="0.35">
      <c r="B1224" s="5">
        <v>1203</v>
      </c>
      <c r="C1224" s="39">
        <f t="shared" ca="1" si="162"/>
        <v>3.2475915501591532</v>
      </c>
      <c r="D1224" s="40">
        <f t="shared" ca="1" si="163"/>
        <v>6340162319.3457766</v>
      </c>
      <c r="E1224" s="40">
        <f t="shared" ca="1" si="164"/>
        <v>19920314016997.508</v>
      </c>
      <c r="F1224" s="40">
        <f t="shared" ca="1" si="165"/>
        <v>30196582945880.844</v>
      </c>
      <c r="G1224" s="40">
        <f t="shared" ca="1" si="166"/>
        <v>1118733086911.6921</v>
      </c>
      <c r="H1224" s="40">
        <f t="shared" ca="1" si="167"/>
        <v>1118733086911.6921</v>
      </c>
      <c r="I1224" s="40">
        <f t="shared" ca="1" si="168"/>
        <v>77911649096813.594</v>
      </c>
      <c r="J1224" s="40">
        <f t="shared" ca="1" si="169"/>
        <v>1638329425276.5784</v>
      </c>
      <c r="K1224" s="41">
        <f t="shared" ca="1" si="170"/>
        <v>47.555545236978674</v>
      </c>
    </row>
    <row r="1225" spans="2:11" ht="15" customHeight="1" x14ac:dyDescent="0.35">
      <c r="B1225" s="5">
        <v>1204</v>
      </c>
      <c r="C1225" s="39">
        <f t="shared" ca="1" si="162"/>
        <v>3.7645069662917572</v>
      </c>
      <c r="D1225" s="40">
        <f t="shared" ca="1" si="163"/>
        <v>12826025261.471928</v>
      </c>
      <c r="E1225" s="40">
        <f t="shared" ca="1" si="164"/>
        <v>25750964746492.52</v>
      </c>
      <c r="F1225" s="40">
        <f t="shared" ca="1" si="165"/>
        <v>1855710385209.3354</v>
      </c>
      <c r="G1225" s="40">
        <f t="shared" ca="1" si="166"/>
        <v>5047832082476.5146</v>
      </c>
      <c r="H1225" s="40">
        <f t="shared" ca="1" si="167"/>
        <v>5047832082476.5146</v>
      </c>
      <c r="I1225" s="40">
        <f t="shared" ca="1" si="168"/>
        <v>2763457053258.0215</v>
      </c>
      <c r="J1225" s="40">
        <f t="shared" ca="1" si="169"/>
        <v>1427893532081.1455</v>
      </c>
      <c r="K1225" s="41">
        <f t="shared" ca="1" si="170"/>
        <v>1.9353383086134586</v>
      </c>
    </row>
    <row r="1226" spans="2:11" ht="15" customHeight="1" x14ac:dyDescent="0.35">
      <c r="B1226" s="5">
        <v>1205</v>
      </c>
      <c r="C1226" s="39">
        <f t="shared" ca="1" si="162"/>
        <v>2.6768106575962785</v>
      </c>
      <c r="D1226" s="40">
        <f t="shared" ca="1" si="163"/>
        <v>2387430063.2244892</v>
      </c>
      <c r="E1226" s="40">
        <f t="shared" ca="1" si="164"/>
        <v>2145918040284.6206</v>
      </c>
      <c r="F1226" s="40">
        <f t="shared" ca="1" si="165"/>
        <v>3668045228825.2554</v>
      </c>
      <c r="G1226" s="40">
        <f t="shared" ca="1" si="166"/>
        <v>6779449040567.916</v>
      </c>
      <c r="H1226" s="40">
        <f t="shared" ca="1" si="167"/>
        <v>6779449040567.916</v>
      </c>
      <c r="I1226" s="40">
        <f t="shared" ca="1" si="168"/>
        <v>4048777984120.8853</v>
      </c>
      <c r="J1226" s="40">
        <f t="shared" ca="1" si="169"/>
        <v>564965075288.4104</v>
      </c>
      <c r="K1226" s="41">
        <f t="shared" ca="1" si="170"/>
        <v>7.1664217156326249</v>
      </c>
    </row>
    <row r="1227" spans="2:11" ht="15" customHeight="1" x14ac:dyDescent="0.35">
      <c r="B1227" s="5">
        <v>1206</v>
      </c>
      <c r="C1227" s="39">
        <f t="shared" ca="1" si="162"/>
        <v>2.3885958940152596</v>
      </c>
      <c r="D1227" s="40">
        <f t="shared" ca="1" si="163"/>
        <v>1436966037.7628033</v>
      </c>
      <c r="E1227" s="40">
        <f t="shared" ca="1" si="164"/>
        <v>749813431785.2666</v>
      </c>
      <c r="F1227" s="40">
        <f t="shared" ca="1" si="165"/>
        <v>701354330572.13489</v>
      </c>
      <c r="G1227" s="40">
        <f t="shared" ca="1" si="166"/>
        <v>13342209692600.566</v>
      </c>
      <c r="H1227" s="40">
        <f t="shared" ca="1" si="167"/>
        <v>749813431785.2666</v>
      </c>
      <c r="I1227" s="40">
        <f t="shared" ca="1" si="168"/>
        <v>45077292733084.047</v>
      </c>
      <c r="J1227" s="40">
        <f t="shared" ca="1" si="169"/>
        <v>615402262695.25854</v>
      </c>
      <c r="K1227" s="41">
        <f t="shared" ca="1" si="170"/>
        <v>73.248500152827518</v>
      </c>
    </row>
    <row r="1228" spans="2:11" ht="15" customHeight="1" x14ac:dyDescent="0.35">
      <c r="B1228" s="5">
        <v>1207</v>
      </c>
      <c r="C1228" s="39">
        <f t="shared" ca="1" si="162"/>
        <v>3.1381128014478237</v>
      </c>
      <c r="D1228" s="40">
        <f t="shared" ca="1" si="163"/>
        <v>6178993332.6928768</v>
      </c>
      <c r="E1228" s="40">
        <f t="shared" ca="1" si="164"/>
        <v>16839671634663.547</v>
      </c>
      <c r="F1228" s="40">
        <f t="shared" ca="1" si="165"/>
        <v>824682282232.7594</v>
      </c>
      <c r="G1228" s="40">
        <f t="shared" ca="1" si="166"/>
        <v>56177172268535.773</v>
      </c>
      <c r="H1228" s="40">
        <f t="shared" ca="1" si="167"/>
        <v>56177172268535.773</v>
      </c>
      <c r="I1228" s="40">
        <f t="shared" ca="1" si="168"/>
        <v>82538767800234.484</v>
      </c>
      <c r="J1228" s="40">
        <f t="shared" ca="1" si="169"/>
        <v>1252340255078.3735</v>
      </c>
      <c r="K1228" s="41">
        <f t="shared" ca="1" si="170"/>
        <v>65.907621723034907</v>
      </c>
    </row>
    <row r="1229" spans="2:11" ht="15" customHeight="1" x14ac:dyDescent="0.35">
      <c r="B1229" s="5">
        <v>1208</v>
      </c>
      <c r="C1229" s="39">
        <f t="shared" ca="1" si="162"/>
        <v>2.7734170471600024</v>
      </c>
      <c r="D1229" s="40">
        <f t="shared" ca="1" si="163"/>
        <v>2883918470.9278102</v>
      </c>
      <c r="E1229" s="40">
        <f t="shared" ca="1" si="164"/>
        <v>11491775526377.771</v>
      </c>
      <c r="F1229" s="40">
        <f t="shared" ca="1" si="165"/>
        <v>5454319911050.0488</v>
      </c>
      <c r="G1229" s="40">
        <f t="shared" ca="1" si="166"/>
        <v>4925281580850.4521</v>
      </c>
      <c r="H1229" s="40">
        <f t="shared" ca="1" si="167"/>
        <v>4925281580850.4521</v>
      </c>
      <c r="I1229" s="40">
        <f t="shared" ca="1" si="168"/>
        <v>26250085257756.441</v>
      </c>
      <c r="J1229" s="40">
        <f t="shared" ca="1" si="169"/>
        <v>809742526787.46179</v>
      </c>
      <c r="K1229" s="41">
        <f t="shared" ca="1" si="170"/>
        <v>32.417817255936797</v>
      </c>
    </row>
    <row r="1230" spans="2:11" ht="15" customHeight="1" x14ac:dyDescent="0.35">
      <c r="B1230" s="5">
        <v>1209</v>
      </c>
      <c r="C1230" s="39">
        <f t="shared" ca="1" si="162"/>
        <v>2.6993935348542344</v>
      </c>
      <c r="D1230" s="40">
        <f t="shared" ca="1" si="163"/>
        <v>2502926701.0202317</v>
      </c>
      <c r="E1230" s="40">
        <f t="shared" ca="1" si="164"/>
        <v>18804080902358.578</v>
      </c>
      <c r="F1230" s="40">
        <f t="shared" ca="1" si="165"/>
        <v>964981181683.88794</v>
      </c>
      <c r="G1230" s="40">
        <f t="shared" ca="1" si="166"/>
        <v>883181137248.49084</v>
      </c>
      <c r="H1230" s="40">
        <f t="shared" ca="1" si="167"/>
        <v>18804080902358.578</v>
      </c>
      <c r="I1230" s="40">
        <f t="shared" ca="1" si="168"/>
        <v>2005715135551.3389</v>
      </c>
      <c r="J1230" s="40">
        <f t="shared" ca="1" si="169"/>
        <v>1207539489132.259</v>
      </c>
      <c r="K1230" s="41">
        <f t="shared" ca="1" si="170"/>
        <v>1.6609934114806058</v>
      </c>
    </row>
    <row r="1231" spans="2:11" ht="15" customHeight="1" x14ac:dyDescent="0.35">
      <c r="B1231" s="5">
        <v>1210</v>
      </c>
      <c r="C1231" s="39">
        <f t="shared" ca="1" si="162"/>
        <v>2.5958604757725796</v>
      </c>
      <c r="D1231" s="40">
        <f t="shared" ca="1" si="163"/>
        <v>2421452032.9507813</v>
      </c>
      <c r="E1231" s="40">
        <f t="shared" ca="1" si="164"/>
        <v>4736894230801.6777</v>
      </c>
      <c r="F1231" s="40">
        <f t="shared" ca="1" si="165"/>
        <v>2638731399401.895</v>
      </c>
      <c r="G1231" s="40">
        <f t="shared" ca="1" si="166"/>
        <v>17654193157717.258</v>
      </c>
      <c r="H1231" s="40">
        <f t="shared" ca="1" si="167"/>
        <v>2638731399401.895</v>
      </c>
      <c r="I1231" s="40">
        <f t="shared" ca="1" si="168"/>
        <v>1488870081162.2122</v>
      </c>
      <c r="J1231" s="40">
        <f t="shared" ca="1" si="169"/>
        <v>1081387733717.2634</v>
      </c>
      <c r="K1231" s="41">
        <f t="shared" ca="1" si="170"/>
        <v>1.3768142866243089</v>
      </c>
    </row>
    <row r="1232" spans="2:11" ht="15" customHeight="1" x14ac:dyDescent="0.35">
      <c r="B1232" s="5">
        <v>1211</v>
      </c>
      <c r="C1232" s="39">
        <f t="shared" ca="1" si="162"/>
        <v>3.2106087182696945</v>
      </c>
      <c r="D1232" s="40">
        <f t="shared" ca="1" si="163"/>
        <v>5972798937.5343523</v>
      </c>
      <c r="E1232" s="40">
        <f t="shared" ca="1" si="164"/>
        <v>33545753384526.75</v>
      </c>
      <c r="F1232" s="40">
        <f t="shared" ca="1" si="165"/>
        <v>539260006033.24304</v>
      </c>
      <c r="G1232" s="40">
        <f t="shared" ca="1" si="166"/>
        <v>379652734061.31055</v>
      </c>
      <c r="H1232" s="40">
        <f t="shared" ca="1" si="167"/>
        <v>33545753384526.75</v>
      </c>
      <c r="I1232" s="40">
        <f t="shared" ca="1" si="168"/>
        <v>28608993596508.445</v>
      </c>
      <c r="J1232" s="40">
        <f t="shared" ca="1" si="169"/>
        <v>988063062865.25696</v>
      </c>
      <c r="K1232" s="41">
        <f t="shared" ca="1" si="170"/>
        <v>28.954623112360874</v>
      </c>
    </row>
    <row r="1233" spans="2:11" ht="15" customHeight="1" x14ac:dyDescent="0.35">
      <c r="B1233" s="5">
        <v>1212</v>
      </c>
      <c r="C1233" s="39">
        <f t="shared" ca="1" si="162"/>
        <v>3.8366008126690927</v>
      </c>
      <c r="D1233" s="40">
        <f t="shared" ca="1" si="163"/>
        <v>19375382777.643608</v>
      </c>
      <c r="E1233" s="40">
        <f t="shared" ca="1" si="164"/>
        <v>83517929367533.156</v>
      </c>
      <c r="F1233" s="40">
        <f t="shared" ca="1" si="165"/>
        <v>6466349998674.3281</v>
      </c>
      <c r="G1233" s="40">
        <f t="shared" ca="1" si="166"/>
        <v>1735404740064.0493</v>
      </c>
      <c r="H1233" s="40">
        <f t="shared" ca="1" si="167"/>
        <v>83517929367533.156</v>
      </c>
      <c r="I1233" s="40">
        <f t="shared" ca="1" si="168"/>
        <v>16106722008860.406</v>
      </c>
      <c r="J1233" s="40">
        <f t="shared" ca="1" si="169"/>
        <v>1334252501657.5667</v>
      </c>
      <c r="K1233" s="41">
        <f t="shared" ca="1" si="170"/>
        <v>12.071719549973283</v>
      </c>
    </row>
    <row r="1234" spans="2:11" ht="15" customHeight="1" x14ac:dyDescent="0.35">
      <c r="B1234" s="5">
        <v>1213</v>
      </c>
      <c r="C1234" s="39">
        <f t="shared" ca="1" si="162"/>
        <v>2.6293410568096238</v>
      </c>
      <c r="D1234" s="40">
        <f t="shared" ca="1" si="163"/>
        <v>2897993329.1952181</v>
      </c>
      <c r="E1234" s="40">
        <f t="shared" ca="1" si="164"/>
        <v>8385697484729.459</v>
      </c>
      <c r="F1234" s="40">
        <f t="shared" ca="1" si="165"/>
        <v>2460936734725.3574</v>
      </c>
      <c r="G1234" s="40">
        <f t="shared" ca="1" si="166"/>
        <v>10371436688520.482</v>
      </c>
      <c r="H1234" s="40">
        <f t="shared" ca="1" si="167"/>
        <v>2460936734725.3574</v>
      </c>
      <c r="I1234" s="40">
        <f t="shared" ca="1" si="168"/>
        <v>6734602153738.3633</v>
      </c>
      <c r="J1234" s="40">
        <f t="shared" ca="1" si="169"/>
        <v>1374346379139.5781</v>
      </c>
      <c r="K1234" s="41">
        <f t="shared" ca="1" si="170"/>
        <v>4.9002218479701032</v>
      </c>
    </row>
    <row r="1235" spans="2:11" ht="15" customHeight="1" x14ac:dyDescent="0.35">
      <c r="B1235" s="5">
        <v>1214</v>
      </c>
      <c r="C1235" s="39">
        <f t="shared" ca="1" si="162"/>
        <v>2.9404112030390079</v>
      </c>
      <c r="D1235" s="40">
        <f t="shared" ca="1" si="163"/>
        <v>4621059931.3844805</v>
      </c>
      <c r="E1235" s="40">
        <f t="shared" ca="1" si="164"/>
        <v>22440836015359.723</v>
      </c>
      <c r="F1235" s="40">
        <f t="shared" ca="1" si="165"/>
        <v>313330941559.46307</v>
      </c>
      <c r="G1235" s="40">
        <f t="shared" ca="1" si="166"/>
        <v>2476680834813.0552</v>
      </c>
      <c r="H1235" s="40">
        <f t="shared" ca="1" si="167"/>
        <v>313330941559.46307</v>
      </c>
      <c r="I1235" s="40">
        <f t="shared" ca="1" si="168"/>
        <v>4373194404523.7881</v>
      </c>
      <c r="J1235" s="40">
        <f t="shared" ca="1" si="169"/>
        <v>888273159383.19458</v>
      </c>
      <c r="K1235" s="41">
        <f t="shared" ca="1" si="170"/>
        <v>4.9232540219502727</v>
      </c>
    </row>
    <row r="1236" spans="2:11" ht="15" customHeight="1" x14ac:dyDescent="0.35">
      <c r="B1236" s="5">
        <v>1215</v>
      </c>
      <c r="C1236" s="39">
        <f t="shared" ca="1" si="162"/>
        <v>3.2112810779442515</v>
      </c>
      <c r="D1236" s="40">
        <f t="shared" ca="1" si="163"/>
        <v>7880360056.5679016</v>
      </c>
      <c r="E1236" s="40">
        <f t="shared" ca="1" si="164"/>
        <v>23373442334544.34</v>
      </c>
      <c r="F1236" s="40">
        <f t="shared" ca="1" si="165"/>
        <v>1116216538276.9316</v>
      </c>
      <c r="G1236" s="40">
        <f t="shared" ca="1" si="166"/>
        <v>15402079035821.441</v>
      </c>
      <c r="H1236" s="40">
        <f t="shared" ca="1" si="167"/>
        <v>1116216538276.9316</v>
      </c>
      <c r="I1236" s="40">
        <f t="shared" ca="1" si="168"/>
        <v>2203863052918.0195</v>
      </c>
      <c r="J1236" s="40">
        <f t="shared" ca="1" si="169"/>
        <v>1469809639767.6018</v>
      </c>
      <c r="K1236" s="41">
        <f t="shared" ca="1" si="170"/>
        <v>1.4994207367332835</v>
      </c>
    </row>
    <row r="1237" spans="2:11" ht="15" customHeight="1" x14ac:dyDescent="0.35">
      <c r="B1237" s="5">
        <v>1216</v>
      </c>
      <c r="C1237" s="39">
        <f t="shared" ca="1" si="162"/>
        <v>2.5439551043244562</v>
      </c>
      <c r="D1237" s="40">
        <f t="shared" ca="1" si="163"/>
        <v>2314048601.5428491</v>
      </c>
      <c r="E1237" s="40">
        <f t="shared" ca="1" si="164"/>
        <v>3673630147763.1904</v>
      </c>
      <c r="F1237" s="40">
        <f t="shared" ca="1" si="165"/>
        <v>4656748530565.292</v>
      </c>
      <c r="G1237" s="40">
        <f t="shared" ca="1" si="166"/>
        <v>4129021508428.3345</v>
      </c>
      <c r="H1237" s="40">
        <f t="shared" ca="1" si="167"/>
        <v>3673630147763.1904</v>
      </c>
      <c r="I1237" s="40">
        <f t="shared" ca="1" si="168"/>
        <v>50892772512168.578</v>
      </c>
      <c r="J1237" s="40">
        <f t="shared" ca="1" si="169"/>
        <v>1283493894650.7</v>
      </c>
      <c r="K1237" s="41">
        <f t="shared" ca="1" si="170"/>
        <v>39.651744916183596</v>
      </c>
    </row>
    <row r="1238" spans="2:11" ht="15" customHeight="1" x14ac:dyDescent="0.35">
      <c r="B1238" s="5">
        <v>1217</v>
      </c>
      <c r="C1238" s="39">
        <f t="shared" ref="C1238:C1301" ca="1" si="171">MEDIAN(1.8,NORMINV(RAND(),$C$7,$D$7),4.5)</f>
        <v>2.7146147870675303</v>
      </c>
      <c r="D1238" s="40">
        <f t="shared" ref="D1238:D1301" ca="1" si="172">($C$8+RAND()*($D$8-$C$8))*C1238^5</f>
        <v>2551107646.5930753</v>
      </c>
      <c r="E1238" s="40">
        <f t="shared" ref="E1238:E1301" ca="1" si="173">D1238*($C$10+RAND()*($D$10-$C$10))*EXP(NORMINV(RAND(),$C$9,$D$9))*($C$11+RAND()*($D$11-$C$11))</f>
        <v>16326231021657.992</v>
      </c>
      <c r="F1238" s="40">
        <f t="shared" ref="F1238:F1301" ca="1" si="174">EXP(NORMINV(RAND(),$C$12,$D$12))*EXP(NORMINV(RAND(),$C$13,$D$13))</f>
        <v>3681907881720.3359</v>
      </c>
      <c r="G1238" s="40">
        <f t="shared" ref="G1238:G1301" ca="1" si="175">EXP(NORMINV(RAND(),$C$14,$D$14))*($C$15+RAND()*($D$15-$C$15))*EXP(NORMINV(RAND(),$C$16,$D$16))/1000000*31536000</f>
        <v>1188163288154.5586</v>
      </c>
      <c r="H1238" s="40">
        <f t="shared" ref="H1238:H1301" ca="1" si="176">CHOOSE(RANDBETWEEN(1,3),E1238,F1238,G1238)</f>
        <v>3681907881720.3359</v>
      </c>
      <c r="I1238" s="40">
        <f t="shared" ref="I1238:I1301" ca="1" si="177">EXP(NORMINV(RAND(),$C$14,$D$14))*($C$15+RAND()*($D$15-$C$15))*60</f>
        <v>9804531725326.3203</v>
      </c>
      <c r="J1238" s="40">
        <f t="shared" ref="J1238:J1301" ca="1" si="178">($C$17+RAND()*($D$17-$C$17))*($C$18+RAND()*($D$18-$C$18))</f>
        <v>915981942035.42786</v>
      </c>
      <c r="K1238" s="41">
        <f t="shared" ref="K1238:K1301" ca="1" si="179">I1238/J1238</f>
        <v>10.703848269693406</v>
      </c>
    </row>
    <row r="1239" spans="2:11" ht="15" customHeight="1" x14ac:dyDescent="0.35">
      <c r="B1239" s="5">
        <v>1218</v>
      </c>
      <c r="C1239" s="39">
        <f t="shared" ca="1" si="171"/>
        <v>2.7226106461131629</v>
      </c>
      <c r="D1239" s="40">
        <f t="shared" ca="1" si="172"/>
        <v>3501889087.088563</v>
      </c>
      <c r="E1239" s="40">
        <f t="shared" ca="1" si="173"/>
        <v>7959983090715.9404</v>
      </c>
      <c r="F1239" s="40">
        <f t="shared" ca="1" si="174"/>
        <v>893957203852.48584</v>
      </c>
      <c r="G1239" s="40">
        <f t="shared" ca="1" si="175"/>
        <v>5905319649644.9473</v>
      </c>
      <c r="H1239" s="40">
        <f t="shared" ca="1" si="176"/>
        <v>893957203852.48584</v>
      </c>
      <c r="I1239" s="40">
        <f t="shared" ca="1" si="177"/>
        <v>19012313444370.383</v>
      </c>
      <c r="J1239" s="40">
        <f t="shared" ca="1" si="178"/>
        <v>544046727650.09833</v>
      </c>
      <c r="K1239" s="41">
        <f t="shared" ca="1" si="179"/>
        <v>34.946103851208314</v>
      </c>
    </row>
    <row r="1240" spans="2:11" ht="15" customHeight="1" x14ac:dyDescent="0.35">
      <c r="B1240" s="5">
        <v>1219</v>
      </c>
      <c r="C1240" s="39">
        <f t="shared" ca="1" si="171"/>
        <v>2.2475428125547996</v>
      </c>
      <c r="D1240" s="40">
        <f t="shared" ca="1" si="172"/>
        <v>1180750557.2691488</v>
      </c>
      <c r="E1240" s="40">
        <f t="shared" ca="1" si="173"/>
        <v>10472994393413.465</v>
      </c>
      <c r="F1240" s="40">
        <f t="shared" ca="1" si="174"/>
        <v>5310476580201.4932</v>
      </c>
      <c r="G1240" s="40">
        <f t="shared" ca="1" si="175"/>
        <v>7065045243963.5908</v>
      </c>
      <c r="H1240" s="40">
        <f t="shared" ca="1" si="176"/>
        <v>5310476580201.4932</v>
      </c>
      <c r="I1240" s="40">
        <f t="shared" ca="1" si="177"/>
        <v>36934371403076.484</v>
      </c>
      <c r="J1240" s="40">
        <f t="shared" ca="1" si="178"/>
        <v>757872709208.14514</v>
      </c>
      <c r="K1240" s="41">
        <f t="shared" ca="1" si="179"/>
        <v>48.734267581249824</v>
      </c>
    </row>
    <row r="1241" spans="2:11" ht="15" customHeight="1" x14ac:dyDescent="0.35">
      <c r="B1241" s="5">
        <v>1220</v>
      </c>
      <c r="C1241" s="39">
        <f t="shared" ca="1" si="171"/>
        <v>2.9837139546012588</v>
      </c>
      <c r="D1241" s="40">
        <f t="shared" ca="1" si="172"/>
        <v>5092277503.1434412</v>
      </c>
      <c r="E1241" s="40">
        <f t="shared" ca="1" si="173"/>
        <v>20188681186330.336</v>
      </c>
      <c r="F1241" s="40">
        <f t="shared" ca="1" si="174"/>
        <v>487777616809.97455</v>
      </c>
      <c r="G1241" s="40">
        <f t="shared" ca="1" si="175"/>
        <v>5277004685238.8291</v>
      </c>
      <c r="H1241" s="40">
        <f t="shared" ca="1" si="176"/>
        <v>5277004685238.8291</v>
      </c>
      <c r="I1241" s="40">
        <f t="shared" ca="1" si="177"/>
        <v>3534187702312.6577</v>
      </c>
      <c r="J1241" s="40">
        <f t="shared" ca="1" si="178"/>
        <v>991759830070.62378</v>
      </c>
      <c r="K1241" s="41">
        <f t="shared" ca="1" si="179"/>
        <v>3.5635519761482839</v>
      </c>
    </row>
    <row r="1242" spans="2:11" ht="15" customHeight="1" x14ac:dyDescent="0.35">
      <c r="B1242" s="5">
        <v>1221</v>
      </c>
      <c r="C1242" s="39">
        <f t="shared" ca="1" si="171"/>
        <v>3.5846446681240618</v>
      </c>
      <c r="D1242" s="40">
        <f t="shared" ca="1" si="172"/>
        <v>10157074762.556885</v>
      </c>
      <c r="E1242" s="40">
        <f t="shared" ca="1" si="173"/>
        <v>61932038271518.578</v>
      </c>
      <c r="F1242" s="40">
        <f t="shared" ca="1" si="174"/>
        <v>8677037835973.3193</v>
      </c>
      <c r="G1242" s="40">
        <f t="shared" ca="1" si="175"/>
        <v>3704394280906.1499</v>
      </c>
      <c r="H1242" s="40">
        <f t="shared" ca="1" si="176"/>
        <v>8677037835973.3193</v>
      </c>
      <c r="I1242" s="40">
        <f t="shared" ca="1" si="177"/>
        <v>1409855007325.6992</v>
      </c>
      <c r="J1242" s="40">
        <f t="shared" ca="1" si="178"/>
        <v>490397818522.28687</v>
      </c>
      <c r="K1242" s="41">
        <f t="shared" ca="1" si="179"/>
        <v>2.8749210418064415</v>
      </c>
    </row>
    <row r="1243" spans="2:11" ht="15" customHeight="1" x14ac:dyDescent="0.35">
      <c r="B1243" s="5">
        <v>1222</v>
      </c>
      <c r="C1243" s="39">
        <f t="shared" ca="1" si="171"/>
        <v>3.8898153902367723</v>
      </c>
      <c r="D1243" s="40">
        <f t="shared" ca="1" si="172"/>
        <v>14843326826.231359</v>
      </c>
      <c r="E1243" s="40">
        <f t="shared" ca="1" si="173"/>
        <v>39695443320369.688</v>
      </c>
      <c r="F1243" s="40">
        <f t="shared" ca="1" si="174"/>
        <v>5261983895829.1357</v>
      </c>
      <c r="G1243" s="40">
        <f t="shared" ca="1" si="175"/>
        <v>459768963697.55377</v>
      </c>
      <c r="H1243" s="40">
        <f t="shared" ca="1" si="176"/>
        <v>5261983895829.1357</v>
      </c>
      <c r="I1243" s="40">
        <f t="shared" ca="1" si="177"/>
        <v>560454986906.51282</v>
      </c>
      <c r="J1243" s="40">
        <f t="shared" ca="1" si="178"/>
        <v>841095232983.276</v>
      </c>
      <c r="K1243" s="41">
        <f t="shared" ca="1" si="179"/>
        <v>0.66633951177994211</v>
      </c>
    </row>
    <row r="1244" spans="2:11" ht="15" customHeight="1" x14ac:dyDescent="0.35">
      <c r="B1244" s="5">
        <v>1223</v>
      </c>
      <c r="C1244" s="39">
        <f t="shared" ca="1" si="171"/>
        <v>3.1106874202360304</v>
      </c>
      <c r="D1244" s="40">
        <f t="shared" ca="1" si="172"/>
        <v>4963362336.3125191</v>
      </c>
      <c r="E1244" s="40">
        <f t="shared" ca="1" si="173"/>
        <v>17955237178561.438</v>
      </c>
      <c r="F1244" s="40">
        <f t="shared" ca="1" si="174"/>
        <v>2501137255894.394</v>
      </c>
      <c r="G1244" s="40">
        <f t="shared" ca="1" si="175"/>
        <v>23027511126679.449</v>
      </c>
      <c r="H1244" s="40">
        <f t="shared" ca="1" si="176"/>
        <v>17955237178561.438</v>
      </c>
      <c r="I1244" s="40">
        <f t="shared" ca="1" si="177"/>
        <v>10387436885452.189</v>
      </c>
      <c r="J1244" s="40">
        <f t="shared" ca="1" si="178"/>
        <v>1125755963726.1929</v>
      </c>
      <c r="K1244" s="41">
        <f t="shared" ca="1" si="179"/>
        <v>9.2270769333260478</v>
      </c>
    </row>
    <row r="1245" spans="2:11" ht="15" customHeight="1" x14ac:dyDescent="0.35">
      <c r="B1245" s="5">
        <v>1224</v>
      </c>
      <c r="C1245" s="39">
        <f t="shared" ca="1" si="171"/>
        <v>2.7954548207299545</v>
      </c>
      <c r="D1245" s="40">
        <f t="shared" ca="1" si="172"/>
        <v>2789668051.8082709</v>
      </c>
      <c r="E1245" s="40">
        <f t="shared" ca="1" si="173"/>
        <v>4791937127123.6104</v>
      </c>
      <c r="F1245" s="40">
        <f t="shared" ca="1" si="174"/>
        <v>12047240820721.482</v>
      </c>
      <c r="G1245" s="40">
        <f t="shared" ca="1" si="175"/>
        <v>7756731407705.7197</v>
      </c>
      <c r="H1245" s="40">
        <f t="shared" ca="1" si="176"/>
        <v>12047240820721.482</v>
      </c>
      <c r="I1245" s="40">
        <f t="shared" ca="1" si="177"/>
        <v>2589221245203.8115</v>
      </c>
      <c r="J1245" s="40">
        <f t="shared" ca="1" si="178"/>
        <v>778081387543.08167</v>
      </c>
      <c r="K1245" s="41">
        <f t="shared" ca="1" si="179"/>
        <v>3.3276997582215637</v>
      </c>
    </row>
    <row r="1246" spans="2:11" ht="15" customHeight="1" x14ac:dyDescent="0.35">
      <c r="B1246" s="5">
        <v>1225</v>
      </c>
      <c r="C1246" s="39">
        <f t="shared" ca="1" si="171"/>
        <v>3.5462314723177135</v>
      </c>
      <c r="D1246" s="40">
        <f t="shared" ca="1" si="172"/>
        <v>9374435601.617815</v>
      </c>
      <c r="E1246" s="40">
        <f t="shared" ca="1" si="173"/>
        <v>136213225319739.2</v>
      </c>
      <c r="F1246" s="40">
        <f t="shared" ca="1" si="174"/>
        <v>1670788575260.9521</v>
      </c>
      <c r="G1246" s="40">
        <f t="shared" ca="1" si="175"/>
        <v>1006659998688.5793</v>
      </c>
      <c r="H1246" s="40">
        <f t="shared" ca="1" si="176"/>
        <v>136213225319739.2</v>
      </c>
      <c r="I1246" s="40">
        <f t="shared" ca="1" si="177"/>
        <v>25020292394675.57</v>
      </c>
      <c r="J1246" s="40">
        <f t="shared" ca="1" si="178"/>
        <v>1171585309829.9089</v>
      </c>
      <c r="K1246" s="41">
        <f t="shared" ca="1" si="179"/>
        <v>21.35592874436777</v>
      </c>
    </row>
    <row r="1247" spans="2:11" ht="15" customHeight="1" x14ac:dyDescent="0.35">
      <c r="B1247" s="5">
        <v>1226</v>
      </c>
      <c r="C1247" s="39">
        <f t="shared" ca="1" si="171"/>
        <v>3.0024328357540555</v>
      </c>
      <c r="D1247" s="40">
        <f t="shared" ca="1" si="172"/>
        <v>4792951812.491787</v>
      </c>
      <c r="E1247" s="40">
        <f t="shared" ca="1" si="173"/>
        <v>178355475121618.03</v>
      </c>
      <c r="F1247" s="40">
        <f t="shared" ca="1" si="174"/>
        <v>529967308465.0116</v>
      </c>
      <c r="G1247" s="40">
        <f t="shared" ca="1" si="175"/>
        <v>2077487817817.9958</v>
      </c>
      <c r="H1247" s="40">
        <f t="shared" ca="1" si="176"/>
        <v>2077487817817.9958</v>
      </c>
      <c r="I1247" s="40">
        <f t="shared" ca="1" si="177"/>
        <v>2440344190045.1685</v>
      </c>
      <c r="J1247" s="40">
        <f t="shared" ca="1" si="178"/>
        <v>1239277252116.5532</v>
      </c>
      <c r="K1247" s="41">
        <f t="shared" ca="1" si="179"/>
        <v>1.9691672592854594</v>
      </c>
    </row>
    <row r="1248" spans="2:11" ht="15" customHeight="1" x14ac:dyDescent="0.35">
      <c r="B1248" s="5">
        <v>1227</v>
      </c>
      <c r="C1248" s="39">
        <f t="shared" ca="1" si="171"/>
        <v>2.4624079071967544</v>
      </c>
      <c r="D1248" s="40">
        <f t="shared" ca="1" si="172"/>
        <v>1516531179.8409238</v>
      </c>
      <c r="E1248" s="40">
        <f t="shared" ca="1" si="173"/>
        <v>4408561845375.793</v>
      </c>
      <c r="F1248" s="40">
        <f t="shared" ca="1" si="174"/>
        <v>1190029674055.0925</v>
      </c>
      <c r="G1248" s="40">
        <f t="shared" ca="1" si="175"/>
        <v>6785267050675.3027</v>
      </c>
      <c r="H1248" s="40">
        <f t="shared" ca="1" si="176"/>
        <v>4408561845375.793</v>
      </c>
      <c r="I1248" s="40">
        <f t="shared" ca="1" si="177"/>
        <v>2819363202009.2378</v>
      </c>
      <c r="J1248" s="40">
        <f t="shared" ca="1" si="178"/>
        <v>560603569703.38831</v>
      </c>
      <c r="K1248" s="41">
        <f t="shared" ca="1" si="179"/>
        <v>5.0291567060497746</v>
      </c>
    </row>
    <row r="1249" spans="2:11" ht="15" customHeight="1" x14ac:dyDescent="0.35">
      <c r="B1249" s="5">
        <v>1228</v>
      </c>
      <c r="C1249" s="39">
        <f t="shared" ca="1" si="171"/>
        <v>3.5594653435771435</v>
      </c>
      <c r="D1249" s="40">
        <f t="shared" ca="1" si="172"/>
        <v>9987245597.569521</v>
      </c>
      <c r="E1249" s="40">
        <f t="shared" ca="1" si="173"/>
        <v>31312321049189.797</v>
      </c>
      <c r="F1249" s="40">
        <f t="shared" ca="1" si="174"/>
        <v>2758161021125.4702</v>
      </c>
      <c r="G1249" s="40">
        <f t="shared" ca="1" si="175"/>
        <v>2028516518897.3975</v>
      </c>
      <c r="H1249" s="40">
        <f t="shared" ca="1" si="176"/>
        <v>2028516518897.3975</v>
      </c>
      <c r="I1249" s="40">
        <f t="shared" ca="1" si="177"/>
        <v>44294042653417.234</v>
      </c>
      <c r="J1249" s="40">
        <f t="shared" ca="1" si="178"/>
        <v>1087922391906.7107</v>
      </c>
      <c r="K1249" s="41">
        <f t="shared" ca="1" si="179"/>
        <v>40.714340455652142</v>
      </c>
    </row>
    <row r="1250" spans="2:11" ht="15" customHeight="1" x14ac:dyDescent="0.35">
      <c r="B1250" s="5">
        <v>1229</v>
      </c>
      <c r="C1250" s="39">
        <f t="shared" ca="1" si="171"/>
        <v>3.0942404611718417</v>
      </c>
      <c r="D1250" s="40">
        <f t="shared" ca="1" si="172"/>
        <v>6045894254.926753</v>
      </c>
      <c r="E1250" s="40">
        <f t="shared" ca="1" si="173"/>
        <v>18986683643757.66</v>
      </c>
      <c r="F1250" s="40">
        <f t="shared" ca="1" si="174"/>
        <v>3999203598215.9204</v>
      </c>
      <c r="G1250" s="40">
        <f t="shared" ca="1" si="175"/>
        <v>5197638215772.1758</v>
      </c>
      <c r="H1250" s="40">
        <f t="shared" ca="1" si="176"/>
        <v>3999203598215.9204</v>
      </c>
      <c r="I1250" s="40">
        <f t="shared" ca="1" si="177"/>
        <v>8011907423031.0703</v>
      </c>
      <c r="J1250" s="40">
        <f t="shared" ca="1" si="178"/>
        <v>565926755142.24768</v>
      </c>
      <c r="K1250" s="41">
        <f t="shared" ca="1" si="179"/>
        <v>14.157145514382421</v>
      </c>
    </row>
    <row r="1251" spans="2:11" ht="15" customHeight="1" x14ac:dyDescent="0.35">
      <c r="B1251" s="5">
        <v>1230</v>
      </c>
      <c r="C1251" s="39">
        <f t="shared" ca="1" si="171"/>
        <v>3.7943507343045786</v>
      </c>
      <c r="D1251" s="40">
        <f t="shared" ca="1" si="172"/>
        <v>14701517503.893084</v>
      </c>
      <c r="E1251" s="40">
        <f t="shared" ca="1" si="173"/>
        <v>19603331184860.832</v>
      </c>
      <c r="F1251" s="40">
        <f t="shared" ca="1" si="174"/>
        <v>2732154643357.2109</v>
      </c>
      <c r="G1251" s="40">
        <f t="shared" ca="1" si="175"/>
        <v>51420896267689.609</v>
      </c>
      <c r="H1251" s="40">
        <f t="shared" ca="1" si="176"/>
        <v>2732154643357.2109</v>
      </c>
      <c r="I1251" s="40">
        <f t="shared" ca="1" si="177"/>
        <v>22280196733459.836</v>
      </c>
      <c r="J1251" s="40">
        <f t="shared" ca="1" si="178"/>
        <v>1039748787540.5951</v>
      </c>
      <c r="K1251" s="41">
        <f t="shared" ca="1" si="179"/>
        <v>21.428442139529732</v>
      </c>
    </row>
    <row r="1252" spans="2:11" ht="15" customHeight="1" x14ac:dyDescent="0.35">
      <c r="B1252" s="5">
        <v>1231</v>
      </c>
      <c r="C1252" s="39">
        <f t="shared" ca="1" si="171"/>
        <v>2.5624258354080305</v>
      </c>
      <c r="D1252" s="40">
        <f t="shared" ca="1" si="172"/>
        <v>1777525297.1268504</v>
      </c>
      <c r="E1252" s="40">
        <f t="shared" ca="1" si="173"/>
        <v>6982383865180.7588</v>
      </c>
      <c r="F1252" s="40">
        <f t="shared" ca="1" si="174"/>
        <v>1524642277222.8999</v>
      </c>
      <c r="G1252" s="40">
        <f t="shared" ca="1" si="175"/>
        <v>6994810969536.4297</v>
      </c>
      <c r="H1252" s="40">
        <f t="shared" ca="1" si="176"/>
        <v>6982383865180.7588</v>
      </c>
      <c r="I1252" s="40">
        <f t="shared" ca="1" si="177"/>
        <v>54411531971125.234</v>
      </c>
      <c r="J1252" s="40">
        <f t="shared" ca="1" si="178"/>
        <v>654861891777.10938</v>
      </c>
      <c r="K1252" s="41">
        <f t="shared" ca="1" si="179"/>
        <v>83.088560587130473</v>
      </c>
    </row>
    <row r="1253" spans="2:11" ht="15" customHeight="1" x14ac:dyDescent="0.35">
      <c r="B1253" s="5">
        <v>1232</v>
      </c>
      <c r="C1253" s="39">
        <f t="shared" ca="1" si="171"/>
        <v>2.637143976946728</v>
      </c>
      <c r="D1253" s="40">
        <f t="shared" ca="1" si="172"/>
        <v>2208020997.5230126</v>
      </c>
      <c r="E1253" s="40">
        <f t="shared" ca="1" si="173"/>
        <v>2807592065640.6729</v>
      </c>
      <c r="F1253" s="40">
        <f t="shared" ca="1" si="174"/>
        <v>5473718422954.2773</v>
      </c>
      <c r="G1253" s="40">
        <f t="shared" ca="1" si="175"/>
        <v>196451787117093.16</v>
      </c>
      <c r="H1253" s="40">
        <f t="shared" ca="1" si="176"/>
        <v>2807592065640.6729</v>
      </c>
      <c r="I1253" s="40">
        <f t="shared" ca="1" si="177"/>
        <v>1324341675186.428</v>
      </c>
      <c r="J1253" s="40">
        <f t="shared" ca="1" si="178"/>
        <v>1109887064089.0027</v>
      </c>
      <c r="K1253" s="41">
        <f t="shared" ca="1" si="179"/>
        <v>1.193222011532723</v>
      </c>
    </row>
    <row r="1254" spans="2:11" ht="15" customHeight="1" x14ac:dyDescent="0.35">
      <c r="B1254" s="5">
        <v>1233</v>
      </c>
      <c r="C1254" s="39">
        <f t="shared" ca="1" si="171"/>
        <v>3.116459604862674</v>
      </c>
      <c r="D1254" s="40">
        <f t="shared" ca="1" si="172"/>
        <v>7031933254.0182762</v>
      </c>
      <c r="E1254" s="40">
        <f t="shared" ca="1" si="173"/>
        <v>41810622324460.422</v>
      </c>
      <c r="F1254" s="40">
        <f t="shared" ca="1" si="174"/>
        <v>855917952171.64563</v>
      </c>
      <c r="G1254" s="40">
        <f t="shared" ca="1" si="175"/>
        <v>58810149528182.055</v>
      </c>
      <c r="H1254" s="40">
        <f t="shared" ca="1" si="176"/>
        <v>58810149528182.055</v>
      </c>
      <c r="I1254" s="40">
        <f t="shared" ca="1" si="177"/>
        <v>34007253688506.715</v>
      </c>
      <c r="J1254" s="40">
        <f t="shared" ca="1" si="178"/>
        <v>1315578604608.9246</v>
      </c>
      <c r="K1254" s="41">
        <f t="shared" ca="1" si="179"/>
        <v>25.849655481905529</v>
      </c>
    </row>
    <row r="1255" spans="2:11" ht="15" customHeight="1" x14ac:dyDescent="0.35">
      <c r="B1255" s="5">
        <v>1234</v>
      </c>
      <c r="C1255" s="39">
        <f t="shared" ca="1" si="171"/>
        <v>2.857161036310369</v>
      </c>
      <c r="D1255" s="40">
        <f t="shared" ca="1" si="172"/>
        <v>3628261125.0620627</v>
      </c>
      <c r="E1255" s="40">
        <f t="shared" ca="1" si="173"/>
        <v>7837049448130.7734</v>
      </c>
      <c r="F1255" s="40">
        <f t="shared" ca="1" si="174"/>
        <v>3836716743130.6777</v>
      </c>
      <c r="G1255" s="40">
        <f t="shared" ca="1" si="175"/>
        <v>3002023456568.9863</v>
      </c>
      <c r="H1255" s="40">
        <f t="shared" ca="1" si="176"/>
        <v>3836716743130.6777</v>
      </c>
      <c r="I1255" s="40">
        <f t="shared" ca="1" si="177"/>
        <v>16636586076827.545</v>
      </c>
      <c r="J1255" s="40">
        <f t="shared" ca="1" si="178"/>
        <v>620969103341.88599</v>
      </c>
      <c r="K1255" s="41">
        <f t="shared" ca="1" si="179"/>
        <v>26.791326633312327</v>
      </c>
    </row>
    <row r="1256" spans="2:11" ht="15" customHeight="1" x14ac:dyDescent="0.35">
      <c r="B1256" s="5">
        <v>1235</v>
      </c>
      <c r="C1256" s="39">
        <f t="shared" ca="1" si="171"/>
        <v>3.5720689324710975</v>
      </c>
      <c r="D1256" s="40">
        <f t="shared" ca="1" si="172"/>
        <v>11283029417.159626</v>
      </c>
      <c r="E1256" s="40">
        <f t="shared" ca="1" si="173"/>
        <v>15763045859271.66</v>
      </c>
      <c r="F1256" s="40">
        <f t="shared" ca="1" si="174"/>
        <v>2384136925975.3755</v>
      </c>
      <c r="G1256" s="40">
        <f t="shared" ca="1" si="175"/>
        <v>2334923109106.9292</v>
      </c>
      <c r="H1256" s="40">
        <f t="shared" ca="1" si="176"/>
        <v>2334923109106.9292</v>
      </c>
      <c r="I1256" s="40">
        <f t="shared" ca="1" si="177"/>
        <v>2103937609368.9749</v>
      </c>
      <c r="J1256" s="40">
        <f t="shared" ca="1" si="178"/>
        <v>600080093202.65759</v>
      </c>
      <c r="K1256" s="41">
        <f t="shared" ca="1" si="179"/>
        <v>3.5060946583649431</v>
      </c>
    </row>
    <row r="1257" spans="2:11" ht="15" customHeight="1" x14ac:dyDescent="0.35">
      <c r="B1257" s="5">
        <v>1236</v>
      </c>
      <c r="C1257" s="39">
        <f t="shared" ca="1" si="171"/>
        <v>2.4889162264895091</v>
      </c>
      <c r="D1257" s="40">
        <f t="shared" ca="1" si="172"/>
        <v>1689642141.4742086</v>
      </c>
      <c r="E1257" s="40">
        <f t="shared" ca="1" si="173"/>
        <v>5497835008400.0352</v>
      </c>
      <c r="F1257" s="40">
        <f t="shared" ca="1" si="174"/>
        <v>8142282071263.7471</v>
      </c>
      <c r="G1257" s="40">
        <f t="shared" ca="1" si="175"/>
        <v>2998693402290.0313</v>
      </c>
      <c r="H1257" s="40">
        <f t="shared" ca="1" si="176"/>
        <v>2998693402290.0313</v>
      </c>
      <c r="I1257" s="40">
        <f t="shared" ca="1" si="177"/>
        <v>4254244525417.1221</v>
      </c>
      <c r="J1257" s="40">
        <f t="shared" ca="1" si="178"/>
        <v>1555157948068.2854</v>
      </c>
      <c r="K1257" s="41">
        <f t="shared" ca="1" si="179"/>
        <v>2.735570705664633</v>
      </c>
    </row>
    <row r="1258" spans="2:11" ht="15" customHeight="1" x14ac:dyDescent="0.35">
      <c r="B1258" s="5">
        <v>1237</v>
      </c>
      <c r="C1258" s="39">
        <f t="shared" ca="1" si="171"/>
        <v>3.213615240383616</v>
      </c>
      <c r="D1258" s="40">
        <f t="shared" ca="1" si="172"/>
        <v>6248596962.6457853</v>
      </c>
      <c r="E1258" s="40">
        <f t="shared" ca="1" si="173"/>
        <v>28734859838735.508</v>
      </c>
      <c r="F1258" s="40">
        <f t="shared" ca="1" si="174"/>
        <v>778340515024.55981</v>
      </c>
      <c r="G1258" s="40">
        <f t="shared" ca="1" si="175"/>
        <v>1353365507700.2549</v>
      </c>
      <c r="H1258" s="40">
        <f t="shared" ca="1" si="176"/>
        <v>778340515024.55981</v>
      </c>
      <c r="I1258" s="40">
        <f t="shared" ca="1" si="177"/>
        <v>15988013136693.221</v>
      </c>
      <c r="J1258" s="40">
        <f t="shared" ca="1" si="178"/>
        <v>1023940747113.7797</v>
      </c>
      <c r="K1258" s="41">
        <f t="shared" ca="1" si="179"/>
        <v>15.614197581021397</v>
      </c>
    </row>
    <row r="1259" spans="2:11" ht="15" customHeight="1" x14ac:dyDescent="0.35">
      <c r="B1259" s="5">
        <v>1238</v>
      </c>
      <c r="C1259" s="39">
        <f t="shared" ca="1" si="171"/>
        <v>3.0614435995568852</v>
      </c>
      <c r="D1259" s="40">
        <f t="shared" ca="1" si="172"/>
        <v>6254474816.6905155</v>
      </c>
      <c r="E1259" s="40">
        <f t="shared" ca="1" si="173"/>
        <v>74768235734814.078</v>
      </c>
      <c r="F1259" s="40">
        <f t="shared" ca="1" si="174"/>
        <v>5486470529131.9941</v>
      </c>
      <c r="G1259" s="40">
        <f t="shared" ca="1" si="175"/>
        <v>5549424318222.9346</v>
      </c>
      <c r="H1259" s="40">
        <f t="shared" ca="1" si="176"/>
        <v>74768235734814.078</v>
      </c>
      <c r="I1259" s="40">
        <f t="shared" ca="1" si="177"/>
        <v>5602342149071.6133</v>
      </c>
      <c r="J1259" s="40">
        <f t="shared" ca="1" si="178"/>
        <v>1462647864372.3286</v>
      </c>
      <c r="K1259" s="41">
        <f t="shared" ca="1" si="179"/>
        <v>3.8302740430799225</v>
      </c>
    </row>
    <row r="1260" spans="2:11" ht="15" customHeight="1" x14ac:dyDescent="0.35">
      <c r="B1260" s="5">
        <v>1239</v>
      </c>
      <c r="C1260" s="39">
        <f t="shared" ca="1" si="171"/>
        <v>2.3282210100493446</v>
      </c>
      <c r="D1260" s="40">
        <f t="shared" ca="1" si="172"/>
        <v>1449342609.2000222</v>
      </c>
      <c r="E1260" s="40">
        <f t="shared" ca="1" si="173"/>
        <v>8663942912645.4072</v>
      </c>
      <c r="F1260" s="40">
        <f t="shared" ca="1" si="174"/>
        <v>2434109836740.1504</v>
      </c>
      <c r="G1260" s="40">
        <f t="shared" ca="1" si="175"/>
        <v>10519945815653.414</v>
      </c>
      <c r="H1260" s="40">
        <f t="shared" ca="1" si="176"/>
        <v>8663942912645.4072</v>
      </c>
      <c r="I1260" s="40">
        <f t="shared" ca="1" si="177"/>
        <v>2262178302635.8916</v>
      </c>
      <c r="J1260" s="40">
        <f t="shared" ca="1" si="178"/>
        <v>989699208618.03552</v>
      </c>
      <c r="K1260" s="41">
        <f t="shared" ca="1" si="179"/>
        <v>2.2857230590238418</v>
      </c>
    </row>
    <row r="1261" spans="2:11" ht="15" customHeight="1" x14ac:dyDescent="0.35">
      <c r="B1261" s="5">
        <v>1240</v>
      </c>
      <c r="C1261" s="39">
        <f t="shared" ca="1" si="171"/>
        <v>2.3323343053971248</v>
      </c>
      <c r="D1261" s="40">
        <f t="shared" ca="1" si="172"/>
        <v>1481471354.3022728</v>
      </c>
      <c r="E1261" s="40">
        <f t="shared" ca="1" si="173"/>
        <v>1578216031105.5483</v>
      </c>
      <c r="F1261" s="40">
        <f t="shared" ca="1" si="174"/>
        <v>10678758338864.996</v>
      </c>
      <c r="G1261" s="40">
        <f t="shared" ca="1" si="175"/>
        <v>59630461810737.133</v>
      </c>
      <c r="H1261" s="40">
        <f t="shared" ca="1" si="176"/>
        <v>59630461810737.133</v>
      </c>
      <c r="I1261" s="40">
        <f t="shared" ca="1" si="177"/>
        <v>519692965392.32977</v>
      </c>
      <c r="J1261" s="40">
        <f t="shared" ca="1" si="178"/>
        <v>1278630424646.1462</v>
      </c>
      <c r="K1261" s="41">
        <f t="shared" ca="1" si="179"/>
        <v>0.40644501755552381</v>
      </c>
    </row>
    <row r="1262" spans="2:11" ht="15" customHeight="1" x14ac:dyDescent="0.35">
      <c r="B1262" s="5">
        <v>1241</v>
      </c>
      <c r="C1262" s="39">
        <f t="shared" ca="1" si="171"/>
        <v>3.0003860143038308</v>
      </c>
      <c r="D1262" s="40">
        <f t="shared" ca="1" si="172"/>
        <v>5442396660.7167244</v>
      </c>
      <c r="E1262" s="40">
        <f t="shared" ca="1" si="173"/>
        <v>7859794028341.2314</v>
      </c>
      <c r="F1262" s="40">
        <f t="shared" ca="1" si="174"/>
        <v>5042952518587.5195</v>
      </c>
      <c r="G1262" s="40">
        <f t="shared" ca="1" si="175"/>
        <v>3798017352922.8335</v>
      </c>
      <c r="H1262" s="40">
        <f t="shared" ca="1" si="176"/>
        <v>3798017352922.8335</v>
      </c>
      <c r="I1262" s="40">
        <f t="shared" ca="1" si="177"/>
        <v>3999570809490.4053</v>
      </c>
      <c r="J1262" s="40">
        <f t="shared" ca="1" si="178"/>
        <v>1806074914529.9497</v>
      </c>
      <c r="K1262" s="41">
        <f t="shared" ca="1" si="179"/>
        <v>2.2145099172319416</v>
      </c>
    </row>
    <row r="1263" spans="2:11" ht="15" customHeight="1" x14ac:dyDescent="0.35">
      <c r="B1263" s="5">
        <v>1242</v>
      </c>
      <c r="C1263" s="39">
        <f t="shared" ca="1" si="171"/>
        <v>2.841796109666554</v>
      </c>
      <c r="D1263" s="40">
        <f t="shared" ca="1" si="172"/>
        <v>3071010981.9664879</v>
      </c>
      <c r="E1263" s="40">
        <f t="shared" ca="1" si="173"/>
        <v>11882246248136.869</v>
      </c>
      <c r="F1263" s="40">
        <f t="shared" ca="1" si="174"/>
        <v>393278755164.51428</v>
      </c>
      <c r="G1263" s="40">
        <f t="shared" ca="1" si="175"/>
        <v>4157721168650.6948</v>
      </c>
      <c r="H1263" s="40">
        <f t="shared" ca="1" si="176"/>
        <v>4157721168650.6948</v>
      </c>
      <c r="I1263" s="40">
        <f t="shared" ca="1" si="177"/>
        <v>1202193465859.8047</v>
      </c>
      <c r="J1263" s="40">
        <f t="shared" ca="1" si="178"/>
        <v>1143807621137.7295</v>
      </c>
      <c r="K1263" s="41">
        <f t="shared" ca="1" si="179"/>
        <v>1.0510451614791652</v>
      </c>
    </row>
    <row r="1264" spans="2:11" ht="15" customHeight="1" x14ac:dyDescent="0.35">
      <c r="B1264" s="5">
        <v>1243</v>
      </c>
      <c r="C1264" s="39">
        <f t="shared" ca="1" si="171"/>
        <v>4.2413543024911649</v>
      </c>
      <c r="D1264" s="40">
        <f t="shared" ca="1" si="172"/>
        <v>28499293039.085068</v>
      </c>
      <c r="E1264" s="40">
        <f t="shared" ca="1" si="173"/>
        <v>109232367789205.88</v>
      </c>
      <c r="F1264" s="40">
        <f t="shared" ca="1" si="174"/>
        <v>2935751854376.3193</v>
      </c>
      <c r="G1264" s="40">
        <f t="shared" ca="1" si="175"/>
        <v>1034748585593.8794</v>
      </c>
      <c r="H1264" s="40">
        <f t="shared" ca="1" si="176"/>
        <v>109232367789205.88</v>
      </c>
      <c r="I1264" s="40">
        <f t="shared" ca="1" si="177"/>
        <v>31345713915782.531</v>
      </c>
      <c r="J1264" s="40">
        <f t="shared" ca="1" si="178"/>
        <v>424086512706.23352</v>
      </c>
      <c r="K1264" s="41">
        <f t="shared" ca="1" si="179"/>
        <v>73.913489291973391</v>
      </c>
    </row>
    <row r="1265" spans="2:11" ht="15" customHeight="1" x14ac:dyDescent="0.35">
      <c r="B1265" s="5">
        <v>1244</v>
      </c>
      <c r="C1265" s="39">
        <f t="shared" ca="1" si="171"/>
        <v>2.2135366605304809</v>
      </c>
      <c r="D1265" s="40">
        <f t="shared" ca="1" si="172"/>
        <v>1165153676.4468093</v>
      </c>
      <c r="E1265" s="40">
        <f t="shared" ca="1" si="173"/>
        <v>8820955930607.5488</v>
      </c>
      <c r="F1265" s="40">
        <f t="shared" ca="1" si="174"/>
        <v>1900980922706.5679</v>
      </c>
      <c r="G1265" s="40">
        <f t="shared" ca="1" si="175"/>
        <v>6971674376483.0928</v>
      </c>
      <c r="H1265" s="40">
        <f t="shared" ca="1" si="176"/>
        <v>6971674376483.0928</v>
      </c>
      <c r="I1265" s="40">
        <f t="shared" ca="1" si="177"/>
        <v>4975879446816.1045</v>
      </c>
      <c r="J1265" s="40">
        <f t="shared" ca="1" si="178"/>
        <v>1026494727313.1644</v>
      </c>
      <c r="K1265" s="41">
        <f t="shared" ca="1" si="179"/>
        <v>4.8474476433409448</v>
      </c>
    </row>
    <row r="1266" spans="2:11" ht="15" customHeight="1" x14ac:dyDescent="0.35">
      <c r="B1266" s="5">
        <v>1245</v>
      </c>
      <c r="C1266" s="39">
        <f t="shared" ca="1" si="171"/>
        <v>2.7864339912772329</v>
      </c>
      <c r="D1266" s="40">
        <f t="shared" ca="1" si="172"/>
        <v>3984860270.5982852</v>
      </c>
      <c r="E1266" s="40">
        <f t="shared" ca="1" si="173"/>
        <v>39121006722412.43</v>
      </c>
      <c r="F1266" s="40">
        <f t="shared" ca="1" si="174"/>
        <v>3770264759141.3237</v>
      </c>
      <c r="G1266" s="40">
        <f t="shared" ca="1" si="175"/>
        <v>11807257613466.58</v>
      </c>
      <c r="H1266" s="40">
        <f t="shared" ca="1" si="176"/>
        <v>11807257613466.58</v>
      </c>
      <c r="I1266" s="40">
        <f t="shared" ca="1" si="177"/>
        <v>10378550864645.129</v>
      </c>
      <c r="J1266" s="40">
        <f t="shared" ca="1" si="178"/>
        <v>929602436956.94897</v>
      </c>
      <c r="K1266" s="41">
        <f t="shared" ca="1" si="179"/>
        <v>11.164504794780107</v>
      </c>
    </row>
    <row r="1267" spans="2:11" ht="15" customHeight="1" x14ac:dyDescent="0.35">
      <c r="B1267" s="5">
        <v>1246</v>
      </c>
      <c r="C1267" s="39">
        <f t="shared" ca="1" si="171"/>
        <v>3.6940860504722721</v>
      </c>
      <c r="D1267" s="40">
        <f t="shared" ca="1" si="172"/>
        <v>16110778070.442345</v>
      </c>
      <c r="E1267" s="40">
        <f t="shared" ca="1" si="173"/>
        <v>110702906113920.3</v>
      </c>
      <c r="F1267" s="40">
        <f t="shared" ca="1" si="174"/>
        <v>7388932114625.4111</v>
      </c>
      <c r="G1267" s="40">
        <f t="shared" ca="1" si="175"/>
        <v>23426247331.80806</v>
      </c>
      <c r="H1267" s="40">
        <f t="shared" ca="1" si="176"/>
        <v>23426247331.80806</v>
      </c>
      <c r="I1267" s="40">
        <f t="shared" ca="1" si="177"/>
        <v>8027467714316.7373</v>
      </c>
      <c r="J1267" s="40">
        <f t="shared" ca="1" si="178"/>
        <v>836096022174.64563</v>
      </c>
      <c r="K1267" s="41">
        <f t="shared" ca="1" si="179"/>
        <v>9.6011313311091691</v>
      </c>
    </row>
    <row r="1268" spans="2:11" ht="15" customHeight="1" x14ac:dyDescent="0.35">
      <c r="B1268" s="5">
        <v>1247</v>
      </c>
      <c r="C1268" s="39">
        <f t="shared" ca="1" si="171"/>
        <v>2.8868493687977601</v>
      </c>
      <c r="D1268" s="40">
        <f t="shared" ca="1" si="172"/>
        <v>3729822933.0066714</v>
      </c>
      <c r="E1268" s="40">
        <f t="shared" ca="1" si="173"/>
        <v>72337209686382.594</v>
      </c>
      <c r="F1268" s="40">
        <f t="shared" ca="1" si="174"/>
        <v>5166909987504.2402</v>
      </c>
      <c r="G1268" s="40">
        <f t="shared" ca="1" si="175"/>
        <v>2451244766786.6465</v>
      </c>
      <c r="H1268" s="40">
        <f t="shared" ca="1" si="176"/>
        <v>72337209686382.594</v>
      </c>
      <c r="I1268" s="40">
        <f t="shared" ca="1" si="177"/>
        <v>28256625291176.922</v>
      </c>
      <c r="J1268" s="40">
        <f t="shared" ca="1" si="178"/>
        <v>944286685921.30725</v>
      </c>
      <c r="K1268" s="41">
        <f t="shared" ca="1" si="179"/>
        <v>29.923778141177461</v>
      </c>
    </row>
    <row r="1269" spans="2:11" ht="15" customHeight="1" x14ac:dyDescent="0.35">
      <c r="B1269" s="5">
        <v>1248</v>
      </c>
      <c r="C1269" s="39">
        <f t="shared" ca="1" si="171"/>
        <v>3.5176792340072587</v>
      </c>
      <c r="D1269" s="40">
        <f t="shared" ca="1" si="172"/>
        <v>10491241662.331736</v>
      </c>
      <c r="E1269" s="40">
        <f t="shared" ca="1" si="173"/>
        <v>219724024909877.75</v>
      </c>
      <c r="F1269" s="40">
        <f t="shared" ca="1" si="174"/>
        <v>7034039555534.5596</v>
      </c>
      <c r="G1269" s="40">
        <f t="shared" ca="1" si="175"/>
        <v>26733234342272.004</v>
      </c>
      <c r="H1269" s="40">
        <f t="shared" ca="1" si="176"/>
        <v>219724024909877.75</v>
      </c>
      <c r="I1269" s="40">
        <f t="shared" ca="1" si="177"/>
        <v>2310625644386.5063</v>
      </c>
      <c r="J1269" s="40">
        <f t="shared" ca="1" si="178"/>
        <v>876321120222.64441</v>
      </c>
      <c r="K1269" s="41">
        <f t="shared" ca="1" si="179"/>
        <v>2.6367339449715104</v>
      </c>
    </row>
    <row r="1270" spans="2:11" ht="15" customHeight="1" x14ac:dyDescent="0.35">
      <c r="B1270" s="5">
        <v>1249</v>
      </c>
      <c r="C1270" s="39">
        <f t="shared" ca="1" si="171"/>
        <v>2.5400054778198866</v>
      </c>
      <c r="D1270" s="40">
        <f t="shared" ca="1" si="172"/>
        <v>1945232598.5547993</v>
      </c>
      <c r="E1270" s="40">
        <f t="shared" ca="1" si="173"/>
        <v>16635314233895.465</v>
      </c>
      <c r="F1270" s="40">
        <f t="shared" ca="1" si="174"/>
        <v>7620395677687.7334</v>
      </c>
      <c r="G1270" s="40">
        <f t="shared" ca="1" si="175"/>
        <v>17625984674.532665</v>
      </c>
      <c r="H1270" s="40">
        <f t="shared" ca="1" si="176"/>
        <v>7620395677687.7334</v>
      </c>
      <c r="I1270" s="40">
        <f t="shared" ca="1" si="177"/>
        <v>2337800375810.438</v>
      </c>
      <c r="J1270" s="40">
        <f t="shared" ca="1" si="178"/>
        <v>991583383873.65686</v>
      </c>
      <c r="K1270" s="41">
        <f t="shared" ca="1" si="179"/>
        <v>2.3576437582866054</v>
      </c>
    </row>
    <row r="1271" spans="2:11" ht="15" customHeight="1" x14ac:dyDescent="0.35">
      <c r="B1271" s="5">
        <v>1250</v>
      </c>
      <c r="C1271" s="39">
        <f t="shared" ca="1" si="171"/>
        <v>3.2270746621245245</v>
      </c>
      <c r="D1271" s="40">
        <f t="shared" ca="1" si="172"/>
        <v>7790824397.6096926</v>
      </c>
      <c r="E1271" s="40">
        <f t="shared" ca="1" si="173"/>
        <v>47344349481599.547</v>
      </c>
      <c r="F1271" s="40">
        <f t="shared" ca="1" si="174"/>
        <v>2623854357219.5381</v>
      </c>
      <c r="G1271" s="40">
        <f t="shared" ca="1" si="175"/>
        <v>2407403032403.4072</v>
      </c>
      <c r="H1271" s="40">
        <f t="shared" ca="1" si="176"/>
        <v>47344349481599.547</v>
      </c>
      <c r="I1271" s="40">
        <f t="shared" ca="1" si="177"/>
        <v>113711871658853.66</v>
      </c>
      <c r="J1271" s="40">
        <f t="shared" ca="1" si="178"/>
        <v>571587892407.19739</v>
      </c>
      <c r="K1271" s="41">
        <f t="shared" ca="1" si="179"/>
        <v>198.94030851487261</v>
      </c>
    </row>
    <row r="1272" spans="2:11" ht="15" customHeight="1" x14ac:dyDescent="0.35">
      <c r="B1272" s="5">
        <v>1251</v>
      </c>
      <c r="C1272" s="39">
        <f t="shared" ca="1" si="171"/>
        <v>3.1207850925780916</v>
      </c>
      <c r="D1272" s="40">
        <f t="shared" ca="1" si="172"/>
        <v>6937012482.1643887</v>
      </c>
      <c r="E1272" s="40">
        <f t="shared" ca="1" si="173"/>
        <v>18926344508429.066</v>
      </c>
      <c r="F1272" s="40">
        <f t="shared" ca="1" si="174"/>
        <v>19862483207662.387</v>
      </c>
      <c r="G1272" s="40">
        <f t="shared" ca="1" si="175"/>
        <v>2892437189746.5952</v>
      </c>
      <c r="H1272" s="40">
        <f t="shared" ca="1" si="176"/>
        <v>2892437189746.5952</v>
      </c>
      <c r="I1272" s="40">
        <f t="shared" ca="1" si="177"/>
        <v>689950975135.85315</v>
      </c>
      <c r="J1272" s="40">
        <f t="shared" ca="1" si="178"/>
        <v>713054074811.47119</v>
      </c>
      <c r="K1272" s="41">
        <f t="shared" ca="1" si="179"/>
        <v>0.96759979293053422</v>
      </c>
    </row>
    <row r="1273" spans="2:11" ht="15" customHeight="1" x14ac:dyDescent="0.35">
      <c r="B1273" s="5">
        <v>1252</v>
      </c>
      <c r="C1273" s="39">
        <f t="shared" ca="1" si="171"/>
        <v>3.0421488991662535</v>
      </c>
      <c r="D1273" s="40">
        <f t="shared" ca="1" si="172"/>
        <v>6008318105.7869291</v>
      </c>
      <c r="E1273" s="40">
        <f t="shared" ca="1" si="173"/>
        <v>12250342000096.182</v>
      </c>
      <c r="F1273" s="40">
        <f t="shared" ca="1" si="174"/>
        <v>61749621736481.648</v>
      </c>
      <c r="G1273" s="40">
        <f t="shared" ca="1" si="175"/>
        <v>5744537087883.7344</v>
      </c>
      <c r="H1273" s="40">
        <f t="shared" ca="1" si="176"/>
        <v>61749621736481.648</v>
      </c>
      <c r="I1273" s="40">
        <f t="shared" ca="1" si="177"/>
        <v>11599257912911.623</v>
      </c>
      <c r="J1273" s="40">
        <f t="shared" ca="1" si="178"/>
        <v>643254484113.17468</v>
      </c>
      <c r="K1273" s="41">
        <f t="shared" ca="1" si="179"/>
        <v>18.032144663403297</v>
      </c>
    </row>
    <row r="1274" spans="2:11" ht="15" customHeight="1" x14ac:dyDescent="0.35">
      <c r="B1274" s="5">
        <v>1253</v>
      </c>
      <c r="C1274" s="39">
        <f t="shared" ca="1" si="171"/>
        <v>3.5997299622021059</v>
      </c>
      <c r="D1274" s="40">
        <f t="shared" ca="1" si="172"/>
        <v>11733553236.567148</v>
      </c>
      <c r="E1274" s="40">
        <f t="shared" ca="1" si="173"/>
        <v>119437101810234.25</v>
      </c>
      <c r="F1274" s="40">
        <f t="shared" ca="1" si="174"/>
        <v>15450825563867.324</v>
      </c>
      <c r="G1274" s="40">
        <f t="shared" ca="1" si="175"/>
        <v>827071145339.422</v>
      </c>
      <c r="H1274" s="40">
        <f t="shared" ca="1" si="176"/>
        <v>119437101810234.25</v>
      </c>
      <c r="I1274" s="40">
        <f t="shared" ca="1" si="177"/>
        <v>1163607425139.1833</v>
      </c>
      <c r="J1274" s="40">
        <f t="shared" ca="1" si="178"/>
        <v>1159299592276.4646</v>
      </c>
      <c r="K1274" s="41">
        <f t="shared" ca="1" si="179"/>
        <v>1.0037158926746965</v>
      </c>
    </row>
    <row r="1275" spans="2:11" ht="15" customHeight="1" x14ac:dyDescent="0.35">
      <c r="B1275" s="5">
        <v>1254</v>
      </c>
      <c r="C1275" s="39">
        <f t="shared" ca="1" si="171"/>
        <v>3.6532910414336675</v>
      </c>
      <c r="D1275" s="40">
        <f t="shared" ca="1" si="172"/>
        <v>14959059943.612486</v>
      </c>
      <c r="E1275" s="40">
        <f t="shared" ca="1" si="173"/>
        <v>168313578372656.41</v>
      </c>
      <c r="F1275" s="40">
        <f t="shared" ca="1" si="174"/>
        <v>9401064877272.4004</v>
      </c>
      <c r="G1275" s="40">
        <f t="shared" ca="1" si="175"/>
        <v>22381205249203.059</v>
      </c>
      <c r="H1275" s="40">
        <f t="shared" ca="1" si="176"/>
        <v>168313578372656.41</v>
      </c>
      <c r="I1275" s="40">
        <f t="shared" ca="1" si="177"/>
        <v>8196992130717.9023</v>
      </c>
      <c r="J1275" s="40">
        <f t="shared" ca="1" si="178"/>
        <v>1055881733369.3102</v>
      </c>
      <c r="K1275" s="41">
        <f t="shared" ca="1" si="179"/>
        <v>7.7631725899465707</v>
      </c>
    </row>
    <row r="1276" spans="2:11" ht="15" customHeight="1" x14ac:dyDescent="0.35">
      <c r="B1276" s="5">
        <v>1255</v>
      </c>
      <c r="C1276" s="39">
        <f t="shared" ca="1" si="171"/>
        <v>3.262789126393987</v>
      </c>
      <c r="D1276" s="40">
        <f t="shared" ca="1" si="172"/>
        <v>8214569887.0447598</v>
      </c>
      <c r="E1276" s="40">
        <f t="shared" ca="1" si="173"/>
        <v>22533069577750.93</v>
      </c>
      <c r="F1276" s="40">
        <f t="shared" ca="1" si="174"/>
        <v>114945591799.83839</v>
      </c>
      <c r="G1276" s="40">
        <f t="shared" ca="1" si="175"/>
        <v>7168929596088.4824</v>
      </c>
      <c r="H1276" s="40">
        <f t="shared" ca="1" si="176"/>
        <v>22533069577750.93</v>
      </c>
      <c r="I1276" s="40">
        <f t="shared" ca="1" si="177"/>
        <v>274433035099197.78</v>
      </c>
      <c r="J1276" s="40">
        <f t="shared" ca="1" si="178"/>
        <v>1007884577697.7032</v>
      </c>
      <c r="K1276" s="41">
        <f t="shared" ca="1" si="179"/>
        <v>272.28617360738008</v>
      </c>
    </row>
    <row r="1277" spans="2:11" ht="15" customHeight="1" x14ac:dyDescent="0.35">
      <c r="B1277" s="5">
        <v>1256</v>
      </c>
      <c r="C1277" s="39">
        <f t="shared" ca="1" si="171"/>
        <v>3.4791321751705637</v>
      </c>
      <c r="D1277" s="40">
        <f t="shared" ca="1" si="172"/>
        <v>10812510150.684397</v>
      </c>
      <c r="E1277" s="40">
        <f t="shared" ca="1" si="173"/>
        <v>52481057232846.859</v>
      </c>
      <c r="F1277" s="40">
        <f t="shared" ca="1" si="174"/>
        <v>2820232038037.6245</v>
      </c>
      <c r="G1277" s="40">
        <f t="shared" ca="1" si="175"/>
        <v>19099752172132.074</v>
      </c>
      <c r="H1277" s="40">
        <f t="shared" ca="1" si="176"/>
        <v>19099752172132.074</v>
      </c>
      <c r="I1277" s="40">
        <f t="shared" ca="1" si="177"/>
        <v>684707591670.88818</v>
      </c>
      <c r="J1277" s="40">
        <f t="shared" ca="1" si="178"/>
        <v>1168570499770.1121</v>
      </c>
      <c r="K1277" s="41">
        <f t="shared" ca="1" si="179"/>
        <v>0.58593605760678347</v>
      </c>
    </row>
    <row r="1278" spans="2:11" ht="15" customHeight="1" x14ac:dyDescent="0.35">
      <c r="B1278" s="5">
        <v>1257</v>
      </c>
      <c r="C1278" s="39">
        <f t="shared" ca="1" si="171"/>
        <v>3.2429906310327419</v>
      </c>
      <c r="D1278" s="40">
        <f t="shared" ca="1" si="172"/>
        <v>6754787470.2324228</v>
      </c>
      <c r="E1278" s="40">
        <f t="shared" ca="1" si="173"/>
        <v>457195129234652.31</v>
      </c>
      <c r="F1278" s="40">
        <f t="shared" ca="1" si="174"/>
        <v>1423862075123.3804</v>
      </c>
      <c r="G1278" s="40">
        <f t="shared" ca="1" si="175"/>
        <v>835902210572.23547</v>
      </c>
      <c r="H1278" s="40">
        <f t="shared" ca="1" si="176"/>
        <v>457195129234652.31</v>
      </c>
      <c r="I1278" s="40">
        <f t="shared" ca="1" si="177"/>
        <v>33350320268198.949</v>
      </c>
      <c r="J1278" s="40">
        <f t="shared" ca="1" si="178"/>
        <v>745050108929.62415</v>
      </c>
      <c r="K1278" s="41">
        <f t="shared" ca="1" si="179"/>
        <v>44.76251982046103</v>
      </c>
    </row>
    <row r="1279" spans="2:11" ht="15" customHeight="1" x14ac:dyDescent="0.35">
      <c r="B1279" s="5">
        <v>1258</v>
      </c>
      <c r="C1279" s="39">
        <f t="shared" ca="1" si="171"/>
        <v>2.7393217996624983</v>
      </c>
      <c r="D1279" s="40">
        <f t="shared" ca="1" si="172"/>
        <v>2972875991.4555473</v>
      </c>
      <c r="E1279" s="40">
        <f t="shared" ca="1" si="173"/>
        <v>9749608972047.9336</v>
      </c>
      <c r="F1279" s="40">
        <f t="shared" ca="1" si="174"/>
        <v>5300583106089.6445</v>
      </c>
      <c r="G1279" s="40">
        <f t="shared" ca="1" si="175"/>
        <v>89673648685418.25</v>
      </c>
      <c r="H1279" s="40">
        <f t="shared" ca="1" si="176"/>
        <v>89673648685418.25</v>
      </c>
      <c r="I1279" s="40">
        <f t="shared" ca="1" si="177"/>
        <v>17584805304244.102</v>
      </c>
      <c r="J1279" s="40">
        <f t="shared" ca="1" si="178"/>
        <v>1172185139342.2952</v>
      </c>
      <c r="K1279" s="41">
        <f t="shared" ca="1" si="179"/>
        <v>15.00173028478318</v>
      </c>
    </row>
    <row r="1280" spans="2:11" ht="15" customHeight="1" x14ac:dyDescent="0.35">
      <c r="B1280" s="5">
        <v>1259</v>
      </c>
      <c r="C1280" s="39">
        <f t="shared" ca="1" si="171"/>
        <v>2.6677730929654722</v>
      </c>
      <c r="D1280" s="40">
        <f t="shared" ca="1" si="172"/>
        <v>2925796383.6997585</v>
      </c>
      <c r="E1280" s="40">
        <f t="shared" ca="1" si="173"/>
        <v>6773569545311.2939</v>
      </c>
      <c r="F1280" s="40">
        <f t="shared" ca="1" si="174"/>
        <v>57100506417784.266</v>
      </c>
      <c r="G1280" s="40">
        <f t="shared" ca="1" si="175"/>
        <v>116673460755.66631</v>
      </c>
      <c r="H1280" s="40">
        <f t="shared" ca="1" si="176"/>
        <v>57100506417784.266</v>
      </c>
      <c r="I1280" s="40">
        <f t="shared" ca="1" si="177"/>
        <v>7513142094234.9316</v>
      </c>
      <c r="J1280" s="40">
        <f t="shared" ca="1" si="178"/>
        <v>1785498557304.1472</v>
      </c>
      <c r="K1280" s="41">
        <f t="shared" ca="1" si="179"/>
        <v>4.2078679164987536</v>
      </c>
    </row>
    <row r="1281" spans="2:11" ht="15" customHeight="1" x14ac:dyDescent="0.35">
      <c r="B1281" s="5">
        <v>1260</v>
      </c>
      <c r="C1281" s="39">
        <f t="shared" ca="1" si="171"/>
        <v>2.8148001738011197</v>
      </c>
      <c r="D1281" s="40">
        <f t="shared" ca="1" si="172"/>
        <v>3267124200.5866909</v>
      </c>
      <c r="E1281" s="40">
        <f t="shared" ca="1" si="173"/>
        <v>10468468425734.281</v>
      </c>
      <c r="F1281" s="40">
        <f t="shared" ca="1" si="174"/>
        <v>861514145420.03247</v>
      </c>
      <c r="G1281" s="40">
        <f t="shared" ca="1" si="175"/>
        <v>1639735919732.2593</v>
      </c>
      <c r="H1281" s="40">
        <f t="shared" ca="1" si="176"/>
        <v>1639735919732.2593</v>
      </c>
      <c r="I1281" s="40">
        <f t="shared" ca="1" si="177"/>
        <v>6932089102518.9805</v>
      </c>
      <c r="J1281" s="40">
        <f t="shared" ca="1" si="178"/>
        <v>1533087708896.9146</v>
      </c>
      <c r="K1281" s="41">
        <f t="shared" ca="1" si="179"/>
        <v>4.521651998310487</v>
      </c>
    </row>
    <row r="1282" spans="2:11" ht="15" customHeight="1" x14ac:dyDescent="0.35">
      <c r="B1282" s="5">
        <v>1261</v>
      </c>
      <c r="C1282" s="39">
        <f t="shared" ca="1" si="171"/>
        <v>2.9940125416006476</v>
      </c>
      <c r="D1282" s="40">
        <f t="shared" ca="1" si="172"/>
        <v>5579738675.5088367</v>
      </c>
      <c r="E1282" s="40">
        <f t="shared" ca="1" si="173"/>
        <v>40186749840692.078</v>
      </c>
      <c r="F1282" s="40">
        <f t="shared" ca="1" si="174"/>
        <v>26979618566635.551</v>
      </c>
      <c r="G1282" s="40">
        <f t="shared" ca="1" si="175"/>
        <v>100338989097563.23</v>
      </c>
      <c r="H1282" s="40">
        <f t="shared" ca="1" si="176"/>
        <v>100338989097563.23</v>
      </c>
      <c r="I1282" s="40">
        <f t="shared" ca="1" si="177"/>
        <v>5264901773784.0762</v>
      </c>
      <c r="J1282" s="40">
        <f t="shared" ca="1" si="178"/>
        <v>633312612331.56262</v>
      </c>
      <c r="K1282" s="41">
        <f t="shared" ca="1" si="179"/>
        <v>8.3132747892090055</v>
      </c>
    </row>
    <row r="1283" spans="2:11" ht="15" customHeight="1" x14ac:dyDescent="0.35">
      <c r="B1283" s="5">
        <v>1262</v>
      </c>
      <c r="C1283" s="39">
        <f t="shared" ca="1" si="171"/>
        <v>2.533442363135757</v>
      </c>
      <c r="D1283" s="40">
        <f t="shared" ca="1" si="172"/>
        <v>2392747254.6750059</v>
      </c>
      <c r="E1283" s="40">
        <f t="shared" ca="1" si="173"/>
        <v>2830913508647.3438</v>
      </c>
      <c r="F1283" s="40">
        <f t="shared" ca="1" si="174"/>
        <v>15150579928416.346</v>
      </c>
      <c r="G1283" s="40">
        <f t="shared" ca="1" si="175"/>
        <v>756716121950.05286</v>
      </c>
      <c r="H1283" s="40">
        <f t="shared" ca="1" si="176"/>
        <v>2830913508647.3438</v>
      </c>
      <c r="I1283" s="40">
        <f t="shared" ca="1" si="177"/>
        <v>53326252100132.063</v>
      </c>
      <c r="J1283" s="40">
        <f t="shared" ca="1" si="178"/>
        <v>864098022238.60864</v>
      </c>
      <c r="K1283" s="41">
        <f t="shared" ca="1" si="179"/>
        <v>61.71319772492982</v>
      </c>
    </row>
    <row r="1284" spans="2:11" ht="15" customHeight="1" x14ac:dyDescent="0.35">
      <c r="B1284" s="5">
        <v>1263</v>
      </c>
      <c r="C1284" s="39">
        <f t="shared" ca="1" si="171"/>
        <v>2.5963221976176358</v>
      </c>
      <c r="D1284" s="40">
        <f t="shared" ca="1" si="172"/>
        <v>2743501936.8729696</v>
      </c>
      <c r="E1284" s="40">
        <f t="shared" ca="1" si="173"/>
        <v>8831357979943.7559</v>
      </c>
      <c r="F1284" s="40">
        <f t="shared" ca="1" si="174"/>
        <v>500206554546.99164</v>
      </c>
      <c r="G1284" s="40">
        <f t="shared" ca="1" si="175"/>
        <v>162322358348.68729</v>
      </c>
      <c r="H1284" s="40">
        <f t="shared" ca="1" si="176"/>
        <v>8831357979943.7559</v>
      </c>
      <c r="I1284" s="40">
        <f t="shared" ca="1" si="177"/>
        <v>41403839035815.766</v>
      </c>
      <c r="J1284" s="40">
        <f t="shared" ca="1" si="178"/>
        <v>1003648878474.2266</v>
      </c>
      <c r="K1284" s="41">
        <f t="shared" ca="1" si="179"/>
        <v>41.25331071834502</v>
      </c>
    </row>
    <row r="1285" spans="2:11" ht="15" customHeight="1" x14ac:dyDescent="0.35">
      <c r="B1285" s="5">
        <v>1264</v>
      </c>
      <c r="C1285" s="39">
        <f t="shared" ca="1" si="171"/>
        <v>2.1289024910575907</v>
      </c>
      <c r="D1285" s="40">
        <f t="shared" ca="1" si="172"/>
        <v>1045338676.6260414</v>
      </c>
      <c r="E1285" s="40">
        <f t="shared" ca="1" si="173"/>
        <v>2922534398060.1162</v>
      </c>
      <c r="F1285" s="40">
        <f t="shared" ca="1" si="174"/>
        <v>2711112680062.6279</v>
      </c>
      <c r="G1285" s="40">
        <f t="shared" ca="1" si="175"/>
        <v>1654764484508.6394</v>
      </c>
      <c r="H1285" s="40">
        <f t="shared" ca="1" si="176"/>
        <v>2711112680062.6279</v>
      </c>
      <c r="I1285" s="40">
        <f t="shared" ca="1" si="177"/>
        <v>1376809815717.4619</v>
      </c>
      <c r="J1285" s="40">
        <f t="shared" ca="1" si="178"/>
        <v>591568905939.28369</v>
      </c>
      <c r="K1285" s="41">
        <f t="shared" ca="1" si="179"/>
        <v>2.32738705820142</v>
      </c>
    </row>
    <row r="1286" spans="2:11" ht="15" customHeight="1" x14ac:dyDescent="0.35">
      <c r="B1286" s="5">
        <v>1265</v>
      </c>
      <c r="C1286" s="39">
        <f t="shared" ca="1" si="171"/>
        <v>3.6089315906782558</v>
      </c>
      <c r="D1286" s="40">
        <f t="shared" ca="1" si="172"/>
        <v>12654419186.752947</v>
      </c>
      <c r="E1286" s="40">
        <f t="shared" ca="1" si="173"/>
        <v>38561388725250.375</v>
      </c>
      <c r="F1286" s="40">
        <f t="shared" ca="1" si="174"/>
        <v>1337613408845.3491</v>
      </c>
      <c r="G1286" s="40">
        <f t="shared" ca="1" si="175"/>
        <v>2774398095255.6069</v>
      </c>
      <c r="H1286" s="40">
        <f t="shared" ca="1" si="176"/>
        <v>38561388725250.375</v>
      </c>
      <c r="I1286" s="40">
        <f t="shared" ca="1" si="177"/>
        <v>11720702549478.602</v>
      </c>
      <c r="J1286" s="40">
        <f t="shared" ca="1" si="178"/>
        <v>855473520448.7843</v>
      </c>
      <c r="K1286" s="41">
        <f t="shared" ca="1" si="179"/>
        <v>13.700836167704971</v>
      </c>
    </row>
    <row r="1287" spans="2:11" ht="15" customHeight="1" x14ac:dyDescent="0.35">
      <c r="B1287" s="5">
        <v>1266</v>
      </c>
      <c r="C1287" s="39">
        <f t="shared" ca="1" si="171"/>
        <v>2.9267342234650715</v>
      </c>
      <c r="D1287" s="40">
        <f t="shared" ca="1" si="172"/>
        <v>4923828017.1891327</v>
      </c>
      <c r="E1287" s="40">
        <f t="shared" ca="1" si="173"/>
        <v>29152144245446.695</v>
      </c>
      <c r="F1287" s="40">
        <f t="shared" ca="1" si="174"/>
        <v>3642154205322.8481</v>
      </c>
      <c r="G1287" s="40">
        <f t="shared" ca="1" si="175"/>
        <v>577244017277.43555</v>
      </c>
      <c r="H1287" s="40">
        <f t="shared" ca="1" si="176"/>
        <v>29152144245446.695</v>
      </c>
      <c r="I1287" s="40">
        <f t="shared" ca="1" si="177"/>
        <v>21222856503830.102</v>
      </c>
      <c r="J1287" s="40">
        <f t="shared" ca="1" si="178"/>
        <v>811202372955.84631</v>
      </c>
      <c r="K1287" s="41">
        <f t="shared" ca="1" si="179"/>
        <v>26.162221920651678</v>
      </c>
    </row>
    <row r="1288" spans="2:11" ht="15" customHeight="1" x14ac:dyDescent="0.35">
      <c r="B1288" s="5">
        <v>1267</v>
      </c>
      <c r="C1288" s="39">
        <f t="shared" ca="1" si="171"/>
        <v>3.4273800908116248</v>
      </c>
      <c r="D1288" s="40">
        <f t="shared" ca="1" si="172"/>
        <v>10551967590.857981</v>
      </c>
      <c r="E1288" s="40">
        <f t="shared" ca="1" si="173"/>
        <v>92427951221970.844</v>
      </c>
      <c r="F1288" s="40">
        <f t="shared" ca="1" si="174"/>
        <v>17854864990918.305</v>
      </c>
      <c r="G1288" s="40">
        <f t="shared" ca="1" si="175"/>
        <v>459697304466.48035</v>
      </c>
      <c r="H1288" s="40">
        <f t="shared" ca="1" si="176"/>
        <v>17854864990918.305</v>
      </c>
      <c r="I1288" s="40">
        <f t="shared" ca="1" si="177"/>
        <v>20740681671331.531</v>
      </c>
      <c r="J1288" s="40">
        <f t="shared" ca="1" si="178"/>
        <v>508698361680.75262</v>
      </c>
      <c r="K1288" s="41">
        <f t="shared" ca="1" si="179"/>
        <v>40.772063041059894</v>
      </c>
    </row>
    <row r="1289" spans="2:11" ht="15" customHeight="1" x14ac:dyDescent="0.35">
      <c r="B1289" s="5">
        <v>1268</v>
      </c>
      <c r="C1289" s="39">
        <f t="shared" ca="1" si="171"/>
        <v>3.7859631180654416</v>
      </c>
      <c r="D1289" s="40">
        <f t="shared" ca="1" si="172"/>
        <v>14102850501.012569</v>
      </c>
      <c r="E1289" s="40">
        <f t="shared" ca="1" si="173"/>
        <v>133086197000945.39</v>
      </c>
      <c r="F1289" s="40">
        <f t="shared" ca="1" si="174"/>
        <v>5761628200017.5498</v>
      </c>
      <c r="G1289" s="40">
        <f t="shared" ca="1" si="175"/>
        <v>9476677715851.9258</v>
      </c>
      <c r="H1289" s="40">
        <f t="shared" ca="1" si="176"/>
        <v>133086197000945.39</v>
      </c>
      <c r="I1289" s="40">
        <f t="shared" ca="1" si="177"/>
        <v>7880180028200.1084</v>
      </c>
      <c r="J1289" s="40">
        <f t="shared" ca="1" si="178"/>
        <v>1451915694017.8284</v>
      </c>
      <c r="K1289" s="41">
        <f t="shared" ca="1" si="179"/>
        <v>5.427436359196312</v>
      </c>
    </row>
    <row r="1290" spans="2:11" ht="15" customHeight="1" x14ac:dyDescent="0.35">
      <c r="B1290" s="5">
        <v>1269</v>
      </c>
      <c r="C1290" s="39">
        <f t="shared" ca="1" si="171"/>
        <v>2.4520724769203581</v>
      </c>
      <c r="D1290" s="40">
        <f t="shared" ca="1" si="172"/>
        <v>2013516601.487941</v>
      </c>
      <c r="E1290" s="40">
        <f t="shared" ca="1" si="173"/>
        <v>4368497038918.0283</v>
      </c>
      <c r="F1290" s="40">
        <f t="shared" ca="1" si="174"/>
        <v>2283838265553.2612</v>
      </c>
      <c r="G1290" s="40">
        <f t="shared" ca="1" si="175"/>
        <v>147522827955011.25</v>
      </c>
      <c r="H1290" s="40">
        <f t="shared" ca="1" si="176"/>
        <v>2283838265553.2612</v>
      </c>
      <c r="I1290" s="40">
        <f t="shared" ca="1" si="177"/>
        <v>4076897237390.1304</v>
      </c>
      <c r="J1290" s="40">
        <f t="shared" ca="1" si="178"/>
        <v>950963047420.30103</v>
      </c>
      <c r="K1290" s="41">
        <f t="shared" ca="1" si="179"/>
        <v>4.2871247715141214</v>
      </c>
    </row>
    <row r="1291" spans="2:11" ht="15" customHeight="1" x14ac:dyDescent="0.35">
      <c r="B1291" s="5">
        <v>1270</v>
      </c>
      <c r="C1291" s="39">
        <f t="shared" ca="1" si="171"/>
        <v>2.9185054791283389</v>
      </c>
      <c r="D1291" s="40">
        <f t="shared" ca="1" si="172"/>
        <v>4409105050.1661968</v>
      </c>
      <c r="E1291" s="40">
        <f t="shared" ca="1" si="173"/>
        <v>15349908873949.838</v>
      </c>
      <c r="F1291" s="40">
        <f t="shared" ca="1" si="174"/>
        <v>2552313779024.3716</v>
      </c>
      <c r="G1291" s="40">
        <f t="shared" ca="1" si="175"/>
        <v>3675839768510.9478</v>
      </c>
      <c r="H1291" s="40">
        <f t="shared" ca="1" si="176"/>
        <v>3675839768510.9478</v>
      </c>
      <c r="I1291" s="40">
        <f t="shared" ca="1" si="177"/>
        <v>11757217868931.229</v>
      </c>
      <c r="J1291" s="40">
        <f t="shared" ca="1" si="178"/>
        <v>653462095209.48853</v>
      </c>
      <c r="K1291" s="41">
        <f t="shared" ca="1" si="179"/>
        <v>17.99219565315731</v>
      </c>
    </row>
    <row r="1292" spans="2:11" ht="15" customHeight="1" x14ac:dyDescent="0.35">
      <c r="B1292" s="5">
        <v>1271</v>
      </c>
      <c r="C1292" s="39">
        <f t="shared" ca="1" si="171"/>
        <v>3.1318314424715776</v>
      </c>
      <c r="D1292" s="40">
        <f t="shared" ca="1" si="172"/>
        <v>7053422338.2622414</v>
      </c>
      <c r="E1292" s="40">
        <f t="shared" ca="1" si="173"/>
        <v>22575335542060.859</v>
      </c>
      <c r="F1292" s="40">
        <f t="shared" ca="1" si="174"/>
        <v>4397195552573.1719</v>
      </c>
      <c r="G1292" s="40">
        <f t="shared" ca="1" si="175"/>
        <v>12181418845706.193</v>
      </c>
      <c r="H1292" s="40">
        <f t="shared" ca="1" si="176"/>
        <v>4397195552573.1719</v>
      </c>
      <c r="I1292" s="40">
        <f t="shared" ca="1" si="177"/>
        <v>5215709984980.2393</v>
      </c>
      <c r="J1292" s="40">
        <f t="shared" ca="1" si="178"/>
        <v>710725734838.40454</v>
      </c>
      <c r="K1292" s="41">
        <f t="shared" ca="1" si="179"/>
        <v>7.3385691966903641</v>
      </c>
    </row>
    <row r="1293" spans="2:11" ht="15" customHeight="1" x14ac:dyDescent="0.35">
      <c r="B1293" s="5">
        <v>1272</v>
      </c>
      <c r="C1293" s="39">
        <f t="shared" ca="1" si="171"/>
        <v>3.3845453037789444</v>
      </c>
      <c r="D1293" s="40">
        <f t="shared" ca="1" si="172"/>
        <v>10215455963.542002</v>
      </c>
      <c r="E1293" s="40">
        <f t="shared" ca="1" si="173"/>
        <v>27906311774616.215</v>
      </c>
      <c r="F1293" s="40">
        <f t="shared" ca="1" si="174"/>
        <v>2518131418110.3252</v>
      </c>
      <c r="G1293" s="40">
        <f t="shared" ca="1" si="175"/>
        <v>660521736040.85254</v>
      </c>
      <c r="H1293" s="40">
        <f t="shared" ca="1" si="176"/>
        <v>27906311774616.215</v>
      </c>
      <c r="I1293" s="40">
        <f t="shared" ca="1" si="177"/>
        <v>12415171577093.266</v>
      </c>
      <c r="J1293" s="40">
        <f t="shared" ca="1" si="178"/>
        <v>1246281030671.3774</v>
      </c>
      <c r="K1293" s="41">
        <f t="shared" ca="1" si="179"/>
        <v>9.9617752910875605</v>
      </c>
    </row>
    <row r="1294" spans="2:11" ht="15" customHeight="1" x14ac:dyDescent="0.35">
      <c r="B1294" s="5">
        <v>1273</v>
      </c>
      <c r="C1294" s="39">
        <f t="shared" ca="1" si="171"/>
        <v>3.1145357020677094</v>
      </c>
      <c r="D1294" s="40">
        <f t="shared" ca="1" si="172"/>
        <v>6779694369.9759941</v>
      </c>
      <c r="E1294" s="40">
        <f t="shared" ca="1" si="173"/>
        <v>18406457036383.219</v>
      </c>
      <c r="F1294" s="40">
        <f t="shared" ca="1" si="174"/>
        <v>3222190823065.8511</v>
      </c>
      <c r="G1294" s="40">
        <f t="shared" ca="1" si="175"/>
        <v>5055558838261.2861</v>
      </c>
      <c r="H1294" s="40">
        <f t="shared" ca="1" si="176"/>
        <v>18406457036383.219</v>
      </c>
      <c r="I1294" s="40">
        <f t="shared" ca="1" si="177"/>
        <v>3330952448043.085</v>
      </c>
      <c r="J1294" s="40">
        <f t="shared" ca="1" si="178"/>
        <v>1378816482159.7908</v>
      </c>
      <c r="K1294" s="41">
        <f t="shared" ca="1" si="179"/>
        <v>2.4158055050411424</v>
      </c>
    </row>
    <row r="1295" spans="2:11" ht="15" customHeight="1" x14ac:dyDescent="0.35">
      <c r="B1295" s="5">
        <v>1274</v>
      </c>
      <c r="C1295" s="39">
        <f t="shared" ca="1" si="171"/>
        <v>3.4332673983918292</v>
      </c>
      <c r="D1295" s="40">
        <f t="shared" ca="1" si="172"/>
        <v>9205984138.6581326</v>
      </c>
      <c r="E1295" s="40">
        <f t="shared" ca="1" si="173"/>
        <v>16505299405598.496</v>
      </c>
      <c r="F1295" s="40">
        <f t="shared" ca="1" si="174"/>
        <v>2937188038942.1074</v>
      </c>
      <c r="G1295" s="40">
        <f t="shared" ca="1" si="175"/>
        <v>14050280142544.967</v>
      </c>
      <c r="H1295" s="40">
        <f t="shared" ca="1" si="176"/>
        <v>2937188038942.1074</v>
      </c>
      <c r="I1295" s="40">
        <f t="shared" ca="1" si="177"/>
        <v>3187902430372.3057</v>
      </c>
      <c r="J1295" s="40">
        <f t="shared" ca="1" si="178"/>
        <v>1480127302965.7275</v>
      </c>
      <c r="K1295" s="41">
        <f t="shared" ca="1" si="179"/>
        <v>2.1538028681618893</v>
      </c>
    </row>
    <row r="1296" spans="2:11" ht="15" customHeight="1" x14ac:dyDescent="0.35">
      <c r="B1296" s="5">
        <v>1275</v>
      </c>
      <c r="C1296" s="39">
        <f t="shared" ca="1" si="171"/>
        <v>3.4410333335854681</v>
      </c>
      <c r="D1296" s="40">
        <f t="shared" ca="1" si="172"/>
        <v>11312998779.812506</v>
      </c>
      <c r="E1296" s="40">
        <f t="shared" ca="1" si="173"/>
        <v>16464692392887.717</v>
      </c>
      <c r="F1296" s="40">
        <f t="shared" ca="1" si="174"/>
        <v>4847753450672.2441</v>
      </c>
      <c r="G1296" s="40">
        <f t="shared" ca="1" si="175"/>
        <v>4518349191704.6699</v>
      </c>
      <c r="H1296" s="40">
        <f t="shared" ca="1" si="176"/>
        <v>4847753450672.2441</v>
      </c>
      <c r="I1296" s="40">
        <f t="shared" ca="1" si="177"/>
        <v>1475654833530.1592</v>
      </c>
      <c r="J1296" s="40">
        <f t="shared" ca="1" si="178"/>
        <v>660473467145.95227</v>
      </c>
      <c r="K1296" s="41">
        <f t="shared" ca="1" si="179"/>
        <v>2.2342378716692144</v>
      </c>
    </row>
    <row r="1297" spans="2:11" ht="15" customHeight="1" x14ac:dyDescent="0.35">
      <c r="B1297" s="5">
        <v>1276</v>
      </c>
      <c r="C1297" s="39">
        <f t="shared" ca="1" si="171"/>
        <v>3.1140296881798131</v>
      </c>
      <c r="D1297" s="40">
        <f t="shared" ca="1" si="172"/>
        <v>6197871614.2480621</v>
      </c>
      <c r="E1297" s="40">
        <f t="shared" ca="1" si="173"/>
        <v>6945173506959.0732</v>
      </c>
      <c r="F1297" s="40">
        <f t="shared" ca="1" si="174"/>
        <v>4969473522694.6885</v>
      </c>
      <c r="G1297" s="40">
        <f t="shared" ca="1" si="175"/>
        <v>11550780645566.713</v>
      </c>
      <c r="H1297" s="40">
        <f t="shared" ca="1" si="176"/>
        <v>4969473522694.6885</v>
      </c>
      <c r="I1297" s="40">
        <f t="shared" ca="1" si="177"/>
        <v>9120618181689.2051</v>
      </c>
      <c r="J1297" s="40">
        <f t="shared" ca="1" si="178"/>
        <v>1459787614459.52</v>
      </c>
      <c r="K1297" s="41">
        <f t="shared" ca="1" si="179"/>
        <v>6.2479076348829512</v>
      </c>
    </row>
    <row r="1298" spans="2:11" ht="15" customHeight="1" x14ac:dyDescent="0.35">
      <c r="B1298" s="5">
        <v>1277</v>
      </c>
      <c r="C1298" s="39">
        <f t="shared" ca="1" si="171"/>
        <v>2.7356313188405217</v>
      </c>
      <c r="D1298" s="40">
        <f t="shared" ca="1" si="172"/>
        <v>2743652384.0913978</v>
      </c>
      <c r="E1298" s="40">
        <f t="shared" ca="1" si="173"/>
        <v>11347464850067.588</v>
      </c>
      <c r="F1298" s="40">
        <f t="shared" ca="1" si="174"/>
        <v>1687942217063.4529</v>
      </c>
      <c r="G1298" s="40">
        <f t="shared" ca="1" si="175"/>
        <v>10370029147221.721</v>
      </c>
      <c r="H1298" s="40">
        <f t="shared" ca="1" si="176"/>
        <v>10370029147221.721</v>
      </c>
      <c r="I1298" s="40">
        <f t="shared" ca="1" si="177"/>
        <v>7724466553540.3994</v>
      </c>
      <c r="J1298" s="40">
        <f t="shared" ca="1" si="178"/>
        <v>782349019836.87341</v>
      </c>
      <c r="K1298" s="41">
        <f t="shared" ca="1" si="179"/>
        <v>9.8734277894935154</v>
      </c>
    </row>
    <row r="1299" spans="2:11" ht="15" customHeight="1" x14ac:dyDescent="0.35">
      <c r="B1299" s="5">
        <v>1278</v>
      </c>
      <c r="C1299" s="39">
        <f t="shared" ca="1" si="171"/>
        <v>3.3551707624446006</v>
      </c>
      <c r="D1299" s="40">
        <f t="shared" ca="1" si="172"/>
        <v>8651319294.3473091</v>
      </c>
      <c r="E1299" s="40">
        <f t="shared" ca="1" si="173"/>
        <v>9106601817467.1582</v>
      </c>
      <c r="F1299" s="40">
        <f t="shared" ca="1" si="174"/>
        <v>5519344575552.8477</v>
      </c>
      <c r="G1299" s="40">
        <f t="shared" ca="1" si="175"/>
        <v>794192278720.73682</v>
      </c>
      <c r="H1299" s="40">
        <f t="shared" ca="1" si="176"/>
        <v>9106601817467.1582</v>
      </c>
      <c r="I1299" s="40">
        <f t="shared" ca="1" si="177"/>
        <v>1093267644120.0007</v>
      </c>
      <c r="J1299" s="40">
        <f t="shared" ca="1" si="178"/>
        <v>1027558903465.2948</v>
      </c>
      <c r="K1299" s="41">
        <f t="shared" ca="1" si="179"/>
        <v>1.0639464467030675</v>
      </c>
    </row>
    <row r="1300" spans="2:11" ht="15" customHeight="1" x14ac:dyDescent="0.35">
      <c r="B1300" s="5">
        <v>1279</v>
      </c>
      <c r="C1300" s="39">
        <f t="shared" ca="1" si="171"/>
        <v>2.7418271104167982</v>
      </c>
      <c r="D1300" s="40">
        <f t="shared" ca="1" si="172"/>
        <v>2986467648.0527678</v>
      </c>
      <c r="E1300" s="40">
        <f t="shared" ca="1" si="173"/>
        <v>7475198924371.79</v>
      </c>
      <c r="F1300" s="40">
        <f t="shared" ca="1" si="174"/>
        <v>9051953456513.7813</v>
      </c>
      <c r="G1300" s="40">
        <f t="shared" ca="1" si="175"/>
        <v>521239131465.48248</v>
      </c>
      <c r="H1300" s="40">
        <f t="shared" ca="1" si="176"/>
        <v>9051953456513.7813</v>
      </c>
      <c r="I1300" s="40">
        <f t="shared" ca="1" si="177"/>
        <v>1353550367043.0681</v>
      </c>
      <c r="J1300" s="40">
        <f t="shared" ca="1" si="178"/>
        <v>1148855789452.7434</v>
      </c>
      <c r="K1300" s="41">
        <f t="shared" ca="1" si="179"/>
        <v>1.1781725604462774</v>
      </c>
    </row>
    <row r="1301" spans="2:11" ht="15" customHeight="1" x14ac:dyDescent="0.35">
      <c r="B1301" s="5">
        <v>1280</v>
      </c>
      <c r="C1301" s="39">
        <f t="shared" ca="1" si="171"/>
        <v>3.207947049189996</v>
      </c>
      <c r="D1301" s="40">
        <f t="shared" ca="1" si="172"/>
        <v>6019786473.2677784</v>
      </c>
      <c r="E1301" s="40">
        <f t="shared" ca="1" si="173"/>
        <v>9715801492394.7773</v>
      </c>
      <c r="F1301" s="40">
        <f t="shared" ca="1" si="174"/>
        <v>5384714729399.8457</v>
      </c>
      <c r="G1301" s="40">
        <f t="shared" ca="1" si="175"/>
        <v>10614818499614.439</v>
      </c>
      <c r="H1301" s="40">
        <f t="shared" ca="1" si="176"/>
        <v>5384714729399.8457</v>
      </c>
      <c r="I1301" s="40">
        <f t="shared" ca="1" si="177"/>
        <v>55637945966493.07</v>
      </c>
      <c r="J1301" s="40">
        <f t="shared" ca="1" si="178"/>
        <v>1342663474144.1409</v>
      </c>
      <c r="K1301" s="41">
        <f t="shared" ca="1" si="179"/>
        <v>41.438489269962886</v>
      </c>
    </row>
    <row r="1302" spans="2:11" ht="15" customHeight="1" x14ac:dyDescent="0.35">
      <c r="B1302" s="5">
        <v>1281</v>
      </c>
      <c r="C1302" s="39">
        <f t="shared" ref="C1302:C1365" ca="1" si="180">MEDIAN(1.8,NORMINV(RAND(),$C$7,$D$7),4.5)</f>
        <v>2.6419445470686496</v>
      </c>
      <c r="D1302" s="40">
        <f t="shared" ref="D1302:D1365" ca="1" si="181">($C$8+RAND()*($D$8-$C$8))*C1302^5</f>
        <v>2369660288.8681684</v>
      </c>
      <c r="E1302" s="40">
        <f t="shared" ref="E1302:E1365" ca="1" si="182">D1302*($C$10+RAND()*($D$10-$C$10))*EXP(NORMINV(RAND(),$C$9,$D$9))*($C$11+RAND()*($D$11-$C$11))</f>
        <v>3461578214956.2153</v>
      </c>
      <c r="F1302" s="40">
        <f t="shared" ref="F1302:F1365" ca="1" si="183">EXP(NORMINV(RAND(),$C$12,$D$12))*EXP(NORMINV(RAND(),$C$13,$D$13))</f>
        <v>3165493109208.333</v>
      </c>
      <c r="G1302" s="40">
        <f t="shared" ref="G1302:G1365" ca="1" si="184">EXP(NORMINV(RAND(),$C$14,$D$14))*($C$15+RAND()*($D$15-$C$15))*EXP(NORMINV(RAND(),$C$16,$D$16))/1000000*31536000</f>
        <v>4204704889121.0962</v>
      </c>
      <c r="H1302" s="40">
        <f t="shared" ref="H1302:H1365" ca="1" si="185">CHOOSE(RANDBETWEEN(1,3),E1302,F1302,G1302)</f>
        <v>3461578214956.2153</v>
      </c>
      <c r="I1302" s="40">
        <f t="shared" ref="I1302:I1365" ca="1" si="186">EXP(NORMINV(RAND(),$C$14,$D$14))*($C$15+RAND()*($D$15-$C$15))*60</f>
        <v>2406074600645.7031</v>
      </c>
      <c r="J1302" s="40">
        <f t="shared" ref="J1302:J1365" ca="1" si="187">($C$17+RAND()*($D$17-$C$17))*($C$18+RAND()*($D$18-$C$18))</f>
        <v>1418424566436.1013</v>
      </c>
      <c r="K1302" s="41">
        <f t="shared" ref="K1302:K1365" ca="1" si="188">I1302/J1302</f>
        <v>1.6963007110706965</v>
      </c>
    </row>
    <row r="1303" spans="2:11" ht="15" customHeight="1" x14ac:dyDescent="0.35">
      <c r="B1303" s="5">
        <v>1282</v>
      </c>
      <c r="C1303" s="39">
        <f t="shared" ca="1" si="180"/>
        <v>2.729161912311675</v>
      </c>
      <c r="D1303" s="40">
        <f t="shared" ca="1" si="181"/>
        <v>3473944944.8361945</v>
      </c>
      <c r="E1303" s="40">
        <f t="shared" ca="1" si="182"/>
        <v>4835678515936.1309</v>
      </c>
      <c r="F1303" s="40">
        <f t="shared" ca="1" si="183"/>
        <v>934816170213.03198</v>
      </c>
      <c r="G1303" s="40">
        <f t="shared" ca="1" si="184"/>
        <v>3986369455854.8042</v>
      </c>
      <c r="H1303" s="40">
        <f t="shared" ca="1" si="185"/>
        <v>4835678515936.1309</v>
      </c>
      <c r="I1303" s="40">
        <f t="shared" ca="1" si="186"/>
        <v>7102764369012.8623</v>
      </c>
      <c r="J1303" s="40">
        <f t="shared" ca="1" si="187"/>
        <v>1301765398289.5552</v>
      </c>
      <c r="K1303" s="41">
        <f t="shared" ca="1" si="188"/>
        <v>5.4562553117063075</v>
      </c>
    </row>
    <row r="1304" spans="2:11" ht="15" customHeight="1" x14ac:dyDescent="0.35">
      <c r="B1304" s="5">
        <v>1283</v>
      </c>
      <c r="C1304" s="39">
        <f t="shared" ca="1" si="180"/>
        <v>2.7245793248093149</v>
      </c>
      <c r="D1304" s="40">
        <f t="shared" ca="1" si="181"/>
        <v>2772498575.1336012</v>
      </c>
      <c r="E1304" s="40">
        <f t="shared" ca="1" si="182"/>
        <v>9192514279665.7734</v>
      </c>
      <c r="F1304" s="40">
        <f t="shared" ca="1" si="183"/>
        <v>6283833407980.7617</v>
      </c>
      <c r="G1304" s="40">
        <f t="shared" ca="1" si="184"/>
        <v>776483140842.59119</v>
      </c>
      <c r="H1304" s="40">
        <f t="shared" ca="1" si="185"/>
        <v>6283833407980.7617</v>
      </c>
      <c r="I1304" s="40">
        <f t="shared" ca="1" si="186"/>
        <v>1216599749778.8252</v>
      </c>
      <c r="J1304" s="40">
        <f t="shared" ca="1" si="187"/>
        <v>1130092697133.427</v>
      </c>
      <c r="K1304" s="41">
        <f t="shared" ca="1" si="188"/>
        <v>1.0765486343419708</v>
      </c>
    </row>
    <row r="1305" spans="2:11" ht="15" customHeight="1" x14ac:dyDescent="0.35">
      <c r="B1305" s="5">
        <v>1284</v>
      </c>
      <c r="C1305" s="39">
        <f t="shared" ca="1" si="180"/>
        <v>3.2204297865729004</v>
      </c>
      <c r="D1305" s="40">
        <f t="shared" ca="1" si="181"/>
        <v>8222728047.7330379</v>
      </c>
      <c r="E1305" s="40">
        <f t="shared" ca="1" si="182"/>
        <v>16578020583389.271</v>
      </c>
      <c r="F1305" s="40">
        <f t="shared" ca="1" si="183"/>
        <v>3898613620208.752</v>
      </c>
      <c r="G1305" s="40">
        <f t="shared" ca="1" si="184"/>
        <v>19884985001353.066</v>
      </c>
      <c r="H1305" s="40">
        <f t="shared" ca="1" si="185"/>
        <v>3898613620208.752</v>
      </c>
      <c r="I1305" s="40">
        <f t="shared" ca="1" si="186"/>
        <v>1300716799917.7554</v>
      </c>
      <c r="J1305" s="40">
        <f t="shared" ca="1" si="187"/>
        <v>1236545209389.0386</v>
      </c>
      <c r="K1305" s="41">
        <f t="shared" ca="1" si="188"/>
        <v>1.0518958708840278</v>
      </c>
    </row>
    <row r="1306" spans="2:11" ht="15" customHeight="1" x14ac:dyDescent="0.35">
      <c r="B1306" s="5">
        <v>1285</v>
      </c>
      <c r="C1306" s="39">
        <f t="shared" ca="1" si="180"/>
        <v>2.3552753768793506</v>
      </c>
      <c r="D1306" s="40">
        <f t="shared" ca="1" si="181"/>
        <v>1232802011.2626786</v>
      </c>
      <c r="E1306" s="40">
        <f t="shared" ca="1" si="182"/>
        <v>1408390651238.55</v>
      </c>
      <c r="F1306" s="40">
        <f t="shared" ca="1" si="183"/>
        <v>6784583700841.1328</v>
      </c>
      <c r="G1306" s="40">
        <f t="shared" ca="1" si="184"/>
        <v>4280607749045.5171</v>
      </c>
      <c r="H1306" s="40">
        <f t="shared" ca="1" si="185"/>
        <v>4280607749045.5171</v>
      </c>
      <c r="I1306" s="40">
        <f t="shared" ca="1" si="186"/>
        <v>6993478696578.4512</v>
      </c>
      <c r="J1306" s="40">
        <f t="shared" ca="1" si="187"/>
        <v>597743637535.32166</v>
      </c>
      <c r="K1306" s="41">
        <f t="shared" ca="1" si="188"/>
        <v>11.699796129013912</v>
      </c>
    </row>
    <row r="1307" spans="2:11" ht="15" customHeight="1" x14ac:dyDescent="0.35">
      <c r="B1307" s="5">
        <v>1286</v>
      </c>
      <c r="C1307" s="39">
        <f t="shared" ca="1" si="180"/>
        <v>3.3199650374774561</v>
      </c>
      <c r="D1307" s="40">
        <f t="shared" ca="1" si="181"/>
        <v>8124409712.6103706</v>
      </c>
      <c r="E1307" s="40">
        <f t="shared" ca="1" si="182"/>
        <v>150218995579964.75</v>
      </c>
      <c r="F1307" s="40">
        <f t="shared" ca="1" si="183"/>
        <v>1631675020298.7952</v>
      </c>
      <c r="G1307" s="40">
        <f t="shared" ca="1" si="184"/>
        <v>3041434115882.9731</v>
      </c>
      <c r="H1307" s="40">
        <f t="shared" ca="1" si="185"/>
        <v>1631675020298.7952</v>
      </c>
      <c r="I1307" s="40">
        <f t="shared" ca="1" si="186"/>
        <v>14288038628143.754</v>
      </c>
      <c r="J1307" s="40">
        <f t="shared" ca="1" si="187"/>
        <v>980000714977.70154</v>
      </c>
      <c r="K1307" s="41">
        <f t="shared" ca="1" si="188"/>
        <v>14.579620616367466</v>
      </c>
    </row>
    <row r="1308" spans="2:11" ht="15" customHeight="1" x14ac:dyDescent="0.35">
      <c r="B1308" s="5">
        <v>1287</v>
      </c>
      <c r="C1308" s="39">
        <f t="shared" ca="1" si="180"/>
        <v>3.1907518233779526</v>
      </c>
      <c r="D1308" s="40">
        <f t="shared" ca="1" si="181"/>
        <v>7807383041.0240993</v>
      </c>
      <c r="E1308" s="40">
        <f t="shared" ca="1" si="182"/>
        <v>38978660161697.953</v>
      </c>
      <c r="F1308" s="40">
        <f t="shared" ca="1" si="183"/>
        <v>4982615743951.6475</v>
      </c>
      <c r="G1308" s="40">
        <f t="shared" ca="1" si="184"/>
        <v>14697492487003.045</v>
      </c>
      <c r="H1308" s="40">
        <f t="shared" ca="1" si="185"/>
        <v>38978660161697.953</v>
      </c>
      <c r="I1308" s="40">
        <f t="shared" ca="1" si="186"/>
        <v>14992327512346.572</v>
      </c>
      <c r="J1308" s="40">
        <f t="shared" ca="1" si="187"/>
        <v>825784554579.32813</v>
      </c>
      <c r="K1308" s="41">
        <f t="shared" ca="1" si="188"/>
        <v>18.155253000564993</v>
      </c>
    </row>
    <row r="1309" spans="2:11" ht="15" customHeight="1" x14ac:dyDescent="0.35">
      <c r="B1309" s="5">
        <v>1288</v>
      </c>
      <c r="C1309" s="39">
        <f t="shared" ca="1" si="180"/>
        <v>2.9045190430841421</v>
      </c>
      <c r="D1309" s="40">
        <f t="shared" ca="1" si="181"/>
        <v>4370334710.6768847</v>
      </c>
      <c r="E1309" s="40">
        <f t="shared" ca="1" si="182"/>
        <v>17411650528069.016</v>
      </c>
      <c r="F1309" s="40">
        <f t="shared" ca="1" si="183"/>
        <v>1662157008869.4817</v>
      </c>
      <c r="G1309" s="40">
        <f t="shared" ca="1" si="184"/>
        <v>5430772232764.8125</v>
      </c>
      <c r="H1309" s="40">
        <f t="shared" ca="1" si="185"/>
        <v>1662157008869.4817</v>
      </c>
      <c r="I1309" s="40">
        <f t="shared" ca="1" si="186"/>
        <v>17188187786650.396</v>
      </c>
      <c r="J1309" s="40">
        <f t="shared" ca="1" si="187"/>
        <v>1576781926777.9087</v>
      </c>
      <c r="K1309" s="41">
        <f t="shared" ca="1" si="188"/>
        <v>10.900802130433963</v>
      </c>
    </row>
    <row r="1310" spans="2:11" ht="15" customHeight="1" x14ac:dyDescent="0.35">
      <c r="B1310" s="5">
        <v>1289</v>
      </c>
      <c r="C1310" s="39">
        <f t="shared" ca="1" si="180"/>
        <v>3.0083017559375622</v>
      </c>
      <c r="D1310" s="40">
        <f t="shared" ca="1" si="181"/>
        <v>4250706672.8435149</v>
      </c>
      <c r="E1310" s="40">
        <f t="shared" ca="1" si="182"/>
        <v>13629994768081.578</v>
      </c>
      <c r="F1310" s="40">
        <f t="shared" ca="1" si="183"/>
        <v>1910270171919.5674</v>
      </c>
      <c r="G1310" s="40">
        <f t="shared" ca="1" si="184"/>
        <v>1844273843956.4302</v>
      </c>
      <c r="H1310" s="40">
        <f t="shared" ca="1" si="185"/>
        <v>1844273843956.4302</v>
      </c>
      <c r="I1310" s="40">
        <f t="shared" ca="1" si="186"/>
        <v>8648943426460.4219</v>
      </c>
      <c r="J1310" s="40">
        <f t="shared" ca="1" si="187"/>
        <v>700927490536.79602</v>
      </c>
      <c r="K1310" s="41">
        <f t="shared" ca="1" si="188"/>
        <v>12.339284081776766</v>
      </c>
    </row>
    <row r="1311" spans="2:11" ht="15" customHeight="1" x14ac:dyDescent="0.35">
      <c r="B1311" s="5">
        <v>1290</v>
      </c>
      <c r="C1311" s="39">
        <f t="shared" ca="1" si="180"/>
        <v>2.5146278399801618</v>
      </c>
      <c r="D1311" s="40">
        <f t="shared" ca="1" si="181"/>
        <v>1775685172.8737898</v>
      </c>
      <c r="E1311" s="40">
        <f t="shared" ca="1" si="182"/>
        <v>4900793293021.9355</v>
      </c>
      <c r="F1311" s="40">
        <f t="shared" ca="1" si="183"/>
        <v>5268635714615.4561</v>
      </c>
      <c r="G1311" s="40">
        <f t="shared" ca="1" si="184"/>
        <v>32030804247581.57</v>
      </c>
      <c r="H1311" s="40">
        <f t="shared" ca="1" si="185"/>
        <v>5268635714615.4561</v>
      </c>
      <c r="I1311" s="40">
        <f t="shared" ca="1" si="186"/>
        <v>9182817030326.9238</v>
      </c>
      <c r="J1311" s="40">
        <f t="shared" ca="1" si="187"/>
        <v>499283076860.28656</v>
      </c>
      <c r="K1311" s="41">
        <f t="shared" ca="1" si="188"/>
        <v>18.392005369123563</v>
      </c>
    </row>
    <row r="1312" spans="2:11" ht="15" customHeight="1" x14ac:dyDescent="0.35">
      <c r="B1312" s="5">
        <v>1291</v>
      </c>
      <c r="C1312" s="39">
        <f t="shared" ca="1" si="180"/>
        <v>3.3764288381628913</v>
      </c>
      <c r="D1312" s="40">
        <f t="shared" ca="1" si="181"/>
        <v>7307347703.1687584</v>
      </c>
      <c r="E1312" s="40">
        <f t="shared" ca="1" si="182"/>
        <v>11395861565093.826</v>
      </c>
      <c r="F1312" s="40">
        <f t="shared" ca="1" si="183"/>
        <v>11081047913925.256</v>
      </c>
      <c r="G1312" s="40">
        <f t="shared" ca="1" si="184"/>
        <v>27591770149545.148</v>
      </c>
      <c r="H1312" s="40">
        <f t="shared" ca="1" si="185"/>
        <v>27591770149545.148</v>
      </c>
      <c r="I1312" s="40">
        <f t="shared" ca="1" si="186"/>
        <v>6089204115225.6953</v>
      </c>
      <c r="J1312" s="40">
        <f t="shared" ca="1" si="187"/>
        <v>571987773870.86523</v>
      </c>
      <c r="K1312" s="41">
        <f t="shared" ca="1" si="188"/>
        <v>10.645689284611219</v>
      </c>
    </row>
    <row r="1313" spans="2:11" ht="15" customHeight="1" x14ac:dyDescent="0.35">
      <c r="B1313" s="5">
        <v>1292</v>
      </c>
      <c r="C1313" s="39">
        <f t="shared" ca="1" si="180"/>
        <v>2.9538183139592631</v>
      </c>
      <c r="D1313" s="40">
        <f t="shared" ca="1" si="181"/>
        <v>3834149040.9637513</v>
      </c>
      <c r="E1313" s="40">
        <f t="shared" ca="1" si="182"/>
        <v>7465290868271.2969</v>
      </c>
      <c r="F1313" s="40">
        <f t="shared" ca="1" si="183"/>
        <v>2770410848409.0273</v>
      </c>
      <c r="G1313" s="40">
        <f t="shared" ca="1" si="184"/>
        <v>1255925952783.021</v>
      </c>
      <c r="H1313" s="40">
        <f t="shared" ca="1" si="185"/>
        <v>2770410848409.0273</v>
      </c>
      <c r="I1313" s="40">
        <f t="shared" ca="1" si="186"/>
        <v>253969572408569.75</v>
      </c>
      <c r="J1313" s="40">
        <f t="shared" ca="1" si="187"/>
        <v>600976416109.72522</v>
      </c>
      <c r="K1313" s="41">
        <f t="shared" ca="1" si="188"/>
        <v>422.59490655653354</v>
      </c>
    </row>
    <row r="1314" spans="2:11" ht="15" customHeight="1" x14ac:dyDescent="0.35">
      <c r="B1314" s="5">
        <v>1293</v>
      </c>
      <c r="C1314" s="39">
        <f t="shared" ca="1" si="180"/>
        <v>3.167028569156995</v>
      </c>
      <c r="D1314" s="40">
        <f t="shared" ca="1" si="181"/>
        <v>6605236682.36485</v>
      </c>
      <c r="E1314" s="40">
        <f t="shared" ca="1" si="182"/>
        <v>71595398814405.219</v>
      </c>
      <c r="F1314" s="40">
        <f t="shared" ca="1" si="183"/>
        <v>1159459710399.5061</v>
      </c>
      <c r="G1314" s="40">
        <f t="shared" ca="1" si="184"/>
        <v>3871615435548.5488</v>
      </c>
      <c r="H1314" s="40">
        <f t="shared" ca="1" si="185"/>
        <v>71595398814405.219</v>
      </c>
      <c r="I1314" s="40">
        <f t="shared" ca="1" si="186"/>
        <v>41647102418487.844</v>
      </c>
      <c r="J1314" s="40">
        <f t="shared" ca="1" si="187"/>
        <v>1668556407009.4836</v>
      </c>
      <c r="K1314" s="41">
        <f t="shared" ca="1" si="188"/>
        <v>24.959960744228606</v>
      </c>
    </row>
    <row r="1315" spans="2:11" ht="15" customHeight="1" x14ac:dyDescent="0.35">
      <c r="B1315" s="5">
        <v>1294</v>
      </c>
      <c r="C1315" s="39">
        <f t="shared" ca="1" si="180"/>
        <v>2.8484701023504977</v>
      </c>
      <c r="D1315" s="40">
        <f t="shared" ca="1" si="181"/>
        <v>3382468685.3177619</v>
      </c>
      <c r="E1315" s="40">
        <f t="shared" ca="1" si="182"/>
        <v>28607598785187.125</v>
      </c>
      <c r="F1315" s="40">
        <f t="shared" ca="1" si="183"/>
        <v>5055112139954.0303</v>
      </c>
      <c r="G1315" s="40">
        <f t="shared" ca="1" si="184"/>
        <v>28961099805557.816</v>
      </c>
      <c r="H1315" s="40">
        <f t="shared" ca="1" si="185"/>
        <v>28961099805557.816</v>
      </c>
      <c r="I1315" s="40">
        <f t="shared" ca="1" si="186"/>
        <v>5191166032032.9023</v>
      </c>
      <c r="J1315" s="40">
        <f t="shared" ca="1" si="187"/>
        <v>1308855540029.1448</v>
      </c>
      <c r="K1315" s="41">
        <f t="shared" ca="1" si="188"/>
        <v>3.9661871560839392</v>
      </c>
    </row>
    <row r="1316" spans="2:11" ht="15" customHeight="1" x14ac:dyDescent="0.35">
      <c r="B1316" s="5">
        <v>1295</v>
      </c>
      <c r="C1316" s="39">
        <f t="shared" ca="1" si="180"/>
        <v>3.4590304465581059</v>
      </c>
      <c r="D1316" s="40">
        <f t="shared" ca="1" si="181"/>
        <v>10313906023.467587</v>
      </c>
      <c r="E1316" s="40">
        <f t="shared" ca="1" si="182"/>
        <v>128560587503472.14</v>
      </c>
      <c r="F1316" s="40">
        <f t="shared" ca="1" si="183"/>
        <v>7020603621612.2627</v>
      </c>
      <c r="G1316" s="40">
        <f t="shared" ca="1" si="184"/>
        <v>7407925889759.8232</v>
      </c>
      <c r="H1316" s="40">
        <f t="shared" ca="1" si="185"/>
        <v>128560587503472.14</v>
      </c>
      <c r="I1316" s="40">
        <f t="shared" ca="1" si="186"/>
        <v>851590656929.12158</v>
      </c>
      <c r="J1316" s="40">
        <f t="shared" ca="1" si="187"/>
        <v>1274841424201.3967</v>
      </c>
      <c r="K1316" s="41">
        <f t="shared" ca="1" si="188"/>
        <v>0.66799732167676185</v>
      </c>
    </row>
    <row r="1317" spans="2:11" ht="15" customHeight="1" x14ac:dyDescent="0.35">
      <c r="B1317" s="5">
        <v>1296</v>
      </c>
      <c r="C1317" s="39">
        <f t="shared" ca="1" si="180"/>
        <v>3.6140114035215052</v>
      </c>
      <c r="D1317" s="40">
        <f t="shared" ca="1" si="181"/>
        <v>11319101693.677467</v>
      </c>
      <c r="E1317" s="40">
        <f t="shared" ca="1" si="182"/>
        <v>28992332063793.352</v>
      </c>
      <c r="F1317" s="40">
        <f t="shared" ca="1" si="183"/>
        <v>2566819749547.9473</v>
      </c>
      <c r="G1317" s="40">
        <f t="shared" ca="1" si="184"/>
        <v>6658391391882.5137</v>
      </c>
      <c r="H1317" s="40">
        <f t="shared" ca="1" si="185"/>
        <v>28992332063793.352</v>
      </c>
      <c r="I1317" s="40">
        <f t="shared" ca="1" si="186"/>
        <v>2702987043062.9961</v>
      </c>
      <c r="J1317" s="40">
        <f t="shared" ca="1" si="187"/>
        <v>719544089916.41357</v>
      </c>
      <c r="K1317" s="41">
        <f t="shared" ca="1" si="188"/>
        <v>3.7565273357703357</v>
      </c>
    </row>
    <row r="1318" spans="2:11" ht="15" customHeight="1" x14ac:dyDescent="0.35">
      <c r="B1318" s="5">
        <v>1297</v>
      </c>
      <c r="C1318" s="39">
        <f t="shared" ca="1" si="180"/>
        <v>2.1462449497006126</v>
      </c>
      <c r="D1318" s="40">
        <f t="shared" ca="1" si="181"/>
        <v>891873646.77569282</v>
      </c>
      <c r="E1318" s="40">
        <f t="shared" ca="1" si="182"/>
        <v>1161354495378.5962</v>
      </c>
      <c r="F1318" s="40">
        <f t="shared" ca="1" si="183"/>
        <v>1958627428951.7971</v>
      </c>
      <c r="G1318" s="40">
        <f t="shared" ca="1" si="184"/>
        <v>1022540125124.114</v>
      </c>
      <c r="H1318" s="40">
        <f t="shared" ca="1" si="185"/>
        <v>1161354495378.5962</v>
      </c>
      <c r="I1318" s="40">
        <f t="shared" ca="1" si="186"/>
        <v>4503581489192.9971</v>
      </c>
      <c r="J1318" s="40">
        <f t="shared" ca="1" si="187"/>
        <v>1081631400008.6591</v>
      </c>
      <c r="K1318" s="41">
        <f t="shared" ca="1" si="188"/>
        <v>4.1636933701785503</v>
      </c>
    </row>
    <row r="1319" spans="2:11" ht="15" customHeight="1" x14ac:dyDescent="0.35">
      <c r="B1319" s="5">
        <v>1298</v>
      </c>
      <c r="C1319" s="39">
        <f t="shared" ca="1" si="180"/>
        <v>2.601183433956721</v>
      </c>
      <c r="D1319" s="40">
        <f t="shared" ca="1" si="181"/>
        <v>2045919592.1113269</v>
      </c>
      <c r="E1319" s="40">
        <f t="shared" ca="1" si="182"/>
        <v>5910332293462.4951</v>
      </c>
      <c r="F1319" s="40">
        <f t="shared" ca="1" si="183"/>
        <v>822792007356.60706</v>
      </c>
      <c r="G1319" s="40">
        <f t="shared" ca="1" si="184"/>
        <v>66167642637179.992</v>
      </c>
      <c r="H1319" s="40">
        <f t="shared" ca="1" si="185"/>
        <v>5910332293462.4951</v>
      </c>
      <c r="I1319" s="40">
        <f t="shared" ca="1" si="186"/>
        <v>20201240912175.883</v>
      </c>
      <c r="J1319" s="40">
        <f t="shared" ca="1" si="187"/>
        <v>922380777265.97351</v>
      </c>
      <c r="K1319" s="41">
        <f t="shared" ca="1" si="188"/>
        <v>21.901194615150512</v>
      </c>
    </row>
    <row r="1320" spans="2:11" ht="15" customHeight="1" x14ac:dyDescent="0.35">
      <c r="B1320" s="5">
        <v>1299</v>
      </c>
      <c r="C1320" s="39">
        <f t="shared" ca="1" si="180"/>
        <v>3.503180405836297</v>
      </c>
      <c r="D1320" s="40">
        <f t="shared" ca="1" si="181"/>
        <v>12650052486.307804</v>
      </c>
      <c r="E1320" s="40">
        <f t="shared" ca="1" si="182"/>
        <v>30082446208241.453</v>
      </c>
      <c r="F1320" s="40">
        <f t="shared" ca="1" si="183"/>
        <v>1034137553695.172</v>
      </c>
      <c r="G1320" s="40">
        <f t="shared" ca="1" si="184"/>
        <v>6477498757286.2246</v>
      </c>
      <c r="H1320" s="40">
        <f t="shared" ca="1" si="185"/>
        <v>1034137553695.172</v>
      </c>
      <c r="I1320" s="40">
        <f t="shared" ca="1" si="186"/>
        <v>6735840960024.3018</v>
      </c>
      <c r="J1320" s="40">
        <f t="shared" ca="1" si="187"/>
        <v>989771229521.19397</v>
      </c>
      <c r="K1320" s="41">
        <f t="shared" ca="1" si="188"/>
        <v>6.8054523703248009</v>
      </c>
    </row>
    <row r="1321" spans="2:11" ht="15" customHeight="1" x14ac:dyDescent="0.35">
      <c r="B1321" s="5">
        <v>1300</v>
      </c>
      <c r="C1321" s="39">
        <f t="shared" ca="1" si="180"/>
        <v>3.1323891061377336</v>
      </c>
      <c r="D1321" s="40">
        <f t="shared" ca="1" si="181"/>
        <v>7042705550.2742577</v>
      </c>
      <c r="E1321" s="40">
        <f t="shared" ca="1" si="182"/>
        <v>72522670352482.063</v>
      </c>
      <c r="F1321" s="40">
        <f t="shared" ca="1" si="183"/>
        <v>2360635426311.6719</v>
      </c>
      <c r="G1321" s="40">
        <f t="shared" ca="1" si="184"/>
        <v>1779443628012.4766</v>
      </c>
      <c r="H1321" s="40">
        <f t="shared" ca="1" si="185"/>
        <v>72522670352482.063</v>
      </c>
      <c r="I1321" s="40">
        <f t="shared" ca="1" si="186"/>
        <v>574560469613.59375</v>
      </c>
      <c r="J1321" s="40">
        <f t="shared" ca="1" si="187"/>
        <v>746889908979.63574</v>
      </c>
      <c r="K1321" s="41">
        <f t="shared" ca="1" si="188"/>
        <v>0.76927062838287641</v>
      </c>
    </row>
    <row r="1322" spans="2:11" ht="15" customHeight="1" x14ac:dyDescent="0.35">
      <c r="B1322" s="5">
        <v>1301</v>
      </c>
      <c r="C1322" s="39">
        <f t="shared" ca="1" si="180"/>
        <v>3.5002067542851596</v>
      </c>
      <c r="D1322" s="40">
        <f t="shared" ca="1" si="181"/>
        <v>11581161107.08717</v>
      </c>
      <c r="E1322" s="40">
        <f t="shared" ca="1" si="182"/>
        <v>120775603927926.98</v>
      </c>
      <c r="F1322" s="40">
        <f t="shared" ca="1" si="183"/>
        <v>2424517704301.1221</v>
      </c>
      <c r="G1322" s="40">
        <f t="shared" ca="1" si="184"/>
        <v>8983828993398.2383</v>
      </c>
      <c r="H1322" s="40">
        <f t="shared" ca="1" si="185"/>
        <v>120775603927926.98</v>
      </c>
      <c r="I1322" s="40">
        <f t="shared" ca="1" si="186"/>
        <v>14210726248007.258</v>
      </c>
      <c r="J1322" s="40">
        <f t="shared" ca="1" si="187"/>
        <v>943304743124.88684</v>
      </c>
      <c r="K1322" s="41">
        <f t="shared" ca="1" si="188"/>
        <v>15.064830693982696</v>
      </c>
    </row>
    <row r="1323" spans="2:11" ht="15" customHeight="1" x14ac:dyDescent="0.35">
      <c r="B1323" s="5">
        <v>1302</v>
      </c>
      <c r="C1323" s="39">
        <f t="shared" ca="1" si="180"/>
        <v>2.6565611624561143</v>
      </c>
      <c r="D1323" s="40">
        <f t="shared" ca="1" si="181"/>
        <v>2422963499.4229069</v>
      </c>
      <c r="E1323" s="40">
        <f t="shared" ca="1" si="182"/>
        <v>14640440011344.65</v>
      </c>
      <c r="F1323" s="40">
        <f t="shared" ca="1" si="183"/>
        <v>19050474053484.055</v>
      </c>
      <c r="G1323" s="40">
        <f t="shared" ca="1" si="184"/>
        <v>3534632725583.1523</v>
      </c>
      <c r="H1323" s="40">
        <f t="shared" ca="1" si="185"/>
        <v>14640440011344.65</v>
      </c>
      <c r="I1323" s="40">
        <f t="shared" ca="1" si="186"/>
        <v>4355343985346.4331</v>
      </c>
      <c r="J1323" s="40">
        <f t="shared" ca="1" si="187"/>
        <v>1105256775448.2368</v>
      </c>
      <c r="K1323" s="41">
        <f t="shared" ca="1" si="188"/>
        <v>3.9405720752809894</v>
      </c>
    </row>
    <row r="1324" spans="2:11" ht="15" customHeight="1" x14ac:dyDescent="0.35">
      <c r="B1324" s="5">
        <v>1303</v>
      </c>
      <c r="C1324" s="39">
        <f t="shared" ca="1" si="180"/>
        <v>3.6087655550659252</v>
      </c>
      <c r="D1324" s="40">
        <f t="shared" ca="1" si="181"/>
        <v>10648738818.173826</v>
      </c>
      <c r="E1324" s="40">
        <f t="shared" ca="1" si="182"/>
        <v>101460840840490.92</v>
      </c>
      <c r="F1324" s="40">
        <f t="shared" ca="1" si="183"/>
        <v>4355815216504.332</v>
      </c>
      <c r="G1324" s="40">
        <f t="shared" ca="1" si="184"/>
        <v>4903916112346.1289</v>
      </c>
      <c r="H1324" s="40">
        <f t="shared" ca="1" si="185"/>
        <v>4355815216504.332</v>
      </c>
      <c r="I1324" s="40">
        <f t="shared" ca="1" si="186"/>
        <v>10407446496150.725</v>
      </c>
      <c r="J1324" s="40">
        <f t="shared" ca="1" si="187"/>
        <v>560556259664.17981</v>
      </c>
      <c r="K1324" s="41">
        <f t="shared" ca="1" si="188"/>
        <v>18.566283609758738</v>
      </c>
    </row>
    <row r="1325" spans="2:11" ht="15" customHeight="1" x14ac:dyDescent="0.35">
      <c r="B1325" s="5">
        <v>1304</v>
      </c>
      <c r="C1325" s="39">
        <f t="shared" ca="1" si="180"/>
        <v>3.6799913152897128</v>
      </c>
      <c r="D1325" s="40">
        <f t="shared" ca="1" si="181"/>
        <v>12158762556.13883</v>
      </c>
      <c r="E1325" s="40">
        <f t="shared" ca="1" si="182"/>
        <v>17027390697036.596</v>
      </c>
      <c r="F1325" s="40">
        <f t="shared" ca="1" si="183"/>
        <v>1573949388903.0452</v>
      </c>
      <c r="G1325" s="40">
        <f t="shared" ca="1" si="184"/>
        <v>51718485416859.383</v>
      </c>
      <c r="H1325" s="40">
        <f t="shared" ca="1" si="185"/>
        <v>1573949388903.0452</v>
      </c>
      <c r="I1325" s="40">
        <f t="shared" ca="1" si="186"/>
        <v>22771061137060.145</v>
      </c>
      <c r="J1325" s="40">
        <f t="shared" ca="1" si="187"/>
        <v>1179802287277.6482</v>
      </c>
      <c r="K1325" s="41">
        <f t="shared" ca="1" si="188"/>
        <v>19.300743338617828</v>
      </c>
    </row>
    <row r="1326" spans="2:11" ht="15" customHeight="1" x14ac:dyDescent="0.35">
      <c r="B1326" s="5">
        <v>1305</v>
      </c>
      <c r="C1326" s="39">
        <f t="shared" ca="1" si="180"/>
        <v>2.8313257289436904</v>
      </c>
      <c r="D1326" s="40">
        <f t="shared" ca="1" si="181"/>
        <v>3759794648.0035863</v>
      </c>
      <c r="E1326" s="40">
        <f t="shared" ca="1" si="182"/>
        <v>1625469394465.3706</v>
      </c>
      <c r="F1326" s="40">
        <f t="shared" ca="1" si="183"/>
        <v>1199798580197.5977</v>
      </c>
      <c r="G1326" s="40">
        <f t="shared" ca="1" si="184"/>
        <v>20112052426423.051</v>
      </c>
      <c r="H1326" s="40">
        <f t="shared" ca="1" si="185"/>
        <v>1199798580197.5977</v>
      </c>
      <c r="I1326" s="40">
        <f t="shared" ca="1" si="186"/>
        <v>120696045640576</v>
      </c>
      <c r="J1326" s="40">
        <f t="shared" ca="1" si="187"/>
        <v>1310563111797.929</v>
      </c>
      <c r="K1326" s="41">
        <f t="shared" ca="1" si="188"/>
        <v>92.094798452701824</v>
      </c>
    </row>
    <row r="1327" spans="2:11" ht="15" customHeight="1" x14ac:dyDescent="0.35">
      <c r="B1327" s="5">
        <v>1306</v>
      </c>
      <c r="C1327" s="39">
        <f t="shared" ca="1" si="180"/>
        <v>2.3839319899935703</v>
      </c>
      <c r="D1327" s="40">
        <f t="shared" ca="1" si="181"/>
        <v>1741570160.6353424</v>
      </c>
      <c r="E1327" s="40">
        <f t="shared" ca="1" si="182"/>
        <v>7103305212780.6172</v>
      </c>
      <c r="F1327" s="40">
        <f t="shared" ca="1" si="183"/>
        <v>1402490306458.064</v>
      </c>
      <c r="G1327" s="40">
        <f t="shared" ca="1" si="184"/>
        <v>1498518311144.4163</v>
      </c>
      <c r="H1327" s="40">
        <f t="shared" ca="1" si="185"/>
        <v>1402490306458.064</v>
      </c>
      <c r="I1327" s="40">
        <f t="shared" ca="1" si="186"/>
        <v>5453062755928.1543</v>
      </c>
      <c r="J1327" s="40">
        <f t="shared" ca="1" si="187"/>
        <v>1066255114753.2322</v>
      </c>
      <c r="K1327" s="41">
        <f t="shared" ca="1" si="188"/>
        <v>5.1142195525975778</v>
      </c>
    </row>
    <row r="1328" spans="2:11" ht="15" customHeight="1" x14ac:dyDescent="0.35">
      <c r="B1328" s="5">
        <v>1307</v>
      </c>
      <c r="C1328" s="39">
        <f t="shared" ca="1" si="180"/>
        <v>2.6542115044281371</v>
      </c>
      <c r="D1328" s="40">
        <f t="shared" ca="1" si="181"/>
        <v>2645573439.8089428</v>
      </c>
      <c r="E1328" s="40">
        <f t="shared" ca="1" si="182"/>
        <v>9095523256999.9297</v>
      </c>
      <c r="F1328" s="40">
        <f t="shared" ca="1" si="183"/>
        <v>790809189577.99634</v>
      </c>
      <c r="G1328" s="40">
        <f t="shared" ca="1" si="184"/>
        <v>17378581842078.434</v>
      </c>
      <c r="H1328" s="40">
        <f t="shared" ca="1" si="185"/>
        <v>790809189577.99634</v>
      </c>
      <c r="I1328" s="40">
        <f t="shared" ca="1" si="186"/>
        <v>3373965449324.4355</v>
      </c>
      <c r="J1328" s="40">
        <f t="shared" ca="1" si="187"/>
        <v>607086952113.55652</v>
      </c>
      <c r="K1328" s="41">
        <f t="shared" ca="1" si="188"/>
        <v>5.5576313040134826</v>
      </c>
    </row>
    <row r="1329" spans="2:11" ht="15" customHeight="1" x14ac:dyDescent="0.35">
      <c r="B1329" s="5">
        <v>1308</v>
      </c>
      <c r="C1329" s="39">
        <f t="shared" ca="1" si="180"/>
        <v>3.0956426210442491</v>
      </c>
      <c r="D1329" s="40">
        <f t="shared" ca="1" si="181"/>
        <v>6189963679.9597778</v>
      </c>
      <c r="E1329" s="40">
        <f t="shared" ca="1" si="182"/>
        <v>55428661643066.086</v>
      </c>
      <c r="F1329" s="40">
        <f t="shared" ca="1" si="183"/>
        <v>1794662322429.239</v>
      </c>
      <c r="G1329" s="40">
        <f t="shared" ca="1" si="184"/>
        <v>701364738255.9751</v>
      </c>
      <c r="H1329" s="40">
        <f t="shared" ca="1" si="185"/>
        <v>1794662322429.239</v>
      </c>
      <c r="I1329" s="40">
        <f t="shared" ca="1" si="186"/>
        <v>6954954950934.3105</v>
      </c>
      <c r="J1329" s="40">
        <f t="shared" ca="1" si="187"/>
        <v>563414758674.87659</v>
      </c>
      <c r="K1329" s="41">
        <f t="shared" ca="1" si="188"/>
        <v>12.344289608763566</v>
      </c>
    </row>
    <row r="1330" spans="2:11" ht="15" customHeight="1" x14ac:dyDescent="0.35">
      <c r="B1330" s="5">
        <v>1309</v>
      </c>
      <c r="C1330" s="39">
        <f t="shared" ca="1" si="180"/>
        <v>2.8685339296192041</v>
      </c>
      <c r="D1330" s="40">
        <f t="shared" ca="1" si="181"/>
        <v>4403828553.6179218</v>
      </c>
      <c r="E1330" s="40">
        <f t="shared" ca="1" si="182"/>
        <v>22076310782741.207</v>
      </c>
      <c r="F1330" s="40">
        <f t="shared" ca="1" si="183"/>
        <v>1809632265839.783</v>
      </c>
      <c r="G1330" s="40">
        <f t="shared" ca="1" si="184"/>
        <v>3092719357748.7056</v>
      </c>
      <c r="H1330" s="40">
        <f t="shared" ca="1" si="185"/>
        <v>3092719357748.7056</v>
      </c>
      <c r="I1330" s="40">
        <f t="shared" ca="1" si="186"/>
        <v>2246985524385.8506</v>
      </c>
      <c r="J1330" s="40">
        <f t="shared" ca="1" si="187"/>
        <v>1115669715686.8203</v>
      </c>
      <c r="K1330" s="41">
        <f t="shared" ca="1" si="188"/>
        <v>2.0140239470447381</v>
      </c>
    </row>
    <row r="1331" spans="2:11" ht="15" customHeight="1" x14ac:dyDescent="0.35">
      <c r="B1331" s="5">
        <v>1310</v>
      </c>
      <c r="C1331" s="39">
        <f t="shared" ca="1" si="180"/>
        <v>3.3249755569680812</v>
      </c>
      <c r="D1331" s="40">
        <f t="shared" ca="1" si="181"/>
        <v>7029624741.0320454</v>
      </c>
      <c r="E1331" s="40">
        <f t="shared" ca="1" si="182"/>
        <v>12976266673187.316</v>
      </c>
      <c r="F1331" s="40">
        <f t="shared" ca="1" si="183"/>
        <v>8455400673721.7979</v>
      </c>
      <c r="G1331" s="40">
        <f t="shared" ca="1" si="184"/>
        <v>2872038451641.3145</v>
      </c>
      <c r="H1331" s="40">
        <f t="shared" ca="1" si="185"/>
        <v>8455400673721.7979</v>
      </c>
      <c r="I1331" s="40">
        <f t="shared" ca="1" si="186"/>
        <v>71932057436102.016</v>
      </c>
      <c r="J1331" s="40">
        <f t="shared" ca="1" si="187"/>
        <v>742997383805.86499</v>
      </c>
      <c r="K1331" s="41">
        <f t="shared" ca="1" si="188"/>
        <v>96.813338786798312</v>
      </c>
    </row>
    <row r="1332" spans="2:11" ht="15" customHeight="1" x14ac:dyDescent="0.35">
      <c r="B1332" s="5">
        <v>1311</v>
      </c>
      <c r="C1332" s="39">
        <f t="shared" ca="1" si="180"/>
        <v>2.840098653684159</v>
      </c>
      <c r="D1332" s="40">
        <f t="shared" ca="1" si="181"/>
        <v>3582256260.7960763</v>
      </c>
      <c r="E1332" s="40">
        <f t="shared" ca="1" si="182"/>
        <v>37240073406969.375</v>
      </c>
      <c r="F1332" s="40">
        <f t="shared" ca="1" si="183"/>
        <v>1584952361055.1558</v>
      </c>
      <c r="G1332" s="40">
        <f t="shared" ca="1" si="184"/>
        <v>68609020597195.414</v>
      </c>
      <c r="H1332" s="40">
        <f t="shared" ca="1" si="185"/>
        <v>37240073406969.375</v>
      </c>
      <c r="I1332" s="40">
        <f t="shared" ca="1" si="186"/>
        <v>7516080645063.5381</v>
      </c>
      <c r="J1332" s="40">
        <f t="shared" ca="1" si="187"/>
        <v>1459692640211.137</v>
      </c>
      <c r="K1332" s="41">
        <f t="shared" ca="1" si="188"/>
        <v>5.1490844291551516</v>
      </c>
    </row>
    <row r="1333" spans="2:11" ht="15" customHeight="1" x14ac:dyDescent="0.35">
      <c r="B1333" s="5">
        <v>1312</v>
      </c>
      <c r="C1333" s="39">
        <f t="shared" ca="1" si="180"/>
        <v>4.3590727054085994</v>
      </c>
      <c r="D1333" s="40">
        <f t="shared" ca="1" si="181"/>
        <v>36904844918.366669</v>
      </c>
      <c r="E1333" s="40">
        <f t="shared" ca="1" si="182"/>
        <v>392990978078800.75</v>
      </c>
      <c r="F1333" s="40">
        <f t="shared" ca="1" si="183"/>
        <v>11676734100765.262</v>
      </c>
      <c r="G1333" s="40">
        <f t="shared" ca="1" si="184"/>
        <v>71976538476625.828</v>
      </c>
      <c r="H1333" s="40">
        <f t="shared" ca="1" si="185"/>
        <v>392990978078800.75</v>
      </c>
      <c r="I1333" s="40">
        <f t="shared" ca="1" si="186"/>
        <v>2817356476060.48</v>
      </c>
      <c r="J1333" s="40">
        <f t="shared" ca="1" si="187"/>
        <v>1037887653598.2501</v>
      </c>
      <c r="K1333" s="41">
        <f t="shared" ca="1" si="188"/>
        <v>2.714510059246773</v>
      </c>
    </row>
    <row r="1334" spans="2:11" ht="15" customHeight="1" x14ac:dyDescent="0.35">
      <c r="B1334" s="5">
        <v>1313</v>
      </c>
      <c r="C1334" s="39">
        <f t="shared" ca="1" si="180"/>
        <v>3.5000413122518172</v>
      </c>
      <c r="D1334" s="40">
        <f t="shared" ca="1" si="181"/>
        <v>8800598160.9571724</v>
      </c>
      <c r="E1334" s="40">
        <f t="shared" ca="1" si="182"/>
        <v>8607683358533.1182</v>
      </c>
      <c r="F1334" s="40">
        <f t="shared" ca="1" si="183"/>
        <v>5439633234194.2393</v>
      </c>
      <c r="G1334" s="40">
        <f t="shared" ca="1" si="184"/>
        <v>48594788785745.82</v>
      </c>
      <c r="H1334" s="40">
        <f t="shared" ca="1" si="185"/>
        <v>48594788785745.82</v>
      </c>
      <c r="I1334" s="40">
        <f t="shared" ca="1" si="186"/>
        <v>59957970136134.148</v>
      </c>
      <c r="J1334" s="40">
        <f t="shared" ca="1" si="187"/>
        <v>777533016861.73022</v>
      </c>
      <c r="K1334" s="41">
        <f t="shared" ca="1" si="188"/>
        <v>77.113085664369365</v>
      </c>
    </row>
    <row r="1335" spans="2:11" ht="15" customHeight="1" x14ac:dyDescent="0.35">
      <c r="B1335" s="5">
        <v>1314</v>
      </c>
      <c r="C1335" s="39">
        <f t="shared" ca="1" si="180"/>
        <v>2.6493271771853237</v>
      </c>
      <c r="D1335" s="40">
        <f t="shared" ca="1" si="181"/>
        <v>2899992405.6042719</v>
      </c>
      <c r="E1335" s="40">
        <f t="shared" ca="1" si="182"/>
        <v>8453704109649.3203</v>
      </c>
      <c r="F1335" s="40">
        <f t="shared" ca="1" si="183"/>
        <v>7356511764047.1719</v>
      </c>
      <c r="G1335" s="40">
        <f t="shared" ca="1" si="184"/>
        <v>3577192597544.8496</v>
      </c>
      <c r="H1335" s="40">
        <f t="shared" ca="1" si="185"/>
        <v>8453704109649.3203</v>
      </c>
      <c r="I1335" s="40">
        <f t="shared" ca="1" si="186"/>
        <v>28023180513102.508</v>
      </c>
      <c r="J1335" s="40">
        <f t="shared" ca="1" si="187"/>
        <v>1311719127243.8494</v>
      </c>
      <c r="K1335" s="41">
        <f t="shared" ca="1" si="188"/>
        <v>21.363705027298106</v>
      </c>
    </row>
    <row r="1336" spans="2:11" ht="15" customHeight="1" x14ac:dyDescent="0.35">
      <c r="B1336" s="5">
        <v>1315</v>
      </c>
      <c r="C1336" s="39">
        <f t="shared" ca="1" si="180"/>
        <v>2.7630551495358939</v>
      </c>
      <c r="D1336" s="40">
        <f t="shared" ca="1" si="181"/>
        <v>3317446516.0379763</v>
      </c>
      <c r="E1336" s="40">
        <f t="shared" ca="1" si="182"/>
        <v>5610696434516.6016</v>
      </c>
      <c r="F1336" s="40">
        <f t="shared" ca="1" si="183"/>
        <v>3825433719390.6582</v>
      </c>
      <c r="G1336" s="40">
        <f t="shared" ca="1" si="184"/>
        <v>17550029793535.844</v>
      </c>
      <c r="H1336" s="40">
        <f t="shared" ca="1" si="185"/>
        <v>3825433719390.6582</v>
      </c>
      <c r="I1336" s="40">
        <f t="shared" ca="1" si="186"/>
        <v>3402163078234.7617</v>
      </c>
      <c r="J1336" s="40">
        <f t="shared" ca="1" si="187"/>
        <v>893979858584.91028</v>
      </c>
      <c r="K1336" s="41">
        <f t="shared" ca="1" si="188"/>
        <v>3.8056372809339125</v>
      </c>
    </row>
    <row r="1337" spans="2:11" ht="15" customHeight="1" x14ac:dyDescent="0.35">
      <c r="B1337" s="5">
        <v>1316</v>
      </c>
      <c r="C1337" s="39">
        <f t="shared" ca="1" si="180"/>
        <v>3.3124749609653774</v>
      </c>
      <c r="D1337" s="40">
        <f t="shared" ca="1" si="181"/>
        <v>8810462757.3167114</v>
      </c>
      <c r="E1337" s="40">
        <f t="shared" ca="1" si="182"/>
        <v>26114704171909.504</v>
      </c>
      <c r="F1337" s="40">
        <f t="shared" ca="1" si="183"/>
        <v>1458127445873.3879</v>
      </c>
      <c r="G1337" s="40">
        <f t="shared" ca="1" si="184"/>
        <v>4632717339365.2939</v>
      </c>
      <c r="H1337" s="40">
        <f t="shared" ca="1" si="185"/>
        <v>4632717339365.2939</v>
      </c>
      <c r="I1337" s="40">
        <f t="shared" ca="1" si="186"/>
        <v>2379826623755.5996</v>
      </c>
      <c r="J1337" s="40">
        <f t="shared" ca="1" si="187"/>
        <v>1594499482942.5449</v>
      </c>
      <c r="K1337" s="41">
        <f t="shared" ca="1" si="188"/>
        <v>1.4925226688463922</v>
      </c>
    </row>
    <row r="1338" spans="2:11" ht="15" customHeight="1" x14ac:dyDescent="0.35">
      <c r="B1338" s="5">
        <v>1317</v>
      </c>
      <c r="C1338" s="39">
        <f t="shared" ca="1" si="180"/>
        <v>3.1752047348122656</v>
      </c>
      <c r="D1338" s="40">
        <f t="shared" ca="1" si="181"/>
        <v>7235477052.2925529</v>
      </c>
      <c r="E1338" s="40">
        <f t="shared" ca="1" si="182"/>
        <v>17178183787777.289</v>
      </c>
      <c r="F1338" s="40">
        <f t="shared" ca="1" si="183"/>
        <v>2442343322836.0737</v>
      </c>
      <c r="G1338" s="40">
        <f t="shared" ca="1" si="184"/>
        <v>15175135208570.986</v>
      </c>
      <c r="H1338" s="40">
        <f t="shared" ca="1" si="185"/>
        <v>2442343322836.0737</v>
      </c>
      <c r="I1338" s="40">
        <f t="shared" ca="1" si="186"/>
        <v>5009944879075.916</v>
      </c>
      <c r="J1338" s="40">
        <f t="shared" ca="1" si="187"/>
        <v>1433303981214.9763</v>
      </c>
      <c r="K1338" s="41">
        <f t="shared" ca="1" si="188"/>
        <v>3.495381959958773</v>
      </c>
    </row>
    <row r="1339" spans="2:11" ht="15" customHeight="1" x14ac:dyDescent="0.35">
      <c r="B1339" s="5">
        <v>1318</v>
      </c>
      <c r="C1339" s="39">
        <f t="shared" ca="1" si="180"/>
        <v>2.7931351848013026</v>
      </c>
      <c r="D1339" s="40">
        <f t="shared" ca="1" si="181"/>
        <v>2950952164.1877255</v>
      </c>
      <c r="E1339" s="40">
        <f t="shared" ca="1" si="182"/>
        <v>33398282446769.879</v>
      </c>
      <c r="F1339" s="40">
        <f t="shared" ca="1" si="183"/>
        <v>193550781029508.72</v>
      </c>
      <c r="G1339" s="40">
        <f t="shared" ca="1" si="184"/>
        <v>12717840012640.943</v>
      </c>
      <c r="H1339" s="40">
        <f t="shared" ca="1" si="185"/>
        <v>33398282446769.879</v>
      </c>
      <c r="I1339" s="40">
        <f t="shared" ca="1" si="186"/>
        <v>1581873393567.9204</v>
      </c>
      <c r="J1339" s="40">
        <f t="shared" ca="1" si="187"/>
        <v>830245630241.27307</v>
      </c>
      <c r="K1339" s="41">
        <f t="shared" ca="1" si="188"/>
        <v>1.9053077016595932</v>
      </c>
    </row>
    <row r="1340" spans="2:11" ht="15" customHeight="1" x14ac:dyDescent="0.35">
      <c r="B1340" s="5">
        <v>1319</v>
      </c>
      <c r="C1340" s="39">
        <f t="shared" ca="1" si="180"/>
        <v>2.6436756288432459</v>
      </c>
      <c r="D1340" s="40">
        <f t="shared" ca="1" si="181"/>
        <v>2517630845.5283289</v>
      </c>
      <c r="E1340" s="40">
        <f t="shared" ca="1" si="182"/>
        <v>6419975245261.1592</v>
      </c>
      <c r="F1340" s="40">
        <f t="shared" ca="1" si="183"/>
        <v>2215582222371.1924</v>
      </c>
      <c r="G1340" s="40">
        <f t="shared" ca="1" si="184"/>
        <v>959383576469.5387</v>
      </c>
      <c r="H1340" s="40">
        <f t="shared" ca="1" si="185"/>
        <v>2215582222371.1924</v>
      </c>
      <c r="I1340" s="40">
        <f t="shared" ca="1" si="186"/>
        <v>4067040350912.9302</v>
      </c>
      <c r="J1340" s="40">
        <f t="shared" ca="1" si="187"/>
        <v>989052430448.28625</v>
      </c>
      <c r="K1340" s="41">
        <f t="shared" ca="1" si="188"/>
        <v>4.1120573851373594</v>
      </c>
    </row>
    <row r="1341" spans="2:11" ht="15" customHeight="1" x14ac:dyDescent="0.35">
      <c r="B1341" s="5">
        <v>1320</v>
      </c>
      <c r="C1341" s="39">
        <f t="shared" ca="1" si="180"/>
        <v>2.5832823900595687</v>
      </c>
      <c r="D1341" s="40">
        <f t="shared" ca="1" si="181"/>
        <v>2717629528.170229</v>
      </c>
      <c r="E1341" s="40">
        <f t="shared" ca="1" si="182"/>
        <v>23916739501698.43</v>
      </c>
      <c r="F1341" s="40">
        <f t="shared" ca="1" si="183"/>
        <v>377599601835.17206</v>
      </c>
      <c r="G1341" s="40">
        <f t="shared" ca="1" si="184"/>
        <v>10014459868586.633</v>
      </c>
      <c r="H1341" s="40">
        <f t="shared" ca="1" si="185"/>
        <v>377599601835.17206</v>
      </c>
      <c r="I1341" s="40">
        <f t="shared" ca="1" si="186"/>
        <v>6571546926280.1982</v>
      </c>
      <c r="J1341" s="40">
        <f t="shared" ca="1" si="187"/>
        <v>932003799824.44775</v>
      </c>
      <c r="K1341" s="41">
        <f t="shared" ca="1" si="188"/>
        <v>7.0509872679896954</v>
      </c>
    </row>
    <row r="1342" spans="2:11" ht="15" customHeight="1" x14ac:dyDescent="0.35">
      <c r="B1342" s="5">
        <v>1321</v>
      </c>
      <c r="C1342" s="39">
        <f t="shared" ca="1" si="180"/>
        <v>2.8032850643284331</v>
      </c>
      <c r="D1342" s="40">
        <f t="shared" ca="1" si="181"/>
        <v>3235207815.4758687</v>
      </c>
      <c r="E1342" s="40">
        <f t="shared" ca="1" si="182"/>
        <v>50042673669831.672</v>
      </c>
      <c r="F1342" s="40">
        <f t="shared" ca="1" si="183"/>
        <v>4185249142501.7856</v>
      </c>
      <c r="G1342" s="40">
        <f t="shared" ca="1" si="184"/>
        <v>776837086954.26892</v>
      </c>
      <c r="H1342" s="40">
        <f t="shared" ca="1" si="185"/>
        <v>4185249142501.7856</v>
      </c>
      <c r="I1342" s="40">
        <f t="shared" ca="1" si="186"/>
        <v>10370530202926.586</v>
      </c>
      <c r="J1342" s="40">
        <f t="shared" ca="1" si="187"/>
        <v>972685486377.99207</v>
      </c>
      <c r="K1342" s="41">
        <f t="shared" ca="1" si="188"/>
        <v>10.661750738713632</v>
      </c>
    </row>
    <row r="1343" spans="2:11" ht="15" customHeight="1" x14ac:dyDescent="0.35">
      <c r="B1343" s="5">
        <v>1322</v>
      </c>
      <c r="C1343" s="39">
        <f t="shared" ca="1" si="180"/>
        <v>2.2978466430165163</v>
      </c>
      <c r="D1343" s="40">
        <f t="shared" ca="1" si="181"/>
        <v>1470939834.2356896</v>
      </c>
      <c r="E1343" s="40">
        <f t="shared" ca="1" si="182"/>
        <v>19576108627088.059</v>
      </c>
      <c r="F1343" s="40">
        <f t="shared" ca="1" si="183"/>
        <v>3713784593265.4648</v>
      </c>
      <c r="G1343" s="40">
        <f t="shared" ca="1" si="184"/>
        <v>9760079280170.9023</v>
      </c>
      <c r="H1343" s="40">
        <f t="shared" ca="1" si="185"/>
        <v>3713784593265.4648</v>
      </c>
      <c r="I1343" s="40">
        <f t="shared" ca="1" si="186"/>
        <v>4446966427573.4717</v>
      </c>
      <c r="J1343" s="40">
        <f t="shared" ca="1" si="187"/>
        <v>1436817340718.4651</v>
      </c>
      <c r="K1343" s="41">
        <f t="shared" ca="1" si="188"/>
        <v>3.0950116633126199</v>
      </c>
    </row>
    <row r="1344" spans="2:11" ht="15" customHeight="1" x14ac:dyDescent="0.35">
      <c r="B1344" s="5">
        <v>1323</v>
      </c>
      <c r="C1344" s="39">
        <f t="shared" ca="1" si="180"/>
        <v>2.6966920321260091</v>
      </c>
      <c r="D1344" s="40">
        <f t="shared" ca="1" si="181"/>
        <v>2926325990.2353311</v>
      </c>
      <c r="E1344" s="40">
        <f t="shared" ca="1" si="182"/>
        <v>8835065378140.0762</v>
      </c>
      <c r="F1344" s="40">
        <f t="shared" ca="1" si="183"/>
        <v>1440590103276.9414</v>
      </c>
      <c r="G1344" s="40">
        <f t="shared" ca="1" si="184"/>
        <v>117224165018271.36</v>
      </c>
      <c r="H1344" s="40">
        <f t="shared" ca="1" si="185"/>
        <v>1440590103276.9414</v>
      </c>
      <c r="I1344" s="40">
        <f t="shared" ca="1" si="186"/>
        <v>15017275898475.424</v>
      </c>
      <c r="J1344" s="40">
        <f t="shared" ca="1" si="187"/>
        <v>1490264044102.6875</v>
      </c>
      <c r="K1344" s="41">
        <f t="shared" ca="1" si="188"/>
        <v>10.076922917050966</v>
      </c>
    </row>
    <row r="1345" spans="2:11" ht="15" customHeight="1" x14ac:dyDescent="0.35">
      <c r="B1345" s="5">
        <v>1324</v>
      </c>
      <c r="C1345" s="39">
        <f t="shared" ca="1" si="180"/>
        <v>3.7004222989646114</v>
      </c>
      <c r="D1345" s="40">
        <f t="shared" ca="1" si="181"/>
        <v>11511118591.677267</v>
      </c>
      <c r="E1345" s="40">
        <f t="shared" ca="1" si="182"/>
        <v>40102676243414.813</v>
      </c>
      <c r="F1345" s="40">
        <f t="shared" ca="1" si="183"/>
        <v>6058076011177.8672</v>
      </c>
      <c r="G1345" s="40">
        <f t="shared" ca="1" si="184"/>
        <v>1387983790898.4932</v>
      </c>
      <c r="H1345" s="40">
        <f t="shared" ca="1" si="185"/>
        <v>40102676243414.813</v>
      </c>
      <c r="I1345" s="40">
        <f t="shared" ca="1" si="186"/>
        <v>28635519296212.035</v>
      </c>
      <c r="J1345" s="40">
        <f t="shared" ca="1" si="187"/>
        <v>641479852704.97449</v>
      </c>
      <c r="K1345" s="41">
        <f t="shared" ca="1" si="188"/>
        <v>44.639779683590326</v>
      </c>
    </row>
    <row r="1346" spans="2:11" ht="15" customHeight="1" x14ac:dyDescent="0.35">
      <c r="B1346" s="5">
        <v>1325</v>
      </c>
      <c r="C1346" s="39">
        <f t="shared" ca="1" si="180"/>
        <v>3.1044246891518692</v>
      </c>
      <c r="D1346" s="40">
        <f t="shared" ca="1" si="181"/>
        <v>6277376913.755847</v>
      </c>
      <c r="E1346" s="40">
        <f t="shared" ca="1" si="182"/>
        <v>23237822641204.238</v>
      </c>
      <c r="F1346" s="40">
        <f t="shared" ca="1" si="183"/>
        <v>2046104269862.7275</v>
      </c>
      <c r="G1346" s="40">
        <f t="shared" ca="1" si="184"/>
        <v>5408595538820.1191</v>
      </c>
      <c r="H1346" s="40">
        <f t="shared" ca="1" si="185"/>
        <v>23237822641204.238</v>
      </c>
      <c r="I1346" s="40">
        <f t="shared" ca="1" si="186"/>
        <v>17574708855723.904</v>
      </c>
      <c r="J1346" s="40">
        <f t="shared" ca="1" si="187"/>
        <v>1205841407236.1182</v>
      </c>
      <c r="K1346" s="41">
        <f t="shared" ca="1" si="188"/>
        <v>14.574643688846693</v>
      </c>
    </row>
    <row r="1347" spans="2:11" ht="15" customHeight="1" x14ac:dyDescent="0.35">
      <c r="B1347" s="5">
        <v>1326</v>
      </c>
      <c r="C1347" s="39">
        <f t="shared" ca="1" si="180"/>
        <v>2.4371369645755685</v>
      </c>
      <c r="D1347" s="40">
        <f t="shared" ca="1" si="181"/>
        <v>1890488379.4227817</v>
      </c>
      <c r="E1347" s="40">
        <f t="shared" ca="1" si="182"/>
        <v>11625780900097.617</v>
      </c>
      <c r="F1347" s="40">
        <f t="shared" ca="1" si="183"/>
        <v>706088238041.0188</v>
      </c>
      <c r="G1347" s="40">
        <f t="shared" ca="1" si="184"/>
        <v>512919365866.91833</v>
      </c>
      <c r="H1347" s="40">
        <f t="shared" ca="1" si="185"/>
        <v>512919365866.91833</v>
      </c>
      <c r="I1347" s="40">
        <f t="shared" ca="1" si="186"/>
        <v>87616673970670.297</v>
      </c>
      <c r="J1347" s="40">
        <f t="shared" ca="1" si="187"/>
        <v>1357313158820.3965</v>
      </c>
      <c r="K1347" s="41">
        <f t="shared" ca="1" si="188"/>
        <v>64.55155422409338</v>
      </c>
    </row>
    <row r="1348" spans="2:11" ht="15" customHeight="1" x14ac:dyDescent="0.35">
      <c r="B1348" s="5">
        <v>1327</v>
      </c>
      <c r="C1348" s="39">
        <f t="shared" ca="1" si="180"/>
        <v>2.5461482872036809</v>
      </c>
      <c r="D1348" s="40">
        <f t="shared" ca="1" si="181"/>
        <v>2446233698.3904109</v>
      </c>
      <c r="E1348" s="40">
        <f t="shared" ca="1" si="182"/>
        <v>16530185033197.557</v>
      </c>
      <c r="F1348" s="40">
        <f t="shared" ca="1" si="183"/>
        <v>30806921812280.34</v>
      </c>
      <c r="G1348" s="40">
        <f t="shared" ca="1" si="184"/>
        <v>10746053388740.119</v>
      </c>
      <c r="H1348" s="40">
        <f t="shared" ca="1" si="185"/>
        <v>30806921812280.34</v>
      </c>
      <c r="I1348" s="40">
        <f t="shared" ca="1" si="186"/>
        <v>1751967762385.9319</v>
      </c>
      <c r="J1348" s="40">
        <f t="shared" ca="1" si="187"/>
        <v>887042452281.35486</v>
      </c>
      <c r="K1348" s="41">
        <f t="shared" ca="1" si="188"/>
        <v>1.9750664219960437</v>
      </c>
    </row>
    <row r="1349" spans="2:11" ht="15" customHeight="1" x14ac:dyDescent="0.35">
      <c r="B1349" s="5">
        <v>1328</v>
      </c>
      <c r="C1349" s="39">
        <f t="shared" ca="1" si="180"/>
        <v>2.5708433305717611</v>
      </c>
      <c r="D1349" s="40">
        <f t="shared" ca="1" si="181"/>
        <v>2681031035.604054</v>
      </c>
      <c r="E1349" s="40">
        <f t="shared" ca="1" si="182"/>
        <v>3765500176408.1172</v>
      </c>
      <c r="F1349" s="40">
        <f t="shared" ca="1" si="183"/>
        <v>981101947589.80737</v>
      </c>
      <c r="G1349" s="40">
        <f t="shared" ca="1" si="184"/>
        <v>1045435220775.1184</v>
      </c>
      <c r="H1349" s="40">
        <f t="shared" ca="1" si="185"/>
        <v>3765500176408.1172</v>
      </c>
      <c r="I1349" s="40">
        <f t="shared" ca="1" si="186"/>
        <v>7106389306433.0195</v>
      </c>
      <c r="J1349" s="40">
        <f t="shared" ca="1" si="187"/>
        <v>949598349739.02991</v>
      </c>
      <c r="K1349" s="41">
        <f t="shared" ca="1" si="188"/>
        <v>7.4835737745184669</v>
      </c>
    </row>
    <row r="1350" spans="2:11" ht="15" customHeight="1" x14ac:dyDescent="0.35">
      <c r="B1350" s="5">
        <v>1329</v>
      </c>
      <c r="C1350" s="39">
        <f t="shared" ca="1" si="180"/>
        <v>2.8739717808189384</v>
      </c>
      <c r="D1350" s="40">
        <f t="shared" ca="1" si="181"/>
        <v>4450290712.7766657</v>
      </c>
      <c r="E1350" s="40">
        <f t="shared" ca="1" si="182"/>
        <v>25482185930625.047</v>
      </c>
      <c r="F1350" s="40">
        <f t="shared" ca="1" si="183"/>
        <v>5420711985874.6797</v>
      </c>
      <c r="G1350" s="40">
        <f t="shared" ca="1" si="184"/>
        <v>2299012534159.6187</v>
      </c>
      <c r="H1350" s="40">
        <f t="shared" ca="1" si="185"/>
        <v>2299012534159.6187</v>
      </c>
      <c r="I1350" s="40">
        <f t="shared" ca="1" si="186"/>
        <v>3864822529108.0669</v>
      </c>
      <c r="J1350" s="40">
        <f t="shared" ca="1" si="187"/>
        <v>1570716106777.4917</v>
      </c>
      <c r="K1350" s="41">
        <f t="shared" ca="1" si="188"/>
        <v>2.4605480980501331</v>
      </c>
    </row>
    <row r="1351" spans="2:11" ht="15" customHeight="1" x14ac:dyDescent="0.35">
      <c r="B1351" s="5">
        <v>1330</v>
      </c>
      <c r="C1351" s="39">
        <f t="shared" ca="1" si="180"/>
        <v>3.2763667039032205</v>
      </c>
      <c r="D1351" s="40">
        <f t="shared" ca="1" si="181"/>
        <v>7712538017.521349</v>
      </c>
      <c r="E1351" s="40">
        <f t="shared" ca="1" si="182"/>
        <v>75321260106099.656</v>
      </c>
      <c r="F1351" s="40">
        <f t="shared" ca="1" si="183"/>
        <v>3902200836656.4731</v>
      </c>
      <c r="G1351" s="40">
        <f t="shared" ca="1" si="184"/>
        <v>14993580091128.004</v>
      </c>
      <c r="H1351" s="40">
        <f t="shared" ca="1" si="185"/>
        <v>75321260106099.656</v>
      </c>
      <c r="I1351" s="40">
        <f t="shared" ca="1" si="186"/>
        <v>15563332150312.475</v>
      </c>
      <c r="J1351" s="40">
        <f t="shared" ca="1" si="187"/>
        <v>1045304394938.553</v>
      </c>
      <c r="K1351" s="41">
        <f t="shared" ca="1" si="188"/>
        <v>14.888803898339438</v>
      </c>
    </row>
    <row r="1352" spans="2:11" ht="15" customHeight="1" x14ac:dyDescent="0.35">
      <c r="B1352" s="5">
        <v>1331</v>
      </c>
      <c r="C1352" s="39">
        <f t="shared" ca="1" si="180"/>
        <v>3.0031608190628969</v>
      </c>
      <c r="D1352" s="40">
        <f t="shared" ca="1" si="181"/>
        <v>4188809737.9986472</v>
      </c>
      <c r="E1352" s="40">
        <f t="shared" ca="1" si="182"/>
        <v>8845231817745.6738</v>
      </c>
      <c r="F1352" s="40">
        <f t="shared" ca="1" si="183"/>
        <v>2565981396459.6382</v>
      </c>
      <c r="G1352" s="40">
        <f t="shared" ca="1" si="184"/>
        <v>3141488399289.9072</v>
      </c>
      <c r="H1352" s="40">
        <f t="shared" ca="1" si="185"/>
        <v>2565981396459.6382</v>
      </c>
      <c r="I1352" s="40">
        <f t="shared" ca="1" si="186"/>
        <v>14156248998931.156</v>
      </c>
      <c r="J1352" s="40">
        <f t="shared" ca="1" si="187"/>
        <v>1118512016088.5759</v>
      </c>
      <c r="K1352" s="41">
        <f t="shared" ca="1" si="188"/>
        <v>12.656322681660052</v>
      </c>
    </row>
    <row r="1353" spans="2:11" ht="15" customHeight="1" x14ac:dyDescent="0.35">
      <c r="B1353" s="5">
        <v>1332</v>
      </c>
      <c r="C1353" s="39">
        <f t="shared" ca="1" si="180"/>
        <v>3.2931692668904855</v>
      </c>
      <c r="D1353" s="40">
        <f t="shared" ca="1" si="181"/>
        <v>9287769982.3159771</v>
      </c>
      <c r="E1353" s="40">
        <f t="shared" ca="1" si="182"/>
        <v>59847210020504.594</v>
      </c>
      <c r="F1353" s="40">
        <f t="shared" ca="1" si="183"/>
        <v>3875072636292.813</v>
      </c>
      <c r="G1353" s="40">
        <f t="shared" ca="1" si="184"/>
        <v>6215872867233.1865</v>
      </c>
      <c r="H1353" s="40">
        <f t="shared" ca="1" si="185"/>
        <v>59847210020504.594</v>
      </c>
      <c r="I1353" s="40">
        <f t="shared" ca="1" si="186"/>
        <v>1379294530510.2195</v>
      </c>
      <c r="J1353" s="40">
        <f t="shared" ca="1" si="187"/>
        <v>1174468157969.7258</v>
      </c>
      <c r="K1353" s="41">
        <f t="shared" ca="1" si="188"/>
        <v>1.1743992556550635</v>
      </c>
    </row>
    <row r="1354" spans="2:11" ht="15" customHeight="1" x14ac:dyDescent="0.35">
      <c r="B1354" s="5">
        <v>1333</v>
      </c>
      <c r="C1354" s="39">
        <f t="shared" ca="1" si="180"/>
        <v>3.2344810928792014</v>
      </c>
      <c r="D1354" s="40">
        <f t="shared" ca="1" si="181"/>
        <v>6184709799.2182112</v>
      </c>
      <c r="E1354" s="40">
        <f t="shared" ca="1" si="182"/>
        <v>12180319543733.232</v>
      </c>
      <c r="F1354" s="40">
        <f t="shared" ca="1" si="183"/>
        <v>1824352065636.7043</v>
      </c>
      <c r="G1354" s="40">
        <f t="shared" ca="1" si="184"/>
        <v>7319152896577.1436</v>
      </c>
      <c r="H1354" s="40">
        <f t="shared" ca="1" si="185"/>
        <v>7319152896577.1436</v>
      </c>
      <c r="I1354" s="40">
        <f t="shared" ca="1" si="186"/>
        <v>17816198763704.906</v>
      </c>
      <c r="J1354" s="40">
        <f t="shared" ca="1" si="187"/>
        <v>874255828919.58533</v>
      </c>
      <c r="K1354" s="41">
        <f t="shared" ca="1" si="188"/>
        <v>20.378701719063578</v>
      </c>
    </row>
    <row r="1355" spans="2:11" ht="15" customHeight="1" x14ac:dyDescent="0.35">
      <c r="B1355" s="5">
        <v>1334</v>
      </c>
      <c r="C1355" s="39">
        <f t="shared" ca="1" si="180"/>
        <v>2.6691043206033909</v>
      </c>
      <c r="D1355" s="40">
        <f t="shared" ca="1" si="181"/>
        <v>2615536728.3514457</v>
      </c>
      <c r="E1355" s="40">
        <f t="shared" ca="1" si="182"/>
        <v>32887257571640.691</v>
      </c>
      <c r="F1355" s="40">
        <f t="shared" ca="1" si="183"/>
        <v>6656038317195.1465</v>
      </c>
      <c r="G1355" s="40">
        <f t="shared" ca="1" si="184"/>
        <v>3674858052751.9316</v>
      </c>
      <c r="H1355" s="40">
        <f t="shared" ca="1" si="185"/>
        <v>32887257571640.691</v>
      </c>
      <c r="I1355" s="40">
        <f t="shared" ca="1" si="186"/>
        <v>40935174208546.492</v>
      </c>
      <c r="J1355" s="40">
        <f t="shared" ca="1" si="187"/>
        <v>1250225912311.8967</v>
      </c>
      <c r="K1355" s="41">
        <f t="shared" ca="1" si="188"/>
        <v>32.742221870005764</v>
      </c>
    </row>
    <row r="1356" spans="2:11" ht="15" customHeight="1" x14ac:dyDescent="0.35">
      <c r="B1356" s="5">
        <v>1335</v>
      </c>
      <c r="C1356" s="39">
        <f t="shared" ca="1" si="180"/>
        <v>2.2663801682757252</v>
      </c>
      <c r="D1356" s="40">
        <f t="shared" ca="1" si="181"/>
        <v>1320498212.1624126</v>
      </c>
      <c r="E1356" s="40">
        <f t="shared" ca="1" si="182"/>
        <v>1310669783554.5737</v>
      </c>
      <c r="F1356" s="40">
        <f t="shared" ca="1" si="183"/>
        <v>9564898465140.7422</v>
      </c>
      <c r="G1356" s="40">
        <f t="shared" ca="1" si="184"/>
        <v>45916747857019.305</v>
      </c>
      <c r="H1356" s="40">
        <f t="shared" ca="1" si="185"/>
        <v>45916747857019.305</v>
      </c>
      <c r="I1356" s="40">
        <f t="shared" ca="1" si="186"/>
        <v>38700088296947.961</v>
      </c>
      <c r="J1356" s="40">
        <f t="shared" ca="1" si="187"/>
        <v>845086631243.38049</v>
      </c>
      <c r="K1356" s="41">
        <f t="shared" ca="1" si="188"/>
        <v>45.794226137512453</v>
      </c>
    </row>
    <row r="1357" spans="2:11" ht="15" customHeight="1" x14ac:dyDescent="0.35">
      <c r="B1357" s="5">
        <v>1336</v>
      </c>
      <c r="C1357" s="39">
        <f t="shared" ca="1" si="180"/>
        <v>3.3779550637620188</v>
      </c>
      <c r="D1357" s="40">
        <f t="shared" ca="1" si="181"/>
        <v>8874126314.5581532</v>
      </c>
      <c r="E1357" s="40">
        <f t="shared" ca="1" si="182"/>
        <v>41952434231119.109</v>
      </c>
      <c r="F1357" s="40">
        <f t="shared" ca="1" si="183"/>
        <v>111173396924.9832</v>
      </c>
      <c r="G1357" s="40">
        <f t="shared" ca="1" si="184"/>
        <v>16433701569362.777</v>
      </c>
      <c r="H1357" s="40">
        <f t="shared" ca="1" si="185"/>
        <v>16433701569362.777</v>
      </c>
      <c r="I1357" s="40">
        <f t="shared" ca="1" si="186"/>
        <v>28853402440951.566</v>
      </c>
      <c r="J1357" s="40">
        <f t="shared" ca="1" si="187"/>
        <v>988364386051.95862</v>
      </c>
      <c r="K1357" s="41">
        <f t="shared" ca="1" si="188"/>
        <v>29.193081871562633</v>
      </c>
    </row>
    <row r="1358" spans="2:11" ht="15" customHeight="1" x14ac:dyDescent="0.35">
      <c r="B1358" s="5">
        <v>1337</v>
      </c>
      <c r="C1358" s="39">
        <f t="shared" ca="1" si="180"/>
        <v>3.6056755204985929</v>
      </c>
      <c r="D1358" s="40">
        <f t="shared" ca="1" si="181"/>
        <v>13524424943.271275</v>
      </c>
      <c r="E1358" s="40">
        <f t="shared" ca="1" si="182"/>
        <v>62034631708570.25</v>
      </c>
      <c r="F1358" s="40">
        <f t="shared" ca="1" si="183"/>
        <v>2636006876698.7949</v>
      </c>
      <c r="G1358" s="40">
        <f t="shared" ca="1" si="184"/>
        <v>2481872070825.1704</v>
      </c>
      <c r="H1358" s="40">
        <f t="shared" ca="1" si="185"/>
        <v>2481872070825.1704</v>
      </c>
      <c r="I1358" s="40">
        <f t="shared" ca="1" si="186"/>
        <v>21285732614134.672</v>
      </c>
      <c r="J1358" s="40">
        <f t="shared" ca="1" si="187"/>
        <v>1360672138878.2063</v>
      </c>
      <c r="K1358" s="41">
        <f t="shared" ca="1" si="188"/>
        <v>15.64354263304274</v>
      </c>
    </row>
    <row r="1359" spans="2:11" ht="15" customHeight="1" x14ac:dyDescent="0.35">
      <c r="B1359" s="5">
        <v>1338</v>
      </c>
      <c r="C1359" s="39">
        <f t="shared" ca="1" si="180"/>
        <v>3.0995194342207442</v>
      </c>
      <c r="D1359" s="40">
        <f t="shared" ca="1" si="181"/>
        <v>5068498987.7395124</v>
      </c>
      <c r="E1359" s="40">
        <f t="shared" ca="1" si="182"/>
        <v>18568540851700.137</v>
      </c>
      <c r="F1359" s="40">
        <f t="shared" ca="1" si="183"/>
        <v>2110122887475.5076</v>
      </c>
      <c r="G1359" s="40">
        <f t="shared" ca="1" si="184"/>
        <v>41991254803274.242</v>
      </c>
      <c r="H1359" s="40">
        <f t="shared" ca="1" si="185"/>
        <v>2110122887475.5076</v>
      </c>
      <c r="I1359" s="40">
        <f t="shared" ca="1" si="186"/>
        <v>1569310002956.1521</v>
      </c>
      <c r="J1359" s="40">
        <f t="shared" ca="1" si="187"/>
        <v>881183298082.65015</v>
      </c>
      <c r="K1359" s="41">
        <f t="shared" ca="1" si="188"/>
        <v>1.7809121057682138</v>
      </c>
    </row>
    <row r="1360" spans="2:11" ht="15" customHeight="1" x14ac:dyDescent="0.35">
      <c r="B1360" s="5">
        <v>1339</v>
      </c>
      <c r="C1360" s="39">
        <f t="shared" ca="1" si="180"/>
        <v>2.3503620228486355</v>
      </c>
      <c r="D1360" s="40">
        <f t="shared" ca="1" si="181"/>
        <v>1437652340.0229735</v>
      </c>
      <c r="E1360" s="40">
        <f t="shared" ca="1" si="182"/>
        <v>1841970211058.7751</v>
      </c>
      <c r="F1360" s="40">
        <f t="shared" ca="1" si="183"/>
        <v>2768333376073.4487</v>
      </c>
      <c r="G1360" s="40">
        <f t="shared" ca="1" si="184"/>
        <v>4095217658650.646</v>
      </c>
      <c r="H1360" s="40">
        <f t="shared" ca="1" si="185"/>
        <v>1841970211058.7751</v>
      </c>
      <c r="I1360" s="40">
        <f t="shared" ca="1" si="186"/>
        <v>16896424936904.49</v>
      </c>
      <c r="J1360" s="40">
        <f t="shared" ca="1" si="187"/>
        <v>544458309899.98798</v>
      </c>
      <c r="K1360" s="41">
        <f t="shared" ca="1" si="188"/>
        <v>31.03345954992993</v>
      </c>
    </row>
    <row r="1361" spans="2:11" ht="15" customHeight="1" x14ac:dyDescent="0.35">
      <c r="B1361" s="5">
        <v>1340</v>
      </c>
      <c r="C1361" s="39">
        <f t="shared" ca="1" si="180"/>
        <v>3.1276088886601623</v>
      </c>
      <c r="D1361" s="40">
        <f t="shared" ca="1" si="181"/>
        <v>5959437618.487505</v>
      </c>
      <c r="E1361" s="40">
        <f t="shared" ca="1" si="182"/>
        <v>13574199767241.842</v>
      </c>
      <c r="F1361" s="40">
        <f t="shared" ca="1" si="183"/>
        <v>2422082473945.4727</v>
      </c>
      <c r="G1361" s="40">
        <f t="shared" ca="1" si="184"/>
        <v>4808903234859.542</v>
      </c>
      <c r="H1361" s="40">
        <f t="shared" ca="1" si="185"/>
        <v>13574199767241.842</v>
      </c>
      <c r="I1361" s="40">
        <f t="shared" ca="1" si="186"/>
        <v>4141117151479.1255</v>
      </c>
      <c r="J1361" s="40">
        <f t="shared" ca="1" si="187"/>
        <v>1191771265360.6479</v>
      </c>
      <c r="K1361" s="41">
        <f t="shared" ca="1" si="188"/>
        <v>3.4747583465405678</v>
      </c>
    </row>
    <row r="1362" spans="2:11" ht="15" customHeight="1" x14ac:dyDescent="0.35">
      <c r="B1362" s="5">
        <v>1341</v>
      </c>
      <c r="C1362" s="39">
        <f t="shared" ca="1" si="180"/>
        <v>2.6085695629034018</v>
      </c>
      <c r="D1362" s="40">
        <f t="shared" ca="1" si="181"/>
        <v>2229548689.5607967</v>
      </c>
      <c r="E1362" s="40">
        <f t="shared" ca="1" si="182"/>
        <v>8797597560903.8848</v>
      </c>
      <c r="F1362" s="40">
        <f t="shared" ca="1" si="183"/>
        <v>16919569550890.506</v>
      </c>
      <c r="G1362" s="40">
        <f t="shared" ca="1" si="184"/>
        <v>2459976663958.7241</v>
      </c>
      <c r="H1362" s="40">
        <f t="shared" ca="1" si="185"/>
        <v>16919569550890.506</v>
      </c>
      <c r="I1362" s="40">
        <f t="shared" ca="1" si="186"/>
        <v>25001807870533.293</v>
      </c>
      <c r="J1362" s="40">
        <f t="shared" ca="1" si="187"/>
        <v>961835440429.57581</v>
      </c>
      <c r="K1362" s="41">
        <f t="shared" ca="1" si="188"/>
        <v>25.99385177506764</v>
      </c>
    </row>
    <row r="1363" spans="2:11" ht="15" customHeight="1" x14ac:dyDescent="0.35">
      <c r="B1363" s="5">
        <v>1342</v>
      </c>
      <c r="C1363" s="39">
        <f t="shared" ca="1" si="180"/>
        <v>3.1306511307678435</v>
      </c>
      <c r="D1363" s="40">
        <f t="shared" ca="1" si="181"/>
        <v>6225550768.3434401</v>
      </c>
      <c r="E1363" s="40">
        <f t="shared" ca="1" si="182"/>
        <v>27252629669545.57</v>
      </c>
      <c r="F1363" s="40">
        <f t="shared" ca="1" si="183"/>
        <v>6998920534991.0918</v>
      </c>
      <c r="G1363" s="40">
        <f t="shared" ca="1" si="184"/>
        <v>2318035544073.0923</v>
      </c>
      <c r="H1363" s="40">
        <f t="shared" ca="1" si="185"/>
        <v>27252629669545.57</v>
      </c>
      <c r="I1363" s="40">
        <f t="shared" ca="1" si="186"/>
        <v>4398864491265.4688</v>
      </c>
      <c r="J1363" s="40">
        <f t="shared" ca="1" si="187"/>
        <v>533580315009.44531</v>
      </c>
      <c r="K1363" s="41">
        <f t="shared" ca="1" si="188"/>
        <v>8.2440531772383707</v>
      </c>
    </row>
    <row r="1364" spans="2:11" ht="15" customHeight="1" x14ac:dyDescent="0.35">
      <c r="B1364" s="5">
        <v>1343</v>
      </c>
      <c r="C1364" s="39">
        <f t="shared" ca="1" si="180"/>
        <v>2.2851569657442692</v>
      </c>
      <c r="D1364" s="40">
        <f t="shared" ca="1" si="181"/>
        <v>1399393588.3920875</v>
      </c>
      <c r="E1364" s="40">
        <f t="shared" ca="1" si="182"/>
        <v>2046625120418.354</v>
      </c>
      <c r="F1364" s="40">
        <f t="shared" ca="1" si="183"/>
        <v>6633925422735.5908</v>
      </c>
      <c r="G1364" s="40">
        <f t="shared" ca="1" si="184"/>
        <v>6621372557915.876</v>
      </c>
      <c r="H1364" s="40">
        <f t="shared" ca="1" si="185"/>
        <v>6633925422735.5908</v>
      </c>
      <c r="I1364" s="40">
        <f t="shared" ca="1" si="186"/>
        <v>48786185582737.672</v>
      </c>
      <c r="J1364" s="40">
        <f t="shared" ca="1" si="187"/>
        <v>1441606847793.3599</v>
      </c>
      <c r="K1364" s="41">
        <f t="shared" ca="1" si="188"/>
        <v>33.841532909901026</v>
      </c>
    </row>
    <row r="1365" spans="2:11" ht="15" customHeight="1" x14ac:dyDescent="0.35">
      <c r="B1365" s="5">
        <v>1344</v>
      </c>
      <c r="C1365" s="39">
        <f t="shared" ca="1" si="180"/>
        <v>2.5606480600850765</v>
      </c>
      <c r="D1365" s="40">
        <f t="shared" ca="1" si="181"/>
        <v>2184293587.1109767</v>
      </c>
      <c r="E1365" s="40">
        <f t="shared" ca="1" si="182"/>
        <v>15970146603163.836</v>
      </c>
      <c r="F1365" s="40">
        <f t="shared" ca="1" si="183"/>
        <v>9602345509811.0156</v>
      </c>
      <c r="G1365" s="40">
        <f t="shared" ca="1" si="184"/>
        <v>3808371279571.9897</v>
      </c>
      <c r="H1365" s="40">
        <f t="shared" ca="1" si="185"/>
        <v>9602345509811.0156</v>
      </c>
      <c r="I1365" s="40">
        <f t="shared" ca="1" si="186"/>
        <v>1540474488974.3232</v>
      </c>
      <c r="J1365" s="40">
        <f t="shared" ca="1" si="187"/>
        <v>817167141583.20007</v>
      </c>
      <c r="K1365" s="41">
        <f t="shared" ca="1" si="188"/>
        <v>1.8851400289906046</v>
      </c>
    </row>
    <row r="1366" spans="2:11" ht="15" customHeight="1" x14ac:dyDescent="0.35">
      <c r="B1366" s="5">
        <v>1345</v>
      </c>
      <c r="C1366" s="39">
        <f t="shared" ref="C1366:C1429" ca="1" si="189">MEDIAN(1.8,NORMINV(RAND(),$C$7,$D$7),4.5)</f>
        <v>2.9814777802500219</v>
      </c>
      <c r="D1366" s="40">
        <f t="shared" ref="D1366:D1429" ca="1" si="190">($C$8+RAND()*($D$8-$C$8))*C1366^5</f>
        <v>3836944522.360508</v>
      </c>
      <c r="E1366" s="40">
        <f t="shared" ref="E1366:E1429" ca="1" si="191">D1366*($C$10+RAND()*($D$10-$C$10))*EXP(NORMINV(RAND(),$C$9,$D$9))*($C$11+RAND()*($D$11-$C$11))</f>
        <v>13823832676696.855</v>
      </c>
      <c r="F1366" s="40">
        <f t="shared" ref="F1366:F1429" ca="1" si="192">EXP(NORMINV(RAND(),$C$12,$D$12))*EXP(NORMINV(RAND(),$C$13,$D$13))</f>
        <v>2406282771770.8652</v>
      </c>
      <c r="G1366" s="40">
        <f t="shared" ref="G1366:G1429" ca="1" si="193">EXP(NORMINV(RAND(),$C$14,$D$14))*($C$15+RAND()*($D$15-$C$15))*EXP(NORMINV(RAND(),$C$16,$D$16))/1000000*31536000</f>
        <v>2422142657958.2437</v>
      </c>
      <c r="H1366" s="40">
        <f t="shared" ref="H1366:H1429" ca="1" si="194">CHOOSE(RANDBETWEEN(1,3),E1366,F1366,G1366)</f>
        <v>2422142657958.2437</v>
      </c>
      <c r="I1366" s="40">
        <f t="shared" ref="I1366:I1429" ca="1" si="195">EXP(NORMINV(RAND(),$C$14,$D$14))*($C$15+RAND()*($D$15-$C$15))*60</f>
        <v>40324142993494.281</v>
      </c>
      <c r="J1366" s="40">
        <f t="shared" ref="J1366:J1429" ca="1" si="196">($C$17+RAND()*($D$17-$C$17))*($C$18+RAND()*($D$18-$C$18))</f>
        <v>966662653528.0918</v>
      </c>
      <c r="K1366" s="41">
        <f t="shared" ref="K1366:K1429" ca="1" si="197">I1366/J1366</f>
        <v>41.714803862878767</v>
      </c>
    </row>
    <row r="1367" spans="2:11" ht="15" customHeight="1" x14ac:dyDescent="0.35">
      <c r="B1367" s="5">
        <v>1346</v>
      </c>
      <c r="C1367" s="39">
        <f t="shared" ca="1" si="189"/>
        <v>2.9058136607055727</v>
      </c>
      <c r="D1367" s="40">
        <f t="shared" ca="1" si="190"/>
        <v>3411149105.972753</v>
      </c>
      <c r="E1367" s="40">
        <f t="shared" ca="1" si="191"/>
        <v>15882966541342.125</v>
      </c>
      <c r="F1367" s="40">
        <f t="shared" ca="1" si="192"/>
        <v>3531819307931.7852</v>
      </c>
      <c r="G1367" s="40">
        <f t="shared" ca="1" si="193"/>
        <v>3783178194985.353</v>
      </c>
      <c r="H1367" s="40">
        <f t="shared" ca="1" si="194"/>
        <v>15882966541342.125</v>
      </c>
      <c r="I1367" s="40">
        <f t="shared" ca="1" si="195"/>
        <v>20510844072118.945</v>
      </c>
      <c r="J1367" s="40">
        <f t="shared" ca="1" si="196"/>
        <v>1222944058913.4304</v>
      </c>
      <c r="K1367" s="41">
        <f t="shared" ca="1" si="197"/>
        <v>16.771694439026554</v>
      </c>
    </row>
    <row r="1368" spans="2:11" ht="15" customHeight="1" x14ac:dyDescent="0.35">
      <c r="B1368" s="5">
        <v>1347</v>
      </c>
      <c r="C1368" s="39">
        <f t="shared" ca="1" si="189"/>
        <v>2.3171098825004277</v>
      </c>
      <c r="D1368" s="40">
        <f t="shared" ca="1" si="190"/>
        <v>1599981645.0142379</v>
      </c>
      <c r="E1368" s="40">
        <f t="shared" ca="1" si="191"/>
        <v>5076948452408.4658</v>
      </c>
      <c r="F1368" s="40">
        <f t="shared" ca="1" si="192"/>
        <v>11983766642818.74</v>
      </c>
      <c r="G1368" s="40">
        <f t="shared" ca="1" si="193"/>
        <v>2530578416019.791</v>
      </c>
      <c r="H1368" s="40">
        <f t="shared" ca="1" si="194"/>
        <v>2530578416019.791</v>
      </c>
      <c r="I1368" s="40">
        <f t="shared" ca="1" si="195"/>
        <v>1101198768427.5759</v>
      </c>
      <c r="J1368" s="40">
        <f t="shared" ca="1" si="196"/>
        <v>1569525849966.9155</v>
      </c>
      <c r="K1368" s="41">
        <f t="shared" ca="1" si="197"/>
        <v>0.7016123808669914</v>
      </c>
    </row>
    <row r="1369" spans="2:11" ht="15" customHeight="1" x14ac:dyDescent="0.35">
      <c r="B1369" s="5">
        <v>1348</v>
      </c>
      <c r="C1369" s="39">
        <f t="shared" ca="1" si="189"/>
        <v>2.5669015359300449</v>
      </c>
      <c r="D1369" s="40">
        <f t="shared" ca="1" si="190"/>
        <v>2004152144.4574578</v>
      </c>
      <c r="E1369" s="40">
        <f t="shared" ca="1" si="191"/>
        <v>3620331694963.4473</v>
      </c>
      <c r="F1369" s="40">
        <f t="shared" ca="1" si="192"/>
        <v>973096210162.59009</v>
      </c>
      <c r="G1369" s="40">
        <f t="shared" ca="1" si="193"/>
        <v>1266331346152.5042</v>
      </c>
      <c r="H1369" s="40">
        <f t="shared" ca="1" si="194"/>
        <v>3620331694963.4473</v>
      </c>
      <c r="I1369" s="40">
        <f t="shared" ca="1" si="195"/>
        <v>1461664182338.2244</v>
      </c>
      <c r="J1369" s="40">
        <f t="shared" ca="1" si="196"/>
        <v>597153847012.77881</v>
      </c>
      <c r="K1369" s="41">
        <f t="shared" ca="1" si="197"/>
        <v>2.4477179367596795</v>
      </c>
    </row>
    <row r="1370" spans="2:11" ht="15" customHeight="1" x14ac:dyDescent="0.35">
      <c r="B1370" s="5">
        <v>1349</v>
      </c>
      <c r="C1370" s="39">
        <f t="shared" ca="1" si="189"/>
        <v>3.018046374375094</v>
      </c>
      <c r="D1370" s="40">
        <f t="shared" ca="1" si="190"/>
        <v>4816387614.2595806</v>
      </c>
      <c r="E1370" s="40">
        <f t="shared" ca="1" si="191"/>
        <v>6211777532890.1318</v>
      </c>
      <c r="F1370" s="40">
        <f t="shared" ca="1" si="192"/>
        <v>2205224123279.1934</v>
      </c>
      <c r="G1370" s="40">
        <f t="shared" ca="1" si="193"/>
        <v>9277536787879.832</v>
      </c>
      <c r="H1370" s="40">
        <f t="shared" ca="1" si="194"/>
        <v>9277536787879.832</v>
      </c>
      <c r="I1370" s="40">
        <f t="shared" ca="1" si="195"/>
        <v>24235132598813.789</v>
      </c>
      <c r="J1370" s="40">
        <f t="shared" ca="1" si="196"/>
        <v>773786561169.24927</v>
      </c>
      <c r="K1370" s="41">
        <f t="shared" ca="1" si="197"/>
        <v>31.320177701448696</v>
      </c>
    </row>
    <row r="1371" spans="2:11" ht="15" customHeight="1" x14ac:dyDescent="0.35">
      <c r="B1371" s="5">
        <v>1350</v>
      </c>
      <c r="C1371" s="39">
        <f t="shared" ca="1" si="189"/>
        <v>2.9486403092990541</v>
      </c>
      <c r="D1371" s="40">
        <f t="shared" ca="1" si="190"/>
        <v>4418861360.134553</v>
      </c>
      <c r="E1371" s="40">
        <f t="shared" ca="1" si="191"/>
        <v>14047080964722.264</v>
      </c>
      <c r="F1371" s="40">
        <f t="shared" ca="1" si="192"/>
        <v>1154829779380.6973</v>
      </c>
      <c r="G1371" s="40">
        <f t="shared" ca="1" si="193"/>
        <v>2106377929765.2124</v>
      </c>
      <c r="H1371" s="40">
        <f t="shared" ca="1" si="194"/>
        <v>1154829779380.6973</v>
      </c>
      <c r="I1371" s="40">
        <f t="shared" ca="1" si="195"/>
        <v>11754565212646.537</v>
      </c>
      <c r="J1371" s="40">
        <f t="shared" ca="1" si="196"/>
        <v>788962372297.57373</v>
      </c>
      <c r="K1371" s="41">
        <f t="shared" ca="1" si="197"/>
        <v>14.89876529651918</v>
      </c>
    </row>
    <row r="1372" spans="2:11" ht="15" customHeight="1" x14ac:dyDescent="0.35">
      <c r="B1372" s="5">
        <v>1351</v>
      </c>
      <c r="C1372" s="39">
        <f t="shared" ca="1" si="189"/>
        <v>3.6345820968874731</v>
      </c>
      <c r="D1372" s="40">
        <f t="shared" ca="1" si="190"/>
        <v>11592832471.34536</v>
      </c>
      <c r="E1372" s="40">
        <f t="shared" ca="1" si="191"/>
        <v>30007607844414.648</v>
      </c>
      <c r="F1372" s="40">
        <f t="shared" ca="1" si="192"/>
        <v>1752406033856.4619</v>
      </c>
      <c r="G1372" s="40">
        <f t="shared" ca="1" si="193"/>
        <v>22339289812489.133</v>
      </c>
      <c r="H1372" s="40">
        <f t="shared" ca="1" si="194"/>
        <v>1752406033856.4619</v>
      </c>
      <c r="I1372" s="40">
        <f t="shared" ca="1" si="195"/>
        <v>29497505309191.547</v>
      </c>
      <c r="J1372" s="40">
        <f t="shared" ca="1" si="196"/>
        <v>1698193910255.7107</v>
      </c>
      <c r="K1372" s="41">
        <f t="shared" ca="1" si="197"/>
        <v>17.369927621958009</v>
      </c>
    </row>
    <row r="1373" spans="2:11" ht="15" customHeight="1" x14ac:dyDescent="0.35">
      <c r="B1373" s="5">
        <v>1352</v>
      </c>
      <c r="C1373" s="39">
        <f t="shared" ca="1" si="189"/>
        <v>2.3947924729476986</v>
      </c>
      <c r="D1373" s="40">
        <f t="shared" ca="1" si="190"/>
        <v>1333607674.8499444</v>
      </c>
      <c r="E1373" s="40">
        <f t="shared" ca="1" si="191"/>
        <v>5091510572402.2217</v>
      </c>
      <c r="F1373" s="40">
        <f t="shared" ca="1" si="192"/>
        <v>1474784519453.0654</v>
      </c>
      <c r="G1373" s="40">
        <f t="shared" ca="1" si="193"/>
        <v>13250363402347.789</v>
      </c>
      <c r="H1373" s="40">
        <f t="shared" ca="1" si="194"/>
        <v>1474784519453.0654</v>
      </c>
      <c r="I1373" s="40">
        <f t="shared" ca="1" si="195"/>
        <v>11352744057015.799</v>
      </c>
      <c r="J1373" s="40">
        <f t="shared" ca="1" si="196"/>
        <v>490817205825.95276</v>
      </c>
      <c r="K1373" s="41">
        <f t="shared" ca="1" si="197"/>
        <v>23.1302894891618</v>
      </c>
    </row>
    <row r="1374" spans="2:11" ht="15" customHeight="1" x14ac:dyDescent="0.35">
      <c r="B1374" s="5">
        <v>1353</v>
      </c>
      <c r="C1374" s="39">
        <f t="shared" ca="1" si="189"/>
        <v>3.2736416895704106</v>
      </c>
      <c r="D1374" s="40">
        <f t="shared" ca="1" si="190"/>
        <v>6997202451.7244434</v>
      </c>
      <c r="E1374" s="40">
        <f t="shared" ca="1" si="191"/>
        <v>32942685197806.73</v>
      </c>
      <c r="F1374" s="40">
        <f t="shared" ca="1" si="192"/>
        <v>862333209143.00586</v>
      </c>
      <c r="G1374" s="40">
        <f t="shared" ca="1" si="193"/>
        <v>44707290983215.938</v>
      </c>
      <c r="H1374" s="40">
        <f t="shared" ca="1" si="194"/>
        <v>862333209143.00586</v>
      </c>
      <c r="I1374" s="40">
        <f t="shared" ca="1" si="195"/>
        <v>1448239341469.3608</v>
      </c>
      <c r="J1374" s="40">
        <f t="shared" ca="1" si="196"/>
        <v>1029802936412.7295</v>
      </c>
      <c r="K1374" s="41">
        <f t="shared" ca="1" si="197"/>
        <v>1.4063266769409641</v>
      </c>
    </row>
    <row r="1375" spans="2:11" ht="15" customHeight="1" x14ac:dyDescent="0.35">
      <c r="B1375" s="5">
        <v>1354</v>
      </c>
      <c r="C1375" s="39">
        <f t="shared" ca="1" si="189"/>
        <v>2.8383664353135689</v>
      </c>
      <c r="D1375" s="40">
        <f t="shared" ca="1" si="190"/>
        <v>3347333680.308939</v>
      </c>
      <c r="E1375" s="40">
        <f t="shared" ca="1" si="191"/>
        <v>2619903956352.2246</v>
      </c>
      <c r="F1375" s="40">
        <f t="shared" ca="1" si="192"/>
        <v>779240527797.26929</v>
      </c>
      <c r="G1375" s="40">
        <f t="shared" ca="1" si="193"/>
        <v>7325194112784.6826</v>
      </c>
      <c r="H1375" s="40">
        <f t="shared" ca="1" si="194"/>
        <v>7325194112784.6826</v>
      </c>
      <c r="I1375" s="40">
        <f t="shared" ca="1" si="195"/>
        <v>72055195017886.75</v>
      </c>
      <c r="J1375" s="40">
        <f t="shared" ca="1" si="196"/>
        <v>1324522091497.1992</v>
      </c>
      <c r="K1375" s="41">
        <f t="shared" ca="1" si="197"/>
        <v>54.400900883757828</v>
      </c>
    </row>
    <row r="1376" spans="2:11" ht="15" customHeight="1" x14ac:dyDescent="0.35">
      <c r="B1376" s="5">
        <v>1355</v>
      </c>
      <c r="C1376" s="39">
        <f t="shared" ca="1" si="189"/>
        <v>3.0220435411078026</v>
      </c>
      <c r="D1376" s="40">
        <f t="shared" ca="1" si="190"/>
        <v>4785101270.7329111</v>
      </c>
      <c r="E1376" s="40">
        <f t="shared" ca="1" si="191"/>
        <v>2836347722436.3945</v>
      </c>
      <c r="F1376" s="40">
        <f t="shared" ca="1" si="192"/>
        <v>4755978584616.3809</v>
      </c>
      <c r="G1376" s="40">
        <f t="shared" ca="1" si="193"/>
        <v>9813612566317.9473</v>
      </c>
      <c r="H1376" s="40">
        <f t="shared" ca="1" si="194"/>
        <v>4755978584616.3809</v>
      </c>
      <c r="I1376" s="40">
        <f t="shared" ca="1" si="195"/>
        <v>2112618310746.6682</v>
      </c>
      <c r="J1376" s="40">
        <f t="shared" ca="1" si="196"/>
        <v>960895104119.92456</v>
      </c>
      <c r="K1376" s="41">
        <f t="shared" ca="1" si="197"/>
        <v>2.1985941042769666</v>
      </c>
    </row>
    <row r="1377" spans="2:11" ht="15" customHeight="1" x14ac:dyDescent="0.35">
      <c r="B1377" s="5">
        <v>1356</v>
      </c>
      <c r="C1377" s="39">
        <f t="shared" ca="1" si="189"/>
        <v>2.990226882673698</v>
      </c>
      <c r="D1377" s="40">
        <f t="shared" ca="1" si="190"/>
        <v>4664330543.232996</v>
      </c>
      <c r="E1377" s="40">
        <f t="shared" ca="1" si="191"/>
        <v>11781807695775.303</v>
      </c>
      <c r="F1377" s="40">
        <f t="shared" ca="1" si="192"/>
        <v>15298516338375.664</v>
      </c>
      <c r="G1377" s="40">
        <f t="shared" ca="1" si="193"/>
        <v>1505205259935.291</v>
      </c>
      <c r="H1377" s="40">
        <f t="shared" ca="1" si="194"/>
        <v>15298516338375.664</v>
      </c>
      <c r="I1377" s="40">
        <f t="shared" ca="1" si="195"/>
        <v>9125934237715.2402</v>
      </c>
      <c r="J1377" s="40">
        <f t="shared" ca="1" si="196"/>
        <v>864270924984.46521</v>
      </c>
      <c r="K1377" s="41">
        <f t="shared" ca="1" si="197"/>
        <v>10.559112859060107</v>
      </c>
    </row>
    <row r="1378" spans="2:11" ht="15" customHeight="1" x14ac:dyDescent="0.35">
      <c r="B1378" s="5">
        <v>1357</v>
      </c>
      <c r="C1378" s="39">
        <f t="shared" ca="1" si="189"/>
        <v>2.9805746622962386</v>
      </c>
      <c r="D1378" s="40">
        <f t="shared" ca="1" si="190"/>
        <v>5061943121.6647758</v>
      </c>
      <c r="E1378" s="40">
        <f t="shared" ca="1" si="191"/>
        <v>7055979931844.0957</v>
      </c>
      <c r="F1378" s="40">
        <f t="shared" ca="1" si="192"/>
        <v>2253288828606.1646</v>
      </c>
      <c r="G1378" s="40">
        <f t="shared" ca="1" si="193"/>
        <v>3750465636444.0938</v>
      </c>
      <c r="H1378" s="40">
        <f t="shared" ca="1" si="194"/>
        <v>3750465636444.0938</v>
      </c>
      <c r="I1378" s="40">
        <f t="shared" ca="1" si="195"/>
        <v>2842857292468.6572</v>
      </c>
      <c r="J1378" s="40">
        <f t="shared" ca="1" si="196"/>
        <v>1154840419131.8301</v>
      </c>
      <c r="K1378" s="41">
        <f t="shared" ca="1" si="197"/>
        <v>2.4616884249737474</v>
      </c>
    </row>
    <row r="1379" spans="2:11" ht="15" customHeight="1" x14ac:dyDescent="0.35">
      <c r="B1379" s="5">
        <v>1358</v>
      </c>
      <c r="C1379" s="39">
        <f t="shared" ca="1" si="189"/>
        <v>3.3195852395940273</v>
      </c>
      <c r="D1379" s="40">
        <f t="shared" ca="1" si="190"/>
        <v>7686076812.657342</v>
      </c>
      <c r="E1379" s="40">
        <f t="shared" ca="1" si="191"/>
        <v>40611454484474.516</v>
      </c>
      <c r="F1379" s="40">
        <f t="shared" ca="1" si="192"/>
        <v>7308035863834.2666</v>
      </c>
      <c r="G1379" s="40">
        <f t="shared" ca="1" si="193"/>
        <v>301777190729.68359</v>
      </c>
      <c r="H1379" s="40">
        <f t="shared" ca="1" si="194"/>
        <v>40611454484474.516</v>
      </c>
      <c r="I1379" s="40">
        <f t="shared" ca="1" si="195"/>
        <v>6830911944671.2646</v>
      </c>
      <c r="J1379" s="40">
        <f t="shared" ca="1" si="196"/>
        <v>1289408835078.9248</v>
      </c>
      <c r="K1379" s="41">
        <f t="shared" ca="1" si="197"/>
        <v>5.2977083441910366</v>
      </c>
    </row>
    <row r="1380" spans="2:11" ht="15" customHeight="1" x14ac:dyDescent="0.35">
      <c r="B1380" s="5">
        <v>1359</v>
      </c>
      <c r="C1380" s="39">
        <f t="shared" ca="1" si="189"/>
        <v>3.6108058549225883</v>
      </c>
      <c r="D1380" s="40">
        <f t="shared" ca="1" si="190"/>
        <v>9878065913.1811066</v>
      </c>
      <c r="E1380" s="40">
        <f t="shared" ca="1" si="191"/>
        <v>50032544214540.898</v>
      </c>
      <c r="F1380" s="40">
        <f t="shared" ca="1" si="192"/>
        <v>1000712366289.5438</v>
      </c>
      <c r="G1380" s="40">
        <f t="shared" ca="1" si="193"/>
        <v>38727330064103.07</v>
      </c>
      <c r="H1380" s="40">
        <f t="shared" ca="1" si="194"/>
        <v>50032544214540.898</v>
      </c>
      <c r="I1380" s="40">
        <f t="shared" ca="1" si="195"/>
        <v>28607419726967.785</v>
      </c>
      <c r="J1380" s="40">
        <f t="shared" ca="1" si="196"/>
        <v>1552470584521.8574</v>
      </c>
      <c r="K1380" s="41">
        <f t="shared" ca="1" si="197"/>
        <v>18.427028513251045</v>
      </c>
    </row>
    <row r="1381" spans="2:11" ht="15" customHeight="1" x14ac:dyDescent="0.35">
      <c r="B1381" s="5">
        <v>1360</v>
      </c>
      <c r="C1381" s="39">
        <f t="shared" ca="1" si="189"/>
        <v>2.3861197951507913</v>
      </c>
      <c r="D1381" s="40">
        <f t="shared" ca="1" si="190"/>
        <v>1287629899.0006628</v>
      </c>
      <c r="E1381" s="40">
        <f t="shared" ca="1" si="191"/>
        <v>1458321390927.0405</v>
      </c>
      <c r="F1381" s="40">
        <f t="shared" ca="1" si="192"/>
        <v>1829952973382.1418</v>
      </c>
      <c r="G1381" s="40">
        <f t="shared" ca="1" si="193"/>
        <v>8175130927199.0039</v>
      </c>
      <c r="H1381" s="40">
        <f t="shared" ca="1" si="194"/>
        <v>1829952973382.1418</v>
      </c>
      <c r="I1381" s="40">
        <f t="shared" ca="1" si="195"/>
        <v>5063086162895.9668</v>
      </c>
      <c r="J1381" s="40">
        <f t="shared" ca="1" si="196"/>
        <v>456195160268.02557</v>
      </c>
      <c r="K1381" s="41">
        <f t="shared" ca="1" si="197"/>
        <v>11.098509155426555</v>
      </c>
    </row>
    <row r="1382" spans="2:11" ht="15" customHeight="1" x14ac:dyDescent="0.35">
      <c r="B1382" s="5">
        <v>1361</v>
      </c>
      <c r="C1382" s="39">
        <f t="shared" ca="1" si="189"/>
        <v>3.4786929368965267</v>
      </c>
      <c r="D1382" s="40">
        <f t="shared" ca="1" si="190"/>
        <v>8323855954.1133738</v>
      </c>
      <c r="E1382" s="40">
        <f t="shared" ca="1" si="191"/>
        <v>59889196467623.414</v>
      </c>
      <c r="F1382" s="40">
        <f t="shared" ca="1" si="192"/>
        <v>7220161360617.5801</v>
      </c>
      <c r="G1382" s="40">
        <f t="shared" ca="1" si="193"/>
        <v>17449713826721.838</v>
      </c>
      <c r="H1382" s="40">
        <f t="shared" ca="1" si="194"/>
        <v>7220161360617.5801</v>
      </c>
      <c r="I1382" s="40">
        <f t="shared" ca="1" si="195"/>
        <v>51273407395716.336</v>
      </c>
      <c r="J1382" s="40">
        <f t="shared" ca="1" si="196"/>
        <v>593639896024.84216</v>
      </c>
      <c r="K1382" s="41">
        <f t="shared" ca="1" si="197"/>
        <v>86.371228987565701</v>
      </c>
    </row>
    <row r="1383" spans="2:11" ht="15" customHeight="1" x14ac:dyDescent="0.35">
      <c r="B1383" s="5">
        <v>1362</v>
      </c>
      <c r="C1383" s="39">
        <f t="shared" ca="1" si="189"/>
        <v>2.8132445033323821</v>
      </c>
      <c r="D1383" s="40">
        <f t="shared" ca="1" si="190"/>
        <v>3061764786.8334107</v>
      </c>
      <c r="E1383" s="40">
        <f t="shared" ca="1" si="191"/>
        <v>2076452310813.771</v>
      </c>
      <c r="F1383" s="40">
        <f t="shared" ca="1" si="192"/>
        <v>5846434975412.5332</v>
      </c>
      <c r="G1383" s="40">
        <f t="shared" ca="1" si="193"/>
        <v>1319300692423.2627</v>
      </c>
      <c r="H1383" s="40">
        <f t="shared" ca="1" si="194"/>
        <v>2076452310813.771</v>
      </c>
      <c r="I1383" s="40">
        <f t="shared" ca="1" si="195"/>
        <v>7005996496637.8779</v>
      </c>
      <c r="J1383" s="40">
        <f t="shared" ca="1" si="196"/>
        <v>642558323859.58398</v>
      </c>
      <c r="K1383" s="41">
        <f t="shared" ca="1" si="197"/>
        <v>10.903284941599907</v>
      </c>
    </row>
    <row r="1384" spans="2:11" ht="15" customHeight="1" x14ac:dyDescent="0.35">
      <c r="B1384" s="5">
        <v>1363</v>
      </c>
      <c r="C1384" s="39">
        <f t="shared" ca="1" si="189"/>
        <v>2.6099755114546843</v>
      </c>
      <c r="D1384" s="40">
        <f t="shared" ca="1" si="190"/>
        <v>2871035461.027997</v>
      </c>
      <c r="E1384" s="40">
        <f t="shared" ca="1" si="191"/>
        <v>12683474034032.096</v>
      </c>
      <c r="F1384" s="40">
        <f t="shared" ca="1" si="192"/>
        <v>7903953219914.0029</v>
      </c>
      <c r="G1384" s="40">
        <f t="shared" ca="1" si="193"/>
        <v>37761086756260.852</v>
      </c>
      <c r="H1384" s="40">
        <f t="shared" ca="1" si="194"/>
        <v>12683474034032.096</v>
      </c>
      <c r="I1384" s="40">
        <f t="shared" ca="1" si="195"/>
        <v>5514463822479.4531</v>
      </c>
      <c r="J1384" s="40">
        <f t="shared" ca="1" si="196"/>
        <v>1375025224332.1658</v>
      </c>
      <c r="K1384" s="41">
        <f t="shared" ca="1" si="197"/>
        <v>4.0104455721223342</v>
      </c>
    </row>
    <row r="1385" spans="2:11" ht="15" customHeight="1" x14ac:dyDescent="0.35">
      <c r="B1385" s="5">
        <v>1364</v>
      </c>
      <c r="C1385" s="39">
        <f t="shared" ca="1" si="189"/>
        <v>3.0805351476626122</v>
      </c>
      <c r="D1385" s="40">
        <f t="shared" ca="1" si="190"/>
        <v>4974981218.1846857</v>
      </c>
      <c r="E1385" s="40">
        <f t="shared" ca="1" si="191"/>
        <v>2289644512852.1807</v>
      </c>
      <c r="F1385" s="40">
        <f t="shared" ca="1" si="192"/>
        <v>3212191684208.3638</v>
      </c>
      <c r="G1385" s="40">
        <f t="shared" ca="1" si="193"/>
        <v>36583261566888.57</v>
      </c>
      <c r="H1385" s="40">
        <f t="shared" ca="1" si="194"/>
        <v>2289644512852.1807</v>
      </c>
      <c r="I1385" s="40">
        <f t="shared" ca="1" si="195"/>
        <v>12141009917784.76</v>
      </c>
      <c r="J1385" s="40">
        <f t="shared" ca="1" si="196"/>
        <v>1177310998643.9626</v>
      </c>
      <c r="K1385" s="41">
        <f t="shared" ca="1" si="197"/>
        <v>10.312491713547978</v>
      </c>
    </row>
    <row r="1386" spans="2:11" ht="15" customHeight="1" x14ac:dyDescent="0.35">
      <c r="B1386" s="5">
        <v>1365</v>
      </c>
      <c r="C1386" s="39">
        <f t="shared" ca="1" si="189"/>
        <v>3.403026334262377</v>
      </c>
      <c r="D1386" s="40">
        <f t="shared" ca="1" si="190"/>
        <v>9975389524.2421589</v>
      </c>
      <c r="E1386" s="40">
        <f t="shared" ca="1" si="191"/>
        <v>30518968708059.09</v>
      </c>
      <c r="F1386" s="40">
        <f t="shared" ca="1" si="192"/>
        <v>3086436480761.728</v>
      </c>
      <c r="G1386" s="40">
        <f t="shared" ca="1" si="193"/>
        <v>1322530266648.8423</v>
      </c>
      <c r="H1386" s="40">
        <f t="shared" ca="1" si="194"/>
        <v>1322530266648.8423</v>
      </c>
      <c r="I1386" s="40">
        <f t="shared" ca="1" si="195"/>
        <v>5754151720659.9365</v>
      </c>
      <c r="J1386" s="40">
        <f t="shared" ca="1" si="196"/>
        <v>1676377853941.9575</v>
      </c>
      <c r="K1386" s="41">
        <f t="shared" ca="1" si="197"/>
        <v>3.4324908952532409</v>
      </c>
    </row>
    <row r="1387" spans="2:11" ht="15" customHeight="1" x14ac:dyDescent="0.35">
      <c r="B1387" s="5">
        <v>1366</v>
      </c>
      <c r="C1387" s="39">
        <f t="shared" ca="1" si="189"/>
        <v>2.6503006313393618</v>
      </c>
      <c r="D1387" s="40">
        <f t="shared" ca="1" si="190"/>
        <v>2790875322.3919015</v>
      </c>
      <c r="E1387" s="40">
        <f t="shared" ca="1" si="191"/>
        <v>2260701627210.8882</v>
      </c>
      <c r="F1387" s="40">
        <f t="shared" ca="1" si="192"/>
        <v>6071593777096.7158</v>
      </c>
      <c r="G1387" s="40">
        <f t="shared" ca="1" si="193"/>
        <v>5893625158167.1396</v>
      </c>
      <c r="H1387" s="40">
        <f t="shared" ca="1" si="194"/>
        <v>6071593777096.7158</v>
      </c>
      <c r="I1387" s="40">
        <f t="shared" ca="1" si="195"/>
        <v>34331992749371.66</v>
      </c>
      <c r="J1387" s="40">
        <f t="shared" ca="1" si="196"/>
        <v>1175689368719.7781</v>
      </c>
      <c r="K1387" s="41">
        <f t="shared" ca="1" si="197"/>
        <v>29.201584757678102</v>
      </c>
    </row>
    <row r="1388" spans="2:11" ht="15" customHeight="1" x14ac:dyDescent="0.35">
      <c r="B1388" s="5">
        <v>1367</v>
      </c>
      <c r="C1388" s="39">
        <f t="shared" ca="1" si="189"/>
        <v>2.8840271770709114</v>
      </c>
      <c r="D1388" s="40">
        <f t="shared" ca="1" si="190"/>
        <v>3820465665.1582165</v>
      </c>
      <c r="E1388" s="40">
        <f t="shared" ca="1" si="191"/>
        <v>7332791087524.2969</v>
      </c>
      <c r="F1388" s="40">
        <f t="shared" ca="1" si="192"/>
        <v>626234794971.07336</v>
      </c>
      <c r="G1388" s="40">
        <f t="shared" ca="1" si="193"/>
        <v>883704409093.79956</v>
      </c>
      <c r="H1388" s="40">
        <f t="shared" ca="1" si="194"/>
        <v>626234794971.07336</v>
      </c>
      <c r="I1388" s="40">
        <f t="shared" ca="1" si="195"/>
        <v>7393562913683.9502</v>
      </c>
      <c r="J1388" s="40">
        <f t="shared" ca="1" si="196"/>
        <v>1031926290139.6295</v>
      </c>
      <c r="K1388" s="41">
        <f t="shared" ca="1" si="197"/>
        <v>7.1648168908299938</v>
      </c>
    </row>
    <row r="1389" spans="2:11" ht="15" customHeight="1" x14ac:dyDescent="0.35">
      <c r="B1389" s="5">
        <v>1368</v>
      </c>
      <c r="C1389" s="39">
        <f t="shared" ca="1" si="189"/>
        <v>2.7174643599227313</v>
      </c>
      <c r="D1389" s="40">
        <f t="shared" ca="1" si="190"/>
        <v>2547851656.6685724</v>
      </c>
      <c r="E1389" s="40">
        <f t="shared" ca="1" si="191"/>
        <v>32313804615843.598</v>
      </c>
      <c r="F1389" s="40">
        <f t="shared" ca="1" si="192"/>
        <v>3306780079807.541</v>
      </c>
      <c r="G1389" s="40">
        <f t="shared" ca="1" si="193"/>
        <v>373151187334.43646</v>
      </c>
      <c r="H1389" s="40">
        <f t="shared" ca="1" si="194"/>
        <v>32313804615843.598</v>
      </c>
      <c r="I1389" s="40">
        <f t="shared" ca="1" si="195"/>
        <v>16625313441261.145</v>
      </c>
      <c r="J1389" s="40">
        <f t="shared" ca="1" si="196"/>
        <v>548857523893.11072</v>
      </c>
      <c r="K1389" s="41">
        <f t="shared" ca="1" si="197"/>
        <v>30.290763481451158</v>
      </c>
    </row>
    <row r="1390" spans="2:11" ht="15" customHeight="1" x14ac:dyDescent="0.35">
      <c r="B1390" s="5">
        <v>1369</v>
      </c>
      <c r="C1390" s="39">
        <f t="shared" ca="1" si="189"/>
        <v>3.6376201157396038</v>
      </c>
      <c r="D1390" s="40">
        <f t="shared" ca="1" si="190"/>
        <v>14066009823.187616</v>
      </c>
      <c r="E1390" s="40">
        <f t="shared" ca="1" si="191"/>
        <v>44554256566566.867</v>
      </c>
      <c r="F1390" s="40">
        <f t="shared" ca="1" si="192"/>
        <v>1963845517153.0513</v>
      </c>
      <c r="G1390" s="40">
        <f t="shared" ca="1" si="193"/>
        <v>90396108644441.891</v>
      </c>
      <c r="H1390" s="40">
        <f t="shared" ca="1" si="194"/>
        <v>90396108644441.891</v>
      </c>
      <c r="I1390" s="40">
        <f t="shared" ca="1" si="195"/>
        <v>43224500738728.461</v>
      </c>
      <c r="J1390" s="40">
        <f t="shared" ca="1" si="196"/>
        <v>1048637703380.4955</v>
      </c>
      <c r="K1390" s="41">
        <f t="shared" ca="1" si="197"/>
        <v>41.219670625408135</v>
      </c>
    </row>
    <row r="1391" spans="2:11" ht="15" customHeight="1" x14ac:dyDescent="0.35">
      <c r="B1391" s="5">
        <v>1370</v>
      </c>
      <c r="C1391" s="39">
        <f t="shared" ca="1" si="189"/>
        <v>2.4951984195256003</v>
      </c>
      <c r="D1391" s="40">
        <f t="shared" ca="1" si="190"/>
        <v>2135025304.4570088</v>
      </c>
      <c r="E1391" s="40">
        <f t="shared" ca="1" si="191"/>
        <v>11773740536441.221</v>
      </c>
      <c r="F1391" s="40">
        <f t="shared" ca="1" si="192"/>
        <v>18465786538173.965</v>
      </c>
      <c r="G1391" s="40">
        <f t="shared" ca="1" si="193"/>
        <v>43813219952151.719</v>
      </c>
      <c r="H1391" s="40">
        <f t="shared" ca="1" si="194"/>
        <v>18465786538173.965</v>
      </c>
      <c r="I1391" s="40">
        <f t="shared" ca="1" si="195"/>
        <v>5409286030753.5117</v>
      </c>
      <c r="J1391" s="40">
        <f t="shared" ca="1" si="196"/>
        <v>1461096622239.4087</v>
      </c>
      <c r="K1391" s="41">
        <f t="shared" ca="1" si="197"/>
        <v>3.7022096611672071</v>
      </c>
    </row>
    <row r="1392" spans="2:11" ht="15" customHeight="1" x14ac:dyDescent="0.35">
      <c r="B1392" s="5">
        <v>1371</v>
      </c>
      <c r="C1392" s="39">
        <f t="shared" ca="1" si="189"/>
        <v>2.745648767696709</v>
      </c>
      <c r="D1392" s="40">
        <f t="shared" ca="1" si="190"/>
        <v>3429826476.9119315</v>
      </c>
      <c r="E1392" s="40">
        <f t="shared" ca="1" si="191"/>
        <v>24743243036884.527</v>
      </c>
      <c r="F1392" s="40">
        <f t="shared" ca="1" si="192"/>
        <v>616369244236.6134</v>
      </c>
      <c r="G1392" s="40">
        <f t="shared" ca="1" si="193"/>
        <v>1107142933893.7908</v>
      </c>
      <c r="H1392" s="40">
        <f t="shared" ca="1" si="194"/>
        <v>1107142933893.7908</v>
      </c>
      <c r="I1392" s="40">
        <f t="shared" ca="1" si="195"/>
        <v>14576723523118.762</v>
      </c>
      <c r="J1392" s="40">
        <f t="shared" ca="1" si="196"/>
        <v>944511645610.89502</v>
      </c>
      <c r="K1392" s="41">
        <f t="shared" ca="1" si="197"/>
        <v>15.433079719933755</v>
      </c>
    </row>
    <row r="1393" spans="2:11" ht="15" customHeight="1" x14ac:dyDescent="0.35">
      <c r="B1393" s="5">
        <v>1372</v>
      </c>
      <c r="C1393" s="39">
        <f t="shared" ca="1" si="189"/>
        <v>2.7569821000735493</v>
      </c>
      <c r="D1393" s="40">
        <f t="shared" ca="1" si="190"/>
        <v>3559176496.6254749</v>
      </c>
      <c r="E1393" s="40">
        <f t="shared" ca="1" si="191"/>
        <v>43956367830963.055</v>
      </c>
      <c r="F1393" s="40">
        <f t="shared" ca="1" si="192"/>
        <v>4917688892602.0205</v>
      </c>
      <c r="G1393" s="40">
        <f t="shared" ca="1" si="193"/>
        <v>10277384378854.371</v>
      </c>
      <c r="H1393" s="40">
        <f t="shared" ca="1" si="194"/>
        <v>43956367830963.055</v>
      </c>
      <c r="I1393" s="40">
        <f t="shared" ca="1" si="195"/>
        <v>3414312765986.9556</v>
      </c>
      <c r="J1393" s="40">
        <f t="shared" ca="1" si="196"/>
        <v>1226119550729.1997</v>
      </c>
      <c r="K1393" s="41">
        <f t="shared" ca="1" si="197"/>
        <v>2.7846491510198907</v>
      </c>
    </row>
    <row r="1394" spans="2:11" ht="15" customHeight="1" x14ac:dyDescent="0.35">
      <c r="B1394" s="5">
        <v>1373</v>
      </c>
      <c r="C1394" s="39">
        <f t="shared" ca="1" si="189"/>
        <v>2.8400235297847498</v>
      </c>
      <c r="D1394" s="40">
        <f t="shared" ca="1" si="190"/>
        <v>3375316825.9693594</v>
      </c>
      <c r="E1394" s="40">
        <f t="shared" ca="1" si="191"/>
        <v>22835242227035.488</v>
      </c>
      <c r="F1394" s="40">
        <f t="shared" ca="1" si="192"/>
        <v>1645585160043.4382</v>
      </c>
      <c r="G1394" s="40">
        <f t="shared" ca="1" si="193"/>
        <v>6343329410535.7793</v>
      </c>
      <c r="H1394" s="40">
        <f t="shared" ca="1" si="194"/>
        <v>22835242227035.488</v>
      </c>
      <c r="I1394" s="40">
        <f t="shared" ca="1" si="195"/>
        <v>2900190743512.3115</v>
      </c>
      <c r="J1394" s="40">
        <f t="shared" ca="1" si="196"/>
        <v>1524686746679.7363</v>
      </c>
      <c r="K1394" s="41">
        <f t="shared" ca="1" si="197"/>
        <v>1.9021551474937184</v>
      </c>
    </row>
    <row r="1395" spans="2:11" ht="15" customHeight="1" x14ac:dyDescent="0.35">
      <c r="B1395" s="5">
        <v>1374</v>
      </c>
      <c r="C1395" s="39">
        <f t="shared" ca="1" si="189"/>
        <v>3.2234162697750874</v>
      </c>
      <c r="D1395" s="40">
        <f t="shared" ca="1" si="190"/>
        <v>5730199189.2188215</v>
      </c>
      <c r="E1395" s="40">
        <f t="shared" ca="1" si="191"/>
        <v>18942771585242.215</v>
      </c>
      <c r="F1395" s="40">
        <f t="shared" ca="1" si="192"/>
        <v>829521796274.5802</v>
      </c>
      <c r="G1395" s="40">
        <f t="shared" ca="1" si="193"/>
        <v>11290046117981.865</v>
      </c>
      <c r="H1395" s="40">
        <f t="shared" ca="1" si="194"/>
        <v>829521796274.5802</v>
      </c>
      <c r="I1395" s="40">
        <f t="shared" ca="1" si="195"/>
        <v>18387836143634.672</v>
      </c>
      <c r="J1395" s="40">
        <f t="shared" ca="1" si="196"/>
        <v>1259129107180.7603</v>
      </c>
      <c r="K1395" s="41">
        <f t="shared" ca="1" si="197"/>
        <v>14.603614544981621</v>
      </c>
    </row>
    <row r="1396" spans="2:11" ht="15" customHeight="1" x14ac:dyDescent="0.35">
      <c r="B1396" s="5">
        <v>1375</v>
      </c>
      <c r="C1396" s="39">
        <f t="shared" ca="1" si="189"/>
        <v>2.3516907578013146</v>
      </c>
      <c r="D1396" s="40">
        <f t="shared" ca="1" si="190"/>
        <v>1173412741.5073023</v>
      </c>
      <c r="E1396" s="40">
        <f t="shared" ca="1" si="191"/>
        <v>2712061136456.3394</v>
      </c>
      <c r="F1396" s="40">
        <f t="shared" ca="1" si="192"/>
        <v>24086490723849.922</v>
      </c>
      <c r="G1396" s="40">
        <f t="shared" ca="1" si="193"/>
        <v>2999889474025.3818</v>
      </c>
      <c r="H1396" s="40">
        <f t="shared" ca="1" si="194"/>
        <v>2999889474025.3818</v>
      </c>
      <c r="I1396" s="40">
        <f t="shared" ca="1" si="195"/>
        <v>30232368340361.41</v>
      </c>
      <c r="J1396" s="40">
        <f t="shared" ca="1" si="196"/>
        <v>1280537092107.1951</v>
      </c>
      <c r="K1396" s="41">
        <f t="shared" ca="1" si="197"/>
        <v>23.609131298658724</v>
      </c>
    </row>
    <row r="1397" spans="2:11" ht="15" customHeight="1" x14ac:dyDescent="0.35">
      <c r="B1397" s="5">
        <v>1376</v>
      </c>
      <c r="C1397" s="39">
        <f t="shared" ca="1" si="189"/>
        <v>2.3564972550039576</v>
      </c>
      <c r="D1397" s="40">
        <f t="shared" ca="1" si="190"/>
        <v>1234054778.082865</v>
      </c>
      <c r="E1397" s="40">
        <f t="shared" ca="1" si="191"/>
        <v>4923310027916.708</v>
      </c>
      <c r="F1397" s="40">
        <f t="shared" ca="1" si="192"/>
        <v>416321544647.45874</v>
      </c>
      <c r="G1397" s="40">
        <f t="shared" ca="1" si="193"/>
        <v>28506095900416.738</v>
      </c>
      <c r="H1397" s="40">
        <f t="shared" ca="1" si="194"/>
        <v>28506095900416.738</v>
      </c>
      <c r="I1397" s="40">
        <f t="shared" ca="1" si="195"/>
        <v>19568630579383.516</v>
      </c>
      <c r="J1397" s="40">
        <f t="shared" ca="1" si="196"/>
        <v>1149369644822.6765</v>
      </c>
      <c r="K1397" s="41">
        <f t="shared" ca="1" si="197"/>
        <v>17.025532793153367</v>
      </c>
    </row>
    <row r="1398" spans="2:11" ht="15" customHeight="1" x14ac:dyDescent="0.35">
      <c r="B1398" s="5">
        <v>1377</v>
      </c>
      <c r="C1398" s="39">
        <f t="shared" ca="1" si="189"/>
        <v>3.4338060031706217</v>
      </c>
      <c r="D1398" s="40">
        <f t="shared" ca="1" si="190"/>
        <v>11345932384.614885</v>
      </c>
      <c r="E1398" s="40">
        <f t="shared" ca="1" si="191"/>
        <v>37776231391669.617</v>
      </c>
      <c r="F1398" s="40">
        <f t="shared" ca="1" si="192"/>
        <v>491130024209.29272</v>
      </c>
      <c r="G1398" s="40">
        <f t="shared" ca="1" si="193"/>
        <v>1774819568644.3989</v>
      </c>
      <c r="H1398" s="40">
        <f t="shared" ca="1" si="194"/>
        <v>37776231391669.617</v>
      </c>
      <c r="I1398" s="40">
        <f t="shared" ca="1" si="195"/>
        <v>2796560453195.6455</v>
      </c>
      <c r="J1398" s="40">
        <f t="shared" ca="1" si="196"/>
        <v>1234414693277.2451</v>
      </c>
      <c r="K1398" s="41">
        <f t="shared" ca="1" si="197"/>
        <v>2.265495111509944</v>
      </c>
    </row>
    <row r="1399" spans="2:11" ht="15" customHeight="1" x14ac:dyDescent="0.35">
      <c r="B1399" s="5">
        <v>1378</v>
      </c>
      <c r="C1399" s="39">
        <f t="shared" ca="1" si="189"/>
        <v>3.1202410595297363</v>
      </c>
      <c r="D1399" s="40">
        <f t="shared" ca="1" si="190"/>
        <v>6925849183.6787043</v>
      </c>
      <c r="E1399" s="40">
        <f t="shared" ca="1" si="191"/>
        <v>10116677537108.969</v>
      </c>
      <c r="F1399" s="40">
        <f t="shared" ca="1" si="192"/>
        <v>2917076217953.9404</v>
      </c>
      <c r="G1399" s="40">
        <f t="shared" ca="1" si="193"/>
        <v>3155222778822.5439</v>
      </c>
      <c r="H1399" s="40">
        <f t="shared" ca="1" si="194"/>
        <v>3155222778822.5439</v>
      </c>
      <c r="I1399" s="40">
        <f t="shared" ca="1" si="195"/>
        <v>17936063377183.371</v>
      </c>
      <c r="J1399" s="40">
        <f t="shared" ca="1" si="196"/>
        <v>863422991691.05835</v>
      </c>
      <c r="K1399" s="41">
        <f t="shared" ca="1" si="197"/>
        <v>20.773205659087985</v>
      </c>
    </row>
    <row r="1400" spans="2:11" ht="15" customHeight="1" x14ac:dyDescent="0.35">
      <c r="B1400" s="5">
        <v>1379</v>
      </c>
      <c r="C1400" s="39">
        <f t="shared" ca="1" si="189"/>
        <v>3.4033878984078521</v>
      </c>
      <c r="D1400" s="40">
        <f t="shared" ca="1" si="190"/>
        <v>7576187490.6983232</v>
      </c>
      <c r="E1400" s="40">
        <f t="shared" ca="1" si="191"/>
        <v>29229424562999.055</v>
      </c>
      <c r="F1400" s="40">
        <f t="shared" ca="1" si="192"/>
        <v>2310477636659.6572</v>
      </c>
      <c r="G1400" s="40">
        <f t="shared" ca="1" si="193"/>
        <v>3935363288465.5142</v>
      </c>
      <c r="H1400" s="40">
        <f t="shared" ca="1" si="194"/>
        <v>3935363288465.5142</v>
      </c>
      <c r="I1400" s="40">
        <f t="shared" ca="1" si="195"/>
        <v>9428668255378.2266</v>
      </c>
      <c r="J1400" s="40">
        <f t="shared" ca="1" si="196"/>
        <v>1422009076468.6628</v>
      </c>
      <c r="K1400" s="41">
        <f t="shared" ca="1" si="197"/>
        <v>6.6305260714600003</v>
      </c>
    </row>
    <row r="1401" spans="2:11" ht="15" customHeight="1" x14ac:dyDescent="0.35">
      <c r="B1401" s="5">
        <v>1380</v>
      </c>
      <c r="C1401" s="39">
        <f t="shared" ca="1" si="189"/>
        <v>3.7616323771605602</v>
      </c>
      <c r="D1401" s="40">
        <f t="shared" ca="1" si="190"/>
        <v>17084687011.17701</v>
      </c>
      <c r="E1401" s="40">
        <f t="shared" ca="1" si="191"/>
        <v>60231426942794.914</v>
      </c>
      <c r="F1401" s="40">
        <f t="shared" ca="1" si="192"/>
        <v>1338197192779.167</v>
      </c>
      <c r="G1401" s="40">
        <f t="shared" ca="1" si="193"/>
        <v>53628222155949.148</v>
      </c>
      <c r="H1401" s="40">
        <f t="shared" ca="1" si="194"/>
        <v>1338197192779.167</v>
      </c>
      <c r="I1401" s="40">
        <f t="shared" ca="1" si="195"/>
        <v>15847483299901.607</v>
      </c>
      <c r="J1401" s="40">
        <f t="shared" ca="1" si="196"/>
        <v>892755813527.14636</v>
      </c>
      <c r="K1401" s="41">
        <f t="shared" ca="1" si="197"/>
        <v>17.751195858686756</v>
      </c>
    </row>
    <row r="1402" spans="2:11" ht="15" customHeight="1" x14ac:dyDescent="0.35">
      <c r="B1402" s="5">
        <v>1381</v>
      </c>
      <c r="C1402" s="39">
        <f t="shared" ca="1" si="189"/>
        <v>3.1264175607058009</v>
      </c>
      <c r="D1402" s="40">
        <f t="shared" ca="1" si="190"/>
        <v>5974451253.790432</v>
      </c>
      <c r="E1402" s="40">
        <f t="shared" ca="1" si="191"/>
        <v>42242901736940.625</v>
      </c>
      <c r="F1402" s="40">
        <f t="shared" ca="1" si="192"/>
        <v>935551732439.62744</v>
      </c>
      <c r="G1402" s="40">
        <f t="shared" ca="1" si="193"/>
        <v>4153641496401.7749</v>
      </c>
      <c r="H1402" s="40">
        <f t="shared" ca="1" si="194"/>
        <v>42242901736940.625</v>
      </c>
      <c r="I1402" s="40">
        <f t="shared" ca="1" si="195"/>
        <v>6879667638424.8926</v>
      </c>
      <c r="J1402" s="40">
        <f t="shared" ca="1" si="196"/>
        <v>982447161273.91394</v>
      </c>
      <c r="K1402" s="41">
        <f t="shared" ca="1" si="197"/>
        <v>7.0025828457829782</v>
      </c>
    </row>
    <row r="1403" spans="2:11" ht="15" customHeight="1" x14ac:dyDescent="0.35">
      <c r="B1403" s="5">
        <v>1382</v>
      </c>
      <c r="C1403" s="39">
        <f t="shared" ca="1" si="189"/>
        <v>3.3042506325991687</v>
      </c>
      <c r="D1403" s="40">
        <f t="shared" ca="1" si="190"/>
        <v>7831037646.3122339</v>
      </c>
      <c r="E1403" s="40">
        <f t="shared" ca="1" si="191"/>
        <v>25113883615575.23</v>
      </c>
      <c r="F1403" s="40">
        <f t="shared" ca="1" si="192"/>
        <v>106900507377072.94</v>
      </c>
      <c r="G1403" s="40">
        <f t="shared" ca="1" si="193"/>
        <v>11550963722915.256</v>
      </c>
      <c r="H1403" s="40">
        <f t="shared" ca="1" si="194"/>
        <v>11550963722915.256</v>
      </c>
      <c r="I1403" s="40">
        <f t="shared" ca="1" si="195"/>
        <v>6391490549813.6885</v>
      </c>
      <c r="J1403" s="40">
        <f t="shared" ca="1" si="196"/>
        <v>721205105225.22546</v>
      </c>
      <c r="K1403" s="41">
        <f t="shared" ca="1" si="197"/>
        <v>8.8622369746227552</v>
      </c>
    </row>
    <row r="1404" spans="2:11" ht="15" customHeight="1" x14ac:dyDescent="0.35">
      <c r="B1404" s="5">
        <v>1383</v>
      </c>
      <c r="C1404" s="39">
        <f t="shared" ca="1" si="189"/>
        <v>2.813966469977343</v>
      </c>
      <c r="D1404" s="40">
        <f t="shared" ca="1" si="190"/>
        <v>2968810192.0599008</v>
      </c>
      <c r="E1404" s="40">
        <f t="shared" ca="1" si="191"/>
        <v>22049343264946.07</v>
      </c>
      <c r="F1404" s="40">
        <f t="shared" ca="1" si="192"/>
        <v>3741830031410.7749</v>
      </c>
      <c r="G1404" s="40">
        <f t="shared" ca="1" si="193"/>
        <v>788978701295.00208</v>
      </c>
      <c r="H1404" s="40">
        <f t="shared" ca="1" si="194"/>
        <v>788978701295.00208</v>
      </c>
      <c r="I1404" s="40">
        <f t="shared" ca="1" si="195"/>
        <v>7393903683132.0557</v>
      </c>
      <c r="J1404" s="40">
        <f t="shared" ca="1" si="196"/>
        <v>737755315695.01233</v>
      </c>
      <c r="K1404" s="41">
        <f t="shared" ca="1" si="197"/>
        <v>10.022162532528185</v>
      </c>
    </row>
    <row r="1405" spans="2:11" ht="15" customHeight="1" x14ac:dyDescent="0.35">
      <c r="B1405" s="5">
        <v>1384</v>
      </c>
      <c r="C1405" s="39">
        <f t="shared" ca="1" si="189"/>
        <v>3.1144518871099685</v>
      </c>
      <c r="D1405" s="40">
        <f t="shared" ca="1" si="190"/>
        <v>4810668460.3432531</v>
      </c>
      <c r="E1405" s="40">
        <f t="shared" ca="1" si="191"/>
        <v>10267711087219.184</v>
      </c>
      <c r="F1405" s="40">
        <f t="shared" ca="1" si="192"/>
        <v>3105435456002.105</v>
      </c>
      <c r="G1405" s="40">
        <f t="shared" ca="1" si="193"/>
        <v>1754667096200.3186</v>
      </c>
      <c r="H1405" s="40">
        <f t="shared" ca="1" si="194"/>
        <v>1754667096200.3186</v>
      </c>
      <c r="I1405" s="40">
        <f t="shared" ca="1" si="195"/>
        <v>17286737074630.096</v>
      </c>
      <c r="J1405" s="40">
        <f t="shared" ca="1" si="196"/>
        <v>761636276172.15442</v>
      </c>
      <c r="K1405" s="41">
        <f t="shared" ca="1" si="197"/>
        <v>22.696840493877335</v>
      </c>
    </row>
    <row r="1406" spans="2:11" ht="15" customHeight="1" x14ac:dyDescent="0.35">
      <c r="B1406" s="5">
        <v>1385</v>
      </c>
      <c r="C1406" s="39">
        <f t="shared" ca="1" si="189"/>
        <v>3.2739838405167307</v>
      </c>
      <c r="D1406" s="40">
        <f t="shared" ca="1" si="190"/>
        <v>6883481624.688385</v>
      </c>
      <c r="E1406" s="40">
        <f t="shared" ca="1" si="191"/>
        <v>13538183354546.471</v>
      </c>
      <c r="F1406" s="40">
        <f t="shared" ca="1" si="192"/>
        <v>2367884137319.2437</v>
      </c>
      <c r="G1406" s="40">
        <f t="shared" ca="1" si="193"/>
        <v>3340397126914.2749</v>
      </c>
      <c r="H1406" s="40">
        <f t="shared" ca="1" si="194"/>
        <v>3340397126914.2749</v>
      </c>
      <c r="I1406" s="40">
        <f t="shared" ca="1" si="195"/>
        <v>45819408452451.461</v>
      </c>
      <c r="J1406" s="40">
        <f t="shared" ca="1" si="196"/>
        <v>1126863941341.6697</v>
      </c>
      <c r="K1406" s="41">
        <f t="shared" ca="1" si="197"/>
        <v>40.660994439042781</v>
      </c>
    </row>
    <row r="1407" spans="2:11" ht="15" customHeight="1" x14ac:dyDescent="0.35">
      <c r="B1407" s="5">
        <v>1386</v>
      </c>
      <c r="C1407" s="39">
        <f t="shared" ca="1" si="189"/>
        <v>3.4656808835489277</v>
      </c>
      <c r="D1407" s="40">
        <f t="shared" ca="1" si="190"/>
        <v>10113695619.065157</v>
      </c>
      <c r="E1407" s="40">
        <f t="shared" ca="1" si="191"/>
        <v>106006972800457.97</v>
      </c>
      <c r="F1407" s="40">
        <f t="shared" ca="1" si="192"/>
        <v>1446215071606.407</v>
      </c>
      <c r="G1407" s="40">
        <f t="shared" ca="1" si="193"/>
        <v>1557668964642.7126</v>
      </c>
      <c r="H1407" s="40">
        <f t="shared" ca="1" si="194"/>
        <v>1557668964642.7126</v>
      </c>
      <c r="I1407" s="40">
        <f t="shared" ca="1" si="195"/>
        <v>3670478750906.7158</v>
      </c>
      <c r="J1407" s="40">
        <f t="shared" ca="1" si="196"/>
        <v>728422986891.92139</v>
      </c>
      <c r="K1407" s="41">
        <f t="shared" ca="1" si="197"/>
        <v>5.0389386619553749</v>
      </c>
    </row>
    <row r="1408" spans="2:11" ht="15" customHeight="1" x14ac:dyDescent="0.35">
      <c r="B1408" s="5">
        <v>1387</v>
      </c>
      <c r="C1408" s="39">
        <f t="shared" ca="1" si="189"/>
        <v>1.8</v>
      </c>
      <c r="D1408" s="40">
        <f t="shared" ca="1" si="190"/>
        <v>452478271.78886837</v>
      </c>
      <c r="E1408" s="40">
        <f t="shared" ca="1" si="191"/>
        <v>1748907016084.8857</v>
      </c>
      <c r="F1408" s="40">
        <f t="shared" ca="1" si="192"/>
        <v>20695569201454.387</v>
      </c>
      <c r="G1408" s="40">
        <f t="shared" ca="1" si="193"/>
        <v>2097588335226.6912</v>
      </c>
      <c r="H1408" s="40">
        <f t="shared" ca="1" si="194"/>
        <v>2097588335226.6912</v>
      </c>
      <c r="I1408" s="40">
        <f t="shared" ca="1" si="195"/>
        <v>7194536723087.2373</v>
      </c>
      <c r="J1408" s="40">
        <f t="shared" ca="1" si="196"/>
        <v>1388810251646.1147</v>
      </c>
      <c r="K1408" s="41">
        <f t="shared" ca="1" si="197"/>
        <v>5.1803597464518791</v>
      </c>
    </row>
    <row r="1409" spans="2:11" ht="15" customHeight="1" x14ac:dyDescent="0.35">
      <c r="B1409" s="5">
        <v>1388</v>
      </c>
      <c r="C1409" s="39">
        <f t="shared" ca="1" si="189"/>
        <v>3.7421578299460876</v>
      </c>
      <c r="D1409" s="40">
        <f t="shared" ca="1" si="190"/>
        <v>16349373053.450264</v>
      </c>
      <c r="E1409" s="40">
        <f t="shared" ca="1" si="191"/>
        <v>70505052610950.094</v>
      </c>
      <c r="F1409" s="40">
        <f t="shared" ca="1" si="192"/>
        <v>720997354404.90283</v>
      </c>
      <c r="G1409" s="40">
        <f t="shared" ca="1" si="193"/>
        <v>269683418716.98947</v>
      </c>
      <c r="H1409" s="40">
        <f t="shared" ca="1" si="194"/>
        <v>70505052610950.094</v>
      </c>
      <c r="I1409" s="40">
        <f t="shared" ca="1" si="195"/>
        <v>5688593541048.2305</v>
      </c>
      <c r="J1409" s="40">
        <f t="shared" ca="1" si="196"/>
        <v>478021198767.0614</v>
      </c>
      <c r="K1409" s="41">
        <f t="shared" ca="1" si="197"/>
        <v>11.900295542793007</v>
      </c>
    </row>
    <row r="1410" spans="2:11" ht="15" customHeight="1" x14ac:dyDescent="0.35">
      <c r="B1410" s="5">
        <v>1389</v>
      </c>
      <c r="C1410" s="39">
        <f t="shared" ca="1" si="189"/>
        <v>2.573623666323626</v>
      </c>
      <c r="D1410" s="40">
        <f t="shared" ca="1" si="190"/>
        <v>2479299757.6042614</v>
      </c>
      <c r="E1410" s="40">
        <f t="shared" ca="1" si="191"/>
        <v>16918149692680.461</v>
      </c>
      <c r="F1410" s="40">
        <f t="shared" ca="1" si="192"/>
        <v>22941087724662.27</v>
      </c>
      <c r="G1410" s="40">
        <f t="shared" ca="1" si="193"/>
        <v>70470404478827.422</v>
      </c>
      <c r="H1410" s="40">
        <f t="shared" ca="1" si="194"/>
        <v>16918149692680.461</v>
      </c>
      <c r="I1410" s="40">
        <f t="shared" ca="1" si="195"/>
        <v>1761964398418.5833</v>
      </c>
      <c r="J1410" s="40">
        <f t="shared" ca="1" si="196"/>
        <v>504700166639.71466</v>
      </c>
      <c r="K1410" s="41">
        <f t="shared" ca="1" si="197"/>
        <v>3.4911111881529839</v>
      </c>
    </row>
    <row r="1411" spans="2:11" ht="15" customHeight="1" x14ac:dyDescent="0.35">
      <c r="B1411" s="5">
        <v>1390</v>
      </c>
      <c r="C1411" s="39">
        <f t="shared" ca="1" si="189"/>
        <v>2.6492327488346294</v>
      </c>
      <c r="D1411" s="40">
        <f t="shared" ca="1" si="190"/>
        <v>2356188597.3012142</v>
      </c>
      <c r="E1411" s="40">
        <f t="shared" ca="1" si="191"/>
        <v>4001000193567.1025</v>
      </c>
      <c r="F1411" s="40">
        <f t="shared" ca="1" si="192"/>
        <v>1878178673970.1021</v>
      </c>
      <c r="G1411" s="40">
        <f t="shared" ca="1" si="193"/>
        <v>1392401838857.0886</v>
      </c>
      <c r="H1411" s="40">
        <f t="shared" ca="1" si="194"/>
        <v>1392401838857.0886</v>
      </c>
      <c r="I1411" s="40">
        <f t="shared" ca="1" si="195"/>
        <v>9548065537370.7539</v>
      </c>
      <c r="J1411" s="40">
        <f t="shared" ca="1" si="196"/>
        <v>1188818248864.2246</v>
      </c>
      <c r="K1411" s="41">
        <f t="shared" ca="1" si="197"/>
        <v>8.0315603722375588</v>
      </c>
    </row>
    <row r="1412" spans="2:11" ht="15" customHeight="1" x14ac:dyDescent="0.35">
      <c r="B1412" s="5">
        <v>1391</v>
      </c>
      <c r="C1412" s="39">
        <f t="shared" ca="1" si="189"/>
        <v>2.9113037621248363</v>
      </c>
      <c r="D1412" s="40">
        <f t="shared" ca="1" si="190"/>
        <v>4673667220.1695356</v>
      </c>
      <c r="E1412" s="40">
        <f t="shared" ca="1" si="191"/>
        <v>36188788700182.25</v>
      </c>
      <c r="F1412" s="40">
        <f t="shared" ca="1" si="192"/>
        <v>1167226246164.8696</v>
      </c>
      <c r="G1412" s="40">
        <f t="shared" ca="1" si="193"/>
        <v>12198448537248.049</v>
      </c>
      <c r="H1412" s="40">
        <f t="shared" ca="1" si="194"/>
        <v>1167226246164.8696</v>
      </c>
      <c r="I1412" s="40">
        <f t="shared" ca="1" si="195"/>
        <v>15430947097529.631</v>
      </c>
      <c r="J1412" s="40">
        <f t="shared" ca="1" si="196"/>
        <v>1163703962684.3071</v>
      </c>
      <c r="K1412" s="41">
        <f t="shared" ca="1" si="197"/>
        <v>13.26019983805433</v>
      </c>
    </row>
    <row r="1413" spans="2:11" ht="15" customHeight="1" x14ac:dyDescent="0.35">
      <c r="B1413" s="5">
        <v>1392</v>
      </c>
      <c r="C1413" s="39">
        <f t="shared" ca="1" si="189"/>
        <v>2.7000258627848712</v>
      </c>
      <c r="D1413" s="40">
        <f t="shared" ca="1" si="190"/>
        <v>2864794676.7833915</v>
      </c>
      <c r="E1413" s="40">
        <f t="shared" ca="1" si="191"/>
        <v>3937053236121.0752</v>
      </c>
      <c r="F1413" s="40">
        <f t="shared" ca="1" si="192"/>
        <v>354576880380.56836</v>
      </c>
      <c r="G1413" s="40">
        <f t="shared" ca="1" si="193"/>
        <v>10135560189823.727</v>
      </c>
      <c r="H1413" s="40">
        <f t="shared" ca="1" si="194"/>
        <v>3937053236121.0752</v>
      </c>
      <c r="I1413" s="40">
        <f t="shared" ca="1" si="195"/>
        <v>122668909130723.94</v>
      </c>
      <c r="J1413" s="40">
        <f t="shared" ca="1" si="196"/>
        <v>1269885665386.8894</v>
      </c>
      <c r="K1413" s="41">
        <f t="shared" ca="1" si="197"/>
        <v>96.598388716633821</v>
      </c>
    </row>
    <row r="1414" spans="2:11" ht="15" customHeight="1" x14ac:dyDescent="0.35">
      <c r="B1414" s="5">
        <v>1393</v>
      </c>
      <c r="C1414" s="39">
        <f t="shared" ca="1" si="189"/>
        <v>3.350511096635119</v>
      </c>
      <c r="D1414" s="40">
        <f t="shared" ca="1" si="190"/>
        <v>9950707758.8629704</v>
      </c>
      <c r="E1414" s="40">
        <f t="shared" ca="1" si="191"/>
        <v>22564099513401.688</v>
      </c>
      <c r="F1414" s="40">
        <f t="shared" ca="1" si="192"/>
        <v>2053504466031.5298</v>
      </c>
      <c r="G1414" s="40">
        <f t="shared" ca="1" si="193"/>
        <v>11240047876500.953</v>
      </c>
      <c r="H1414" s="40">
        <f t="shared" ca="1" si="194"/>
        <v>11240047876500.953</v>
      </c>
      <c r="I1414" s="40">
        <f t="shared" ca="1" si="195"/>
        <v>119908495732775.02</v>
      </c>
      <c r="J1414" s="40">
        <f t="shared" ca="1" si="196"/>
        <v>647823271671.25854</v>
      </c>
      <c r="K1414" s="41">
        <f t="shared" ca="1" si="197"/>
        <v>185.09445550394372</v>
      </c>
    </row>
    <row r="1415" spans="2:11" ht="15" customHeight="1" x14ac:dyDescent="0.35">
      <c r="B1415" s="5">
        <v>1394</v>
      </c>
      <c r="C1415" s="39">
        <f t="shared" ca="1" si="189"/>
        <v>2.8880955379369562</v>
      </c>
      <c r="D1415" s="40">
        <f t="shared" ca="1" si="190"/>
        <v>4799575014.8583002</v>
      </c>
      <c r="E1415" s="40">
        <f t="shared" ca="1" si="191"/>
        <v>26028942000174.949</v>
      </c>
      <c r="F1415" s="40">
        <f t="shared" ca="1" si="192"/>
        <v>1876821320805.8127</v>
      </c>
      <c r="G1415" s="40">
        <f t="shared" ca="1" si="193"/>
        <v>85988878876793.75</v>
      </c>
      <c r="H1415" s="40">
        <f t="shared" ca="1" si="194"/>
        <v>26028942000174.949</v>
      </c>
      <c r="I1415" s="40">
        <f t="shared" ca="1" si="195"/>
        <v>17589072366656.668</v>
      </c>
      <c r="J1415" s="40">
        <f t="shared" ca="1" si="196"/>
        <v>1381954664824.5125</v>
      </c>
      <c r="K1415" s="41">
        <f t="shared" ca="1" si="197"/>
        <v>12.7276768293193</v>
      </c>
    </row>
    <row r="1416" spans="2:11" ht="15" customHeight="1" x14ac:dyDescent="0.35">
      <c r="B1416" s="5">
        <v>1395</v>
      </c>
      <c r="C1416" s="39">
        <f t="shared" ca="1" si="189"/>
        <v>2.9106049030302388</v>
      </c>
      <c r="D1416" s="40">
        <f t="shared" ca="1" si="190"/>
        <v>4639072261.0842934</v>
      </c>
      <c r="E1416" s="40">
        <f t="shared" ca="1" si="191"/>
        <v>43478216681300.641</v>
      </c>
      <c r="F1416" s="40">
        <f t="shared" ca="1" si="192"/>
        <v>8179060727205.4307</v>
      </c>
      <c r="G1416" s="40">
        <f t="shared" ca="1" si="193"/>
        <v>1732113143835.4551</v>
      </c>
      <c r="H1416" s="40">
        <f t="shared" ca="1" si="194"/>
        <v>1732113143835.4551</v>
      </c>
      <c r="I1416" s="40">
        <f t="shared" ca="1" si="195"/>
        <v>11997493085785.814</v>
      </c>
      <c r="J1416" s="40">
        <f t="shared" ca="1" si="196"/>
        <v>595681682238.77258</v>
      </c>
      <c r="K1416" s="41">
        <f t="shared" ca="1" si="197"/>
        <v>20.140778948741868</v>
      </c>
    </row>
    <row r="1417" spans="2:11" ht="15" customHeight="1" x14ac:dyDescent="0.35">
      <c r="B1417" s="5">
        <v>1396</v>
      </c>
      <c r="C1417" s="39">
        <f t="shared" ca="1" si="189"/>
        <v>3.0739002797116317</v>
      </c>
      <c r="D1417" s="40">
        <f t="shared" ca="1" si="190"/>
        <v>5274304268.2625446</v>
      </c>
      <c r="E1417" s="40">
        <f t="shared" ca="1" si="191"/>
        <v>56427205930609.914</v>
      </c>
      <c r="F1417" s="40">
        <f t="shared" ca="1" si="192"/>
        <v>2143304637794.321</v>
      </c>
      <c r="G1417" s="40">
        <f t="shared" ca="1" si="193"/>
        <v>7432210612653.8418</v>
      </c>
      <c r="H1417" s="40">
        <f t="shared" ca="1" si="194"/>
        <v>56427205930609.914</v>
      </c>
      <c r="I1417" s="40">
        <f t="shared" ca="1" si="195"/>
        <v>1787589423599.7358</v>
      </c>
      <c r="J1417" s="40">
        <f t="shared" ca="1" si="196"/>
        <v>474729154176.35364</v>
      </c>
      <c r="K1417" s="41">
        <f t="shared" ca="1" si="197"/>
        <v>3.7654932457248611</v>
      </c>
    </row>
    <row r="1418" spans="2:11" ht="15" customHeight="1" x14ac:dyDescent="0.35">
      <c r="B1418" s="5">
        <v>1397</v>
      </c>
      <c r="C1418" s="39">
        <f t="shared" ca="1" si="189"/>
        <v>3.8640214663023071</v>
      </c>
      <c r="D1418" s="40">
        <f t="shared" ca="1" si="190"/>
        <v>20242007829.514824</v>
      </c>
      <c r="E1418" s="40">
        <f t="shared" ca="1" si="191"/>
        <v>23786584464291.59</v>
      </c>
      <c r="F1418" s="40">
        <f t="shared" ca="1" si="192"/>
        <v>2434361531517.2959</v>
      </c>
      <c r="G1418" s="40">
        <f t="shared" ca="1" si="193"/>
        <v>2531009486133.1128</v>
      </c>
      <c r="H1418" s="40">
        <f t="shared" ca="1" si="194"/>
        <v>2434361531517.2959</v>
      </c>
      <c r="I1418" s="40">
        <f t="shared" ca="1" si="195"/>
        <v>2537964845954.3965</v>
      </c>
      <c r="J1418" s="40">
        <f t="shared" ca="1" si="196"/>
        <v>955273357585.84839</v>
      </c>
      <c r="K1418" s="41">
        <f t="shared" ca="1" si="197"/>
        <v>2.6567943361974429</v>
      </c>
    </row>
    <row r="1419" spans="2:11" ht="15" customHeight="1" x14ac:dyDescent="0.35">
      <c r="B1419" s="5">
        <v>1398</v>
      </c>
      <c r="C1419" s="39">
        <f t="shared" ca="1" si="189"/>
        <v>2.670468564803528</v>
      </c>
      <c r="D1419" s="40">
        <f t="shared" ca="1" si="190"/>
        <v>2741702476.4216285</v>
      </c>
      <c r="E1419" s="40">
        <f t="shared" ca="1" si="191"/>
        <v>2980628688947.9604</v>
      </c>
      <c r="F1419" s="40">
        <f t="shared" ca="1" si="192"/>
        <v>2324052281727.0483</v>
      </c>
      <c r="G1419" s="40">
        <f t="shared" ca="1" si="193"/>
        <v>3126068032853.8086</v>
      </c>
      <c r="H1419" s="40">
        <f t="shared" ca="1" si="194"/>
        <v>3126068032853.8086</v>
      </c>
      <c r="I1419" s="40">
        <f t="shared" ca="1" si="195"/>
        <v>9731791653166.9844</v>
      </c>
      <c r="J1419" s="40">
        <f t="shared" ca="1" si="196"/>
        <v>1271495947531.3347</v>
      </c>
      <c r="K1419" s="41">
        <f t="shared" ca="1" si="197"/>
        <v>7.6538125599705493</v>
      </c>
    </row>
    <row r="1420" spans="2:11" ht="15" customHeight="1" x14ac:dyDescent="0.35">
      <c r="B1420" s="5">
        <v>1399</v>
      </c>
      <c r="C1420" s="39">
        <f t="shared" ca="1" si="189"/>
        <v>3.4958061423515479</v>
      </c>
      <c r="D1420" s="40">
        <f t="shared" ca="1" si="190"/>
        <v>10849150731.620848</v>
      </c>
      <c r="E1420" s="40">
        <f t="shared" ca="1" si="191"/>
        <v>50207976486322.898</v>
      </c>
      <c r="F1420" s="40">
        <f t="shared" ca="1" si="192"/>
        <v>10228529421774.406</v>
      </c>
      <c r="G1420" s="40">
        <f t="shared" ca="1" si="193"/>
        <v>1444539146603.6414</v>
      </c>
      <c r="H1420" s="40">
        <f t="shared" ca="1" si="194"/>
        <v>10228529421774.406</v>
      </c>
      <c r="I1420" s="40">
        <f t="shared" ca="1" si="195"/>
        <v>14708136985731.467</v>
      </c>
      <c r="J1420" s="40">
        <f t="shared" ca="1" si="196"/>
        <v>886112805785.40393</v>
      </c>
      <c r="K1420" s="41">
        <f t="shared" ca="1" si="197"/>
        <v>16.598492753634165</v>
      </c>
    </row>
    <row r="1421" spans="2:11" ht="15" customHeight="1" x14ac:dyDescent="0.35">
      <c r="B1421" s="5">
        <v>1400</v>
      </c>
      <c r="C1421" s="39">
        <f t="shared" ca="1" si="189"/>
        <v>3.3413045307206573</v>
      </c>
      <c r="D1421" s="40">
        <f t="shared" ca="1" si="190"/>
        <v>6793903147.188529</v>
      </c>
      <c r="E1421" s="40">
        <f t="shared" ca="1" si="191"/>
        <v>22284530018839.25</v>
      </c>
      <c r="F1421" s="40">
        <f t="shared" ca="1" si="192"/>
        <v>2018636240526.7866</v>
      </c>
      <c r="G1421" s="40">
        <f t="shared" ca="1" si="193"/>
        <v>11301072577383.094</v>
      </c>
      <c r="H1421" s="40">
        <f t="shared" ca="1" si="194"/>
        <v>22284530018839.25</v>
      </c>
      <c r="I1421" s="40">
        <f t="shared" ca="1" si="195"/>
        <v>11953880515847.125</v>
      </c>
      <c r="J1421" s="40">
        <f t="shared" ca="1" si="196"/>
        <v>1670375554030.5271</v>
      </c>
      <c r="K1421" s="41">
        <f t="shared" ca="1" si="197"/>
        <v>7.1564029340605764</v>
      </c>
    </row>
    <row r="1422" spans="2:11" ht="15" customHeight="1" x14ac:dyDescent="0.35">
      <c r="B1422" s="5">
        <v>1401</v>
      </c>
      <c r="C1422" s="39">
        <f t="shared" ca="1" si="189"/>
        <v>3.9472076329942287</v>
      </c>
      <c r="D1422" s="40">
        <f t="shared" ca="1" si="190"/>
        <v>18991637700.171082</v>
      </c>
      <c r="E1422" s="40">
        <f t="shared" ca="1" si="191"/>
        <v>246633754417539.31</v>
      </c>
      <c r="F1422" s="40">
        <f t="shared" ca="1" si="192"/>
        <v>930617748653.82935</v>
      </c>
      <c r="G1422" s="40">
        <f t="shared" ca="1" si="193"/>
        <v>7430388833002.54</v>
      </c>
      <c r="H1422" s="40">
        <f t="shared" ca="1" si="194"/>
        <v>246633754417539.31</v>
      </c>
      <c r="I1422" s="40">
        <f t="shared" ca="1" si="195"/>
        <v>2896038979018.6543</v>
      </c>
      <c r="J1422" s="40">
        <f t="shared" ca="1" si="196"/>
        <v>1278509083488.0605</v>
      </c>
      <c r="K1422" s="41">
        <f t="shared" ca="1" si="197"/>
        <v>2.2651688724163055</v>
      </c>
    </row>
    <row r="1423" spans="2:11" ht="15" customHeight="1" x14ac:dyDescent="0.35">
      <c r="B1423" s="5">
        <v>1402</v>
      </c>
      <c r="C1423" s="39">
        <f t="shared" ca="1" si="189"/>
        <v>2.8808061527532534</v>
      </c>
      <c r="D1423" s="40">
        <f t="shared" ca="1" si="190"/>
        <v>3455906640.461884</v>
      </c>
      <c r="E1423" s="40">
        <f t="shared" ca="1" si="191"/>
        <v>34085614693299.09</v>
      </c>
      <c r="F1423" s="40">
        <f t="shared" ca="1" si="192"/>
        <v>4008216042922.8691</v>
      </c>
      <c r="G1423" s="40">
        <f t="shared" ca="1" si="193"/>
        <v>6922390978874.4893</v>
      </c>
      <c r="H1423" s="40">
        <f t="shared" ca="1" si="194"/>
        <v>4008216042922.8691</v>
      </c>
      <c r="I1423" s="40">
        <f t="shared" ca="1" si="195"/>
        <v>4512442382311.1758</v>
      </c>
      <c r="J1423" s="40">
        <f t="shared" ca="1" si="196"/>
        <v>1611917092247.407</v>
      </c>
      <c r="K1423" s="41">
        <f t="shared" ca="1" si="197"/>
        <v>2.7994258538568673</v>
      </c>
    </row>
    <row r="1424" spans="2:11" ht="15" customHeight="1" x14ac:dyDescent="0.35">
      <c r="B1424" s="5">
        <v>1403</v>
      </c>
      <c r="C1424" s="39">
        <f t="shared" ca="1" si="189"/>
        <v>2.846271899729357</v>
      </c>
      <c r="D1424" s="40">
        <f t="shared" ca="1" si="190"/>
        <v>4074231745.4291654</v>
      </c>
      <c r="E1424" s="40">
        <f t="shared" ca="1" si="191"/>
        <v>15489006535572.025</v>
      </c>
      <c r="F1424" s="40">
        <f t="shared" ca="1" si="192"/>
        <v>1904282382075.4475</v>
      </c>
      <c r="G1424" s="40">
        <f t="shared" ca="1" si="193"/>
        <v>19464973320001.332</v>
      </c>
      <c r="H1424" s="40">
        <f t="shared" ca="1" si="194"/>
        <v>1904282382075.4475</v>
      </c>
      <c r="I1424" s="40">
        <f t="shared" ca="1" si="195"/>
        <v>38579743300649.125</v>
      </c>
      <c r="J1424" s="40">
        <f t="shared" ca="1" si="196"/>
        <v>732730241133.02722</v>
      </c>
      <c r="K1424" s="41">
        <f t="shared" ca="1" si="197"/>
        <v>52.65204182236689</v>
      </c>
    </row>
    <row r="1425" spans="2:11" ht="15" customHeight="1" x14ac:dyDescent="0.35">
      <c r="B1425" s="5">
        <v>1404</v>
      </c>
      <c r="C1425" s="39">
        <f t="shared" ca="1" si="189"/>
        <v>2.6399834317432682</v>
      </c>
      <c r="D1425" s="40">
        <f t="shared" ca="1" si="190"/>
        <v>2758816776.9660349</v>
      </c>
      <c r="E1425" s="40">
        <f t="shared" ca="1" si="191"/>
        <v>12865441192650.875</v>
      </c>
      <c r="F1425" s="40">
        <f t="shared" ca="1" si="192"/>
        <v>4242137213106.125</v>
      </c>
      <c r="G1425" s="40">
        <f t="shared" ca="1" si="193"/>
        <v>630592478914.62549</v>
      </c>
      <c r="H1425" s="40">
        <f t="shared" ca="1" si="194"/>
        <v>630592478914.62549</v>
      </c>
      <c r="I1425" s="40">
        <f t="shared" ca="1" si="195"/>
        <v>24928021673939.031</v>
      </c>
      <c r="J1425" s="40">
        <f t="shared" ca="1" si="196"/>
        <v>762087378765.69836</v>
      </c>
      <c r="K1425" s="41">
        <f t="shared" ca="1" si="197"/>
        <v>32.710188317661512</v>
      </c>
    </row>
    <row r="1426" spans="2:11" ht="15" customHeight="1" x14ac:dyDescent="0.35">
      <c r="B1426" s="5">
        <v>1405</v>
      </c>
      <c r="C1426" s="39">
        <f t="shared" ca="1" si="189"/>
        <v>2.5786157754856012</v>
      </c>
      <c r="D1426" s="40">
        <f t="shared" ca="1" si="190"/>
        <v>2416762850.8052182</v>
      </c>
      <c r="E1426" s="40">
        <f t="shared" ca="1" si="191"/>
        <v>6830268575353.3682</v>
      </c>
      <c r="F1426" s="40">
        <f t="shared" ca="1" si="192"/>
        <v>3017647490659.022</v>
      </c>
      <c r="G1426" s="40">
        <f t="shared" ca="1" si="193"/>
        <v>12490334226756.018</v>
      </c>
      <c r="H1426" s="40">
        <f t="shared" ca="1" si="194"/>
        <v>6830268575353.3682</v>
      </c>
      <c r="I1426" s="40">
        <f t="shared" ca="1" si="195"/>
        <v>11229928015243.289</v>
      </c>
      <c r="J1426" s="40">
        <f t="shared" ca="1" si="196"/>
        <v>936141184319.40137</v>
      </c>
      <c r="K1426" s="41">
        <f t="shared" ca="1" si="197"/>
        <v>11.995976892532225</v>
      </c>
    </row>
    <row r="1427" spans="2:11" ht="15" customHeight="1" x14ac:dyDescent="0.35">
      <c r="B1427" s="5">
        <v>1406</v>
      </c>
      <c r="C1427" s="39">
        <f t="shared" ca="1" si="189"/>
        <v>3.28413319102417</v>
      </c>
      <c r="D1427" s="40">
        <f t="shared" ca="1" si="190"/>
        <v>6761954140.4195271</v>
      </c>
      <c r="E1427" s="40">
        <f t="shared" ca="1" si="191"/>
        <v>40055210020716.227</v>
      </c>
      <c r="F1427" s="40">
        <f t="shared" ca="1" si="192"/>
        <v>7921276081558.4111</v>
      </c>
      <c r="G1427" s="40">
        <f t="shared" ca="1" si="193"/>
        <v>14457568974963.621</v>
      </c>
      <c r="H1427" s="40">
        <f t="shared" ca="1" si="194"/>
        <v>7921276081558.4111</v>
      </c>
      <c r="I1427" s="40">
        <f t="shared" ca="1" si="195"/>
        <v>12076157553338.096</v>
      </c>
      <c r="J1427" s="40">
        <f t="shared" ca="1" si="196"/>
        <v>1326854720760.1238</v>
      </c>
      <c r="K1427" s="41">
        <f t="shared" ca="1" si="197"/>
        <v>9.1013412127138906</v>
      </c>
    </row>
    <row r="1428" spans="2:11" ht="15" customHeight="1" x14ac:dyDescent="0.35">
      <c r="B1428" s="5">
        <v>1407</v>
      </c>
      <c r="C1428" s="39">
        <f t="shared" ca="1" si="189"/>
        <v>2.4046231737054278</v>
      </c>
      <c r="D1428" s="40">
        <f t="shared" ca="1" si="190"/>
        <v>1710210032.9147017</v>
      </c>
      <c r="E1428" s="40">
        <f t="shared" ca="1" si="191"/>
        <v>39079850594831.438</v>
      </c>
      <c r="F1428" s="40">
        <f t="shared" ca="1" si="192"/>
        <v>393993327561.87299</v>
      </c>
      <c r="G1428" s="40">
        <f t="shared" ca="1" si="193"/>
        <v>8727952551233.2109</v>
      </c>
      <c r="H1428" s="40">
        <f t="shared" ca="1" si="194"/>
        <v>39079850594831.438</v>
      </c>
      <c r="I1428" s="40">
        <f t="shared" ca="1" si="195"/>
        <v>141060392869.19559</v>
      </c>
      <c r="J1428" s="40">
        <f t="shared" ca="1" si="196"/>
        <v>1094904346568.1537</v>
      </c>
      <c r="K1428" s="41">
        <f t="shared" ca="1" si="197"/>
        <v>0.12883353081146537</v>
      </c>
    </row>
    <row r="1429" spans="2:11" ht="15" customHeight="1" x14ac:dyDescent="0.35">
      <c r="B1429" s="5">
        <v>1408</v>
      </c>
      <c r="C1429" s="39">
        <f t="shared" ca="1" si="189"/>
        <v>3.3860561842213075</v>
      </c>
      <c r="D1429" s="40">
        <f t="shared" ca="1" si="190"/>
        <v>8609510375.6846962</v>
      </c>
      <c r="E1429" s="40">
        <f t="shared" ca="1" si="191"/>
        <v>33062408321986.063</v>
      </c>
      <c r="F1429" s="40">
        <f t="shared" ca="1" si="192"/>
        <v>1130812658038.0972</v>
      </c>
      <c r="G1429" s="40">
        <f t="shared" ca="1" si="193"/>
        <v>2241221413705.46</v>
      </c>
      <c r="H1429" s="40">
        <f t="shared" ca="1" si="194"/>
        <v>2241221413705.46</v>
      </c>
      <c r="I1429" s="40">
        <f t="shared" ca="1" si="195"/>
        <v>30466377436229.012</v>
      </c>
      <c r="J1429" s="40">
        <f t="shared" ca="1" si="196"/>
        <v>1619826220842.7883</v>
      </c>
      <c r="K1429" s="41">
        <f t="shared" ca="1" si="197"/>
        <v>18.808423424814972</v>
      </c>
    </row>
    <row r="1430" spans="2:11" ht="15" customHeight="1" x14ac:dyDescent="0.35">
      <c r="B1430" s="5">
        <v>1409</v>
      </c>
      <c r="C1430" s="39">
        <f t="shared" ref="C1430:C1493" ca="1" si="198">MEDIAN(1.8,NORMINV(RAND(),$C$7,$D$7),4.5)</f>
        <v>3.2804138417850623</v>
      </c>
      <c r="D1430" s="40">
        <f t="shared" ref="D1430:D1493" ca="1" si="199">($C$8+RAND()*($D$8-$C$8))*C1430^5</f>
        <v>8204698002.5528765</v>
      </c>
      <c r="E1430" s="40">
        <f t="shared" ref="E1430:E1493" ca="1" si="200">D1430*($C$10+RAND()*($D$10-$C$10))*EXP(NORMINV(RAND(),$C$9,$D$9))*($C$11+RAND()*($D$11-$C$11))</f>
        <v>49092277634976.711</v>
      </c>
      <c r="F1430" s="40">
        <f t="shared" ref="F1430:F1493" ca="1" si="201">EXP(NORMINV(RAND(),$C$12,$D$12))*EXP(NORMINV(RAND(),$C$13,$D$13))</f>
        <v>397720200012.35309</v>
      </c>
      <c r="G1430" s="40">
        <f t="shared" ref="G1430:G1493" ca="1" si="202">EXP(NORMINV(RAND(),$C$14,$D$14))*($C$15+RAND()*($D$15-$C$15))*EXP(NORMINV(RAND(),$C$16,$D$16))/1000000*31536000</f>
        <v>15492984503761.84</v>
      </c>
      <c r="H1430" s="40">
        <f t="shared" ref="H1430:H1493" ca="1" si="203">CHOOSE(RANDBETWEEN(1,3),E1430,F1430,G1430)</f>
        <v>15492984503761.84</v>
      </c>
      <c r="I1430" s="40">
        <f t="shared" ref="I1430:I1493" ca="1" si="204">EXP(NORMINV(RAND(),$C$14,$D$14))*($C$15+RAND()*($D$15-$C$15))*60</f>
        <v>2026833381278.7063</v>
      </c>
      <c r="J1430" s="40">
        <f t="shared" ref="J1430:J1493" ca="1" si="205">($C$17+RAND()*($D$17-$C$17))*($C$18+RAND()*($D$18-$C$18))</f>
        <v>1294256015421.1211</v>
      </c>
      <c r="K1430" s="41">
        <f t="shared" ref="K1430:K1493" ca="1" si="206">I1430/J1430</f>
        <v>1.5660219903395398</v>
      </c>
    </row>
    <row r="1431" spans="2:11" ht="15" customHeight="1" x14ac:dyDescent="0.35">
      <c r="B1431" s="5">
        <v>1410</v>
      </c>
      <c r="C1431" s="39">
        <f t="shared" ca="1" si="198"/>
        <v>2.9551418992899587</v>
      </c>
      <c r="D1431" s="40">
        <f t="shared" ca="1" si="199"/>
        <v>4346861247.6989584</v>
      </c>
      <c r="E1431" s="40">
        <f t="shared" ca="1" si="200"/>
        <v>8556760130004.8848</v>
      </c>
      <c r="F1431" s="40">
        <f t="shared" ca="1" si="201"/>
        <v>2979445564714.271</v>
      </c>
      <c r="G1431" s="40">
        <f t="shared" ca="1" si="202"/>
        <v>1310187258201.7014</v>
      </c>
      <c r="H1431" s="40">
        <f t="shared" ca="1" si="203"/>
        <v>1310187258201.7014</v>
      </c>
      <c r="I1431" s="40">
        <f t="shared" ca="1" si="204"/>
        <v>17225159293762.605</v>
      </c>
      <c r="J1431" s="40">
        <f t="shared" ca="1" si="205"/>
        <v>1343873916909.0369</v>
      </c>
      <c r="K1431" s="41">
        <f t="shared" ca="1" si="206"/>
        <v>12.817541197154233</v>
      </c>
    </row>
    <row r="1432" spans="2:11" ht="15" customHeight="1" x14ac:dyDescent="0.35">
      <c r="B1432" s="5">
        <v>1411</v>
      </c>
      <c r="C1432" s="39">
        <f t="shared" ca="1" si="198"/>
        <v>3.3614889954084135</v>
      </c>
      <c r="D1432" s="40">
        <f t="shared" ca="1" si="199"/>
        <v>8480397579.2267942</v>
      </c>
      <c r="E1432" s="40">
        <f t="shared" ca="1" si="200"/>
        <v>16360342066510.455</v>
      </c>
      <c r="F1432" s="40">
        <f t="shared" ca="1" si="201"/>
        <v>2848114803196.9209</v>
      </c>
      <c r="G1432" s="40">
        <f t="shared" ca="1" si="202"/>
        <v>1059205572291.8894</v>
      </c>
      <c r="H1432" s="40">
        <f t="shared" ca="1" si="203"/>
        <v>2848114803196.9209</v>
      </c>
      <c r="I1432" s="40">
        <f t="shared" ca="1" si="204"/>
        <v>19597282416960.922</v>
      </c>
      <c r="J1432" s="40">
        <f t="shared" ca="1" si="205"/>
        <v>746437616171.84583</v>
      </c>
      <c r="K1432" s="41">
        <f t="shared" ca="1" si="206"/>
        <v>26.254414290462567</v>
      </c>
    </row>
    <row r="1433" spans="2:11" ht="15" customHeight="1" x14ac:dyDescent="0.35">
      <c r="B1433" s="5">
        <v>1412</v>
      </c>
      <c r="C1433" s="39">
        <f t="shared" ca="1" si="198"/>
        <v>3.1447628014307631</v>
      </c>
      <c r="D1433" s="40">
        <f t="shared" ca="1" si="199"/>
        <v>5689173310.1346798</v>
      </c>
      <c r="E1433" s="40">
        <f t="shared" ca="1" si="200"/>
        <v>32650902127944.137</v>
      </c>
      <c r="F1433" s="40">
        <f t="shared" ca="1" si="201"/>
        <v>8621068195881.5732</v>
      </c>
      <c r="G1433" s="40">
        <f t="shared" ca="1" si="202"/>
        <v>2548724265347.7344</v>
      </c>
      <c r="H1433" s="40">
        <f t="shared" ca="1" si="203"/>
        <v>2548724265347.7344</v>
      </c>
      <c r="I1433" s="40">
        <f t="shared" ca="1" si="204"/>
        <v>26190373706036.25</v>
      </c>
      <c r="J1433" s="40">
        <f t="shared" ca="1" si="205"/>
        <v>1055865128354.3295</v>
      </c>
      <c r="K1433" s="41">
        <f t="shared" ca="1" si="206"/>
        <v>24.804658287045189</v>
      </c>
    </row>
    <row r="1434" spans="2:11" ht="15" customHeight="1" x14ac:dyDescent="0.35">
      <c r="B1434" s="5">
        <v>1413</v>
      </c>
      <c r="C1434" s="39">
        <f t="shared" ca="1" si="198"/>
        <v>2.985381052174342</v>
      </c>
      <c r="D1434" s="40">
        <f t="shared" ca="1" si="199"/>
        <v>5087938507.4484377</v>
      </c>
      <c r="E1434" s="40">
        <f t="shared" ca="1" si="200"/>
        <v>209476014499601.69</v>
      </c>
      <c r="F1434" s="40">
        <f t="shared" ca="1" si="201"/>
        <v>1361392373450.0786</v>
      </c>
      <c r="G1434" s="40">
        <f t="shared" ca="1" si="202"/>
        <v>14425410770529.725</v>
      </c>
      <c r="H1434" s="40">
        <f t="shared" ca="1" si="203"/>
        <v>14425410770529.725</v>
      </c>
      <c r="I1434" s="40">
        <f t="shared" ca="1" si="204"/>
        <v>55280435314519.82</v>
      </c>
      <c r="J1434" s="40">
        <f t="shared" ca="1" si="205"/>
        <v>1517989238617.7959</v>
      </c>
      <c r="K1434" s="41">
        <f t="shared" ca="1" si="206"/>
        <v>36.416882220361053</v>
      </c>
    </row>
    <row r="1435" spans="2:11" ht="15" customHeight="1" x14ac:dyDescent="0.35">
      <c r="B1435" s="5">
        <v>1414</v>
      </c>
      <c r="C1435" s="39">
        <f t="shared" ca="1" si="198"/>
        <v>3.3383413402327182</v>
      </c>
      <c r="D1435" s="40">
        <f t="shared" ca="1" si="199"/>
        <v>9472927268.8006458</v>
      </c>
      <c r="E1435" s="40">
        <f t="shared" ca="1" si="200"/>
        <v>17322604772015.305</v>
      </c>
      <c r="F1435" s="40">
        <f t="shared" ca="1" si="201"/>
        <v>7122452677633.6475</v>
      </c>
      <c r="G1435" s="40">
        <f t="shared" ca="1" si="202"/>
        <v>16802024472486.424</v>
      </c>
      <c r="H1435" s="40">
        <f t="shared" ca="1" si="203"/>
        <v>7122452677633.6475</v>
      </c>
      <c r="I1435" s="40">
        <f t="shared" ca="1" si="204"/>
        <v>3851955204561.9067</v>
      </c>
      <c r="J1435" s="40">
        <f t="shared" ca="1" si="205"/>
        <v>736456302595.4375</v>
      </c>
      <c r="K1435" s="41">
        <f t="shared" ca="1" si="206"/>
        <v>5.2303920694096186</v>
      </c>
    </row>
    <row r="1436" spans="2:11" ht="15" customHeight="1" x14ac:dyDescent="0.35">
      <c r="B1436" s="5">
        <v>1415</v>
      </c>
      <c r="C1436" s="39">
        <f t="shared" ca="1" si="198"/>
        <v>2.6994945110350015</v>
      </c>
      <c r="D1436" s="40">
        <f t="shared" ca="1" si="199"/>
        <v>3166280760.2576447</v>
      </c>
      <c r="E1436" s="40">
        <f t="shared" ca="1" si="200"/>
        <v>29020882319235.035</v>
      </c>
      <c r="F1436" s="40">
        <f t="shared" ca="1" si="201"/>
        <v>7662314226772.9834</v>
      </c>
      <c r="G1436" s="40">
        <f t="shared" ca="1" si="202"/>
        <v>7795854715587.335</v>
      </c>
      <c r="H1436" s="40">
        <f t="shared" ca="1" si="203"/>
        <v>29020882319235.035</v>
      </c>
      <c r="I1436" s="40">
        <f t="shared" ca="1" si="204"/>
        <v>143485518023417.97</v>
      </c>
      <c r="J1436" s="40">
        <f t="shared" ca="1" si="205"/>
        <v>1557370860640.8743</v>
      </c>
      <c r="K1436" s="41">
        <f t="shared" ca="1" si="206"/>
        <v>92.133172418785463</v>
      </c>
    </row>
    <row r="1437" spans="2:11" ht="15" customHeight="1" x14ac:dyDescent="0.35">
      <c r="B1437" s="5">
        <v>1416</v>
      </c>
      <c r="C1437" s="39">
        <f t="shared" ca="1" si="198"/>
        <v>2.9273772073831168</v>
      </c>
      <c r="D1437" s="40">
        <f t="shared" ca="1" si="199"/>
        <v>5092467784.0689573</v>
      </c>
      <c r="E1437" s="40">
        <f t="shared" ca="1" si="200"/>
        <v>64814017744488.758</v>
      </c>
      <c r="F1437" s="40">
        <f t="shared" ca="1" si="201"/>
        <v>2467867303199.0703</v>
      </c>
      <c r="G1437" s="40">
        <f t="shared" ca="1" si="202"/>
        <v>12739303715992.549</v>
      </c>
      <c r="H1437" s="40">
        <f t="shared" ca="1" si="203"/>
        <v>2467867303199.0703</v>
      </c>
      <c r="I1437" s="40">
        <f t="shared" ca="1" si="204"/>
        <v>4434575882242.6465</v>
      </c>
      <c r="J1437" s="40">
        <f t="shared" ca="1" si="205"/>
        <v>1633681882562.8274</v>
      </c>
      <c r="K1437" s="41">
        <f t="shared" ca="1" si="206"/>
        <v>2.7144671980360924</v>
      </c>
    </row>
    <row r="1438" spans="2:11" ht="15" customHeight="1" x14ac:dyDescent="0.35">
      <c r="B1438" s="5">
        <v>1417</v>
      </c>
      <c r="C1438" s="39">
        <f t="shared" ca="1" si="198"/>
        <v>2.7829416413553765</v>
      </c>
      <c r="D1438" s="40">
        <f t="shared" ca="1" si="199"/>
        <v>2679036873.4566789</v>
      </c>
      <c r="E1438" s="40">
        <f t="shared" ca="1" si="200"/>
        <v>9282506329247.3496</v>
      </c>
      <c r="F1438" s="40">
        <f t="shared" ca="1" si="201"/>
        <v>22520369662417.211</v>
      </c>
      <c r="G1438" s="40">
        <f t="shared" ca="1" si="202"/>
        <v>2770251435758.2485</v>
      </c>
      <c r="H1438" s="40">
        <f t="shared" ca="1" si="203"/>
        <v>22520369662417.211</v>
      </c>
      <c r="I1438" s="40">
        <f t="shared" ca="1" si="204"/>
        <v>1031241975640.6777</v>
      </c>
      <c r="J1438" s="40">
        <f t="shared" ca="1" si="205"/>
        <v>1131723497556.3228</v>
      </c>
      <c r="K1438" s="41">
        <f t="shared" ca="1" si="206"/>
        <v>0.91121371772114834</v>
      </c>
    </row>
    <row r="1439" spans="2:11" ht="15" customHeight="1" x14ac:dyDescent="0.35">
      <c r="B1439" s="5">
        <v>1418</v>
      </c>
      <c r="C1439" s="39">
        <f t="shared" ca="1" si="198"/>
        <v>3.1719206088186875</v>
      </c>
      <c r="D1439" s="40">
        <f t="shared" ca="1" si="199"/>
        <v>7319837202.4611683</v>
      </c>
      <c r="E1439" s="40">
        <f t="shared" ca="1" si="200"/>
        <v>3631061376366.1655</v>
      </c>
      <c r="F1439" s="40">
        <f t="shared" ca="1" si="201"/>
        <v>15650905153062.574</v>
      </c>
      <c r="G1439" s="40">
        <f t="shared" ca="1" si="202"/>
        <v>11316253069224.182</v>
      </c>
      <c r="H1439" s="40">
        <f t="shared" ca="1" si="203"/>
        <v>11316253069224.182</v>
      </c>
      <c r="I1439" s="40">
        <f t="shared" ca="1" si="204"/>
        <v>23826975165629.168</v>
      </c>
      <c r="J1439" s="40">
        <f t="shared" ca="1" si="205"/>
        <v>1760040087385.1467</v>
      </c>
      <c r="K1439" s="41">
        <f t="shared" ca="1" si="206"/>
        <v>13.53774572318315</v>
      </c>
    </row>
    <row r="1440" spans="2:11" ht="15" customHeight="1" x14ac:dyDescent="0.35">
      <c r="B1440" s="5">
        <v>1419</v>
      </c>
      <c r="C1440" s="39">
        <f t="shared" ca="1" si="198"/>
        <v>3.2917101717723289</v>
      </c>
      <c r="D1440" s="40">
        <f t="shared" ca="1" si="199"/>
        <v>9037179098.1305695</v>
      </c>
      <c r="E1440" s="40">
        <f t="shared" ca="1" si="200"/>
        <v>79749392094776.375</v>
      </c>
      <c r="F1440" s="40">
        <f t="shared" ca="1" si="201"/>
        <v>2196460092828.1721</v>
      </c>
      <c r="G1440" s="40">
        <f t="shared" ca="1" si="202"/>
        <v>209644487675952.13</v>
      </c>
      <c r="H1440" s="40">
        <f t="shared" ca="1" si="203"/>
        <v>209644487675952.13</v>
      </c>
      <c r="I1440" s="40">
        <f t="shared" ca="1" si="204"/>
        <v>24650184533892.055</v>
      </c>
      <c r="J1440" s="40">
        <f t="shared" ca="1" si="205"/>
        <v>1219339405593.0652</v>
      </c>
      <c r="K1440" s="41">
        <f t="shared" ca="1" si="206"/>
        <v>20.216015672767206</v>
      </c>
    </row>
    <row r="1441" spans="2:11" ht="15" customHeight="1" x14ac:dyDescent="0.35">
      <c r="B1441" s="5">
        <v>1420</v>
      </c>
      <c r="C1441" s="39">
        <f t="shared" ca="1" si="198"/>
        <v>3.5004583149726294</v>
      </c>
      <c r="D1441" s="40">
        <f t="shared" ca="1" si="199"/>
        <v>11846755038.823538</v>
      </c>
      <c r="E1441" s="40">
        <f t="shared" ca="1" si="200"/>
        <v>50374184138741.445</v>
      </c>
      <c r="F1441" s="40">
        <f t="shared" ca="1" si="201"/>
        <v>141651079893.58783</v>
      </c>
      <c r="G1441" s="40">
        <f t="shared" ca="1" si="202"/>
        <v>16452869766381.582</v>
      </c>
      <c r="H1441" s="40">
        <f t="shared" ca="1" si="203"/>
        <v>16452869766381.582</v>
      </c>
      <c r="I1441" s="40">
        <f t="shared" ca="1" si="204"/>
        <v>1465951696534.6655</v>
      </c>
      <c r="J1441" s="40">
        <f t="shared" ca="1" si="205"/>
        <v>925094005539.97961</v>
      </c>
      <c r="K1441" s="41">
        <f t="shared" ca="1" si="206"/>
        <v>1.584651600546245</v>
      </c>
    </row>
    <row r="1442" spans="2:11" ht="15" customHeight="1" x14ac:dyDescent="0.35">
      <c r="B1442" s="5">
        <v>1421</v>
      </c>
      <c r="C1442" s="39">
        <f t="shared" ca="1" si="198"/>
        <v>3.3324348916083895</v>
      </c>
      <c r="D1442" s="40">
        <f t="shared" ca="1" si="199"/>
        <v>6830470726.8775015</v>
      </c>
      <c r="E1442" s="40">
        <f t="shared" ca="1" si="200"/>
        <v>95415846271831.563</v>
      </c>
      <c r="F1442" s="40">
        <f t="shared" ca="1" si="201"/>
        <v>2578457531234.6563</v>
      </c>
      <c r="G1442" s="40">
        <f t="shared" ca="1" si="202"/>
        <v>1622816648170.3518</v>
      </c>
      <c r="H1442" s="40">
        <f t="shared" ca="1" si="203"/>
        <v>1622816648170.3518</v>
      </c>
      <c r="I1442" s="40">
        <f t="shared" ca="1" si="204"/>
        <v>41141139574459.023</v>
      </c>
      <c r="J1442" s="40">
        <f t="shared" ca="1" si="205"/>
        <v>1106913000424.7209</v>
      </c>
      <c r="K1442" s="41">
        <f t="shared" ca="1" si="206"/>
        <v>37.167455399541993</v>
      </c>
    </row>
    <row r="1443" spans="2:11" ht="15" customHeight="1" x14ac:dyDescent="0.35">
      <c r="B1443" s="5">
        <v>1422</v>
      </c>
      <c r="C1443" s="39">
        <f t="shared" ca="1" si="198"/>
        <v>3.5170160170210814</v>
      </c>
      <c r="D1443" s="40">
        <f t="shared" ca="1" si="199"/>
        <v>10459017696.17894</v>
      </c>
      <c r="E1443" s="40">
        <f t="shared" ca="1" si="200"/>
        <v>36398038806031.484</v>
      </c>
      <c r="F1443" s="40">
        <f t="shared" ca="1" si="201"/>
        <v>14460692118536.996</v>
      </c>
      <c r="G1443" s="40">
        <f t="shared" ca="1" si="202"/>
        <v>3739373357246.0396</v>
      </c>
      <c r="H1443" s="40">
        <f t="shared" ca="1" si="203"/>
        <v>14460692118536.996</v>
      </c>
      <c r="I1443" s="40">
        <f t="shared" ca="1" si="204"/>
        <v>13286038399467.846</v>
      </c>
      <c r="J1443" s="40">
        <f t="shared" ca="1" si="205"/>
        <v>747269823554.85999</v>
      </c>
      <c r="K1443" s="41">
        <f t="shared" ca="1" si="206"/>
        <v>17.779439207466492</v>
      </c>
    </row>
    <row r="1444" spans="2:11" ht="15" customHeight="1" x14ac:dyDescent="0.35">
      <c r="B1444" s="5">
        <v>1423</v>
      </c>
      <c r="C1444" s="39">
        <f t="shared" ca="1" si="198"/>
        <v>2.6996121387303158</v>
      </c>
      <c r="D1444" s="40">
        <f t="shared" ca="1" si="199"/>
        <v>3343784622.7089009</v>
      </c>
      <c r="E1444" s="40">
        <f t="shared" ca="1" si="200"/>
        <v>42216234142744.484</v>
      </c>
      <c r="F1444" s="40">
        <f t="shared" ca="1" si="201"/>
        <v>3414295997956.9038</v>
      </c>
      <c r="G1444" s="40">
        <f t="shared" ca="1" si="202"/>
        <v>1432658723246.3083</v>
      </c>
      <c r="H1444" s="40">
        <f t="shared" ca="1" si="203"/>
        <v>3414295997956.9038</v>
      </c>
      <c r="I1444" s="40">
        <f t="shared" ca="1" si="204"/>
        <v>527046331184.68848</v>
      </c>
      <c r="J1444" s="40">
        <f t="shared" ca="1" si="205"/>
        <v>775587337771.20032</v>
      </c>
      <c r="K1444" s="41">
        <f t="shared" ca="1" si="206"/>
        <v>0.67954478563208331</v>
      </c>
    </row>
    <row r="1445" spans="2:11" ht="15" customHeight="1" x14ac:dyDescent="0.35">
      <c r="B1445" s="5">
        <v>1424</v>
      </c>
      <c r="C1445" s="39">
        <f t="shared" ca="1" si="198"/>
        <v>3.0272907117195951</v>
      </c>
      <c r="D1445" s="40">
        <f t="shared" ca="1" si="199"/>
        <v>5636033099.1799431</v>
      </c>
      <c r="E1445" s="40">
        <f t="shared" ca="1" si="200"/>
        <v>8776162341718.6973</v>
      </c>
      <c r="F1445" s="40">
        <f t="shared" ca="1" si="201"/>
        <v>668849121432.65344</v>
      </c>
      <c r="G1445" s="40">
        <f t="shared" ca="1" si="202"/>
        <v>29719511205449.684</v>
      </c>
      <c r="H1445" s="40">
        <f t="shared" ca="1" si="203"/>
        <v>8776162341718.6973</v>
      </c>
      <c r="I1445" s="40">
        <f t="shared" ca="1" si="204"/>
        <v>21013102353305.922</v>
      </c>
      <c r="J1445" s="40">
        <f t="shared" ca="1" si="205"/>
        <v>735626537159.69165</v>
      </c>
      <c r="K1445" s="41">
        <f t="shared" ca="1" si="206"/>
        <v>28.564905277124804</v>
      </c>
    </row>
    <row r="1446" spans="2:11" ht="15" customHeight="1" x14ac:dyDescent="0.35">
      <c r="B1446" s="5">
        <v>1425</v>
      </c>
      <c r="C1446" s="39">
        <f t="shared" ca="1" si="198"/>
        <v>2.7293823978722784</v>
      </c>
      <c r="D1446" s="40">
        <f t="shared" ca="1" si="199"/>
        <v>3226073812.8215575</v>
      </c>
      <c r="E1446" s="40">
        <f t="shared" ca="1" si="200"/>
        <v>12531208626235.309</v>
      </c>
      <c r="F1446" s="40">
        <f t="shared" ca="1" si="201"/>
        <v>2684667303625.7393</v>
      </c>
      <c r="G1446" s="40">
        <f t="shared" ca="1" si="202"/>
        <v>2426486092769.7153</v>
      </c>
      <c r="H1446" s="40">
        <f t="shared" ca="1" si="203"/>
        <v>12531208626235.309</v>
      </c>
      <c r="I1446" s="40">
        <f t="shared" ca="1" si="204"/>
        <v>21169289341996.656</v>
      </c>
      <c r="J1446" s="40">
        <f t="shared" ca="1" si="205"/>
        <v>653305737941.27087</v>
      </c>
      <c r="K1446" s="41">
        <f t="shared" ca="1" si="206"/>
        <v>32.403342129990101</v>
      </c>
    </row>
    <row r="1447" spans="2:11" ht="15" customHeight="1" x14ac:dyDescent="0.35">
      <c r="B1447" s="5">
        <v>1426</v>
      </c>
      <c r="C1447" s="39">
        <f t="shared" ca="1" si="198"/>
        <v>3.3994331003419234</v>
      </c>
      <c r="D1447" s="40">
        <f t="shared" ca="1" si="199"/>
        <v>10476108115.249926</v>
      </c>
      <c r="E1447" s="40">
        <f t="shared" ca="1" si="200"/>
        <v>126171812053400.73</v>
      </c>
      <c r="F1447" s="40">
        <f t="shared" ca="1" si="201"/>
        <v>1071890379983.9091</v>
      </c>
      <c r="G1447" s="40">
        <f t="shared" ca="1" si="202"/>
        <v>51678458876024.172</v>
      </c>
      <c r="H1447" s="40">
        <f t="shared" ca="1" si="203"/>
        <v>1071890379983.9091</v>
      </c>
      <c r="I1447" s="40">
        <f t="shared" ca="1" si="204"/>
        <v>1403865451335.1086</v>
      </c>
      <c r="J1447" s="40">
        <f t="shared" ca="1" si="205"/>
        <v>1285202979321.4185</v>
      </c>
      <c r="K1447" s="41">
        <f t="shared" ca="1" si="206"/>
        <v>1.0923297517380044</v>
      </c>
    </row>
    <row r="1448" spans="2:11" ht="15" customHeight="1" x14ac:dyDescent="0.35">
      <c r="B1448" s="5">
        <v>1427</v>
      </c>
      <c r="C1448" s="39">
        <f t="shared" ca="1" si="198"/>
        <v>2.7924303142509421</v>
      </c>
      <c r="D1448" s="40">
        <f t="shared" ca="1" si="199"/>
        <v>2977713827.8638239</v>
      </c>
      <c r="E1448" s="40">
        <f t="shared" ca="1" si="200"/>
        <v>7326582652451.8135</v>
      </c>
      <c r="F1448" s="40">
        <f t="shared" ca="1" si="201"/>
        <v>748366293128.69519</v>
      </c>
      <c r="G1448" s="40">
        <f t="shared" ca="1" si="202"/>
        <v>2874646090838.6948</v>
      </c>
      <c r="H1448" s="40">
        <f t="shared" ca="1" si="203"/>
        <v>2874646090838.6948</v>
      </c>
      <c r="I1448" s="40">
        <f t="shared" ca="1" si="204"/>
        <v>10361424975683.471</v>
      </c>
      <c r="J1448" s="40">
        <f t="shared" ca="1" si="205"/>
        <v>680957728935.0481</v>
      </c>
      <c r="K1448" s="41">
        <f t="shared" ca="1" si="206"/>
        <v>15.215959134332369</v>
      </c>
    </row>
    <row r="1449" spans="2:11" ht="15" customHeight="1" x14ac:dyDescent="0.35">
      <c r="B1449" s="5">
        <v>1428</v>
      </c>
      <c r="C1449" s="39">
        <f t="shared" ca="1" si="198"/>
        <v>2.605884631310003</v>
      </c>
      <c r="D1449" s="40">
        <f t="shared" ca="1" si="199"/>
        <v>2843633355.4212961</v>
      </c>
      <c r="E1449" s="40">
        <f t="shared" ca="1" si="200"/>
        <v>3727175525076.9575</v>
      </c>
      <c r="F1449" s="40">
        <f t="shared" ca="1" si="201"/>
        <v>831173211040.32947</v>
      </c>
      <c r="G1449" s="40">
        <f t="shared" ca="1" si="202"/>
        <v>7583097164881.4854</v>
      </c>
      <c r="H1449" s="40">
        <f t="shared" ca="1" si="203"/>
        <v>7583097164881.4854</v>
      </c>
      <c r="I1449" s="40">
        <f t="shared" ca="1" si="204"/>
        <v>1136677677255.7227</v>
      </c>
      <c r="J1449" s="40">
        <f t="shared" ca="1" si="205"/>
        <v>974074197529.48682</v>
      </c>
      <c r="K1449" s="41">
        <f t="shared" ca="1" si="206"/>
        <v>1.1669313078394252</v>
      </c>
    </row>
    <row r="1450" spans="2:11" ht="15" customHeight="1" x14ac:dyDescent="0.35">
      <c r="B1450" s="5">
        <v>1429</v>
      </c>
      <c r="C1450" s="39">
        <f t="shared" ca="1" si="198"/>
        <v>3.1686353090310861</v>
      </c>
      <c r="D1450" s="40">
        <f t="shared" ca="1" si="199"/>
        <v>5480316870.5182009</v>
      </c>
      <c r="E1450" s="40">
        <f t="shared" ca="1" si="200"/>
        <v>22061967616146.188</v>
      </c>
      <c r="F1450" s="40">
        <f t="shared" ca="1" si="201"/>
        <v>15071701552558.172</v>
      </c>
      <c r="G1450" s="40">
        <f t="shared" ca="1" si="202"/>
        <v>18523635476218.832</v>
      </c>
      <c r="H1450" s="40">
        <f t="shared" ca="1" si="203"/>
        <v>22061967616146.188</v>
      </c>
      <c r="I1450" s="40">
        <f t="shared" ca="1" si="204"/>
        <v>1200183659393.9001</v>
      </c>
      <c r="J1450" s="40">
        <f t="shared" ca="1" si="205"/>
        <v>458818740446.21771</v>
      </c>
      <c r="K1450" s="41">
        <f t="shared" ca="1" si="206"/>
        <v>2.6158122011901224</v>
      </c>
    </row>
    <row r="1451" spans="2:11" ht="15" customHeight="1" x14ac:dyDescent="0.35">
      <c r="B1451" s="5">
        <v>1430</v>
      </c>
      <c r="C1451" s="39">
        <f t="shared" ca="1" si="198"/>
        <v>3.3038907893415801</v>
      </c>
      <c r="D1451" s="40">
        <f t="shared" ca="1" si="199"/>
        <v>7486060835.7725792</v>
      </c>
      <c r="E1451" s="40">
        <f t="shared" ca="1" si="200"/>
        <v>18546239737775.98</v>
      </c>
      <c r="F1451" s="40">
        <f t="shared" ca="1" si="201"/>
        <v>13303509561639.691</v>
      </c>
      <c r="G1451" s="40">
        <f t="shared" ca="1" si="202"/>
        <v>689770438963.06934</v>
      </c>
      <c r="H1451" s="40">
        <f t="shared" ca="1" si="203"/>
        <v>13303509561639.691</v>
      </c>
      <c r="I1451" s="40">
        <f t="shared" ca="1" si="204"/>
        <v>17987366722610.805</v>
      </c>
      <c r="J1451" s="40">
        <f t="shared" ca="1" si="205"/>
        <v>626000173594.08667</v>
      </c>
      <c r="K1451" s="41">
        <f t="shared" ca="1" si="206"/>
        <v>28.733804687847002</v>
      </c>
    </row>
    <row r="1452" spans="2:11" ht="15" customHeight="1" x14ac:dyDescent="0.35">
      <c r="B1452" s="5">
        <v>1431</v>
      </c>
      <c r="C1452" s="39">
        <f t="shared" ca="1" si="198"/>
        <v>2.4747925125858057</v>
      </c>
      <c r="D1452" s="40">
        <f t="shared" ca="1" si="199"/>
        <v>1700319453.0017667</v>
      </c>
      <c r="E1452" s="40">
        <f t="shared" ca="1" si="200"/>
        <v>1808393144356.146</v>
      </c>
      <c r="F1452" s="40">
        <f t="shared" ca="1" si="201"/>
        <v>561013279135.87585</v>
      </c>
      <c r="G1452" s="40">
        <f t="shared" ca="1" si="202"/>
        <v>2279073535057.0708</v>
      </c>
      <c r="H1452" s="40">
        <f t="shared" ca="1" si="203"/>
        <v>1808393144356.146</v>
      </c>
      <c r="I1452" s="40">
        <f t="shared" ca="1" si="204"/>
        <v>1242856640018.8022</v>
      </c>
      <c r="J1452" s="40">
        <f t="shared" ca="1" si="205"/>
        <v>1771574733934.1279</v>
      </c>
      <c r="K1452" s="41">
        <f t="shared" ca="1" si="206"/>
        <v>0.70155473331841678</v>
      </c>
    </row>
    <row r="1453" spans="2:11" ht="15" customHeight="1" x14ac:dyDescent="0.35">
      <c r="B1453" s="5">
        <v>1432</v>
      </c>
      <c r="C1453" s="39">
        <f t="shared" ca="1" si="198"/>
        <v>3.013884272997605</v>
      </c>
      <c r="D1453" s="40">
        <f t="shared" ca="1" si="199"/>
        <v>4671754571.8227568</v>
      </c>
      <c r="E1453" s="40">
        <f t="shared" ca="1" si="200"/>
        <v>17411797878400.092</v>
      </c>
      <c r="F1453" s="40">
        <f t="shared" ca="1" si="201"/>
        <v>5588083488615.1035</v>
      </c>
      <c r="G1453" s="40">
        <f t="shared" ca="1" si="202"/>
        <v>40177362471989.938</v>
      </c>
      <c r="H1453" s="40">
        <f t="shared" ca="1" si="203"/>
        <v>17411797878400.092</v>
      </c>
      <c r="I1453" s="40">
        <f t="shared" ca="1" si="204"/>
        <v>9375174348373.0508</v>
      </c>
      <c r="J1453" s="40">
        <f t="shared" ca="1" si="205"/>
        <v>842944048675.44995</v>
      </c>
      <c r="K1453" s="41">
        <f t="shared" ca="1" si="206"/>
        <v>11.121941442145085</v>
      </c>
    </row>
    <row r="1454" spans="2:11" ht="15" customHeight="1" x14ac:dyDescent="0.35">
      <c r="B1454" s="5">
        <v>1433</v>
      </c>
      <c r="C1454" s="39">
        <f t="shared" ca="1" si="198"/>
        <v>3.7816835257186545</v>
      </c>
      <c r="D1454" s="40">
        <f t="shared" ca="1" si="199"/>
        <v>18229933607.162506</v>
      </c>
      <c r="E1454" s="40">
        <f t="shared" ca="1" si="200"/>
        <v>32947080967094.707</v>
      </c>
      <c r="F1454" s="40">
        <f t="shared" ca="1" si="201"/>
        <v>6583555709662.5361</v>
      </c>
      <c r="G1454" s="40">
        <f t="shared" ca="1" si="202"/>
        <v>69392340728706.07</v>
      </c>
      <c r="H1454" s="40">
        <f t="shared" ca="1" si="203"/>
        <v>6583555709662.5361</v>
      </c>
      <c r="I1454" s="40">
        <f t="shared" ca="1" si="204"/>
        <v>6979425414067.1406</v>
      </c>
      <c r="J1454" s="40">
        <f t="shared" ca="1" si="205"/>
        <v>971008653443.6803</v>
      </c>
      <c r="K1454" s="41">
        <f t="shared" ca="1" si="206"/>
        <v>7.1878096959431019</v>
      </c>
    </row>
    <row r="1455" spans="2:11" ht="15" customHeight="1" x14ac:dyDescent="0.35">
      <c r="B1455" s="5">
        <v>1434</v>
      </c>
      <c r="C1455" s="39">
        <f t="shared" ca="1" si="198"/>
        <v>2.777432027382015</v>
      </c>
      <c r="D1455" s="40">
        <f t="shared" ca="1" si="199"/>
        <v>3730329113.1580968</v>
      </c>
      <c r="E1455" s="40">
        <f t="shared" ca="1" si="200"/>
        <v>27963107009206.664</v>
      </c>
      <c r="F1455" s="40">
        <f t="shared" ca="1" si="201"/>
        <v>756529496206.97021</v>
      </c>
      <c r="G1455" s="40">
        <f t="shared" ca="1" si="202"/>
        <v>16336471680539.563</v>
      </c>
      <c r="H1455" s="40">
        <f t="shared" ca="1" si="203"/>
        <v>16336471680539.563</v>
      </c>
      <c r="I1455" s="40">
        <f t="shared" ca="1" si="204"/>
        <v>6734744788002.0635</v>
      </c>
      <c r="J1455" s="40">
        <f t="shared" ca="1" si="205"/>
        <v>980867742203.02954</v>
      </c>
      <c r="K1455" s="41">
        <f t="shared" ca="1" si="206"/>
        <v>6.866108954583237</v>
      </c>
    </row>
    <row r="1456" spans="2:11" ht="15" customHeight="1" x14ac:dyDescent="0.35">
      <c r="B1456" s="5">
        <v>1435</v>
      </c>
      <c r="C1456" s="39">
        <f t="shared" ca="1" si="198"/>
        <v>3.0409515585677864</v>
      </c>
      <c r="D1456" s="40">
        <f t="shared" ca="1" si="199"/>
        <v>5394086515.8293371</v>
      </c>
      <c r="E1456" s="40">
        <f t="shared" ca="1" si="200"/>
        <v>6058927035670.7451</v>
      </c>
      <c r="F1456" s="40">
        <f t="shared" ca="1" si="201"/>
        <v>2031365162804.3809</v>
      </c>
      <c r="G1456" s="40">
        <f t="shared" ca="1" si="202"/>
        <v>8655648038797.1416</v>
      </c>
      <c r="H1456" s="40">
        <f t="shared" ca="1" si="203"/>
        <v>2031365162804.3809</v>
      </c>
      <c r="I1456" s="40">
        <f t="shared" ca="1" si="204"/>
        <v>22463599126282.945</v>
      </c>
      <c r="J1456" s="40">
        <f t="shared" ca="1" si="205"/>
        <v>1159876931618.0046</v>
      </c>
      <c r="K1456" s="41">
        <f t="shared" ca="1" si="206"/>
        <v>19.367226396120046</v>
      </c>
    </row>
    <row r="1457" spans="2:11" ht="15" customHeight="1" x14ac:dyDescent="0.35">
      <c r="B1457" s="5">
        <v>1436</v>
      </c>
      <c r="C1457" s="39">
        <f t="shared" ca="1" si="198"/>
        <v>2.7334137556508131</v>
      </c>
      <c r="D1457" s="40">
        <f t="shared" ca="1" si="199"/>
        <v>2516714446.5773749</v>
      </c>
      <c r="E1457" s="40">
        <f t="shared" ca="1" si="200"/>
        <v>3637328803530.0029</v>
      </c>
      <c r="F1457" s="40">
        <f t="shared" ca="1" si="201"/>
        <v>10516614742384.822</v>
      </c>
      <c r="G1457" s="40">
        <f t="shared" ca="1" si="202"/>
        <v>3344436188809.5576</v>
      </c>
      <c r="H1457" s="40">
        <f t="shared" ca="1" si="203"/>
        <v>10516614742384.822</v>
      </c>
      <c r="I1457" s="40">
        <f t="shared" ca="1" si="204"/>
        <v>15799057229365.658</v>
      </c>
      <c r="J1457" s="40">
        <f t="shared" ca="1" si="205"/>
        <v>627730351079.91931</v>
      </c>
      <c r="K1457" s="41">
        <f t="shared" ca="1" si="206"/>
        <v>25.168541240973397</v>
      </c>
    </row>
    <row r="1458" spans="2:11" ht="15" customHeight="1" x14ac:dyDescent="0.35">
      <c r="B1458" s="5">
        <v>1437</v>
      </c>
      <c r="C1458" s="39">
        <f t="shared" ca="1" si="198"/>
        <v>3.26953911304917</v>
      </c>
      <c r="D1458" s="40">
        <f t="shared" ca="1" si="199"/>
        <v>6654919285.9050388</v>
      </c>
      <c r="E1458" s="40">
        <f t="shared" ca="1" si="200"/>
        <v>13577436192806.27</v>
      </c>
      <c r="F1458" s="40">
        <f t="shared" ca="1" si="201"/>
        <v>7278414602290.3447</v>
      </c>
      <c r="G1458" s="40">
        <f t="shared" ca="1" si="202"/>
        <v>4677039785479.0977</v>
      </c>
      <c r="H1458" s="40">
        <f t="shared" ca="1" si="203"/>
        <v>4677039785479.0977</v>
      </c>
      <c r="I1458" s="40">
        <f t="shared" ca="1" si="204"/>
        <v>17481719678025.219</v>
      </c>
      <c r="J1458" s="40">
        <f t="shared" ca="1" si="205"/>
        <v>646743193543.41357</v>
      </c>
      <c r="K1458" s="41">
        <f t="shared" ca="1" si="206"/>
        <v>27.030388340456085</v>
      </c>
    </row>
    <row r="1459" spans="2:11" ht="15" customHeight="1" x14ac:dyDescent="0.35">
      <c r="B1459" s="5">
        <v>1438</v>
      </c>
      <c r="C1459" s="39">
        <f t="shared" ca="1" si="198"/>
        <v>2.9618019902760189</v>
      </c>
      <c r="D1459" s="40">
        <f t="shared" ca="1" si="199"/>
        <v>5220216041.6962652</v>
      </c>
      <c r="E1459" s="40">
        <f t="shared" ca="1" si="200"/>
        <v>24074198604140.262</v>
      </c>
      <c r="F1459" s="40">
        <f t="shared" ca="1" si="201"/>
        <v>2283491406287.8481</v>
      </c>
      <c r="G1459" s="40">
        <f t="shared" ca="1" si="202"/>
        <v>1154635049352.5015</v>
      </c>
      <c r="H1459" s="40">
        <f t="shared" ca="1" si="203"/>
        <v>1154635049352.5015</v>
      </c>
      <c r="I1459" s="40">
        <f t="shared" ca="1" si="204"/>
        <v>4810839779388.4473</v>
      </c>
      <c r="J1459" s="40">
        <f t="shared" ca="1" si="205"/>
        <v>1067408872789.7592</v>
      </c>
      <c r="K1459" s="41">
        <f t="shared" ca="1" si="206"/>
        <v>4.5070262221213602</v>
      </c>
    </row>
    <row r="1460" spans="2:11" ht="15" customHeight="1" x14ac:dyDescent="0.35">
      <c r="B1460" s="5">
        <v>1439</v>
      </c>
      <c r="C1460" s="39">
        <f t="shared" ca="1" si="198"/>
        <v>3.2656462377298112</v>
      </c>
      <c r="D1460" s="40">
        <f t="shared" ca="1" si="199"/>
        <v>7226548335.7530127</v>
      </c>
      <c r="E1460" s="40">
        <f t="shared" ca="1" si="200"/>
        <v>41474933993959.711</v>
      </c>
      <c r="F1460" s="40">
        <f t="shared" ca="1" si="201"/>
        <v>1911984523773.3496</v>
      </c>
      <c r="G1460" s="40">
        <f t="shared" ca="1" si="202"/>
        <v>2627183034382.6577</v>
      </c>
      <c r="H1460" s="40">
        <f t="shared" ca="1" si="203"/>
        <v>1911984523773.3496</v>
      </c>
      <c r="I1460" s="40">
        <f t="shared" ca="1" si="204"/>
        <v>35163907005233.656</v>
      </c>
      <c r="J1460" s="40">
        <f t="shared" ca="1" si="205"/>
        <v>1483636549918.2729</v>
      </c>
      <c r="K1460" s="41">
        <f t="shared" ca="1" si="206"/>
        <v>23.701159834037981</v>
      </c>
    </row>
    <row r="1461" spans="2:11" ht="15" customHeight="1" x14ac:dyDescent="0.35">
      <c r="B1461" s="5">
        <v>1440</v>
      </c>
      <c r="C1461" s="39">
        <f t="shared" ca="1" si="198"/>
        <v>3.1699427276814385</v>
      </c>
      <c r="D1461" s="40">
        <f t="shared" ca="1" si="199"/>
        <v>7570093241.8644686</v>
      </c>
      <c r="E1461" s="40">
        <f t="shared" ca="1" si="200"/>
        <v>13573109415996.209</v>
      </c>
      <c r="F1461" s="40">
        <f t="shared" ca="1" si="201"/>
        <v>2658868310671.6572</v>
      </c>
      <c r="G1461" s="40">
        <f t="shared" ca="1" si="202"/>
        <v>2003236230533.375</v>
      </c>
      <c r="H1461" s="40">
        <f t="shared" ca="1" si="203"/>
        <v>2003236230533.375</v>
      </c>
      <c r="I1461" s="40">
        <f t="shared" ca="1" si="204"/>
        <v>3903748368028.3594</v>
      </c>
      <c r="J1461" s="40">
        <f t="shared" ca="1" si="205"/>
        <v>1065991769587.8281</v>
      </c>
      <c r="K1461" s="41">
        <f t="shared" ca="1" si="206"/>
        <v>3.6620811524068015</v>
      </c>
    </row>
    <row r="1462" spans="2:11" ht="15" customHeight="1" x14ac:dyDescent="0.35">
      <c r="B1462" s="5">
        <v>1441</v>
      </c>
      <c r="C1462" s="39">
        <f t="shared" ca="1" si="198"/>
        <v>2.4328022749497613</v>
      </c>
      <c r="D1462" s="40">
        <f t="shared" ca="1" si="199"/>
        <v>1865130896.5808227</v>
      </c>
      <c r="E1462" s="40">
        <f t="shared" ca="1" si="200"/>
        <v>3649014583253.1582</v>
      </c>
      <c r="F1462" s="40">
        <f t="shared" ca="1" si="201"/>
        <v>611517110155.13306</v>
      </c>
      <c r="G1462" s="40">
        <f t="shared" ca="1" si="202"/>
        <v>5055667655807.959</v>
      </c>
      <c r="H1462" s="40">
        <f t="shared" ca="1" si="203"/>
        <v>611517110155.13306</v>
      </c>
      <c r="I1462" s="40">
        <f t="shared" ca="1" si="204"/>
        <v>9047389700670.5801</v>
      </c>
      <c r="J1462" s="40">
        <f t="shared" ca="1" si="205"/>
        <v>1095490049694.6829</v>
      </c>
      <c r="K1462" s="41">
        <f t="shared" ca="1" si="206"/>
        <v>8.2587602718912159</v>
      </c>
    </row>
    <row r="1463" spans="2:11" ht="15" customHeight="1" x14ac:dyDescent="0.35">
      <c r="B1463" s="5">
        <v>1442</v>
      </c>
      <c r="C1463" s="39">
        <f t="shared" ca="1" si="198"/>
        <v>3.1701026268673829</v>
      </c>
      <c r="D1463" s="40">
        <f t="shared" ca="1" si="199"/>
        <v>6055008321.858613</v>
      </c>
      <c r="E1463" s="40">
        <f t="shared" ca="1" si="200"/>
        <v>6751366112390.6748</v>
      </c>
      <c r="F1463" s="40">
        <f t="shared" ca="1" si="201"/>
        <v>4173456130896.5679</v>
      </c>
      <c r="G1463" s="40">
        <f t="shared" ca="1" si="202"/>
        <v>6667873236259.7676</v>
      </c>
      <c r="H1463" s="40">
        <f t="shared" ca="1" si="203"/>
        <v>4173456130896.5679</v>
      </c>
      <c r="I1463" s="40">
        <f t="shared" ca="1" si="204"/>
        <v>8361252061288.0996</v>
      </c>
      <c r="J1463" s="40">
        <f t="shared" ca="1" si="205"/>
        <v>1594104865027.1575</v>
      </c>
      <c r="K1463" s="41">
        <f t="shared" ca="1" si="206"/>
        <v>5.245107925284235</v>
      </c>
    </row>
    <row r="1464" spans="2:11" ht="15" customHeight="1" x14ac:dyDescent="0.35">
      <c r="B1464" s="5">
        <v>1443</v>
      </c>
      <c r="C1464" s="39">
        <f t="shared" ca="1" si="198"/>
        <v>2.5731961827755723</v>
      </c>
      <c r="D1464" s="40">
        <f t="shared" ca="1" si="199"/>
        <v>2404540333.5679793</v>
      </c>
      <c r="E1464" s="40">
        <f t="shared" ca="1" si="200"/>
        <v>16074383564919.215</v>
      </c>
      <c r="F1464" s="40">
        <f t="shared" ca="1" si="201"/>
        <v>11583627499144.053</v>
      </c>
      <c r="G1464" s="40">
        <f t="shared" ca="1" si="202"/>
        <v>10545004746609.109</v>
      </c>
      <c r="H1464" s="40">
        <f t="shared" ca="1" si="203"/>
        <v>10545004746609.109</v>
      </c>
      <c r="I1464" s="40">
        <f t="shared" ca="1" si="204"/>
        <v>1415494218020.1475</v>
      </c>
      <c r="J1464" s="40">
        <f t="shared" ca="1" si="205"/>
        <v>499144918581.12408</v>
      </c>
      <c r="K1464" s="41">
        <f t="shared" ca="1" si="206"/>
        <v>2.8358381811115096</v>
      </c>
    </row>
    <row r="1465" spans="2:11" ht="15" customHeight="1" x14ac:dyDescent="0.35">
      <c r="B1465" s="5">
        <v>1444</v>
      </c>
      <c r="C1465" s="39">
        <f t="shared" ca="1" si="198"/>
        <v>2.6225181635136461</v>
      </c>
      <c r="D1465" s="40">
        <f t="shared" ca="1" si="199"/>
        <v>2137930933.3441057</v>
      </c>
      <c r="E1465" s="40">
        <f t="shared" ca="1" si="200"/>
        <v>1892851626899.7102</v>
      </c>
      <c r="F1465" s="40">
        <f t="shared" ca="1" si="201"/>
        <v>4186861461266.1924</v>
      </c>
      <c r="G1465" s="40">
        <f t="shared" ca="1" si="202"/>
        <v>14978903200696.395</v>
      </c>
      <c r="H1465" s="40">
        <f t="shared" ca="1" si="203"/>
        <v>1892851626899.7102</v>
      </c>
      <c r="I1465" s="40">
        <f t="shared" ca="1" si="204"/>
        <v>1579429858411.4634</v>
      </c>
      <c r="J1465" s="40">
        <f t="shared" ca="1" si="205"/>
        <v>1041274229108.474</v>
      </c>
      <c r="K1465" s="41">
        <f t="shared" ca="1" si="206"/>
        <v>1.5168241124758763</v>
      </c>
    </row>
    <row r="1466" spans="2:11" ht="15" customHeight="1" x14ac:dyDescent="0.35">
      <c r="B1466" s="5">
        <v>1445</v>
      </c>
      <c r="C1466" s="39">
        <f t="shared" ca="1" si="198"/>
        <v>2.8160909924063078</v>
      </c>
      <c r="D1466" s="40">
        <f t="shared" ca="1" si="199"/>
        <v>3594360422.0349441</v>
      </c>
      <c r="E1466" s="40">
        <f t="shared" ca="1" si="200"/>
        <v>9487611071159.5625</v>
      </c>
      <c r="F1466" s="40">
        <f t="shared" ca="1" si="201"/>
        <v>319507757208.22333</v>
      </c>
      <c r="G1466" s="40">
        <f t="shared" ca="1" si="202"/>
        <v>3264369989333.2905</v>
      </c>
      <c r="H1466" s="40">
        <f t="shared" ca="1" si="203"/>
        <v>319507757208.22333</v>
      </c>
      <c r="I1466" s="40">
        <f t="shared" ca="1" si="204"/>
        <v>340096548525.3894</v>
      </c>
      <c r="J1466" s="40">
        <f t="shared" ca="1" si="205"/>
        <v>1088720905096.4247</v>
      </c>
      <c r="K1466" s="41">
        <f t="shared" ca="1" si="206"/>
        <v>0.3123817563650696</v>
      </c>
    </row>
    <row r="1467" spans="2:11" ht="15" customHeight="1" x14ac:dyDescent="0.35">
      <c r="B1467" s="5">
        <v>1446</v>
      </c>
      <c r="C1467" s="39">
        <f t="shared" ca="1" si="198"/>
        <v>2.9689082461485752</v>
      </c>
      <c r="D1467" s="40">
        <f t="shared" ca="1" si="199"/>
        <v>4667810610.8134279</v>
      </c>
      <c r="E1467" s="40">
        <f t="shared" ca="1" si="200"/>
        <v>122191502160718.02</v>
      </c>
      <c r="F1467" s="40">
        <f t="shared" ca="1" si="201"/>
        <v>1094735492816.7571</v>
      </c>
      <c r="G1467" s="40">
        <f t="shared" ca="1" si="202"/>
        <v>4737119517887.6602</v>
      </c>
      <c r="H1467" s="40">
        <f t="shared" ca="1" si="203"/>
        <v>4737119517887.6602</v>
      </c>
      <c r="I1467" s="40">
        <f t="shared" ca="1" si="204"/>
        <v>9079225167782.1172</v>
      </c>
      <c r="J1467" s="40">
        <f t="shared" ca="1" si="205"/>
        <v>957173960188.87354</v>
      </c>
      <c r="K1467" s="41">
        <f t="shared" ca="1" si="206"/>
        <v>9.4854494014761617</v>
      </c>
    </row>
    <row r="1468" spans="2:11" ht="15" customHeight="1" x14ac:dyDescent="0.35">
      <c r="B1468" s="5">
        <v>1447</v>
      </c>
      <c r="C1468" s="39">
        <f t="shared" ca="1" si="198"/>
        <v>3.5188332154971569</v>
      </c>
      <c r="D1468" s="40">
        <f t="shared" ca="1" si="199"/>
        <v>11935232461.411364</v>
      </c>
      <c r="E1468" s="40">
        <f t="shared" ca="1" si="200"/>
        <v>52234918376814.195</v>
      </c>
      <c r="F1468" s="40">
        <f t="shared" ca="1" si="201"/>
        <v>8655065180675.751</v>
      </c>
      <c r="G1468" s="40">
        <f t="shared" ca="1" si="202"/>
        <v>7983167198782.0996</v>
      </c>
      <c r="H1468" s="40">
        <f t="shared" ca="1" si="203"/>
        <v>7983167198782.0996</v>
      </c>
      <c r="I1468" s="40">
        <f t="shared" ca="1" si="204"/>
        <v>1674297112404.6594</v>
      </c>
      <c r="J1468" s="40">
        <f t="shared" ca="1" si="205"/>
        <v>1288047550145.3059</v>
      </c>
      <c r="K1468" s="41">
        <f t="shared" ca="1" si="206"/>
        <v>1.2998721298882019</v>
      </c>
    </row>
    <row r="1469" spans="2:11" ht="15" customHeight="1" x14ac:dyDescent="0.35">
      <c r="B1469" s="5">
        <v>1448</v>
      </c>
      <c r="C1469" s="39">
        <f t="shared" ca="1" si="198"/>
        <v>2.8723731920869295</v>
      </c>
      <c r="D1469" s="40">
        <f t="shared" ca="1" si="199"/>
        <v>4379226759.2854843</v>
      </c>
      <c r="E1469" s="40">
        <f t="shared" ca="1" si="200"/>
        <v>66913151446531.594</v>
      </c>
      <c r="F1469" s="40">
        <f t="shared" ca="1" si="201"/>
        <v>10440902636039.418</v>
      </c>
      <c r="G1469" s="40">
        <f t="shared" ca="1" si="202"/>
        <v>13278202764933.041</v>
      </c>
      <c r="H1469" s="40">
        <f t="shared" ca="1" si="203"/>
        <v>66913151446531.594</v>
      </c>
      <c r="I1469" s="40">
        <f t="shared" ca="1" si="204"/>
        <v>11949366153638.566</v>
      </c>
      <c r="J1469" s="40">
        <f t="shared" ca="1" si="205"/>
        <v>622706492352.9386</v>
      </c>
      <c r="K1469" s="41">
        <f t="shared" ca="1" si="206"/>
        <v>19.189403515751181</v>
      </c>
    </row>
    <row r="1470" spans="2:11" ht="15" customHeight="1" x14ac:dyDescent="0.35">
      <c r="B1470" s="5">
        <v>1449</v>
      </c>
      <c r="C1470" s="39">
        <f t="shared" ca="1" si="198"/>
        <v>2.6554764313653858</v>
      </c>
      <c r="D1470" s="40">
        <f t="shared" ca="1" si="199"/>
        <v>3141861400.8356562</v>
      </c>
      <c r="E1470" s="40">
        <f t="shared" ca="1" si="200"/>
        <v>33678094015433.984</v>
      </c>
      <c r="F1470" s="40">
        <f t="shared" ca="1" si="201"/>
        <v>9420666098055.5254</v>
      </c>
      <c r="G1470" s="40">
        <f t="shared" ca="1" si="202"/>
        <v>8963316420224.1953</v>
      </c>
      <c r="H1470" s="40">
        <f t="shared" ca="1" si="203"/>
        <v>8963316420224.1953</v>
      </c>
      <c r="I1470" s="40">
        <f t="shared" ca="1" si="204"/>
        <v>2199999786383.4336</v>
      </c>
      <c r="J1470" s="40">
        <f t="shared" ca="1" si="205"/>
        <v>1749846952251.6846</v>
      </c>
      <c r="K1470" s="41">
        <f t="shared" ca="1" si="206"/>
        <v>1.2572526891866156</v>
      </c>
    </row>
    <row r="1471" spans="2:11" ht="15" customHeight="1" x14ac:dyDescent="0.35">
      <c r="B1471" s="5">
        <v>1450</v>
      </c>
      <c r="C1471" s="39">
        <f t="shared" ca="1" si="198"/>
        <v>2.6473872126771325</v>
      </c>
      <c r="D1471" s="40">
        <f t="shared" ca="1" si="199"/>
        <v>2425265189.1089368</v>
      </c>
      <c r="E1471" s="40">
        <f t="shared" ca="1" si="200"/>
        <v>6237355924607.9209</v>
      </c>
      <c r="F1471" s="40">
        <f t="shared" ca="1" si="201"/>
        <v>1138937939365.5403</v>
      </c>
      <c r="G1471" s="40">
        <f t="shared" ca="1" si="202"/>
        <v>3950608588726.3896</v>
      </c>
      <c r="H1471" s="40">
        <f t="shared" ca="1" si="203"/>
        <v>6237355924607.9209</v>
      </c>
      <c r="I1471" s="40">
        <f t="shared" ca="1" si="204"/>
        <v>14488508132378.656</v>
      </c>
      <c r="J1471" s="40">
        <f t="shared" ca="1" si="205"/>
        <v>784473970176.56775</v>
      </c>
      <c r="K1471" s="41">
        <f t="shared" ca="1" si="206"/>
        <v>18.469074415710203</v>
      </c>
    </row>
    <row r="1472" spans="2:11" ht="15" customHeight="1" x14ac:dyDescent="0.35">
      <c r="B1472" s="5">
        <v>1451</v>
      </c>
      <c r="C1472" s="39">
        <f t="shared" ca="1" si="198"/>
        <v>2.741352077766821</v>
      </c>
      <c r="D1472" s="40">
        <f t="shared" ca="1" si="199"/>
        <v>2653731646.6044884</v>
      </c>
      <c r="E1472" s="40">
        <f t="shared" ca="1" si="200"/>
        <v>4133552864794.3066</v>
      </c>
      <c r="F1472" s="40">
        <f t="shared" ca="1" si="201"/>
        <v>2171747404513.8928</v>
      </c>
      <c r="G1472" s="40">
        <f t="shared" ca="1" si="202"/>
        <v>7931196402993.5771</v>
      </c>
      <c r="H1472" s="40">
        <f t="shared" ca="1" si="203"/>
        <v>4133552864794.3066</v>
      </c>
      <c r="I1472" s="40">
        <f t="shared" ca="1" si="204"/>
        <v>27092075426665.301</v>
      </c>
      <c r="J1472" s="40">
        <f t="shared" ca="1" si="205"/>
        <v>1355570048580.8081</v>
      </c>
      <c r="K1472" s="41">
        <f t="shared" ca="1" si="206"/>
        <v>19.985743602869441</v>
      </c>
    </row>
    <row r="1473" spans="2:11" ht="15" customHeight="1" x14ac:dyDescent="0.35">
      <c r="B1473" s="5">
        <v>1452</v>
      </c>
      <c r="C1473" s="39">
        <f t="shared" ca="1" si="198"/>
        <v>3.2265338217630166</v>
      </c>
      <c r="D1473" s="40">
        <f t="shared" ca="1" si="199"/>
        <v>5922837073.4687033</v>
      </c>
      <c r="E1473" s="40">
        <f t="shared" ca="1" si="200"/>
        <v>19565918686615.23</v>
      </c>
      <c r="F1473" s="40">
        <f t="shared" ca="1" si="201"/>
        <v>445019300349.82477</v>
      </c>
      <c r="G1473" s="40">
        <f t="shared" ca="1" si="202"/>
        <v>182797067869.13055</v>
      </c>
      <c r="H1473" s="40">
        <f t="shared" ca="1" si="203"/>
        <v>445019300349.82477</v>
      </c>
      <c r="I1473" s="40">
        <f t="shared" ca="1" si="204"/>
        <v>3744466734803.812</v>
      </c>
      <c r="J1473" s="40">
        <f t="shared" ca="1" si="205"/>
        <v>687197179379.71204</v>
      </c>
      <c r="K1473" s="41">
        <f t="shared" ca="1" si="206"/>
        <v>5.4488971246705313</v>
      </c>
    </row>
    <row r="1474" spans="2:11" ht="15" customHeight="1" x14ac:dyDescent="0.35">
      <c r="B1474" s="5">
        <v>1453</v>
      </c>
      <c r="C1474" s="39">
        <f t="shared" ca="1" si="198"/>
        <v>2.6412219307490945</v>
      </c>
      <c r="D1474" s="40">
        <f t="shared" ca="1" si="199"/>
        <v>2894144334.1087856</v>
      </c>
      <c r="E1474" s="40">
        <f t="shared" ca="1" si="200"/>
        <v>11819123627794.73</v>
      </c>
      <c r="F1474" s="40">
        <f t="shared" ca="1" si="201"/>
        <v>1757544528531.9319</v>
      </c>
      <c r="G1474" s="40">
        <f t="shared" ca="1" si="202"/>
        <v>19797914199303.816</v>
      </c>
      <c r="H1474" s="40">
        <f t="shared" ca="1" si="203"/>
        <v>19797914199303.816</v>
      </c>
      <c r="I1474" s="40">
        <f t="shared" ca="1" si="204"/>
        <v>60156736846350.625</v>
      </c>
      <c r="J1474" s="40">
        <f t="shared" ca="1" si="205"/>
        <v>977451119766.30298</v>
      </c>
      <c r="K1474" s="41">
        <f t="shared" ca="1" si="206"/>
        <v>61.544496322980727</v>
      </c>
    </row>
    <row r="1475" spans="2:11" ht="15" customHeight="1" x14ac:dyDescent="0.35">
      <c r="B1475" s="5">
        <v>1454</v>
      </c>
      <c r="C1475" s="39">
        <f t="shared" ca="1" si="198"/>
        <v>2.849084487502922</v>
      </c>
      <c r="D1475" s="40">
        <f t="shared" ca="1" si="199"/>
        <v>4041201064.2012005</v>
      </c>
      <c r="E1475" s="40">
        <f t="shared" ca="1" si="200"/>
        <v>15506332078630.375</v>
      </c>
      <c r="F1475" s="40">
        <f t="shared" ca="1" si="201"/>
        <v>1842095815869.9163</v>
      </c>
      <c r="G1475" s="40">
        <f t="shared" ca="1" si="202"/>
        <v>770832617800.75134</v>
      </c>
      <c r="H1475" s="40">
        <f t="shared" ca="1" si="203"/>
        <v>770832617800.75134</v>
      </c>
      <c r="I1475" s="40">
        <f t="shared" ca="1" si="204"/>
        <v>61329338318982.953</v>
      </c>
      <c r="J1475" s="40">
        <f t="shared" ca="1" si="205"/>
        <v>837936055693.95068</v>
      </c>
      <c r="K1475" s="41">
        <f t="shared" ca="1" si="206"/>
        <v>73.190952820608771</v>
      </c>
    </row>
    <row r="1476" spans="2:11" ht="15" customHeight="1" x14ac:dyDescent="0.35">
      <c r="B1476" s="5">
        <v>1455</v>
      </c>
      <c r="C1476" s="39">
        <f t="shared" ca="1" si="198"/>
        <v>2.7589712994062969</v>
      </c>
      <c r="D1476" s="40">
        <f t="shared" ca="1" si="199"/>
        <v>2850282001.9086194</v>
      </c>
      <c r="E1476" s="40">
        <f t="shared" ca="1" si="200"/>
        <v>12273692072061.756</v>
      </c>
      <c r="F1476" s="40">
        <f t="shared" ca="1" si="201"/>
        <v>1466969245892.2524</v>
      </c>
      <c r="G1476" s="40">
        <f t="shared" ca="1" si="202"/>
        <v>1875480395080.3838</v>
      </c>
      <c r="H1476" s="40">
        <f t="shared" ca="1" si="203"/>
        <v>1466969245892.2524</v>
      </c>
      <c r="I1476" s="40">
        <f t="shared" ca="1" si="204"/>
        <v>8872104537870.9375</v>
      </c>
      <c r="J1476" s="40">
        <f t="shared" ca="1" si="205"/>
        <v>1575538770915.5476</v>
      </c>
      <c r="K1476" s="41">
        <f t="shared" ca="1" si="206"/>
        <v>5.6311559586155697</v>
      </c>
    </row>
    <row r="1477" spans="2:11" ht="15" customHeight="1" x14ac:dyDescent="0.35">
      <c r="B1477" s="5">
        <v>1456</v>
      </c>
      <c r="C1477" s="39">
        <f t="shared" ca="1" si="198"/>
        <v>3.20103438302346</v>
      </c>
      <c r="D1477" s="40">
        <f t="shared" ca="1" si="199"/>
        <v>6929478841.4323635</v>
      </c>
      <c r="E1477" s="40">
        <f t="shared" ca="1" si="200"/>
        <v>156115411772955.19</v>
      </c>
      <c r="F1477" s="40">
        <f t="shared" ca="1" si="201"/>
        <v>12536299382144.049</v>
      </c>
      <c r="G1477" s="40">
        <f t="shared" ca="1" si="202"/>
        <v>23742949719525.141</v>
      </c>
      <c r="H1477" s="40">
        <f t="shared" ca="1" si="203"/>
        <v>12536299382144.049</v>
      </c>
      <c r="I1477" s="40">
        <f t="shared" ca="1" si="204"/>
        <v>1305388459444.2378</v>
      </c>
      <c r="J1477" s="40">
        <f t="shared" ca="1" si="205"/>
        <v>846567135663.99841</v>
      </c>
      <c r="K1477" s="41">
        <f t="shared" ca="1" si="206"/>
        <v>1.541978662354246</v>
      </c>
    </row>
    <row r="1478" spans="2:11" ht="15" customHeight="1" x14ac:dyDescent="0.35">
      <c r="B1478" s="5">
        <v>1457</v>
      </c>
      <c r="C1478" s="39">
        <f t="shared" ca="1" si="198"/>
        <v>1.8</v>
      </c>
      <c r="D1478" s="40">
        <f t="shared" ca="1" si="199"/>
        <v>401740944.97841436</v>
      </c>
      <c r="E1478" s="40">
        <f t="shared" ca="1" si="200"/>
        <v>1371913330936.615</v>
      </c>
      <c r="F1478" s="40">
        <f t="shared" ca="1" si="201"/>
        <v>1722689506539.2058</v>
      </c>
      <c r="G1478" s="40">
        <f t="shared" ca="1" si="202"/>
        <v>2607296068692.1533</v>
      </c>
      <c r="H1478" s="40">
        <f t="shared" ca="1" si="203"/>
        <v>1722689506539.2058</v>
      </c>
      <c r="I1478" s="40">
        <f t="shared" ca="1" si="204"/>
        <v>42285219014204.672</v>
      </c>
      <c r="J1478" s="40">
        <f t="shared" ca="1" si="205"/>
        <v>1377597718027.8784</v>
      </c>
      <c r="K1478" s="41">
        <f t="shared" ca="1" si="206"/>
        <v>30.69489623918566</v>
      </c>
    </row>
    <row r="1479" spans="2:11" ht="15" customHeight="1" x14ac:dyDescent="0.35">
      <c r="B1479" s="5">
        <v>1458</v>
      </c>
      <c r="C1479" s="39">
        <f t="shared" ca="1" si="198"/>
        <v>3.8234031767107952</v>
      </c>
      <c r="D1479" s="40">
        <f t="shared" ca="1" si="199"/>
        <v>14632903211.43755</v>
      </c>
      <c r="E1479" s="40">
        <f t="shared" ca="1" si="200"/>
        <v>68325326513681.32</v>
      </c>
      <c r="F1479" s="40">
        <f t="shared" ca="1" si="201"/>
        <v>2061082633946.9077</v>
      </c>
      <c r="G1479" s="40">
        <f t="shared" ca="1" si="202"/>
        <v>14446772447793.42</v>
      </c>
      <c r="H1479" s="40">
        <f t="shared" ca="1" si="203"/>
        <v>2061082633946.9077</v>
      </c>
      <c r="I1479" s="40">
        <f t="shared" ca="1" si="204"/>
        <v>13668237493519.418</v>
      </c>
      <c r="J1479" s="40">
        <f t="shared" ca="1" si="205"/>
        <v>1079426505509.8423</v>
      </c>
      <c r="K1479" s="41">
        <f t="shared" ca="1" si="206"/>
        <v>12.662499414041664</v>
      </c>
    </row>
    <row r="1480" spans="2:11" ht="15" customHeight="1" x14ac:dyDescent="0.35">
      <c r="B1480" s="5">
        <v>1459</v>
      </c>
      <c r="C1480" s="39">
        <f t="shared" ca="1" si="198"/>
        <v>2.891879410661975</v>
      </c>
      <c r="D1480" s="40">
        <f t="shared" ca="1" si="199"/>
        <v>3981104850.9833546</v>
      </c>
      <c r="E1480" s="40">
        <f t="shared" ca="1" si="200"/>
        <v>4529870228083.2031</v>
      </c>
      <c r="F1480" s="40">
        <f t="shared" ca="1" si="201"/>
        <v>1365754407868.6365</v>
      </c>
      <c r="G1480" s="40">
        <f t="shared" ca="1" si="202"/>
        <v>29171439084926.602</v>
      </c>
      <c r="H1480" s="40">
        <f t="shared" ca="1" si="203"/>
        <v>4529870228083.2031</v>
      </c>
      <c r="I1480" s="40">
        <f t="shared" ca="1" si="204"/>
        <v>12546348725306.889</v>
      </c>
      <c r="J1480" s="40">
        <f t="shared" ca="1" si="205"/>
        <v>1326457607970.9902</v>
      </c>
      <c r="K1480" s="41">
        <f t="shared" ca="1" si="206"/>
        <v>9.4585372724412604</v>
      </c>
    </row>
    <row r="1481" spans="2:11" ht="15" customHeight="1" x14ac:dyDescent="0.35">
      <c r="B1481" s="5">
        <v>1460</v>
      </c>
      <c r="C1481" s="39">
        <f t="shared" ca="1" si="198"/>
        <v>3.4374928379405176</v>
      </c>
      <c r="D1481" s="40">
        <f t="shared" ca="1" si="199"/>
        <v>10652489499.533571</v>
      </c>
      <c r="E1481" s="40">
        <f t="shared" ca="1" si="200"/>
        <v>182188072788114</v>
      </c>
      <c r="F1481" s="40">
        <f t="shared" ca="1" si="201"/>
        <v>1781072992133.3433</v>
      </c>
      <c r="G1481" s="40">
        <f t="shared" ca="1" si="202"/>
        <v>1906858275922.4954</v>
      </c>
      <c r="H1481" s="40">
        <f t="shared" ca="1" si="203"/>
        <v>182188072788114</v>
      </c>
      <c r="I1481" s="40">
        <f t="shared" ca="1" si="204"/>
        <v>21299203024801.465</v>
      </c>
      <c r="J1481" s="40">
        <f t="shared" ca="1" si="205"/>
        <v>1258065002765.6001</v>
      </c>
      <c r="K1481" s="41">
        <f t="shared" ca="1" si="206"/>
        <v>16.930129188857091</v>
      </c>
    </row>
    <row r="1482" spans="2:11" ht="15" customHeight="1" x14ac:dyDescent="0.35">
      <c r="B1482" s="5">
        <v>1461</v>
      </c>
      <c r="C1482" s="39">
        <f t="shared" ca="1" si="198"/>
        <v>2.8741735374899595</v>
      </c>
      <c r="D1482" s="40">
        <f t="shared" ca="1" si="199"/>
        <v>4180912622.4774141</v>
      </c>
      <c r="E1482" s="40">
        <f t="shared" ca="1" si="200"/>
        <v>8276215305898.6855</v>
      </c>
      <c r="F1482" s="40">
        <f t="shared" ca="1" si="201"/>
        <v>9304921521115.3145</v>
      </c>
      <c r="G1482" s="40">
        <f t="shared" ca="1" si="202"/>
        <v>1865850927848.9446</v>
      </c>
      <c r="H1482" s="40">
        <f t="shared" ca="1" si="203"/>
        <v>9304921521115.3145</v>
      </c>
      <c r="I1482" s="40">
        <f t="shared" ca="1" si="204"/>
        <v>2466089537508.1284</v>
      </c>
      <c r="J1482" s="40">
        <f t="shared" ca="1" si="205"/>
        <v>714691026289.21387</v>
      </c>
      <c r="K1482" s="41">
        <f t="shared" ca="1" si="206"/>
        <v>3.4505673735858222</v>
      </c>
    </row>
    <row r="1483" spans="2:11" ht="15" customHeight="1" x14ac:dyDescent="0.35">
      <c r="B1483" s="5">
        <v>1462</v>
      </c>
      <c r="C1483" s="39">
        <f t="shared" ca="1" si="198"/>
        <v>3.2921900460254325</v>
      </c>
      <c r="D1483" s="40">
        <f t="shared" ca="1" si="199"/>
        <v>9213533330.5787029</v>
      </c>
      <c r="E1483" s="40">
        <f t="shared" ca="1" si="200"/>
        <v>63418871806020.813</v>
      </c>
      <c r="F1483" s="40">
        <f t="shared" ca="1" si="201"/>
        <v>6601602886084.6074</v>
      </c>
      <c r="G1483" s="40">
        <f t="shared" ca="1" si="202"/>
        <v>3410943215540.1167</v>
      </c>
      <c r="H1483" s="40">
        <f t="shared" ca="1" si="203"/>
        <v>6601602886084.6074</v>
      </c>
      <c r="I1483" s="40">
        <f t="shared" ca="1" si="204"/>
        <v>3838719699414.4961</v>
      </c>
      <c r="J1483" s="40">
        <f t="shared" ca="1" si="205"/>
        <v>1421440081937.2937</v>
      </c>
      <c r="K1483" s="41">
        <f t="shared" ca="1" si="206"/>
        <v>2.7005849547894201</v>
      </c>
    </row>
    <row r="1484" spans="2:11" ht="15" customHeight="1" x14ac:dyDescent="0.35">
      <c r="B1484" s="5">
        <v>1463</v>
      </c>
      <c r="C1484" s="39">
        <f t="shared" ca="1" si="198"/>
        <v>2.4780658625474019</v>
      </c>
      <c r="D1484" s="40">
        <f t="shared" ca="1" si="199"/>
        <v>1597609342.6874018</v>
      </c>
      <c r="E1484" s="40">
        <f t="shared" ca="1" si="200"/>
        <v>11893026790356.842</v>
      </c>
      <c r="F1484" s="40">
        <f t="shared" ca="1" si="201"/>
        <v>2761865236033.6631</v>
      </c>
      <c r="G1484" s="40">
        <f t="shared" ca="1" si="202"/>
        <v>35423473101886.703</v>
      </c>
      <c r="H1484" s="40">
        <f t="shared" ca="1" si="203"/>
        <v>2761865236033.6631</v>
      </c>
      <c r="I1484" s="40">
        <f t="shared" ca="1" si="204"/>
        <v>1596160247480.6516</v>
      </c>
      <c r="J1484" s="40">
        <f t="shared" ca="1" si="205"/>
        <v>1568156209703.2415</v>
      </c>
      <c r="K1484" s="41">
        <f t="shared" ca="1" si="206"/>
        <v>1.0178579388992821</v>
      </c>
    </row>
    <row r="1485" spans="2:11" ht="15" customHeight="1" x14ac:dyDescent="0.35">
      <c r="B1485" s="5">
        <v>1464</v>
      </c>
      <c r="C1485" s="39">
        <f t="shared" ca="1" si="198"/>
        <v>3.4319794625478921</v>
      </c>
      <c r="D1485" s="40">
        <f t="shared" ca="1" si="199"/>
        <v>8766185664.6939583</v>
      </c>
      <c r="E1485" s="40">
        <f t="shared" ca="1" si="200"/>
        <v>41444989066945.047</v>
      </c>
      <c r="F1485" s="40">
        <f t="shared" ca="1" si="201"/>
        <v>928764932530.33801</v>
      </c>
      <c r="G1485" s="40">
        <f t="shared" ca="1" si="202"/>
        <v>5123780764563.625</v>
      </c>
      <c r="H1485" s="40">
        <f t="shared" ca="1" si="203"/>
        <v>5123780764563.625</v>
      </c>
      <c r="I1485" s="40">
        <f t="shared" ca="1" si="204"/>
        <v>17217948679318.941</v>
      </c>
      <c r="J1485" s="40">
        <f t="shared" ca="1" si="205"/>
        <v>782971062741.87622</v>
      </c>
      <c r="K1485" s="41">
        <f t="shared" ca="1" si="206"/>
        <v>21.990530044652775</v>
      </c>
    </row>
    <row r="1486" spans="2:11" ht="15" customHeight="1" x14ac:dyDescent="0.35">
      <c r="B1486" s="5">
        <v>1465</v>
      </c>
      <c r="C1486" s="39">
        <f t="shared" ca="1" si="198"/>
        <v>3.4782862866500781</v>
      </c>
      <c r="D1486" s="40">
        <f t="shared" ca="1" si="199"/>
        <v>12214497737.767431</v>
      </c>
      <c r="E1486" s="40">
        <f t="shared" ca="1" si="200"/>
        <v>57653694069085.234</v>
      </c>
      <c r="F1486" s="40">
        <f t="shared" ca="1" si="201"/>
        <v>1527791142969.4595</v>
      </c>
      <c r="G1486" s="40">
        <f t="shared" ca="1" si="202"/>
        <v>210254256819.87988</v>
      </c>
      <c r="H1486" s="40">
        <f t="shared" ca="1" si="203"/>
        <v>210254256819.87988</v>
      </c>
      <c r="I1486" s="40">
        <f t="shared" ca="1" si="204"/>
        <v>5709673182374.834</v>
      </c>
      <c r="J1486" s="40">
        <f t="shared" ca="1" si="205"/>
        <v>700506219386.38745</v>
      </c>
      <c r="K1486" s="41">
        <f t="shared" ca="1" si="206"/>
        <v>8.1507815696144075</v>
      </c>
    </row>
    <row r="1487" spans="2:11" ht="15" customHeight="1" x14ac:dyDescent="0.35">
      <c r="B1487" s="5">
        <v>1466</v>
      </c>
      <c r="C1487" s="39">
        <f t="shared" ca="1" si="198"/>
        <v>2.0606011630047578</v>
      </c>
      <c r="D1487" s="40">
        <f t="shared" ca="1" si="199"/>
        <v>614882140.91207433</v>
      </c>
      <c r="E1487" s="40">
        <f t="shared" ca="1" si="200"/>
        <v>2337773605649.7998</v>
      </c>
      <c r="F1487" s="40">
        <f t="shared" ca="1" si="201"/>
        <v>2649708937041.1353</v>
      </c>
      <c r="G1487" s="40">
        <f t="shared" ca="1" si="202"/>
        <v>15929388121308.273</v>
      </c>
      <c r="H1487" s="40">
        <f t="shared" ca="1" si="203"/>
        <v>2649708937041.1353</v>
      </c>
      <c r="I1487" s="40">
        <f t="shared" ca="1" si="204"/>
        <v>6442177501436.0039</v>
      </c>
      <c r="J1487" s="40">
        <f t="shared" ca="1" si="205"/>
        <v>1038025432487.0522</v>
      </c>
      <c r="K1487" s="41">
        <f t="shared" ca="1" si="206"/>
        <v>6.2061846461708541</v>
      </c>
    </row>
    <row r="1488" spans="2:11" ht="15" customHeight="1" x14ac:dyDescent="0.35">
      <c r="B1488" s="5">
        <v>1467</v>
      </c>
      <c r="C1488" s="39">
        <f t="shared" ca="1" si="198"/>
        <v>2.5279040299434907</v>
      </c>
      <c r="D1488" s="40">
        <f t="shared" ca="1" si="199"/>
        <v>2194757142.2120967</v>
      </c>
      <c r="E1488" s="40">
        <f t="shared" ca="1" si="200"/>
        <v>8201154233611.5234</v>
      </c>
      <c r="F1488" s="40">
        <f t="shared" ca="1" si="201"/>
        <v>1380678021235.5049</v>
      </c>
      <c r="G1488" s="40">
        <f t="shared" ca="1" si="202"/>
        <v>3967726247257.292</v>
      </c>
      <c r="H1488" s="40">
        <f t="shared" ca="1" si="203"/>
        <v>3967726247257.292</v>
      </c>
      <c r="I1488" s="40">
        <f t="shared" ca="1" si="204"/>
        <v>31468932304208.711</v>
      </c>
      <c r="J1488" s="40">
        <f t="shared" ca="1" si="205"/>
        <v>633124620600.38342</v>
      </c>
      <c r="K1488" s="41">
        <f t="shared" ca="1" si="206"/>
        <v>49.704167679290613</v>
      </c>
    </row>
    <row r="1489" spans="2:11" ht="15" customHeight="1" x14ac:dyDescent="0.35">
      <c r="B1489" s="5">
        <v>1468</v>
      </c>
      <c r="C1489" s="39">
        <f t="shared" ca="1" si="198"/>
        <v>2.6748656297675488</v>
      </c>
      <c r="D1489" s="40">
        <f t="shared" ca="1" si="199"/>
        <v>3280100588.8671288</v>
      </c>
      <c r="E1489" s="40">
        <f t="shared" ca="1" si="200"/>
        <v>19489003208918.898</v>
      </c>
      <c r="F1489" s="40">
        <f t="shared" ca="1" si="201"/>
        <v>8453115691267.4287</v>
      </c>
      <c r="G1489" s="40">
        <f t="shared" ca="1" si="202"/>
        <v>401129265874.25983</v>
      </c>
      <c r="H1489" s="40">
        <f t="shared" ca="1" si="203"/>
        <v>19489003208918.898</v>
      </c>
      <c r="I1489" s="40">
        <f t="shared" ca="1" si="204"/>
        <v>30518342500143.07</v>
      </c>
      <c r="J1489" s="40">
        <f t="shared" ca="1" si="205"/>
        <v>623433261401.13586</v>
      </c>
      <c r="K1489" s="41">
        <f t="shared" ca="1" si="206"/>
        <v>48.952060131592248</v>
      </c>
    </row>
    <row r="1490" spans="2:11" ht="15" customHeight="1" x14ac:dyDescent="0.35">
      <c r="B1490" s="5">
        <v>1469</v>
      </c>
      <c r="C1490" s="39">
        <f t="shared" ca="1" si="198"/>
        <v>3.1225326978509762</v>
      </c>
      <c r="D1490" s="40">
        <f t="shared" ca="1" si="199"/>
        <v>6770243442.7325096</v>
      </c>
      <c r="E1490" s="40">
        <f t="shared" ca="1" si="200"/>
        <v>5457869075732.7695</v>
      </c>
      <c r="F1490" s="40">
        <f t="shared" ca="1" si="201"/>
        <v>1394803361868.2849</v>
      </c>
      <c r="G1490" s="40">
        <f t="shared" ca="1" si="202"/>
        <v>61915442341459.25</v>
      </c>
      <c r="H1490" s="40">
        <f t="shared" ca="1" si="203"/>
        <v>1394803361868.2849</v>
      </c>
      <c r="I1490" s="40">
        <f t="shared" ca="1" si="204"/>
        <v>3143691757121.6323</v>
      </c>
      <c r="J1490" s="40">
        <f t="shared" ca="1" si="205"/>
        <v>867725874542.09033</v>
      </c>
      <c r="K1490" s="41">
        <f t="shared" ca="1" si="206"/>
        <v>3.6229088579162139</v>
      </c>
    </row>
    <row r="1491" spans="2:11" ht="15" customHeight="1" x14ac:dyDescent="0.35">
      <c r="B1491" s="5">
        <v>1470</v>
      </c>
      <c r="C1491" s="39">
        <f t="shared" ca="1" si="198"/>
        <v>2.9079493827159144</v>
      </c>
      <c r="D1491" s="40">
        <f t="shared" ca="1" si="199"/>
        <v>3853504182.2705245</v>
      </c>
      <c r="E1491" s="40">
        <f t="shared" ca="1" si="200"/>
        <v>36415476079992.547</v>
      </c>
      <c r="F1491" s="40">
        <f t="shared" ca="1" si="201"/>
        <v>3208761972077.1938</v>
      </c>
      <c r="G1491" s="40">
        <f t="shared" ca="1" si="202"/>
        <v>603589863629.21057</v>
      </c>
      <c r="H1491" s="40">
        <f t="shared" ca="1" si="203"/>
        <v>36415476079992.547</v>
      </c>
      <c r="I1491" s="40">
        <f t="shared" ca="1" si="204"/>
        <v>2171047573716.1399</v>
      </c>
      <c r="J1491" s="40">
        <f t="shared" ca="1" si="205"/>
        <v>1781528658655.3049</v>
      </c>
      <c r="K1491" s="41">
        <f t="shared" ca="1" si="206"/>
        <v>1.2186430811361986</v>
      </c>
    </row>
    <row r="1492" spans="2:11" ht="15" customHeight="1" x14ac:dyDescent="0.35">
      <c r="B1492" s="5">
        <v>1471</v>
      </c>
      <c r="C1492" s="39">
        <f t="shared" ca="1" si="198"/>
        <v>3.0883218766951077</v>
      </c>
      <c r="D1492" s="40">
        <f t="shared" ca="1" si="199"/>
        <v>4511359268.8019991</v>
      </c>
      <c r="E1492" s="40">
        <f t="shared" ca="1" si="200"/>
        <v>25884809404837.48</v>
      </c>
      <c r="F1492" s="40">
        <f t="shared" ca="1" si="201"/>
        <v>3421261029720.8135</v>
      </c>
      <c r="G1492" s="40">
        <f t="shared" ca="1" si="202"/>
        <v>19214015323171.551</v>
      </c>
      <c r="H1492" s="40">
        <f t="shared" ca="1" si="203"/>
        <v>25884809404837.48</v>
      </c>
      <c r="I1492" s="40">
        <f t="shared" ca="1" si="204"/>
        <v>960485794986.05688</v>
      </c>
      <c r="J1492" s="40">
        <f t="shared" ca="1" si="205"/>
        <v>540361582286.53638</v>
      </c>
      <c r="K1492" s="41">
        <f t="shared" ca="1" si="206"/>
        <v>1.7774871983344334</v>
      </c>
    </row>
    <row r="1493" spans="2:11" ht="15" customHeight="1" x14ac:dyDescent="0.35">
      <c r="B1493" s="5">
        <v>1472</v>
      </c>
      <c r="C1493" s="39">
        <f t="shared" ca="1" si="198"/>
        <v>2.8346160956765551</v>
      </c>
      <c r="D1493" s="40">
        <f t="shared" ca="1" si="199"/>
        <v>3445686878.6462665</v>
      </c>
      <c r="E1493" s="40">
        <f t="shared" ca="1" si="200"/>
        <v>17429159104558.152</v>
      </c>
      <c r="F1493" s="40">
        <f t="shared" ca="1" si="201"/>
        <v>5401476853951.0078</v>
      </c>
      <c r="G1493" s="40">
        <f t="shared" ca="1" si="202"/>
        <v>313352408187546.75</v>
      </c>
      <c r="H1493" s="40">
        <f t="shared" ca="1" si="203"/>
        <v>5401476853951.0078</v>
      </c>
      <c r="I1493" s="40">
        <f t="shared" ca="1" si="204"/>
        <v>2013145147748.5793</v>
      </c>
      <c r="J1493" s="40">
        <f t="shared" ca="1" si="205"/>
        <v>1202011434818.741</v>
      </c>
      <c r="K1493" s="41">
        <f t="shared" ca="1" si="206"/>
        <v>1.6748136410633685</v>
      </c>
    </row>
    <row r="1494" spans="2:11" ht="15" customHeight="1" x14ac:dyDescent="0.35">
      <c r="B1494" s="5">
        <v>1473</v>
      </c>
      <c r="C1494" s="39">
        <f t="shared" ref="C1494:C1557" ca="1" si="207">MEDIAN(1.8,NORMINV(RAND(),$C$7,$D$7),4.5)</f>
        <v>3.1114385062377345</v>
      </c>
      <c r="D1494" s="40">
        <f t="shared" ref="D1494:D1557" ca="1" si="208">($C$8+RAND()*($D$8-$C$8))*C1494^5</f>
        <v>5669507655.7938776</v>
      </c>
      <c r="E1494" s="40">
        <f t="shared" ref="E1494:E1557" ca="1" si="209">D1494*($C$10+RAND()*($D$10-$C$10))*EXP(NORMINV(RAND(),$C$9,$D$9))*($C$11+RAND()*($D$11-$C$11))</f>
        <v>35673877976048.594</v>
      </c>
      <c r="F1494" s="40">
        <f t="shared" ref="F1494:F1557" ca="1" si="210">EXP(NORMINV(RAND(),$C$12,$D$12))*EXP(NORMINV(RAND(),$C$13,$D$13))</f>
        <v>554147124579.22913</v>
      </c>
      <c r="G1494" s="40">
        <f t="shared" ref="G1494:G1557" ca="1" si="211">EXP(NORMINV(RAND(),$C$14,$D$14))*($C$15+RAND()*($D$15-$C$15))*EXP(NORMINV(RAND(),$C$16,$D$16))/1000000*31536000</f>
        <v>574233557106.65723</v>
      </c>
      <c r="H1494" s="40">
        <f t="shared" ref="H1494:H1557" ca="1" si="212">CHOOSE(RANDBETWEEN(1,3),E1494,F1494,G1494)</f>
        <v>35673877976048.594</v>
      </c>
      <c r="I1494" s="40">
        <f t="shared" ref="I1494:I1557" ca="1" si="213">EXP(NORMINV(RAND(),$C$14,$D$14))*($C$15+RAND()*($D$15-$C$15))*60</f>
        <v>17410220438075.211</v>
      </c>
      <c r="J1494" s="40">
        <f t="shared" ref="J1494:J1557" ca="1" si="214">($C$17+RAND()*($D$17-$C$17))*($C$18+RAND()*($D$18-$C$18))</f>
        <v>669953621643.75012</v>
      </c>
      <c r="K1494" s="41">
        <f t="shared" ref="K1494:K1557" ca="1" si="215">I1494/J1494</f>
        <v>25.987202510165918</v>
      </c>
    </row>
    <row r="1495" spans="2:11" ht="15" customHeight="1" x14ac:dyDescent="0.35">
      <c r="B1495" s="5">
        <v>1474</v>
      </c>
      <c r="C1495" s="39">
        <f t="shared" ca="1" si="207"/>
        <v>3.4512639449191025</v>
      </c>
      <c r="D1495" s="40">
        <f t="shared" ca="1" si="208"/>
        <v>10205719298.466963</v>
      </c>
      <c r="E1495" s="40">
        <f t="shared" ca="1" si="209"/>
        <v>70290165216751.195</v>
      </c>
      <c r="F1495" s="40">
        <f t="shared" ca="1" si="210"/>
        <v>245395793816.92761</v>
      </c>
      <c r="G1495" s="40">
        <f t="shared" ca="1" si="211"/>
        <v>4585947990214.2295</v>
      </c>
      <c r="H1495" s="40">
        <f t="shared" ca="1" si="212"/>
        <v>245395793816.92761</v>
      </c>
      <c r="I1495" s="40">
        <f t="shared" ca="1" si="213"/>
        <v>25497497981827.32</v>
      </c>
      <c r="J1495" s="40">
        <f t="shared" ca="1" si="214"/>
        <v>1220891148898.1523</v>
      </c>
      <c r="K1495" s="41">
        <f t="shared" ca="1" si="215"/>
        <v>20.884333549996388</v>
      </c>
    </row>
    <row r="1496" spans="2:11" ht="15" customHeight="1" x14ac:dyDescent="0.35">
      <c r="B1496" s="5">
        <v>1475</v>
      </c>
      <c r="C1496" s="39">
        <f t="shared" ca="1" si="207"/>
        <v>2.9445890952864477</v>
      </c>
      <c r="D1496" s="40">
        <f t="shared" ca="1" si="208"/>
        <v>4778928275.7773685</v>
      </c>
      <c r="E1496" s="40">
        <f t="shared" ca="1" si="209"/>
        <v>26728367119053.984</v>
      </c>
      <c r="F1496" s="40">
        <f t="shared" ca="1" si="210"/>
        <v>1302745615491.0278</v>
      </c>
      <c r="G1496" s="40">
        <f t="shared" ca="1" si="211"/>
        <v>1789757217190.7729</v>
      </c>
      <c r="H1496" s="40">
        <f t="shared" ca="1" si="212"/>
        <v>1302745615491.0278</v>
      </c>
      <c r="I1496" s="40">
        <f t="shared" ca="1" si="213"/>
        <v>11237113216277.203</v>
      </c>
      <c r="J1496" s="40">
        <f t="shared" ca="1" si="214"/>
        <v>614617031986.27856</v>
      </c>
      <c r="K1496" s="41">
        <f t="shared" ca="1" si="215"/>
        <v>18.283113925368852</v>
      </c>
    </row>
    <row r="1497" spans="2:11" ht="15" customHeight="1" x14ac:dyDescent="0.35">
      <c r="B1497" s="5">
        <v>1476</v>
      </c>
      <c r="C1497" s="39">
        <f t="shared" ca="1" si="207"/>
        <v>2.6707309087751319</v>
      </c>
      <c r="D1497" s="40">
        <f t="shared" ca="1" si="208"/>
        <v>2823714793.5175219</v>
      </c>
      <c r="E1497" s="40">
        <f t="shared" ca="1" si="209"/>
        <v>17331546758853.594</v>
      </c>
      <c r="F1497" s="40">
        <f t="shared" ca="1" si="210"/>
        <v>1519176131448.8513</v>
      </c>
      <c r="G1497" s="40">
        <f t="shared" ca="1" si="211"/>
        <v>3600513425279.3862</v>
      </c>
      <c r="H1497" s="40">
        <f t="shared" ca="1" si="212"/>
        <v>17331546758853.594</v>
      </c>
      <c r="I1497" s="40">
        <f t="shared" ca="1" si="213"/>
        <v>3720963125598.0645</v>
      </c>
      <c r="J1497" s="40">
        <f t="shared" ca="1" si="214"/>
        <v>902877983923.87158</v>
      </c>
      <c r="K1497" s="41">
        <f t="shared" ca="1" si="215"/>
        <v>4.1212247854653707</v>
      </c>
    </row>
    <row r="1498" spans="2:11" ht="15" customHeight="1" x14ac:dyDescent="0.35">
      <c r="B1498" s="5">
        <v>1477</v>
      </c>
      <c r="C1498" s="39">
        <f t="shared" ca="1" si="207"/>
        <v>3.3408720367396598</v>
      </c>
      <c r="D1498" s="40">
        <f t="shared" ca="1" si="208"/>
        <v>9669468565.3279819</v>
      </c>
      <c r="E1498" s="40">
        <f t="shared" ca="1" si="209"/>
        <v>43278394594209.273</v>
      </c>
      <c r="F1498" s="40">
        <f t="shared" ca="1" si="210"/>
        <v>769208959880.54028</v>
      </c>
      <c r="G1498" s="40">
        <f t="shared" ca="1" si="211"/>
        <v>405759474362.85754</v>
      </c>
      <c r="H1498" s="40">
        <f t="shared" ca="1" si="212"/>
        <v>405759474362.85754</v>
      </c>
      <c r="I1498" s="40">
        <f t="shared" ca="1" si="213"/>
        <v>91808291719.746628</v>
      </c>
      <c r="J1498" s="40">
        <f t="shared" ca="1" si="214"/>
        <v>991635299742.34998</v>
      </c>
      <c r="K1498" s="41">
        <f t="shared" ca="1" si="215"/>
        <v>9.2582718408270231E-2</v>
      </c>
    </row>
    <row r="1499" spans="2:11" ht="15" customHeight="1" x14ac:dyDescent="0.35">
      <c r="B1499" s="5">
        <v>1478</v>
      </c>
      <c r="C1499" s="39">
        <f t="shared" ca="1" si="207"/>
        <v>3.3733804915497809</v>
      </c>
      <c r="D1499" s="40">
        <f t="shared" ca="1" si="208"/>
        <v>8594330842.7449169</v>
      </c>
      <c r="E1499" s="40">
        <f t="shared" ca="1" si="209"/>
        <v>24249752970351.469</v>
      </c>
      <c r="F1499" s="40">
        <f t="shared" ca="1" si="210"/>
        <v>1782268221685.2805</v>
      </c>
      <c r="G1499" s="40">
        <f t="shared" ca="1" si="211"/>
        <v>34352016234901.738</v>
      </c>
      <c r="H1499" s="40">
        <f t="shared" ca="1" si="212"/>
        <v>1782268221685.2805</v>
      </c>
      <c r="I1499" s="40">
        <f t="shared" ca="1" si="213"/>
        <v>11854894228366.17</v>
      </c>
      <c r="J1499" s="40">
        <f t="shared" ca="1" si="214"/>
        <v>1253784600957.7622</v>
      </c>
      <c r="K1499" s="41">
        <f t="shared" ca="1" si="215"/>
        <v>9.4552877897130436</v>
      </c>
    </row>
    <row r="1500" spans="2:11" ht="15" customHeight="1" x14ac:dyDescent="0.35">
      <c r="B1500" s="5">
        <v>1479</v>
      </c>
      <c r="C1500" s="39">
        <f t="shared" ca="1" si="207"/>
        <v>3.0327431132551359</v>
      </c>
      <c r="D1500" s="40">
        <f t="shared" ca="1" si="208"/>
        <v>4580460770.8978834</v>
      </c>
      <c r="E1500" s="40">
        <f t="shared" ca="1" si="209"/>
        <v>9429364885615.0801</v>
      </c>
      <c r="F1500" s="40">
        <f t="shared" ca="1" si="210"/>
        <v>2370817455315.4653</v>
      </c>
      <c r="G1500" s="40">
        <f t="shared" ca="1" si="211"/>
        <v>3823357037134.5098</v>
      </c>
      <c r="H1500" s="40">
        <f t="shared" ca="1" si="212"/>
        <v>2370817455315.4653</v>
      </c>
      <c r="I1500" s="40">
        <f t="shared" ca="1" si="213"/>
        <v>18487463935778.117</v>
      </c>
      <c r="J1500" s="40">
        <f t="shared" ca="1" si="214"/>
        <v>1118145530323.8147</v>
      </c>
      <c r="K1500" s="41">
        <f t="shared" ca="1" si="215"/>
        <v>16.53404090469704</v>
      </c>
    </row>
    <row r="1501" spans="2:11" ht="15" customHeight="1" x14ac:dyDescent="0.35">
      <c r="B1501" s="5">
        <v>1480</v>
      </c>
      <c r="C1501" s="39">
        <f t="shared" ca="1" si="207"/>
        <v>3.3720144673821557</v>
      </c>
      <c r="D1501" s="40">
        <f t="shared" ca="1" si="208"/>
        <v>9921938753.910284</v>
      </c>
      <c r="E1501" s="40">
        <f t="shared" ca="1" si="209"/>
        <v>27725549941652.52</v>
      </c>
      <c r="F1501" s="40">
        <f t="shared" ca="1" si="210"/>
        <v>3177380808668.437</v>
      </c>
      <c r="G1501" s="40">
        <f t="shared" ca="1" si="211"/>
        <v>5071816859521.1377</v>
      </c>
      <c r="H1501" s="40">
        <f t="shared" ca="1" si="212"/>
        <v>5071816859521.1377</v>
      </c>
      <c r="I1501" s="40">
        <f t="shared" ca="1" si="213"/>
        <v>5474619218892.8232</v>
      </c>
      <c r="J1501" s="40">
        <f t="shared" ca="1" si="214"/>
        <v>798219038032.71265</v>
      </c>
      <c r="K1501" s="41">
        <f t="shared" ca="1" si="215"/>
        <v>6.8585425278574501</v>
      </c>
    </row>
    <row r="1502" spans="2:11" ht="15" customHeight="1" x14ac:dyDescent="0.35">
      <c r="B1502" s="5">
        <v>1481</v>
      </c>
      <c r="C1502" s="39">
        <f t="shared" ca="1" si="207"/>
        <v>3.0979999695570988</v>
      </c>
      <c r="D1502" s="40">
        <f t="shared" ca="1" si="208"/>
        <v>6132726033.921504</v>
      </c>
      <c r="E1502" s="40">
        <f t="shared" ca="1" si="209"/>
        <v>11862877127201.68</v>
      </c>
      <c r="F1502" s="40">
        <f t="shared" ca="1" si="210"/>
        <v>7983329655110.6729</v>
      </c>
      <c r="G1502" s="40">
        <f t="shared" ca="1" si="211"/>
        <v>33385007630450.211</v>
      </c>
      <c r="H1502" s="40">
        <f t="shared" ca="1" si="212"/>
        <v>11862877127201.68</v>
      </c>
      <c r="I1502" s="40">
        <f t="shared" ca="1" si="213"/>
        <v>1259943794588.9622</v>
      </c>
      <c r="J1502" s="40">
        <f t="shared" ca="1" si="214"/>
        <v>751253739122.12183</v>
      </c>
      <c r="K1502" s="41">
        <f t="shared" ca="1" si="215"/>
        <v>1.6771214956763749</v>
      </c>
    </row>
    <row r="1503" spans="2:11" ht="15" customHeight="1" x14ac:dyDescent="0.35">
      <c r="B1503" s="5">
        <v>1482</v>
      </c>
      <c r="C1503" s="39">
        <f t="shared" ca="1" si="207"/>
        <v>3.45026968664581</v>
      </c>
      <c r="D1503" s="40">
        <f t="shared" ca="1" si="208"/>
        <v>8783182953.4309654</v>
      </c>
      <c r="E1503" s="40">
        <f t="shared" ca="1" si="209"/>
        <v>60366319532241.711</v>
      </c>
      <c r="F1503" s="40">
        <f t="shared" ca="1" si="210"/>
        <v>15484477817758.223</v>
      </c>
      <c r="G1503" s="40">
        <f t="shared" ca="1" si="211"/>
        <v>84311902840324.563</v>
      </c>
      <c r="H1503" s="40">
        <f t="shared" ca="1" si="212"/>
        <v>15484477817758.223</v>
      </c>
      <c r="I1503" s="40">
        <f t="shared" ca="1" si="213"/>
        <v>4535413828585.7705</v>
      </c>
      <c r="J1503" s="40">
        <f t="shared" ca="1" si="214"/>
        <v>723465739776.04858</v>
      </c>
      <c r="K1503" s="41">
        <f t="shared" ca="1" si="215"/>
        <v>6.2690098220680417</v>
      </c>
    </row>
    <row r="1504" spans="2:11" ht="15" customHeight="1" x14ac:dyDescent="0.35">
      <c r="B1504" s="5">
        <v>1483</v>
      </c>
      <c r="C1504" s="39">
        <f t="shared" ca="1" si="207"/>
        <v>2.8579529809128168</v>
      </c>
      <c r="D1504" s="40">
        <f t="shared" ca="1" si="208"/>
        <v>3140540718.9873261</v>
      </c>
      <c r="E1504" s="40">
        <f t="shared" ca="1" si="209"/>
        <v>10213173207952.793</v>
      </c>
      <c r="F1504" s="40">
        <f t="shared" ca="1" si="210"/>
        <v>2719259076105.3462</v>
      </c>
      <c r="G1504" s="40">
        <f t="shared" ca="1" si="211"/>
        <v>2404695358435.7451</v>
      </c>
      <c r="H1504" s="40">
        <f t="shared" ca="1" si="212"/>
        <v>10213173207952.793</v>
      </c>
      <c r="I1504" s="40">
        <f t="shared" ca="1" si="213"/>
        <v>29667221546248.637</v>
      </c>
      <c r="J1504" s="40">
        <f t="shared" ca="1" si="214"/>
        <v>581279598093.4126</v>
      </c>
      <c r="K1504" s="41">
        <f t="shared" ca="1" si="215"/>
        <v>51.037782236907383</v>
      </c>
    </row>
    <row r="1505" spans="2:11" ht="15" customHeight="1" x14ac:dyDescent="0.35">
      <c r="B1505" s="5">
        <v>1484</v>
      </c>
      <c r="C1505" s="39">
        <f t="shared" ca="1" si="207"/>
        <v>3.5683133631925865</v>
      </c>
      <c r="D1505" s="40">
        <f t="shared" ca="1" si="208"/>
        <v>11087473801.323828</v>
      </c>
      <c r="E1505" s="40">
        <f t="shared" ca="1" si="209"/>
        <v>9498974426406.2051</v>
      </c>
      <c r="F1505" s="40">
        <f t="shared" ca="1" si="210"/>
        <v>14601127564519.387</v>
      </c>
      <c r="G1505" s="40">
        <f t="shared" ca="1" si="211"/>
        <v>11469797720577.32</v>
      </c>
      <c r="H1505" s="40">
        <f t="shared" ca="1" si="212"/>
        <v>11469797720577.32</v>
      </c>
      <c r="I1505" s="40">
        <f t="shared" ca="1" si="213"/>
        <v>10592516771743.988</v>
      </c>
      <c r="J1505" s="40">
        <f t="shared" ca="1" si="214"/>
        <v>1233458589223.77</v>
      </c>
      <c r="K1505" s="41">
        <f t="shared" ca="1" si="215"/>
        <v>8.5876549600339516</v>
      </c>
    </row>
    <row r="1506" spans="2:11" ht="15" customHeight="1" x14ac:dyDescent="0.35">
      <c r="B1506" s="5">
        <v>1485</v>
      </c>
      <c r="C1506" s="39">
        <f t="shared" ca="1" si="207"/>
        <v>2.3019357099121347</v>
      </c>
      <c r="D1506" s="40">
        <f t="shared" ca="1" si="208"/>
        <v>1248763817.2750473</v>
      </c>
      <c r="E1506" s="40">
        <f t="shared" ca="1" si="209"/>
        <v>4424748401200.0273</v>
      </c>
      <c r="F1506" s="40">
        <f t="shared" ca="1" si="210"/>
        <v>3752448418425.8784</v>
      </c>
      <c r="G1506" s="40">
        <f t="shared" ca="1" si="211"/>
        <v>2194234235457.3276</v>
      </c>
      <c r="H1506" s="40">
        <f t="shared" ca="1" si="212"/>
        <v>3752448418425.8784</v>
      </c>
      <c r="I1506" s="40">
        <f t="shared" ca="1" si="213"/>
        <v>14303617469436.193</v>
      </c>
      <c r="J1506" s="40">
        <f t="shared" ca="1" si="214"/>
        <v>1155249098771.9719</v>
      </c>
      <c r="K1506" s="41">
        <f t="shared" ca="1" si="215"/>
        <v>12.381414090381821</v>
      </c>
    </row>
    <row r="1507" spans="2:11" ht="15" customHeight="1" x14ac:dyDescent="0.35">
      <c r="B1507" s="5">
        <v>1486</v>
      </c>
      <c r="C1507" s="39">
        <f t="shared" ca="1" si="207"/>
        <v>2.9589321223588847</v>
      </c>
      <c r="D1507" s="40">
        <f t="shared" ca="1" si="208"/>
        <v>5297636689.6983156</v>
      </c>
      <c r="E1507" s="40">
        <f t="shared" ca="1" si="209"/>
        <v>10693738561508.854</v>
      </c>
      <c r="F1507" s="40">
        <f t="shared" ca="1" si="210"/>
        <v>5058533400607.6973</v>
      </c>
      <c r="G1507" s="40">
        <f t="shared" ca="1" si="211"/>
        <v>335860736874.99091</v>
      </c>
      <c r="H1507" s="40">
        <f t="shared" ca="1" si="212"/>
        <v>10693738561508.854</v>
      </c>
      <c r="I1507" s="40">
        <f t="shared" ca="1" si="213"/>
        <v>18029542363176.012</v>
      </c>
      <c r="J1507" s="40">
        <f t="shared" ca="1" si="214"/>
        <v>1656067286377.2429</v>
      </c>
      <c r="K1507" s="41">
        <f t="shared" ca="1" si="215"/>
        <v>10.886962451034723</v>
      </c>
    </row>
    <row r="1508" spans="2:11" ht="15" customHeight="1" x14ac:dyDescent="0.35">
      <c r="B1508" s="5">
        <v>1487</v>
      </c>
      <c r="C1508" s="39">
        <f t="shared" ca="1" si="207"/>
        <v>2.7650770770513757</v>
      </c>
      <c r="D1508" s="40">
        <f t="shared" ca="1" si="208"/>
        <v>3152726956.4751015</v>
      </c>
      <c r="E1508" s="40">
        <f t="shared" ca="1" si="209"/>
        <v>2664800268954.2349</v>
      </c>
      <c r="F1508" s="40">
        <f t="shared" ca="1" si="210"/>
        <v>3919359681219.0127</v>
      </c>
      <c r="G1508" s="40">
        <f t="shared" ca="1" si="211"/>
        <v>4893608379057.4434</v>
      </c>
      <c r="H1508" s="40">
        <f t="shared" ca="1" si="212"/>
        <v>2664800268954.2349</v>
      </c>
      <c r="I1508" s="40">
        <f t="shared" ca="1" si="213"/>
        <v>4342684466088.5859</v>
      </c>
      <c r="J1508" s="40">
        <f t="shared" ca="1" si="214"/>
        <v>556646942101.82495</v>
      </c>
      <c r="K1508" s="41">
        <f t="shared" ca="1" si="215"/>
        <v>7.8015060132930687</v>
      </c>
    </row>
    <row r="1509" spans="2:11" ht="15" customHeight="1" x14ac:dyDescent="0.35">
      <c r="B1509" s="5">
        <v>1488</v>
      </c>
      <c r="C1509" s="39">
        <f t="shared" ca="1" si="207"/>
        <v>3.4947874791670861</v>
      </c>
      <c r="D1509" s="40">
        <f t="shared" ca="1" si="208"/>
        <v>10855784814.688681</v>
      </c>
      <c r="E1509" s="40">
        <f t="shared" ca="1" si="209"/>
        <v>36165753500643.727</v>
      </c>
      <c r="F1509" s="40">
        <f t="shared" ca="1" si="210"/>
        <v>1965446858549.3398</v>
      </c>
      <c r="G1509" s="40">
        <f t="shared" ca="1" si="211"/>
        <v>22710495468017.496</v>
      </c>
      <c r="H1509" s="40">
        <f t="shared" ca="1" si="212"/>
        <v>22710495468017.496</v>
      </c>
      <c r="I1509" s="40">
        <f t="shared" ca="1" si="213"/>
        <v>66536112252972.359</v>
      </c>
      <c r="J1509" s="40">
        <f t="shared" ca="1" si="214"/>
        <v>533159999245.80804</v>
      </c>
      <c r="K1509" s="41">
        <f t="shared" ca="1" si="215"/>
        <v>124.79576927581275</v>
      </c>
    </row>
    <row r="1510" spans="2:11" ht="15" customHeight="1" x14ac:dyDescent="0.35">
      <c r="B1510" s="5">
        <v>1489</v>
      </c>
      <c r="C1510" s="39">
        <f t="shared" ca="1" si="207"/>
        <v>2.6288323125000632</v>
      </c>
      <c r="D1510" s="40">
        <f t="shared" ca="1" si="208"/>
        <v>2661823539.3675685</v>
      </c>
      <c r="E1510" s="40">
        <f t="shared" ca="1" si="209"/>
        <v>17749359556940.816</v>
      </c>
      <c r="F1510" s="40">
        <f t="shared" ca="1" si="210"/>
        <v>1061089732052.2009</v>
      </c>
      <c r="G1510" s="40">
        <f t="shared" ca="1" si="211"/>
        <v>1730987260029.2795</v>
      </c>
      <c r="H1510" s="40">
        <f t="shared" ca="1" si="212"/>
        <v>1061089732052.2009</v>
      </c>
      <c r="I1510" s="40">
        <f t="shared" ca="1" si="213"/>
        <v>48994614002574.523</v>
      </c>
      <c r="J1510" s="40">
        <f t="shared" ca="1" si="214"/>
        <v>879220423059.34656</v>
      </c>
      <c r="K1510" s="41">
        <f t="shared" ca="1" si="215"/>
        <v>55.725063610433708</v>
      </c>
    </row>
    <row r="1511" spans="2:11" ht="15" customHeight="1" x14ac:dyDescent="0.35">
      <c r="B1511" s="5">
        <v>1490</v>
      </c>
      <c r="C1511" s="39">
        <f t="shared" ca="1" si="207"/>
        <v>3.0218691666037665</v>
      </c>
      <c r="D1511" s="40">
        <f t="shared" ca="1" si="208"/>
        <v>4177855897.6779428</v>
      </c>
      <c r="E1511" s="40">
        <f t="shared" ca="1" si="209"/>
        <v>4410693455376.8594</v>
      </c>
      <c r="F1511" s="40">
        <f t="shared" ca="1" si="210"/>
        <v>3590539966746.9751</v>
      </c>
      <c r="G1511" s="40">
        <f t="shared" ca="1" si="211"/>
        <v>997138677433.32898</v>
      </c>
      <c r="H1511" s="40">
        <f t="shared" ca="1" si="212"/>
        <v>3590539966746.9751</v>
      </c>
      <c r="I1511" s="40">
        <f t="shared" ca="1" si="213"/>
        <v>2731354186756.1758</v>
      </c>
      <c r="J1511" s="40">
        <f t="shared" ca="1" si="214"/>
        <v>773489322441.44043</v>
      </c>
      <c r="K1511" s="41">
        <f t="shared" ca="1" si="215"/>
        <v>3.5312112365493733</v>
      </c>
    </row>
    <row r="1512" spans="2:11" ht="15" customHeight="1" x14ac:dyDescent="0.35">
      <c r="B1512" s="5">
        <v>1491</v>
      </c>
      <c r="C1512" s="39">
        <f t="shared" ca="1" si="207"/>
        <v>3.3019106152181052</v>
      </c>
      <c r="D1512" s="40">
        <f t="shared" ca="1" si="208"/>
        <v>7386349516.5966864</v>
      </c>
      <c r="E1512" s="40">
        <f t="shared" ca="1" si="209"/>
        <v>8036283143567.7939</v>
      </c>
      <c r="F1512" s="40">
        <f t="shared" ca="1" si="210"/>
        <v>4600220734475.5127</v>
      </c>
      <c r="G1512" s="40">
        <f t="shared" ca="1" si="211"/>
        <v>3540911379567.374</v>
      </c>
      <c r="H1512" s="40">
        <f t="shared" ca="1" si="212"/>
        <v>4600220734475.5127</v>
      </c>
      <c r="I1512" s="40">
        <f t="shared" ca="1" si="213"/>
        <v>24098670402712.223</v>
      </c>
      <c r="J1512" s="40">
        <f t="shared" ca="1" si="214"/>
        <v>1478705460764.6978</v>
      </c>
      <c r="K1512" s="41">
        <f t="shared" ca="1" si="215"/>
        <v>16.297140331279927</v>
      </c>
    </row>
    <row r="1513" spans="2:11" ht="15" customHeight="1" x14ac:dyDescent="0.35">
      <c r="B1513" s="5">
        <v>1492</v>
      </c>
      <c r="C1513" s="39">
        <f t="shared" ca="1" si="207"/>
        <v>2.8893422221708303</v>
      </c>
      <c r="D1513" s="40">
        <f t="shared" ca="1" si="208"/>
        <v>3275242212.4002118</v>
      </c>
      <c r="E1513" s="40">
        <f t="shared" ca="1" si="209"/>
        <v>31335649141669.582</v>
      </c>
      <c r="F1513" s="40">
        <f t="shared" ca="1" si="210"/>
        <v>3859206162220.3877</v>
      </c>
      <c r="G1513" s="40">
        <f t="shared" ca="1" si="211"/>
        <v>3464064166178.6499</v>
      </c>
      <c r="H1513" s="40">
        <f t="shared" ca="1" si="212"/>
        <v>31335649141669.582</v>
      </c>
      <c r="I1513" s="40">
        <f t="shared" ca="1" si="213"/>
        <v>231046539741139.84</v>
      </c>
      <c r="J1513" s="40">
        <f t="shared" ca="1" si="214"/>
        <v>1294451919687.7415</v>
      </c>
      <c r="K1513" s="41">
        <f t="shared" ca="1" si="215"/>
        <v>178.48985831538249</v>
      </c>
    </row>
    <row r="1514" spans="2:11" ht="15" customHeight="1" x14ac:dyDescent="0.35">
      <c r="B1514" s="5">
        <v>1493</v>
      </c>
      <c r="C1514" s="39">
        <f t="shared" ca="1" si="207"/>
        <v>3.397137748398098</v>
      </c>
      <c r="D1514" s="40">
        <f t="shared" ca="1" si="208"/>
        <v>10044250431.504198</v>
      </c>
      <c r="E1514" s="40">
        <f t="shared" ca="1" si="209"/>
        <v>50125075222073.781</v>
      </c>
      <c r="F1514" s="40">
        <f t="shared" ca="1" si="210"/>
        <v>2317903876203.9829</v>
      </c>
      <c r="G1514" s="40">
        <f t="shared" ca="1" si="211"/>
        <v>5628940619864.4541</v>
      </c>
      <c r="H1514" s="40">
        <f t="shared" ca="1" si="212"/>
        <v>2317903876203.9829</v>
      </c>
      <c r="I1514" s="40">
        <f t="shared" ca="1" si="213"/>
        <v>4696163387008.6895</v>
      </c>
      <c r="J1514" s="40">
        <f t="shared" ca="1" si="214"/>
        <v>1095796782299.511</v>
      </c>
      <c r="K1514" s="41">
        <f t="shared" ca="1" si="215"/>
        <v>4.2856152371189395</v>
      </c>
    </row>
    <row r="1515" spans="2:11" ht="15" customHeight="1" x14ac:dyDescent="0.35">
      <c r="B1515" s="5">
        <v>1494</v>
      </c>
      <c r="C1515" s="39">
        <f t="shared" ca="1" si="207"/>
        <v>2.4920340818301536</v>
      </c>
      <c r="D1515" s="40">
        <f t="shared" ca="1" si="208"/>
        <v>1552001699.0796752</v>
      </c>
      <c r="E1515" s="40">
        <f t="shared" ca="1" si="209"/>
        <v>17101373544615.971</v>
      </c>
      <c r="F1515" s="40">
        <f t="shared" ca="1" si="210"/>
        <v>12039296753383.492</v>
      </c>
      <c r="G1515" s="40">
        <f t="shared" ca="1" si="211"/>
        <v>3924974818797.6772</v>
      </c>
      <c r="H1515" s="40">
        <f t="shared" ca="1" si="212"/>
        <v>17101373544615.971</v>
      </c>
      <c r="I1515" s="40">
        <f t="shared" ca="1" si="213"/>
        <v>2164074645116.543</v>
      </c>
      <c r="J1515" s="40">
        <f t="shared" ca="1" si="214"/>
        <v>473962907461.39978</v>
      </c>
      <c r="K1515" s="41">
        <f t="shared" ca="1" si="215"/>
        <v>4.5659156255656743</v>
      </c>
    </row>
    <row r="1516" spans="2:11" ht="15" customHeight="1" x14ac:dyDescent="0.35">
      <c r="B1516" s="5">
        <v>1495</v>
      </c>
      <c r="C1516" s="39">
        <f t="shared" ca="1" si="207"/>
        <v>2.6327280907759203</v>
      </c>
      <c r="D1516" s="40">
        <f t="shared" ca="1" si="208"/>
        <v>2660500962.5933952</v>
      </c>
      <c r="E1516" s="40">
        <f t="shared" ca="1" si="209"/>
        <v>20933327493813.598</v>
      </c>
      <c r="F1516" s="40">
        <f t="shared" ca="1" si="210"/>
        <v>7187919321217.2041</v>
      </c>
      <c r="G1516" s="40">
        <f t="shared" ca="1" si="211"/>
        <v>2597052259958.7334</v>
      </c>
      <c r="H1516" s="40">
        <f t="shared" ca="1" si="212"/>
        <v>20933327493813.598</v>
      </c>
      <c r="I1516" s="40">
        <f t="shared" ca="1" si="213"/>
        <v>6456586432765.6758</v>
      </c>
      <c r="J1516" s="40">
        <f t="shared" ca="1" si="214"/>
        <v>1323260920766.2891</v>
      </c>
      <c r="K1516" s="41">
        <f t="shared" ca="1" si="215"/>
        <v>4.879299563253725</v>
      </c>
    </row>
    <row r="1517" spans="2:11" ht="15" customHeight="1" x14ac:dyDescent="0.35">
      <c r="B1517" s="5">
        <v>1496</v>
      </c>
      <c r="C1517" s="39">
        <f t="shared" ca="1" si="207"/>
        <v>2.5355722809516692</v>
      </c>
      <c r="D1517" s="40">
        <f t="shared" ca="1" si="208"/>
        <v>2282566558.1189303</v>
      </c>
      <c r="E1517" s="40">
        <f t="shared" ca="1" si="209"/>
        <v>5737923862959.6533</v>
      </c>
      <c r="F1517" s="40">
        <f t="shared" ca="1" si="210"/>
        <v>315985668191.54492</v>
      </c>
      <c r="G1517" s="40">
        <f t="shared" ca="1" si="211"/>
        <v>42449776518419.781</v>
      </c>
      <c r="H1517" s="40">
        <f t="shared" ca="1" si="212"/>
        <v>42449776518419.781</v>
      </c>
      <c r="I1517" s="40">
        <f t="shared" ca="1" si="213"/>
        <v>1028908938209.1985</v>
      </c>
      <c r="J1517" s="40">
        <f t="shared" ca="1" si="214"/>
        <v>1067419188375.7739</v>
      </c>
      <c r="K1517" s="41">
        <f t="shared" ca="1" si="215"/>
        <v>0.96392209303902987</v>
      </c>
    </row>
    <row r="1518" spans="2:11" ht="15" customHeight="1" x14ac:dyDescent="0.35">
      <c r="B1518" s="5">
        <v>1497</v>
      </c>
      <c r="C1518" s="39">
        <f t="shared" ca="1" si="207"/>
        <v>2.3215027110933506</v>
      </c>
      <c r="D1518" s="40">
        <f t="shared" ca="1" si="208"/>
        <v>1252698394.849695</v>
      </c>
      <c r="E1518" s="40">
        <f t="shared" ca="1" si="209"/>
        <v>5618207210122.0088</v>
      </c>
      <c r="F1518" s="40">
        <f t="shared" ca="1" si="210"/>
        <v>1251940876951.061</v>
      </c>
      <c r="G1518" s="40">
        <f t="shared" ca="1" si="211"/>
        <v>3278824936639.8213</v>
      </c>
      <c r="H1518" s="40">
        <f t="shared" ca="1" si="212"/>
        <v>3278824936639.8213</v>
      </c>
      <c r="I1518" s="40">
        <f t="shared" ca="1" si="213"/>
        <v>33199085119109.516</v>
      </c>
      <c r="J1518" s="40">
        <f t="shared" ca="1" si="214"/>
        <v>1122485681808.4502</v>
      </c>
      <c r="K1518" s="41">
        <f t="shared" ca="1" si="215"/>
        <v>29.576399643354087</v>
      </c>
    </row>
    <row r="1519" spans="2:11" ht="15" customHeight="1" x14ac:dyDescent="0.35">
      <c r="B1519" s="5">
        <v>1498</v>
      </c>
      <c r="C1519" s="39">
        <f t="shared" ca="1" si="207"/>
        <v>2.8941072423398069</v>
      </c>
      <c r="D1519" s="40">
        <f t="shared" ca="1" si="208"/>
        <v>3473199493.3233852</v>
      </c>
      <c r="E1519" s="40">
        <f t="shared" ca="1" si="209"/>
        <v>31264410119761.035</v>
      </c>
      <c r="F1519" s="40">
        <f t="shared" ca="1" si="210"/>
        <v>11271555048292.539</v>
      </c>
      <c r="G1519" s="40">
        <f t="shared" ca="1" si="211"/>
        <v>13111908687689.174</v>
      </c>
      <c r="H1519" s="40">
        <f t="shared" ca="1" si="212"/>
        <v>31264410119761.035</v>
      </c>
      <c r="I1519" s="40">
        <f t="shared" ca="1" si="213"/>
        <v>1589029134194.4573</v>
      </c>
      <c r="J1519" s="40">
        <f t="shared" ca="1" si="214"/>
        <v>582231505306.85718</v>
      </c>
      <c r="K1519" s="41">
        <f t="shared" ca="1" si="215"/>
        <v>2.7292049978590236</v>
      </c>
    </row>
    <row r="1520" spans="2:11" ht="15" customHeight="1" x14ac:dyDescent="0.35">
      <c r="B1520" s="5">
        <v>1499</v>
      </c>
      <c r="C1520" s="39">
        <f t="shared" ca="1" si="207"/>
        <v>2.9706735385803684</v>
      </c>
      <c r="D1520" s="40">
        <f t="shared" ca="1" si="208"/>
        <v>4813272800.1611748</v>
      </c>
      <c r="E1520" s="40">
        <f t="shared" ca="1" si="209"/>
        <v>5840315757092.3809</v>
      </c>
      <c r="F1520" s="40">
        <f t="shared" ca="1" si="210"/>
        <v>2245939701810.1807</v>
      </c>
      <c r="G1520" s="40">
        <f t="shared" ca="1" si="211"/>
        <v>2805001738712.2227</v>
      </c>
      <c r="H1520" s="40">
        <f t="shared" ca="1" si="212"/>
        <v>2805001738712.2227</v>
      </c>
      <c r="I1520" s="40">
        <f t="shared" ca="1" si="213"/>
        <v>17621531435103.035</v>
      </c>
      <c r="J1520" s="40">
        <f t="shared" ca="1" si="214"/>
        <v>1224582213163.821</v>
      </c>
      <c r="K1520" s="41">
        <f t="shared" ca="1" si="215"/>
        <v>14.389831279335819</v>
      </c>
    </row>
    <row r="1521" spans="2:11" ht="15" customHeight="1" x14ac:dyDescent="0.35">
      <c r="B1521" s="5">
        <v>1500</v>
      </c>
      <c r="C1521" s="39">
        <f t="shared" ca="1" si="207"/>
        <v>3.1601606297332343</v>
      </c>
      <c r="D1521" s="40">
        <f t="shared" ca="1" si="208"/>
        <v>6584061764.4648609</v>
      </c>
      <c r="E1521" s="40">
        <f t="shared" ca="1" si="209"/>
        <v>5764792365886.1709</v>
      </c>
      <c r="F1521" s="40">
        <f t="shared" ca="1" si="210"/>
        <v>18631310238948.883</v>
      </c>
      <c r="G1521" s="40">
        <f t="shared" ca="1" si="211"/>
        <v>40056496649302.813</v>
      </c>
      <c r="H1521" s="40">
        <f t="shared" ca="1" si="212"/>
        <v>5764792365886.1709</v>
      </c>
      <c r="I1521" s="40">
        <f t="shared" ca="1" si="213"/>
        <v>115840818125590.64</v>
      </c>
      <c r="J1521" s="40">
        <f t="shared" ca="1" si="214"/>
        <v>1197285195815.6445</v>
      </c>
      <c r="K1521" s="41">
        <f t="shared" ca="1" si="215"/>
        <v>96.752902759041191</v>
      </c>
    </row>
    <row r="1522" spans="2:11" ht="15" customHeight="1" x14ac:dyDescent="0.35">
      <c r="B1522" s="5">
        <v>1501</v>
      </c>
      <c r="C1522" s="39">
        <f t="shared" ca="1" si="207"/>
        <v>4.1271999262589656</v>
      </c>
      <c r="D1522" s="40">
        <f t="shared" ca="1" si="208"/>
        <v>26133207445.634781</v>
      </c>
      <c r="E1522" s="40">
        <f t="shared" ca="1" si="209"/>
        <v>236477018409190.56</v>
      </c>
      <c r="F1522" s="40">
        <f t="shared" ca="1" si="210"/>
        <v>2097463381405.0105</v>
      </c>
      <c r="G1522" s="40">
        <f t="shared" ca="1" si="211"/>
        <v>346060822603.36719</v>
      </c>
      <c r="H1522" s="40">
        <f t="shared" ca="1" si="212"/>
        <v>346060822603.36719</v>
      </c>
      <c r="I1522" s="40">
        <f t="shared" ca="1" si="213"/>
        <v>8319620093229.249</v>
      </c>
      <c r="J1522" s="40">
        <f t="shared" ca="1" si="214"/>
        <v>1324991359159.4016</v>
      </c>
      <c r="K1522" s="41">
        <f t="shared" ca="1" si="215"/>
        <v>6.2789995087268844</v>
      </c>
    </row>
    <row r="1523" spans="2:11" ht="15" customHeight="1" x14ac:dyDescent="0.35">
      <c r="B1523" s="5">
        <v>1502</v>
      </c>
      <c r="C1523" s="39">
        <f t="shared" ca="1" si="207"/>
        <v>3.2966929097231938</v>
      </c>
      <c r="D1523" s="40">
        <f t="shared" ca="1" si="208"/>
        <v>6909539389.083828</v>
      </c>
      <c r="E1523" s="40">
        <f t="shared" ca="1" si="209"/>
        <v>12048055043990.871</v>
      </c>
      <c r="F1523" s="40">
        <f t="shared" ca="1" si="210"/>
        <v>2238335447717.9204</v>
      </c>
      <c r="G1523" s="40">
        <f t="shared" ca="1" si="211"/>
        <v>2799168780676.5698</v>
      </c>
      <c r="H1523" s="40">
        <f t="shared" ca="1" si="212"/>
        <v>2238335447717.9204</v>
      </c>
      <c r="I1523" s="40">
        <f t="shared" ca="1" si="213"/>
        <v>29965853006509.844</v>
      </c>
      <c r="J1523" s="40">
        <f t="shared" ca="1" si="214"/>
        <v>1079680430257.3263</v>
      </c>
      <c r="K1523" s="41">
        <f t="shared" ca="1" si="215"/>
        <v>27.754372652070682</v>
      </c>
    </row>
    <row r="1524" spans="2:11" ht="15" customHeight="1" x14ac:dyDescent="0.35">
      <c r="B1524" s="5">
        <v>1503</v>
      </c>
      <c r="C1524" s="39">
        <f t="shared" ca="1" si="207"/>
        <v>2.2635691485661598</v>
      </c>
      <c r="D1524" s="40">
        <f t="shared" ca="1" si="208"/>
        <v>1344379436.3624771</v>
      </c>
      <c r="E1524" s="40">
        <f t="shared" ca="1" si="209"/>
        <v>1958492897697.3225</v>
      </c>
      <c r="F1524" s="40">
        <f t="shared" ca="1" si="210"/>
        <v>808361617206.45728</v>
      </c>
      <c r="G1524" s="40">
        <f t="shared" ca="1" si="211"/>
        <v>12376076794078.527</v>
      </c>
      <c r="H1524" s="40">
        <f t="shared" ca="1" si="212"/>
        <v>12376076794078.527</v>
      </c>
      <c r="I1524" s="40">
        <f t="shared" ca="1" si="213"/>
        <v>5900680372730.2207</v>
      </c>
      <c r="J1524" s="40">
        <f t="shared" ca="1" si="214"/>
        <v>748332522886.64136</v>
      </c>
      <c r="K1524" s="41">
        <f t="shared" ca="1" si="215"/>
        <v>7.885104806040971</v>
      </c>
    </row>
    <row r="1525" spans="2:11" ht="15" customHeight="1" x14ac:dyDescent="0.35">
      <c r="B1525" s="5">
        <v>1504</v>
      </c>
      <c r="C1525" s="39">
        <f t="shared" ca="1" si="207"/>
        <v>2.9417444416079142</v>
      </c>
      <c r="D1525" s="40">
        <f t="shared" ca="1" si="208"/>
        <v>4781344114.3642635</v>
      </c>
      <c r="E1525" s="40">
        <f t="shared" ca="1" si="209"/>
        <v>32555408548929.137</v>
      </c>
      <c r="F1525" s="40">
        <f t="shared" ca="1" si="210"/>
        <v>5536448074405.2158</v>
      </c>
      <c r="G1525" s="40">
        <f t="shared" ca="1" si="211"/>
        <v>1191863471147.6963</v>
      </c>
      <c r="H1525" s="40">
        <f t="shared" ca="1" si="212"/>
        <v>5536448074405.2158</v>
      </c>
      <c r="I1525" s="40">
        <f t="shared" ca="1" si="213"/>
        <v>91426401048385.516</v>
      </c>
      <c r="J1525" s="40">
        <f t="shared" ca="1" si="214"/>
        <v>1064483525087.7279</v>
      </c>
      <c r="K1525" s="41">
        <f t="shared" ca="1" si="215"/>
        <v>85.88803761979382</v>
      </c>
    </row>
    <row r="1526" spans="2:11" ht="15" customHeight="1" x14ac:dyDescent="0.35">
      <c r="B1526" s="5">
        <v>1505</v>
      </c>
      <c r="C1526" s="39">
        <f t="shared" ca="1" si="207"/>
        <v>2.9158067449000677</v>
      </c>
      <c r="D1526" s="40">
        <f t="shared" ca="1" si="208"/>
        <v>3463223770.9692535</v>
      </c>
      <c r="E1526" s="40">
        <f t="shared" ca="1" si="209"/>
        <v>44744134574724.609</v>
      </c>
      <c r="F1526" s="40">
        <f t="shared" ca="1" si="210"/>
        <v>1747491880038.1279</v>
      </c>
      <c r="G1526" s="40">
        <f t="shared" ca="1" si="211"/>
        <v>7111660083228.5254</v>
      </c>
      <c r="H1526" s="40">
        <f t="shared" ca="1" si="212"/>
        <v>44744134574724.609</v>
      </c>
      <c r="I1526" s="40">
        <f t="shared" ca="1" si="213"/>
        <v>14235422875333.834</v>
      </c>
      <c r="J1526" s="40">
        <f t="shared" ca="1" si="214"/>
        <v>684524143073.89063</v>
      </c>
      <c r="K1526" s="41">
        <f t="shared" ca="1" si="215"/>
        <v>20.796085893200114</v>
      </c>
    </row>
    <row r="1527" spans="2:11" ht="15" customHeight="1" x14ac:dyDescent="0.35">
      <c r="B1527" s="5">
        <v>1506</v>
      </c>
      <c r="C1527" s="39">
        <f t="shared" ca="1" si="207"/>
        <v>3.5348478952975224</v>
      </c>
      <c r="D1527" s="40">
        <f t="shared" ca="1" si="208"/>
        <v>9553524032.9896297</v>
      </c>
      <c r="E1527" s="40">
        <f t="shared" ca="1" si="209"/>
        <v>10128070843191.715</v>
      </c>
      <c r="F1527" s="40">
        <f t="shared" ca="1" si="210"/>
        <v>1291879229483.0107</v>
      </c>
      <c r="G1527" s="40">
        <f t="shared" ca="1" si="211"/>
        <v>19505680276635.867</v>
      </c>
      <c r="H1527" s="40">
        <f t="shared" ca="1" si="212"/>
        <v>1291879229483.0107</v>
      </c>
      <c r="I1527" s="40">
        <f t="shared" ca="1" si="213"/>
        <v>23749075059909.492</v>
      </c>
      <c r="J1527" s="40">
        <f t="shared" ca="1" si="214"/>
        <v>1088443145776.8107</v>
      </c>
      <c r="K1527" s="41">
        <f t="shared" ca="1" si="215"/>
        <v>21.819306917459635</v>
      </c>
    </row>
    <row r="1528" spans="2:11" ht="15" customHeight="1" x14ac:dyDescent="0.35">
      <c r="B1528" s="5">
        <v>1507</v>
      </c>
      <c r="C1528" s="39">
        <f t="shared" ca="1" si="207"/>
        <v>3.0493568815954695</v>
      </c>
      <c r="D1528" s="40">
        <f t="shared" ca="1" si="208"/>
        <v>6262052232.0563364</v>
      </c>
      <c r="E1528" s="40">
        <f t="shared" ca="1" si="209"/>
        <v>58867033350849.914</v>
      </c>
      <c r="F1528" s="40">
        <f t="shared" ca="1" si="210"/>
        <v>1868786188882.8748</v>
      </c>
      <c r="G1528" s="40">
        <f t="shared" ca="1" si="211"/>
        <v>5620480059762.4287</v>
      </c>
      <c r="H1528" s="40">
        <f t="shared" ca="1" si="212"/>
        <v>58867033350849.914</v>
      </c>
      <c r="I1528" s="40">
        <f t="shared" ca="1" si="213"/>
        <v>67641300469461.461</v>
      </c>
      <c r="J1528" s="40">
        <f t="shared" ca="1" si="214"/>
        <v>527136052496.45886</v>
      </c>
      <c r="K1528" s="41">
        <f t="shared" ca="1" si="215"/>
        <v>128.31848656361035</v>
      </c>
    </row>
    <row r="1529" spans="2:11" ht="15" customHeight="1" x14ac:dyDescent="0.35">
      <c r="B1529" s="5">
        <v>1508</v>
      </c>
      <c r="C1529" s="39">
        <f t="shared" ca="1" si="207"/>
        <v>3.1537872568808547</v>
      </c>
      <c r="D1529" s="40">
        <f t="shared" ca="1" si="208"/>
        <v>5102879136.6106472</v>
      </c>
      <c r="E1529" s="40">
        <f t="shared" ca="1" si="209"/>
        <v>55998780425716.641</v>
      </c>
      <c r="F1529" s="40">
        <f t="shared" ca="1" si="210"/>
        <v>15270834002628.34</v>
      </c>
      <c r="G1529" s="40">
        <f t="shared" ca="1" si="211"/>
        <v>10547592630374.01</v>
      </c>
      <c r="H1529" s="40">
        <f t="shared" ca="1" si="212"/>
        <v>55998780425716.641</v>
      </c>
      <c r="I1529" s="40">
        <f t="shared" ca="1" si="213"/>
        <v>6867523974034.0615</v>
      </c>
      <c r="J1529" s="40">
        <f t="shared" ca="1" si="214"/>
        <v>1127162622715.4397</v>
      </c>
      <c r="K1529" s="41">
        <f t="shared" ca="1" si="215"/>
        <v>6.0927534639940033</v>
      </c>
    </row>
    <row r="1530" spans="2:11" ht="15" customHeight="1" x14ac:dyDescent="0.35">
      <c r="B1530" s="5">
        <v>1509</v>
      </c>
      <c r="C1530" s="39">
        <f t="shared" ca="1" si="207"/>
        <v>2.2099096568436853</v>
      </c>
      <c r="D1530" s="40">
        <f t="shared" ca="1" si="208"/>
        <v>1014335193.5994201</v>
      </c>
      <c r="E1530" s="40">
        <f t="shared" ca="1" si="209"/>
        <v>2665095541171.564</v>
      </c>
      <c r="F1530" s="40">
        <f t="shared" ca="1" si="210"/>
        <v>1307052273623.0857</v>
      </c>
      <c r="G1530" s="40">
        <f t="shared" ca="1" si="211"/>
        <v>9535700733835.9844</v>
      </c>
      <c r="H1530" s="40">
        <f t="shared" ca="1" si="212"/>
        <v>9535700733835.9844</v>
      </c>
      <c r="I1530" s="40">
        <f t="shared" ca="1" si="213"/>
        <v>3256574903241.6172</v>
      </c>
      <c r="J1530" s="40">
        <f t="shared" ca="1" si="214"/>
        <v>469524168402.82983</v>
      </c>
      <c r="K1530" s="41">
        <f t="shared" ca="1" si="215"/>
        <v>6.9359047358934411</v>
      </c>
    </row>
    <row r="1531" spans="2:11" ht="15" customHeight="1" x14ac:dyDescent="0.35">
      <c r="B1531" s="5">
        <v>1510</v>
      </c>
      <c r="C1531" s="39">
        <f t="shared" ca="1" si="207"/>
        <v>2.9808931353968569</v>
      </c>
      <c r="D1531" s="40">
        <f t="shared" ca="1" si="208"/>
        <v>4883800356.3336201</v>
      </c>
      <c r="E1531" s="40">
        <f t="shared" ca="1" si="209"/>
        <v>16133031976318.801</v>
      </c>
      <c r="F1531" s="40">
        <f t="shared" ca="1" si="210"/>
        <v>2263018851659.4912</v>
      </c>
      <c r="G1531" s="40">
        <f t="shared" ca="1" si="211"/>
        <v>2388569543625.3979</v>
      </c>
      <c r="H1531" s="40">
        <f t="shared" ca="1" si="212"/>
        <v>2263018851659.4912</v>
      </c>
      <c r="I1531" s="40">
        <f t="shared" ca="1" si="213"/>
        <v>12557687285589.766</v>
      </c>
      <c r="J1531" s="40">
        <f t="shared" ca="1" si="214"/>
        <v>431491473736.35626</v>
      </c>
      <c r="K1531" s="41">
        <f t="shared" ca="1" si="215"/>
        <v>29.102978969319295</v>
      </c>
    </row>
    <row r="1532" spans="2:11" ht="15" customHeight="1" x14ac:dyDescent="0.35">
      <c r="B1532" s="5">
        <v>1511</v>
      </c>
      <c r="C1532" s="39">
        <f t="shared" ca="1" si="207"/>
        <v>2.2383225413028054</v>
      </c>
      <c r="D1532" s="40">
        <f t="shared" ca="1" si="208"/>
        <v>920766353.21719825</v>
      </c>
      <c r="E1532" s="40">
        <f t="shared" ca="1" si="209"/>
        <v>3068643201962.8252</v>
      </c>
      <c r="F1532" s="40">
        <f t="shared" ca="1" si="210"/>
        <v>2305537120951.6709</v>
      </c>
      <c r="G1532" s="40">
        <f t="shared" ca="1" si="211"/>
        <v>609844742158.57666</v>
      </c>
      <c r="H1532" s="40">
        <f t="shared" ca="1" si="212"/>
        <v>609844742158.57666</v>
      </c>
      <c r="I1532" s="40">
        <f t="shared" ca="1" si="213"/>
        <v>11321061866620.842</v>
      </c>
      <c r="J1532" s="40">
        <f t="shared" ca="1" si="214"/>
        <v>1067315142102.7437</v>
      </c>
      <c r="K1532" s="41">
        <f t="shared" ca="1" si="215"/>
        <v>10.607046991122923</v>
      </c>
    </row>
    <row r="1533" spans="2:11" ht="15" customHeight="1" x14ac:dyDescent="0.35">
      <c r="B1533" s="5">
        <v>1512</v>
      </c>
      <c r="C1533" s="39">
        <f t="shared" ca="1" si="207"/>
        <v>2.7812088357220888</v>
      </c>
      <c r="D1533" s="40">
        <f t="shared" ca="1" si="208"/>
        <v>3964968660.9040647</v>
      </c>
      <c r="E1533" s="40">
        <f t="shared" ca="1" si="209"/>
        <v>19740340324362.902</v>
      </c>
      <c r="F1533" s="40">
        <f t="shared" ca="1" si="210"/>
        <v>827004582559.74878</v>
      </c>
      <c r="G1533" s="40">
        <f t="shared" ca="1" si="211"/>
        <v>15092072862297.369</v>
      </c>
      <c r="H1533" s="40">
        <f t="shared" ca="1" si="212"/>
        <v>827004582559.74878</v>
      </c>
      <c r="I1533" s="40">
        <f t="shared" ca="1" si="213"/>
        <v>25858736513714.012</v>
      </c>
      <c r="J1533" s="40">
        <f t="shared" ca="1" si="214"/>
        <v>1081316600252.2981</v>
      </c>
      <c r="K1533" s="41">
        <f t="shared" ca="1" si="215"/>
        <v>23.914121458674106</v>
      </c>
    </row>
    <row r="1534" spans="2:11" ht="15" customHeight="1" x14ac:dyDescent="0.35">
      <c r="B1534" s="5">
        <v>1513</v>
      </c>
      <c r="C1534" s="39">
        <f t="shared" ca="1" si="207"/>
        <v>2.9066120294466757</v>
      </c>
      <c r="D1534" s="40">
        <f t="shared" ca="1" si="208"/>
        <v>4754405055.5085192</v>
      </c>
      <c r="E1534" s="40">
        <f t="shared" ca="1" si="209"/>
        <v>12258927887744.014</v>
      </c>
      <c r="F1534" s="40">
        <f t="shared" ca="1" si="210"/>
        <v>5311738351291.9434</v>
      </c>
      <c r="G1534" s="40">
        <f t="shared" ca="1" si="211"/>
        <v>5561872537513.2734</v>
      </c>
      <c r="H1534" s="40">
        <f t="shared" ca="1" si="212"/>
        <v>5561872537513.2734</v>
      </c>
      <c r="I1534" s="40">
        <f t="shared" ca="1" si="213"/>
        <v>1936465963859.5591</v>
      </c>
      <c r="J1534" s="40">
        <f t="shared" ca="1" si="214"/>
        <v>948559541732.65845</v>
      </c>
      <c r="K1534" s="41">
        <f t="shared" ca="1" si="215"/>
        <v>2.0414806648008308</v>
      </c>
    </row>
    <row r="1535" spans="2:11" ht="15" customHeight="1" x14ac:dyDescent="0.35">
      <c r="B1535" s="5">
        <v>1514</v>
      </c>
      <c r="C1535" s="39">
        <f t="shared" ca="1" si="207"/>
        <v>3.0522062580755431</v>
      </c>
      <c r="D1535" s="40">
        <f t="shared" ca="1" si="208"/>
        <v>5668646228.6743298</v>
      </c>
      <c r="E1535" s="40">
        <f t="shared" ca="1" si="209"/>
        <v>7854477665773.5439</v>
      </c>
      <c r="F1535" s="40">
        <f t="shared" ca="1" si="210"/>
        <v>1498380828773.6194</v>
      </c>
      <c r="G1535" s="40">
        <f t="shared" ca="1" si="211"/>
        <v>14387821011493.244</v>
      </c>
      <c r="H1535" s="40">
        <f t="shared" ca="1" si="212"/>
        <v>1498380828773.6194</v>
      </c>
      <c r="I1535" s="40">
        <f t="shared" ca="1" si="213"/>
        <v>3318917831842.5933</v>
      </c>
      <c r="J1535" s="40">
        <f t="shared" ca="1" si="214"/>
        <v>1187903395731.646</v>
      </c>
      <c r="K1535" s="41">
        <f t="shared" ca="1" si="215"/>
        <v>2.793929071815159</v>
      </c>
    </row>
    <row r="1536" spans="2:11" ht="15" customHeight="1" x14ac:dyDescent="0.35">
      <c r="B1536" s="5">
        <v>1515</v>
      </c>
      <c r="C1536" s="39">
        <f t="shared" ca="1" si="207"/>
        <v>2.9930938087051935</v>
      </c>
      <c r="D1536" s="40">
        <f t="shared" ca="1" si="208"/>
        <v>5426772793.6064596</v>
      </c>
      <c r="E1536" s="40">
        <f t="shared" ca="1" si="209"/>
        <v>83121218699166.5</v>
      </c>
      <c r="F1536" s="40">
        <f t="shared" ca="1" si="210"/>
        <v>2989764725132.0684</v>
      </c>
      <c r="G1536" s="40">
        <f t="shared" ca="1" si="211"/>
        <v>5804340171893.415</v>
      </c>
      <c r="H1536" s="40">
        <f t="shared" ca="1" si="212"/>
        <v>83121218699166.5</v>
      </c>
      <c r="I1536" s="40">
        <f t="shared" ca="1" si="213"/>
        <v>9353094309304.7129</v>
      </c>
      <c r="J1536" s="40">
        <f t="shared" ca="1" si="214"/>
        <v>1443586023469.8633</v>
      </c>
      <c r="K1536" s="41">
        <f t="shared" ca="1" si="215"/>
        <v>6.4790695928346738</v>
      </c>
    </row>
    <row r="1537" spans="2:11" ht="15" customHeight="1" x14ac:dyDescent="0.35">
      <c r="B1537" s="5">
        <v>1516</v>
      </c>
      <c r="C1537" s="39">
        <f t="shared" ca="1" si="207"/>
        <v>3.3107812522733107</v>
      </c>
      <c r="D1537" s="40">
        <f t="shared" ca="1" si="208"/>
        <v>7869235253.5640335</v>
      </c>
      <c r="E1537" s="40">
        <f t="shared" ca="1" si="209"/>
        <v>20534793253662.184</v>
      </c>
      <c r="F1537" s="40">
        <f t="shared" ca="1" si="210"/>
        <v>924632409150.47168</v>
      </c>
      <c r="G1537" s="40">
        <f t="shared" ca="1" si="211"/>
        <v>2423520461890.7109</v>
      </c>
      <c r="H1537" s="40">
        <f t="shared" ca="1" si="212"/>
        <v>20534793253662.184</v>
      </c>
      <c r="I1537" s="40">
        <f t="shared" ca="1" si="213"/>
        <v>8282087800381.5176</v>
      </c>
      <c r="J1537" s="40">
        <f t="shared" ca="1" si="214"/>
        <v>1288387349741.7124</v>
      </c>
      <c r="K1537" s="41">
        <f t="shared" ca="1" si="215"/>
        <v>6.4282591737972723</v>
      </c>
    </row>
    <row r="1538" spans="2:11" ht="15" customHeight="1" x14ac:dyDescent="0.35">
      <c r="B1538" s="5">
        <v>1517</v>
      </c>
      <c r="C1538" s="39">
        <f t="shared" ca="1" si="207"/>
        <v>3.4667912241945</v>
      </c>
      <c r="D1538" s="40">
        <f t="shared" ca="1" si="208"/>
        <v>11235895613.634909</v>
      </c>
      <c r="E1538" s="40">
        <f t="shared" ca="1" si="209"/>
        <v>31070369004920.984</v>
      </c>
      <c r="F1538" s="40">
        <f t="shared" ca="1" si="210"/>
        <v>921662833317.34583</v>
      </c>
      <c r="G1538" s="40">
        <f t="shared" ca="1" si="211"/>
        <v>6542405020980.4092</v>
      </c>
      <c r="H1538" s="40">
        <f t="shared" ca="1" si="212"/>
        <v>921662833317.34583</v>
      </c>
      <c r="I1538" s="40">
        <f t="shared" ca="1" si="213"/>
        <v>8107777039139.666</v>
      </c>
      <c r="J1538" s="40">
        <f t="shared" ca="1" si="214"/>
        <v>870528250094.75854</v>
      </c>
      <c r="K1538" s="41">
        <f t="shared" ca="1" si="215"/>
        <v>9.313628866446459</v>
      </c>
    </row>
    <row r="1539" spans="2:11" ht="15" customHeight="1" x14ac:dyDescent="0.35">
      <c r="B1539" s="5">
        <v>1518</v>
      </c>
      <c r="C1539" s="39">
        <f t="shared" ca="1" si="207"/>
        <v>2.9457550586465868</v>
      </c>
      <c r="D1539" s="40">
        <f t="shared" ca="1" si="208"/>
        <v>4255775521.8053107</v>
      </c>
      <c r="E1539" s="40">
        <f t="shared" ca="1" si="209"/>
        <v>11174507118887.895</v>
      </c>
      <c r="F1539" s="40">
        <f t="shared" ca="1" si="210"/>
        <v>542389097937.63428</v>
      </c>
      <c r="G1539" s="40">
        <f t="shared" ca="1" si="211"/>
        <v>59704239963230.672</v>
      </c>
      <c r="H1539" s="40">
        <f t="shared" ca="1" si="212"/>
        <v>542389097937.63428</v>
      </c>
      <c r="I1539" s="40">
        <f t="shared" ca="1" si="213"/>
        <v>15444212632395.594</v>
      </c>
      <c r="J1539" s="40">
        <f t="shared" ca="1" si="214"/>
        <v>1666451732229.3218</v>
      </c>
      <c r="K1539" s="41">
        <f t="shared" ca="1" si="215"/>
        <v>9.2677227511023421</v>
      </c>
    </row>
    <row r="1540" spans="2:11" ht="15" customHeight="1" x14ac:dyDescent="0.35">
      <c r="B1540" s="5">
        <v>1519</v>
      </c>
      <c r="C1540" s="39">
        <f t="shared" ca="1" si="207"/>
        <v>2.7501188263271588</v>
      </c>
      <c r="D1540" s="40">
        <f t="shared" ca="1" si="208"/>
        <v>3042250281.9149971</v>
      </c>
      <c r="E1540" s="40">
        <f t="shared" ca="1" si="209"/>
        <v>15568512292658.967</v>
      </c>
      <c r="F1540" s="40">
        <f t="shared" ca="1" si="210"/>
        <v>2046897635173.4258</v>
      </c>
      <c r="G1540" s="40">
        <f t="shared" ca="1" si="211"/>
        <v>1114077226341.5078</v>
      </c>
      <c r="H1540" s="40">
        <f t="shared" ca="1" si="212"/>
        <v>2046897635173.4258</v>
      </c>
      <c r="I1540" s="40">
        <f t="shared" ca="1" si="213"/>
        <v>23852303867761.621</v>
      </c>
      <c r="J1540" s="40">
        <f t="shared" ca="1" si="214"/>
        <v>640102710493.8689</v>
      </c>
      <c r="K1540" s="41">
        <f t="shared" ca="1" si="215"/>
        <v>37.263244596103121</v>
      </c>
    </row>
    <row r="1541" spans="2:11" ht="15" customHeight="1" x14ac:dyDescent="0.35">
      <c r="B1541" s="5">
        <v>1520</v>
      </c>
      <c r="C1541" s="39">
        <f t="shared" ca="1" si="207"/>
        <v>3.1179190156532535</v>
      </c>
      <c r="D1541" s="40">
        <f t="shared" ca="1" si="208"/>
        <v>5855928925.5817318</v>
      </c>
      <c r="E1541" s="40">
        <f t="shared" ca="1" si="209"/>
        <v>40977093319507.289</v>
      </c>
      <c r="F1541" s="40">
        <f t="shared" ca="1" si="210"/>
        <v>3363367557817.5786</v>
      </c>
      <c r="G1541" s="40">
        <f t="shared" ca="1" si="211"/>
        <v>916080681452.90906</v>
      </c>
      <c r="H1541" s="40">
        <f t="shared" ca="1" si="212"/>
        <v>916080681452.90906</v>
      </c>
      <c r="I1541" s="40">
        <f t="shared" ca="1" si="213"/>
        <v>9052621147385.3398</v>
      </c>
      <c r="J1541" s="40">
        <f t="shared" ca="1" si="214"/>
        <v>982288950731.95117</v>
      </c>
      <c r="K1541" s="41">
        <f t="shared" ca="1" si="215"/>
        <v>9.2158434039594894</v>
      </c>
    </row>
    <row r="1542" spans="2:11" ht="15" customHeight="1" x14ac:dyDescent="0.35">
      <c r="B1542" s="5">
        <v>1521</v>
      </c>
      <c r="C1542" s="39">
        <f t="shared" ca="1" si="207"/>
        <v>2.6463732663976933</v>
      </c>
      <c r="D1542" s="40">
        <f t="shared" ca="1" si="208"/>
        <v>2144083920.0626702</v>
      </c>
      <c r="E1542" s="40">
        <f t="shared" ca="1" si="209"/>
        <v>3264287155430.8198</v>
      </c>
      <c r="F1542" s="40">
        <f t="shared" ca="1" si="210"/>
        <v>7843745956465.877</v>
      </c>
      <c r="G1542" s="40">
        <f t="shared" ca="1" si="211"/>
        <v>2980931217971.1406</v>
      </c>
      <c r="H1542" s="40">
        <f t="shared" ca="1" si="212"/>
        <v>2980931217971.1406</v>
      </c>
      <c r="I1542" s="40">
        <f t="shared" ca="1" si="213"/>
        <v>13286882829003.934</v>
      </c>
      <c r="J1542" s="40">
        <f t="shared" ca="1" si="214"/>
        <v>1357013022071.71</v>
      </c>
      <c r="K1542" s="41">
        <f t="shared" ca="1" si="215"/>
        <v>9.7912714269456753</v>
      </c>
    </row>
    <row r="1543" spans="2:11" ht="15" customHeight="1" x14ac:dyDescent="0.35">
      <c r="B1543" s="5">
        <v>1522</v>
      </c>
      <c r="C1543" s="39">
        <f t="shared" ca="1" si="207"/>
        <v>3.1781104606637589</v>
      </c>
      <c r="D1543" s="40">
        <f t="shared" ca="1" si="208"/>
        <v>5793049625.7990694</v>
      </c>
      <c r="E1543" s="40">
        <f t="shared" ca="1" si="209"/>
        <v>42155269667531.711</v>
      </c>
      <c r="F1543" s="40">
        <f t="shared" ca="1" si="210"/>
        <v>1687919420856.2991</v>
      </c>
      <c r="G1543" s="40">
        <f t="shared" ca="1" si="211"/>
        <v>109509711488931.77</v>
      </c>
      <c r="H1543" s="40">
        <f t="shared" ca="1" si="212"/>
        <v>42155269667531.711</v>
      </c>
      <c r="I1543" s="40">
        <f t="shared" ca="1" si="213"/>
        <v>2989082051574.4521</v>
      </c>
      <c r="J1543" s="40">
        <f t="shared" ca="1" si="214"/>
        <v>815064894146.62329</v>
      </c>
      <c r="K1543" s="41">
        <f t="shared" ca="1" si="215"/>
        <v>3.6672933321512207</v>
      </c>
    </row>
    <row r="1544" spans="2:11" ht="15" customHeight="1" x14ac:dyDescent="0.35">
      <c r="B1544" s="5">
        <v>1523</v>
      </c>
      <c r="C1544" s="39">
        <f t="shared" ca="1" si="207"/>
        <v>2.4065531128787025</v>
      </c>
      <c r="D1544" s="40">
        <f t="shared" ca="1" si="208"/>
        <v>1441727866.842181</v>
      </c>
      <c r="E1544" s="40">
        <f t="shared" ca="1" si="209"/>
        <v>34531222624712.441</v>
      </c>
      <c r="F1544" s="40">
        <f t="shared" ca="1" si="210"/>
        <v>2165246669294.408</v>
      </c>
      <c r="G1544" s="40">
        <f t="shared" ca="1" si="211"/>
        <v>70246163142975.156</v>
      </c>
      <c r="H1544" s="40">
        <f t="shared" ca="1" si="212"/>
        <v>2165246669294.408</v>
      </c>
      <c r="I1544" s="40">
        <f t="shared" ca="1" si="213"/>
        <v>3434348131173.0898</v>
      </c>
      <c r="J1544" s="40">
        <f t="shared" ca="1" si="214"/>
        <v>1443531185048.4343</v>
      </c>
      <c r="K1544" s="41">
        <f t="shared" ca="1" si="215"/>
        <v>2.3791298495971587</v>
      </c>
    </row>
    <row r="1545" spans="2:11" ht="15" customHeight="1" x14ac:dyDescent="0.35">
      <c r="B1545" s="5">
        <v>1524</v>
      </c>
      <c r="C1545" s="39">
        <f t="shared" ca="1" si="207"/>
        <v>2.0871836295115345</v>
      </c>
      <c r="D1545" s="40">
        <f t="shared" ca="1" si="208"/>
        <v>749998254.37823629</v>
      </c>
      <c r="E1545" s="40">
        <f t="shared" ca="1" si="209"/>
        <v>1189353024362.1975</v>
      </c>
      <c r="F1545" s="40">
        <f t="shared" ca="1" si="210"/>
        <v>3379130140139.3623</v>
      </c>
      <c r="G1545" s="40">
        <f t="shared" ca="1" si="211"/>
        <v>41298963806371.719</v>
      </c>
      <c r="H1545" s="40">
        <f t="shared" ca="1" si="212"/>
        <v>3379130140139.3623</v>
      </c>
      <c r="I1545" s="40">
        <f t="shared" ca="1" si="213"/>
        <v>63488641847812.367</v>
      </c>
      <c r="J1545" s="40">
        <f t="shared" ca="1" si="214"/>
        <v>1447310951316.4751</v>
      </c>
      <c r="K1545" s="41">
        <f t="shared" ca="1" si="215"/>
        <v>43.866621606133123</v>
      </c>
    </row>
    <row r="1546" spans="2:11" ht="15" customHeight="1" x14ac:dyDescent="0.35">
      <c r="B1546" s="5">
        <v>1525</v>
      </c>
      <c r="C1546" s="39">
        <f t="shared" ca="1" si="207"/>
        <v>2.1566244472844387</v>
      </c>
      <c r="D1546" s="40">
        <f t="shared" ca="1" si="208"/>
        <v>1096850504.9389987</v>
      </c>
      <c r="E1546" s="40">
        <f t="shared" ca="1" si="209"/>
        <v>13034750034964.344</v>
      </c>
      <c r="F1546" s="40">
        <f t="shared" ca="1" si="210"/>
        <v>2856508274422.1953</v>
      </c>
      <c r="G1546" s="40">
        <f t="shared" ca="1" si="211"/>
        <v>1942901850084.1897</v>
      </c>
      <c r="H1546" s="40">
        <f t="shared" ca="1" si="212"/>
        <v>13034750034964.344</v>
      </c>
      <c r="I1546" s="40">
        <f t="shared" ca="1" si="213"/>
        <v>4484259311472.4619</v>
      </c>
      <c r="J1546" s="40">
        <f t="shared" ca="1" si="214"/>
        <v>1115833960467.1331</v>
      </c>
      <c r="K1546" s="41">
        <f t="shared" ca="1" si="215"/>
        <v>4.018751418531096</v>
      </c>
    </row>
    <row r="1547" spans="2:11" ht="15" customHeight="1" x14ac:dyDescent="0.35">
      <c r="B1547" s="5">
        <v>1526</v>
      </c>
      <c r="C1547" s="39">
        <f t="shared" ca="1" si="207"/>
        <v>2.7134794293361639</v>
      </c>
      <c r="D1547" s="40">
        <f t="shared" ca="1" si="208"/>
        <v>3128255972.9997034</v>
      </c>
      <c r="E1547" s="40">
        <f t="shared" ca="1" si="209"/>
        <v>5605605406294.7793</v>
      </c>
      <c r="F1547" s="40">
        <f t="shared" ca="1" si="210"/>
        <v>4988569793203.3359</v>
      </c>
      <c r="G1547" s="40">
        <f t="shared" ca="1" si="211"/>
        <v>107907815309666.55</v>
      </c>
      <c r="H1547" s="40">
        <f t="shared" ca="1" si="212"/>
        <v>4988569793203.3359</v>
      </c>
      <c r="I1547" s="40">
        <f t="shared" ca="1" si="213"/>
        <v>2931226817710.2163</v>
      </c>
      <c r="J1547" s="40">
        <f t="shared" ca="1" si="214"/>
        <v>1325483214896.6475</v>
      </c>
      <c r="K1547" s="41">
        <f t="shared" ca="1" si="215"/>
        <v>2.2114401636830792</v>
      </c>
    </row>
    <row r="1548" spans="2:11" ht="15" customHeight="1" x14ac:dyDescent="0.35">
      <c r="B1548" s="5">
        <v>1527</v>
      </c>
      <c r="C1548" s="39">
        <f t="shared" ca="1" si="207"/>
        <v>3.4417355121474813</v>
      </c>
      <c r="D1548" s="40">
        <f t="shared" ca="1" si="208"/>
        <v>8944684575.8674335</v>
      </c>
      <c r="E1548" s="40">
        <f t="shared" ca="1" si="209"/>
        <v>30765897457481.5</v>
      </c>
      <c r="F1548" s="40">
        <f t="shared" ca="1" si="210"/>
        <v>4508373414985.2568</v>
      </c>
      <c r="G1548" s="40">
        <f t="shared" ca="1" si="211"/>
        <v>3439866613758.4263</v>
      </c>
      <c r="H1548" s="40">
        <f t="shared" ca="1" si="212"/>
        <v>3439866613758.4263</v>
      </c>
      <c r="I1548" s="40">
        <f t="shared" ca="1" si="213"/>
        <v>4324204725343.6724</v>
      </c>
      <c r="J1548" s="40">
        <f t="shared" ca="1" si="214"/>
        <v>873632188582.90759</v>
      </c>
      <c r="K1548" s="41">
        <f t="shared" ca="1" si="215"/>
        <v>4.9496856707601795</v>
      </c>
    </row>
    <row r="1549" spans="2:11" ht="15" customHeight="1" x14ac:dyDescent="0.35">
      <c r="B1549" s="5">
        <v>1528</v>
      </c>
      <c r="C1549" s="39">
        <f t="shared" ca="1" si="207"/>
        <v>3.2188483450946843</v>
      </c>
      <c r="D1549" s="40">
        <f t="shared" ca="1" si="208"/>
        <v>6907579527.1810303</v>
      </c>
      <c r="E1549" s="40">
        <f t="shared" ca="1" si="209"/>
        <v>11616946280781.514</v>
      </c>
      <c r="F1549" s="40">
        <f t="shared" ca="1" si="210"/>
        <v>446755129701.1665</v>
      </c>
      <c r="G1549" s="40">
        <f t="shared" ca="1" si="211"/>
        <v>62345633514160.773</v>
      </c>
      <c r="H1549" s="40">
        <f t="shared" ca="1" si="212"/>
        <v>62345633514160.773</v>
      </c>
      <c r="I1549" s="40">
        <f t="shared" ca="1" si="213"/>
        <v>4398837773955.7568</v>
      </c>
      <c r="J1549" s="40">
        <f t="shared" ca="1" si="214"/>
        <v>490283613042.19092</v>
      </c>
      <c r="K1549" s="41">
        <f t="shared" ca="1" si="215"/>
        <v>8.9720269185852199</v>
      </c>
    </row>
    <row r="1550" spans="2:11" ht="15" customHeight="1" x14ac:dyDescent="0.35">
      <c r="B1550" s="5">
        <v>1529</v>
      </c>
      <c r="C1550" s="39">
        <f t="shared" ca="1" si="207"/>
        <v>2.7562752531747425</v>
      </c>
      <c r="D1550" s="40">
        <f t="shared" ca="1" si="208"/>
        <v>2776736449.6464148</v>
      </c>
      <c r="E1550" s="40">
        <f t="shared" ca="1" si="209"/>
        <v>3696685008258.7451</v>
      </c>
      <c r="F1550" s="40">
        <f t="shared" ca="1" si="210"/>
        <v>5710257368018.7803</v>
      </c>
      <c r="G1550" s="40">
        <f t="shared" ca="1" si="211"/>
        <v>24860262939003.047</v>
      </c>
      <c r="H1550" s="40">
        <f t="shared" ca="1" si="212"/>
        <v>3696685008258.7451</v>
      </c>
      <c r="I1550" s="40">
        <f t="shared" ca="1" si="213"/>
        <v>20067882868464.238</v>
      </c>
      <c r="J1550" s="40">
        <f t="shared" ca="1" si="214"/>
        <v>1490112028947.9336</v>
      </c>
      <c r="K1550" s="41">
        <f t="shared" ca="1" si="215"/>
        <v>13.467365190409744</v>
      </c>
    </row>
    <row r="1551" spans="2:11" ht="15" customHeight="1" x14ac:dyDescent="0.35">
      <c r="B1551" s="5">
        <v>1530</v>
      </c>
      <c r="C1551" s="39">
        <f t="shared" ca="1" si="207"/>
        <v>2.6773268060155839</v>
      </c>
      <c r="D1551" s="40">
        <f t="shared" ca="1" si="208"/>
        <v>2852638436.630661</v>
      </c>
      <c r="E1551" s="40">
        <f t="shared" ca="1" si="209"/>
        <v>9577747259431.9395</v>
      </c>
      <c r="F1551" s="40">
        <f t="shared" ca="1" si="210"/>
        <v>1956531373488.6699</v>
      </c>
      <c r="G1551" s="40">
        <f t="shared" ca="1" si="211"/>
        <v>20191602976651.098</v>
      </c>
      <c r="H1551" s="40">
        <f t="shared" ca="1" si="212"/>
        <v>1956531373488.6699</v>
      </c>
      <c r="I1551" s="40">
        <f t="shared" ca="1" si="213"/>
        <v>26607634883666.273</v>
      </c>
      <c r="J1551" s="40">
        <f t="shared" ca="1" si="214"/>
        <v>1162917779294.6687</v>
      </c>
      <c r="K1551" s="41">
        <f t="shared" ca="1" si="215"/>
        <v>22.880065433176455</v>
      </c>
    </row>
    <row r="1552" spans="2:11" ht="15" customHeight="1" x14ac:dyDescent="0.35">
      <c r="B1552" s="5">
        <v>1531</v>
      </c>
      <c r="C1552" s="39">
        <f t="shared" ca="1" si="207"/>
        <v>3.1990268845121248</v>
      </c>
      <c r="D1552" s="40">
        <f t="shared" ca="1" si="208"/>
        <v>6571372370.4628229</v>
      </c>
      <c r="E1552" s="40">
        <f t="shared" ca="1" si="209"/>
        <v>22413370649800.035</v>
      </c>
      <c r="F1552" s="40">
        <f t="shared" ca="1" si="210"/>
        <v>1760806524838.0232</v>
      </c>
      <c r="G1552" s="40">
        <f t="shared" ca="1" si="211"/>
        <v>8447259270745.6826</v>
      </c>
      <c r="H1552" s="40">
        <f t="shared" ca="1" si="212"/>
        <v>8447259270745.6826</v>
      </c>
      <c r="I1552" s="40">
        <f t="shared" ca="1" si="213"/>
        <v>35275535942904.563</v>
      </c>
      <c r="J1552" s="40">
        <f t="shared" ca="1" si="214"/>
        <v>1030920030862.224</v>
      </c>
      <c r="K1552" s="41">
        <f t="shared" ca="1" si="215"/>
        <v>34.217528893488847</v>
      </c>
    </row>
    <row r="1553" spans="2:11" ht="15" customHeight="1" x14ac:dyDescent="0.35">
      <c r="B1553" s="5">
        <v>1532</v>
      </c>
      <c r="C1553" s="39">
        <f t="shared" ca="1" si="207"/>
        <v>3.4484768053204995</v>
      </c>
      <c r="D1553" s="40">
        <f t="shared" ca="1" si="208"/>
        <v>11276057783.841202</v>
      </c>
      <c r="E1553" s="40">
        <f t="shared" ca="1" si="209"/>
        <v>22897073952601.824</v>
      </c>
      <c r="F1553" s="40">
        <f t="shared" ca="1" si="210"/>
        <v>824016361163.97034</v>
      </c>
      <c r="G1553" s="40">
        <f t="shared" ca="1" si="211"/>
        <v>7179014224189.2168</v>
      </c>
      <c r="H1553" s="40">
        <f t="shared" ca="1" si="212"/>
        <v>7179014224189.2168</v>
      </c>
      <c r="I1553" s="40">
        <f t="shared" ca="1" si="213"/>
        <v>1202914495990.1309</v>
      </c>
      <c r="J1553" s="40">
        <f t="shared" ca="1" si="214"/>
        <v>1456451663667.8145</v>
      </c>
      <c r="K1553" s="41">
        <f t="shared" ca="1" si="215"/>
        <v>0.82592133058559913</v>
      </c>
    </row>
    <row r="1554" spans="2:11" ht="15" customHeight="1" x14ac:dyDescent="0.35">
      <c r="B1554" s="5">
        <v>1533</v>
      </c>
      <c r="C1554" s="39">
        <f t="shared" ca="1" si="207"/>
        <v>2.9774674797701981</v>
      </c>
      <c r="D1554" s="40">
        <f t="shared" ca="1" si="208"/>
        <v>3775669087.5692153</v>
      </c>
      <c r="E1554" s="40">
        <f t="shared" ca="1" si="209"/>
        <v>36600666711456.211</v>
      </c>
      <c r="F1554" s="40">
        <f t="shared" ca="1" si="210"/>
        <v>7505059548481.1816</v>
      </c>
      <c r="G1554" s="40">
        <f t="shared" ca="1" si="211"/>
        <v>71898626479489.938</v>
      </c>
      <c r="H1554" s="40">
        <f t="shared" ca="1" si="212"/>
        <v>7505059548481.1816</v>
      </c>
      <c r="I1554" s="40">
        <f t="shared" ca="1" si="213"/>
        <v>21927477664077.637</v>
      </c>
      <c r="J1554" s="40">
        <f t="shared" ca="1" si="214"/>
        <v>1281892416593.0542</v>
      </c>
      <c r="K1554" s="41">
        <f t="shared" ca="1" si="215"/>
        <v>17.105552213465248</v>
      </c>
    </row>
    <row r="1555" spans="2:11" ht="15" customHeight="1" x14ac:dyDescent="0.35">
      <c r="B1555" s="5">
        <v>1534</v>
      </c>
      <c r="C1555" s="39">
        <f t="shared" ca="1" si="207"/>
        <v>2.8131416895115202</v>
      </c>
      <c r="D1555" s="40">
        <f t="shared" ca="1" si="208"/>
        <v>3750504881.0274243</v>
      </c>
      <c r="E1555" s="40">
        <f t="shared" ca="1" si="209"/>
        <v>15606147545182.002</v>
      </c>
      <c r="F1555" s="40">
        <f t="shared" ca="1" si="210"/>
        <v>24025987744318.852</v>
      </c>
      <c r="G1555" s="40">
        <f t="shared" ca="1" si="211"/>
        <v>6903079208471.2871</v>
      </c>
      <c r="H1555" s="40">
        <f t="shared" ca="1" si="212"/>
        <v>24025987744318.852</v>
      </c>
      <c r="I1555" s="40">
        <f t="shared" ca="1" si="213"/>
        <v>7603141079545.7305</v>
      </c>
      <c r="J1555" s="40">
        <f t="shared" ca="1" si="214"/>
        <v>577973748425.37085</v>
      </c>
      <c r="K1555" s="41">
        <f t="shared" ca="1" si="215"/>
        <v>13.154820785995376</v>
      </c>
    </row>
    <row r="1556" spans="2:11" ht="15" customHeight="1" x14ac:dyDescent="0.35">
      <c r="B1556" s="5">
        <v>1535</v>
      </c>
      <c r="C1556" s="39">
        <f t="shared" ca="1" si="207"/>
        <v>3.3781486546911106</v>
      </c>
      <c r="D1556" s="40">
        <f t="shared" ca="1" si="208"/>
        <v>10527644120.166035</v>
      </c>
      <c r="E1556" s="40">
        <f t="shared" ca="1" si="209"/>
        <v>20978610443324</v>
      </c>
      <c r="F1556" s="40">
        <f t="shared" ca="1" si="210"/>
        <v>13184134867188.748</v>
      </c>
      <c r="G1556" s="40">
        <f t="shared" ca="1" si="211"/>
        <v>4739005445464.4551</v>
      </c>
      <c r="H1556" s="40">
        <f t="shared" ca="1" si="212"/>
        <v>13184134867188.748</v>
      </c>
      <c r="I1556" s="40">
        <f t="shared" ca="1" si="213"/>
        <v>354271817468457</v>
      </c>
      <c r="J1556" s="40">
        <f t="shared" ca="1" si="214"/>
        <v>1299410766683.6216</v>
      </c>
      <c r="K1556" s="41">
        <f t="shared" ca="1" si="215"/>
        <v>272.6403586547429</v>
      </c>
    </row>
    <row r="1557" spans="2:11" ht="15" customHeight="1" x14ac:dyDescent="0.35">
      <c r="B1557" s="5">
        <v>1536</v>
      </c>
      <c r="C1557" s="39">
        <f t="shared" ca="1" si="207"/>
        <v>2.754970613962652</v>
      </c>
      <c r="D1557" s="40">
        <f t="shared" ca="1" si="208"/>
        <v>2910017558.4173183</v>
      </c>
      <c r="E1557" s="40">
        <f t="shared" ca="1" si="209"/>
        <v>7400896755170.0684</v>
      </c>
      <c r="F1557" s="40">
        <f t="shared" ca="1" si="210"/>
        <v>1604827058135.6008</v>
      </c>
      <c r="G1557" s="40">
        <f t="shared" ca="1" si="211"/>
        <v>1929868363732.7971</v>
      </c>
      <c r="H1557" s="40">
        <f t="shared" ca="1" si="212"/>
        <v>1604827058135.6008</v>
      </c>
      <c r="I1557" s="40">
        <f t="shared" ca="1" si="213"/>
        <v>42060978196703.156</v>
      </c>
      <c r="J1557" s="40">
        <f t="shared" ca="1" si="214"/>
        <v>916611630450.03076</v>
      </c>
      <c r="K1557" s="41">
        <f t="shared" ca="1" si="215"/>
        <v>45.887458547795632</v>
      </c>
    </row>
    <row r="1558" spans="2:11" ht="15" customHeight="1" x14ac:dyDescent="0.35">
      <c r="B1558" s="5">
        <v>1537</v>
      </c>
      <c r="C1558" s="39">
        <f t="shared" ref="C1558:C1621" ca="1" si="216">MEDIAN(1.8,NORMINV(RAND(),$C$7,$D$7),4.5)</f>
        <v>2.4925870217732609</v>
      </c>
      <c r="D1558" s="40">
        <f t="shared" ref="D1558:D1621" ca="1" si="217">($C$8+RAND()*($D$8-$C$8))*C1558^5</f>
        <v>2247591003.2927179</v>
      </c>
      <c r="E1558" s="40">
        <f t="shared" ref="E1558:E1621" ca="1" si="218">D1558*($C$10+RAND()*($D$10-$C$10))*EXP(NORMINV(RAND(),$C$9,$D$9))*($C$11+RAND()*($D$11-$C$11))</f>
        <v>23641467300834.789</v>
      </c>
      <c r="F1558" s="40">
        <f t="shared" ref="F1558:F1621" ca="1" si="219">EXP(NORMINV(RAND(),$C$12,$D$12))*EXP(NORMINV(RAND(),$C$13,$D$13))</f>
        <v>19655440653609.645</v>
      </c>
      <c r="G1558" s="40">
        <f t="shared" ref="G1558:G1621" ca="1" si="220">EXP(NORMINV(RAND(),$C$14,$D$14))*($C$15+RAND()*($D$15-$C$15))*EXP(NORMINV(RAND(),$C$16,$D$16))/1000000*31536000</f>
        <v>81010482124161.703</v>
      </c>
      <c r="H1558" s="40">
        <f t="shared" ref="H1558:H1621" ca="1" si="221">CHOOSE(RANDBETWEEN(1,3),E1558,F1558,G1558)</f>
        <v>19655440653609.645</v>
      </c>
      <c r="I1558" s="40">
        <f t="shared" ref="I1558:I1621" ca="1" si="222">EXP(NORMINV(RAND(),$C$14,$D$14))*($C$15+RAND()*($D$15-$C$15))*60</f>
        <v>5313743738326.2139</v>
      </c>
      <c r="J1558" s="40">
        <f t="shared" ref="J1558:J1621" ca="1" si="223">($C$17+RAND()*($D$17-$C$17))*($C$18+RAND()*($D$18-$C$18))</f>
        <v>591192915356.94763</v>
      </c>
      <c r="K1558" s="41">
        <f t="shared" ref="K1558:K1621" ca="1" si="224">I1558/J1558</f>
        <v>8.9881722197531868</v>
      </c>
    </row>
    <row r="1559" spans="2:11" ht="15" customHeight="1" x14ac:dyDescent="0.35">
      <c r="B1559" s="5">
        <v>1538</v>
      </c>
      <c r="C1559" s="39">
        <f t="shared" ca="1" si="216"/>
        <v>2.76003973346248</v>
      </c>
      <c r="D1559" s="40">
        <f t="shared" ca="1" si="217"/>
        <v>2817542908.1383877</v>
      </c>
      <c r="E1559" s="40">
        <f t="shared" ca="1" si="218"/>
        <v>23178354735330.578</v>
      </c>
      <c r="F1559" s="40">
        <f t="shared" ca="1" si="219"/>
        <v>3085446405795.1704</v>
      </c>
      <c r="G1559" s="40">
        <f t="shared" ca="1" si="220"/>
        <v>35171538471577.848</v>
      </c>
      <c r="H1559" s="40">
        <f t="shared" ca="1" si="221"/>
        <v>35171538471577.848</v>
      </c>
      <c r="I1559" s="40">
        <f t="shared" ca="1" si="222"/>
        <v>23241366472597.84</v>
      </c>
      <c r="J1559" s="40">
        <f t="shared" ca="1" si="223"/>
        <v>1216974149028.2356</v>
      </c>
      <c r="K1559" s="41">
        <f t="shared" ca="1" si="224"/>
        <v>19.097666529035372</v>
      </c>
    </row>
    <row r="1560" spans="2:11" ht="15" customHeight="1" x14ac:dyDescent="0.35">
      <c r="B1560" s="5">
        <v>1539</v>
      </c>
      <c r="C1560" s="39">
        <f t="shared" ca="1" si="216"/>
        <v>3.4286593019804945</v>
      </c>
      <c r="D1560" s="40">
        <f t="shared" ca="1" si="217"/>
        <v>10760352972.274452</v>
      </c>
      <c r="E1560" s="40">
        <f t="shared" ca="1" si="218"/>
        <v>24680802012460.418</v>
      </c>
      <c r="F1560" s="40">
        <f t="shared" ca="1" si="219"/>
        <v>2398265602621.519</v>
      </c>
      <c r="G1560" s="40">
        <f t="shared" ca="1" si="220"/>
        <v>2488831419370.5586</v>
      </c>
      <c r="H1560" s="40">
        <f t="shared" ca="1" si="221"/>
        <v>24680802012460.418</v>
      </c>
      <c r="I1560" s="40">
        <f t="shared" ca="1" si="222"/>
        <v>46034629530148.773</v>
      </c>
      <c r="J1560" s="40">
        <f t="shared" ca="1" si="223"/>
        <v>831720605160.26086</v>
      </c>
      <c r="K1560" s="41">
        <f t="shared" ca="1" si="224"/>
        <v>55.348670268038568</v>
      </c>
    </row>
    <row r="1561" spans="2:11" ht="15" customHeight="1" x14ac:dyDescent="0.35">
      <c r="B1561" s="5">
        <v>1540</v>
      </c>
      <c r="C1561" s="39">
        <f t="shared" ca="1" si="216"/>
        <v>2.8811042543333909</v>
      </c>
      <c r="D1561" s="40">
        <f t="shared" ca="1" si="217"/>
        <v>4432922683.906127</v>
      </c>
      <c r="E1561" s="40">
        <f t="shared" ca="1" si="218"/>
        <v>35055085612632.07</v>
      </c>
      <c r="F1561" s="40">
        <f t="shared" ca="1" si="219"/>
        <v>3813368779531.1641</v>
      </c>
      <c r="G1561" s="40">
        <f t="shared" ca="1" si="220"/>
        <v>11455143285812.061</v>
      </c>
      <c r="H1561" s="40">
        <f t="shared" ca="1" si="221"/>
        <v>35055085612632.07</v>
      </c>
      <c r="I1561" s="40">
        <f t="shared" ca="1" si="222"/>
        <v>578373941280.5542</v>
      </c>
      <c r="J1561" s="40">
        <f t="shared" ca="1" si="223"/>
        <v>1082610260592.9929</v>
      </c>
      <c r="K1561" s="41">
        <f t="shared" ca="1" si="224"/>
        <v>0.53424021767884733</v>
      </c>
    </row>
    <row r="1562" spans="2:11" ht="15" customHeight="1" x14ac:dyDescent="0.35">
      <c r="B1562" s="5">
        <v>1541</v>
      </c>
      <c r="C1562" s="39">
        <f t="shared" ca="1" si="216"/>
        <v>2.6038644652928604</v>
      </c>
      <c r="D1562" s="40">
        <f t="shared" ca="1" si="217"/>
        <v>2583715216.4832039</v>
      </c>
      <c r="E1562" s="40">
        <f t="shared" ca="1" si="218"/>
        <v>6551026961604.8574</v>
      </c>
      <c r="F1562" s="40">
        <f t="shared" ca="1" si="219"/>
        <v>6243933274515.2578</v>
      </c>
      <c r="G1562" s="40">
        <f t="shared" ca="1" si="220"/>
        <v>10222660923547.621</v>
      </c>
      <c r="H1562" s="40">
        <f t="shared" ca="1" si="221"/>
        <v>6243933274515.2578</v>
      </c>
      <c r="I1562" s="40">
        <f t="shared" ca="1" si="222"/>
        <v>7433781478365.5068</v>
      </c>
      <c r="J1562" s="40">
        <f t="shared" ca="1" si="223"/>
        <v>1309825762584.178</v>
      </c>
      <c r="K1562" s="41">
        <f t="shared" ca="1" si="224"/>
        <v>5.6753972098542862</v>
      </c>
    </row>
    <row r="1563" spans="2:11" ht="15" customHeight="1" x14ac:dyDescent="0.35">
      <c r="B1563" s="5">
        <v>1542</v>
      </c>
      <c r="C1563" s="39">
        <f t="shared" ca="1" si="216"/>
        <v>2.8019812128027803</v>
      </c>
      <c r="D1563" s="40">
        <f t="shared" ca="1" si="217"/>
        <v>3575971792.9887938</v>
      </c>
      <c r="E1563" s="40">
        <f t="shared" ca="1" si="218"/>
        <v>41089374217128.984</v>
      </c>
      <c r="F1563" s="40">
        <f t="shared" ca="1" si="219"/>
        <v>7384438118275.9033</v>
      </c>
      <c r="G1563" s="40">
        <f t="shared" ca="1" si="220"/>
        <v>4773514376686.2324</v>
      </c>
      <c r="H1563" s="40">
        <f t="shared" ca="1" si="221"/>
        <v>4773514376686.2324</v>
      </c>
      <c r="I1563" s="40">
        <f t="shared" ca="1" si="222"/>
        <v>34338699918154.688</v>
      </c>
      <c r="J1563" s="40">
        <f t="shared" ca="1" si="223"/>
        <v>572094873188.05225</v>
      </c>
      <c r="K1563" s="41">
        <f t="shared" ca="1" si="224"/>
        <v>60.022736660440721</v>
      </c>
    </row>
    <row r="1564" spans="2:11" ht="15" customHeight="1" x14ac:dyDescent="0.35">
      <c r="B1564" s="5">
        <v>1543</v>
      </c>
      <c r="C1564" s="39">
        <f t="shared" ca="1" si="216"/>
        <v>2.3753215312996696</v>
      </c>
      <c r="D1564" s="40">
        <f t="shared" ca="1" si="217"/>
        <v>1662024800.344326</v>
      </c>
      <c r="E1564" s="40">
        <f t="shared" ca="1" si="218"/>
        <v>1848496571775.7627</v>
      </c>
      <c r="F1564" s="40">
        <f t="shared" ca="1" si="219"/>
        <v>8978692084806.2695</v>
      </c>
      <c r="G1564" s="40">
        <f t="shared" ca="1" si="220"/>
        <v>8661442903951.2109</v>
      </c>
      <c r="H1564" s="40">
        <f t="shared" ca="1" si="221"/>
        <v>1848496571775.7627</v>
      </c>
      <c r="I1564" s="40">
        <f t="shared" ca="1" si="222"/>
        <v>899750501183.18762</v>
      </c>
      <c r="J1564" s="40">
        <f t="shared" ca="1" si="223"/>
        <v>1415671795583.6948</v>
      </c>
      <c r="K1564" s="41">
        <f t="shared" ca="1" si="224"/>
        <v>0.63556433347759955</v>
      </c>
    </row>
    <row r="1565" spans="2:11" ht="15" customHeight="1" x14ac:dyDescent="0.35">
      <c r="B1565" s="5">
        <v>1544</v>
      </c>
      <c r="C1565" s="39">
        <f t="shared" ca="1" si="216"/>
        <v>2.966003765107831</v>
      </c>
      <c r="D1565" s="40">
        <f t="shared" ca="1" si="217"/>
        <v>4021394732.9977436</v>
      </c>
      <c r="E1565" s="40">
        <f t="shared" ca="1" si="218"/>
        <v>41919116357075.719</v>
      </c>
      <c r="F1565" s="40">
        <f t="shared" ca="1" si="219"/>
        <v>889538832732.90063</v>
      </c>
      <c r="G1565" s="40">
        <f t="shared" ca="1" si="220"/>
        <v>37625167749806.039</v>
      </c>
      <c r="H1565" s="40">
        <f t="shared" ca="1" si="221"/>
        <v>889538832732.90063</v>
      </c>
      <c r="I1565" s="40">
        <f t="shared" ca="1" si="222"/>
        <v>1183840914764.7944</v>
      </c>
      <c r="J1565" s="40">
        <f t="shared" ca="1" si="223"/>
        <v>884786743215.62122</v>
      </c>
      <c r="K1565" s="41">
        <f t="shared" ca="1" si="224"/>
        <v>1.3379957643378639</v>
      </c>
    </row>
    <row r="1566" spans="2:11" ht="15" customHeight="1" x14ac:dyDescent="0.35">
      <c r="B1566" s="5">
        <v>1545</v>
      </c>
      <c r="C1566" s="39">
        <f t="shared" ca="1" si="216"/>
        <v>3.0039811075832565</v>
      </c>
      <c r="D1566" s="40">
        <f t="shared" ca="1" si="217"/>
        <v>5457338586.8310385</v>
      </c>
      <c r="E1566" s="40">
        <f t="shared" ca="1" si="218"/>
        <v>39095015493111.492</v>
      </c>
      <c r="F1566" s="40">
        <f t="shared" ca="1" si="219"/>
        <v>821331138758.00415</v>
      </c>
      <c r="G1566" s="40">
        <f t="shared" ca="1" si="220"/>
        <v>5526744725349.7588</v>
      </c>
      <c r="H1566" s="40">
        <f t="shared" ca="1" si="221"/>
        <v>39095015493111.492</v>
      </c>
      <c r="I1566" s="40">
        <f t="shared" ca="1" si="222"/>
        <v>11328159694277.938</v>
      </c>
      <c r="J1566" s="40">
        <f t="shared" ca="1" si="223"/>
        <v>737895744230.61462</v>
      </c>
      <c r="K1566" s="41">
        <f t="shared" ca="1" si="224"/>
        <v>15.351978626858088</v>
      </c>
    </row>
    <row r="1567" spans="2:11" ht="15" customHeight="1" x14ac:dyDescent="0.35">
      <c r="B1567" s="5">
        <v>1546</v>
      </c>
      <c r="C1567" s="39">
        <f t="shared" ca="1" si="216"/>
        <v>3.3336212785993693</v>
      </c>
      <c r="D1567" s="40">
        <f t="shared" ca="1" si="217"/>
        <v>7860504678.4577904</v>
      </c>
      <c r="E1567" s="40">
        <f t="shared" ca="1" si="218"/>
        <v>32399647410087.703</v>
      </c>
      <c r="F1567" s="40">
        <f t="shared" ca="1" si="219"/>
        <v>5126920956941.5068</v>
      </c>
      <c r="G1567" s="40">
        <f t="shared" ca="1" si="220"/>
        <v>937370369742.76306</v>
      </c>
      <c r="H1567" s="40">
        <f t="shared" ca="1" si="221"/>
        <v>5126920956941.5068</v>
      </c>
      <c r="I1567" s="40">
        <f t="shared" ca="1" si="222"/>
        <v>2998889731408.9468</v>
      </c>
      <c r="J1567" s="40">
        <f t="shared" ca="1" si="223"/>
        <v>1075426792970.6085</v>
      </c>
      <c r="K1567" s="41">
        <f t="shared" ca="1" si="224"/>
        <v>2.7885577623793742</v>
      </c>
    </row>
    <row r="1568" spans="2:11" ht="15" customHeight="1" x14ac:dyDescent="0.35">
      <c r="B1568" s="5">
        <v>1547</v>
      </c>
      <c r="C1568" s="39">
        <f t="shared" ca="1" si="216"/>
        <v>3.3580854287490718</v>
      </c>
      <c r="D1568" s="40">
        <f t="shared" ca="1" si="217"/>
        <v>7671808805.0141878</v>
      </c>
      <c r="E1568" s="40">
        <f t="shared" ca="1" si="218"/>
        <v>16392745500018.652</v>
      </c>
      <c r="F1568" s="40">
        <f t="shared" ca="1" si="219"/>
        <v>2709469619663.4912</v>
      </c>
      <c r="G1568" s="40">
        <f t="shared" ca="1" si="220"/>
        <v>1516119145370.7524</v>
      </c>
      <c r="H1568" s="40">
        <f t="shared" ca="1" si="221"/>
        <v>2709469619663.4912</v>
      </c>
      <c r="I1568" s="40">
        <f t="shared" ca="1" si="222"/>
        <v>4666894808250.9258</v>
      </c>
      <c r="J1568" s="40">
        <f t="shared" ca="1" si="223"/>
        <v>1793919797367.2358</v>
      </c>
      <c r="K1568" s="41">
        <f t="shared" ca="1" si="224"/>
        <v>2.6015069431197984</v>
      </c>
    </row>
    <row r="1569" spans="2:11" ht="15" customHeight="1" x14ac:dyDescent="0.35">
      <c r="B1569" s="5">
        <v>1548</v>
      </c>
      <c r="C1569" s="39">
        <f t="shared" ca="1" si="216"/>
        <v>2.9389779842778632</v>
      </c>
      <c r="D1569" s="40">
        <f t="shared" ca="1" si="217"/>
        <v>5175853936.3460741</v>
      </c>
      <c r="E1569" s="40">
        <f t="shared" ca="1" si="218"/>
        <v>13652887777942.605</v>
      </c>
      <c r="F1569" s="40">
        <f t="shared" ca="1" si="219"/>
        <v>5888504790174.1172</v>
      </c>
      <c r="G1569" s="40">
        <f t="shared" ca="1" si="220"/>
        <v>25613522387864.156</v>
      </c>
      <c r="H1569" s="40">
        <f t="shared" ca="1" si="221"/>
        <v>5888504790174.1172</v>
      </c>
      <c r="I1569" s="40">
        <f t="shared" ca="1" si="222"/>
        <v>1373314171643.8831</v>
      </c>
      <c r="J1569" s="40">
        <f t="shared" ca="1" si="223"/>
        <v>563756654625.85901</v>
      </c>
      <c r="K1569" s="41">
        <f t="shared" ca="1" si="224"/>
        <v>2.4360052522223308</v>
      </c>
    </row>
    <row r="1570" spans="2:11" ht="15" customHeight="1" x14ac:dyDescent="0.35">
      <c r="B1570" s="5">
        <v>1549</v>
      </c>
      <c r="C1570" s="39">
        <f t="shared" ca="1" si="216"/>
        <v>2.5360767135422315</v>
      </c>
      <c r="D1570" s="40">
        <f t="shared" ca="1" si="217"/>
        <v>1969655192.3761599</v>
      </c>
      <c r="E1570" s="40">
        <f t="shared" ca="1" si="218"/>
        <v>4816830803170.8682</v>
      </c>
      <c r="F1570" s="40">
        <f t="shared" ca="1" si="219"/>
        <v>2215383440825.2393</v>
      </c>
      <c r="G1570" s="40">
        <f t="shared" ca="1" si="220"/>
        <v>4734372198652.6055</v>
      </c>
      <c r="H1570" s="40">
        <f t="shared" ca="1" si="221"/>
        <v>4816830803170.8682</v>
      </c>
      <c r="I1570" s="40">
        <f t="shared" ca="1" si="222"/>
        <v>843329698130.68933</v>
      </c>
      <c r="J1570" s="40">
        <f t="shared" ca="1" si="223"/>
        <v>724174650140.13428</v>
      </c>
      <c r="K1570" s="41">
        <f t="shared" ca="1" si="224"/>
        <v>1.1645391038853645</v>
      </c>
    </row>
    <row r="1571" spans="2:11" ht="15" customHeight="1" x14ac:dyDescent="0.35">
      <c r="B1571" s="5">
        <v>1550</v>
      </c>
      <c r="C1571" s="39">
        <f t="shared" ca="1" si="216"/>
        <v>3.0337298117174227</v>
      </c>
      <c r="D1571" s="40">
        <f t="shared" ca="1" si="217"/>
        <v>4810342765.4482307</v>
      </c>
      <c r="E1571" s="40">
        <f t="shared" ca="1" si="218"/>
        <v>28210008477890.469</v>
      </c>
      <c r="F1571" s="40">
        <f t="shared" ca="1" si="219"/>
        <v>1170833037606.1553</v>
      </c>
      <c r="G1571" s="40">
        <f t="shared" ca="1" si="220"/>
        <v>14782936684577.402</v>
      </c>
      <c r="H1571" s="40">
        <f t="shared" ca="1" si="221"/>
        <v>1170833037606.1553</v>
      </c>
      <c r="I1571" s="40">
        <f t="shared" ca="1" si="222"/>
        <v>3558576626956.0903</v>
      </c>
      <c r="J1571" s="40">
        <f t="shared" ca="1" si="223"/>
        <v>1025504627328.0431</v>
      </c>
      <c r="K1571" s="41">
        <f t="shared" ca="1" si="224"/>
        <v>3.4700736906745879</v>
      </c>
    </row>
    <row r="1572" spans="2:11" ht="15" customHeight="1" x14ac:dyDescent="0.35">
      <c r="B1572" s="5">
        <v>1551</v>
      </c>
      <c r="C1572" s="39">
        <f t="shared" ca="1" si="216"/>
        <v>3.0395335745951177</v>
      </c>
      <c r="D1572" s="40">
        <f t="shared" ca="1" si="217"/>
        <v>5399991589.2837687</v>
      </c>
      <c r="E1572" s="40">
        <f t="shared" ca="1" si="218"/>
        <v>10987565103286.072</v>
      </c>
      <c r="F1572" s="40">
        <f t="shared" ca="1" si="219"/>
        <v>13557888911139.783</v>
      </c>
      <c r="G1572" s="40">
        <f t="shared" ca="1" si="220"/>
        <v>14712870253609.975</v>
      </c>
      <c r="H1572" s="40">
        <f t="shared" ca="1" si="221"/>
        <v>14712870253609.975</v>
      </c>
      <c r="I1572" s="40">
        <f t="shared" ca="1" si="222"/>
        <v>7296761611236.4307</v>
      </c>
      <c r="J1572" s="40">
        <f t="shared" ca="1" si="223"/>
        <v>1183645023737.9365</v>
      </c>
      <c r="K1572" s="41">
        <f t="shared" ca="1" si="224"/>
        <v>6.1646536460680981</v>
      </c>
    </row>
    <row r="1573" spans="2:11" ht="15" customHeight="1" x14ac:dyDescent="0.35">
      <c r="B1573" s="5">
        <v>1552</v>
      </c>
      <c r="C1573" s="39">
        <f t="shared" ca="1" si="216"/>
        <v>2.9269346026207268</v>
      </c>
      <c r="D1573" s="40">
        <f t="shared" ca="1" si="217"/>
        <v>4971937530.4805927</v>
      </c>
      <c r="E1573" s="40">
        <f t="shared" ca="1" si="218"/>
        <v>40509568426489.484</v>
      </c>
      <c r="F1573" s="40">
        <f t="shared" ca="1" si="219"/>
        <v>431309868102.04932</v>
      </c>
      <c r="G1573" s="40">
        <f t="shared" ca="1" si="220"/>
        <v>17306197113193.881</v>
      </c>
      <c r="H1573" s="40">
        <f t="shared" ca="1" si="221"/>
        <v>17306197113193.881</v>
      </c>
      <c r="I1573" s="40">
        <f t="shared" ca="1" si="222"/>
        <v>14098801523164.148</v>
      </c>
      <c r="J1573" s="40">
        <f t="shared" ca="1" si="223"/>
        <v>1376188747313.2188</v>
      </c>
      <c r="K1573" s="41">
        <f t="shared" ca="1" si="224"/>
        <v>10.244816745297278</v>
      </c>
    </row>
    <row r="1574" spans="2:11" ht="15" customHeight="1" x14ac:dyDescent="0.35">
      <c r="B1574" s="5">
        <v>1553</v>
      </c>
      <c r="C1574" s="39">
        <f t="shared" ca="1" si="216"/>
        <v>2.6905557003220082</v>
      </c>
      <c r="D1574" s="40">
        <f t="shared" ca="1" si="217"/>
        <v>3158470441.2279644</v>
      </c>
      <c r="E1574" s="40">
        <f t="shared" ca="1" si="218"/>
        <v>8383171812917.4668</v>
      </c>
      <c r="F1574" s="40">
        <f t="shared" ca="1" si="219"/>
        <v>8393429146897.1045</v>
      </c>
      <c r="G1574" s="40">
        <f t="shared" ca="1" si="220"/>
        <v>3441240260643.7534</v>
      </c>
      <c r="H1574" s="40">
        <f t="shared" ca="1" si="221"/>
        <v>8393429146897.1045</v>
      </c>
      <c r="I1574" s="40">
        <f t="shared" ca="1" si="222"/>
        <v>77442128283642.719</v>
      </c>
      <c r="J1574" s="40">
        <f t="shared" ca="1" si="223"/>
        <v>650949788557.39368</v>
      </c>
      <c r="K1574" s="41">
        <f t="shared" ca="1" si="224"/>
        <v>118.96789836166406</v>
      </c>
    </row>
    <row r="1575" spans="2:11" ht="15" customHeight="1" x14ac:dyDescent="0.35">
      <c r="B1575" s="5">
        <v>1554</v>
      </c>
      <c r="C1575" s="39">
        <f t="shared" ca="1" si="216"/>
        <v>3.5511522612525197</v>
      </c>
      <c r="D1575" s="40">
        <f t="shared" ca="1" si="217"/>
        <v>12283363485.722466</v>
      </c>
      <c r="E1575" s="40">
        <f t="shared" ca="1" si="218"/>
        <v>21047074079406.988</v>
      </c>
      <c r="F1575" s="40">
        <f t="shared" ca="1" si="219"/>
        <v>2800149181433.9985</v>
      </c>
      <c r="G1575" s="40">
        <f t="shared" ca="1" si="220"/>
        <v>1673588170623.6868</v>
      </c>
      <c r="H1575" s="40">
        <f t="shared" ca="1" si="221"/>
        <v>1673588170623.6868</v>
      </c>
      <c r="I1575" s="40">
        <f t="shared" ca="1" si="222"/>
        <v>123662881472743.09</v>
      </c>
      <c r="J1575" s="40">
        <f t="shared" ca="1" si="223"/>
        <v>702524321977.88232</v>
      </c>
      <c r="K1575" s="41">
        <f t="shared" ca="1" si="224"/>
        <v>176.02647709702552</v>
      </c>
    </row>
    <row r="1576" spans="2:11" ht="15" customHeight="1" x14ac:dyDescent="0.35">
      <c r="B1576" s="5">
        <v>1555</v>
      </c>
      <c r="C1576" s="39">
        <f t="shared" ca="1" si="216"/>
        <v>2.5351608533048537</v>
      </c>
      <c r="D1576" s="40">
        <f t="shared" ca="1" si="217"/>
        <v>1908377233.2820466</v>
      </c>
      <c r="E1576" s="40">
        <f t="shared" ca="1" si="218"/>
        <v>7226972782812.4922</v>
      </c>
      <c r="F1576" s="40">
        <f t="shared" ca="1" si="219"/>
        <v>544372514953.61047</v>
      </c>
      <c r="G1576" s="40">
        <f t="shared" ca="1" si="220"/>
        <v>352852257044.31958</v>
      </c>
      <c r="H1576" s="40">
        <f t="shared" ca="1" si="221"/>
        <v>352852257044.31958</v>
      </c>
      <c r="I1576" s="40">
        <f t="shared" ca="1" si="222"/>
        <v>1001407740832.759</v>
      </c>
      <c r="J1576" s="40">
        <f t="shared" ca="1" si="223"/>
        <v>951228003328.12427</v>
      </c>
      <c r="K1576" s="41">
        <f t="shared" ca="1" si="224"/>
        <v>1.0527525864767098</v>
      </c>
    </row>
    <row r="1577" spans="2:11" ht="15" customHeight="1" x14ac:dyDescent="0.35">
      <c r="B1577" s="5">
        <v>1556</v>
      </c>
      <c r="C1577" s="39">
        <f t="shared" ca="1" si="216"/>
        <v>2.9732559795163525</v>
      </c>
      <c r="D1577" s="40">
        <f t="shared" ca="1" si="217"/>
        <v>3786949664.3223867</v>
      </c>
      <c r="E1577" s="40">
        <f t="shared" ca="1" si="218"/>
        <v>69858325860074.469</v>
      </c>
      <c r="F1577" s="40">
        <f t="shared" ca="1" si="219"/>
        <v>490003060063.78717</v>
      </c>
      <c r="G1577" s="40">
        <f t="shared" ca="1" si="220"/>
        <v>33898328627093.012</v>
      </c>
      <c r="H1577" s="40">
        <f t="shared" ca="1" si="221"/>
        <v>490003060063.78717</v>
      </c>
      <c r="I1577" s="40">
        <f t="shared" ca="1" si="222"/>
        <v>10597566062544.902</v>
      </c>
      <c r="J1577" s="40">
        <f t="shared" ca="1" si="223"/>
        <v>1396810394094.6743</v>
      </c>
      <c r="K1577" s="41">
        <f t="shared" ca="1" si="224"/>
        <v>7.5869753742873502</v>
      </c>
    </row>
    <row r="1578" spans="2:11" ht="15" customHeight="1" x14ac:dyDescent="0.35">
      <c r="B1578" s="5">
        <v>1557</v>
      </c>
      <c r="C1578" s="39">
        <f t="shared" ca="1" si="216"/>
        <v>1.9211838360303408</v>
      </c>
      <c r="D1578" s="40">
        <f t="shared" ca="1" si="217"/>
        <v>493877057.76333505</v>
      </c>
      <c r="E1578" s="40">
        <f t="shared" ca="1" si="218"/>
        <v>3432456777344.6724</v>
      </c>
      <c r="F1578" s="40">
        <f t="shared" ca="1" si="219"/>
        <v>995342414545.45349</v>
      </c>
      <c r="G1578" s="40">
        <f t="shared" ca="1" si="220"/>
        <v>1955339597011.0413</v>
      </c>
      <c r="H1578" s="40">
        <f t="shared" ca="1" si="221"/>
        <v>3432456777344.6724</v>
      </c>
      <c r="I1578" s="40">
        <f t="shared" ca="1" si="222"/>
        <v>12073870903013.111</v>
      </c>
      <c r="J1578" s="40">
        <f t="shared" ca="1" si="223"/>
        <v>1422756635385.9473</v>
      </c>
      <c r="K1578" s="41">
        <f t="shared" ca="1" si="224"/>
        <v>8.4862516910616037</v>
      </c>
    </row>
    <row r="1579" spans="2:11" ht="15" customHeight="1" x14ac:dyDescent="0.35">
      <c r="B1579" s="5">
        <v>1558</v>
      </c>
      <c r="C1579" s="39">
        <f t="shared" ca="1" si="216"/>
        <v>3.0616479459398458</v>
      </c>
      <c r="D1579" s="40">
        <f t="shared" ca="1" si="217"/>
        <v>6370844539.8190117</v>
      </c>
      <c r="E1579" s="40">
        <f t="shared" ca="1" si="218"/>
        <v>27477582533084.82</v>
      </c>
      <c r="F1579" s="40">
        <f t="shared" ca="1" si="219"/>
        <v>3403741266121.4023</v>
      </c>
      <c r="G1579" s="40">
        <f t="shared" ca="1" si="220"/>
        <v>22377987398220.324</v>
      </c>
      <c r="H1579" s="40">
        <f t="shared" ca="1" si="221"/>
        <v>27477582533084.82</v>
      </c>
      <c r="I1579" s="40">
        <f t="shared" ca="1" si="222"/>
        <v>3500128110835.8755</v>
      </c>
      <c r="J1579" s="40">
        <f t="shared" ca="1" si="223"/>
        <v>1170219502294.0767</v>
      </c>
      <c r="K1579" s="41">
        <f t="shared" ca="1" si="224"/>
        <v>2.9910013497248071</v>
      </c>
    </row>
    <row r="1580" spans="2:11" ht="15" customHeight="1" x14ac:dyDescent="0.35">
      <c r="B1580" s="5">
        <v>1559</v>
      </c>
      <c r="C1580" s="39">
        <f t="shared" ca="1" si="216"/>
        <v>2.8513113555786012</v>
      </c>
      <c r="D1580" s="40">
        <f t="shared" ca="1" si="217"/>
        <v>4206443628.2487822</v>
      </c>
      <c r="E1580" s="40">
        <f t="shared" ca="1" si="218"/>
        <v>15152219856154.221</v>
      </c>
      <c r="F1580" s="40">
        <f t="shared" ca="1" si="219"/>
        <v>5451011147536.9395</v>
      </c>
      <c r="G1580" s="40">
        <f t="shared" ca="1" si="220"/>
        <v>11097462024845.846</v>
      </c>
      <c r="H1580" s="40">
        <f t="shared" ca="1" si="221"/>
        <v>5451011147536.9395</v>
      </c>
      <c r="I1580" s="40">
        <f t="shared" ca="1" si="222"/>
        <v>14331730187811.066</v>
      </c>
      <c r="J1580" s="40">
        <f t="shared" ca="1" si="223"/>
        <v>983178652122.81494</v>
      </c>
      <c r="K1580" s="41">
        <f t="shared" ca="1" si="224"/>
        <v>14.576933863308497</v>
      </c>
    </row>
    <row r="1581" spans="2:11" ht="15" customHeight="1" x14ac:dyDescent="0.35">
      <c r="B1581" s="5">
        <v>1560</v>
      </c>
      <c r="C1581" s="39">
        <f t="shared" ca="1" si="216"/>
        <v>3.251712172513173</v>
      </c>
      <c r="D1581" s="40">
        <f t="shared" ca="1" si="217"/>
        <v>7293052546.7668133</v>
      </c>
      <c r="E1581" s="40">
        <f t="shared" ca="1" si="218"/>
        <v>1104785818344.2017</v>
      </c>
      <c r="F1581" s="40">
        <f t="shared" ca="1" si="219"/>
        <v>1830917988390.8501</v>
      </c>
      <c r="G1581" s="40">
        <f t="shared" ca="1" si="220"/>
        <v>2191695270447.7668</v>
      </c>
      <c r="H1581" s="40">
        <f t="shared" ca="1" si="221"/>
        <v>2191695270447.7668</v>
      </c>
      <c r="I1581" s="40">
        <f t="shared" ca="1" si="222"/>
        <v>1055823323824.5604</v>
      </c>
      <c r="J1581" s="40">
        <f t="shared" ca="1" si="223"/>
        <v>1223614333341.5767</v>
      </c>
      <c r="K1581" s="41">
        <f t="shared" ca="1" si="224"/>
        <v>0.86287263482865995</v>
      </c>
    </row>
    <row r="1582" spans="2:11" ht="15" customHeight="1" x14ac:dyDescent="0.35">
      <c r="B1582" s="5">
        <v>1561</v>
      </c>
      <c r="C1582" s="39">
        <f t="shared" ca="1" si="216"/>
        <v>3.2700700999949106</v>
      </c>
      <c r="D1582" s="40">
        <f t="shared" ca="1" si="217"/>
        <v>8194128622.3544817</v>
      </c>
      <c r="E1582" s="40">
        <f t="shared" ca="1" si="218"/>
        <v>4509597918345.6982</v>
      </c>
      <c r="F1582" s="40">
        <f t="shared" ca="1" si="219"/>
        <v>2754990588626.1484</v>
      </c>
      <c r="G1582" s="40">
        <f t="shared" ca="1" si="220"/>
        <v>25488705263093.555</v>
      </c>
      <c r="H1582" s="40">
        <f t="shared" ca="1" si="221"/>
        <v>2754990588626.1484</v>
      </c>
      <c r="I1582" s="40">
        <f t="shared" ca="1" si="222"/>
        <v>2519228441127.9961</v>
      </c>
      <c r="J1582" s="40">
        <f t="shared" ca="1" si="223"/>
        <v>592414425940.69482</v>
      </c>
      <c r="K1582" s="41">
        <f t="shared" ca="1" si="224"/>
        <v>4.2524765279436156</v>
      </c>
    </row>
    <row r="1583" spans="2:11" ht="15" customHeight="1" x14ac:dyDescent="0.35">
      <c r="B1583" s="5">
        <v>1562</v>
      </c>
      <c r="C1583" s="39">
        <f t="shared" ca="1" si="216"/>
        <v>2.470921853843866</v>
      </c>
      <c r="D1583" s="40">
        <f t="shared" ca="1" si="217"/>
        <v>1688146626.9815466</v>
      </c>
      <c r="E1583" s="40">
        <f t="shared" ca="1" si="218"/>
        <v>9244643225852.0117</v>
      </c>
      <c r="F1583" s="40">
        <f t="shared" ca="1" si="219"/>
        <v>7718788928701.1934</v>
      </c>
      <c r="G1583" s="40">
        <f t="shared" ca="1" si="220"/>
        <v>4037917105680.3618</v>
      </c>
      <c r="H1583" s="40">
        <f t="shared" ca="1" si="221"/>
        <v>9244643225852.0117</v>
      </c>
      <c r="I1583" s="40">
        <f t="shared" ca="1" si="222"/>
        <v>10838164523438.814</v>
      </c>
      <c r="J1583" s="40">
        <f t="shared" ca="1" si="223"/>
        <v>1294133905963.1482</v>
      </c>
      <c r="K1583" s="41">
        <f t="shared" ca="1" si="224"/>
        <v>8.3748400945979409</v>
      </c>
    </row>
    <row r="1584" spans="2:11" ht="15" customHeight="1" x14ac:dyDescent="0.35">
      <c r="B1584" s="5">
        <v>1563</v>
      </c>
      <c r="C1584" s="39">
        <f t="shared" ca="1" si="216"/>
        <v>3.0721602422230534</v>
      </c>
      <c r="D1584" s="40">
        <f t="shared" ca="1" si="217"/>
        <v>5315176551.4425468</v>
      </c>
      <c r="E1584" s="40">
        <f t="shared" ca="1" si="218"/>
        <v>24547135507172.648</v>
      </c>
      <c r="F1584" s="40">
        <f t="shared" ca="1" si="219"/>
        <v>258766682479.33435</v>
      </c>
      <c r="G1584" s="40">
        <f t="shared" ca="1" si="220"/>
        <v>10326100350563.939</v>
      </c>
      <c r="H1584" s="40">
        <f t="shared" ca="1" si="221"/>
        <v>24547135507172.648</v>
      </c>
      <c r="I1584" s="40">
        <f t="shared" ca="1" si="222"/>
        <v>2467406550086.8735</v>
      </c>
      <c r="J1584" s="40">
        <f t="shared" ca="1" si="223"/>
        <v>889299419825.54285</v>
      </c>
      <c r="K1584" s="41">
        <f t="shared" ca="1" si="224"/>
        <v>2.7745509499724106</v>
      </c>
    </row>
    <row r="1585" spans="2:11" ht="15" customHeight="1" x14ac:dyDescent="0.35">
      <c r="B1585" s="5">
        <v>1564</v>
      </c>
      <c r="C1585" s="39">
        <f t="shared" ca="1" si="216"/>
        <v>3.3289009310539428</v>
      </c>
      <c r="D1585" s="40">
        <f t="shared" ca="1" si="217"/>
        <v>8608800248.7273006</v>
      </c>
      <c r="E1585" s="40">
        <f t="shared" ca="1" si="218"/>
        <v>27351473576109.215</v>
      </c>
      <c r="F1585" s="40">
        <f t="shared" ca="1" si="219"/>
        <v>1909205332188.6074</v>
      </c>
      <c r="G1585" s="40">
        <f t="shared" ca="1" si="220"/>
        <v>29259439006131.887</v>
      </c>
      <c r="H1585" s="40">
        <f t="shared" ca="1" si="221"/>
        <v>29259439006131.887</v>
      </c>
      <c r="I1585" s="40">
        <f t="shared" ca="1" si="222"/>
        <v>61646895425687.516</v>
      </c>
      <c r="J1585" s="40">
        <f t="shared" ca="1" si="223"/>
        <v>1197977442469.5334</v>
      </c>
      <c r="K1585" s="41">
        <f t="shared" ca="1" si="224"/>
        <v>51.459145423145394</v>
      </c>
    </row>
    <row r="1586" spans="2:11" ht="15" customHeight="1" x14ac:dyDescent="0.35">
      <c r="B1586" s="5">
        <v>1565</v>
      </c>
      <c r="C1586" s="39">
        <f t="shared" ca="1" si="216"/>
        <v>3.2709918756899246</v>
      </c>
      <c r="D1586" s="40">
        <f t="shared" ca="1" si="217"/>
        <v>6909010731.7365837</v>
      </c>
      <c r="E1586" s="40">
        <f t="shared" ca="1" si="218"/>
        <v>12937157850783.996</v>
      </c>
      <c r="F1586" s="40">
        <f t="shared" ca="1" si="219"/>
        <v>7727643651076.249</v>
      </c>
      <c r="G1586" s="40">
        <f t="shared" ca="1" si="220"/>
        <v>6237105632148.3828</v>
      </c>
      <c r="H1586" s="40">
        <f t="shared" ca="1" si="221"/>
        <v>7727643651076.249</v>
      </c>
      <c r="I1586" s="40">
        <f t="shared" ca="1" si="222"/>
        <v>19009692260672.176</v>
      </c>
      <c r="J1586" s="40">
        <f t="shared" ca="1" si="223"/>
        <v>966838288333.62878</v>
      </c>
      <c r="K1586" s="41">
        <f t="shared" ca="1" si="224"/>
        <v>19.66170815745814</v>
      </c>
    </row>
    <row r="1587" spans="2:11" ht="15" customHeight="1" x14ac:dyDescent="0.35">
      <c r="B1587" s="5">
        <v>1566</v>
      </c>
      <c r="C1587" s="39">
        <f t="shared" ca="1" si="216"/>
        <v>3.2298134440879216</v>
      </c>
      <c r="D1587" s="40">
        <f t="shared" ca="1" si="217"/>
        <v>7090551818.996974</v>
      </c>
      <c r="E1587" s="40">
        <f t="shared" ca="1" si="218"/>
        <v>50583373957745.398</v>
      </c>
      <c r="F1587" s="40">
        <f t="shared" ca="1" si="219"/>
        <v>2902032257499.144</v>
      </c>
      <c r="G1587" s="40">
        <f t="shared" ca="1" si="220"/>
        <v>1688961120127.4946</v>
      </c>
      <c r="H1587" s="40">
        <f t="shared" ca="1" si="221"/>
        <v>2902032257499.144</v>
      </c>
      <c r="I1587" s="40">
        <f t="shared" ca="1" si="222"/>
        <v>11131243819705.424</v>
      </c>
      <c r="J1587" s="40">
        <f t="shared" ca="1" si="223"/>
        <v>609896753929.16089</v>
      </c>
      <c r="K1587" s="41">
        <f t="shared" ca="1" si="224"/>
        <v>18.251029781670734</v>
      </c>
    </row>
    <row r="1588" spans="2:11" ht="15" customHeight="1" x14ac:dyDescent="0.35">
      <c r="B1588" s="5">
        <v>1567</v>
      </c>
      <c r="C1588" s="39">
        <f t="shared" ca="1" si="216"/>
        <v>3.1293130546747809</v>
      </c>
      <c r="D1588" s="40">
        <f t="shared" ca="1" si="217"/>
        <v>5578671260.2132387</v>
      </c>
      <c r="E1588" s="40">
        <f t="shared" ca="1" si="218"/>
        <v>44982742651339.617</v>
      </c>
      <c r="F1588" s="40">
        <f t="shared" ca="1" si="219"/>
        <v>508086131085.42316</v>
      </c>
      <c r="G1588" s="40">
        <f t="shared" ca="1" si="220"/>
        <v>7659865691169.9004</v>
      </c>
      <c r="H1588" s="40">
        <f t="shared" ca="1" si="221"/>
        <v>7659865691169.9004</v>
      </c>
      <c r="I1588" s="40">
        <f t="shared" ca="1" si="222"/>
        <v>105034388774206.11</v>
      </c>
      <c r="J1588" s="40">
        <f t="shared" ca="1" si="223"/>
        <v>598996438835.76111</v>
      </c>
      <c r="K1588" s="41">
        <f t="shared" ca="1" si="224"/>
        <v>175.35060638817168</v>
      </c>
    </row>
    <row r="1589" spans="2:11" ht="15" customHeight="1" x14ac:dyDescent="0.35">
      <c r="B1589" s="5">
        <v>1568</v>
      </c>
      <c r="C1589" s="39">
        <f t="shared" ca="1" si="216"/>
        <v>3.4305201716344831</v>
      </c>
      <c r="D1589" s="40">
        <f t="shared" ca="1" si="217"/>
        <v>9241759537.6695442</v>
      </c>
      <c r="E1589" s="40">
        <f t="shared" ca="1" si="218"/>
        <v>64388221540689.172</v>
      </c>
      <c r="F1589" s="40">
        <f t="shared" ca="1" si="219"/>
        <v>709097759165.8197</v>
      </c>
      <c r="G1589" s="40">
        <f t="shared" ca="1" si="220"/>
        <v>3126034493381.1865</v>
      </c>
      <c r="H1589" s="40">
        <f t="shared" ca="1" si="221"/>
        <v>64388221540689.172</v>
      </c>
      <c r="I1589" s="40">
        <f t="shared" ca="1" si="222"/>
        <v>11321783555090.635</v>
      </c>
      <c r="J1589" s="40">
        <f t="shared" ca="1" si="223"/>
        <v>888629723486.77954</v>
      </c>
      <c r="K1589" s="41">
        <f t="shared" ca="1" si="224"/>
        <v>12.740721197875926</v>
      </c>
    </row>
    <row r="1590" spans="2:11" ht="15" customHeight="1" x14ac:dyDescent="0.35">
      <c r="B1590" s="5">
        <v>1569</v>
      </c>
      <c r="C1590" s="39">
        <f t="shared" ca="1" si="216"/>
        <v>2.6529044134546051</v>
      </c>
      <c r="D1590" s="40">
        <f t="shared" ca="1" si="217"/>
        <v>3059543816.6625228</v>
      </c>
      <c r="E1590" s="40">
        <f t="shared" ca="1" si="218"/>
        <v>13235488482698.951</v>
      </c>
      <c r="F1590" s="40">
        <f t="shared" ca="1" si="219"/>
        <v>1490080776975.6809</v>
      </c>
      <c r="G1590" s="40">
        <f t="shared" ca="1" si="220"/>
        <v>2612625237012.668</v>
      </c>
      <c r="H1590" s="40">
        <f t="shared" ca="1" si="221"/>
        <v>13235488482698.951</v>
      </c>
      <c r="I1590" s="40">
        <f t="shared" ca="1" si="222"/>
        <v>74474488743743.469</v>
      </c>
      <c r="J1590" s="40">
        <f t="shared" ca="1" si="223"/>
        <v>766661110658.42212</v>
      </c>
      <c r="K1590" s="41">
        <f t="shared" ca="1" si="224"/>
        <v>97.14134147196205</v>
      </c>
    </row>
    <row r="1591" spans="2:11" ht="15" customHeight="1" x14ac:dyDescent="0.35">
      <c r="B1591" s="5">
        <v>1570</v>
      </c>
      <c r="C1591" s="39">
        <f t="shared" ca="1" si="216"/>
        <v>2.3410870198788096</v>
      </c>
      <c r="D1591" s="40">
        <f t="shared" ca="1" si="217"/>
        <v>1128422782.0441597</v>
      </c>
      <c r="E1591" s="40">
        <f t="shared" ca="1" si="218"/>
        <v>3055907853867.4395</v>
      </c>
      <c r="F1591" s="40">
        <f t="shared" ca="1" si="219"/>
        <v>7193061179516.0146</v>
      </c>
      <c r="G1591" s="40">
        <f t="shared" ca="1" si="220"/>
        <v>304451187795.30499</v>
      </c>
      <c r="H1591" s="40">
        <f t="shared" ca="1" si="221"/>
        <v>3055907853867.4395</v>
      </c>
      <c r="I1591" s="40">
        <f t="shared" ca="1" si="222"/>
        <v>11963086520721.057</v>
      </c>
      <c r="J1591" s="40">
        <f t="shared" ca="1" si="223"/>
        <v>532878814778.99213</v>
      </c>
      <c r="K1591" s="41">
        <f t="shared" ca="1" si="224"/>
        <v>22.449919548185953</v>
      </c>
    </row>
    <row r="1592" spans="2:11" ht="15" customHeight="1" x14ac:dyDescent="0.35">
      <c r="B1592" s="5">
        <v>1571</v>
      </c>
      <c r="C1592" s="39">
        <f t="shared" ca="1" si="216"/>
        <v>3.8915898360638304</v>
      </c>
      <c r="D1592" s="40">
        <f t="shared" ca="1" si="217"/>
        <v>18381619470.258392</v>
      </c>
      <c r="E1592" s="40">
        <f t="shared" ca="1" si="218"/>
        <v>24953891929100.27</v>
      </c>
      <c r="F1592" s="40">
        <f t="shared" ca="1" si="219"/>
        <v>3777045258194.3638</v>
      </c>
      <c r="G1592" s="40">
        <f t="shared" ca="1" si="220"/>
        <v>12795296313330.563</v>
      </c>
      <c r="H1592" s="40">
        <f t="shared" ca="1" si="221"/>
        <v>12795296313330.563</v>
      </c>
      <c r="I1592" s="40">
        <f t="shared" ca="1" si="222"/>
        <v>1763511797454.8357</v>
      </c>
      <c r="J1592" s="40">
        <f t="shared" ca="1" si="223"/>
        <v>1265781241734.9573</v>
      </c>
      <c r="K1592" s="41">
        <f t="shared" ca="1" si="224"/>
        <v>1.3932200441188862</v>
      </c>
    </row>
    <row r="1593" spans="2:11" ht="15" customHeight="1" x14ac:dyDescent="0.35">
      <c r="B1593" s="5">
        <v>1572</v>
      </c>
      <c r="C1593" s="39">
        <f t="shared" ca="1" si="216"/>
        <v>3.5693945593142744</v>
      </c>
      <c r="D1593" s="40">
        <f t="shared" ca="1" si="217"/>
        <v>9701081579.0015907</v>
      </c>
      <c r="E1593" s="40">
        <f t="shared" ca="1" si="218"/>
        <v>67626762453416.836</v>
      </c>
      <c r="F1593" s="40">
        <f t="shared" ca="1" si="219"/>
        <v>2732538868359.502</v>
      </c>
      <c r="G1593" s="40">
        <f t="shared" ca="1" si="220"/>
        <v>539274644521.45209</v>
      </c>
      <c r="H1593" s="40">
        <f t="shared" ca="1" si="221"/>
        <v>2732538868359.502</v>
      </c>
      <c r="I1593" s="40">
        <f t="shared" ca="1" si="222"/>
        <v>119865440996748.03</v>
      </c>
      <c r="J1593" s="40">
        <f t="shared" ca="1" si="223"/>
        <v>1078520716051.3291</v>
      </c>
      <c r="K1593" s="41">
        <f t="shared" ca="1" si="224"/>
        <v>111.13874700116875</v>
      </c>
    </row>
    <row r="1594" spans="2:11" ht="15" customHeight="1" x14ac:dyDescent="0.35">
      <c r="B1594" s="5">
        <v>1573</v>
      </c>
      <c r="C1594" s="39">
        <f t="shared" ca="1" si="216"/>
        <v>2.7444794898482892</v>
      </c>
      <c r="D1594" s="40">
        <f t="shared" ca="1" si="217"/>
        <v>2616610566.174017</v>
      </c>
      <c r="E1594" s="40">
        <f t="shared" ca="1" si="218"/>
        <v>13411650987012.449</v>
      </c>
      <c r="F1594" s="40">
        <f t="shared" ca="1" si="219"/>
        <v>1632868956257.3586</v>
      </c>
      <c r="G1594" s="40">
        <f t="shared" ca="1" si="220"/>
        <v>5515411632504.1963</v>
      </c>
      <c r="H1594" s="40">
        <f t="shared" ca="1" si="221"/>
        <v>13411650987012.449</v>
      </c>
      <c r="I1594" s="40">
        <f t="shared" ca="1" si="222"/>
        <v>1424933665878.969</v>
      </c>
      <c r="J1594" s="40">
        <f t="shared" ca="1" si="223"/>
        <v>1422227570569.0164</v>
      </c>
      <c r="K1594" s="41">
        <f t="shared" ca="1" si="224"/>
        <v>1.0019027161095393</v>
      </c>
    </row>
    <row r="1595" spans="2:11" ht="15" customHeight="1" x14ac:dyDescent="0.35">
      <c r="B1595" s="5">
        <v>1574</v>
      </c>
      <c r="C1595" s="39">
        <f t="shared" ca="1" si="216"/>
        <v>3.267638838874722</v>
      </c>
      <c r="D1595" s="40">
        <f t="shared" ca="1" si="217"/>
        <v>7686177533.3650579</v>
      </c>
      <c r="E1595" s="40">
        <f t="shared" ca="1" si="218"/>
        <v>26525141096208.879</v>
      </c>
      <c r="F1595" s="40">
        <f t="shared" ca="1" si="219"/>
        <v>17798063739952.816</v>
      </c>
      <c r="G1595" s="40">
        <f t="shared" ca="1" si="220"/>
        <v>738497476398.58972</v>
      </c>
      <c r="H1595" s="40">
        <f t="shared" ca="1" si="221"/>
        <v>26525141096208.879</v>
      </c>
      <c r="I1595" s="40">
        <f t="shared" ca="1" si="222"/>
        <v>21388993286671.211</v>
      </c>
      <c r="J1595" s="40">
        <f t="shared" ca="1" si="223"/>
        <v>1283308771203.998</v>
      </c>
      <c r="K1595" s="41">
        <f t="shared" ca="1" si="224"/>
        <v>16.667067011942958</v>
      </c>
    </row>
    <row r="1596" spans="2:11" ht="15" customHeight="1" x14ac:dyDescent="0.35">
      <c r="B1596" s="5">
        <v>1575</v>
      </c>
      <c r="C1596" s="39">
        <f t="shared" ca="1" si="216"/>
        <v>3.0419594091211652</v>
      </c>
      <c r="D1596" s="40">
        <f t="shared" ca="1" si="217"/>
        <v>5073457644.9992609</v>
      </c>
      <c r="E1596" s="40">
        <f t="shared" ca="1" si="218"/>
        <v>26786752008050.996</v>
      </c>
      <c r="F1596" s="40">
        <f t="shared" ca="1" si="219"/>
        <v>8512567224579.8379</v>
      </c>
      <c r="G1596" s="40">
        <f t="shared" ca="1" si="220"/>
        <v>9674924554995.7109</v>
      </c>
      <c r="H1596" s="40">
        <f t="shared" ca="1" si="221"/>
        <v>9674924554995.7109</v>
      </c>
      <c r="I1596" s="40">
        <f t="shared" ca="1" si="222"/>
        <v>2434663264703.7061</v>
      </c>
      <c r="J1596" s="40">
        <f t="shared" ca="1" si="223"/>
        <v>1253364292545.3594</v>
      </c>
      <c r="K1596" s="41">
        <f t="shared" ca="1" si="224"/>
        <v>1.9425024944338722</v>
      </c>
    </row>
    <row r="1597" spans="2:11" ht="15" customHeight="1" x14ac:dyDescent="0.35">
      <c r="B1597" s="5">
        <v>1576</v>
      </c>
      <c r="C1597" s="39">
        <f t="shared" ca="1" si="216"/>
        <v>2.8255899022870059</v>
      </c>
      <c r="D1597" s="40">
        <f t="shared" ca="1" si="217"/>
        <v>3785622778.5460944</v>
      </c>
      <c r="E1597" s="40">
        <f t="shared" ca="1" si="218"/>
        <v>15683274534969.096</v>
      </c>
      <c r="F1597" s="40">
        <f t="shared" ca="1" si="219"/>
        <v>3848872769836.0308</v>
      </c>
      <c r="G1597" s="40">
        <f t="shared" ca="1" si="220"/>
        <v>3100257669956.6304</v>
      </c>
      <c r="H1597" s="40">
        <f t="shared" ca="1" si="221"/>
        <v>15683274534969.096</v>
      </c>
      <c r="I1597" s="40">
        <f t="shared" ca="1" si="222"/>
        <v>2547203989567.0273</v>
      </c>
      <c r="J1597" s="40">
        <f t="shared" ca="1" si="223"/>
        <v>658758076722.80261</v>
      </c>
      <c r="K1597" s="41">
        <f t="shared" ca="1" si="224"/>
        <v>3.8666759157457129</v>
      </c>
    </row>
    <row r="1598" spans="2:11" ht="15" customHeight="1" x14ac:dyDescent="0.35">
      <c r="B1598" s="5">
        <v>1577</v>
      </c>
      <c r="C1598" s="39">
        <f t="shared" ca="1" si="216"/>
        <v>2.6859871499419667</v>
      </c>
      <c r="D1598" s="40">
        <f t="shared" ca="1" si="217"/>
        <v>3021434942.2378454</v>
      </c>
      <c r="E1598" s="40">
        <f t="shared" ca="1" si="218"/>
        <v>6967100161852.2773</v>
      </c>
      <c r="F1598" s="40">
        <f t="shared" ca="1" si="219"/>
        <v>1642628609126.9238</v>
      </c>
      <c r="G1598" s="40">
        <f t="shared" ca="1" si="220"/>
        <v>5346132373701.04</v>
      </c>
      <c r="H1598" s="40">
        <f t="shared" ca="1" si="221"/>
        <v>5346132373701.04</v>
      </c>
      <c r="I1598" s="40">
        <f t="shared" ca="1" si="222"/>
        <v>6492778453418.8213</v>
      </c>
      <c r="J1598" s="40">
        <f t="shared" ca="1" si="223"/>
        <v>593384226505.77319</v>
      </c>
      <c r="K1598" s="41">
        <f t="shared" ca="1" si="224"/>
        <v>10.941946488285447</v>
      </c>
    </row>
    <row r="1599" spans="2:11" ht="15" customHeight="1" x14ac:dyDescent="0.35">
      <c r="B1599" s="5">
        <v>1578</v>
      </c>
      <c r="C1599" s="39">
        <f t="shared" ca="1" si="216"/>
        <v>2.9957874238621853</v>
      </c>
      <c r="D1599" s="40">
        <f t="shared" ca="1" si="217"/>
        <v>5582602785.9843225</v>
      </c>
      <c r="E1599" s="40">
        <f t="shared" ca="1" si="218"/>
        <v>12131093884725.549</v>
      </c>
      <c r="F1599" s="40">
        <f t="shared" ca="1" si="219"/>
        <v>140925453236.13116</v>
      </c>
      <c r="G1599" s="40">
        <f t="shared" ca="1" si="220"/>
        <v>1815937782392.9387</v>
      </c>
      <c r="H1599" s="40">
        <f t="shared" ca="1" si="221"/>
        <v>140925453236.13116</v>
      </c>
      <c r="I1599" s="40">
        <f t="shared" ca="1" si="222"/>
        <v>3912553456007.9302</v>
      </c>
      <c r="J1599" s="40">
        <f t="shared" ca="1" si="223"/>
        <v>956917797674.74731</v>
      </c>
      <c r="K1599" s="41">
        <f t="shared" ca="1" si="224"/>
        <v>4.088703821284545</v>
      </c>
    </row>
    <row r="1600" spans="2:11" ht="15" customHeight="1" x14ac:dyDescent="0.35">
      <c r="B1600" s="5">
        <v>1579</v>
      </c>
      <c r="C1600" s="39">
        <f t="shared" ca="1" si="216"/>
        <v>2.7903752762478518</v>
      </c>
      <c r="D1600" s="40">
        <f t="shared" ca="1" si="217"/>
        <v>3458281641.7514915</v>
      </c>
      <c r="E1600" s="40">
        <f t="shared" ca="1" si="218"/>
        <v>10385973321042.291</v>
      </c>
      <c r="F1600" s="40">
        <f t="shared" ca="1" si="219"/>
        <v>478843279525.58673</v>
      </c>
      <c r="G1600" s="40">
        <f t="shared" ca="1" si="220"/>
        <v>8146506321900.2139</v>
      </c>
      <c r="H1600" s="40">
        <f t="shared" ca="1" si="221"/>
        <v>8146506321900.2139</v>
      </c>
      <c r="I1600" s="40">
        <f t="shared" ca="1" si="222"/>
        <v>8590718641823.9043</v>
      </c>
      <c r="J1600" s="40">
        <f t="shared" ca="1" si="223"/>
        <v>1534440755692.542</v>
      </c>
      <c r="K1600" s="41">
        <f t="shared" ca="1" si="224"/>
        <v>5.5985991052138333</v>
      </c>
    </row>
    <row r="1601" spans="2:11" ht="15" customHeight="1" x14ac:dyDescent="0.35">
      <c r="B1601" s="5">
        <v>1580</v>
      </c>
      <c r="C1601" s="39">
        <f t="shared" ca="1" si="216"/>
        <v>3.3675008904494694</v>
      </c>
      <c r="D1601" s="40">
        <f t="shared" ca="1" si="217"/>
        <v>10189277890.227968</v>
      </c>
      <c r="E1601" s="40">
        <f t="shared" ca="1" si="218"/>
        <v>51843957017328.141</v>
      </c>
      <c r="F1601" s="40">
        <f t="shared" ca="1" si="219"/>
        <v>266963891807.24173</v>
      </c>
      <c r="G1601" s="40">
        <f t="shared" ca="1" si="220"/>
        <v>8984296291809.5938</v>
      </c>
      <c r="H1601" s="40">
        <f t="shared" ca="1" si="221"/>
        <v>8984296291809.5938</v>
      </c>
      <c r="I1601" s="40">
        <f t="shared" ca="1" si="222"/>
        <v>20120275739630.004</v>
      </c>
      <c r="J1601" s="40">
        <f t="shared" ca="1" si="223"/>
        <v>494868625982.88934</v>
      </c>
      <c r="K1601" s="41">
        <f t="shared" ca="1" si="224"/>
        <v>40.657812363165824</v>
      </c>
    </row>
    <row r="1602" spans="2:11" ht="15" customHeight="1" x14ac:dyDescent="0.35">
      <c r="B1602" s="5">
        <v>1581</v>
      </c>
      <c r="C1602" s="39">
        <f t="shared" ca="1" si="216"/>
        <v>3.4075460427239395</v>
      </c>
      <c r="D1602" s="40">
        <f t="shared" ca="1" si="217"/>
        <v>9125372138.2275105</v>
      </c>
      <c r="E1602" s="40">
        <f t="shared" ca="1" si="218"/>
        <v>22254207866902.738</v>
      </c>
      <c r="F1602" s="40">
        <f t="shared" ca="1" si="219"/>
        <v>17006842864259.316</v>
      </c>
      <c r="G1602" s="40">
        <f t="shared" ca="1" si="220"/>
        <v>3740696926498.6509</v>
      </c>
      <c r="H1602" s="40">
        <f t="shared" ca="1" si="221"/>
        <v>22254207866902.738</v>
      </c>
      <c r="I1602" s="40">
        <f t="shared" ca="1" si="222"/>
        <v>28644979551487.016</v>
      </c>
      <c r="J1602" s="40">
        <f t="shared" ca="1" si="223"/>
        <v>901832365686.47522</v>
      </c>
      <c r="K1602" s="41">
        <f t="shared" ca="1" si="224"/>
        <v>31.763086623845489</v>
      </c>
    </row>
    <row r="1603" spans="2:11" ht="15" customHeight="1" x14ac:dyDescent="0.35">
      <c r="B1603" s="5">
        <v>1582</v>
      </c>
      <c r="C1603" s="39">
        <f t="shared" ca="1" si="216"/>
        <v>3.3816040772478781</v>
      </c>
      <c r="D1603" s="40">
        <f t="shared" ca="1" si="217"/>
        <v>8848680126.6511383</v>
      </c>
      <c r="E1603" s="40">
        <f t="shared" ca="1" si="218"/>
        <v>15053899972803.527</v>
      </c>
      <c r="F1603" s="40">
        <f t="shared" ca="1" si="219"/>
        <v>1131385975557.7109</v>
      </c>
      <c r="G1603" s="40">
        <f t="shared" ca="1" si="220"/>
        <v>8349635902184.624</v>
      </c>
      <c r="H1603" s="40">
        <f t="shared" ca="1" si="221"/>
        <v>15053899972803.527</v>
      </c>
      <c r="I1603" s="40">
        <f t="shared" ca="1" si="222"/>
        <v>342175807810690.5</v>
      </c>
      <c r="J1603" s="40">
        <f t="shared" ca="1" si="223"/>
        <v>1463064615747.8508</v>
      </c>
      <c r="K1603" s="41">
        <f t="shared" ca="1" si="224"/>
        <v>233.87607363861102</v>
      </c>
    </row>
    <row r="1604" spans="2:11" ht="15" customHeight="1" x14ac:dyDescent="0.35">
      <c r="B1604" s="5">
        <v>1583</v>
      </c>
      <c r="C1604" s="39">
        <f t="shared" ca="1" si="216"/>
        <v>3.3072885464236794</v>
      </c>
      <c r="D1604" s="40">
        <f t="shared" ca="1" si="217"/>
        <v>9062291605.0632572</v>
      </c>
      <c r="E1604" s="40">
        <f t="shared" ca="1" si="218"/>
        <v>11425102588527.414</v>
      </c>
      <c r="F1604" s="40">
        <f t="shared" ca="1" si="219"/>
        <v>3673375166301.1504</v>
      </c>
      <c r="G1604" s="40">
        <f t="shared" ca="1" si="220"/>
        <v>1606545723968.4504</v>
      </c>
      <c r="H1604" s="40">
        <f t="shared" ca="1" si="221"/>
        <v>11425102588527.414</v>
      </c>
      <c r="I1604" s="40">
        <f t="shared" ca="1" si="222"/>
        <v>13126207226551.332</v>
      </c>
      <c r="J1604" s="40">
        <f t="shared" ca="1" si="223"/>
        <v>960776970593.76184</v>
      </c>
      <c r="K1604" s="41">
        <f t="shared" ca="1" si="224"/>
        <v>13.662075204029207</v>
      </c>
    </row>
    <row r="1605" spans="2:11" ht="15" customHeight="1" x14ac:dyDescent="0.35">
      <c r="B1605" s="5">
        <v>1584</v>
      </c>
      <c r="C1605" s="39">
        <f t="shared" ca="1" si="216"/>
        <v>3.1484798987173717</v>
      </c>
      <c r="D1605" s="40">
        <f t="shared" ca="1" si="217"/>
        <v>7059487937.2719097</v>
      </c>
      <c r="E1605" s="40">
        <f t="shared" ca="1" si="218"/>
        <v>42773195706612.109</v>
      </c>
      <c r="F1605" s="40">
        <f t="shared" ca="1" si="219"/>
        <v>1563040626411.6709</v>
      </c>
      <c r="G1605" s="40">
        <f t="shared" ca="1" si="220"/>
        <v>1269247837022.7698</v>
      </c>
      <c r="H1605" s="40">
        <f t="shared" ca="1" si="221"/>
        <v>42773195706612.109</v>
      </c>
      <c r="I1605" s="40">
        <f t="shared" ca="1" si="222"/>
        <v>68996656644546.898</v>
      </c>
      <c r="J1605" s="40">
        <f t="shared" ca="1" si="223"/>
        <v>995182013379.9093</v>
      </c>
      <c r="K1605" s="41">
        <f t="shared" ca="1" si="224"/>
        <v>69.330690986079475</v>
      </c>
    </row>
    <row r="1606" spans="2:11" ht="15" customHeight="1" x14ac:dyDescent="0.35">
      <c r="B1606" s="5">
        <v>1585</v>
      </c>
      <c r="C1606" s="39">
        <f t="shared" ca="1" si="216"/>
        <v>2.5291396332993972</v>
      </c>
      <c r="D1606" s="40">
        <f t="shared" ca="1" si="217"/>
        <v>1857677657.3510816</v>
      </c>
      <c r="E1606" s="40">
        <f t="shared" ca="1" si="218"/>
        <v>18901481738141.203</v>
      </c>
      <c r="F1606" s="40">
        <f t="shared" ca="1" si="219"/>
        <v>1575775987281.2598</v>
      </c>
      <c r="G1606" s="40">
        <f t="shared" ca="1" si="220"/>
        <v>2239883201473.5479</v>
      </c>
      <c r="H1606" s="40">
        <f t="shared" ca="1" si="221"/>
        <v>18901481738141.203</v>
      </c>
      <c r="I1606" s="40">
        <f t="shared" ca="1" si="222"/>
        <v>18177696118061.699</v>
      </c>
      <c r="J1606" s="40">
        <f t="shared" ca="1" si="223"/>
        <v>944761325926.55872</v>
      </c>
      <c r="K1606" s="41">
        <f t="shared" ca="1" si="224"/>
        <v>19.240516751925924</v>
      </c>
    </row>
    <row r="1607" spans="2:11" ht="15" customHeight="1" x14ac:dyDescent="0.35">
      <c r="B1607" s="5">
        <v>1586</v>
      </c>
      <c r="C1607" s="39">
        <f t="shared" ca="1" si="216"/>
        <v>3.5792558071499059</v>
      </c>
      <c r="D1607" s="40">
        <f t="shared" ca="1" si="217"/>
        <v>13896579663.592003</v>
      </c>
      <c r="E1607" s="40">
        <f t="shared" ca="1" si="218"/>
        <v>39474514190503.656</v>
      </c>
      <c r="F1607" s="40">
        <f t="shared" ca="1" si="219"/>
        <v>2144300364351.2751</v>
      </c>
      <c r="G1607" s="40">
        <f t="shared" ca="1" si="220"/>
        <v>43932773013857.055</v>
      </c>
      <c r="H1607" s="40">
        <f t="shared" ca="1" si="221"/>
        <v>2144300364351.2751</v>
      </c>
      <c r="I1607" s="40">
        <f t="shared" ca="1" si="222"/>
        <v>8657635910538.7539</v>
      </c>
      <c r="J1607" s="40">
        <f t="shared" ca="1" si="223"/>
        <v>1049343738243.9215</v>
      </c>
      <c r="K1607" s="41">
        <f t="shared" ca="1" si="224"/>
        <v>8.2505242038488955</v>
      </c>
    </row>
    <row r="1608" spans="2:11" ht="15" customHeight="1" x14ac:dyDescent="0.35">
      <c r="B1608" s="5">
        <v>1587</v>
      </c>
      <c r="C1608" s="39">
        <f t="shared" ca="1" si="216"/>
        <v>2.7319157774648106</v>
      </c>
      <c r="D1608" s="40">
        <f t="shared" ca="1" si="217"/>
        <v>3165618422.5049224</v>
      </c>
      <c r="E1608" s="40">
        <f t="shared" ca="1" si="218"/>
        <v>6486370430138.7441</v>
      </c>
      <c r="F1608" s="40">
        <f t="shared" ca="1" si="219"/>
        <v>1918808903512.6272</v>
      </c>
      <c r="G1608" s="40">
        <f t="shared" ca="1" si="220"/>
        <v>10934114786896.164</v>
      </c>
      <c r="H1608" s="40">
        <f t="shared" ca="1" si="221"/>
        <v>1918808903512.6272</v>
      </c>
      <c r="I1608" s="40">
        <f t="shared" ca="1" si="222"/>
        <v>1960863051407.2202</v>
      </c>
      <c r="J1608" s="40">
        <f t="shared" ca="1" si="223"/>
        <v>876922201461.04529</v>
      </c>
      <c r="K1608" s="41">
        <f t="shared" ca="1" si="224"/>
        <v>2.2360741330761322</v>
      </c>
    </row>
    <row r="1609" spans="2:11" ht="15" customHeight="1" x14ac:dyDescent="0.35">
      <c r="B1609" s="5">
        <v>1588</v>
      </c>
      <c r="C1609" s="39">
        <f t="shared" ca="1" si="216"/>
        <v>3.215395682161367</v>
      </c>
      <c r="D1609" s="40">
        <f t="shared" ca="1" si="217"/>
        <v>6765421555.2299843</v>
      </c>
      <c r="E1609" s="40">
        <f t="shared" ca="1" si="218"/>
        <v>61231617438394.766</v>
      </c>
      <c r="F1609" s="40">
        <f t="shared" ca="1" si="219"/>
        <v>12019427335582.223</v>
      </c>
      <c r="G1609" s="40">
        <f t="shared" ca="1" si="220"/>
        <v>4191199366281.8667</v>
      </c>
      <c r="H1609" s="40">
        <f t="shared" ca="1" si="221"/>
        <v>4191199366281.8667</v>
      </c>
      <c r="I1609" s="40">
        <f t="shared" ca="1" si="222"/>
        <v>20261526832177.234</v>
      </c>
      <c r="J1609" s="40">
        <f t="shared" ca="1" si="223"/>
        <v>1129669101426.6877</v>
      </c>
      <c r="K1609" s="41">
        <f t="shared" ca="1" si="224"/>
        <v>17.935806871754249</v>
      </c>
    </row>
    <row r="1610" spans="2:11" ht="15" customHeight="1" x14ac:dyDescent="0.35">
      <c r="B1610" s="5">
        <v>1589</v>
      </c>
      <c r="C1610" s="39">
        <f t="shared" ca="1" si="216"/>
        <v>2.4494073456639986</v>
      </c>
      <c r="D1610" s="40">
        <f t="shared" ca="1" si="217"/>
        <v>1451039863.4136467</v>
      </c>
      <c r="E1610" s="40">
        <f t="shared" ca="1" si="218"/>
        <v>2622074595445.9976</v>
      </c>
      <c r="F1610" s="40">
        <f t="shared" ca="1" si="219"/>
        <v>3541497401154.8115</v>
      </c>
      <c r="G1610" s="40">
        <f t="shared" ca="1" si="220"/>
        <v>55145804970715.75</v>
      </c>
      <c r="H1610" s="40">
        <f t="shared" ca="1" si="221"/>
        <v>2622074595445.9976</v>
      </c>
      <c r="I1610" s="40">
        <f t="shared" ca="1" si="222"/>
        <v>61036410230167.711</v>
      </c>
      <c r="J1610" s="40">
        <f t="shared" ca="1" si="223"/>
        <v>1138958265822.7646</v>
      </c>
      <c r="K1610" s="41">
        <f t="shared" ca="1" si="224"/>
        <v>53.589681081137783</v>
      </c>
    </row>
    <row r="1611" spans="2:11" ht="15" customHeight="1" x14ac:dyDescent="0.35">
      <c r="B1611" s="5">
        <v>1590</v>
      </c>
      <c r="C1611" s="39">
        <f t="shared" ca="1" si="216"/>
        <v>3.1877788151632815</v>
      </c>
      <c r="D1611" s="40">
        <f t="shared" ca="1" si="217"/>
        <v>5627294437.1524086</v>
      </c>
      <c r="E1611" s="40">
        <f t="shared" ca="1" si="218"/>
        <v>14126413327381.641</v>
      </c>
      <c r="F1611" s="40">
        <f t="shared" ca="1" si="219"/>
        <v>455861752584.99066</v>
      </c>
      <c r="G1611" s="40">
        <f t="shared" ca="1" si="220"/>
        <v>3084075797989.7676</v>
      </c>
      <c r="H1611" s="40">
        <f t="shared" ca="1" si="221"/>
        <v>455861752584.99066</v>
      </c>
      <c r="I1611" s="40">
        <f t="shared" ca="1" si="222"/>
        <v>1226618439724047.8</v>
      </c>
      <c r="J1611" s="40">
        <f t="shared" ca="1" si="223"/>
        <v>556902864105.31604</v>
      </c>
      <c r="K1611" s="41">
        <f t="shared" ca="1" si="224"/>
        <v>2202.5716130849019</v>
      </c>
    </row>
    <row r="1612" spans="2:11" ht="15" customHeight="1" x14ac:dyDescent="0.35">
      <c r="B1612" s="5">
        <v>1591</v>
      </c>
      <c r="C1612" s="39">
        <f t="shared" ca="1" si="216"/>
        <v>3.1295252338249622</v>
      </c>
      <c r="D1612" s="40">
        <f t="shared" ca="1" si="217"/>
        <v>7068279615.1520891</v>
      </c>
      <c r="E1612" s="40">
        <f t="shared" ca="1" si="218"/>
        <v>60384409908777.07</v>
      </c>
      <c r="F1612" s="40">
        <f t="shared" ca="1" si="219"/>
        <v>2726355302817.0288</v>
      </c>
      <c r="G1612" s="40">
        <f t="shared" ca="1" si="220"/>
        <v>4755544487060.2275</v>
      </c>
      <c r="H1612" s="40">
        <f t="shared" ca="1" si="221"/>
        <v>2726355302817.0288</v>
      </c>
      <c r="I1612" s="40">
        <f t="shared" ca="1" si="222"/>
        <v>72944498786812.063</v>
      </c>
      <c r="J1612" s="40">
        <f t="shared" ca="1" si="223"/>
        <v>1512720088320.4592</v>
      </c>
      <c r="K1612" s="41">
        <f t="shared" ca="1" si="224"/>
        <v>48.220751049720491</v>
      </c>
    </row>
    <row r="1613" spans="2:11" ht="15" customHeight="1" x14ac:dyDescent="0.35">
      <c r="B1613" s="5">
        <v>1592</v>
      </c>
      <c r="C1613" s="39">
        <f t="shared" ca="1" si="216"/>
        <v>3.0828472179527555</v>
      </c>
      <c r="D1613" s="40">
        <f t="shared" ca="1" si="217"/>
        <v>5148087306.250041</v>
      </c>
      <c r="E1613" s="40">
        <f t="shared" ca="1" si="218"/>
        <v>14661085691265.707</v>
      </c>
      <c r="F1613" s="40">
        <f t="shared" ca="1" si="219"/>
        <v>9113697768765.9629</v>
      </c>
      <c r="G1613" s="40">
        <f t="shared" ca="1" si="220"/>
        <v>17521429114648.666</v>
      </c>
      <c r="H1613" s="40">
        <f t="shared" ca="1" si="221"/>
        <v>17521429114648.666</v>
      </c>
      <c r="I1613" s="40">
        <f t="shared" ca="1" si="222"/>
        <v>45905050597347.742</v>
      </c>
      <c r="J1613" s="40">
        <f t="shared" ca="1" si="223"/>
        <v>1189506084591.7588</v>
      </c>
      <c r="K1613" s="41">
        <f t="shared" ca="1" si="224"/>
        <v>38.591690443603291</v>
      </c>
    </row>
    <row r="1614" spans="2:11" ht="15" customHeight="1" x14ac:dyDescent="0.35">
      <c r="B1614" s="5">
        <v>1593</v>
      </c>
      <c r="C1614" s="39">
        <f t="shared" ca="1" si="216"/>
        <v>3.5292965662456868</v>
      </c>
      <c r="D1614" s="40">
        <f t="shared" ca="1" si="217"/>
        <v>9471952015.5948944</v>
      </c>
      <c r="E1614" s="40">
        <f t="shared" ca="1" si="218"/>
        <v>116281090694124.22</v>
      </c>
      <c r="F1614" s="40">
        <f t="shared" ca="1" si="219"/>
        <v>16024356054120.326</v>
      </c>
      <c r="G1614" s="40">
        <f t="shared" ca="1" si="220"/>
        <v>15265258063837.594</v>
      </c>
      <c r="H1614" s="40">
        <f t="shared" ca="1" si="221"/>
        <v>116281090694124.22</v>
      </c>
      <c r="I1614" s="40">
        <f t="shared" ca="1" si="222"/>
        <v>4751613333711.0596</v>
      </c>
      <c r="J1614" s="40">
        <f t="shared" ca="1" si="223"/>
        <v>1196793617340.4841</v>
      </c>
      <c r="K1614" s="41">
        <f t="shared" ca="1" si="224"/>
        <v>3.9702863257828023</v>
      </c>
    </row>
    <row r="1615" spans="2:11" ht="15" customHeight="1" x14ac:dyDescent="0.35">
      <c r="B1615" s="5">
        <v>1594</v>
      </c>
      <c r="C1615" s="39">
        <f t="shared" ca="1" si="216"/>
        <v>2.4561537732729453</v>
      </c>
      <c r="D1615" s="40">
        <f t="shared" ca="1" si="217"/>
        <v>2008462490.5165989</v>
      </c>
      <c r="E1615" s="40">
        <f t="shared" ca="1" si="218"/>
        <v>6165250683827.3467</v>
      </c>
      <c r="F1615" s="40">
        <f t="shared" ca="1" si="219"/>
        <v>3661875641162.1426</v>
      </c>
      <c r="G1615" s="40">
        <f t="shared" ca="1" si="220"/>
        <v>348301939284.1839</v>
      </c>
      <c r="H1615" s="40">
        <f t="shared" ca="1" si="221"/>
        <v>3661875641162.1426</v>
      </c>
      <c r="I1615" s="40">
        <f t="shared" ca="1" si="222"/>
        <v>5993140930119.0557</v>
      </c>
      <c r="J1615" s="40">
        <f t="shared" ca="1" si="223"/>
        <v>995739924841.70703</v>
      </c>
      <c r="K1615" s="41">
        <f t="shared" ca="1" si="224"/>
        <v>6.0187813912069323</v>
      </c>
    </row>
    <row r="1616" spans="2:11" ht="15" customHeight="1" x14ac:dyDescent="0.35">
      <c r="B1616" s="5">
        <v>1595</v>
      </c>
      <c r="C1616" s="39">
        <f t="shared" ca="1" si="216"/>
        <v>3.0350899817946431</v>
      </c>
      <c r="D1616" s="40">
        <f t="shared" ca="1" si="217"/>
        <v>5988522249.4477034</v>
      </c>
      <c r="E1616" s="40">
        <f t="shared" ca="1" si="218"/>
        <v>10267635144709</v>
      </c>
      <c r="F1616" s="40">
        <f t="shared" ca="1" si="219"/>
        <v>948644822856.13367</v>
      </c>
      <c r="G1616" s="40">
        <f t="shared" ca="1" si="220"/>
        <v>2278556780824.7598</v>
      </c>
      <c r="H1616" s="40">
        <f t="shared" ca="1" si="221"/>
        <v>10267635144709</v>
      </c>
      <c r="I1616" s="40">
        <f t="shared" ca="1" si="222"/>
        <v>8529052878730.9844</v>
      </c>
      <c r="J1616" s="40">
        <f t="shared" ca="1" si="223"/>
        <v>1301073147700.9441</v>
      </c>
      <c r="K1616" s="41">
        <f t="shared" ca="1" si="224"/>
        <v>6.5553984368997327</v>
      </c>
    </row>
    <row r="1617" spans="2:11" ht="15" customHeight="1" x14ac:dyDescent="0.35">
      <c r="B1617" s="5">
        <v>1596</v>
      </c>
      <c r="C1617" s="39">
        <f t="shared" ca="1" si="216"/>
        <v>2.5710698366886402</v>
      </c>
      <c r="D1617" s="40">
        <f t="shared" ca="1" si="217"/>
        <v>2604525986.4102449</v>
      </c>
      <c r="E1617" s="40">
        <f t="shared" ca="1" si="218"/>
        <v>4228558297340.543</v>
      </c>
      <c r="F1617" s="40">
        <f t="shared" ca="1" si="219"/>
        <v>1146230535225.5408</v>
      </c>
      <c r="G1617" s="40">
        <f t="shared" ca="1" si="220"/>
        <v>47048901336148.805</v>
      </c>
      <c r="H1617" s="40">
        <f t="shared" ca="1" si="221"/>
        <v>4228558297340.543</v>
      </c>
      <c r="I1617" s="40">
        <f t="shared" ca="1" si="222"/>
        <v>23937796596375.844</v>
      </c>
      <c r="J1617" s="40">
        <f t="shared" ca="1" si="223"/>
        <v>1372204037237.2402</v>
      </c>
      <c r="K1617" s="41">
        <f t="shared" ca="1" si="224"/>
        <v>17.444779308893143</v>
      </c>
    </row>
    <row r="1618" spans="2:11" ht="15" customHeight="1" x14ac:dyDescent="0.35">
      <c r="B1618" s="5">
        <v>1597</v>
      </c>
      <c r="C1618" s="39">
        <f t="shared" ca="1" si="216"/>
        <v>3.1935180305464841</v>
      </c>
      <c r="D1618" s="40">
        <f t="shared" ca="1" si="217"/>
        <v>7059516494.0092039</v>
      </c>
      <c r="E1618" s="40">
        <f t="shared" ca="1" si="218"/>
        <v>10176540112111.357</v>
      </c>
      <c r="F1618" s="40">
        <f t="shared" ca="1" si="219"/>
        <v>711333420546.97607</v>
      </c>
      <c r="G1618" s="40">
        <f t="shared" ca="1" si="220"/>
        <v>14065301832185.688</v>
      </c>
      <c r="H1618" s="40">
        <f t="shared" ca="1" si="221"/>
        <v>10176540112111.357</v>
      </c>
      <c r="I1618" s="40">
        <f t="shared" ca="1" si="222"/>
        <v>4875889742707.5986</v>
      </c>
      <c r="J1618" s="40">
        <f t="shared" ca="1" si="223"/>
        <v>674812855726.15051</v>
      </c>
      <c r="K1618" s="41">
        <f t="shared" ca="1" si="224"/>
        <v>7.2255436471505368</v>
      </c>
    </row>
    <row r="1619" spans="2:11" ht="15" customHeight="1" x14ac:dyDescent="0.35">
      <c r="B1619" s="5">
        <v>1598</v>
      </c>
      <c r="C1619" s="39">
        <f t="shared" ca="1" si="216"/>
        <v>2.9768339717129297</v>
      </c>
      <c r="D1619" s="40">
        <f t="shared" ca="1" si="217"/>
        <v>4802950660.3937845</v>
      </c>
      <c r="E1619" s="40">
        <f t="shared" ca="1" si="218"/>
        <v>15683605084943.281</v>
      </c>
      <c r="F1619" s="40">
        <f t="shared" ca="1" si="219"/>
        <v>581888125131.3175</v>
      </c>
      <c r="G1619" s="40">
        <f t="shared" ca="1" si="220"/>
        <v>5749794652912.8145</v>
      </c>
      <c r="H1619" s="40">
        <f t="shared" ca="1" si="221"/>
        <v>5749794652912.8145</v>
      </c>
      <c r="I1619" s="40">
        <f t="shared" ca="1" si="222"/>
        <v>1571758301597.2693</v>
      </c>
      <c r="J1619" s="40">
        <f t="shared" ca="1" si="223"/>
        <v>1384007584148.417</v>
      </c>
      <c r="K1619" s="41">
        <f t="shared" ca="1" si="224"/>
        <v>1.1356572894536381</v>
      </c>
    </row>
    <row r="1620" spans="2:11" ht="15" customHeight="1" x14ac:dyDescent="0.35">
      <c r="B1620" s="5">
        <v>1599</v>
      </c>
      <c r="C1620" s="39">
        <f t="shared" ca="1" si="216"/>
        <v>3.5922164199670501</v>
      </c>
      <c r="D1620" s="40">
        <f t="shared" ca="1" si="217"/>
        <v>13361849371.289963</v>
      </c>
      <c r="E1620" s="40">
        <f t="shared" ca="1" si="218"/>
        <v>36313667903566.367</v>
      </c>
      <c r="F1620" s="40">
        <f t="shared" ca="1" si="219"/>
        <v>1114159742068.2263</v>
      </c>
      <c r="G1620" s="40">
        <f t="shared" ca="1" si="220"/>
        <v>1989072157360.1741</v>
      </c>
      <c r="H1620" s="40">
        <f t="shared" ca="1" si="221"/>
        <v>1989072157360.1741</v>
      </c>
      <c r="I1620" s="40">
        <f t="shared" ca="1" si="222"/>
        <v>68186338826663.086</v>
      </c>
      <c r="J1620" s="40">
        <f t="shared" ca="1" si="223"/>
        <v>1033095178580.3907</v>
      </c>
      <c r="K1620" s="41">
        <f t="shared" ca="1" si="224"/>
        <v>66.001991143120151</v>
      </c>
    </row>
    <row r="1621" spans="2:11" ht="15" customHeight="1" x14ac:dyDescent="0.35">
      <c r="B1621" s="5">
        <v>1600</v>
      </c>
      <c r="C1621" s="39">
        <f t="shared" ca="1" si="216"/>
        <v>2.9142491539059581</v>
      </c>
      <c r="D1621" s="40">
        <f t="shared" ca="1" si="217"/>
        <v>4814652198.0712757</v>
      </c>
      <c r="E1621" s="40">
        <f t="shared" ca="1" si="218"/>
        <v>6561693514242.4092</v>
      </c>
      <c r="F1621" s="40">
        <f t="shared" ca="1" si="219"/>
        <v>3674849950577.061</v>
      </c>
      <c r="G1621" s="40">
        <f t="shared" ca="1" si="220"/>
        <v>3609034596721.188</v>
      </c>
      <c r="H1621" s="40">
        <f t="shared" ca="1" si="221"/>
        <v>3674849950577.061</v>
      </c>
      <c r="I1621" s="40">
        <f t="shared" ca="1" si="222"/>
        <v>35875614722938.813</v>
      </c>
      <c r="J1621" s="40">
        <f t="shared" ca="1" si="223"/>
        <v>613418225047.45459</v>
      </c>
      <c r="K1621" s="41">
        <f t="shared" ca="1" si="224"/>
        <v>58.484755193185599</v>
      </c>
    </row>
    <row r="1622" spans="2:11" ht="15" customHeight="1" x14ac:dyDescent="0.35">
      <c r="B1622" s="5">
        <v>1601</v>
      </c>
      <c r="C1622" s="39">
        <f t="shared" ref="C1622:C1685" ca="1" si="225">MEDIAN(1.8,NORMINV(RAND(),$C$7,$D$7),4.5)</f>
        <v>3.519478859714182</v>
      </c>
      <c r="D1622" s="40">
        <f t="shared" ref="D1622:D1685" ca="1" si="226">($C$8+RAND()*($D$8-$C$8))*C1622^5</f>
        <v>9099909809.60429</v>
      </c>
      <c r="E1622" s="40">
        <f t="shared" ref="E1622:E1685" ca="1" si="227">D1622*($C$10+RAND()*($D$10-$C$10))*EXP(NORMINV(RAND(),$C$9,$D$9))*($C$11+RAND()*($D$11-$C$11))</f>
        <v>23152793848776.004</v>
      </c>
      <c r="F1622" s="40">
        <f t="shared" ref="F1622:F1685" ca="1" si="228">EXP(NORMINV(RAND(),$C$12,$D$12))*EXP(NORMINV(RAND(),$C$13,$D$13))</f>
        <v>2830671173360.9839</v>
      </c>
      <c r="G1622" s="40">
        <f t="shared" ref="G1622:G1685" ca="1" si="229">EXP(NORMINV(RAND(),$C$14,$D$14))*($C$15+RAND()*($D$15-$C$15))*EXP(NORMINV(RAND(),$C$16,$D$16))/1000000*31536000</f>
        <v>3366942905434.0557</v>
      </c>
      <c r="H1622" s="40">
        <f t="shared" ref="H1622:H1685" ca="1" si="230">CHOOSE(RANDBETWEEN(1,3),E1622,F1622,G1622)</f>
        <v>3366942905434.0557</v>
      </c>
      <c r="I1622" s="40">
        <f t="shared" ref="I1622:I1685" ca="1" si="231">EXP(NORMINV(RAND(),$C$14,$D$14))*($C$15+RAND()*($D$15-$C$15))*60</f>
        <v>32837694945151.5</v>
      </c>
      <c r="J1622" s="40">
        <f t="shared" ref="J1622:J1685" ca="1" si="232">($C$17+RAND()*($D$17-$C$17))*($C$18+RAND()*($D$18-$C$18))</f>
        <v>1695560803015.4238</v>
      </c>
      <c r="K1622" s="41">
        <f t="shared" ref="K1622:K1685" ca="1" si="233">I1622/J1622</f>
        <v>19.366863687077572</v>
      </c>
    </row>
    <row r="1623" spans="2:11" ht="15" customHeight="1" x14ac:dyDescent="0.35">
      <c r="B1623" s="5">
        <v>1602</v>
      </c>
      <c r="C1623" s="39">
        <f t="shared" ca="1" si="225"/>
        <v>2.9658221964311533</v>
      </c>
      <c r="D1623" s="40">
        <f t="shared" ca="1" si="226"/>
        <v>5231334768.7252674</v>
      </c>
      <c r="E1623" s="40">
        <f t="shared" ca="1" si="227"/>
        <v>7720288132132.4912</v>
      </c>
      <c r="F1623" s="40">
        <f t="shared" ca="1" si="228"/>
        <v>2868680709921.5947</v>
      </c>
      <c r="G1623" s="40">
        <f t="shared" ca="1" si="229"/>
        <v>1318910955066.2834</v>
      </c>
      <c r="H1623" s="40">
        <f t="shared" ca="1" si="230"/>
        <v>7720288132132.4912</v>
      </c>
      <c r="I1623" s="40">
        <f t="shared" ca="1" si="231"/>
        <v>3625617970282.1235</v>
      </c>
      <c r="J1623" s="40">
        <f t="shared" ca="1" si="232"/>
        <v>701488279494.84497</v>
      </c>
      <c r="K1623" s="41">
        <f t="shared" ca="1" si="233"/>
        <v>5.1684654986580814</v>
      </c>
    </row>
    <row r="1624" spans="2:11" ht="15" customHeight="1" x14ac:dyDescent="0.35">
      <c r="B1624" s="5">
        <v>1603</v>
      </c>
      <c r="C1624" s="39">
        <f t="shared" ca="1" si="225"/>
        <v>1.8913798650155564</v>
      </c>
      <c r="D1624" s="40">
        <f t="shared" ca="1" si="226"/>
        <v>454530562.18526518</v>
      </c>
      <c r="E1624" s="40">
        <f t="shared" ca="1" si="227"/>
        <v>5242872231015.4805</v>
      </c>
      <c r="F1624" s="40">
        <f t="shared" ca="1" si="228"/>
        <v>14677695208231.416</v>
      </c>
      <c r="G1624" s="40">
        <f t="shared" ca="1" si="229"/>
        <v>4219965078504.4067</v>
      </c>
      <c r="H1624" s="40">
        <f t="shared" ca="1" si="230"/>
        <v>14677695208231.416</v>
      </c>
      <c r="I1624" s="40">
        <f t="shared" ca="1" si="231"/>
        <v>155737709591652.91</v>
      </c>
      <c r="J1624" s="40">
        <f t="shared" ca="1" si="232"/>
        <v>587817829447.01221</v>
      </c>
      <c r="K1624" s="41">
        <f t="shared" ca="1" si="233"/>
        <v>264.94213307235452</v>
      </c>
    </row>
    <row r="1625" spans="2:11" ht="15" customHeight="1" x14ac:dyDescent="0.35">
      <c r="B1625" s="5">
        <v>1604</v>
      </c>
      <c r="C1625" s="39">
        <f t="shared" ca="1" si="225"/>
        <v>3.4294041397599155</v>
      </c>
      <c r="D1625" s="40">
        <f t="shared" ca="1" si="226"/>
        <v>9033600003.1273556</v>
      </c>
      <c r="E1625" s="40">
        <f t="shared" ca="1" si="227"/>
        <v>31312371134057.559</v>
      </c>
      <c r="F1625" s="40">
        <f t="shared" ca="1" si="228"/>
        <v>4568897882599.2646</v>
      </c>
      <c r="G1625" s="40">
        <f t="shared" ca="1" si="229"/>
        <v>23582581370359.078</v>
      </c>
      <c r="H1625" s="40">
        <f t="shared" ca="1" si="230"/>
        <v>4568897882599.2646</v>
      </c>
      <c r="I1625" s="40">
        <f t="shared" ca="1" si="231"/>
        <v>1077636520836.7477</v>
      </c>
      <c r="J1625" s="40">
        <f t="shared" ca="1" si="232"/>
        <v>1596621034866.5566</v>
      </c>
      <c r="K1625" s="41">
        <f t="shared" ca="1" si="233"/>
        <v>0.67494821708071451</v>
      </c>
    </row>
    <row r="1626" spans="2:11" ht="15" customHeight="1" x14ac:dyDescent="0.35">
      <c r="B1626" s="5">
        <v>1605</v>
      </c>
      <c r="C1626" s="39">
        <f t="shared" ca="1" si="225"/>
        <v>3.5754173573507821</v>
      </c>
      <c r="D1626" s="40">
        <f t="shared" ca="1" si="226"/>
        <v>11306748756.482958</v>
      </c>
      <c r="E1626" s="40">
        <f t="shared" ca="1" si="227"/>
        <v>53148039427248.203</v>
      </c>
      <c r="F1626" s="40">
        <f t="shared" ca="1" si="228"/>
        <v>12375678356480.85</v>
      </c>
      <c r="G1626" s="40">
        <f t="shared" ca="1" si="229"/>
        <v>2014789352043.697</v>
      </c>
      <c r="H1626" s="40">
        <f t="shared" ca="1" si="230"/>
        <v>12375678356480.85</v>
      </c>
      <c r="I1626" s="40">
        <f t="shared" ca="1" si="231"/>
        <v>5971750072271.2197</v>
      </c>
      <c r="J1626" s="40">
        <f t="shared" ca="1" si="232"/>
        <v>966782878730.55786</v>
      </c>
      <c r="K1626" s="41">
        <f t="shared" ca="1" si="233"/>
        <v>6.1769299018953197</v>
      </c>
    </row>
    <row r="1627" spans="2:11" ht="15" customHeight="1" x14ac:dyDescent="0.35">
      <c r="B1627" s="5">
        <v>1606</v>
      </c>
      <c r="C1627" s="39">
        <f t="shared" ca="1" si="225"/>
        <v>3.4589882766316058</v>
      </c>
      <c r="D1627" s="40">
        <f t="shared" ca="1" si="226"/>
        <v>8173130823.6382074</v>
      </c>
      <c r="E1627" s="40">
        <f t="shared" ca="1" si="227"/>
        <v>45743139041810.852</v>
      </c>
      <c r="F1627" s="40">
        <f t="shared" ca="1" si="228"/>
        <v>7072262397135.0557</v>
      </c>
      <c r="G1627" s="40">
        <f t="shared" ca="1" si="229"/>
        <v>2791485026357.7715</v>
      </c>
      <c r="H1627" s="40">
        <f t="shared" ca="1" si="230"/>
        <v>2791485026357.7715</v>
      </c>
      <c r="I1627" s="40">
        <f t="shared" ca="1" si="231"/>
        <v>1503488429019.4526</v>
      </c>
      <c r="J1627" s="40">
        <f t="shared" ca="1" si="232"/>
        <v>1663173908090.6008</v>
      </c>
      <c r="K1627" s="41">
        <f t="shared" ca="1" si="233"/>
        <v>0.90398750347492263</v>
      </c>
    </row>
    <row r="1628" spans="2:11" ht="15" customHeight="1" x14ac:dyDescent="0.35">
      <c r="B1628" s="5">
        <v>1607</v>
      </c>
      <c r="C1628" s="39">
        <f t="shared" ca="1" si="225"/>
        <v>2.9174544195220831</v>
      </c>
      <c r="D1628" s="40">
        <f t="shared" ca="1" si="226"/>
        <v>5015080680.7175713</v>
      </c>
      <c r="E1628" s="40">
        <f t="shared" ca="1" si="227"/>
        <v>16360260989703.889</v>
      </c>
      <c r="F1628" s="40">
        <f t="shared" ca="1" si="228"/>
        <v>3547029843073.9639</v>
      </c>
      <c r="G1628" s="40">
        <f t="shared" ca="1" si="229"/>
        <v>49978469735379.07</v>
      </c>
      <c r="H1628" s="40">
        <f t="shared" ca="1" si="230"/>
        <v>16360260989703.889</v>
      </c>
      <c r="I1628" s="40">
        <f t="shared" ca="1" si="231"/>
        <v>19113735826024.133</v>
      </c>
      <c r="J1628" s="40">
        <f t="shared" ca="1" si="232"/>
        <v>1054486747397.3369</v>
      </c>
      <c r="K1628" s="41">
        <f t="shared" ca="1" si="233"/>
        <v>18.12610340831715</v>
      </c>
    </row>
    <row r="1629" spans="2:11" ht="15" customHeight="1" x14ac:dyDescent="0.35">
      <c r="B1629" s="5">
        <v>1608</v>
      </c>
      <c r="C1629" s="39">
        <f t="shared" ca="1" si="225"/>
        <v>2.8535714304260917</v>
      </c>
      <c r="D1629" s="40">
        <f t="shared" ca="1" si="226"/>
        <v>3230170521.8162389</v>
      </c>
      <c r="E1629" s="40">
        <f t="shared" ca="1" si="227"/>
        <v>4411450891636.8789</v>
      </c>
      <c r="F1629" s="40">
        <f t="shared" ca="1" si="228"/>
        <v>1362822660054.6641</v>
      </c>
      <c r="G1629" s="40">
        <f t="shared" ca="1" si="229"/>
        <v>12528483527254.691</v>
      </c>
      <c r="H1629" s="40">
        <f t="shared" ca="1" si="230"/>
        <v>12528483527254.691</v>
      </c>
      <c r="I1629" s="40">
        <f t="shared" ca="1" si="231"/>
        <v>3600324037230.876</v>
      </c>
      <c r="J1629" s="40">
        <f t="shared" ca="1" si="232"/>
        <v>1089130332353.8347</v>
      </c>
      <c r="K1629" s="41">
        <f t="shared" ca="1" si="233"/>
        <v>3.3056870516587624</v>
      </c>
    </row>
    <row r="1630" spans="2:11" ht="15" customHeight="1" x14ac:dyDescent="0.35">
      <c r="B1630" s="5">
        <v>1609</v>
      </c>
      <c r="C1630" s="39">
        <f t="shared" ca="1" si="225"/>
        <v>3.4106208675147811</v>
      </c>
      <c r="D1630" s="40">
        <f t="shared" ca="1" si="226"/>
        <v>9087440778.7479591</v>
      </c>
      <c r="E1630" s="40">
        <f t="shared" ca="1" si="227"/>
        <v>17695097048694.105</v>
      </c>
      <c r="F1630" s="40">
        <f t="shared" ca="1" si="228"/>
        <v>3055965478567.5044</v>
      </c>
      <c r="G1630" s="40">
        <f t="shared" ca="1" si="229"/>
        <v>16882375938262.109</v>
      </c>
      <c r="H1630" s="40">
        <f t="shared" ca="1" si="230"/>
        <v>3055965478567.5044</v>
      </c>
      <c r="I1630" s="40">
        <f t="shared" ca="1" si="231"/>
        <v>19367979215323.223</v>
      </c>
      <c r="J1630" s="40">
        <f t="shared" ca="1" si="232"/>
        <v>1196365704491.8999</v>
      </c>
      <c r="K1630" s="41">
        <f t="shared" ca="1" si="233"/>
        <v>16.189012391949884</v>
      </c>
    </row>
    <row r="1631" spans="2:11" ht="15" customHeight="1" x14ac:dyDescent="0.35">
      <c r="B1631" s="5">
        <v>1610</v>
      </c>
      <c r="C1631" s="39">
        <f t="shared" ca="1" si="225"/>
        <v>3.8885927235629874</v>
      </c>
      <c r="D1631" s="40">
        <f t="shared" ca="1" si="226"/>
        <v>18287262648.015301</v>
      </c>
      <c r="E1631" s="40">
        <f t="shared" ca="1" si="227"/>
        <v>149708378572760.09</v>
      </c>
      <c r="F1631" s="40">
        <f t="shared" ca="1" si="228"/>
        <v>2874528157967.0181</v>
      </c>
      <c r="G1631" s="40">
        <f t="shared" ca="1" si="229"/>
        <v>2538414209853.7168</v>
      </c>
      <c r="H1631" s="40">
        <f t="shared" ca="1" si="230"/>
        <v>149708378572760.09</v>
      </c>
      <c r="I1631" s="40">
        <f t="shared" ca="1" si="231"/>
        <v>1530385804101.5566</v>
      </c>
      <c r="J1631" s="40">
        <f t="shared" ca="1" si="232"/>
        <v>946907327921.60889</v>
      </c>
      <c r="K1631" s="41">
        <f t="shared" ca="1" si="233"/>
        <v>1.616193854429915</v>
      </c>
    </row>
    <row r="1632" spans="2:11" ht="15" customHeight="1" x14ac:dyDescent="0.35">
      <c r="B1632" s="5">
        <v>1611</v>
      </c>
      <c r="C1632" s="39">
        <f t="shared" ca="1" si="225"/>
        <v>3.4658548180643014</v>
      </c>
      <c r="D1632" s="40">
        <f t="shared" ca="1" si="226"/>
        <v>10910927996.209234</v>
      </c>
      <c r="E1632" s="40">
        <f t="shared" ca="1" si="227"/>
        <v>12187457694545.857</v>
      </c>
      <c r="F1632" s="40">
        <f t="shared" ca="1" si="228"/>
        <v>31097782538463.531</v>
      </c>
      <c r="G1632" s="40">
        <f t="shared" ca="1" si="229"/>
        <v>7174502464578.8955</v>
      </c>
      <c r="H1632" s="40">
        <f t="shared" ca="1" si="230"/>
        <v>31097782538463.531</v>
      </c>
      <c r="I1632" s="40">
        <f t="shared" ca="1" si="231"/>
        <v>17889967548111.211</v>
      </c>
      <c r="J1632" s="40">
        <f t="shared" ca="1" si="232"/>
        <v>1276418799807.5127</v>
      </c>
      <c r="K1632" s="41">
        <f t="shared" ca="1" si="233"/>
        <v>14.015750591270722</v>
      </c>
    </row>
    <row r="1633" spans="2:11" ht="15" customHeight="1" x14ac:dyDescent="0.35">
      <c r="B1633" s="5">
        <v>1612</v>
      </c>
      <c r="C1633" s="39">
        <f t="shared" ca="1" si="225"/>
        <v>3.078619661596846</v>
      </c>
      <c r="D1633" s="40">
        <f t="shared" ca="1" si="226"/>
        <v>5677607351.3206997</v>
      </c>
      <c r="E1633" s="40">
        <f t="shared" ca="1" si="227"/>
        <v>20176824332825.871</v>
      </c>
      <c r="F1633" s="40">
        <f t="shared" ca="1" si="228"/>
        <v>4350051424851.3013</v>
      </c>
      <c r="G1633" s="40">
        <f t="shared" ca="1" si="229"/>
        <v>2012178411032.6558</v>
      </c>
      <c r="H1633" s="40">
        <f t="shared" ca="1" si="230"/>
        <v>20176824332825.871</v>
      </c>
      <c r="I1633" s="40">
        <f t="shared" ca="1" si="231"/>
        <v>3265469555734.1514</v>
      </c>
      <c r="J1633" s="40">
        <f t="shared" ca="1" si="232"/>
        <v>1285748765040.2087</v>
      </c>
      <c r="K1633" s="41">
        <f t="shared" ca="1" si="233"/>
        <v>2.5397415455670544</v>
      </c>
    </row>
    <row r="1634" spans="2:11" ht="15" customHeight="1" x14ac:dyDescent="0.35">
      <c r="B1634" s="5">
        <v>1613</v>
      </c>
      <c r="C1634" s="39">
        <f t="shared" ca="1" si="225"/>
        <v>2.7047108673739473</v>
      </c>
      <c r="D1634" s="40">
        <f t="shared" ca="1" si="226"/>
        <v>2572072823.9950876</v>
      </c>
      <c r="E1634" s="40">
        <f t="shared" ca="1" si="227"/>
        <v>18745841235460.52</v>
      </c>
      <c r="F1634" s="40">
        <f t="shared" ca="1" si="228"/>
        <v>3258877584659.4868</v>
      </c>
      <c r="G1634" s="40">
        <f t="shared" ca="1" si="229"/>
        <v>1099464333941.91</v>
      </c>
      <c r="H1634" s="40">
        <f t="shared" ca="1" si="230"/>
        <v>1099464333941.91</v>
      </c>
      <c r="I1634" s="40">
        <f t="shared" ca="1" si="231"/>
        <v>16740200456450.311</v>
      </c>
      <c r="J1634" s="40">
        <f t="shared" ca="1" si="232"/>
        <v>1606298548641.2339</v>
      </c>
      <c r="K1634" s="41">
        <f t="shared" ca="1" si="233"/>
        <v>10.421599689927397</v>
      </c>
    </row>
    <row r="1635" spans="2:11" ht="15" customHeight="1" x14ac:dyDescent="0.35">
      <c r="B1635" s="5">
        <v>1614</v>
      </c>
      <c r="C1635" s="39">
        <f t="shared" ca="1" si="225"/>
        <v>3.1975402643071638</v>
      </c>
      <c r="D1635" s="40">
        <f t="shared" ca="1" si="226"/>
        <v>5800423214.1476707</v>
      </c>
      <c r="E1635" s="40">
        <f t="shared" ca="1" si="227"/>
        <v>7390323235038.7051</v>
      </c>
      <c r="F1635" s="40">
        <f t="shared" ca="1" si="228"/>
        <v>2874313405179.8359</v>
      </c>
      <c r="G1635" s="40">
        <f t="shared" ca="1" si="229"/>
        <v>3465665630402.4624</v>
      </c>
      <c r="H1635" s="40">
        <f t="shared" ca="1" si="230"/>
        <v>3465665630402.4624</v>
      </c>
      <c r="I1635" s="40">
        <f t="shared" ca="1" si="231"/>
        <v>79319183744830.719</v>
      </c>
      <c r="J1635" s="40">
        <f t="shared" ca="1" si="232"/>
        <v>599752813369.84973</v>
      </c>
      <c r="K1635" s="41">
        <f t="shared" ca="1" si="233"/>
        <v>132.25312491517556</v>
      </c>
    </row>
    <row r="1636" spans="2:11" ht="15" customHeight="1" x14ac:dyDescent="0.35">
      <c r="B1636" s="5">
        <v>1615</v>
      </c>
      <c r="C1636" s="39">
        <f t="shared" ca="1" si="225"/>
        <v>2.85066760990324</v>
      </c>
      <c r="D1636" s="40">
        <f t="shared" ca="1" si="226"/>
        <v>3864854247.5607176</v>
      </c>
      <c r="E1636" s="40">
        <f t="shared" ca="1" si="227"/>
        <v>7984989114042.6104</v>
      </c>
      <c r="F1636" s="40">
        <f t="shared" ca="1" si="228"/>
        <v>1777181804633.8811</v>
      </c>
      <c r="G1636" s="40">
        <f t="shared" ca="1" si="229"/>
        <v>2756818444295.187</v>
      </c>
      <c r="H1636" s="40">
        <f t="shared" ca="1" si="230"/>
        <v>2756818444295.187</v>
      </c>
      <c r="I1636" s="40">
        <f t="shared" ca="1" si="231"/>
        <v>7481646831431.0654</v>
      </c>
      <c r="J1636" s="40">
        <f t="shared" ca="1" si="232"/>
        <v>1374428862480.3843</v>
      </c>
      <c r="K1636" s="41">
        <f t="shared" ca="1" si="233"/>
        <v>5.4434587599748134</v>
      </c>
    </row>
    <row r="1637" spans="2:11" ht="15" customHeight="1" x14ac:dyDescent="0.35">
      <c r="B1637" s="5">
        <v>1616</v>
      </c>
      <c r="C1637" s="39">
        <f t="shared" ca="1" si="225"/>
        <v>2.8347455468677398</v>
      </c>
      <c r="D1637" s="40">
        <f t="shared" ca="1" si="226"/>
        <v>3887441450.0436311</v>
      </c>
      <c r="E1637" s="40">
        <f t="shared" ca="1" si="227"/>
        <v>3240490825326.1699</v>
      </c>
      <c r="F1637" s="40">
        <f t="shared" ca="1" si="228"/>
        <v>6538260122404.2461</v>
      </c>
      <c r="G1637" s="40">
        <f t="shared" ca="1" si="229"/>
        <v>3080355365233.9907</v>
      </c>
      <c r="H1637" s="40">
        <f t="shared" ca="1" si="230"/>
        <v>6538260122404.2461</v>
      </c>
      <c r="I1637" s="40">
        <f t="shared" ca="1" si="231"/>
        <v>895337657094793.25</v>
      </c>
      <c r="J1637" s="40">
        <f t="shared" ca="1" si="232"/>
        <v>818923371454.88916</v>
      </c>
      <c r="K1637" s="41">
        <f t="shared" ca="1" si="233"/>
        <v>1093.3106665452074</v>
      </c>
    </row>
    <row r="1638" spans="2:11" ht="15" customHeight="1" x14ac:dyDescent="0.35">
      <c r="B1638" s="5">
        <v>1617</v>
      </c>
      <c r="C1638" s="39">
        <f t="shared" ca="1" si="225"/>
        <v>3.2818270877463043</v>
      </c>
      <c r="D1638" s="40">
        <f t="shared" ca="1" si="226"/>
        <v>8579213731.1722574</v>
      </c>
      <c r="E1638" s="40">
        <f t="shared" ca="1" si="227"/>
        <v>7309549554092.79</v>
      </c>
      <c r="F1638" s="40">
        <f t="shared" ca="1" si="228"/>
        <v>551218147058.03845</v>
      </c>
      <c r="G1638" s="40">
        <f t="shared" ca="1" si="229"/>
        <v>296187040442.58569</v>
      </c>
      <c r="H1638" s="40">
        <f t="shared" ca="1" si="230"/>
        <v>296187040442.58569</v>
      </c>
      <c r="I1638" s="40">
        <f t="shared" ca="1" si="231"/>
        <v>24129766512118.313</v>
      </c>
      <c r="J1638" s="40">
        <f t="shared" ca="1" si="232"/>
        <v>1301196098903.262</v>
      </c>
      <c r="K1638" s="41">
        <f t="shared" ca="1" si="233"/>
        <v>18.544296691679715</v>
      </c>
    </row>
    <row r="1639" spans="2:11" ht="15" customHeight="1" x14ac:dyDescent="0.35">
      <c r="B1639" s="5">
        <v>1618</v>
      </c>
      <c r="C1639" s="39">
        <f t="shared" ca="1" si="225"/>
        <v>2.710261235952705</v>
      </c>
      <c r="D1639" s="40">
        <f t="shared" ca="1" si="226"/>
        <v>2580252819.9255824</v>
      </c>
      <c r="E1639" s="40">
        <f t="shared" ca="1" si="227"/>
        <v>5726638189143.4463</v>
      </c>
      <c r="F1639" s="40">
        <f t="shared" ca="1" si="228"/>
        <v>2070627517231.707</v>
      </c>
      <c r="G1639" s="40">
        <f t="shared" ca="1" si="229"/>
        <v>24246461098157.047</v>
      </c>
      <c r="H1639" s="40">
        <f t="shared" ca="1" si="230"/>
        <v>2070627517231.707</v>
      </c>
      <c r="I1639" s="40">
        <f t="shared" ca="1" si="231"/>
        <v>15985356348254.688</v>
      </c>
      <c r="J1639" s="40">
        <f t="shared" ca="1" si="232"/>
        <v>724104491189.48267</v>
      </c>
      <c r="K1639" s="41">
        <f t="shared" ca="1" si="233"/>
        <v>22.076035355057151</v>
      </c>
    </row>
    <row r="1640" spans="2:11" ht="15" customHeight="1" x14ac:dyDescent="0.35">
      <c r="B1640" s="5">
        <v>1619</v>
      </c>
      <c r="C1640" s="39">
        <f t="shared" ca="1" si="225"/>
        <v>3.6821744163649415</v>
      </c>
      <c r="D1640" s="40">
        <f t="shared" ca="1" si="226"/>
        <v>14306223917.760292</v>
      </c>
      <c r="E1640" s="40">
        <f t="shared" ca="1" si="227"/>
        <v>6761417070204.7559</v>
      </c>
      <c r="F1640" s="40">
        <f t="shared" ca="1" si="228"/>
        <v>3930610210985.8896</v>
      </c>
      <c r="G1640" s="40">
        <f t="shared" ca="1" si="229"/>
        <v>13913365513023.244</v>
      </c>
      <c r="H1640" s="40">
        <f t="shared" ca="1" si="230"/>
        <v>6761417070204.7559</v>
      </c>
      <c r="I1640" s="40">
        <f t="shared" ca="1" si="231"/>
        <v>237006624056588.25</v>
      </c>
      <c r="J1640" s="40">
        <f t="shared" ca="1" si="232"/>
        <v>1057983748305.9976</v>
      </c>
      <c r="K1640" s="41">
        <f t="shared" ca="1" si="233"/>
        <v>224.01726343724471</v>
      </c>
    </row>
    <row r="1641" spans="2:11" ht="15" customHeight="1" x14ac:dyDescent="0.35">
      <c r="B1641" s="5">
        <v>1620</v>
      </c>
      <c r="C1641" s="39">
        <f t="shared" ca="1" si="225"/>
        <v>2.6355429715717231</v>
      </c>
      <c r="D1641" s="40">
        <f t="shared" ca="1" si="226"/>
        <v>2718993726.7673736</v>
      </c>
      <c r="E1641" s="40">
        <f t="shared" ca="1" si="227"/>
        <v>11573232437247.037</v>
      </c>
      <c r="F1641" s="40">
        <f t="shared" ca="1" si="228"/>
        <v>757778508873.88489</v>
      </c>
      <c r="G1641" s="40">
        <f t="shared" ca="1" si="229"/>
        <v>15150307844226.514</v>
      </c>
      <c r="H1641" s="40">
        <f t="shared" ca="1" si="230"/>
        <v>15150307844226.514</v>
      </c>
      <c r="I1641" s="40">
        <f t="shared" ca="1" si="231"/>
        <v>12520758619192.588</v>
      </c>
      <c r="J1641" s="40">
        <f t="shared" ca="1" si="232"/>
        <v>537713167650.49438</v>
      </c>
      <c r="K1641" s="41">
        <f t="shared" ca="1" si="233"/>
        <v>23.285199940148939</v>
      </c>
    </row>
    <row r="1642" spans="2:11" ht="15" customHeight="1" x14ac:dyDescent="0.35">
      <c r="B1642" s="5">
        <v>1621</v>
      </c>
      <c r="C1642" s="39">
        <f t="shared" ca="1" si="225"/>
        <v>3.2777277584151947</v>
      </c>
      <c r="D1642" s="40">
        <f t="shared" ca="1" si="226"/>
        <v>8115331083.1892042</v>
      </c>
      <c r="E1642" s="40">
        <f t="shared" ca="1" si="227"/>
        <v>6883401258379.6221</v>
      </c>
      <c r="F1642" s="40">
        <f t="shared" ca="1" si="228"/>
        <v>11454486882538.756</v>
      </c>
      <c r="G1642" s="40">
        <f t="shared" ca="1" si="229"/>
        <v>10222313360945.316</v>
      </c>
      <c r="H1642" s="40">
        <f t="shared" ca="1" si="230"/>
        <v>11454486882538.756</v>
      </c>
      <c r="I1642" s="40">
        <f t="shared" ca="1" si="231"/>
        <v>35780624826507.641</v>
      </c>
      <c r="J1642" s="40">
        <f t="shared" ca="1" si="232"/>
        <v>842770498098.45154</v>
      </c>
      <c r="K1642" s="41">
        <f t="shared" ca="1" si="233"/>
        <v>42.455953201066833</v>
      </c>
    </row>
    <row r="1643" spans="2:11" ht="15" customHeight="1" x14ac:dyDescent="0.35">
      <c r="B1643" s="5">
        <v>1622</v>
      </c>
      <c r="C1643" s="39">
        <f t="shared" ca="1" si="225"/>
        <v>3.7484260684620554</v>
      </c>
      <c r="D1643" s="40">
        <f t="shared" ca="1" si="226"/>
        <v>12005890829.312561</v>
      </c>
      <c r="E1643" s="40">
        <f t="shared" ca="1" si="227"/>
        <v>14708778495435.705</v>
      </c>
      <c r="F1643" s="40">
        <f t="shared" ca="1" si="228"/>
        <v>2002892326842.9004</v>
      </c>
      <c r="G1643" s="40">
        <f t="shared" ca="1" si="229"/>
        <v>4240180370225.3848</v>
      </c>
      <c r="H1643" s="40">
        <f t="shared" ca="1" si="230"/>
        <v>4240180370225.3848</v>
      </c>
      <c r="I1643" s="40">
        <f t="shared" ca="1" si="231"/>
        <v>173938383514105.78</v>
      </c>
      <c r="J1643" s="40">
        <f t="shared" ca="1" si="232"/>
        <v>1227160979954.6875</v>
      </c>
      <c r="K1643" s="41">
        <f t="shared" ca="1" si="233"/>
        <v>141.74047770043046</v>
      </c>
    </row>
    <row r="1644" spans="2:11" ht="15" customHeight="1" x14ac:dyDescent="0.35">
      <c r="B1644" s="5">
        <v>1623</v>
      </c>
      <c r="C1644" s="39">
        <f t="shared" ca="1" si="225"/>
        <v>3.1147663537703232</v>
      </c>
      <c r="D1644" s="40">
        <f t="shared" ca="1" si="226"/>
        <v>6432631302.8616753</v>
      </c>
      <c r="E1644" s="40">
        <f t="shared" ca="1" si="227"/>
        <v>19991325115984.777</v>
      </c>
      <c r="F1644" s="40">
        <f t="shared" ca="1" si="228"/>
        <v>1853440264764.126</v>
      </c>
      <c r="G1644" s="40">
        <f t="shared" ca="1" si="229"/>
        <v>3699859110319.4897</v>
      </c>
      <c r="H1644" s="40">
        <f t="shared" ca="1" si="230"/>
        <v>3699859110319.4897</v>
      </c>
      <c r="I1644" s="40">
        <f t="shared" ca="1" si="231"/>
        <v>14387212098951.553</v>
      </c>
      <c r="J1644" s="40">
        <f t="shared" ca="1" si="232"/>
        <v>482666284609.88879</v>
      </c>
      <c r="K1644" s="41">
        <f t="shared" ca="1" si="233"/>
        <v>29.807783467991563</v>
      </c>
    </row>
    <row r="1645" spans="2:11" ht="15" customHeight="1" x14ac:dyDescent="0.35">
      <c r="B1645" s="5">
        <v>1624</v>
      </c>
      <c r="C1645" s="39">
        <f t="shared" ca="1" si="225"/>
        <v>2.2347698837862198</v>
      </c>
      <c r="D1645" s="40">
        <f t="shared" ca="1" si="226"/>
        <v>1158560921.9494758</v>
      </c>
      <c r="E1645" s="40">
        <f t="shared" ca="1" si="227"/>
        <v>1679171019484.7219</v>
      </c>
      <c r="F1645" s="40">
        <f t="shared" ca="1" si="228"/>
        <v>5361659339710.9033</v>
      </c>
      <c r="G1645" s="40">
        <f t="shared" ca="1" si="229"/>
        <v>12859989573542.514</v>
      </c>
      <c r="H1645" s="40">
        <f t="shared" ca="1" si="230"/>
        <v>5361659339710.9033</v>
      </c>
      <c r="I1645" s="40">
        <f t="shared" ca="1" si="231"/>
        <v>8019223300500.7012</v>
      </c>
      <c r="J1645" s="40">
        <f t="shared" ca="1" si="232"/>
        <v>967189019255.76807</v>
      </c>
      <c r="K1645" s="41">
        <f t="shared" ca="1" si="233"/>
        <v>8.291267932995483</v>
      </c>
    </row>
    <row r="1646" spans="2:11" ht="15" customHeight="1" x14ac:dyDescent="0.35">
      <c r="B1646" s="5">
        <v>1625</v>
      </c>
      <c r="C1646" s="39">
        <f t="shared" ca="1" si="225"/>
        <v>3.6996017068773916</v>
      </c>
      <c r="D1646" s="40">
        <f t="shared" ca="1" si="226"/>
        <v>12717469800.558376</v>
      </c>
      <c r="E1646" s="40">
        <f t="shared" ca="1" si="227"/>
        <v>52482394850018.313</v>
      </c>
      <c r="F1646" s="40">
        <f t="shared" ca="1" si="228"/>
        <v>2841239088799.1768</v>
      </c>
      <c r="G1646" s="40">
        <f t="shared" ca="1" si="229"/>
        <v>4295140686122.0366</v>
      </c>
      <c r="H1646" s="40">
        <f t="shared" ca="1" si="230"/>
        <v>2841239088799.1768</v>
      </c>
      <c r="I1646" s="40">
        <f t="shared" ca="1" si="231"/>
        <v>12322897668691.156</v>
      </c>
      <c r="J1646" s="40">
        <f t="shared" ca="1" si="232"/>
        <v>648926320359.68835</v>
      </c>
      <c r="K1646" s="41">
        <f t="shared" ca="1" si="233"/>
        <v>18.989671526747124</v>
      </c>
    </row>
    <row r="1647" spans="2:11" ht="15" customHeight="1" x14ac:dyDescent="0.35">
      <c r="B1647" s="5">
        <v>1626</v>
      </c>
      <c r="C1647" s="39">
        <f t="shared" ca="1" si="225"/>
        <v>2.4646251513123447</v>
      </c>
      <c r="D1647" s="40">
        <f t="shared" ca="1" si="226"/>
        <v>1862363779.8066013</v>
      </c>
      <c r="E1647" s="40">
        <f t="shared" ca="1" si="227"/>
        <v>457194849148.10846</v>
      </c>
      <c r="F1647" s="40">
        <f t="shared" ca="1" si="228"/>
        <v>4901212161554.7891</v>
      </c>
      <c r="G1647" s="40">
        <f t="shared" ca="1" si="229"/>
        <v>26918305118524.625</v>
      </c>
      <c r="H1647" s="40">
        <f t="shared" ca="1" si="230"/>
        <v>457194849148.10846</v>
      </c>
      <c r="I1647" s="40">
        <f t="shared" ca="1" si="231"/>
        <v>2610308397702.0195</v>
      </c>
      <c r="J1647" s="40">
        <f t="shared" ca="1" si="232"/>
        <v>1668322604686.4741</v>
      </c>
      <c r="K1647" s="41">
        <f t="shared" ca="1" si="233"/>
        <v>1.5646304799619806</v>
      </c>
    </row>
    <row r="1648" spans="2:11" ht="15" customHeight="1" x14ac:dyDescent="0.35">
      <c r="B1648" s="5">
        <v>1627</v>
      </c>
      <c r="C1648" s="39">
        <f t="shared" ca="1" si="225"/>
        <v>3.0453821261111882</v>
      </c>
      <c r="D1648" s="40">
        <f t="shared" ca="1" si="226"/>
        <v>5197789943.5306482</v>
      </c>
      <c r="E1648" s="40">
        <f t="shared" ca="1" si="227"/>
        <v>7276677936376.2617</v>
      </c>
      <c r="F1648" s="40">
        <f t="shared" ca="1" si="228"/>
        <v>1852458462009.0886</v>
      </c>
      <c r="G1648" s="40">
        <f t="shared" ca="1" si="229"/>
        <v>181474434823440.63</v>
      </c>
      <c r="H1648" s="40">
        <f t="shared" ca="1" si="230"/>
        <v>7276677936376.2617</v>
      </c>
      <c r="I1648" s="40">
        <f t="shared" ca="1" si="231"/>
        <v>4404974177818.1563</v>
      </c>
      <c r="J1648" s="40">
        <f t="shared" ca="1" si="232"/>
        <v>1548160995543.9905</v>
      </c>
      <c r="K1648" s="41">
        <f t="shared" ca="1" si="233"/>
        <v>2.8452946369898324</v>
      </c>
    </row>
    <row r="1649" spans="2:11" ht="15" customHeight="1" x14ac:dyDescent="0.35">
      <c r="B1649" s="5">
        <v>1628</v>
      </c>
      <c r="C1649" s="39">
        <f t="shared" ca="1" si="225"/>
        <v>3.2974572326146525</v>
      </c>
      <c r="D1649" s="40">
        <f t="shared" ca="1" si="226"/>
        <v>7379310094.4608202</v>
      </c>
      <c r="E1649" s="40">
        <f t="shared" ca="1" si="227"/>
        <v>10820928256056.098</v>
      </c>
      <c r="F1649" s="40">
        <f t="shared" ca="1" si="228"/>
        <v>925344935109.59607</v>
      </c>
      <c r="G1649" s="40">
        <f t="shared" ca="1" si="229"/>
        <v>5863567733066.79</v>
      </c>
      <c r="H1649" s="40">
        <f t="shared" ca="1" si="230"/>
        <v>925344935109.59607</v>
      </c>
      <c r="I1649" s="40">
        <f t="shared" ca="1" si="231"/>
        <v>6157072804777.7676</v>
      </c>
      <c r="J1649" s="40">
        <f t="shared" ca="1" si="232"/>
        <v>1480564958956.3394</v>
      </c>
      <c r="K1649" s="41">
        <f t="shared" ca="1" si="233"/>
        <v>4.1585968704256864</v>
      </c>
    </row>
    <row r="1650" spans="2:11" ht="15" customHeight="1" x14ac:dyDescent="0.35">
      <c r="B1650" s="5">
        <v>1629</v>
      </c>
      <c r="C1650" s="39">
        <f t="shared" ca="1" si="225"/>
        <v>3.2827841443651371</v>
      </c>
      <c r="D1650" s="40">
        <f t="shared" ca="1" si="226"/>
        <v>9096036934.7553539</v>
      </c>
      <c r="E1650" s="40">
        <f t="shared" ca="1" si="227"/>
        <v>4981843034778.583</v>
      </c>
      <c r="F1650" s="40">
        <f t="shared" ca="1" si="228"/>
        <v>2564227118493.8335</v>
      </c>
      <c r="G1650" s="40">
        <f t="shared" ca="1" si="229"/>
        <v>4777056633736.7676</v>
      </c>
      <c r="H1650" s="40">
        <f t="shared" ca="1" si="230"/>
        <v>2564227118493.8335</v>
      </c>
      <c r="I1650" s="40">
        <f t="shared" ca="1" si="231"/>
        <v>72760838674898.484</v>
      </c>
      <c r="J1650" s="40">
        <f t="shared" ca="1" si="232"/>
        <v>1445754554787.7544</v>
      </c>
      <c r="K1650" s="41">
        <f t="shared" ca="1" si="233"/>
        <v>50.327241532073344</v>
      </c>
    </row>
    <row r="1651" spans="2:11" ht="15" customHeight="1" x14ac:dyDescent="0.35">
      <c r="B1651" s="5">
        <v>1630</v>
      </c>
      <c r="C1651" s="39">
        <f t="shared" ca="1" si="225"/>
        <v>3.4297704629216286</v>
      </c>
      <c r="D1651" s="40">
        <f t="shared" ca="1" si="226"/>
        <v>10352115155.859068</v>
      </c>
      <c r="E1651" s="40">
        <f t="shared" ca="1" si="227"/>
        <v>24466113845673.996</v>
      </c>
      <c r="F1651" s="40">
        <f t="shared" ca="1" si="228"/>
        <v>1085245468960.1766</v>
      </c>
      <c r="G1651" s="40">
        <f t="shared" ca="1" si="229"/>
        <v>7080338590850.207</v>
      </c>
      <c r="H1651" s="40">
        <f t="shared" ca="1" si="230"/>
        <v>24466113845673.996</v>
      </c>
      <c r="I1651" s="40">
        <f t="shared" ca="1" si="231"/>
        <v>36715423520808.094</v>
      </c>
      <c r="J1651" s="40">
        <f t="shared" ca="1" si="232"/>
        <v>1158847696192.4946</v>
      </c>
      <c r="K1651" s="41">
        <f t="shared" ca="1" si="233"/>
        <v>31.68269966919738</v>
      </c>
    </row>
    <row r="1652" spans="2:11" ht="15" customHeight="1" x14ac:dyDescent="0.35">
      <c r="B1652" s="5">
        <v>1631</v>
      </c>
      <c r="C1652" s="39">
        <f t="shared" ca="1" si="225"/>
        <v>2.2166207211537978</v>
      </c>
      <c r="D1652" s="40">
        <f t="shared" ca="1" si="226"/>
        <v>926487683.52453959</v>
      </c>
      <c r="E1652" s="40">
        <f t="shared" ca="1" si="227"/>
        <v>10373426602315.051</v>
      </c>
      <c r="F1652" s="40">
        <f t="shared" ca="1" si="228"/>
        <v>8175899895654.1387</v>
      </c>
      <c r="G1652" s="40">
        <f t="shared" ca="1" si="229"/>
        <v>5185769993541.5889</v>
      </c>
      <c r="H1652" s="40">
        <f t="shared" ca="1" si="230"/>
        <v>10373426602315.051</v>
      </c>
      <c r="I1652" s="40">
        <f t="shared" ca="1" si="231"/>
        <v>11363376349061.17</v>
      </c>
      <c r="J1652" s="40">
        <f t="shared" ca="1" si="232"/>
        <v>1252693811339.9902</v>
      </c>
      <c r="K1652" s="41">
        <f t="shared" ca="1" si="233"/>
        <v>9.0711523009009802</v>
      </c>
    </row>
    <row r="1653" spans="2:11" ht="15" customHeight="1" x14ac:dyDescent="0.35">
      <c r="B1653" s="5">
        <v>1632</v>
      </c>
      <c r="C1653" s="39">
        <f t="shared" ca="1" si="225"/>
        <v>3.7666682337079007</v>
      </c>
      <c r="D1653" s="40">
        <f t="shared" ca="1" si="226"/>
        <v>13134393833.893776</v>
      </c>
      <c r="E1653" s="40">
        <f t="shared" ca="1" si="227"/>
        <v>18017294479626.066</v>
      </c>
      <c r="F1653" s="40">
        <f t="shared" ca="1" si="228"/>
        <v>2365199698725.8291</v>
      </c>
      <c r="G1653" s="40">
        <f t="shared" ca="1" si="229"/>
        <v>2538867781295.0562</v>
      </c>
      <c r="H1653" s="40">
        <f t="shared" ca="1" si="230"/>
        <v>2538867781295.0562</v>
      </c>
      <c r="I1653" s="40">
        <f t="shared" ca="1" si="231"/>
        <v>3746559527695.8511</v>
      </c>
      <c r="J1653" s="40">
        <f t="shared" ca="1" si="232"/>
        <v>821615926940.98267</v>
      </c>
      <c r="K1653" s="41">
        <f t="shared" ca="1" si="233"/>
        <v>4.559988925293764</v>
      </c>
    </row>
    <row r="1654" spans="2:11" ht="15" customHeight="1" x14ac:dyDescent="0.35">
      <c r="B1654" s="5">
        <v>1633</v>
      </c>
      <c r="C1654" s="39">
        <f t="shared" ca="1" si="225"/>
        <v>3.394076268015747</v>
      </c>
      <c r="D1654" s="40">
        <f t="shared" ca="1" si="226"/>
        <v>7848442692.2300644</v>
      </c>
      <c r="E1654" s="40">
        <f t="shared" ca="1" si="227"/>
        <v>23266905366049.852</v>
      </c>
      <c r="F1654" s="40">
        <f t="shared" ca="1" si="228"/>
        <v>2285241102689.8701</v>
      </c>
      <c r="G1654" s="40">
        <f t="shared" ca="1" si="229"/>
        <v>13115861552179.131</v>
      </c>
      <c r="H1654" s="40">
        <f t="shared" ca="1" si="230"/>
        <v>23266905366049.852</v>
      </c>
      <c r="I1654" s="40">
        <f t="shared" ca="1" si="231"/>
        <v>7756660529275.8506</v>
      </c>
      <c r="J1654" s="40">
        <f t="shared" ca="1" si="232"/>
        <v>1536221199439.4011</v>
      </c>
      <c r="K1654" s="41">
        <f t="shared" ca="1" si="233"/>
        <v>5.0491820657769964</v>
      </c>
    </row>
    <row r="1655" spans="2:11" ht="15" customHeight="1" x14ac:dyDescent="0.35">
      <c r="B1655" s="5">
        <v>1634</v>
      </c>
      <c r="C1655" s="39">
        <f t="shared" ca="1" si="225"/>
        <v>3.1985057558140046</v>
      </c>
      <c r="D1655" s="40">
        <f t="shared" ca="1" si="226"/>
        <v>5374249850.6675148</v>
      </c>
      <c r="E1655" s="40">
        <f t="shared" ca="1" si="227"/>
        <v>18052963037288.824</v>
      </c>
      <c r="F1655" s="40">
        <f t="shared" ca="1" si="228"/>
        <v>3052388242957.9741</v>
      </c>
      <c r="G1655" s="40">
        <f t="shared" ca="1" si="229"/>
        <v>15065641925362.611</v>
      </c>
      <c r="H1655" s="40">
        <f t="shared" ca="1" si="230"/>
        <v>15065641925362.611</v>
      </c>
      <c r="I1655" s="40">
        <f t="shared" ca="1" si="231"/>
        <v>56959462619096.773</v>
      </c>
      <c r="J1655" s="40">
        <f t="shared" ca="1" si="232"/>
        <v>1113973751066.3623</v>
      </c>
      <c r="K1655" s="41">
        <f t="shared" ca="1" si="233"/>
        <v>51.131781664129669</v>
      </c>
    </row>
    <row r="1656" spans="2:11" ht="15" customHeight="1" x14ac:dyDescent="0.35">
      <c r="B1656" s="5">
        <v>1635</v>
      </c>
      <c r="C1656" s="39">
        <f t="shared" ca="1" si="225"/>
        <v>3.1355157928296813</v>
      </c>
      <c r="D1656" s="40">
        <f t="shared" ca="1" si="226"/>
        <v>5356057929.8848791</v>
      </c>
      <c r="E1656" s="40">
        <f t="shared" ca="1" si="227"/>
        <v>13980984976673.121</v>
      </c>
      <c r="F1656" s="40">
        <f t="shared" ca="1" si="228"/>
        <v>2362979125554.5903</v>
      </c>
      <c r="G1656" s="40">
        <f t="shared" ca="1" si="229"/>
        <v>27497764906478.152</v>
      </c>
      <c r="H1656" s="40">
        <f t="shared" ca="1" si="230"/>
        <v>13980984976673.121</v>
      </c>
      <c r="I1656" s="40">
        <f t="shared" ca="1" si="231"/>
        <v>7682603748429.6826</v>
      </c>
      <c r="J1656" s="40">
        <f t="shared" ca="1" si="232"/>
        <v>1109123755162.5237</v>
      </c>
      <c r="K1656" s="41">
        <f t="shared" ca="1" si="233"/>
        <v>6.92673266862265</v>
      </c>
    </row>
    <row r="1657" spans="2:11" ht="15" customHeight="1" x14ac:dyDescent="0.35">
      <c r="B1657" s="5">
        <v>1636</v>
      </c>
      <c r="C1657" s="39">
        <f t="shared" ca="1" si="225"/>
        <v>3.6272675652471689</v>
      </c>
      <c r="D1657" s="40">
        <f t="shared" ca="1" si="226"/>
        <v>14274207253.248354</v>
      </c>
      <c r="E1657" s="40">
        <f t="shared" ca="1" si="227"/>
        <v>77082275242666.469</v>
      </c>
      <c r="F1657" s="40">
        <f t="shared" ca="1" si="228"/>
        <v>1463354921535.7107</v>
      </c>
      <c r="G1657" s="40">
        <f t="shared" ca="1" si="229"/>
        <v>22671233926569.793</v>
      </c>
      <c r="H1657" s="40">
        <f t="shared" ca="1" si="230"/>
        <v>77082275242666.469</v>
      </c>
      <c r="I1657" s="40">
        <f t="shared" ca="1" si="231"/>
        <v>3698439223299.7803</v>
      </c>
      <c r="J1657" s="40">
        <f t="shared" ca="1" si="232"/>
        <v>1154560823208.5903</v>
      </c>
      <c r="K1657" s="41">
        <f t="shared" ca="1" si="233"/>
        <v>3.2033299146783856</v>
      </c>
    </row>
    <row r="1658" spans="2:11" ht="15" customHeight="1" x14ac:dyDescent="0.35">
      <c r="B1658" s="5">
        <v>1637</v>
      </c>
      <c r="C1658" s="39">
        <f t="shared" ca="1" si="225"/>
        <v>3.4465691158533298</v>
      </c>
      <c r="D1658" s="40">
        <f t="shared" ca="1" si="226"/>
        <v>10757600441.113247</v>
      </c>
      <c r="E1658" s="40">
        <f t="shared" ca="1" si="227"/>
        <v>16271291369766.242</v>
      </c>
      <c r="F1658" s="40">
        <f t="shared" ca="1" si="228"/>
        <v>4983696296579.623</v>
      </c>
      <c r="G1658" s="40">
        <f t="shared" ca="1" si="229"/>
        <v>4332728620350.9609</v>
      </c>
      <c r="H1658" s="40">
        <f t="shared" ca="1" si="230"/>
        <v>4332728620350.9609</v>
      </c>
      <c r="I1658" s="40">
        <f t="shared" ca="1" si="231"/>
        <v>4223879039399.3877</v>
      </c>
      <c r="J1658" s="40">
        <f t="shared" ca="1" si="232"/>
        <v>704205261434.2937</v>
      </c>
      <c r="K1658" s="41">
        <f t="shared" ca="1" si="233"/>
        <v>5.998079353733285</v>
      </c>
    </row>
    <row r="1659" spans="2:11" ht="15" customHeight="1" x14ac:dyDescent="0.35">
      <c r="B1659" s="5">
        <v>1638</v>
      </c>
      <c r="C1659" s="39">
        <f t="shared" ca="1" si="225"/>
        <v>3.9074504602530937</v>
      </c>
      <c r="D1659" s="40">
        <f t="shared" ca="1" si="226"/>
        <v>16482661384.508184</v>
      </c>
      <c r="E1659" s="40">
        <f t="shared" ca="1" si="227"/>
        <v>30568063097253.27</v>
      </c>
      <c r="F1659" s="40">
        <f t="shared" ca="1" si="228"/>
        <v>892878679322.04187</v>
      </c>
      <c r="G1659" s="40">
        <f t="shared" ca="1" si="229"/>
        <v>702720069319.37939</v>
      </c>
      <c r="H1659" s="40">
        <f t="shared" ca="1" si="230"/>
        <v>892878679322.04187</v>
      </c>
      <c r="I1659" s="40">
        <f t="shared" ca="1" si="231"/>
        <v>14728349702174.443</v>
      </c>
      <c r="J1659" s="40">
        <f t="shared" ca="1" si="232"/>
        <v>1620181268024.3228</v>
      </c>
      <c r="K1659" s="41">
        <f t="shared" ca="1" si="233"/>
        <v>9.090556712913024</v>
      </c>
    </row>
    <row r="1660" spans="2:11" ht="15" customHeight="1" x14ac:dyDescent="0.35">
      <c r="B1660" s="5">
        <v>1639</v>
      </c>
      <c r="C1660" s="39">
        <f t="shared" ca="1" si="225"/>
        <v>3.0371188910141371</v>
      </c>
      <c r="D1660" s="40">
        <f t="shared" ca="1" si="226"/>
        <v>5860413336.1389256</v>
      </c>
      <c r="E1660" s="40">
        <f t="shared" ca="1" si="227"/>
        <v>1318698700083.3647</v>
      </c>
      <c r="F1660" s="40">
        <f t="shared" ca="1" si="228"/>
        <v>4524185889820.9023</v>
      </c>
      <c r="G1660" s="40">
        <f t="shared" ca="1" si="229"/>
        <v>14715278558716.234</v>
      </c>
      <c r="H1660" s="40">
        <f t="shared" ca="1" si="230"/>
        <v>1318698700083.3647</v>
      </c>
      <c r="I1660" s="40">
        <f t="shared" ca="1" si="231"/>
        <v>4362581193119.7979</v>
      </c>
      <c r="J1660" s="40">
        <f t="shared" ca="1" si="232"/>
        <v>460157596895.50061</v>
      </c>
      <c r="K1660" s="41">
        <f t="shared" ca="1" si="233"/>
        <v>9.4806240786904077</v>
      </c>
    </row>
    <row r="1661" spans="2:11" ht="15" customHeight="1" x14ac:dyDescent="0.35">
      <c r="B1661" s="5">
        <v>1640</v>
      </c>
      <c r="C1661" s="39">
        <f t="shared" ca="1" si="225"/>
        <v>2.8697636456164641</v>
      </c>
      <c r="D1661" s="40">
        <f t="shared" ca="1" si="226"/>
        <v>4375303344.2504692</v>
      </c>
      <c r="E1661" s="40">
        <f t="shared" ca="1" si="227"/>
        <v>33597008235384.402</v>
      </c>
      <c r="F1661" s="40">
        <f t="shared" ca="1" si="228"/>
        <v>2628780249625.959</v>
      </c>
      <c r="G1661" s="40">
        <f t="shared" ca="1" si="229"/>
        <v>3367341001688.7666</v>
      </c>
      <c r="H1661" s="40">
        <f t="shared" ca="1" si="230"/>
        <v>2628780249625.959</v>
      </c>
      <c r="I1661" s="40">
        <f t="shared" ca="1" si="231"/>
        <v>8848703337930.7988</v>
      </c>
      <c r="J1661" s="40">
        <f t="shared" ca="1" si="232"/>
        <v>1159360966735.0984</v>
      </c>
      <c r="K1661" s="41">
        <f t="shared" ca="1" si="233"/>
        <v>7.6323971496554908</v>
      </c>
    </row>
    <row r="1662" spans="2:11" ht="15" customHeight="1" x14ac:dyDescent="0.35">
      <c r="B1662" s="5">
        <v>1641</v>
      </c>
      <c r="C1662" s="39">
        <f t="shared" ca="1" si="225"/>
        <v>3.225716310673489</v>
      </c>
      <c r="D1662" s="40">
        <f t="shared" ca="1" si="226"/>
        <v>6278877627.7038231</v>
      </c>
      <c r="E1662" s="40">
        <f t="shared" ca="1" si="227"/>
        <v>51486394132127.773</v>
      </c>
      <c r="F1662" s="40">
        <f t="shared" ca="1" si="228"/>
        <v>7839691562262.3584</v>
      </c>
      <c r="G1662" s="40">
        <f t="shared" ca="1" si="229"/>
        <v>2233032150908.4502</v>
      </c>
      <c r="H1662" s="40">
        <f t="shared" ca="1" si="230"/>
        <v>7839691562262.3584</v>
      </c>
      <c r="I1662" s="40">
        <f t="shared" ca="1" si="231"/>
        <v>698450500516.00159</v>
      </c>
      <c r="J1662" s="40">
        <f t="shared" ca="1" si="232"/>
        <v>619374205797.29272</v>
      </c>
      <c r="K1662" s="41">
        <f t="shared" ca="1" si="233"/>
        <v>1.1276712752622908</v>
      </c>
    </row>
    <row r="1663" spans="2:11" ht="15" customHeight="1" x14ac:dyDescent="0.35">
      <c r="B1663" s="5">
        <v>1642</v>
      </c>
      <c r="C1663" s="39">
        <f t="shared" ca="1" si="225"/>
        <v>2.8561675701447871</v>
      </c>
      <c r="D1663" s="40">
        <f t="shared" ca="1" si="226"/>
        <v>3808581703.7392902</v>
      </c>
      <c r="E1663" s="40">
        <f t="shared" ca="1" si="227"/>
        <v>74554636986503.844</v>
      </c>
      <c r="F1663" s="40">
        <f t="shared" ca="1" si="228"/>
        <v>754452463961.50745</v>
      </c>
      <c r="G1663" s="40">
        <f t="shared" ca="1" si="229"/>
        <v>1573907121986.2727</v>
      </c>
      <c r="H1663" s="40">
        <f t="shared" ca="1" si="230"/>
        <v>754452463961.50745</v>
      </c>
      <c r="I1663" s="40">
        <f t="shared" ca="1" si="231"/>
        <v>20965795953149.742</v>
      </c>
      <c r="J1663" s="40">
        <f t="shared" ca="1" si="232"/>
        <v>652925638874.6781</v>
      </c>
      <c r="K1663" s="41">
        <f t="shared" ca="1" si="233"/>
        <v>32.110541698568369</v>
      </c>
    </row>
    <row r="1664" spans="2:11" ht="15" customHeight="1" x14ac:dyDescent="0.35">
      <c r="B1664" s="5">
        <v>1643</v>
      </c>
      <c r="C1664" s="39">
        <f t="shared" ca="1" si="225"/>
        <v>2.0761949050660737</v>
      </c>
      <c r="D1664" s="40">
        <f t="shared" ca="1" si="226"/>
        <v>643501367.0113188</v>
      </c>
      <c r="E1664" s="40">
        <f t="shared" ca="1" si="227"/>
        <v>2187654184341.9968</v>
      </c>
      <c r="F1664" s="40">
        <f t="shared" ca="1" si="228"/>
        <v>4036878966539.1489</v>
      </c>
      <c r="G1664" s="40">
        <f t="shared" ca="1" si="229"/>
        <v>18157452434407.156</v>
      </c>
      <c r="H1664" s="40">
        <f t="shared" ca="1" si="230"/>
        <v>18157452434407.156</v>
      </c>
      <c r="I1664" s="40">
        <f t="shared" ca="1" si="231"/>
        <v>533379213899.54041</v>
      </c>
      <c r="J1664" s="40">
        <f t="shared" ca="1" si="232"/>
        <v>470050029130.63446</v>
      </c>
      <c r="K1664" s="41">
        <f t="shared" ca="1" si="233"/>
        <v>1.1347286051359988</v>
      </c>
    </row>
    <row r="1665" spans="2:11" ht="15" customHeight="1" x14ac:dyDescent="0.35">
      <c r="B1665" s="5">
        <v>1644</v>
      </c>
      <c r="C1665" s="39">
        <f t="shared" ca="1" si="225"/>
        <v>2.7897130083572335</v>
      </c>
      <c r="D1665" s="40">
        <f t="shared" ca="1" si="226"/>
        <v>3687847121.4471979</v>
      </c>
      <c r="E1665" s="40">
        <f t="shared" ca="1" si="227"/>
        <v>4844898484263.5557</v>
      </c>
      <c r="F1665" s="40">
        <f t="shared" ca="1" si="228"/>
        <v>2720484058616.9263</v>
      </c>
      <c r="G1665" s="40">
        <f t="shared" ca="1" si="229"/>
        <v>10467881136777.268</v>
      </c>
      <c r="H1665" s="40">
        <f t="shared" ca="1" si="230"/>
        <v>2720484058616.9263</v>
      </c>
      <c r="I1665" s="40">
        <f t="shared" ca="1" si="231"/>
        <v>4173830679389.0195</v>
      </c>
      <c r="J1665" s="40">
        <f t="shared" ca="1" si="232"/>
        <v>689736368096.41504</v>
      </c>
      <c r="K1665" s="41">
        <f t="shared" ca="1" si="233"/>
        <v>6.0513420379851262</v>
      </c>
    </row>
    <row r="1666" spans="2:11" ht="15" customHeight="1" x14ac:dyDescent="0.35">
      <c r="B1666" s="5">
        <v>1645</v>
      </c>
      <c r="C1666" s="39">
        <f t="shared" ca="1" si="225"/>
        <v>3.0416464154799758</v>
      </c>
      <c r="D1666" s="40">
        <f t="shared" ca="1" si="226"/>
        <v>5736121058.2604513</v>
      </c>
      <c r="E1666" s="40">
        <f t="shared" ca="1" si="227"/>
        <v>9428400235152.3633</v>
      </c>
      <c r="F1666" s="40">
        <f t="shared" ca="1" si="228"/>
        <v>7519545309212.4717</v>
      </c>
      <c r="G1666" s="40">
        <f t="shared" ca="1" si="229"/>
        <v>268208432580.61597</v>
      </c>
      <c r="H1666" s="40">
        <f t="shared" ca="1" si="230"/>
        <v>7519545309212.4717</v>
      </c>
      <c r="I1666" s="40">
        <f t="shared" ca="1" si="231"/>
        <v>12972677840145.773</v>
      </c>
      <c r="J1666" s="40">
        <f t="shared" ca="1" si="232"/>
        <v>1525396004847.4751</v>
      </c>
      <c r="K1666" s="41">
        <f t="shared" ca="1" si="233"/>
        <v>8.5044655938002904</v>
      </c>
    </row>
    <row r="1667" spans="2:11" ht="15" customHeight="1" x14ac:dyDescent="0.35">
      <c r="B1667" s="5">
        <v>1646</v>
      </c>
      <c r="C1667" s="39">
        <f t="shared" ca="1" si="225"/>
        <v>3.2759862825846184</v>
      </c>
      <c r="D1667" s="40">
        <f t="shared" ca="1" si="226"/>
        <v>7405418217.954071</v>
      </c>
      <c r="E1667" s="40">
        <f t="shared" ca="1" si="227"/>
        <v>31591831325029.008</v>
      </c>
      <c r="F1667" s="40">
        <f t="shared" ca="1" si="228"/>
        <v>4977231002582.9717</v>
      </c>
      <c r="G1667" s="40">
        <f t="shared" ca="1" si="229"/>
        <v>10796290496521.564</v>
      </c>
      <c r="H1667" s="40">
        <f t="shared" ca="1" si="230"/>
        <v>31591831325029.008</v>
      </c>
      <c r="I1667" s="40">
        <f t="shared" ca="1" si="231"/>
        <v>5789027696411.998</v>
      </c>
      <c r="J1667" s="40">
        <f t="shared" ca="1" si="232"/>
        <v>1461722278950.6421</v>
      </c>
      <c r="K1667" s="41">
        <f t="shared" ca="1" si="233"/>
        <v>3.9604155863095221</v>
      </c>
    </row>
    <row r="1668" spans="2:11" ht="15" customHeight="1" x14ac:dyDescent="0.35">
      <c r="B1668" s="5">
        <v>1647</v>
      </c>
      <c r="C1668" s="39">
        <f t="shared" ca="1" si="225"/>
        <v>3.2339389839261381</v>
      </c>
      <c r="D1668" s="40">
        <f t="shared" ca="1" si="226"/>
        <v>6234813801.247035</v>
      </c>
      <c r="E1668" s="40">
        <f t="shared" ca="1" si="227"/>
        <v>17762480229094.039</v>
      </c>
      <c r="F1668" s="40">
        <f t="shared" ca="1" si="228"/>
        <v>1363887835596.6438</v>
      </c>
      <c r="G1668" s="40">
        <f t="shared" ca="1" si="229"/>
        <v>2340465990064.6792</v>
      </c>
      <c r="H1668" s="40">
        <f t="shared" ca="1" si="230"/>
        <v>17762480229094.039</v>
      </c>
      <c r="I1668" s="40">
        <f t="shared" ca="1" si="231"/>
        <v>1415478441534.7576</v>
      </c>
      <c r="J1668" s="40">
        <f t="shared" ca="1" si="232"/>
        <v>816228396211.51941</v>
      </c>
      <c r="K1668" s="41">
        <f t="shared" ca="1" si="233"/>
        <v>1.7341695634513885</v>
      </c>
    </row>
    <row r="1669" spans="2:11" ht="15" customHeight="1" x14ac:dyDescent="0.35">
      <c r="B1669" s="5">
        <v>1648</v>
      </c>
      <c r="C1669" s="39">
        <f t="shared" ca="1" si="225"/>
        <v>2.7776038932096454</v>
      </c>
      <c r="D1669" s="40">
        <f t="shared" ca="1" si="226"/>
        <v>3697654830.408761</v>
      </c>
      <c r="E1669" s="40">
        <f t="shared" ca="1" si="227"/>
        <v>29422178314581.145</v>
      </c>
      <c r="F1669" s="40">
        <f t="shared" ca="1" si="228"/>
        <v>3774753500605.1665</v>
      </c>
      <c r="G1669" s="40">
        <f t="shared" ca="1" si="229"/>
        <v>9831009780198.9941</v>
      </c>
      <c r="H1669" s="40">
        <f t="shared" ca="1" si="230"/>
        <v>3774753500605.1665</v>
      </c>
      <c r="I1669" s="40">
        <f t="shared" ca="1" si="231"/>
        <v>5897666603885.3486</v>
      </c>
      <c r="J1669" s="40">
        <f t="shared" ca="1" si="232"/>
        <v>1117809939008.541</v>
      </c>
      <c r="K1669" s="41">
        <f t="shared" ca="1" si="233"/>
        <v>5.2760906823895093</v>
      </c>
    </row>
    <row r="1670" spans="2:11" ht="15" customHeight="1" x14ac:dyDescent="0.35">
      <c r="B1670" s="5">
        <v>1649</v>
      </c>
      <c r="C1670" s="39">
        <f t="shared" ca="1" si="225"/>
        <v>2.7400316833567686</v>
      </c>
      <c r="D1670" s="40">
        <f t="shared" ca="1" si="226"/>
        <v>2613467929.6780648</v>
      </c>
      <c r="E1670" s="40">
        <f t="shared" ca="1" si="227"/>
        <v>3882668769834.3203</v>
      </c>
      <c r="F1670" s="40">
        <f t="shared" ca="1" si="228"/>
        <v>1027870871076.069</v>
      </c>
      <c r="G1670" s="40">
        <f t="shared" ca="1" si="229"/>
        <v>6862415012776.999</v>
      </c>
      <c r="H1670" s="40">
        <f t="shared" ca="1" si="230"/>
        <v>6862415012776.999</v>
      </c>
      <c r="I1670" s="40">
        <f t="shared" ca="1" si="231"/>
        <v>34397199819917.496</v>
      </c>
      <c r="J1670" s="40">
        <f t="shared" ca="1" si="232"/>
        <v>1053574633085.0369</v>
      </c>
      <c r="K1670" s="41">
        <f t="shared" ca="1" si="233"/>
        <v>32.648090358057438</v>
      </c>
    </row>
    <row r="1671" spans="2:11" ht="15" customHeight="1" x14ac:dyDescent="0.35">
      <c r="B1671" s="5">
        <v>1650</v>
      </c>
      <c r="C1671" s="39">
        <f t="shared" ca="1" si="225"/>
        <v>3.5063581007064046</v>
      </c>
      <c r="D1671" s="40">
        <f t="shared" ca="1" si="226"/>
        <v>9323707523.9702282</v>
      </c>
      <c r="E1671" s="40">
        <f t="shared" ca="1" si="227"/>
        <v>66403756287416.797</v>
      </c>
      <c r="F1671" s="40">
        <f t="shared" ca="1" si="228"/>
        <v>6072344844836.9561</v>
      </c>
      <c r="G1671" s="40">
        <f t="shared" ca="1" si="229"/>
        <v>53113562139392.461</v>
      </c>
      <c r="H1671" s="40">
        <f t="shared" ca="1" si="230"/>
        <v>66403756287416.797</v>
      </c>
      <c r="I1671" s="40">
        <f t="shared" ca="1" si="231"/>
        <v>2401017390880.0317</v>
      </c>
      <c r="J1671" s="40">
        <f t="shared" ca="1" si="232"/>
        <v>657553655668.18604</v>
      </c>
      <c r="K1671" s="41">
        <f t="shared" ca="1" si="233"/>
        <v>3.6514394987891761</v>
      </c>
    </row>
    <row r="1672" spans="2:11" ht="15" customHeight="1" x14ac:dyDescent="0.35">
      <c r="B1672" s="5">
        <v>1651</v>
      </c>
      <c r="C1672" s="39">
        <f t="shared" ca="1" si="225"/>
        <v>3.1025054259502118</v>
      </c>
      <c r="D1672" s="40">
        <f t="shared" ca="1" si="226"/>
        <v>6853844618.6356077</v>
      </c>
      <c r="E1672" s="40">
        <f t="shared" ca="1" si="227"/>
        <v>9491830546998.5449</v>
      </c>
      <c r="F1672" s="40">
        <f t="shared" ca="1" si="228"/>
        <v>37424336336001.711</v>
      </c>
      <c r="G1672" s="40">
        <f t="shared" ca="1" si="229"/>
        <v>20662283450684.414</v>
      </c>
      <c r="H1672" s="40">
        <f t="shared" ca="1" si="230"/>
        <v>37424336336001.711</v>
      </c>
      <c r="I1672" s="40">
        <f t="shared" ca="1" si="231"/>
        <v>69490946756481.047</v>
      </c>
      <c r="J1672" s="40">
        <f t="shared" ca="1" si="232"/>
        <v>1171317493147.8315</v>
      </c>
      <c r="K1672" s="41">
        <f t="shared" ca="1" si="233"/>
        <v>59.327165489289435</v>
      </c>
    </row>
    <row r="1673" spans="2:11" ht="15" customHeight="1" x14ac:dyDescent="0.35">
      <c r="B1673" s="5">
        <v>1652</v>
      </c>
      <c r="C1673" s="39">
        <f t="shared" ca="1" si="225"/>
        <v>3.1718029406418276</v>
      </c>
      <c r="D1673" s="40">
        <f t="shared" ca="1" si="226"/>
        <v>6472350177.8540802</v>
      </c>
      <c r="E1673" s="40">
        <f t="shared" ca="1" si="227"/>
        <v>26338737000342.652</v>
      </c>
      <c r="F1673" s="40">
        <f t="shared" ca="1" si="228"/>
        <v>2472048930622.4331</v>
      </c>
      <c r="G1673" s="40">
        <f t="shared" ca="1" si="229"/>
        <v>150791600569.95044</v>
      </c>
      <c r="H1673" s="40">
        <f t="shared" ca="1" si="230"/>
        <v>150791600569.95044</v>
      </c>
      <c r="I1673" s="40">
        <f t="shared" ca="1" si="231"/>
        <v>7851523615615.3682</v>
      </c>
      <c r="J1673" s="40">
        <f t="shared" ca="1" si="232"/>
        <v>1544968647500.7002</v>
      </c>
      <c r="K1673" s="41">
        <f t="shared" ca="1" si="233"/>
        <v>5.0819954361642212</v>
      </c>
    </row>
    <row r="1674" spans="2:11" ht="15" customHeight="1" x14ac:dyDescent="0.35">
      <c r="B1674" s="5">
        <v>1653</v>
      </c>
      <c r="C1674" s="39">
        <f t="shared" ca="1" si="225"/>
        <v>3.0950540129509387</v>
      </c>
      <c r="D1674" s="40">
        <f t="shared" ca="1" si="226"/>
        <v>6213232972.8735085</v>
      </c>
      <c r="E1674" s="40">
        <f t="shared" ca="1" si="227"/>
        <v>12126183748437.52</v>
      </c>
      <c r="F1674" s="40">
        <f t="shared" ca="1" si="228"/>
        <v>1379948810138.2629</v>
      </c>
      <c r="G1674" s="40">
        <f t="shared" ca="1" si="229"/>
        <v>4427100212501.876</v>
      </c>
      <c r="H1674" s="40">
        <f t="shared" ca="1" si="230"/>
        <v>4427100212501.876</v>
      </c>
      <c r="I1674" s="40">
        <f t="shared" ca="1" si="231"/>
        <v>9071366625714.4629</v>
      </c>
      <c r="J1674" s="40">
        <f t="shared" ca="1" si="232"/>
        <v>1517983251855.1011</v>
      </c>
      <c r="K1674" s="41">
        <f t="shared" ca="1" si="233"/>
        <v>5.9759332750400915</v>
      </c>
    </row>
    <row r="1675" spans="2:11" ht="15" customHeight="1" x14ac:dyDescent="0.35">
      <c r="B1675" s="5">
        <v>1654</v>
      </c>
      <c r="C1675" s="39">
        <f t="shared" ca="1" si="225"/>
        <v>3.1616544622097313</v>
      </c>
      <c r="D1675" s="40">
        <f t="shared" ca="1" si="226"/>
        <v>7515234639.6021395</v>
      </c>
      <c r="E1675" s="40">
        <f t="shared" ca="1" si="227"/>
        <v>39403322111273.617</v>
      </c>
      <c r="F1675" s="40">
        <f t="shared" ca="1" si="228"/>
        <v>6637708544954.9141</v>
      </c>
      <c r="G1675" s="40">
        <f t="shared" ca="1" si="229"/>
        <v>5159060478996.1064</v>
      </c>
      <c r="H1675" s="40">
        <f t="shared" ca="1" si="230"/>
        <v>5159060478996.1064</v>
      </c>
      <c r="I1675" s="40">
        <f t="shared" ca="1" si="231"/>
        <v>1711296466513.9473</v>
      </c>
      <c r="J1675" s="40">
        <f t="shared" ca="1" si="232"/>
        <v>614412164435.14856</v>
      </c>
      <c r="K1675" s="41">
        <f t="shared" ca="1" si="233"/>
        <v>2.7852581142940167</v>
      </c>
    </row>
    <row r="1676" spans="2:11" ht="15" customHeight="1" x14ac:dyDescent="0.35">
      <c r="B1676" s="5">
        <v>1655</v>
      </c>
      <c r="C1676" s="39">
        <f t="shared" ca="1" si="225"/>
        <v>2.5493944514573008</v>
      </c>
      <c r="D1676" s="40">
        <f t="shared" ca="1" si="226"/>
        <v>2279828125.5459623</v>
      </c>
      <c r="E1676" s="40">
        <f t="shared" ca="1" si="227"/>
        <v>61275432777736.625</v>
      </c>
      <c r="F1676" s="40">
        <f t="shared" ca="1" si="228"/>
        <v>15012115714074.994</v>
      </c>
      <c r="G1676" s="40">
        <f t="shared" ca="1" si="229"/>
        <v>271304224517.63943</v>
      </c>
      <c r="H1676" s="40">
        <f t="shared" ca="1" si="230"/>
        <v>271304224517.63943</v>
      </c>
      <c r="I1676" s="40">
        <f t="shared" ca="1" si="231"/>
        <v>30603715919486.949</v>
      </c>
      <c r="J1676" s="40">
        <f t="shared" ca="1" si="232"/>
        <v>1361538304861.8911</v>
      </c>
      <c r="K1676" s="41">
        <f t="shared" ca="1" si="233"/>
        <v>22.477308064124767</v>
      </c>
    </row>
    <row r="1677" spans="2:11" ht="15" customHeight="1" x14ac:dyDescent="0.35">
      <c r="B1677" s="5">
        <v>1656</v>
      </c>
      <c r="C1677" s="39">
        <f t="shared" ca="1" si="225"/>
        <v>3.0339766588854991</v>
      </c>
      <c r="D1677" s="40">
        <f t="shared" ca="1" si="226"/>
        <v>5053615119.9525003</v>
      </c>
      <c r="E1677" s="40">
        <f t="shared" ca="1" si="227"/>
        <v>17434542913048.66</v>
      </c>
      <c r="F1677" s="40">
        <f t="shared" ca="1" si="228"/>
        <v>2110793316256.2014</v>
      </c>
      <c r="G1677" s="40">
        <f t="shared" ca="1" si="229"/>
        <v>23121356416278.629</v>
      </c>
      <c r="H1677" s="40">
        <f t="shared" ca="1" si="230"/>
        <v>2110793316256.2014</v>
      </c>
      <c r="I1677" s="40">
        <f t="shared" ca="1" si="231"/>
        <v>4652548055511.333</v>
      </c>
      <c r="J1677" s="40">
        <f t="shared" ca="1" si="232"/>
        <v>843532911965.08472</v>
      </c>
      <c r="K1677" s="41">
        <f t="shared" ca="1" si="233"/>
        <v>5.5155501220133898</v>
      </c>
    </row>
    <row r="1678" spans="2:11" ht="15" customHeight="1" x14ac:dyDescent="0.35">
      <c r="B1678" s="5">
        <v>1657</v>
      </c>
      <c r="C1678" s="39">
        <f t="shared" ca="1" si="225"/>
        <v>2.9414032432765942</v>
      </c>
      <c r="D1678" s="40">
        <f t="shared" ca="1" si="226"/>
        <v>5231326850.5628099</v>
      </c>
      <c r="E1678" s="40">
        <f t="shared" ca="1" si="227"/>
        <v>26024259589798.168</v>
      </c>
      <c r="F1678" s="40">
        <f t="shared" ca="1" si="228"/>
        <v>316663086004.87164</v>
      </c>
      <c r="G1678" s="40">
        <f t="shared" ca="1" si="229"/>
        <v>8976462606129.0859</v>
      </c>
      <c r="H1678" s="40">
        <f t="shared" ca="1" si="230"/>
        <v>316663086004.87164</v>
      </c>
      <c r="I1678" s="40">
        <f t="shared" ca="1" si="231"/>
        <v>7943715475282.1367</v>
      </c>
      <c r="J1678" s="40">
        <f t="shared" ca="1" si="232"/>
        <v>1813082774871.9768</v>
      </c>
      <c r="K1678" s="41">
        <f t="shared" ca="1" si="233"/>
        <v>4.3813308390418353</v>
      </c>
    </row>
    <row r="1679" spans="2:11" ht="15" customHeight="1" x14ac:dyDescent="0.35">
      <c r="B1679" s="5">
        <v>1658</v>
      </c>
      <c r="C1679" s="39">
        <f t="shared" ca="1" si="225"/>
        <v>2.8947438758327677</v>
      </c>
      <c r="D1679" s="40">
        <f t="shared" ca="1" si="226"/>
        <v>3476110617.93893</v>
      </c>
      <c r="E1679" s="40">
        <f t="shared" ca="1" si="227"/>
        <v>32739182003559.621</v>
      </c>
      <c r="F1679" s="40">
        <f t="shared" ca="1" si="228"/>
        <v>2925992512546.0488</v>
      </c>
      <c r="G1679" s="40">
        <f t="shared" ca="1" si="229"/>
        <v>1557675719105.48</v>
      </c>
      <c r="H1679" s="40">
        <f t="shared" ca="1" si="230"/>
        <v>1557675719105.48</v>
      </c>
      <c r="I1679" s="40">
        <f t="shared" ca="1" si="231"/>
        <v>9525977852912.7441</v>
      </c>
      <c r="J1679" s="40">
        <f t="shared" ca="1" si="232"/>
        <v>460544300021.82324</v>
      </c>
      <c r="K1679" s="41">
        <f t="shared" ca="1" si="233"/>
        <v>20.684172733136311</v>
      </c>
    </row>
    <row r="1680" spans="2:11" ht="15" customHeight="1" x14ac:dyDescent="0.35">
      <c r="B1680" s="5">
        <v>1659</v>
      </c>
      <c r="C1680" s="39">
        <f t="shared" ca="1" si="225"/>
        <v>3.592183258642168</v>
      </c>
      <c r="D1680" s="40">
        <f t="shared" ca="1" si="226"/>
        <v>12057803336.727659</v>
      </c>
      <c r="E1680" s="40">
        <f t="shared" ca="1" si="227"/>
        <v>22154973208484.316</v>
      </c>
      <c r="F1680" s="40">
        <f t="shared" ca="1" si="228"/>
        <v>21339363720994.633</v>
      </c>
      <c r="G1680" s="40">
        <f t="shared" ca="1" si="229"/>
        <v>172062526566651</v>
      </c>
      <c r="H1680" s="40">
        <f t="shared" ca="1" si="230"/>
        <v>172062526566651</v>
      </c>
      <c r="I1680" s="40">
        <f t="shared" ca="1" si="231"/>
        <v>11036299899752.178</v>
      </c>
      <c r="J1680" s="40">
        <f t="shared" ca="1" si="232"/>
        <v>768384535459.93042</v>
      </c>
      <c r="K1680" s="41">
        <f t="shared" ca="1" si="233"/>
        <v>14.362990651739498</v>
      </c>
    </row>
    <row r="1681" spans="2:11" ht="15" customHeight="1" x14ac:dyDescent="0.35">
      <c r="B1681" s="5">
        <v>1660</v>
      </c>
      <c r="C1681" s="39">
        <f t="shared" ca="1" si="225"/>
        <v>2.7789756091702134</v>
      </c>
      <c r="D1681" s="40">
        <f t="shared" ca="1" si="226"/>
        <v>3911020608.9429936</v>
      </c>
      <c r="E1681" s="40">
        <f t="shared" ca="1" si="227"/>
        <v>10025636539627.15</v>
      </c>
      <c r="F1681" s="40">
        <f t="shared" ca="1" si="228"/>
        <v>1870535099397.3816</v>
      </c>
      <c r="G1681" s="40">
        <f t="shared" ca="1" si="229"/>
        <v>14857569558036.852</v>
      </c>
      <c r="H1681" s="40">
        <f t="shared" ca="1" si="230"/>
        <v>1870535099397.3816</v>
      </c>
      <c r="I1681" s="40">
        <f t="shared" ca="1" si="231"/>
        <v>24551051765987.113</v>
      </c>
      <c r="J1681" s="40">
        <f t="shared" ca="1" si="232"/>
        <v>637906722589.99927</v>
      </c>
      <c r="K1681" s="41">
        <f t="shared" ca="1" si="233"/>
        <v>38.48689925433937</v>
      </c>
    </row>
    <row r="1682" spans="2:11" ht="15" customHeight="1" x14ac:dyDescent="0.35">
      <c r="B1682" s="5">
        <v>1661</v>
      </c>
      <c r="C1682" s="39">
        <f t="shared" ca="1" si="225"/>
        <v>2.4393910002591177</v>
      </c>
      <c r="D1682" s="40">
        <f t="shared" ca="1" si="226"/>
        <v>1987901251.7274935</v>
      </c>
      <c r="E1682" s="40">
        <f t="shared" ca="1" si="227"/>
        <v>11398996454257.211</v>
      </c>
      <c r="F1682" s="40">
        <f t="shared" ca="1" si="228"/>
        <v>2530691042377.5366</v>
      </c>
      <c r="G1682" s="40">
        <f t="shared" ca="1" si="229"/>
        <v>15411362895661.604</v>
      </c>
      <c r="H1682" s="40">
        <f t="shared" ca="1" si="230"/>
        <v>2530691042377.5366</v>
      </c>
      <c r="I1682" s="40">
        <f t="shared" ca="1" si="231"/>
        <v>1027150288094.9014</v>
      </c>
      <c r="J1682" s="40">
        <f t="shared" ca="1" si="232"/>
        <v>1191336561452.8962</v>
      </c>
      <c r="K1682" s="41">
        <f t="shared" ca="1" si="233"/>
        <v>0.86218313223111254</v>
      </c>
    </row>
    <row r="1683" spans="2:11" ht="15" customHeight="1" x14ac:dyDescent="0.35">
      <c r="B1683" s="5">
        <v>1662</v>
      </c>
      <c r="C1683" s="39">
        <f t="shared" ca="1" si="225"/>
        <v>2.8433619006464825</v>
      </c>
      <c r="D1683" s="40">
        <f t="shared" ca="1" si="226"/>
        <v>4074830839.2653642</v>
      </c>
      <c r="E1683" s="40">
        <f t="shared" ca="1" si="227"/>
        <v>15177114248331.43</v>
      </c>
      <c r="F1683" s="40">
        <f t="shared" ca="1" si="228"/>
        <v>6470471416402.0313</v>
      </c>
      <c r="G1683" s="40">
        <f t="shared" ca="1" si="229"/>
        <v>1620308524630.1282</v>
      </c>
      <c r="H1683" s="40">
        <f t="shared" ca="1" si="230"/>
        <v>1620308524630.1282</v>
      </c>
      <c r="I1683" s="40">
        <f t="shared" ca="1" si="231"/>
        <v>33067649633779.781</v>
      </c>
      <c r="J1683" s="40">
        <f t="shared" ca="1" si="232"/>
        <v>838779746443.46814</v>
      </c>
      <c r="K1683" s="41">
        <f t="shared" ca="1" si="233"/>
        <v>39.423519432831782</v>
      </c>
    </row>
    <row r="1684" spans="2:11" ht="15" customHeight="1" x14ac:dyDescent="0.35">
      <c r="B1684" s="5">
        <v>1663</v>
      </c>
      <c r="C1684" s="39">
        <f t="shared" ca="1" si="225"/>
        <v>3.8048606190016638</v>
      </c>
      <c r="D1684" s="40">
        <f t="shared" ca="1" si="226"/>
        <v>15452906383.20355</v>
      </c>
      <c r="E1684" s="40">
        <f t="shared" ca="1" si="227"/>
        <v>111358050431611.23</v>
      </c>
      <c r="F1684" s="40">
        <f t="shared" ca="1" si="228"/>
        <v>2294929094576.8662</v>
      </c>
      <c r="G1684" s="40">
        <f t="shared" ca="1" si="229"/>
        <v>1730197278951.9504</v>
      </c>
      <c r="H1684" s="40">
        <f t="shared" ca="1" si="230"/>
        <v>111358050431611.23</v>
      </c>
      <c r="I1684" s="40">
        <f t="shared" ca="1" si="231"/>
        <v>38952829427628.734</v>
      </c>
      <c r="J1684" s="40">
        <f t="shared" ca="1" si="232"/>
        <v>739152856465.17651</v>
      </c>
      <c r="K1684" s="41">
        <f t="shared" ca="1" si="233"/>
        <v>52.699288228298833</v>
      </c>
    </row>
    <row r="1685" spans="2:11" ht="15" customHeight="1" x14ac:dyDescent="0.35">
      <c r="B1685" s="5">
        <v>1664</v>
      </c>
      <c r="C1685" s="39">
        <f t="shared" ca="1" si="225"/>
        <v>3.0483267273777517</v>
      </c>
      <c r="D1685" s="40">
        <f t="shared" ca="1" si="226"/>
        <v>5328584187.8350601</v>
      </c>
      <c r="E1685" s="40">
        <f t="shared" ca="1" si="227"/>
        <v>7497490514583.4746</v>
      </c>
      <c r="F1685" s="40">
        <f t="shared" ca="1" si="228"/>
        <v>1782043714771.7332</v>
      </c>
      <c r="G1685" s="40">
        <f t="shared" ca="1" si="229"/>
        <v>5079905037644.1289</v>
      </c>
      <c r="H1685" s="40">
        <f t="shared" ca="1" si="230"/>
        <v>7497490514583.4746</v>
      </c>
      <c r="I1685" s="40">
        <f t="shared" ca="1" si="231"/>
        <v>2832607518363.2383</v>
      </c>
      <c r="J1685" s="40">
        <f t="shared" ca="1" si="232"/>
        <v>837068454524.97815</v>
      </c>
      <c r="K1685" s="41">
        <f t="shared" ca="1" si="233"/>
        <v>3.3839616139527013</v>
      </c>
    </row>
    <row r="1686" spans="2:11" ht="15" customHeight="1" x14ac:dyDescent="0.35">
      <c r="B1686" s="5">
        <v>1665</v>
      </c>
      <c r="C1686" s="39">
        <f t="shared" ref="C1686:C1749" ca="1" si="234">MEDIAN(1.8,NORMINV(RAND(),$C$7,$D$7),4.5)</f>
        <v>3.0223712338683919</v>
      </c>
      <c r="D1686" s="40">
        <f t="shared" ref="D1686:D1749" ca="1" si="235">($C$8+RAND()*($D$8-$C$8))*C1686^5</f>
        <v>4499254536.6325188</v>
      </c>
      <c r="E1686" s="40">
        <f t="shared" ref="E1686:E1749" ca="1" si="236">D1686*($C$10+RAND()*($D$10-$C$10))*EXP(NORMINV(RAND(),$C$9,$D$9))*($C$11+RAND()*($D$11-$C$11))</f>
        <v>15509033814610.91</v>
      </c>
      <c r="F1686" s="40">
        <f t="shared" ref="F1686:F1749" ca="1" si="237">EXP(NORMINV(RAND(),$C$12,$D$12))*EXP(NORMINV(RAND(),$C$13,$D$13))</f>
        <v>4342264431865.4194</v>
      </c>
      <c r="G1686" s="40">
        <f t="shared" ref="G1686:G1749" ca="1" si="238">EXP(NORMINV(RAND(),$C$14,$D$14))*($C$15+RAND()*($D$15-$C$15))*EXP(NORMINV(RAND(),$C$16,$D$16))/1000000*31536000</f>
        <v>32796430637919.02</v>
      </c>
      <c r="H1686" s="40">
        <f t="shared" ref="H1686:H1749" ca="1" si="239">CHOOSE(RANDBETWEEN(1,3),E1686,F1686,G1686)</f>
        <v>32796430637919.02</v>
      </c>
      <c r="I1686" s="40">
        <f t="shared" ref="I1686:I1749" ca="1" si="240">EXP(NORMINV(RAND(),$C$14,$D$14))*($C$15+RAND()*($D$15-$C$15))*60</f>
        <v>5002205235546.0928</v>
      </c>
      <c r="J1686" s="40">
        <f t="shared" ref="J1686:J1749" ca="1" si="241">($C$17+RAND()*($D$17-$C$17))*($C$18+RAND()*($D$18-$C$18))</f>
        <v>993205968838.07361</v>
      </c>
      <c r="K1686" s="41">
        <f t="shared" ref="K1686:K1749" ca="1" si="242">I1686/J1686</f>
        <v>5.0364228493290728</v>
      </c>
    </row>
    <row r="1687" spans="2:11" ht="15" customHeight="1" x14ac:dyDescent="0.35">
      <c r="B1687" s="5">
        <v>1666</v>
      </c>
      <c r="C1687" s="39">
        <f t="shared" ca="1" si="234"/>
        <v>3.2353573723955464</v>
      </c>
      <c r="D1687" s="40">
        <f t="shared" ca="1" si="235"/>
        <v>7352686168.6276588</v>
      </c>
      <c r="E1687" s="40">
        <f t="shared" ca="1" si="236"/>
        <v>64826282750485.359</v>
      </c>
      <c r="F1687" s="40">
        <f t="shared" ca="1" si="237"/>
        <v>3730624044365.147</v>
      </c>
      <c r="G1687" s="40">
        <f t="shared" ca="1" si="238"/>
        <v>7949470188617.1709</v>
      </c>
      <c r="H1687" s="40">
        <f t="shared" ca="1" si="239"/>
        <v>64826282750485.359</v>
      </c>
      <c r="I1687" s="40">
        <f t="shared" ca="1" si="240"/>
        <v>7932161341117.5928</v>
      </c>
      <c r="J1687" s="40">
        <f t="shared" ca="1" si="241"/>
        <v>1494852910407.9907</v>
      </c>
      <c r="K1687" s="41">
        <f t="shared" ca="1" si="242"/>
        <v>5.3063156153287787</v>
      </c>
    </row>
    <row r="1688" spans="2:11" ht="15" customHeight="1" x14ac:dyDescent="0.35">
      <c r="B1688" s="5">
        <v>1667</v>
      </c>
      <c r="C1688" s="39">
        <f t="shared" ca="1" si="234"/>
        <v>2.6878318209970189</v>
      </c>
      <c r="D1688" s="40">
        <f t="shared" ca="1" si="235"/>
        <v>2518241089.4180145</v>
      </c>
      <c r="E1688" s="40">
        <f t="shared" ca="1" si="236"/>
        <v>6051877958749.3564</v>
      </c>
      <c r="F1688" s="40">
        <f t="shared" ca="1" si="237"/>
        <v>3251299852801.3979</v>
      </c>
      <c r="G1688" s="40">
        <f t="shared" ca="1" si="238"/>
        <v>2678861084324.1675</v>
      </c>
      <c r="H1688" s="40">
        <f t="shared" ca="1" si="239"/>
        <v>2678861084324.1675</v>
      </c>
      <c r="I1688" s="40">
        <f t="shared" ca="1" si="240"/>
        <v>4336228438032.8657</v>
      </c>
      <c r="J1688" s="40">
        <f t="shared" ca="1" si="241"/>
        <v>1265213487643.2715</v>
      </c>
      <c r="K1688" s="41">
        <f t="shared" ca="1" si="242"/>
        <v>3.4272701645870147</v>
      </c>
    </row>
    <row r="1689" spans="2:11" ht="15" customHeight="1" x14ac:dyDescent="0.35">
      <c r="B1689" s="5">
        <v>1668</v>
      </c>
      <c r="C1689" s="39">
        <f t="shared" ca="1" si="234"/>
        <v>3.1942707470920331</v>
      </c>
      <c r="D1689" s="40">
        <f t="shared" ca="1" si="235"/>
        <v>5369052584.5893469</v>
      </c>
      <c r="E1689" s="40">
        <f t="shared" ca="1" si="236"/>
        <v>16388227910484.322</v>
      </c>
      <c r="F1689" s="40">
        <f t="shared" ca="1" si="237"/>
        <v>974205167684.22131</v>
      </c>
      <c r="G1689" s="40">
        <f t="shared" ca="1" si="238"/>
        <v>16579779348151.725</v>
      </c>
      <c r="H1689" s="40">
        <f t="shared" ca="1" si="239"/>
        <v>16579779348151.725</v>
      </c>
      <c r="I1689" s="40">
        <f t="shared" ca="1" si="240"/>
        <v>8377318924362.9404</v>
      </c>
      <c r="J1689" s="40">
        <f t="shared" ca="1" si="241"/>
        <v>960152725370.56396</v>
      </c>
      <c r="K1689" s="41">
        <f t="shared" ca="1" si="242"/>
        <v>8.7249858309049486</v>
      </c>
    </row>
    <row r="1690" spans="2:11" ht="15" customHeight="1" x14ac:dyDescent="0.35">
      <c r="B1690" s="5">
        <v>1669</v>
      </c>
      <c r="C1690" s="39">
        <f t="shared" ca="1" si="234"/>
        <v>3.4107796195682436</v>
      </c>
      <c r="D1690" s="40">
        <f t="shared" ca="1" si="235"/>
        <v>9044989119.5152473</v>
      </c>
      <c r="E1690" s="40">
        <f t="shared" ca="1" si="236"/>
        <v>45272380131963.781</v>
      </c>
      <c r="F1690" s="40">
        <f t="shared" ca="1" si="237"/>
        <v>1269407202844.5374</v>
      </c>
      <c r="G1690" s="40">
        <f t="shared" ca="1" si="238"/>
        <v>1596642639261.3171</v>
      </c>
      <c r="H1690" s="40">
        <f t="shared" ca="1" si="239"/>
        <v>1269407202844.5374</v>
      </c>
      <c r="I1690" s="40">
        <f t="shared" ca="1" si="240"/>
        <v>23443576032355.047</v>
      </c>
      <c r="J1690" s="40">
        <f t="shared" ca="1" si="241"/>
        <v>723171713220.15332</v>
      </c>
      <c r="K1690" s="41">
        <f t="shared" ca="1" si="242"/>
        <v>32.41771712552891</v>
      </c>
    </row>
    <row r="1691" spans="2:11" ht="15" customHeight="1" x14ac:dyDescent="0.35">
      <c r="B1691" s="5">
        <v>1670</v>
      </c>
      <c r="C1691" s="39">
        <f t="shared" ca="1" si="234"/>
        <v>3.0711255492592375</v>
      </c>
      <c r="D1691" s="40">
        <f t="shared" ca="1" si="235"/>
        <v>5233661405.9711037</v>
      </c>
      <c r="E1691" s="40">
        <f t="shared" ca="1" si="236"/>
        <v>6134431819810.3652</v>
      </c>
      <c r="F1691" s="40">
        <f t="shared" ca="1" si="237"/>
        <v>10839281807220.934</v>
      </c>
      <c r="G1691" s="40">
        <f t="shared" ca="1" si="238"/>
        <v>160000880462.34335</v>
      </c>
      <c r="H1691" s="40">
        <f t="shared" ca="1" si="239"/>
        <v>6134431819810.3652</v>
      </c>
      <c r="I1691" s="40">
        <f t="shared" ca="1" si="240"/>
        <v>1596659334872.9285</v>
      </c>
      <c r="J1691" s="40">
        <f t="shared" ca="1" si="241"/>
        <v>675706984801.89905</v>
      </c>
      <c r="K1691" s="41">
        <f t="shared" ca="1" si="242"/>
        <v>2.3629463225706191</v>
      </c>
    </row>
    <row r="1692" spans="2:11" ht="15" customHeight="1" x14ac:dyDescent="0.35">
      <c r="B1692" s="5">
        <v>1671</v>
      </c>
      <c r="C1692" s="39">
        <f t="shared" ca="1" si="234"/>
        <v>2.7591807783155136</v>
      </c>
      <c r="D1692" s="40">
        <f t="shared" ca="1" si="235"/>
        <v>2994804295.867382</v>
      </c>
      <c r="E1692" s="40">
        <f t="shared" ca="1" si="236"/>
        <v>7853103225062.8643</v>
      </c>
      <c r="F1692" s="40">
        <f t="shared" ca="1" si="237"/>
        <v>17041010862737.422</v>
      </c>
      <c r="G1692" s="40">
        <f t="shared" ca="1" si="238"/>
        <v>3762509844500.0742</v>
      </c>
      <c r="H1692" s="40">
        <f t="shared" ca="1" si="239"/>
        <v>7853103225062.8643</v>
      </c>
      <c r="I1692" s="40">
        <f t="shared" ca="1" si="240"/>
        <v>8339827608936.0205</v>
      </c>
      <c r="J1692" s="40">
        <f t="shared" ca="1" si="241"/>
        <v>924434014670.7605</v>
      </c>
      <c r="K1692" s="41">
        <f t="shared" ca="1" si="242"/>
        <v>9.0215499176609928</v>
      </c>
    </row>
    <row r="1693" spans="2:11" ht="15" customHeight="1" x14ac:dyDescent="0.35">
      <c r="B1693" s="5">
        <v>1672</v>
      </c>
      <c r="C1693" s="39">
        <f t="shared" ca="1" si="234"/>
        <v>2.7281836788572384</v>
      </c>
      <c r="D1693" s="40">
        <f t="shared" ca="1" si="235"/>
        <v>3612690644.6151762</v>
      </c>
      <c r="E1693" s="40">
        <f t="shared" ca="1" si="236"/>
        <v>15406060695547.637</v>
      </c>
      <c r="F1693" s="40">
        <f t="shared" ca="1" si="237"/>
        <v>1632560379501.2468</v>
      </c>
      <c r="G1693" s="40">
        <f t="shared" ca="1" si="238"/>
        <v>300686161606.33044</v>
      </c>
      <c r="H1693" s="40">
        <f t="shared" ca="1" si="239"/>
        <v>15406060695547.637</v>
      </c>
      <c r="I1693" s="40">
        <f t="shared" ca="1" si="240"/>
        <v>2279881375233.8765</v>
      </c>
      <c r="J1693" s="40">
        <f t="shared" ca="1" si="241"/>
        <v>802758548118.31189</v>
      </c>
      <c r="K1693" s="41">
        <f t="shared" ca="1" si="242"/>
        <v>2.8400586709141638</v>
      </c>
    </row>
    <row r="1694" spans="2:11" ht="15" customHeight="1" x14ac:dyDescent="0.35">
      <c r="B1694" s="5">
        <v>1673</v>
      </c>
      <c r="C1694" s="39">
        <f t="shared" ca="1" si="234"/>
        <v>2.8264646807999485</v>
      </c>
      <c r="D1694" s="40">
        <f t="shared" ca="1" si="235"/>
        <v>4241069703.2969375</v>
      </c>
      <c r="E1694" s="40">
        <f t="shared" ca="1" si="236"/>
        <v>9615939458782.334</v>
      </c>
      <c r="F1694" s="40">
        <f t="shared" ca="1" si="237"/>
        <v>2517103110128.9565</v>
      </c>
      <c r="G1694" s="40">
        <f t="shared" ca="1" si="238"/>
        <v>2198212988065.5186</v>
      </c>
      <c r="H1694" s="40">
        <f t="shared" ca="1" si="239"/>
        <v>2517103110128.9565</v>
      </c>
      <c r="I1694" s="40">
        <f t="shared" ca="1" si="240"/>
        <v>48580774380606.156</v>
      </c>
      <c r="J1694" s="40">
        <f t="shared" ca="1" si="241"/>
        <v>507962418765.31415</v>
      </c>
      <c r="K1694" s="41">
        <f t="shared" ca="1" si="242"/>
        <v>95.638520854927975</v>
      </c>
    </row>
    <row r="1695" spans="2:11" ht="15" customHeight="1" x14ac:dyDescent="0.35">
      <c r="B1695" s="5">
        <v>1674</v>
      </c>
      <c r="C1695" s="39">
        <f t="shared" ca="1" si="234"/>
        <v>2.3348733829996071</v>
      </c>
      <c r="D1695" s="40">
        <f t="shared" ca="1" si="235"/>
        <v>1483037048.5907738</v>
      </c>
      <c r="E1695" s="40">
        <f t="shared" ca="1" si="236"/>
        <v>3997114421393.6343</v>
      </c>
      <c r="F1695" s="40">
        <f t="shared" ca="1" si="237"/>
        <v>1000337269992.4989</v>
      </c>
      <c r="G1695" s="40">
        <f t="shared" ca="1" si="238"/>
        <v>74881319222194.125</v>
      </c>
      <c r="H1695" s="40">
        <f t="shared" ca="1" si="239"/>
        <v>3997114421393.6343</v>
      </c>
      <c r="I1695" s="40">
        <f t="shared" ca="1" si="240"/>
        <v>7615242177285.8281</v>
      </c>
      <c r="J1695" s="40">
        <f t="shared" ca="1" si="241"/>
        <v>582572147715.91406</v>
      </c>
      <c r="K1695" s="41">
        <f t="shared" ca="1" si="242"/>
        <v>13.071758076905748</v>
      </c>
    </row>
    <row r="1696" spans="2:11" ht="15" customHeight="1" x14ac:dyDescent="0.35">
      <c r="B1696" s="5">
        <v>1675</v>
      </c>
      <c r="C1696" s="39">
        <f t="shared" ca="1" si="234"/>
        <v>2.9201134242429898</v>
      </c>
      <c r="D1696" s="40">
        <f t="shared" ca="1" si="235"/>
        <v>4830917110.8629856</v>
      </c>
      <c r="E1696" s="40">
        <f t="shared" ca="1" si="236"/>
        <v>19897570723855.262</v>
      </c>
      <c r="F1696" s="40">
        <f t="shared" ca="1" si="237"/>
        <v>11500787617626.725</v>
      </c>
      <c r="G1696" s="40">
        <f t="shared" ca="1" si="238"/>
        <v>1291659343220.2686</v>
      </c>
      <c r="H1696" s="40">
        <f t="shared" ca="1" si="239"/>
        <v>19897570723855.262</v>
      </c>
      <c r="I1696" s="40">
        <f t="shared" ca="1" si="240"/>
        <v>27228740750978.508</v>
      </c>
      <c r="J1696" s="40">
        <f t="shared" ca="1" si="241"/>
        <v>1338559828013.9946</v>
      </c>
      <c r="K1696" s="41">
        <f t="shared" ca="1" si="242"/>
        <v>20.341818259537543</v>
      </c>
    </row>
    <row r="1697" spans="2:11" ht="15" customHeight="1" x14ac:dyDescent="0.35">
      <c r="B1697" s="5">
        <v>1676</v>
      </c>
      <c r="C1697" s="39">
        <f t="shared" ca="1" si="234"/>
        <v>3.5286124830776067</v>
      </c>
      <c r="D1697" s="40">
        <f t="shared" ca="1" si="235"/>
        <v>10804587918.078957</v>
      </c>
      <c r="E1697" s="40">
        <f t="shared" ca="1" si="236"/>
        <v>13127023370063.098</v>
      </c>
      <c r="F1697" s="40">
        <f t="shared" ca="1" si="237"/>
        <v>8681276702250.2471</v>
      </c>
      <c r="G1697" s="40">
        <f t="shared" ca="1" si="238"/>
        <v>1585956865777.1821</v>
      </c>
      <c r="H1697" s="40">
        <f t="shared" ca="1" si="239"/>
        <v>13127023370063.098</v>
      </c>
      <c r="I1697" s="40">
        <f t="shared" ca="1" si="240"/>
        <v>4413238290369.1055</v>
      </c>
      <c r="J1697" s="40">
        <f t="shared" ca="1" si="241"/>
        <v>624280062682.48596</v>
      </c>
      <c r="K1697" s="41">
        <f t="shared" ca="1" si="242"/>
        <v>7.0693244173227994</v>
      </c>
    </row>
    <row r="1698" spans="2:11" ht="15" customHeight="1" x14ac:dyDescent="0.35">
      <c r="B1698" s="5">
        <v>1677</v>
      </c>
      <c r="C1698" s="39">
        <f t="shared" ca="1" si="234"/>
        <v>2.8884903273554197</v>
      </c>
      <c r="D1698" s="40">
        <f t="shared" ca="1" si="235"/>
        <v>3356166793.0640521</v>
      </c>
      <c r="E1698" s="40">
        <f t="shared" ca="1" si="236"/>
        <v>19197546389558.086</v>
      </c>
      <c r="F1698" s="40">
        <f t="shared" ca="1" si="237"/>
        <v>565570633069.44971</v>
      </c>
      <c r="G1698" s="40">
        <f t="shared" ca="1" si="238"/>
        <v>3908542351648.3682</v>
      </c>
      <c r="H1698" s="40">
        <f t="shared" ca="1" si="239"/>
        <v>565570633069.44971</v>
      </c>
      <c r="I1698" s="40">
        <f t="shared" ca="1" si="240"/>
        <v>6421766168777.5313</v>
      </c>
      <c r="J1698" s="40">
        <f t="shared" ca="1" si="241"/>
        <v>762869110205.97314</v>
      </c>
      <c r="K1698" s="41">
        <f t="shared" ca="1" si="242"/>
        <v>8.4179134832758749</v>
      </c>
    </row>
    <row r="1699" spans="2:11" ht="15" customHeight="1" x14ac:dyDescent="0.35">
      <c r="B1699" s="5">
        <v>1678</v>
      </c>
      <c r="C1699" s="39">
        <f t="shared" ca="1" si="234"/>
        <v>4.1089882095672792</v>
      </c>
      <c r="D1699" s="40">
        <f t="shared" ca="1" si="235"/>
        <v>24100398385.125607</v>
      </c>
      <c r="E1699" s="40">
        <f t="shared" ca="1" si="236"/>
        <v>50256398590100.922</v>
      </c>
      <c r="F1699" s="40">
        <f t="shared" ca="1" si="237"/>
        <v>474141764358.98621</v>
      </c>
      <c r="G1699" s="40">
        <f t="shared" ca="1" si="238"/>
        <v>1977201879357.5591</v>
      </c>
      <c r="H1699" s="40">
        <f t="shared" ca="1" si="239"/>
        <v>474141764358.98621</v>
      </c>
      <c r="I1699" s="40">
        <f t="shared" ca="1" si="240"/>
        <v>1630664237054.2305</v>
      </c>
      <c r="J1699" s="40">
        <f t="shared" ca="1" si="241"/>
        <v>1187759709599.9465</v>
      </c>
      <c r="K1699" s="41">
        <f t="shared" ca="1" si="242"/>
        <v>1.3728906814017627</v>
      </c>
    </row>
    <row r="1700" spans="2:11" ht="15" customHeight="1" x14ac:dyDescent="0.35">
      <c r="B1700" s="5">
        <v>1679</v>
      </c>
      <c r="C1700" s="39">
        <f t="shared" ca="1" si="234"/>
        <v>3.3144303909384636</v>
      </c>
      <c r="D1700" s="40">
        <f t="shared" ca="1" si="235"/>
        <v>7841422121.0166779</v>
      </c>
      <c r="E1700" s="40">
        <f t="shared" ca="1" si="236"/>
        <v>9687180266764.1895</v>
      </c>
      <c r="F1700" s="40">
        <f t="shared" ca="1" si="237"/>
        <v>12327155245454.953</v>
      </c>
      <c r="G1700" s="40">
        <f t="shared" ca="1" si="238"/>
        <v>4638402230188.7666</v>
      </c>
      <c r="H1700" s="40">
        <f t="shared" ca="1" si="239"/>
        <v>12327155245454.953</v>
      </c>
      <c r="I1700" s="40">
        <f t="shared" ca="1" si="240"/>
        <v>4130145921514.8677</v>
      </c>
      <c r="J1700" s="40">
        <f t="shared" ca="1" si="241"/>
        <v>1448242096455.7407</v>
      </c>
      <c r="K1700" s="41">
        <f t="shared" ca="1" si="242"/>
        <v>2.8518339106579669</v>
      </c>
    </row>
    <row r="1701" spans="2:11" ht="15" customHeight="1" x14ac:dyDescent="0.35">
      <c r="B1701" s="5">
        <v>1680</v>
      </c>
      <c r="C1701" s="39">
        <f t="shared" ca="1" si="234"/>
        <v>2.9520011389814762</v>
      </c>
      <c r="D1701" s="40">
        <f t="shared" ca="1" si="235"/>
        <v>4427105551.8794689</v>
      </c>
      <c r="E1701" s="40">
        <f t="shared" ca="1" si="236"/>
        <v>5925503587684.001</v>
      </c>
      <c r="F1701" s="40">
        <f t="shared" ca="1" si="237"/>
        <v>749870301788.90979</v>
      </c>
      <c r="G1701" s="40">
        <f t="shared" ca="1" si="238"/>
        <v>8065191585186.6416</v>
      </c>
      <c r="H1701" s="40">
        <f t="shared" ca="1" si="239"/>
        <v>749870301788.90979</v>
      </c>
      <c r="I1701" s="40">
        <f t="shared" ca="1" si="240"/>
        <v>151923200023076.06</v>
      </c>
      <c r="J1701" s="40">
        <f t="shared" ca="1" si="241"/>
        <v>736005052029.60681</v>
      </c>
      <c r="K1701" s="41">
        <f t="shared" ca="1" si="242"/>
        <v>206.41597446122523</v>
      </c>
    </row>
    <row r="1702" spans="2:11" ht="15" customHeight="1" x14ac:dyDescent="0.35">
      <c r="B1702" s="5">
        <v>1681</v>
      </c>
      <c r="C1702" s="39">
        <f t="shared" ca="1" si="234"/>
        <v>3.36187447402355</v>
      </c>
      <c r="D1702" s="40">
        <f t="shared" ca="1" si="235"/>
        <v>9732775500.8955326</v>
      </c>
      <c r="E1702" s="40">
        <f t="shared" ca="1" si="236"/>
        <v>41201904154215.336</v>
      </c>
      <c r="F1702" s="40">
        <f t="shared" ca="1" si="237"/>
        <v>6162338425365.0771</v>
      </c>
      <c r="G1702" s="40">
        <f t="shared" ca="1" si="238"/>
        <v>8238529018505.5508</v>
      </c>
      <c r="H1702" s="40">
        <f t="shared" ca="1" si="239"/>
        <v>6162338425365.0771</v>
      </c>
      <c r="I1702" s="40">
        <f t="shared" ca="1" si="240"/>
        <v>1201571943058.2036</v>
      </c>
      <c r="J1702" s="40">
        <f t="shared" ca="1" si="241"/>
        <v>825656082153.77417</v>
      </c>
      <c r="K1702" s="41">
        <f t="shared" ca="1" si="242"/>
        <v>1.4552935163074558</v>
      </c>
    </row>
    <row r="1703" spans="2:11" ht="15" customHeight="1" x14ac:dyDescent="0.35">
      <c r="B1703" s="5">
        <v>1682</v>
      </c>
      <c r="C1703" s="39">
        <f t="shared" ca="1" si="234"/>
        <v>2.73725476555131</v>
      </c>
      <c r="D1703" s="40">
        <f t="shared" ca="1" si="235"/>
        <v>3108648882.0380812</v>
      </c>
      <c r="E1703" s="40">
        <f t="shared" ca="1" si="236"/>
        <v>14957358515670.477</v>
      </c>
      <c r="F1703" s="40">
        <f t="shared" ca="1" si="237"/>
        <v>1550916589813.9548</v>
      </c>
      <c r="G1703" s="40">
        <f t="shared" ca="1" si="238"/>
        <v>174811482580.38858</v>
      </c>
      <c r="H1703" s="40">
        <f t="shared" ca="1" si="239"/>
        <v>14957358515670.477</v>
      </c>
      <c r="I1703" s="40">
        <f t="shared" ca="1" si="240"/>
        <v>40790254454242.125</v>
      </c>
      <c r="J1703" s="40">
        <f t="shared" ca="1" si="241"/>
        <v>1311155437009.0056</v>
      </c>
      <c r="K1703" s="41">
        <f t="shared" ca="1" si="242"/>
        <v>31.110159255635196</v>
      </c>
    </row>
    <row r="1704" spans="2:11" ht="15" customHeight="1" x14ac:dyDescent="0.35">
      <c r="B1704" s="5">
        <v>1683</v>
      </c>
      <c r="C1704" s="39">
        <f t="shared" ca="1" si="234"/>
        <v>3.3014041955851141</v>
      </c>
      <c r="D1704" s="40">
        <f t="shared" ca="1" si="235"/>
        <v>9290324751.6539192</v>
      </c>
      <c r="E1704" s="40">
        <f t="shared" ca="1" si="236"/>
        <v>113543820648002.88</v>
      </c>
      <c r="F1704" s="40">
        <f t="shared" ca="1" si="237"/>
        <v>6022305077726.3057</v>
      </c>
      <c r="G1704" s="40">
        <f t="shared" ca="1" si="238"/>
        <v>764128355346.41052</v>
      </c>
      <c r="H1704" s="40">
        <f t="shared" ca="1" si="239"/>
        <v>113543820648002.88</v>
      </c>
      <c r="I1704" s="40">
        <f t="shared" ca="1" si="240"/>
        <v>4361831113576.2085</v>
      </c>
      <c r="J1704" s="40">
        <f t="shared" ca="1" si="241"/>
        <v>1668397704761.0476</v>
      </c>
      <c r="K1704" s="41">
        <f t="shared" ca="1" si="242"/>
        <v>2.6143833098840914</v>
      </c>
    </row>
    <row r="1705" spans="2:11" ht="15" customHeight="1" x14ac:dyDescent="0.35">
      <c r="B1705" s="5">
        <v>1684</v>
      </c>
      <c r="C1705" s="39">
        <f t="shared" ca="1" si="234"/>
        <v>2.4500526437419978</v>
      </c>
      <c r="D1705" s="40">
        <f t="shared" ca="1" si="235"/>
        <v>1959464782.7637367</v>
      </c>
      <c r="E1705" s="40">
        <f t="shared" ca="1" si="236"/>
        <v>1725945543811.9473</v>
      </c>
      <c r="F1705" s="40">
        <f t="shared" ca="1" si="237"/>
        <v>8207177392689.708</v>
      </c>
      <c r="G1705" s="40">
        <f t="shared" ca="1" si="238"/>
        <v>1134987905107.2878</v>
      </c>
      <c r="H1705" s="40">
        <f t="shared" ca="1" si="239"/>
        <v>1725945543811.9473</v>
      </c>
      <c r="I1705" s="40">
        <f t="shared" ca="1" si="240"/>
        <v>99880653347.18634</v>
      </c>
      <c r="J1705" s="40">
        <f t="shared" ca="1" si="241"/>
        <v>1080267673002.283</v>
      </c>
      <c r="K1705" s="41">
        <f t="shared" ca="1" si="242"/>
        <v>9.2459170854939821E-2</v>
      </c>
    </row>
    <row r="1706" spans="2:11" ht="15" customHeight="1" x14ac:dyDescent="0.35">
      <c r="B1706" s="5">
        <v>1685</v>
      </c>
      <c r="C1706" s="39">
        <f t="shared" ca="1" si="234"/>
        <v>2.9903329028794516</v>
      </c>
      <c r="D1706" s="40">
        <f t="shared" ca="1" si="235"/>
        <v>4462124018.3753834</v>
      </c>
      <c r="E1706" s="40">
        <f t="shared" ca="1" si="236"/>
        <v>15534279912085.713</v>
      </c>
      <c r="F1706" s="40">
        <f t="shared" ca="1" si="237"/>
        <v>4365435782938.4985</v>
      </c>
      <c r="G1706" s="40">
        <f t="shared" ca="1" si="238"/>
        <v>1103065867622.1638</v>
      </c>
      <c r="H1706" s="40">
        <f t="shared" ca="1" si="239"/>
        <v>1103065867622.1638</v>
      </c>
      <c r="I1706" s="40">
        <f t="shared" ca="1" si="240"/>
        <v>18918730701746.109</v>
      </c>
      <c r="J1706" s="40">
        <f t="shared" ca="1" si="241"/>
        <v>585828815252.09265</v>
      </c>
      <c r="K1706" s="41">
        <f t="shared" ca="1" si="242"/>
        <v>32.293957226404167</v>
      </c>
    </row>
    <row r="1707" spans="2:11" ht="15" customHeight="1" x14ac:dyDescent="0.35">
      <c r="B1707" s="5">
        <v>1686</v>
      </c>
      <c r="C1707" s="39">
        <f t="shared" ca="1" si="234"/>
        <v>2.4209449258765527</v>
      </c>
      <c r="D1707" s="40">
        <f t="shared" ca="1" si="235"/>
        <v>1578705863.0080371</v>
      </c>
      <c r="E1707" s="40">
        <f t="shared" ca="1" si="236"/>
        <v>7899551870704.1738</v>
      </c>
      <c r="F1707" s="40">
        <f t="shared" ca="1" si="237"/>
        <v>3984808744896.3652</v>
      </c>
      <c r="G1707" s="40">
        <f t="shared" ca="1" si="238"/>
        <v>13189833648677.451</v>
      </c>
      <c r="H1707" s="40">
        <f t="shared" ca="1" si="239"/>
        <v>7899551870704.1738</v>
      </c>
      <c r="I1707" s="40">
        <f t="shared" ca="1" si="240"/>
        <v>539129919200.82709</v>
      </c>
      <c r="J1707" s="40">
        <f t="shared" ca="1" si="241"/>
        <v>906256608787.86365</v>
      </c>
      <c r="K1707" s="41">
        <f t="shared" ca="1" si="242"/>
        <v>0.59489764154318736</v>
      </c>
    </row>
    <row r="1708" spans="2:11" ht="15" customHeight="1" x14ac:dyDescent="0.35">
      <c r="B1708" s="5">
        <v>1687</v>
      </c>
      <c r="C1708" s="39">
        <f t="shared" ca="1" si="234"/>
        <v>2.2731085903619244</v>
      </c>
      <c r="D1708" s="40">
        <f t="shared" ca="1" si="235"/>
        <v>1279273187.8946438</v>
      </c>
      <c r="E1708" s="40">
        <f t="shared" ca="1" si="236"/>
        <v>5831755226918.2158</v>
      </c>
      <c r="F1708" s="40">
        <f t="shared" ca="1" si="237"/>
        <v>676908277663.12012</v>
      </c>
      <c r="G1708" s="40">
        <f t="shared" ca="1" si="238"/>
        <v>8849437540234.3711</v>
      </c>
      <c r="H1708" s="40">
        <f t="shared" ca="1" si="239"/>
        <v>676908277663.12012</v>
      </c>
      <c r="I1708" s="40">
        <f t="shared" ca="1" si="240"/>
        <v>9008459619788.6367</v>
      </c>
      <c r="J1708" s="40">
        <f t="shared" ca="1" si="241"/>
        <v>1004480967044.326</v>
      </c>
      <c r="K1708" s="41">
        <f t="shared" ca="1" si="242"/>
        <v>8.968273083656257</v>
      </c>
    </row>
    <row r="1709" spans="2:11" ht="15" customHeight="1" x14ac:dyDescent="0.35">
      <c r="B1709" s="5">
        <v>1688</v>
      </c>
      <c r="C1709" s="39">
        <f t="shared" ca="1" si="234"/>
        <v>2.6779496094780848</v>
      </c>
      <c r="D1709" s="40">
        <f t="shared" ca="1" si="235"/>
        <v>2801036858.0122223</v>
      </c>
      <c r="E1709" s="40">
        <f t="shared" ca="1" si="236"/>
        <v>3085213457600.7656</v>
      </c>
      <c r="F1709" s="40">
        <f t="shared" ca="1" si="237"/>
        <v>5043375866737.3252</v>
      </c>
      <c r="G1709" s="40">
        <f t="shared" ca="1" si="238"/>
        <v>4902880910183.2432</v>
      </c>
      <c r="H1709" s="40">
        <f t="shared" ca="1" si="239"/>
        <v>3085213457600.7656</v>
      </c>
      <c r="I1709" s="40">
        <f t="shared" ca="1" si="240"/>
        <v>1567007521308.605</v>
      </c>
      <c r="J1709" s="40">
        <f t="shared" ca="1" si="241"/>
        <v>543232903065.31543</v>
      </c>
      <c r="K1709" s="41">
        <f t="shared" ca="1" si="242"/>
        <v>2.8845961142383092</v>
      </c>
    </row>
    <row r="1710" spans="2:11" ht="15" customHeight="1" x14ac:dyDescent="0.35">
      <c r="B1710" s="5">
        <v>1689</v>
      </c>
      <c r="C1710" s="39">
        <f t="shared" ca="1" si="234"/>
        <v>3.6200143409751164</v>
      </c>
      <c r="D1710" s="40">
        <f t="shared" ca="1" si="235"/>
        <v>12458485214.684683</v>
      </c>
      <c r="E1710" s="40">
        <f t="shared" ca="1" si="236"/>
        <v>49351314409663.133</v>
      </c>
      <c r="F1710" s="40">
        <f t="shared" ca="1" si="237"/>
        <v>7702650526346.7344</v>
      </c>
      <c r="G1710" s="40">
        <f t="shared" ca="1" si="238"/>
        <v>159921436680835.91</v>
      </c>
      <c r="H1710" s="40">
        <f t="shared" ca="1" si="239"/>
        <v>159921436680835.91</v>
      </c>
      <c r="I1710" s="40">
        <f t="shared" ca="1" si="240"/>
        <v>8711751038430.4854</v>
      </c>
      <c r="J1710" s="40">
        <f t="shared" ca="1" si="241"/>
        <v>829541041147.34509</v>
      </c>
      <c r="K1710" s="41">
        <f t="shared" ca="1" si="242"/>
        <v>10.50189274105256</v>
      </c>
    </row>
    <row r="1711" spans="2:11" ht="15" customHeight="1" x14ac:dyDescent="0.35">
      <c r="B1711" s="5">
        <v>1690</v>
      </c>
      <c r="C1711" s="39">
        <f t="shared" ca="1" si="234"/>
        <v>2.9302425034675874</v>
      </c>
      <c r="D1711" s="40">
        <f t="shared" ca="1" si="235"/>
        <v>4694854651.1195917</v>
      </c>
      <c r="E1711" s="40">
        <f t="shared" ca="1" si="236"/>
        <v>40317139710306.258</v>
      </c>
      <c r="F1711" s="40">
        <f t="shared" ca="1" si="237"/>
        <v>4074310010340.9795</v>
      </c>
      <c r="G1711" s="40">
        <f t="shared" ca="1" si="238"/>
        <v>1270093567223.8657</v>
      </c>
      <c r="H1711" s="40">
        <f t="shared" ca="1" si="239"/>
        <v>40317139710306.258</v>
      </c>
      <c r="I1711" s="40">
        <f t="shared" ca="1" si="240"/>
        <v>7699193529746.3477</v>
      </c>
      <c r="J1711" s="40">
        <f t="shared" ca="1" si="241"/>
        <v>826393533161.09558</v>
      </c>
      <c r="K1711" s="41">
        <f t="shared" ca="1" si="242"/>
        <v>9.3166188030242996</v>
      </c>
    </row>
    <row r="1712" spans="2:11" ht="15" customHeight="1" x14ac:dyDescent="0.35">
      <c r="B1712" s="5">
        <v>1691</v>
      </c>
      <c r="C1712" s="39">
        <f t="shared" ca="1" si="234"/>
        <v>2.3521536566914363</v>
      </c>
      <c r="D1712" s="40">
        <f t="shared" ca="1" si="235"/>
        <v>1189481501.5457664</v>
      </c>
      <c r="E1712" s="40">
        <f t="shared" ca="1" si="236"/>
        <v>22285324552152.688</v>
      </c>
      <c r="F1712" s="40">
        <f t="shared" ca="1" si="237"/>
        <v>1704019921644.0732</v>
      </c>
      <c r="G1712" s="40">
        <f t="shared" ca="1" si="238"/>
        <v>1749638278618.3301</v>
      </c>
      <c r="H1712" s="40">
        <f t="shared" ca="1" si="239"/>
        <v>1704019921644.0732</v>
      </c>
      <c r="I1712" s="40">
        <f t="shared" ca="1" si="240"/>
        <v>6690929605174.6582</v>
      </c>
      <c r="J1712" s="40">
        <f t="shared" ca="1" si="241"/>
        <v>476738371440.7876</v>
      </c>
      <c r="K1712" s="41">
        <f t="shared" ca="1" si="242"/>
        <v>14.034804005713839</v>
      </c>
    </row>
    <row r="1713" spans="2:11" ht="15" customHeight="1" x14ac:dyDescent="0.35">
      <c r="B1713" s="5">
        <v>1692</v>
      </c>
      <c r="C1713" s="39">
        <f t="shared" ca="1" si="234"/>
        <v>2.6358026935336762</v>
      </c>
      <c r="D1713" s="40">
        <f t="shared" ca="1" si="235"/>
        <v>2444833176.4563184</v>
      </c>
      <c r="E1713" s="40">
        <f t="shared" ca="1" si="236"/>
        <v>12036990798179.635</v>
      </c>
      <c r="F1713" s="40">
        <f t="shared" ca="1" si="237"/>
        <v>612626830564.28247</v>
      </c>
      <c r="G1713" s="40">
        <f t="shared" ca="1" si="238"/>
        <v>1118342741537.9084</v>
      </c>
      <c r="H1713" s="40">
        <f t="shared" ca="1" si="239"/>
        <v>12036990798179.635</v>
      </c>
      <c r="I1713" s="40">
        <f t="shared" ca="1" si="240"/>
        <v>1163524452746.7043</v>
      </c>
      <c r="J1713" s="40">
        <f t="shared" ca="1" si="241"/>
        <v>1119716894833.551</v>
      </c>
      <c r="K1713" s="41">
        <f t="shared" ca="1" si="242"/>
        <v>1.0391237804084983</v>
      </c>
    </row>
    <row r="1714" spans="2:11" ht="15" customHeight="1" x14ac:dyDescent="0.35">
      <c r="B1714" s="5">
        <v>1693</v>
      </c>
      <c r="C1714" s="39">
        <f t="shared" ca="1" si="234"/>
        <v>3.3772004180003132</v>
      </c>
      <c r="D1714" s="40">
        <f t="shared" ca="1" si="235"/>
        <v>8533160468.0520639</v>
      </c>
      <c r="E1714" s="40">
        <f t="shared" ca="1" si="236"/>
        <v>10068597511301.799</v>
      </c>
      <c r="F1714" s="40">
        <f t="shared" ca="1" si="237"/>
        <v>3267906455603.0083</v>
      </c>
      <c r="G1714" s="40">
        <f t="shared" ca="1" si="238"/>
        <v>2489335572248.5161</v>
      </c>
      <c r="H1714" s="40">
        <f t="shared" ca="1" si="239"/>
        <v>2489335572248.5161</v>
      </c>
      <c r="I1714" s="40">
        <f t="shared" ca="1" si="240"/>
        <v>4688439136876.6211</v>
      </c>
      <c r="J1714" s="40">
        <f t="shared" ca="1" si="241"/>
        <v>1318187472580.8081</v>
      </c>
      <c r="K1714" s="41">
        <f t="shared" ca="1" si="242"/>
        <v>3.5567316746664108</v>
      </c>
    </row>
    <row r="1715" spans="2:11" ht="15" customHeight="1" x14ac:dyDescent="0.35">
      <c r="B1715" s="5">
        <v>1694</v>
      </c>
      <c r="C1715" s="39">
        <f t="shared" ca="1" si="234"/>
        <v>3.162649200941043</v>
      </c>
      <c r="D1715" s="40">
        <f t="shared" ca="1" si="235"/>
        <v>6327135602.229146</v>
      </c>
      <c r="E1715" s="40">
        <f t="shared" ca="1" si="236"/>
        <v>66993090866406.523</v>
      </c>
      <c r="F1715" s="40">
        <f t="shared" ca="1" si="237"/>
        <v>1753986397038.4128</v>
      </c>
      <c r="G1715" s="40">
        <f t="shared" ca="1" si="238"/>
        <v>2686079553301.2231</v>
      </c>
      <c r="H1715" s="40">
        <f t="shared" ca="1" si="239"/>
        <v>66993090866406.523</v>
      </c>
      <c r="I1715" s="40">
        <f t="shared" ca="1" si="240"/>
        <v>2568882101742.3403</v>
      </c>
      <c r="J1715" s="40">
        <f t="shared" ca="1" si="241"/>
        <v>1123207765961.6731</v>
      </c>
      <c r="K1715" s="41">
        <f t="shared" ca="1" si="242"/>
        <v>2.2870943200280522</v>
      </c>
    </row>
    <row r="1716" spans="2:11" ht="15" customHeight="1" x14ac:dyDescent="0.35">
      <c r="B1716" s="5">
        <v>1695</v>
      </c>
      <c r="C1716" s="39">
        <f t="shared" ca="1" si="234"/>
        <v>3.6007411585341793</v>
      </c>
      <c r="D1716" s="40">
        <f t="shared" ca="1" si="235"/>
        <v>14084382642.282078</v>
      </c>
      <c r="E1716" s="40">
        <f t="shared" ca="1" si="236"/>
        <v>74976941373041.906</v>
      </c>
      <c r="F1716" s="40">
        <f t="shared" ca="1" si="237"/>
        <v>9568533718835.3281</v>
      </c>
      <c r="G1716" s="40">
        <f t="shared" ca="1" si="238"/>
        <v>2332007185616.1143</v>
      </c>
      <c r="H1716" s="40">
        <f t="shared" ca="1" si="239"/>
        <v>9568533718835.3281</v>
      </c>
      <c r="I1716" s="40">
        <f t="shared" ca="1" si="240"/>
        <v>34682600972158.578</v>
      </c>
      <c r="J1716" s="40">
        <f t="shared" ca="1" si="241"/>
        <v>1184285075554.2195</v>
      </c>
      <c r="K1716" s="41">
        <f t="shared" ca="1" si="242"/>
        <v>29.285686097097763</v>
      </c>
    </row>
    <row r="1717" spans="2:11" ht="15" customHeight="1" x14ac:dyDescent="0.35">
      <c r="B1717" s="5">
        <v>1696</v>
      </c>
      <c r="C1717" s="39">
        <f t="shared" ca="1" si="234"/>
        <v>2.3001666005472008</v>
      </c>
      <c r="D1717" s="40">
        <f t="shared" ca="1" si="235"/>
        <v>1263477163.8216074</v>
      </c>
      <c r="E1717" s="40">
        <f t="shared" ca="1" si="236"/>
        <v>3823853561784.4233</v>
      </c>
      <c r="F1717" s="40">
        <f t="shared" ca="1" si="237"/>
        <v>1685781187950.2268</v>
      </c>
      <c r="G1717" s="40">
        <f t="shared" ca="1" si="238"/>
        <v>4942453793410.1709</v>
      </c>
      <c r="H1717" s="40">
        <f t="shared" ca="1" si="239"/>
        <v>1685781187950.2268</v>
      </c>
      <c r="I1717" s="40">
        <f t="shared" ca="1" si="240"/>
        <v>22680285104235.836</v>
      </c>
      <c r="J1717" s="40">
        <f t="shared" ca="1" si="241"/>
        <v>1287148425120.1006</v>
      </c>
      <c r="K1717" s="41">
        <f t="shared" ca="1" si="242"/>
        <v>17.620567031435861</v>
      </c>
    </row>
    <row r="1718" spans="2:11" ht="15" customHeight="1" x14ac:dyDescent="0.35">
      <c r="B1718" s="5">
        <v>1697</v>
      </c>
      <c r="C1718" s="39">
        <f t="shared" ca="1" si="234"/>
        <v>2.1448643050266378</v>
      </c>
      <c r="D1718" s="40">
        <f t="shared" ca="1" si="235"/>
        <v>881171160.99331236</v>
      </c>
      <c r="E1718" s="40">
        <f t="shared" ca="1" si="236"/>
        <v>1206366079475.342</v>
      </c>
      <c r="F1718" s="40">
        <f t="shared" ca="1" si="237"/>
        <v>17392825257573.855</v>
      </c>
      <c r="G1718" s="40">
        <f t="shared" ca="1" si="238"/>
        <v>12434963573740.459</v>
      </c>
      <c r="H1718" s="40">
        <f t="shared" ca="1" si="239"/>
        <v>17392825257573.855</v>
      </c>
      <c r="I1718" s="40">
        <f t="shared" ca="1" si="240"/>
        <v>13516577515925.332</v>
      </c>
      <c r="J1718" s="40">
        <f t="shared" ca="1" si="241"/>
        <v>1578688388329.1587</v>
      </c>
      <c r="K1718" s="41">
        <f t="shared" ca="1" si="242"/>
        <v>8.5619034230250559</v>
      </c>
    </row>
    <row r="1719" spans="2:11" ht="15" customHeight="1" x14ac:dyDescent="0.35">
      <c r="B1719" s="5">
        <v>1698</v>
      </c>
      <c r="C1719" s="39">
        <f t="shared" ca="1" si="234"/>
        <v>3.0071690735747407</v>
      </c>
      <c r="D1719" s="40">
        <f t="shared" ca="1" si="235"/>
        <v>4244962550.9435606</v>
      </c>
      <c r="E1719" s="40">
        <f t="shared" ca="1" si="236"/>
        <v>23457020729467.863</v>
      </c>
      <c r="F1719" s="40">
        <f t="shared" ca="1" si="237"/>
        <v>4519553530682.6953</v>
      </c>
      <c r="G1719" s="40">
        <f t="shared" ca="1" si="238"/>
        <v>13915719830779.26</v>
      </c>
      <c r="H1719" s="40">
        <f t="shared" ca="1" si="239"/>
        <v>13915719830779.26</v>
      </c>
      <c r="I1719" s="40">
        <f t="shared" ca="1" si="240"/>
        <v>7672181922387.8916</v>
      </c>
      <c r="J1719" s="40">
        <f t="shared" ca="1" si="241"/>
        <v>1094440765642.6176</v>
      </c>
      <c r="K1719" s="41">
        <f t="shared" ca="1" si="242"/>
        <v>7.0101390255534328</v>
      </c>
    </row>
    <row r="1720" spans="2:11" ht="15" customHeight="1" x14ac:dyDescent="0.35">
      <c r="B1720" s="5">
        <v>1699</v>
      </c>
      <c r="C1720" s="39">
        <f t="shared" ca="1" si="234"/>
        <v>3.8708006798432781</v>
      </c>
      <c r="D1720" s="40">
        <f t="shared" ca="1" si="235"/>
        <v>18045368377.373985</v>
      </c>
      <c r="E1720" s="40">
        <f t="shared" ca="1" si="236"/>
        <v>39236580174668</v>
      </c>
      <c r="F1720" s="40">
        <f t="shared" ca="1" si="237"/>
        <v>5656072099309.5664</v>
      </c>
      <c r="G1720" s="40">
        <f t="shared" ca="1" si="238"/>
        <v>704786811590.46777</v>
      </c>
      <c r="H1720" s="40">
        <f t="shared" ca="1" si="239"/>
        <v>5656072099309.5664</v>
      </c>
      <c r="I1720" s="40">
        <f t="shared" ca="1" si="240"/>
        <v>2426684524609.208</v>
      </c>
      <c r="J1720" s="40">
        <f t="shared" ca="1" si="241"/>
        <v>785437773684.28076</v>
      </c>
      <c r="K1720" s="41">
        <f t="shared" ca="1" si="242"/>
        <v>3.0895948806055928</v>
      </c>
    </row>
    <row r="1721" spans="2:11" ht="15" customHeight="1" x14ac:dyDescent="0.35">
      <c r="B1721" s="5">
        <v>1700</v>
      </c>
      <c r="C1721" s="39">
        <f t="shared" ca="1" si="234"/>
        <v>1.8159997340631919</v>
      </c>
      <c r="D1721" s="40">
        <f t="shared" ca="1" si="235"/>
        <v>456592419.76044118</v>
      </c>
      <c r="E1721" s="40">
        <f t="shared" ca="1" si="236"/>
        <v>1759305254836.082</v>
      </c>
      <c r="F1721" s="40">
        <f t="shared" ca="1" si="237"/>
        <v>1558112254937.9514</v>
      </c>
      <c r="G1721" s="40">
        <f t="shared" ca="1" si="238"/>
        <v>4069362730584.2686</v>
      </c>
      <c r="H1721" s="40">
        <f t="shared" ca="1" si="239"/>
        <v>4069362730584.2686</v>
      </c>
      <c r="I1721" s="40">
        <f t="shared" ca="1" si="240"/>
        <v>17458374831813.064</v>
      </c>
      <c r="J1721" s="40">
        <f t="shared" ca="1" si="241"/>
        <v>1046297926532.0681</v>
      </c>
      <c r="K1721" s="41">
        <f t="shared" ca="1" si="242"/>
        <v>16.685854371974596</v>
      </c>
    </row>
    <row r="1722" spans="2:11" ht="15" customHeight="1" x14ac:dyDescent="0.35">
      <c r="B1722" s="5">
        <v>1701</v>
      </c>
      <c r="C1722" s="39">
        <f t="shared" ca="1" si="234"/>
        <v>3.0336189154162438</v>
      </c>
      <c r="D1722" s="40">
        <f t="shared" ca="1" si="235"/>
        <v>6148091545.4174576</v>
      </c>
      <c r="E1722" s="40">
        <f t="shared" ca="1" si="236"/>
        <v>3722279317295.3188</v>
      </c>
      <c r="F1722" s="40">
        <f t="shared" ca="1" si="237"/>
        <v>2964426922449.8013</v>
      </c>
      <c r="G1722" s="40">
        <f t="shared" ca="1" si="238"/>
        <v>4315009703266.1304</v>
      </c>
      <c r="H1722" s="40">
        <f t="shared" ca="1" si="239"/>
        <v>3722279317295.3188</v>
      </c>
      <c r="I1722" s="40">
        <f t="shared" ca="1" si="240"/>
        <v>318853192259.41833</v>
      </c>
      <c r="J1722" s="40">
        <f t="shared" ca="1" si="241"/>
        <v>1461460122770.3098</v>
      </c>
      <c r="K1722" s="41">
        <f t="shared" ca="1" si="242"/>
        <v>0.21817440468714783</v>
      </c>
    </row>
    <row r="1723" spans="2:11" ht="15" customHeight="1" x14ac:dyDescent="0.35">
      <c r="B1723" s="5">
        <v>1702</v>
      </c>
      <c r="C1723" s="39">
        <f t="shared" ca="1" si="234"/>
        <v>2.148321131080162</v>
      </c>
      <c r="D1723" s="40">
        <f t="shared" ca="1" si="235"/>
        <v>1054080626.1619518</v>
      </c>
      <c r="E1723" s="40">
        <f t="shared" ca="1" si="236"/>
        <v>2261444608829.5068</v>
      </c>
      <c r="F1723" s="40">
        <f t="shared" ca="1" si="237"/>
        <v>1611085644165.9465</v>
      </c>
      <c r="G1723" s="40">
        <f t="shared" ca="1" si="238"/>
        <v>1225308224533.384</v>
      </c>
      <c r="H1723" s="40">
        <f t="shared" ca="1" si="239"/>
        <v>1611085644165.9465</v>
      </c>
      <c r="I1723" s="40">
        <f t="shared" ca="1" si="240"/>
        <v>24131647566083.027</v>
      </c>
      <c r="J1723" s="40">
        <f t="shared" ca="1" si="241"/>
        <v>849160440729.5603</v>
      </c>
      <c r="K1723" s="41">
        <f t="shared" ca="1" si="242"/>
        <v>28.418242782659782</v>
      </c>
    </row>
    <row r="1724" spans="2:11" ht="15" customHeight="1" x14ac:dyDescent="0.35">
      <c r="B1724" s="5">
        <v>1703</v>
      </c>
      <c r="C1724" s="39">
        <f t="shared" ca="1" si="234"/>
        <v>2.9105452017716731</v>
      </c>
      <c r="D1724" s="40">
        <f t="shared" ca="1" si="235"/>
        <v>3959498238.6818376</v>
      </c>
      <c r="E1724" s="40">
        <f t="shared" ca="1" si="236"/>
        <v>18453305058608.348</v>
      </c>
      <c r="F1724" s="40">
        <f t="shared" ca="1" si="237"/>
        <v>3370885434028.1064</v>
      </c>
      <c r="G1724" s="40">
        <f t="shared" ca="1" si="238"/>
        <v>9453332745694.9941</v>
      </c>
      <c r="H1724" s="40">
        <f t="shared" ca="1" si="239"/>
        <v>9453332745694.9941</v>
      </c>
      <c r="I1724" s="40">
        <f t="shared" ca="1" si="240"/>
        <v>7368644915135.9355</v>
      </c>
      <c r="J1724" s="40">
        <f t="shared" ca="1" si="241"/>
        <v>1186302092154.0996</v>
      </c>
      <c r="K1724" s="41">
        <f t="shared" ca="1" si="242"/>
        <v>6.2114405461056501</v>
      </c>
    </row>
    <row r="1725" spans="2:11" ht="15" customHeight="1" x14ac:dyDescent="0.35">
      <c r="B1725" s="5">
        <v>1704</v>
      </c>
      <c r="C1725" s="39">
        <f t="shared" ca="1" si="234"/>
        <v>3.2954153598857761</v>
      </c>
      <c r="D1725" s="40">
        <f t="shared" ca="1" si="235"/>
        <v>8526004033.9744406</v>
      </c>
      <c r="E1725" s="40">
        <f t="shared" ca="1" si="236"/>
        <v>93342385138747.75</v>
      </c>
      <c r="F1725" s="40">
        <f t="shared" ca="1" si="237"/>
        <v>1964710520887.6072</v>
      </c>
      <c r="G1725" s="40">
        <f t="shared" ca="1" si="238"/>
        <v>168983530489.42596</v>
      </c>
      <c r="H1725" s="40">
        <f t="shared" ca="1" si="239"/>
        <v>168983530489.42596</v>
      </c>
      <c r="I1725" s="40">
        <f t="shared" ca="1" si="240"/>
        <v>5416089714969.3447</v>
      </c>
      <c r="J1725" s="40">
        <f t="shared" ca="1" si="241"/>
        <v>1164741719965.6934</v>
      </c>
      <c r="K1725" s="41">
        <f t="shared" ca="1" si="242"/>
        <v>4.6500349580754019</v>
      </c>
    </row>
    <row r="1726" spans="2:11" ht="15" customHeight="1" x14ac:dyDescent="0.35">
      <c r="B1726" s="5">
        <v>1705</v>
      </c>
      <c r="C1726" s="39">
        <f t="shared" ca="1" si="234"/>
        <v>2.4211583679058695</v>
      </c>
      <c r="D1726" s="40">
        <f t="shared" ca="1" si="235"/>
        <v>1803897677.8457901</v>
      </c>
      <c r="E1726" s="40">
        <f t="shared" ca="1" si="236"/>
        <v>1117372243539.5864</v>
      </c>
      <c r="F1726" s="40">
        <f t="shared" ca="1" si="237"/>
        <v>4414681674811.0713</v>
      </c>
      <c r="G1726" s="40">
        <f t="shared" ca="1" si="238"/>
        <v>2662511854345.7031</v>
      </c>
      <c r="H1726" s="40">
        <f t="shared" ca="1" si="239"/>
        <v>4414681674811.0713</v>
      </c>
      <c r="I1726" s="40">
        <f t="shared" ca="1" si="240"/>
        <v>44219568141296.289</v>
      </c>
      <c r="J1726" s="40">
        <f t="shared" ca="1" si="241"/>
        <v>1460987759083.4258</v>
      </c>
      <c r="K1726" s="41">
        <f t="shared" ca="1" si="242"/>
        <v>30.26689845029102</v>
      </c>
    </row>
    <row r="1727" spans="2:11" ht="15" customHeight="1" x14ac:dyDescent="0.35">
      <c r="B1727" s="5">
        <v>1706</v>
      </c>
      <c r="C1727" s="39">
        <f t="shared" ca="1" si="234"/>
        <v>3.8244595951145373</v>
      </c>
      <c r="D1727" s="40">
        <f t="shared" ca="1" si="235"/>
        <v>13505667896.530949</v>
      </c>
      <c r="E1727" s="40">
        <f t="shared" ca="1" si="236"/>
        <v>72176796832278.844</v>
      </c>
      <c r="F1727" s="40">
        <f t="shared" ca="1" si="237"/>
        <v>5714920524916.5801</v>
      </c>
      <c r="G1727" s="40">
        <f t="shared" ca="1" si="238"/>
        <v>42068721759639.891</v>
      </c>
      <c r="H1727" s="40">
        <f t="shared" ca="1" si="239"/>
        <v>5714920524916.5801</v>
      </c>
      <c r="I1727" s="40">
        <f t="shared" ca="1" si="240"/>
        <v>4787324458005.4277</v>
      </c>
      <c r="J1727" s="40">
        <f t="shared" ca="1" si="241"/>
        <v>972542543567.60547</v>
      </c>
      <c r="K1727" s="41">
        <f t="shared" ca="1" si="242"/>
        <v>4.9224833295661794</v>
      </c>
    </row>
    <row r="1728" spans="2:11" ht="15" customHeight="1" x14ac:dyDescent="0.35">
      <c r="B1728" s="5">
        <v>1707</v>
      </c>
      <c r="C1728" s="39">
        <f t="shared" ca="1" si="234"/>
        <v>1.8</v>
      </c>
      <c r="D1728" s="40">
        <f t="shared" ca="1" si="235"/>
        <v>336660033.45478946</v>
      </c>
      <c r="E1728" s="40">
        <f t="shared" ca="1" si="236"/>
        <v>1123143547265.1841</v>
      </c>
      <c r="F1728" s="40">
        <f t="shared" ca="1" si="237"/>
        <v>1071794971729.8884</v>
      </c>
      <c r="G1728" s="40">
        <f t="shared" ca="1" si="238"/>
        <v>9247968569765.7676</v>
      </c>
      <c r="H1728" s="40">
        <f t="shared" ca="1" si="239"/>
        <v>1071794971729.8884</v>
      </c>
      <c r="I1728" s="40">
        <f t="shared" ca="1" si="240"/>
        <v>59511971284222.859</v>
      </c>
      <c r="J1728" s="40">
        <f t="shared" ca="1" si="241"/>
        <v>1268027153213.4253</v>
      </c>
      <c r="K1728" s="41">
        <f t="shared" ca="1" si="242"/>
        <v>46.9327262696292</v>
      </c>
    </row>
    <row r="1729" spans="2:11" ht="15" customHeight="1" x14ac:dyDescent="0.35">
      <c r="B1729" s="5">
        <v>1708</v>
      </c>
      <c r="C1729" s="39">
        <f t="shared" ca="1" si="234"/>
        <v>2.8180993724315799</v>
      </c>
      <c r="D1729" s="40">
        <f t="shared" ca="1" si="235"/>
        <v>3116681229.2561069</v>
      </c>
      <c r="E1729" s="40">
        <f t="shared" ca="1" si="236"/>
        <v>20667651033605.867</v>
      </c>
      <c r="F1729" s="40">
        <f t="shared" ca="1" si="237"/>
        <v>760010908515.81799</v>
      </c>
      <c r="G1729" s="40">
        <f t="shared" ca="1" si="238"/>
        <v>20648593879659.523</v>
      </c>
      <c r="H1729" s="40">
        <f t="shared" ca="1" si="239"/>
        <v>20648593879659.523</v>
      </c>
      <c r="I1729" s="40">
        <f t="shared" ca="1" si="240"/>
        <v>5227032205331.2832</v>
      </c>
      <c r="J1729" s="40">
        <f t="shared" ca="1" si="241"/>
        <v>1275852740827.4204</v>
      </c>
      <c r="K1729" s="41">
        <f t="shared" ca="1" si="242"/>
        <v>4.096893033236289</v>
      </c>
    </row>
    <row r="1730" spans="2:11" ht="15" customHeight="1" x14ac:dyDescent="0.35">
      <c r="B1730" s="5">
        <v>1709</v>
      </c>
      <c r="C1730" s="39">
        <f t="shared" ca="1" si="234"/>
        <v>4.0874829469613667</v>
      </c>
      <c r="D1730" s="40">
        <f t="shared" ca="1" si="235"/>
        <v>24222084590.60648</v>
      </c>
      <c r="E1730" s="40">
        <f t="shared" ca="1" si="236"/>
        <v>116009556285440.95</v>
      </c>
      <c r="F1730" s="40">
        <f t="shared" ca="1" si="237"/>
        <v>2531717675810.3262</v>
      </c>
      <c r="G1730" s="40">
        <f t="shared" ca="1" si="238"/>
        <v>4174976128877.1538</v>
      </c>
      <c r="H1730" s="40">
        <f t="shared" ca="1" si="239"/>
        <v>4174976128877.1538</v>
      </c>
      <c r="I1730" s="40">
        <f t="shared" ca="1" si="240"/>
        <v>2295542762283.2734</v>
      </c>
      <c r="J1730" s="40">
        <f t="shared" ca="1" si="241"/>
        <v>701654649088.23608</v>
      </c>
      <c r="K1730" s="41">
        <f t="shared" ca="1" si="242"/>
        <v>3.2716134144713678</v>
      </c>
    </row>
    <row r="1731" spans="2:11" ht="15" customHeight="1" x14ac:dyDescent="0.35">
      <c r="B1731" s="5">
        <v>1710</v>
      </c>
      <c r="C1731" s="39">
        <f t="shared" ca="1" si="234"/>
        <v>2.7136097115697839</v>
      </c>
      <c r="D1731" s="40">
        <f t="shared" ca="1" si="235"/>
        <v>3448386406.280529</v>
      </c>
      <c r="E1731" s="40">
        <f t="shared" ca="1" si="236"/>
        <v>16124239629280.275</v>
      </c>
      <c r="F1731" s="40">
        <f t="shared" ca="1" si="237"/>
        <v>11319834226934.539</v>
      </c>
      <c r="G1731" s="40">
        <f t="shared" ca="1" si="238"/>
        <v>1138957510616.3572</v>
      </c>
      <c r="H1731" s="40">
        <f t="shared" ca="1" si="239"/>
        <v>1138957510616.3572</v>
      </c>
      <c r="I1731" s="40">
        <f t="shared" ca="1" si="240"/>
        <v>111155677029381.7</v>
      </c>
      <c r="J1731" s="40">
        <f t="shared" ca="1" si="241"/>
        <v>914002030028.54517</v>
      </c>
      <c r="K1731" s="41">
        <f t="shared" ca="1" si="242"/>
        <v>121.61425618049252</v>
      </c>
    </row>
    <row r="1732" spans="2:11" ht="15" customHeight="1" x14ac:dyDescent="0.35">
      <c r="B1732" s="5">
        <v>1711</v>
      </c>
      <c r="C1732" s="39">
        <f t="shared" ca="1" si="234"/>
        <v>2.5101541368420621</v>
      </c>
      <c r="D1732" s="40">
        <f t="shared" ca="1" si="235"/>
        <v>2218672747.3768711</v>
      </c>
      <c r="E1732" s="40">
        <f t="shared" ca="1" si="236"/>
        <v>7812796657158.4521</v>
      </c>
      <c r="F1732" s="40">
        <f t="shared" ca="1" si="237"/>
        <v>10089504569629.047</v>
      </c>
      <c r="G1732" s="40">
        <f t="shared" ca="1" si="238"/>
        <v>322017802632.22723</v>
      </c>
      <c r="H1732" s="40">
        <f t="shared" ca="1" si="239"/>
        <v>7812796657158.4521</v>
      </c>
      <c r="I1732" s="40">
        <f t="shared" ca="1" si="240"/>
        <v>5625285110713.5117</v>
      </c>
      <c r="J1732" s="40">
        <f t="shared" ca="1" si="241"/>
        <v>1451767261485.2688</v>
      </c>
      <c r="K1732" s="41">
        <f t="shared" ca="1" si="242"/>
        <v>3.8747843817323826</v>
      </c>
    </row>
    <row r="1733" spans="2:11" ht="15" customHeight="1" x14ac:dyDescent="0.35">
      <c r="B1733" s="5">
        <v>1712</v>
      </c>
      <c r="C1733" s="39">
        <f t="shared" ca="1" si="234"/>
        <v>2.7942808831174681</v>
      </c>
      <c r="D1733" s="40">
        <f t="shared" ca="1" si="235"/>
        <v>2742806421.8626995</v>
      </c>
      <c r="E1733" s="40">
        <f t="shared" ca="1" si="236"/>
        <v>9422057058734.4531</v>
      </c>
      <c r="F1733" s="40">
        <f t="shared" ca="1" si="237"/>
        <v>3324609325567.8804</v>
      </c>
      <c r="G1733" s="40">
        <f t="shared" ca="1" si="238"/>
        <v>11150756966480.938</v>
      </c>
      <c r="H1733" s="40">
        <f t="shared" ca="1" si="239"/>
        <v>11150756966480.938</v>
      </c>
      <c r="I1733" s="40">
        <f t="shared" ca="1" si="240"/>
        <v>1087542147532.5057</v>
      </c>
      <c r="J1733" s="40">
        <f t="shared" ca="1" si="241"/>
        <v>965089068492.91492</v>
      </c>
      <c r="K1733" s="41">
        <f t="shared" ca="1" si="242"/>
        <v>1.1268826712863029</v>
      </c>
    </row>
    <row r="1734" spans="2:11" ht="15" customHeight="1" x14ac:dyDescent="0.35">
      <c r="B1734" s="5">
        <v>1713</v>
      </c>
      <c r="C1734" s="39">
        <f t="shared" ca="1" si="234"/>
        <v>2.8120004313543561</v>
      </c>
      <c r="D1734" s="40">
        <f t="shared" ca="1" si="235"/>
        <v>4154534594.8973088</v>
      </c>
      <c r="E1734" s="40">
        <f t="shared" ca="1" si="236"/>
        <v>15315505305783.717</v>
      </c>
      <c r="F1734" s="40">
        <f t="shared" ca="1" si="237"/>
        <v>4489828482177.3643</v>
      </c>
      <c r="G1734" s="40">
        <f t="shared" ca="1" si="238"/>
        <v>26960986882657.371</v>
      </c>
      <c r="H1734" s="40">
        <f t="shared" ca="1" si="239"/>
        <v>4489828482177.3643</v>
      </c>
      <c r="I1734" s="40">
        <f t="shared" ca="1" si="240"/>
        <v>6373746502607.5527</v>
      </c>
      <c r="J1734" s="40">
        <f t="shared" ca="1" si="241"/>
        <v>1168586277382.4182</v>
      </c>
      <c r="K1734" s="41">
        <f t="shared" ca="1" si="242"/>
        <v>5.4542369921410199</v>
      </c>
    </row>
    <row r="1735" spans="2:11" ht="15" customHeight="1" x14ac:dyDescent="0.35">
      <c r="B1735" s="5">
        <v>1714</v>
      </c>
      <c r="C1735" s="39">
        <f t="shared" ca="1" si="234"/>
        <v>3.4322738308275382</v>
      </c>
      <c r="D1735" s="40">
        <f t="shared" ca="1" si="235"/>
        <v>8642556381.2808418</v>
      </c>
      <c r="E1735" s="40">
        <f t="shared" ca="1" si="236"/>
        <v>9967146856749.2324</v>
      </c>
      <c r="F1735" s="40">
        <f t="shared" ca="1" si="237"/>
        <v>1258319894920.9407</v>
      </c>
      <c r="G1735" s="40">
        <f t="shared" ca="1" si="238"/>
        <v>47889362747487.164</v>
      </c>
      <c r="H1735" s="40">
        <f t="shared" ca="1" si="239"/>
        <v>9967146856749.2324</v>
      </c>
      <c r="I1735" s="40">
        <f t="shared" ca="1" si="240"/>
        <v>36425066545155.766</v>
      </c>
      <c r="J1735" s="40">
        <f t="shared" ca="1" si="241"/>
        <v>1091154018175.1274</v>
      </c>
      <c r="K1735" s="41">
        <f t="shared" ca="1" si="242"/>
        <v>33.382149484335798</v>
      </c>
    </row>
    <row r="1736" spans="2:11" ht="15" customHeight="1" x14ac:dyDescent="0.35">
      <c r="B1736" s="5">
        <v>1715</v>
      </c>
      <c r="C1736" s="39">
        <f t="shared" ca="1" si="234"/>
        <v>2.5521022399043636</v>
      </c>
      <c r="D1736" s="40">
        <f t="shared" ca="1" si="235"/>
        <v>1938012363.749537</v>
      </c>
      <c r="E1736" s="40">
        <f t="shared" ca="1" si="236"/>
        <v>10320757959046.664</v>
      </c>
      <c r="F1736" s="40">
        <f t="shared" ca="1" si="237"/>
        <v>432137641070.18475</v>
      </c>
      <c r="G1736" s="40">
        <f t="shared" ca="1" si="238"/>
        <v>10237808703666.336</v>
      </c>
      <c r="H1736" s="40">
        <f t="shared" ca="1" si="239"/>
        <v>432137641070.18475</v>
      </c>
      <c r="I1736" s="40">
        <f t="shared" ca="1" si="240"/>
        <v>4950388391015.5742</v>
      </c>
      <c r="J1736" s="40">
        <f t="shared" ca="1" si="241"/>
        <v>634188314858.82019</v>
      </c>
      <c r="K1736" s="41">
        <f t="shared" ca="1" si="242"/>
        <v>7.8058650325615107</v>
      </c>
    </row>
    <row r="1737" spans="2:11" ht="15" customHeight="1" x14ac:dyDescent="0.35">
      <c r="B1737" s="5">
        <v>1716</v>
      </c>
      <c r="C1737" s="39">
        <f t="shared" ca="1" si="234"/>
        <v>3.5727725080606905</v>
      </c>
      <c r="D1737" s="40">
        <f t="shared" ca="1" si="235"/>
        <v>12360700828.557804</v>
      </c>
      <c r="E1737" s="40">
        <f t="shared" ca="1" si="236"/>
        <v>49093105078158.828</v>
      </c>
      <c r="F1737" s="40">
        <f t="shared" ca="1" si="237"/>
        <v>3942241230562.481</v>
      </c>
      <c r="G1737" s="40">
        <f t="shared" ca="1" si="238"/>
        <v>27449905919495.969</v>
      </c>
      <c r="H1737" s="40">
        <f t="shared" ca="1" si="239"/>
        <v>3942241230562.481</v>
      </c>
      <c r="I1737" s="40">
        <f t="shared" ca="1" si="240"/>
        <v>10521942750397.988</v>
      </c>
      <c r="J1737" s="40">
        <f t="shared" ca="1" si="241"/>
        <v>935573747873.79163</v>
      </c>
      <c r="K1737" s="41">
        <f t="shared" ca="1" si="242"/>
        <v>11.246513462258234</v>
      </c>
    </row>
    <row r="1738" spans="2:11" ht="15" customHeight="1" x14ac:dyDescent="0.35">
      <c r="B1738" s="5">
        <v>1717</v>
      </c>
      <c r="C1738" s="39">
        <f t="shared" ca="1" si="234"/>
        <v>3.2015162284842047</v>
      </c>
      <c r="D1738" s="40">
        <f t="shared" ca="1" si="235"/>
        <v>6014483623.0361605</v>
      </c>
      <c r="E1738" s="40">
        <f t="shared" ca="1" si="236"/>
        <v>12218317592538.078</v>
      </c>
      <c r="F1738" s="40">
        <f t="shared" ca="1" si="237"/>
        <v>1785059865314.1262</v>
      </c>
      <c r="G1738" s="40">
        <f t="shared" ca="1" si="238"/>
        <v>13677304353702.658</v>
      </c>
      <c r="H1738" s="40">
        <f t="shared" ca="1" si="239"/>
        <v>1785059865314.1262</v>
      </c>
      <c r="I1738" s="40">
        <f t="shared" ca="1" si="240"/>
        <v>1806744672555.5872</v>
      </c>
      <c r="J1738" s="40">
        <f t="shared" ca="1" si="241"/>
        <v>781835431287.74548</v>
      </c>
      <c r="K1738" s="41">
        <f t="shared" ca="1" si="242"/>
        <v>2.3109015020971029</v>
      </c>
    </row>
    <row r="1739" spans="2:11" ht="15" customHeight="1" x14ac:dyDescent="0.35">
      <c r="B1739" s="5">
        <v>1718</v>
      </c>
      <c r="C1739" s="39">
        <f t="shared" ca="1" si="234"/>
        <v>2.8344514483509475</v>
      </c>
      <c r="D1739" s="40">
        <f t="shared" ca="1" si="235"/>
        <v>3469122998.3952446</v>
      </c>
      <c r="E1739" s="40">
        <f t="shared" ca="1" si="236"/>
        <v>10000107154158.336</v>
      </c>
      <c r="F1739" s="40">
        <f t="shared" ca="1" si="237"/>
        <v>27939036307628.566</v>
      </c>
      <c r="G1739" s="40">
        <f t="shared" ca="1" si="238"/>
        <v>2519243752214.3594</v>
      </c>
      <c r="H1739" s="40">
        <f t="shared" ca="1" si="239"/>
        <v>2519243752214.3594</v>
      </c>
      <c r="I1739" s="40">
        <f t="shared" ca="1" si="240"/>
        <v>2389198197907.3008</v>
      </c>
      <c r="J1739" s="40">
        <f t="shared" ca="1" si="241"/>
        <v>1551837090170.7983</v>
      </c>
      <c r="K1739" s="41">
        <f t="shared" ca="1" si="242"/>
        <v>1.5395934360895709</v>
      </c>
    </row>
    <row r="1740" spans="2:11" ht="15" customHeight="1" x14ac:dyDescent="0.35">
      <c r="B1740" s="5">
        <v>1719</v>
      </c>
      <c r="C1740" s="39">
        <f t="shared" ca="1" si="234"/>
        <v>3.4192098019683153</v>
      </c>
      <c r="D1740" s="40">
        <f t="shared" ca="1" si="235"/>
        <v>10091496287.117683</v>
      </c>
      <c r="E1740" s="40">
        <f t="shared" ca="1" si="236"/>
        <v>15674312023384.023</v>
      </c>
      <c r="F1740" s="40">
        <f t="shared" ca="1" si="237"/>
        <v>152092453303.46722</v>
      </c>
      <c r="G1740" s="40">
        <f t="shared" ca="1" si="238"/>
        <v>2566519111707.5244</v>
      </c>
      <c r="H1740" s="40">
        <f t="shared" ca="1" si="239"/>
        <v>15674312023384.023</v>
      </c>
      <c r="I1740" s="40">
        <f t="shared" ca="1" si="240"/>
        <v>3978635256653.1992</v>
      </c>
      <c r="J1740" s="40">
        <f t="shared" ca="1" si="241"/>
        <v>1712624781196.7646</v>
      </c>
      <c r="K1740" s="41">
        <f t="shared" ca="1" si="242"/>
        <v>2.3231213867365446</v>
      </c>
    </row>
    <row r="1741" spans="2:11" ht="15" customHeight="1" x14ac:dyDescent="0.35">
      <c r="B1741" s="5">
        <v>1720</v>
      </c>
      <c r="C1741" s="39">
        <f t="shared" ca="1" si="234"/>
        <v>2.734881558309723</v>
      </c>
      <c r="D1741" s="40">
        <f t="shared" ca="1" si="235"/>
        <v>2967600006.5482211</v>
      </c>
      <c r="E1741" s="40">
        <f t="shared" ca="1" si="236"/>
        <v>5214083274873.5684</v>
      </c>
      <c r="F1741" s="40">
        <f t="shared" ca="1" si="237"/>
        <v>1231794372928.9565</v>
      </c>
      <c r="G1741" s="40">
        <f t="shared" ca="1" si="238"/>
        <v>3452040012121.3525</v>
      </c>
      <c r="H1741" s="40">
        <f t="shared" ca="1" si="239"/>
        <v>1231794372928.9565</v>
      </c>
      <c r="I1741" s="40">
        <f t="shared" ca="1" si="240"/>
        <v>158177810003604</v>
      </c>
      <c r="J1741" s="40">
        <f t="shared" ca="1" si="241"/>
        <v>972138594212.52405</v>
      </c>
      <c r="K1741" s="41">
        <f t="shared" ca="1" si="242"/>
        <v>162.71117199264694</v>
      </c>
    </row>
    <row r="1742" spans="2:11" ht="15" customHeight="1" x14ac:dyDescent="0.35">
      <c r="B1742" s="5">
        <v>1721</v>
      </c>
      <c r="C1742" s="39">
        <f t="shared" ca="1" si="234"/>
        <v>2.5255870702570715</v>
      </c>
      <c r="D1742" s="40">
        <f t="shared" ca="1" si="235"/>
        <v>1941071856.4468422</v>
      </c>
      <c r="E1742" s="40">
        <f t="shared" ca="1" si="236"/>
        <v>4574096520452.0127</v>
      </c>
      <c r="F1742" s="40">
        <f t="shared" ca="1" si="237"/>
        <v>2757018885521.876</v>
      </c>
      <c r="G1742" s="40">
        <f t="shared" ca="1" si="238"/>
        <v>149502160503946.41</v>
      </c>
      <c r="H1742" s="40">
        <f t="shared" ca="1" si="239"/>
        <v>4574096520452.0127</v>
      </c>
      <c r="I1742" s="40">
        <f t="shared" ca="1" si="240"/>
        <v>33219781789835.684</v>
      </c>
      <c r="J1742" s="40">
        <f t="shared" ca="1" si="241"/>
        <v>1831698231457.6619</v>
      </c>
      <c r="K1742" s="41">
        <f t="shared" ca="1" si="242"/>
        <v>18.136056048598928</v>
      </c>
    </row>
    <row r="1743" spans="2:11" ht="15" customHeight="1" x14ac:dyDescent="0.35">
      <c r="B1743" s="5">
        <v>1722</v>
      </c>
      <c r="C1743" s="39">
        <f t="shared" ca="1" si="234"/>
        <v>2.731247037959295</v>
      </c>
      <c r="D1743" s="40">
        <f t="shared" ca="1" si="235"/>
        <v>2573982451.1512861</v>
      </c>
      <c r="E1743" s="40">
        <f t="shared" ca="1" si="236"/>
        <v>10967667322942.033</v>
      </c>
      <c r="F1743" s="40">
        <f t="shared" ca="1" si="237"/>
        <v>666561768649.87854</v>
      </c>
      <c r="G1743" s="40">
        <f t="shared" ca="1" si="238"/>
        <v>51297058493542.438</v>
      </c>
      <c r="H1743" s="40">
        <f t="shared" ca="1" si="239"/>
        <v>666561768649.87854</v>
      </c>
      <c r="I1743" s="40">
        <f t="shared" ca="1" si="240"/>
        <v>85321773845131.125</v>
      </c>
      <c r="J1743" s="40">
        <f t="shared" ca="1" si="241"/>
        <v>1496629894432.9653</v>
      </c>
      <c r="K1743" s="41">
        <f t="shared" ca="1" si="242"/>
        <v>57.009267396370802</v>
      </c>
    </row>
    <row r="1744" spans="2:11" ht="15" customHeight="1" x14ac:dyDescent="0.35">
      <c r="B1744" s="5">
        <v>1723</v>
      </c>
      <c r="C1744" s="39">
        <f t="shared" ca="1" si="234"/>
        <v>3.8656227188769154</v>
      </c>
      <c r="D1744" s="40">
        <f t="shared" ca="1" si="235"/>
        <v>14377063877.256947</v>
      </c>
      <c r="E1744" s="40">
        <f t="shared" ca="1" si="236"/>
        <v>64829239862533.445</v>
      </c>
      <c r="F1744" s="40">
        <f t="shared" ca="1" si="237"/>
        <v>11210166318327.516</v>
      </c>
      <c r="G1744" s="40">
        <f t="shared" ca="1" si="238"/>
        <v>7409217230360.501</v>
      </c>
      <c r="H1744" s="40">
        <f t="shared" ca="1" si="239"/>
        <v>11210166318327.516</v>
      </c>
      <c r="I1744" s="40">
        <f t="shared" ca="1" si="240"/>
        <v>32343865511341.906</v>
      </c>
      <c r="J1744" s="40">
        <f t="shared" ca="1" si="241"/>
        <v>1321729378166.564</v>
      </c>
      <c r="K1744" s="41">
        <f t="shared" ca="1" si="242"/>
        <v>24.470868277292645</v>
      </c>
    </row>
    <row r="1745" spans="2:11" ht="15" customHeight="1" x14ac:dyDescent="0.35">
      <c r="B1745" s="5">
        <v>1724</v>
      </c>
      <c r="C1745" s="39">
        <f t="shared" ca="1" si="234"/>
        <v>3.4678854884155896</v>
      </c>
      <c r="D1745" s="40">
        <f t="shared" ca="1" si="235"/>
        <v>9114655953.4825115</v>
      </c>
      <c r="E1745" s="40">
        <f t="shared" ca="1" si="236"/>
        <v>27763535178322.289</v>
      </c>
      <c r="F1745" s="40">
        <f t="shared" ca="1" si="237"/>
        <v>12571875814860.016</v>
      </c>
      <c r="G1745" s="40">
        <f t="shared" ca="1" si="238"/>
        <v>5269818680358.5439</v>
      </c>
      <c r="H1745" s="40">
        <f t="shared" ca="1" si="239"/>
        <v>12571875814860.016</v>
      </c>
      <c r="I1745" s="40">
        <f t="shared" ca="1" si="240"/>
        <v>20841822586938.246</v>
      </c>
      <c r="J1745" s="40">
        <f t="shared" ca="1" si="241"/>
        <v>1123136147973.9868</v>
      </c>
      <c r="K1745" s="41">
        <f t="shared" ca="1" si="242"/>
        <v>18.556808650967724</v>
      </c>
    </row>
    <row r="1746" spans="2:11" ht="15" customHeight="1" x14ac:dyDescent="0.35">
      <c r="B1746" s="5">
        <v>1725</v>
      </c>
      <c r="C1746" s="39">
        <f t="shared" ca="1" si="234"/>
        <v>3.626378675002365</v>
      </c>
      <c r="D1746" s="40">
        <f t="shared" ca="1" si="235"/>
        <v>13029515932.531143</v>
      </c>
      <c r="E1746" s="40">
        <f t="shared" ca="1" si="236"/>
        <v>43855036983742.969</v>
      </c>
      <c r="F1746" s="40">
        <f t="shared" ca="1" si="237"/>
        <v>25973744836553.84</v>
      </c>
      <c r="G1746" s="40">
        <f t="shared" ca="1" si="238"/>
        <v>402767177502.51202</v>
      </c>
      <c r="H1746" s="40">
        <f t="shared" ca="1" si="239"/>
        <v>43855036983742.969</v>
      </c>
      <c r="I1746" s="40">
        <f t="shared" ca="1" si="240"/>
        <v>3369777976021.168</v>
      </c>
      <c r="J1746" s="40">
        <f t="shared" ca="1" si="241"/>
        <v>1459098790114.8735</v>
      </c>
      <c r="K1746" s="41">
        <f t="shared" ca="1" si="242"/>
        <v>2.3094926805853007</v>
      </c>
    </row>
    <row r="1747" spans="2:11" ht="15" customHeight="1" x14ac:dyDescent="0.35">
      <c r="B1747" s="5">
        <v>1726</v>
      </c>
      <c r="C1747" s="39">
        <f t="shared" ca="1" si="234"/>
        <v>3.8517579078714652</v>
      </c>
      <c r="D1747" s="40">
        <f t="shared" ca="1" si="235"/>
        <v>16083639987.660646</v>
      </c>
      <c r="E1747" s="40">
        <f t="shared" ca="1" si="236"/>
        <v>109455758177362.86</v>
      </c>
      <c r="F1747" s="40">
        <f t="shared" ca="1" si="237"/>
        <v>1642687194020.5271</v>
      </c>
      <c r="G1747" s="40">
        <f t="shared" ca="1" si="238"/>
        <v>14552454359491.143</v>
      </c>
      <c r="H1747" s="40">
        <f t="shared" ca="1" si="239"/>
        <v>109455758177362.86</v>
      </c>
      <c r="I1747" s="40">
        <f t="shared" ca="1" si="240"/>
        <v>5940521921905.7227</v>
      </c>
      <c r="J1747" s="40">
        <f t="shared" ca="1" si="241"/>
        <v>1222357098688.1865</v>
      </c>
      <c r="K1747" s="41">
        <f t="shared" ca="1" si="242"/>
        <v>4.8598907211984068</v>
      </c>
    </row>
    <row r="1748" spans="2:11" ht="15" customHeight="1" x14ac:dyDescent="0.35">
      <c r="B1748" s="5">
        <v>1727</v>
      </c>
      <c r="C1748" s="39">
        <f t="shared" ca="1" si="234"/>
        <v>2.5883794445808603</v>
      </c>
      <c r="D1748" s="40">
        <f t="shared" ca="1" si="235"/>
        <v>2556558979.8790798</v>
      </c>
      <c r="E1748" s="40">
        <f t="shared" ca="1" si="236"/>
        <v>9008249480099.7051</v>
      </c>
      <c r="F1748" s="40">
        <f t="shared" ca="1" si="237"/>
        <v>6679848332343.6396</v>
      </c>
      <c r="G1748" s="40">
        <f t="shared" ca="1" si="238"/>
        <v>16319045152561.158</v>
      </c>
      <c r="H1748" s="40">
        <f t="shared" ca="1" si="239"/>
        <v>9008249480099.7051</v>
      </c>
      <c r="I1748" s="40">
        <f t="shared" ca="1" si="240"/>
        <v>30934675477714.66</v>
      </c>
      <c r="J1748" s="40">
        <f t="shared" ca="1" si="241"/>
        <v>1559945444080.2405</v>
      </c>
      <c r="K1748" s="41">
        <f t="shared" ca="1" si="242"/>
        <v>19.830613689156326</v>
      </c>
    </row>
    <row r="1749" spans="2:11" ht="15" customHeight="1" x14ac:dyDescent="0.35">
      <c r="B1749" s="5">
        <v>1728</v>
      </c>
      <c r="C1749" s="39">
        <f t="shared" ca="1" si="234"/>
        <v>2.972437698807199</v>
      </c>
      <c r="D1749" s="40">
        <f t="shared" ca="1" si="235"/>
        <v>4369926916.669199</v>
      </c>
      <c r="E1749" s="40">
        <f t="shared" ca="1" si="236"/>
        <v>4074855130422.6406</v>
      </c>
      <c r="F1749" s="40">
        <f t="shared" ca="1" si="237"/>
        <v>750521026472.15308</v>
      </c>
      <c r="G1749" s="40">
        <f t="shared" ca="1" si="238"/>
        <v>772014217334.297</v>
      </c>
      <c r="H1749" s="40">
        <f t="shared" ca="1" si="239"/>
        <v>772014217334.297</v>
      </c>
      <c r="I1749" s="40">
        <f t="shared" ca="1" si="240"/>
        <v>1718796500264.1714</v>
      </c>
      <c r="J1749" s="40">
        <f t="shared" ca="1" si="241"/>
        <v>765538338934.45447</v>
      </c>
      <c r="K1749" s="41">
        <f t="shared" ca="1" si="242"/>
        <v>2.2452128297800837</v>
      </c>
    </row>
    <row r="1750" spans="2:11" ht="15" customHeight="1" x14ac:dyDescent="0.35">
      <c r="B1750" s="5">
        <v>1729</v>
      </c>
      <c r="C1750" s="39">
        <f t="shared" ref="C1750:C1813" ca="1" si="243">MEDIAN(1.8,NORMINV(RAND(),$C$7,$D$7),4.5)</f>
        <v>3.2657561670670896</v>
      </c>
      <c r="D1750" s="40">
        <f t="shared" ref="D1750:D1813" ca="1" si="244">($C$8+RAND()*($D$8-$C$8))*C1750^5</f>
        <v>7178383895.9778881</v>
      </c>
      <c r="E1750" s="40">
        <f t="shared" ref="E1750:E1813" ca="1" si="245">D1750*($C$10+RAND()*($D$10-$C$10))*EXP(NORMINV(RAND(),$C$9,$D$9))*($C$11+RAND()*($D$11-$C$11))</f>
        <v>7451655390670.3408</v>
      </c>
      <c r="F1750" s="40">
        <f t="shared" ref="F1750:F1813" ca="1" si="246">EXP(NORMINV(RAND(),$C$12,$D$12))*EXP(NORMINV(RAND(),$C$13,$D$13))</f>
        <v>12465563466527.809</v>
      </c>
      <c r="G1750" s="40">
        <f t="shared" ref="G1750:G1813" ca="1" si="247">EXP(NORMINV(RAND(),$C$14,$D$14))*($C$15+RAND()*($D$15-$C$15))*EXP(NORMINV(RAND(),$C$16,$D$16))/1000000*31536000</f>
        <v>11427830510237.639</v>
      </c>
      <c r="H1750" s="40">
        <f t="shared" ref="H1750:H1813" ca="1" si="248">CHOOSE(RANDBETWEEN(1,3),E1750,F1750,G1750)</f>
        <v>11427830510237.639</v>
      </c>
      <c r="I1750" s="40">
        <f t="shared" ref="I1750:I1813" ca="1" si="249">EXP(NORMINV(RAND(),$C$14,$D$14))*($C$15+RAND()*($D$15-$C$15))*60</f>
        <v>4401443832275.7471</v>
      </c>
      <c r="J1750" s="40">
        <f t="shared" ref="J1750:J1813" ca="1" si="250">($C$17+RAND()*($D$17-$C$17))*($C$18+RAND()*($D$18-$C$18))</f>
        <v>1213818670727.7314</v>
      </c>
      <c r="K1750" s="41">
        <f t="shared" ref="K1750:K1813" ca="1" si="251">I1750/J1750</f>
        <v>3.6261131406364928</v>
      </c>
    </row>
    <row r="1751" spans="2:11" ht="15" customHeight="1" x14ac:dyDescent="0.35">
      <c r="B1751" s="5">
        <v>1730</v>
      </c>
      <c r="C1751" s="39">
        <f t="shared" ca="1" si="243"/>
        <v>3.4156349626868594</v>
      </c>
      <c r="D1751" s="40">
        <f t="shared" ca="1" si="244"/>
        <v>8939129118.6852055</v>
      </c>
      <c r="E1751" s="40">
        <f t="shared" ca="1" si="245"/>
        <v>23473630064846.57</v>
      </c>
      <c r="F1751" s="40">
        <f t="shared" ca="1" si="246"/>
        <v>3303089863549.1719</v>
      </c>
      <c r="G1751" s="40">
        <f t="shared" ca="1" si="247"/>
        <v>9647434656122.3594</v>
      </c>
      <c r="H1751" s="40">
        <f t="shared" ca="1" si="248"/>
        <v>9647434656122.3594</v>
      </c>
      <c r="I1751" s="40">
        <f t="shared" ca="1" si="249"/>
        <v>34058885343034.773</v>
      </c>
      <c r="J1751" s="40">
        <f t="shared" ca="1" si="250"/>
        <v>1764917641658.7173</v>
      </c>
      <c r="K1751" s="41">
        <f t="shared" ca="1" si="251"/>
        <v>19.297719360448635</v>
      </c>
    </row>
    <row r="1752" spans="2:11" ht="15" customHeight="1" x14ac:dyDescent="0.35">
      <c r="B1752" s="5">
        <v>1731</v>
      </c>
      <c r="C1752" s="39">
        <f t="shared" ca="1" si="243"/>
        <v>2.2829552222410081</v>
      </c>
      <c r="D1752" s="40">
        <f t="shared" ca="1" si="244"/>
        <v>1136511693.9243386</v>
      </c>
      <c r="E1752" s="40">
        <f t="shared" ca="1" si="245"/>
        <v>5572197589892.2393</v>
      </c>
      <c r="F1752" s="40">
        <f t="shared" ca="1" si="246"/>
        <v>3431039395122.5747</v>
      </c>
      <c r="G1752" s="40">
        <f t="shared" ca="1" si="247"/>
        <v>4398677836169.6699</v>
      </c>
      <c r="H1752" s="40">
        <f t="shared" ca="1" si="248"/>
        <v>5572197589892.2393</v>
      </c>
      <c r="I1752" s="40">
        <f t="shared" ca="1" si="249"/>
        <v>10597035869788.861</v>
      </c>
      <c r="J1752" s="40">
        <f t="shared" ca="1" si="250"/>
        <v>1171434896698.9958</v>
      </c>
      <c r="K1752" s="41">
        <f t="shared" ca="1" si="251"/>
        <v>9.0462012866873014</v>
      </c>
    </row>
    <row r="1753" spans="2:11" ht="15" customHeight="1" x14ac:dyDescent="0.35">
      <c r="B1753" s="5">
        <v>1732</v>
      </c>
      <c r="C1753" s="39">
        <f t="shared" ca="1" si="243"/>
        <v>1.915075671556008</v>
      </c>
      <c r="D1753" s="40">
        <f t="shared" ca="1" si="244"/>
        <v>412914418.24420303</v>
      </c>
      <c r="E1753" s="40">
        <f t="shared" ca="1" si="245"/>
        <v>2338905314398.0249</v>
      </c>
      <c r="F1753" s="40">
        <f t="shared" ca="1" si="246"/>
        <v>3391099050741.7134</v>
      </c>
      <c r="G1753" s="40">
        <f t="shared" ca="1" si="247"/>
        <v>10247017588609.668</v>
      </c>
      <c r="H1753" s="40">
        <f t="shared" ca="1" si="248"/>
        <v>10247017588609.668</v>
      </c>
      <c r="I1753" s="40">
        <f t="shared" ca="1" si="249"/>
        <v>10798949597042.396</v>
      </c>
      <c r="J1753" s="40">
        <f t="shared" ca="1" si="250"/>
        <v>840295264928.00452</v>
      </c>
      <c r="K1753" s="41">
        <f t="shared" ca="1" si="251"/>
        <v>12.851375043708758</v>
      </c>
    </row>
    <row r="1754" spans="2:11" ht="15" customHeight="1" x14ac:dyDescent="0.35">
      <c r="B1754" s="5">
        <v>1733</v>
      </c>
      <c r="C1754" s="39">
        <f t="shared" ca="1" si="243"/>
        <v>3.3783718351037111</v>
      </c>
      <c r="D1754" s="40">
        <f t="shared" ca="1" si="244"/>
        <v>9157345578.0464172</v>
      </c>
      <c r="E1754" s="40">
        <f t="shared" ca="1" si="245"/>
        <v>24851129293488.941</v>
      </c>
      <c r="F1754" s="40">
        <f t="shared" ca="1" si="246"/>
        <v>4956561643874.3936</v>
      </c>
      <c r="G1754" s="40">
        <f t="shared" ca="1" si="247"/>
        <v>14322795375895.088</v>
      </c>
      <c r="H1754" s="40">
        <f t="shared" ca="1" si="248"/>
        <v>24851129293488.941</v>
      </c>
      <c r="I1754" s="40">
        <f t="shared" ca="1" si="249"/>
        <v>2781789174283.3647</v>
      </c>
      <c r="J1754" s="40">
        <f t="shared" ca="1" si="250"/>
        <v>1239787271873.8215</v>
      </c>
      <c r="K1754" s="41">
        <f t="shared" ca="1" si="251"/>
        <v>2.2437632950360529</v>
      </c>
    </row>
    <row r="1755" spans="2:11" ht="15" customHeight="1" x14ac:dyDescent="0.35">
      <c r="B1755" s="5">
        <v>1734</v>
      </c>
      <c r="C1755" s="39">
        <f t="shared" ca="1" si="243"/>
        <v>2.8032650073294842</v>
      </c>
      <c r="D1755" s="40">
        <f t="shared" ca="1" si="244"/>
        <v>3572455331.3050122</v>
      </c>
      <c r="E1755" s="40">
        <f t="shared" ca="1" si="245"/>
        <v>5651730608849.2988</v>
      </c>
      <c r="F1755" s="40">
        <f t="shared" ca="1" si="246"/>
        <v>1401644386887.3572</v>
      </c>
      <c r="G1755" s="40">
        <f t="shared" ca="1" si="247"/>
        <v>4605568906534.2568</v>
      </c>
      <c r="H1755" s="40">
        <f t="shared" ca="1" si="248"/>
        <v>1401644386887.3572</v>
      </c>
      <c r="I1755" s="40">
        <f t="shared" ca="1" si="249"/>
        <v>14199476116181.148</v>
      </c>
      <c r="J1755" s="40">
        <f t="shared" ca="1" si="250"/>
        <v>1119476106690.7222</v>
      </c>
      <c r="K1755" s="41">
        <f t="shared" ca="1" si="251"/>
        <v>12.684036784095509</v>
      </c>
    </row>
    <row r="1756" spans="2:11" ht="15" customHeight="1" x14ac:dyDescent="0.35">
      <c r="B1756" s="5">
        <v>1735</v>
      </c>
      <c r="C1756" s="39">
        <f t="shared" ca="1" si="243"/>
        <v>2.5373582887150703</v>
      </c>
      <c r="D1756" s="40">
        <f t="shared" ca="1" si="244"/>
        <v>2289756065.7920513</v>
      </c>
      <c r="E1756" s="40">
        <f t="shared" ca="1" si="245"/>
        <v>9194811899728.9883</v>
      </c>
      <c r="F1756" s="40">
        <f t="shared" ca="1" si="246"/>
        <v>1822346297041.7458</v>
      </c>
      <c r="G1756" s="40">
        <f t="shared" ca="1" si="247"/>
        <v>200726233058862.47</v>
      </c>
      <c r="H1756" s="40">
        <f t="shared" ca="1" si="248"/>
        <v>1822346297041.7458</v>
      </c>
      <c r="I1756" s="40">
        <f t="shared" ca="1" si="249"/>
        <v>23991247083280.688</v>
      </c>
      <c r="J1756" s="40">
        <f t="shared" ca="1" si="250"/>
        <v>572725286709.48413</v>
      </c>
      <c r="K1756" s="41">
        <f t="shared" ca="1" si="251"/>
        <v>41.889624292859779</v>
      </c>
    </row>
    <row r="1757" spans="2:11" ht="15" customHeight="1" x14ac:dyDescent="0.35">
      <c r="B1757" s="5">
        <v>1736</v>
      </c>
      <c r="C1757" s="39">
        <f t="shared" ca="1" si="243"/>
        <v>2.3439261206125668</v>
      </c>
      <c r="D1757" s="40">
        <f t="shared" ca="1" si="244"/>
        <v>1660768232.9809978</v>
      </c>
      <c r="E1757" s="40">
        <f t="shared" ca="1" si="245"/>
        <v>4001871874724.8081</v>
      </c>
      <c r="F1757" s="40">
        <f t="shared" ca="1" si="246"/>
        <v>1726713975685.7175</v>
      </c>
      <c r="G1757" s="40">
        <f t="shared" ca="1" si="247"/>
        <v>444797484317.51367</v>
      </c>
      <c r="H1757" s="40">
        <f t="shared" ca="1" si="248"/>
        <v>1726713975685.7175</v>
      </c>
      <c r="I1757" s="40">
        <f t="shared" ca="1" si="249"/>
        <v>34105800328996.508</v>
      </c>
      <c r="J1757" s="40">
        <f t="shared" ca="1" si="250"/>
        <v>646770252565.59302</v>
      </c>
      <c r="K1757" s="41">
        <f t="shared" ca="1" si="251"/>
        <v>52.732481423977717</v>
      </c>
    </row>
    <row r="1758" spans="2:11" ht="15" customHeight="1" x14ac:dyDescent="0.35">
      <c r="B1758" s="5">
        <v>1737</v>
      </c>
      <c r="C1758" s="39">
        <f t="shared" ca="1" si="243"/>
        <v>3.880793839628665</v>
      </c>
      <c r="D1758" s="40">
        <f t="shared" ca="1" si="244"/>
        <v>17626347064.195686</v>
      </c>
      <c r="E1758" s="40">
        <f t="shared" ca="1" si="245"/>
        <v>308368308333844.5</v>
      </c>
      <c r="F1758" s="40">
        <f t="shared" ca="1" si="246"/>
        <v>3958563867670.1992</v>
      </c>
      <c r="G1758" s="40">
        <f t="shared" ca="1" si="247"/>
        <v>19812314563067.574</v>
      </c>
      <c r="H1758" s="40">
        <f t="shared" ca="1" si="248"/>
        <v>19812314563067.574</v>
      </c>
      <c r="I1758" s="40">
        <f t="shared" ca="1" si="249"/>
        <v>1650987239324.7998</v>
      </c>
      <c r="J1758" s="40">
        <f t="shared" ca="1" si="250"/>
        <v>717774012116.31812</v>
      </c>
      <c r="K1758" s="41">
        <f t="shared" ca="1" si="251"/>
        <v>2.3001490879517252</v>
      </c>
    </row>
    <row r="1759" spans="2:11" ht="15" customHeight="1" x14ac:dyDescent="0.35">
      <c r="B1759" s="5">
        <v>1738</v>
      </c>
      <c r="C1759" s="39">
        <f t="shared" ca="1" si="243"/>
        <v>2.2863761470314872</v>
      </c>
      <c r="D1759" s="40">
        <f t="shared" ca="1" si="244"/>
        <v>1133880229.5801392</v>
      </c>
      <c r="E1759" s="40">
        <f t="shared" ca="1" si="245"/>
        <v>2492621298589.7104</v>
      </c>
      <c r="F1759" s="40">
        <f t="shared" ca="1" si="246"/>
        <v>13043417174366.037</v>
      </c>
      <c r="G1759" s="40">
        <f t="shared" ca="1" si="247"/>
        <v>1911135331376.3425</v>
      </c>
      <c r="H1759" s="40">
        <f t="shared" ca="1" si="248"/>
        <v>2492621298589.7104</v>
      </c>
      <c r="I1759" s="40">
        <f t="shared" ca="1" si="249"/>
        <v>20839960886065.516</v>
      </c>
      <c r="J1759" s="40">
        <f t="shared" ca="1" si="250"/>
        <v>1079623001947.3489</v>
      </c>
      <c r="K1759" s="41">
        <f t="shared" ca="1" si="251"/>
        <v>19.302998221115931</v>
      </c>
    </row>
    <row r="1760" spans="2:11" ht="15" customHeight="1" x14ac:dyDescent="0.35">
      <c r="B1760" s="5">
        <v>1739</v>
      </c>
      <c r="C1760" s="39">
        <f t="shared" ca="1" si="243"/>
        <v>3.1311452141928142</v>
      </c>
      <c r="D1760" s="40">
        <f t="shared" ca="1" si="244"/>
        <v>5038097780.4158688</v>
      </c>
      <c r="E1760" s="40">
        <f t="shared" ca="1" si="245"/>
        <v>10108322125800.754</v>
      </c>
      <c r="F1760" s="40">
        <f t="shared" ca="1" si="246"/>
        <v>7644802502010.416</v>
      </c>
      <c r="G1760" s="40">
        <f t="shared" ca="1" si="247"/>
        <v>321562491467.29688</v>
      </c>
      <c r="H1760" s="40">
        <f t="shared" ca="1" si="248"/>
        <v>10108322125800.754</v>
      </c>
      <c r="I1760" s="40">
        <f t="shared" ca="1" si="249"/>
        <v>44463077058348.266</v>
      </c>
      <c r="J1760" s="40">
        <f t="shared" ca="1" si="250"/>
        <v>1021012330969.0991</v>
      </c>
      <c r="K1760" s="41">
        <f t="shared" ca="1" si="251"/>
        <v>43.548031409322853</v>
      </c>
    </row>
    <row r="1761" spans="2:11" ht="15" customHeight="1" x14ac:dyDescent="0.35">
      <c r="B1761" s="5">
        <v>1740</v>
      </c>
      <c r="C1761" s="39">
        <f t="shared" ca="1" si="243"/>
        <v>2.4714440415644718</v>
      </c>
      <c r="D1761" s="40">
        <f t="shared" ca="1" si="244"/>
        <v>1657573493.7792375</v>
      </c>
      <c r="E1761" s="40">
        <f t="shared" ca="1" si="245"/>
        <v>19967301784085.145</v>
      </c>
      <c r="F1761" s="40">
        <f t="shared" ca="1" si="246"/>
        <v>1840377322496.2087</v>
      </c>
      <c r="G1761" s="40">
        <f t="shared" ca="1" si="247"/>
        <v>59844270905683.5</v>
      </c>
      <c r="H1761" s="40">
        <f t="shared" ca="1" si="248"/>
        <v>59844270905683.5</v>
      </c>
      <c r="I1761" s="40">
        <f t="shared" ca="1" si="249"/>
        <v>124717084935570.41</v>
      </c>
      <c r="J1761" s="40">
        <f t="shared" ca="1" si="250"/>
        <v>804556030522.00464</v>
      </c>
      <c r="K1761" s="41">
        <f t="shared" ca="1" si="251"/>
        <v>155.01354809888457</v>
      </c>
    </row>
    <row r="1762" spans="2:11" ht="15" customHeight="1" x14ac:dyDescent="0.35">
      <c r="B1762" s="5">
        <v>1741</v>
      </c>
      <c r="C1762" s="39">
        <f t="shared" ca="1" si="243"/>
        <v>3.0289817550869937</v>
      </c>
      <c r="D1762" s="40">
        <f t="shared" ca="1" si="244"/>
        <v>4275521218.145112</v>
      </c>
      <c r="E1762" s="40">
        <f t="shared" ca="1" si="245"/>
        <v>18980467486422.59</v>
      </c>
      <c r="F1762" s="40">
        <f t="shared" ca="1" si="246"/>
        <v>2558138231463.6997</v>
      </c>
      <c r="G1762" s="40">
        <f t="shared" ca="1" si="247"/>
        <v>7469896040048.7207</v>
      </c>
      <c r="H1762" s="40">
        <f t="shared" ca="1" si="248"/>
        <v>7469896040048.7207</v>
      </c>
      <c r="I1762" s="40">
        <f t="shared" ca="1" si="249"/>
        <v>7538391263433.7637</v>
      </c>
      <c r="J1762" s="40">
        <f t="shared" ca="1" si="250"/>
        <v>606886158904.01392</v>
      </c>
      <c r="K1762" s="41">
        <f t="shared" ca="1" si="251"/>
        <v>12.421425588363183</v>
      </c>
    </row>
    <row r="1763" spans="2:11" ht="15" customHeight="1" x14ac:dyDescent="0.35">
      <c r="B1763" s="5">
        <v>1742</v>
      </c>
      <c r="C1763" s="39">
        <f t="shared" ca="1" si="243"/>
        <v>3.3871662544275685</v>
      </c>
      <c r="D1763" s="40">
        <f t="shared" ca="1" si="244"/>
        <v>9127016854.4059181</v>
      </c>
      <c r="E1763" s="40">
        <f t="shared" ca="1" si="245"/>
        <v>22644459244149.254</v>
      </c>
      <c r="F1763" s="40">
        <f t="shared" ca="1" si="246"/>
        <v>2558081364490.9243</v>
      </c>
      <c r="G1763" s="40">
        <f t="shared" ca="1" si="247"/>
        <v>4294029655744.5093</v>
      </c>
      <c r="H1763" s="40">
        <f t="shared" ca="1" si="248"/>
        <v>2558081364490.9243</v>
      </c>
      <c r="I1763" s="40">
        <f t="shared" ca="1" si="249"/>
        <v>2598194262399.5171</v>
      </c>
      <c r="J1763" s="40">
        <f t="shared" ca="1" si="250"/>
        <v>1007641828618.2292</v>
      </c>
      <c r="K1763" s="41">
        <f t="shared" ca="1" si="251"/>
        <v>2.5784898846075088</v>
      </c>
    </row>
    <row r="1764" spans="2:11" ht="15" customHeight="1" x14ac:dyDescent="0.35">
      <c r="B1764" s="5">
        <v>1743</v>
      </c>
      <c r="C1764" s="39">
        <f t="shared" ca="1" si="243"/>
        <v>2.8233614495924875</v>
      </c>
      <c r="D1764" s="40">
        <f t="shared" ca="1" si="244"/>
        <v>3242406289.2291479</v>
      </c>
      <c r="E1764" s="40">
        <f t="shared" ca="1" si="245"/>
        <v>6768354816569.1553</v>
      </c>
      <c r="F1764" s="40">
        <f t="shared" ca="1" si="246"/>
        <v>1853589159553.0901</v>
      </c>
      <c r="G1764" s="40">
        <f t="shared" ca="1" si="247"/>
        <v>9551476062314.0996</v>
      </c>
      <c r="H1764" s="40">
        <f t="shared" ca="1" si="248"/>
        <v>9551476062314.0996</v>
      </c>
      <c r="I1764" s="40">
        <f t="shared" ca="1" si="249"/>
        <v>29634297604662.531</v>
      </c>
      <c r="J1764" s="40">
        <f t="shared" ca="1" si="250"/>
        <v>1209159258349.5554</v>
      </c>
      <c r="K1764" s="41">
        <f t="shared" ca="1" si="251"/>
        <v>24.508184013007462</v>
      </c>
    </row>
    <row r="1765" spans="2:11" ht="15" customHeight="1" x14ac:dyDescent="0.35">
      <c r="B1765" s="5">
        <v>1744</v>
      </c>
      <c r="C1765" s="39">
        <f t="shared" ca="1" si="243"/>
        <v>4.0514162188323173</v>
      </c>
      <c r="D1765" s="40">
        <f t="shared" ca="1" si="244"/>
        <v>22482923030.383389</v>
      </c>
      <c r="E1765" s="40">
        <f t="shared" ca="1" si="245"/>
        <v>121058676467569.19</v>
      </c>
      <c r="F1765" s="40">
        <f t="shared" ca="1" si="246"/>
        <v>713336537730.7948</v>
      </c>
      <c r="G1765" s="40">
        <f t="shared" ca="1" si="247"/>
        <v>5039691614805.5322</v>
      </c>
      <c r="H1765" s="40">
        <f t="shared" ca="1" si="248"/>
        <v>713336537730.7948</v>
      </c>
      <c r="I1765" s="40">
        <f t="shared" ca="1" si="249"/>
        <v>1638544709340.5037</v>
      </c>
      <c r="J1765" s="40">
        <f t="shared" ca="1" si="250"/>
        <v>1387403004807.7454</v>
      </c>
      <c r="K1765" s="41">
        <f t="shared" ca="1" si="251"/>
        <v>1.1810156844568456</v>
      </c>
    </row>
    <row r="1766" spans="2:11" ht="15" customHeight="1" x14ac:dyDescent="0.35">
      <c r="B1766" s="5">
        <v>1745</v>
      </c>
      <c r="C1766" s="39">
        <f t="shared" ca="1" si="243"/>
        <v>2.8435321203446136</v>
      </c>
      <c r="D1766" s="40">
        <f t="shared" ca="1" si="244"/>
        <v>3613954462.4817514</v>
      </c>
      <c r="E1766" s="40">
        <f t="shared" ca="1" si="245"/>
        <v>8577780455814.2363</v>
      </c>
      <c r="F1766" s="40">
        <f t="shared" ca="1" si="246"/>
        <v>2507204174231.2959</v>
      </c>
      <c r="G1766" s="40">
        <f t="shared" ca="1" si="247"/>
        <v>3605017914780.0439</v>
      </c>
      <c r="H1766" s="40">
        <f t="shared" ca="1" si="248"/>
        <v>8577780455814.2363</v>
      </c>
      <c r="I1766" s="40">
        <f t="shared" ca="1" si="249"/>
        <v>47063334643420.203</v>
      </c>
      <c r="J1766" s="40">
        <f t="shared" ca="1" si="250"/>
        <v>1631332054836.8823</v>
      </c>
      <c r="K1766" s="41">
        <f t="shared" ca="1" si="251"/>
        <v>28.849635182412992</v>
      </c>
    </row>
    <row r="1767" spans="2:11" ht="15" customHeight="1" x14ac:dyDescent="0.35">
      <c r="B1767" s="5">
        <v>1746</v>
      </c>
      <c r="C1767" s="39">
        <f t="shared" ca="1" si="243"/>
        <v>3.06508218314185</v>
      </c>
      <c r="D1767" s="40">
        <f t="shared" ca="1" si="244"/>
        <v>5152472055.6477175</v>
      </c>
      <c r="E1767" s="40">
        <f t="shared" ca="1" si="245"/>
        <v>16897984568058.016</v>
      </c>
      <c r="F1767" s="40">
        <f t="shared" ca="1" si="246"/>
        <v>3825130693701.2275</v>
      </c>
      <c r="G1767" s="40">
        <f t="shared" ca="1" si="247"/>
        <v>39280554513534.859</v>
      </c>
      <c r="H1767" s="40">
        <f t="shared" ca="1" si="248"/>
        <v>3825130693701.2275</v>
      </c>
      <c r="I1767" s="40">
        <f t="shared" ca="1" si="249"/>
        <v>55798116939492.539</v>
      </c>
      <c r="J1767" s="40">
        <f t="shared" ca="1" si="250"/>
        <v>1186231118057.8848</v>
      </c>
      <c r="K1767" s="41">
        <f t="shared" ca="1" si="251"/>
        <v>47.038149724858044</v>
      </c>
    </row>
    <row r="1768" spans="2:11" ht="15" customHeight="1" x14ac:dyDescent="0.35">
      <c r="B1768" s="5">
        <v>1747</v>
      </c>
      <c r="C1768" s="39">
        <f t="shared" ca="1" si="243"/>
        <v>2.5796813853530867</v>
      </c>
      <c r="D1768" s="40">
        <f t="shared" ca="1" si="244"/>
        <v>1869944180.7042239</v>
      </c>
      <c r="E1768" s="40">
        <f t="shared" ca="1" si="245"/>
        <v>3675437086453.3413</v>
      </c>
      <c r="F1768" s="40">
        <f t="shared" ca="1" si="246"/>
        <v>4139374614842.4453</v>
      </c>
      <c r="G1768" s="40">
        <f t="shared" ca="1" si="247"/>
        <v>508163409989.88898</v>
      </c>
      <c r="H1768" s="40">
        <f t="shared" ca="1" si="248"/>
        <v>3675437086453.3413</v>
      </c>
      <c r="I1768" s="40">
        <f t="shared" ca="1" si="249"/>
        <v>42162736132424.242</v>
      </c>
      <c r="J1768" s="40">
        <f t="shared" ca="1" si="250"/>
        <v>1524499983639.5603</v>
      </c>
      <c r="K1768" s="41">
        <f t="shared" ca="1" si="251"/>
        <v>27.656763912693382</v>
      </c>
    </row>
    <row r="1769" spans="2:11" ht="15" customHeight="1" x14ac:dyDescent="0.35">
      <c r="B1769" s="5">
        <v>1748</v>
      </c>
      <c r="C1769" s="39">
        <f t="shared" ca="1" si="243"/>
        <v>3.2912650407436268</v>
      </c>
      <c r="D1769" s="40">
        <f t="shared" ca="1" si="244"/>
        <v>7564677887.7135582</v>
      </c>
      <c r="E1769" s="40">
        <f t="shared" ca="1" si="245"/>
        <v>73458343416882.453</v>
      </c>
      <c r="F1769" s="40">
        <f t="shared" ca="1" si="246"/>
        <v>2061493907857.7363</v>
      </c>
      <c r="G1769" s="40">
        <f t="shared" ca="1" si="247"/>
        <v>24756039215227.91</v>
      </c>
      <c r="H1769" s="40">
        <f t="shared" ca="1" si="248"/>
        <v>2061493907857.7363</v>
      </c>
      <c r="I1769" s="40">
        <f t="shared" ca="1" si="249"/>
        <v>5718103014973.3857</v>
      </c>
      <c r="J1769" s="40">
        <f t="shared" ca="1" si="250"/>
        <v>1041811694922.7317</v>
      </c>
      <c r="K1769" s="41">
        <f t="shared" ca="1" si="251"/>
        <v>5.4886147303208013</v>
      </c>
    </row>
    <row r="1770" spans="2:11" ht="15" customHeight="1" x14ac:dyDescent="0.35">
      <c r="B1770" s="5">
        <v>1749</v>
      </c>
      <c r="C1770" s="39">
        <f t="shared" ca="1" si="243"/>
        <v>3.6450181050964834</v>
      </c>
      <c r="D1770" s="40">
        <f t="shared" ca="1" si="244"/>
        <v>13354256584.738451</v>
      </c>
      <c r="E1770" s="40">
        <f t="shared" ca="1" si="245"/>
        <v>71392172950414.125</v>
      </c>
      <c r="F1770" s="40">
        <f t="shared" ca="1" si="246"/>
        <v>1843809742167.7092</v>
      </c>
      <c r="G1770" s="40">
        <f t="shared" ca="1" si="247"/>
        <v>10092611289018.855</v>
      </c>
      <c r="H1770" s="40">
        <f t="shared" ca="1" si="248"/>
        <v>1843809742167.7092</v>
      </c>
      <c r="I1770" s="40">
        <f t="shared" ca="1" si="249"/>
        <v>4333467984319.5903</v>
      </c>
      <c r="J1770" s="40">
        <f t="shared" ca="1" si="250"/>
        <v>1222867881885.0359</v>
      </c>
      <c r="K1770" s="41">
        <f t="shared" ca="1" si="251"/>
        <v>3.543692698543691</v>
      </c>
    </row>
    <row r="1771" spans="2:11" ht="15" customHeight="1" x14ac:dyDescent="0.35">
      <c r="B1771" s="5">
        <v>1750</v>
      </c>
      <c r="C1771" s="39">
        <f t="shared" ca="1" si="243"/>
        <v>3.4853676307126493</v>
      </c>
      <c r="D1771" s="40">
        <f t="shared" ca="1" si="244"/>
        <v>10575721215.497843</v>
      </c>
      <c r="E1771" s="40">
        <f t="shared" ca="1" si="245"/>
        <v>24493469615077.469</v>
      </c>
      <c r="F1771" s="40">
        <f t="shared" ca="1" si="246"/>
        <v>7214674329529.3525</v>
      </c>
      <c r="G1771" s="40">
        <f t="shared" ca="1" si="247"/>
        <v>26524479315904.547</v>
      </c>
      <c r="H1771" s="40">
        <f t="shared" ca="1" si="248"/>
        <v>26524479315904.547</v>
      </c>
      <c r="I1771" s="40">
        <f t="shared" ca="1" si="249"/>
        <v>6487470219330.7988</v>
      </c>
      <c r="J1771" s="40">
        <f t="shared" ca="1" si="250"/>
        <v>1144137698042.1533</v>
      </c>
      <c r="K1771" s="41">
        <f t="shared" ca="1" si="251"/>
        <v>5.6701830823616319</v>
      </c>
    </row>
    <row r="1772" spans="2:11" ht="15" customHeight="1" x14ac:dyDescent="0.35">
      <c r="B1772" s="5">
        <v>1751</v>
      </c>
      <c r="C1772" s="39">
        <f t="shared" ca="1" si="243"/>
        <v>3.1039125570640493</v>
      </c>
      <c r="D1772" s="40">
        <f t="shared" ca="1" si="244"/>
        <v>4772628206.920599</v>
      </c>
      <c r="E1772" s="40">
        <f t="shared" ca="1" si="245"/>
        <v>14870429556028.887</v>
      </c>
      <c r="F1772" s="40">
        <f t="shared" ca="1" si="246"/>
        <v>319716428951.44293</v>
      </c>
      <c r="G1772" s="40">
        <f t="shared" ca="1" si="247"/>
        <v>12877578285179.172</v>
      </c>
      <c r="H1772" s="40">
        <f t="shared" ca="1" si="248"/>
        <v>12877578285179.172</v>
      </c>
      <c r="I1772" s="40">
        <f t="shared" ca="1" si="249"/>
        <v>24181162250413.168</v>
      </c>
      <c r="J1772" s="40">
        <f t="shared" ca="1" si="250"/>
        <v>939958565439.69885</v>
      </c>
      <c r="K1772" s="41">
        <f t="shared" ca="1" si="251"/>
        <v>25.725774666569023</v>
      </c>
    </row>
    <row r="1773" spans="2:11" ht="15" customHeight="1" x14ac:dyDescent="0.35">
      <c r="B1773" s="5">
        <v>1752</v>
      </c>
      <c r="C1773" s="39">
        <f t="shared" ca="1" si="243"/>
        <v>2.5650768434044231</v>
      </c>
      <c r="D1773" s="40">
        <f t="shared" ca="1" si="244"/>
        <v>1879399465.2907395</v>
      </c>
      <c r="E1773" s="40">
        <f t="shared" ca="1" si="245"/>
        <v>16145118634449.82</v>
      </c>
      <c r="F1773" s="40">
        <f t="shared" ca="1" si="246"/>
        <v>1679738861309.9065</v>
      </c>
      <c r="G1773" s="40">
        <f t="shared" ca="1" si="247"/>
        <v>52331935885509.914</v>
      </c>
      <c r="H1773" s="40">
        <f t="shared" ca="1" si="248"/>
        <v>52331935885509.914</v>
      </c>
      <c r="I1773" s="40">
        <f t="shared" ca="1" si="249"/>
        <v>3142867717741.1431</v>
      </c>
      <c r="J1773" s="40">
        <f t="shared" ca="1" si="250"/>
        <v>841028756922.66077</v>
      </c>
      <c r="K1773" s="41">
        <f t="shared" ca="1" si="251"/>
        <v>3.7369325268269686</v>
      </c>
    </row>
    <row r="1774" spans="2:11" ht="15" customHeight="1" x14ac:dyDescent="0.35">
      <c r="B1774" s="5">
        <v>1753</v>
      </c>
      <c r="C1774" s="39">
        <f t="shared" ca="1" si="243"/>
        <v>3.7808538270126624</v>
      </c>
      <c r="D1774" s="40">
        <f t="shared" ca="1" si="244"/>
        <v>17802047962.852604</v>
      </c>
      <c r="E1774" s="40">
        <f t="shared" ca="1" si="245"/>
        <v>62264046546871.68</v>
      </c>
      <c r="F1774" s="40">
        <f t="shared" ca="1" si="246"/>
        <v>1241576033386.8762</v>
      </c>
      <c r="G1774" s="40">
        <f t="shared" ca="1" si="247"/>
        <v>107028950400528.95</v>
      </c>
      <c r="H1774" s="40">
        <f t="shared" ca="1" si="248"/>
        <v>1241576033386.8762</v>
      </c>
      <c r="I1774" s="40">
        <f t="shared" ca="1" si="249"/>
        <v>6505314050993.875</v>
      </c>
      <c r="J1774" s="40">
        <f t="shared" ca="1" si="250"/>
        <v>886093756456.93872</v>
      </c>
      <c r="K1774" s="41">
        <f t="shared" ca="1" si="251"/>
        <v>7.3415640315596917</v>
      </c>
    </row>
    <row r="1775" spans="2:11" ht="15" customHeight="1" x14ac:dyDescent="0.35">
      <c r="B1775" s="5">
        <v>1754</v>
      </c>
      <c r="C1775" s="39">
        <f t="shared" ca="1" si="243"/>
        <v>3.350727562763292</v>
      </c>
      <c r="D1775" s="40">
        <f t="shared" ca="1" si="244"/>
        <v>9815823490.1618214</v>
      </c>
      <c r="E1775" s="40">
        <f t="shared" ca="1" si="245"/>
        <v>20219197616168.922</v>
      </c>
      <c r="F1775" s="40">
        <f t="shared" ca="1" si="246"/>
        <v>3268451183832.0796</v>
      </c>
      <c r="G1775" s="40">
        <f t="shared" ca="1" si="247"/>
        <v>1851290385808.72</v>
      </c>
      <c r="H1775" s="40">
        <f t="shared" ca="1" si="248"/>
        <v>20219197616168.922</v>
      </c>
      <c r="I1775" s="40">
        <f t="shared" ca="1" si="249"/>
        <v>17034437965046.012</v>
      </c>
      <c r="J1775" s="40">
        <f t="shared" ca="1" si="250"/>
        <v>863288151846.23181</v>
      </c>
      <c r="K1775" s="41">
        <f t="shared" ca="1" si="251"/>
        <v>19.732041878040476</v>
      </c>
    </row>
    <row r="1776" spans="2:11" ht="15" customHeight="1" x14ac:dyDescent="0.35">
      <c r="B1776" s="5">
        <v>1755</v>
      </c>
      <c r="C1776" s="39">
        <f t="shared" ca="1" si="243"/>
        <v>3.5937940797810946</v>
      </c>
      <c r="D1776" s="40">
        <f t="shared" ca="1" si="244"/>
        <v>12333294924.768166</v>
      </c>
      <c r="E1776" s="40">
        <f t="shared" ca="1" si="245"/>
        <v>20146261283193.137</v>
      </c>
      <c r="F1776" s="40">
        <f t="shared" ca="1" si="246"/>
        <v>1730037268772.4824</v>
      </c>
      <c r="G1776" s="40">
        <f t="shared" ca="1" si="247"/>
        <v>1854143345247.9177</v>
      </c>
      <c r="H1776" s="40">
        <f t="shared" ca="1" si="248"/>
        <v>20146261283193.137</v>
      </c>
      <c r="I1776" s="40">
        <f t="shared" ca="1" si="249"/>
        <v>3808147249903.2153</v>
      </c>
      <c r="J1776" s="40">
        <f t="shared" ca="1" si="250"/>
        <v>1359973798016.6775</v>
      </c>
      <c r="K1776" s="41">
        <f t="shared" ca="1" si="251"/>
        <v>2.8001622203728043</v>
      </c>
    </row>
    <row r="1777" spans="2:11" ht="15" customHeight="1" x14ac:dyDescent="0.35">
      <c r="B1777" s="5">
        <v>1756</v>
      </c>
      <c r="C1777" s="39">
        <f t="shared" ca="1" si="243"/>
        <v>3.668799232881665</v>
      </c>
      <c r="D1777" s="40">
        <f t="shared" ca="1" si="244"/>
        <v>11548641339.268494</v>
      </c>
      <c r="E1777" s="40">
        <f t="shared" ca="1" si="245"/>
        <v>26064105710216.078</v>
      </c>
      <c r="F1777" s="40">
        <f t="shared" ca="1" si="246"/>
        <v>5502239608015.7666</v>
      </c>
      <c r="G1777" s="40">
        <f t="shared" ca="1" si="247"/>
        <v>28824408592607.074</v>
      </c>
      <c r="H1777" s="40">
        <f t="shared" ca="1" si="248"/>
        <v>28824408592607.074</v>
      </c>
      <c r="I1777" s="40">
        <f t="shared" ca="1" si="249"/>
        <v>7771568416831.9619</v>
      </c>
      <c r="J1777" s="40">
        <f t="shared" ca="1" si="250"/>
        <v>1382994586195.3672</v>
      </c>
      <c r="K1777" s="41">
        <f t="shared" ca="1" si="251"/>
        <v>5.6193773239645353</v>
      </c>
    </row>
    <row r="1778" spans="2:11" ht="15" customHeight="1" x14ac:dyDescent="0.35">
      <c r="B1778" s="5">
        <v>1757</v>
      </c>
      <c r="C1778" s="39">
        <f t="shared" ca="1" si="243"/>
        <v>2.8816492867453349</v>
      </c>
      <c r="D1778" s="40">
        <f t="shared" ca="1" si="244"/>
        <v>3573762033.6050854</v>
      </c>
      <c r="E1778" s="40">
        <f t="shared" ca="1" si="245"/>
        <v>17508824756003.117</v>
      </c>
      <c r="F1778" s="40">
        <f t="shared" ca="1" si="246"/>
        <v>844880938310.23425</v>
      </c>
      <c r="G1778" s="40">
        <f t="shared" ca="1" si="247"/>
        <v>30486543859182.047</v>
      </c>
      <c r="H1778" s="40">
        <f t="shared" ca="1" si="248"/>
        <v>17508824756003.117</v>
      </c>
      <c r="I1778" s="40">
        <f t="shared" ca="1" si="249"/>
        <v>1282166260382.2041</v>
      </c>
      <c r="J1778" s="40">
        <f t="shared" ca="1" si="250"/>
        <v>923879499039.6228</v>
      </c>
      <c r="K1778" s="41">
        <f t="shared" ca="1" si="251"/>
        <v>1.3878068099952667</v>
      </c>
    </row>
    <row r="1779" spans="2:11" ht="15" customHeight="1" x14ac:dyDescent="0.35">
      <c r="B1779" s="5">
        <v>1758</v>
      </c>
      <c r="C1779" s="39">
        <f t="shared" ca="1" si="243"/>
        <v>3.428898837104442</v>
      </c>
      <c r="D1779" s="40">
        <f t="shared" ca="1" si="244"/>
        <v>7842376306.2144985</v>
      </c>
      <c r="E1779" s="40">
        <f t="shared" ca="1" si="245"/>
        <v>7976359685191.4316</v>
      </c>
      <c r="F1779" s="40">
        <f t="shared" ca="1" si="246"/>
        <v>1306033676028.8765</v>
      </c>
      <c r="G1779" s="40">
        <f t="shared" ca="1" si="247"/>
        <v>236466973261916.72</v>
      </c>
      <c r="H1779" s="40">
        <f t="shared" ca="1" si="248"/>
        <v>7976359685191.4316</v>
      </c>
      <c r="I1779" s="40">
        <f t="shared" ca="1" si="249"/>
        <v>1067553342373.4022</v>
      </c>
      <c r="J1779" s="40">
        <f t="shared" ca="1" si="250"/>
        <v>1554187143736.2705</v>
      </c>
      <c r="K1779" s="41">
        <f t="shared" ca="1" si="251"/>
        <v>0.68688854278320743</v>
      </c>
    </row>
    <row r="1780" spans="2:11" ht="15" customHeight="1" x14ac:dyDescent="0.35">
      <c r="B1780" s="5">
        <v>1759</v>
      </c>
      <c r="C1780" s="39">
        <f t="shared" ca="1" si="243"/>
        <v>2.4255993565049034</v>
      </c>
      <c r="D1780" s="40">
        <f t="shared" ca="1" si="244"/>
        <v>1664937888.1310346</v>
      </c>
      <c r="E1780" s="40">
        <f t="shared" ca="1" si="245"/>
        <v>8669259187411.251</v>
      </c>
      <c r="F1780" s="40">
        <f t="shared" ca="1" si="246"/>
        <v>2062163363255.1765</v>
      </c>
      <c r="G1780" s="40">
        <f t="shared" ca="1" si="247"/>
        <v>1147454753476.7617</v>
      </c>
      <c r="H1780" s="40">
        <f t="shared" ca="1" si="248"/>
        <v>2062163363255.1765</v>
      </c>
      <c r="I1780" s="40">
        <f t="shared" ca="1" si="249"/>
        <v>25939561651643.52</v>
      </c>
      <c r="J1780" s="40">
        <f t="shared" ca="1" si="250"/>
        <v>1072946381859.8312</v>
      </c>
      <c r="K1780" s="41">
        <f t="shared" ca="1" si="251"/>
        <v>24.176009249111054</v>
      </c>
    </row>
    <row r="1781" spans="2:11" ht="15" customHeight="1" x14ac:dyDescent="0.35">
      <c r="B1781" s="5">
        <v>1760</v>
      </c>
      <c r="C1781" s="39">
        <f t="shared" ca="1" si="243"/>
        <v>3.2514415522896138</v>
      </c>
      <c r="D1781" s="40">
        <f t="shared" ca="1" si="244"/>
        <v>7650847731.8900909</v>
      </c>
      <c r="E1781" s="40">
        <f t="shared" ca="1" si="245"/>
        <v>43680203139922.031</v>
      </c>
      <c r="F1781" s="40">
        <f t="shared" ca="1" si="246"/>
        <v>6006694578954.6963</v>
      </c>
      <c r="G1781" s="40">
        <f t="shared" ca="1" si="247"/>
        <v>1488585832889.082</v>
      </c>
      <c r="H1781" s="40">
        <f t="shared" ca="1" si="248"/>
        <v>1488585832889.082</v>
      </c>
      <c r="I1781" s="40">
        <f t="shared" ca="1" si="249"/>
        <v>41408097329320.953</v>
      </c>
      <c r="J1781" s="40">
        <f t="shared" ca="1" si="250"/>
        <v>1171398587523.218</v>
      </c>
      <c r="K1781" s="41">
        <f t="shared" ca="1" si="251"/>
        <v>35.349280569710615</v>
      </c>
    </row>
    <row r="1782" spans="2:11" ht="15" customHeight="1" x14ac:dyDescent="0.35">
      <c r="B1782" s="5">
        <v>1761</v>
      </c>
      <c r="C1782" s="39">
        <f t="shared" ca="1" si="243"/>
        <v>2.89864531067956</v>
      </c>
      <c r="D1782" s="40">
        <f t="shared" ca="1" si="244"/>
        <v>4492449940.3898211</v>
      </c>
      <c r="E1782" s="40">
        <f t="shared" ca="1" si="245"/>
        <v>3565699916420.3975</v>
      </c>
      <c r="F1782" s="40">
        <f t="shared" ca="1" si="246"/>
        <v>1513178451440.186</v>
      </c>
      <c r="G1782" s="40">
        <f t="shared" ca="1" si="247"/>
        <v>11667565128554.531</v>
      </c>
      <c r="H1782" s="40">
        <f t="shared" ca="1" si="248"/>
        <v>1513178451440.186</v>
      </c>
      <c r="I1782" s="40">
        <f t="shared" ca="1" si="249"/>
        <v>28700586348676.438</v>
      </c>
      <c r="J1782" s="40">
        <f t="shared" ca="1" si="250"/>
        <v>1062860330586.7966</v>
      </c>
      <c r="K1782" s="41">
        <f t="shared" ca="1" si="251"/>
        <v>27.003158856094547</v>
      </c>
    </row>
    <row r="1783" spans="2:11" ht="15" customHeight="1" x14ac:dyDescent="0.35">
      <c r="B1783" s="5">
        <v>1762</v>
      </c>
      <c r="C1783" s="39">
        <f t="shared" ca="1" si="243"/>
        <v>2.7850431603809551</v>
      </c>
      <c r="D1783" s="40">
        <f t="shared" ca="1" si="244"/>
        <v>3203563723.3378291</v>
      </c>
      <c r="E1783" s="40">
        <f t="shared" ca="1" si="245"/>
        <v>1873366399697.9058</v>
      </c>
      <c r="F1783" s="40">
        <f t="shared" ca="1" si="246"/>
        <v>4049994693977.1553</v>
      </c>
      <c r="G1783" s="40">
        <f t="shared" ca="1" si="247"/>
        <v>23708317209226.773</v>
      </c>
      <c r="H1783" s="40">
        <f t="shared" ca="1" si="248"/>
        <v>1873366399697.9058</v>
      </c>
      <c r="I1783" s="40">
        <f t="shared" ca="1" si="249"/>
        <v>4823891514645.7998</v>
      </c>
      <c r="J1783" s="40">
        <f t="shared" ca="1" si="250"/>
        <v>615656946139.95068</v>
      </c>
      <c r="K1783" s="41">
        <f t="shared" ca="1" si="251"/>
        <v>7.8353562724999071</v>
      </c>
    </row>
    <row r="1784" spans="2:11" ht="15" customHeight="1" x14ac:dyDescent="0.35">
      <c r="B1784" s="5">
        <v>1763</v>
      </c>
      <c r="C1784" s="39">
        <f t="shared" ca="1" si="243"/>
        <v>3.1173133665591792</v>
      </c>
      <c r="D1784" s="40">
        <f t="shared" ca="1" si="244"/>
        <v>4899859182.1479435</v>
      </c>
      <c r="E1784" s="40">
        <f t="shared" ca="1" si="245"/>
        <v>51173620090270.031</v>
      </c>
      <c r="F1784" s="40">
        <f t="shared" ca="1" si="246"/>
        <v>463423855402.11322</v>
      </c>
      <c r="G1784" s="40">
        <f t="shared" ca="1" si="247"/>
        <v>48335261706922.445</v>
      </c>
      <c r="H1784" s="40">
        <f t="shared" ca="1" si="248"/>
        <v>51173620090270.031</v>
      </c>
      <c r="I1784" s="40">
        <f t="shared" ca="1" si="249"/>
        <v>9929388563564.8867</v>
      </c>
      <c r="J1784" s="40">
        <f t="shared" ca="1" si="250"/>
        <v>704229171849.75842</v>
      </c>
      <c r="K1784" s="41">
        <f t="shared" ca="1" si="251"/>
        <v>14.099655283356029</v>
      </c>
    </row>
    <row r="1785" spans="2:11" ht="15" customHeight="1" x14ac:dyDescent="0.35">
      <c r="B1785" s="5">
        <v>1764</v>
      </c>
      <c r="C1785" s="39">
        <f t="shared" ca="1" si="243"/>
        <v>2.9783496651523516</v>
      </c>
      <c r="D1785" s="40">
        <f t="shared" ca="1" si="244"/>
        <v>5435696921.3643456</v>
      </c>
      <c r="E1785" s="40">
        <f t="shared" ca="1" si="245"/>
        <v>10994936393605.992</v>
      </c>
      <c r="F1785" s="40">
        <f t="shared" ca="1" si="246"/>
        <v>3915561708368.6089</v>
      </c>
      <c r="G1785" s="40">
        <f t="shared" ca="1" si="247"/>
        <v>2477051627308.9463</v>
      </c>
      <c r="H1785" s="40">
        <f t="shared" ca="1" si="248"/>
        <v>10994936393605.992</v>
      </c>
      <c r="I1785" s="40">
        <f t="shared" ca="1" si="249"/>
        <v>4474169176044.4277</v>
      </c>
      <c r="J1785" s="40">
        <f t="shared" ca="1" si="250"/>
        <v>543000654141.7132</v>
      </c>
      <c r="K1785" s="41">
        <f t="shared" ca="1" si="251"/>
        <v>8.23971231326869</v>
      </c>
    </row>
    <row r="1786" spans="2:11" ht="15" customHeight="1" x14ac:dyDescent="0.35">
      <c r="B1786" s="5">
        <v>1765</v>
      </c>
      <c r="C1786" s="39">
        <f t="shared" ca="1" si="243"/>
        <v>2.9002255850637679</v>
      </c>
      <c r="D1786" s="40">
        <f t="shared" ca="1" si="244"/>
        <v>4199499422.9249434</v>
      </c>
      <c r="E1786" s="40">
        <f t="shared" ca="1" si="245"/>
        <v>9909607119608.4531</v>
      </c>
      <c r="F1786" s="40">
        <f t="shared" ca="1" si="246"/>
        <v>29918147338471.699</v>
      </c>
      <c r="G1786" s="40">
        <f t="shared" ca="1" si="247"/>
        <v>2477622254153.5039</v>
      </c>
      <c r="H1786" s="40">
        <f t="shared" ca="1" si="248"/>
        <v>9909607119608.4531</v>
      </c>
      <c r="I1786" s="40">
        <f t="shared" ca="1" si="249"/>
        <v>11345110488848.766</v>
      </c>
      <c r="J1786" s="40">
        <f t="shared" ca="1" si="250"/>
        <v>1425364160597.2043</v>
      </c>
      <c r="K1786" s="41">
        <f t="shared" ca="1" si="251"/>
        <v>7.9594469978081595</v>
      </c>
    </row>
    <row r="1787" spans="2:11" ht="15" customHeight="1" x14ac:dyDescent="0.35">
      <c r="B1787" s="5">
        <v>1766</v>
      </c>
      <c r="C1787" s="39">
        <f t="shared" ca="1" si="243"/>
        <v>3.8309993134428457</v>
      </c>
      <c r="D1787" s="40">
        <f t="shared" ca="1" si="244"/>
        <v>15646086385.055302</v>
      </c>
      <c r="E1787" s="40">
        <f t="shared" ca="1" si="245"/>
        <v>39312430657463.336</v>
      </c>
      <c r="F1787" s="40">
        <f t="shared" ca="1" si="246"/>
        <v>902101405435.06995</v>
      </c>
      <c r="G1787" s="40">
        <f t="shared" ca="1" si="247"/>
        <v>20449259991747.387</v>
      </c>
      <c r="H1787" s="40">
        <f t="shared" ca="1" si="248"/>
        <v>39312430657463.336</v>
      </c>
      <c r="I1787" s="40">
        <f t="shared" ca="1" si="249"/>
        <v>10388301347031.314</v>
      </c>
      <c r="J1787" s="40">
        <f t="shared" ca="1" si="250"/>
        <v>685693624992.92188</v>
      </c>
      <c r="K1787" s="41">
        <f t="shared" ca="1" si="251"/>
        <v>15.150062605786292</v>
      </c>
    </row>
    <row r="1788" spans="2:11" ht="15" customHeight="1" x14ac:dyDescent="0.35">
      <c r="B1788" s="5">
        <v>1767</v>
      </c>
      <c r="C1788" s="39">
        <f t="shared" ca="1" si="243"/>
        <v>2.8939140558808738</v>
      </c>
      <c r="D1788" s="40">
        <f t="shared" ca="1" si="244"/>
        <v>3698795274.9394498</v>
      </c>
      <c r="E1788" s="40">
        <f t="shared" ca="1" si="245"/>
        <v>10108531371795.855</v>
      </c>
      <c r="F1788" s="40">
        <f t="shared" ca="1" si="246"/>
        <v>775445363101</v>
      </c>
      <c r="G1788" s="40">
        <f t="shared" ca="1" si="247"/>
        <v>655787320945.20862</v>
      </c>
      <c r="H1788" s="40">
        <f t="shared" ca="1" si="248"/>
        <v>655787320945.20862</v>
      </c>
      <c r="I1788" s="40">
        <f t="shared" ca="1" si="249"/>
        <v>7411711291063.4453</v>
      </c>
      <c r="J1788" s="40">
        <f t="shared" ca="1" si="250"/>
        <v>1381150003594.0837</v>
      </c>
      <c r="K1788" s="41">
        <f t="shared" ca="1" si="251"/>
        <v>5.366333324965713</v>
      </c>
    </row>
    <row r="1789" spans="2:11" ht="15" customHeight="1" x14ac:dyDescent="0.35">
      <c r="B1789" s="5">
        <v>1768</v>
      </c>
      <c r="C1789" s="39">
        <f t="shared" ca="1" si="243"/>
        <v>2.9252555610396795</v>
      </c>
      <c r="D1789" s="40">
        <f t="shared" ca="1" si="244"/>
        <v>4094792482.5566196</v>
      </c>
      <c r="E1789" s="40">
        <f t="shared" ca="1" si="245"/>
        <v>21367311775185.457</v>
      </c>
      <c r="F1789" s="40">
        <f t="shared" ca="1" si="246"/>
        <v>1563411092187.2439</v>
      </c>
      <c r="G1789" s="40">
        <f t="shared" ca="1" si="247"/>
        <v>1604357061900.9695</v>
      </c>
      <c r="H1789" s="40">
        <f t="shared" ca="1" si="248"/>
        <v>21367311775185.457</v>
      </c>
      <c r="I1789" s="40">
        <f t="shared" ca="1" si="249"/>
        <v>9575449047510.4199</v>
      </c>
      <c r="J1789" s="40">
        <f t="shared" ca="1" si="250"/>
        <v>1244822939699.7656</v>
      </c>
      <c r="K1789" s="41">
        <f t="shared" ca="1" si="251"/>
        <v>7.6922176978999826</v>
      </c>
    </row>
    <row r="1790" spans="2:11" ht="15" customHeight="1" x14ac:dyDescent="0.35">
      <c r="B1790" s="5">
        <v>1769</v>
      </c>
      <c r="C1790" s="39">
        <f t="shared" ca="1" si="243"/>
        <v>3.0884217227309962</v>
      </c>
      <c r="D1790" s="40">
        <f t="shared" ca="1" si="244"/>
        <v>5149103106.2756901</v>
      </c>
      <c r="E1790" s="40">
        <f t="shared" ca="1" si="245"/>
        <v>19465056758092.723</v>
      </c>
      <c r="F1790" s="40">
        <f t="shared" ca="1" si="246"/>
        <v>8687308670021.2744</v>
      </c>
      <c r="G1790" s="40">
        <f t="shared" ca="1" si="247"/>
        <v>6874782023119.0811</v>
      </c>
      <c r="H1790" s="40">
        <f t="shared" ca="1" si="248"/>
        <v>19465056758092.723</v>
      </c>
      <c r="I1790" s="40">
        <f t="shared" ca="1" si="249"/>
        <v>3635505724851.6099</v>
      </c>
      <c r="J1790" s="40">
        <f t="shared" ca="1" si="250"/>
        <v>1126561271807.0442</v>
      </c>
      <c r="K1790" s="41">
        <f t="shared" ca="1" si="251"/>
        <v>3.2270821089208312</v>
      </c>
    </row>
    <row r="1791" spans="2:11" ht="15" customHeight="1" x14ac:dyDescent="0.35">
      <c r="B1791" s="5">
        <v>1770</v>
      </c>
      <c r="C1791" s="39">
        <f t="shared" ca="1" si="243"/>
        <v>2.4636915597644005</v>
      </c>
      <c r="D1791" s="40">
        <f t="shared" ca="1" si="244"/>
        <v>1872729161.9381583</v>
      </c>
      <c r="E1791" s="40">
        <f t="shared" ca="1" si="245"/>
        <v>4151833099229.3257</v>
      </c>
      <c r="F1791" s="40">
        <f t="shared" ca="1" si="246"/>
        <v>1660935657237.2725</v>
      </c>
      <c r="G1791" s="40">
        <f t="shared" ca="1" si="247"/>
        <v>41720102455790.453</v>
      </c>
      <c r="H1791" s="40">
        <f t="shared" ca="1" si="248"/>
        <v>41720102455790.453</v>
      </c>
      <c r="I1791" s="40">
        <f t="shared" ca="1" si="249"/>
        <v>20614604380401.746</v>
      </c>
      <c r="J1791" s="40">
        <f t="shared" ca="1" si="250"/>
        <v>743888239929.34607</v>
      </c>
      <c r="K1791" s="41">
        <f t="shared" ca="1" si="251"/>
        <v>27.711964343406887</v>
      </c>
    </row>
    <row r="1792" spans="2:11" ht="15" customHeight="1" x14ac:dyDescent="0.35">
      <c r="B1792" s="5">
        <v>1771</v>
      </c>
      <c r="C1792" s="39">
        <f t="shared" ca="1" si="243"/>
        <v>2.7840354238113467</v>
      </c>
      <c r="D1792" s="40">
        <f t="shared" ca="1" si="244"/>
        <v>2827031065.3760872</v>
      </c>
      <c r="E1792" s="40">
        <f t="shared" ca="1" si="245"/>
        <v>6220665096583.9453</v>
      </c>
      <c r="F1792" s="40">
        <f t="shared" ca="1" si="246"/>
        <v>3595616244772.8145</v>
      </c>
      <c r="G1792" s="40">
        <f t="shared" ca="1" si="247"/>
        <v>4919174099984.0615</v>
      </c>
      <c r="H1792" s="40">
        <f t="shared" ca="1" si="248"/>
        <v>4919174099984.0615</v>
      </c>
      <c r="I1792" s="40">
        <f t="shared" ca="1" si="249"/>
        <v>3317937259086.9341</v>
      </c>
      <c r="J1792" s="40">
        <f t="shared" ca="1" si="250"/>
        <v>1008439104889.9525</v>
      </c>
      <c r="K1792" s="41">
        <f t="shared" ca="1" si="251"/>
        <v>3.2901711595654644</v>
      </c>
    </row>
    <row r="1793" spans="2:11" ht="15" customHeight="1" x14ac:dyDescent="0.35">
      <c r="B1793" s="5">
        <v>1772</v>
      </c>
      <c r="C1793" s="39">
        <f t="shared" ca="1" si="243"/>
        <v>2.8207649243202253</v>
      </c>
      <c r="D1793" s="40">
        <f t="shared" ca="1" si="244"/>
        <v>3296058878.5803771</v>
      </c>
      <c r="E1793" s="40">
        <f t="shared" ca="1" si="245"/>
        <v>13959745063226.518</v>
      </c>
      <c r="F1793" s="40">
        <f t="shared" ca="1" si="246"/>
        <v>8879449832028.9961</v>
      </c>
      <c r="G1793" s="40">
        <f t="shared" ca="1" si="247"/>
        <v>17892514863450.672</v>
      </c>
      <c r="H1793" s="40">
        <f t="shared" ca="1" si="248"/>
        <v>17892514863450.672</v>
      </c>
      <c r="I1793" s="40">
        <f t="shared" ca="1" si="249"/>
        <v>27393699842331.824</v>
      </c>
      <c r="J1793" s="40">
        <f t="shared" ca="1" si="250"/>
        <v>1018328639483.0769</v>
      </c>
      <c r="K1793" s="41">
        <f t="shared" ca="1" si="251"/>
        <v>26.900647571139107</v>
      </c>
    </row>
    <row r="1794" spans="2:11" ht="15" customHeight="1" x14ac:dyDescent="0.35">
      <c r="B1794" s="5">
        <v>1773</v>
      </c>
      <c r="C1794" s="39">
        <f t="shared" ca="1" si="243"/>
        <v>1.9314561972241115</v>
      </c>
      <c r="D1794" s="40">
        <f t="shared" ca="1" si="244"/>
        <v>596924270.06727874</v>
      </c>
      <c r="E1794" s="40">
        <f t="shared" ca="1" si="245"/>
        <v>3105043532310.2422</v>
      </c>
      <c r="F1794" s="40">
        <f t="shared" ca="1" si="246"/>
        <v>2203716842703.5933</v>
      </c>
      <c r="G1794" s="40">
        <f t="shared" ca="1" si="247"/>
        <v>2980492750470.4507</v>
      </c>
      <c r="H1794" s="40">
        <f t="shared" ca="1" si="248"/>
        <v>2980492750470.4507</v>
      </c>
      <c r="I1794" s="40">
        <f t="shared" ca="1" si="249"/>
        <v>42271315420047.18</v>
      </c>
      <c r="J1794" s="40">
        <f t="shared" ca="1" si="250"/>
        <v>959524109104.09045</v>
      </c>
      <c r="K1794" s="41">
        <f t="shared" ca="1" si="251"/>
        <v>44.054458891622836</v>
      </c>
    </row>
    <row r="1795" spans="2:11" ht="15" customHeight="1" x14ac:dyDescent="0.35">
      <c r="B1795" s="5">
        <v>1774</v>
      </c>
      <c r="C1795" s="39">
        <f t="shared" ca="1" si="243"/>
        <v>4.1957893065038405</v>
      </c>
      <c r="D1795" s="40">
        <f t="shared" ca="1" si="244"/>
        <v>26761319817.389496</v>
      </c>
      <c r="E1795" s="40">
        <f t="shared" ca="1" si="245"/>
        <v>117746985372873.41</v>
      </c>
      <c r="F1795" s="40">
        <f t="shared" ca="1" si="246"/>
        <v>505861196513.9588</v>
      </c>
      <c r="G1795" s="40">
        <f t="shared" ca="1" si="247"/>
        <v>402610597868.82239</v>
      </c>
      <c r="H1795" s="40">
        <f t="shared" ca="1" si="248"/>
        <v>117746985372873.41</v>
      </c>
      <c r="I1795" s="40">
        <f t="shared" ca="1" si="249"/>
        <v>18083668997294.359</v>
      </c>
      <c r="J1795" s="40">
        <f t="shared" ca="1" si="250"/>
        <v>932479725825.87488</v>
      </c>
      <c r="K1795" s="41">
        <f t="shared" ca="1" si="251"/>
        <v>19.393096167617038</v>
      </c>
    </row>
    <row r="1796" spans="2:11" ht="15" customHeight="1" x14ac:dyDescent="0.35">
      <c r="B1796" s="5">
        <v>1775</v>
      </c>
      <c r="C1796" s="39">
        <f t="shared" ca="1" si="243"/>
        <v>3.7062916528540768</v>
      </c>
      <c r="D1796" s="40">
        <f t="shared" ca="1" si="244"/>
        <v>13232606037.348658</v>
      </c>
      <c r="E1796" s="40">
        <f t="shared" ca="1" si="245"/>
        <v>47422157155416.391</v>
      </c>
      <c r="F1796" s="40">
        <f t="shared" ca="1" si="246"/>
        <v>814294241694.81445</v>
      </c>
      <c r="G1796" s="40">
        <f t="shared" ca="1" si="247"/>
        <v>7235989490413.7588</v>
      </c>
      <c r="H1796" s="40">
        <f t="shared" ca="1" si="248"/>
        <v>47422157155416.391</v>
      </c>
      <c r="I1796" s="40">
        <f t="shared" ca="1" si="249"/>
        <v>3180227029064.1172</v>
      </c>
      <c r="J1796" s="40">
        <f t="shared" ca="1" si="250"/>
        <v>796781803310.34961</v>
      </c>
      <c r="K1796" s="41">
        <f t="shared" ca="1" si="251"/>
        <v>3.9913399325278096</v>
      </c>
    </row>
    <row r="1797" spans="2:11" ht="15" customHeight="1" x14ac:dyDescent="0.35">
      <c r="B1797" s="5">
        <v>1776</v>
      </c>
      <c r="C1797" s="39">
        <f t="shared" ca="1" si="243"/>
        <v>3.5150377424732433</v>
      </c>
      <c r="D1797" s="40">
        <f t="shared" ca="1" si="244"/>
        <v>11213231229.582897</v>
      </c>
      <c r="E1797" s="40">
        <f t="shared" ca="1" si="245"/>
        <v>68058285430176</v>
      </c>
      <c r="F1797" s="40">
        <f t="shared" ca="1" si="246"/>
        <v>5790256682213.1504</v>
      </c>
      <c r="G1797" s="40">
        <f t="shared" ca="1" si="247"/>
        <v>1719604084674.8772</v>
      </c>
      <c r="H1797" s="40">
        <f t="shared" ca="1" si="248"/>
        <v>5790256682213.1504</v>
      </c>
      <c r="I1797" s="40">
        <f t="shared" ca="1" si="249"/>
        <v>56752493454154.242</v>
      </c>
      <c r="J1797" s="40">
        <f t="shared" ca="1" si="250"/>
        <v>999286464881.5647</v>
      </c>
      <c r="K1797" s="41">
        <f t="shared" ca="1" si="251"/>
        <v>56.793017266455763</v>
      </c>
    </row>
    <row r="1798" spans="2:11" ht="15" customHeight="1" x14ac:dyDescent="0.35">
      <c r="B1798" s="5">
        <v>1777</v>
      </c>
      <c r="C1798" s="39">
        <f t="shared" ca="1" si="243"/>
        <v>2.7363055309998097</v>
      </c>
      <c r="D1798" s="40">
        <f t="shared" ca="1" si="244"/>
        <v>2663898452.2724147</v>
      </c>
      <c r="E1798" s="40">
        <f t="shared" ca="1" si="245"/>
        <v>23037021403988.695</v>
      </c>
      <c r="F1798" s="40">
        <f t="shared" ca="1" si="246"/>
        <v>20294809845478.473</v>
      </c>
      <c r="G1798" s="40">
        <f t="shared" ca="1" si="247"/>
        <v>14146149072565.791</v>
      </c>
      <c r="H1798" s="40">
        <f t="shared" ca="1" si="248"/>
        <v>23037021403988.695</v>
      </c>
      <c r="I1798" s="40">
        <f t="shared" ca="1" si="249"/>
        <v>28517324075992.563</v>
      </c>
      <c r="J1798" s="40">
        <f t="shared" ca="1" si="250"/>
        <v>1055491157817.7621</v>
      </c>
      <c r="K1798" s="41">
        <f t="shared" ca="1" si="251"/>
        <v>27.018060610713594</v>
      </c>
    </row>
    <row r="1799" spans="2:11" ht="15" customHeight="1" x14ac:dyDescent="0.35">
      <c r="B1799" s="5">
        <v>1778</v>
      </c>
      <c r="C1799" s="39">
        <f t="shared" ca="1" si="243"/>
        <v>3.4069712439412871</v>
      </c>
      <c r="D1799" s="40">
        <f t="shared" ca="1" si="244"/>
        <v>8278430758.1030617</v>
      </c>
      <c r="E1799" s="40">
        <f t="shared" ca="1" si="245"/>
        <v>54680272495322.719</v>
      </c>
      <c r="F1799" s="40">
        <f t="shared" ca="1" si="246"/>
        <v>6107754773431.1279</v>
      </c>
      <c r="G1799" s="40">
        <f t="shared" ca="1" si="247"/>
        <v>551943883021.71655</v>
      </c>
      <c r="H1799" s="40">
        <f t="shared" ca="1" si="248"/>
        <v>6107754773431.1279</v>
      </c>
      <c r="I1799" s="40">
        <f t="shared" ca="1" si="249"/>
        <v>848286710542.82605</v>
      </c>
      <c r="J1799" s="40">
        <f t="shared" ca="1" si="250"/>
        <v>893586667211.93323</v>
      </c>
      <c r="K1799" s="41">
        <f t="shared" ca="1" si="251"/>
        <v>0.94930546937271687</v>
      </c>
    </row>
    <row r="1800" spans="2:11" ht="15" customHeight="1" x14ac:dyDescent="0.35">
      <c r="B1800" s="5">
        <v>1779</v>
      </c>
      <c r="C1800" s="39">
        <f t="shared" ca="1" si="243"/>
        <v>3.3627563894523904</v>
      </c>
      <c r="D1800" s="40">
        <f t="shared" ca="1" si="244"/>
        <v>7115417931.4604006</v>
      </c>
      <c r="E1800" s="40">
        <f t="shared" ca="1" si="245"/>
        <v>27667973530441.91</v>
      </c>
      <c r="F1800" s="40">
        <f t="shared" ca="1" si="246"/>
        <v>11817696768663.32</v>
      </c>
      <c r="G1800" s="40">
        <f t="shared" ca="1" si="247"/>
        <v>9284773644562.4258</v>
      </c>
      <c r="H1800" s="40">
        <f t="shared" ca="1" si="248"/>
        <v>9284773644562.4258</v>
      </c>
      <c r="I1800" s="40">
        <f t="shared" ca="1" si="249"/>
        <v>4629452497473.1699</v>
      </c>
      <c r="J1800" s="40">
        <f t="shared" ca="1" si="250"/>
        <v>1094815915607.2765</v>
      </c>
      <c r="K1800" s="41">
        <f t="shared" ca="1" si="251"/>
        <v>4.2285213719288031</v>
      </c>
    </row>
    <row r="1801" spans="2:11" ht="15" customHeight="1" x14ac:dyDescent="0.35">
      <c r="B1801" s="5">
        <v>1780</v>
      </c>
      <c r="C1801" s="39">
        <f t="shared" ca="1" si="243"/>
        <v>3.6044158397231132</v>
      </c>
      <c r="D1801" s="40">
        <f t="shared" ca="1" si="244"/>
        <v>13292314506.125566</v>
      </c>
      <c r="E1801" s="40">
        <f t="shared" ca="1" si="245"/>
        <v>23263730806698</v>
      </c>
      <c r="F1801" s="40">
        <f t="shared" ca="1" si="246"/>
        <v>398355284913.89526</v>
      </c>
      <c r="G1801" s="40">
        <f t="shared" ca="1" si="247"/>
        <v>11134445294499.371</v>
      </c>
      <c r="H1801" s="40">
        <f t="shared" ca="1" si="248"/>
        <v>11134445294499.371</v>
      </c>
      <c r="I1801" s="40">
        <f t="shared" ca="1" si="249"/>
        <v>176599358049149.28</v>
      </c>
      <c r="J1801" s="40">
        <f t="shared" ca="1" si="250"/>
        <v>1519535911701.4346</v>
      </c>
      <c r="K1801" s="41">
        <f t="shared" ca="1" si="251"/>
        <v>116.21927240364447</v>
      </c>
    </row>
    <row r="1802" spans="2:11" ht="15" customHeight="1" x14ac:dyDescent="0.35">
      <c r="B1802" s="5">
        <v>1781</v>
      </c>
      <c r="C1802" s="39">
        <f t="shared" ca="1" si="243"/>
        <v>3.1063707243322867</v>
      </c>
      <c r="D1802" s="40">
        <f t="shared" ca="1" si="244"/>
        <v>5780302304.5603132</v>
      </c>
      <c r="E1802" s="40">
        <f t="shared" ca="1" si="245"/>
        <v>10811033139210.801</v>
      </c>
      <c r="F1802" s="40">
        <f t="shared" ca="1" si="246"/>
        <v>5655752311812.8525</v>
      </c>
      <c r="G1802" s="40">
        <f t="shared" ca="1" si="247"/>
        <v>1771638273004.168</v>
      </c>
      <c r="H1802" s="40">
        <f t="shared" ca="1" si="248"/>
        <v>10811033139210.801</v>
      </c>
      <c r="I1802" s="40">
        <f t="shared" ca="1" si="249"/>
        <v>2229501608129.647</v>
      </c>
      <c r="J1802" s="40">
        <f t="shared" ca="1" si="250"/>
        <v>626650179891.81226</v>
      </c>
      <c r="K1802" s="41">
        <f t="shared" ca="1" si="251"/>
        <v>3.5578089333901706</v>
      </c>
    </row>
    <row r="1803" spans="2:11" ht="15" customHeight="1" x14ac:dyDescent="0.35">
      <c r="B1803" s="5">
        <v>1782</v>
      </c>
      <c r="C1803" s="39">
        <f t="shared" ca="1" si="243"/>
        <v>2.5687543121462024</v>
      </c>
      <c r="D1803" s="40">
        <f t="shared" ca="1" si="244"/>
        <v>2570717208.3077688</v>
      </c>
      <c r="E1803" s="40">
        <f t="shared" ca="1" si="245"/>
        <v>12208224361035.42</v>
      </c>
      <c r="F1803" s="40">
        <f t="shared" ca="1" si="246"/>
        <v>2244001438311.0171</v>
      </c>
      <c r="G1803" s="40">
        <f t="shared" ca="1" si="247"/>
        <v>748367298827.31738</v>
      </c>
      <c r="H1803" s="40">
        <f t="shared" ca="1" si="248"/>
        <v>2244001438311.0171</v>
      </c>
      <c r="I1803" s="40">
        <f t="shared" ca="1" si="249"/>
        <v>6348519748147.2383</v>
      </c>
      <c r="J1803" s="40">
        <f t="shared" ca="1" si="250"/>
        <v>1194932254000.3984</v>
      </c>
      <c r="K1803" s="41">
        <f t="shared" ca="1" si="251"/>
        <v>5.3128700199476926</v>
      </c>
    </row>
    <row r="1804" spans="2:11" ht="15" customHeight="1" x14ac:dyDescent="0.35">
      <c r="B1804" s="5">
        <v>1783</v>
      </c>
      <c r="C1804" s="39">
        <f t="shared" ca="1" si="243"/>
        <v>3.1203607920821188</v>
      </c>
      <c r="D1804" s="40">
        <f t="shared" ca="1" si="244"/>
        <v>5915381577.4796047</v>
      </c>
      <c r="E1804" s="40">
        <f t="shared" ca="1" si="245"/>
        <v>11665195340158.295</v>
      </c>
      <c r="F1804" s="40">
        <f t="shared" ca="1" si="246"/>
        <v>2720610820757.4077</v>
      </c>
      <c r="G1804" s="40">
        <f t="shared" ca="1" si="247"/>
        <v>12923705414147.789</v>
      </c>
      <c r="H1804" s="40">
        <f t="shared" ca="1" si="248"/>
        <v>12923705414147.789</v>
      </c>
      <c r="I1804" s="40">
        <f t="shared" ca="1" si="249"/>
        <v>52480737311037.18</v>
      </c>
      <c r="J1804" s="40">
        <f t="shared" ca="1" si="250"/>
        <v>1260264634101.6509</v>
      </c>
      <c r="K1804" s="41">
        <f t="shared" ca="1" si="251"/>
        <v>41.642632738358799</v>
      </c>
    </row>
    <row r="1805" spans="2:11" ht="15" customHeight="1" x14ac:dyDescent="0.35">
      <c r="B1805" s="5">
        <v>1784</v>
      </c>
      <c r="C1805" s="39">
        <f t="shared" ca="1" si="243"/>
        <v>3.3495565096690889</v>
      </c>
      <c r="D1805" s="40">
        <f t="shared" ca="1" si="244"/>
        <v>10058583061.34161</v>
      </c>
      <c r="E1805" s="40">
        <f t="shared" ca="1" si="245"/>
        <v>38129627885338.125</v>
      </c>
      <c r="F1805" s="40">
        <f t="shared" ca="1" si="246"/>
        <v>1549700162384.2688</v>
      </c>
      <c r="G1805" s="40">
        <f t="shared" ca="1" si="247"/>
        <v>14372709630873.289</v>
      </c>
      <c r="H1805" s="40">
        <f t="shared" ca="1" si="248"/>
        <v>38129627885338.125</v>
      </c>
      <c r="I1805" s="40">
        <f t="shared" ca="1" si="249"/>
        <v>29597595060534.848</v>
      </c>
      <c r="J1805" s="40">
        <f t="shared" ca="1" si="250"/>
        <v>1144446015409.801</v>
      </c>
      <c r="K1805" s="41">
        <f t="shared" ca="1" si="251"/>
        <v>25.861940766106471</v>
      </c>
    </row>
    <row r="1806" spans="2:11" ht="15" customHeight="1" x14ac:dyDescent="0.35">
      <c r="B1806" s="5">
        <v>1785</v>
      </c>
      <c r="C1806" s="39">
        <f t="shared" ca="1" si="243"/>
        <v>2.9990382023882298</v>
      </c>
      <c r="D1806" s="40">
        <f t="shared" ca="1" si="244"/>
        <v>4352830794.5070105</v>
      </c>
      <c r="E1806" s="40">
        <f t="shared" ca="1" si="245"/>
        <v>12063093986908.217</v>
      </c>
      <c r="F1806" s="40">
        <f t="shared" ca="1" si="246"/>
        <v>5394484067226.8057</v>
      </c>
      <c r="G1806" s="40">
        <f t="shared" ca="1" si="247"/>
        <v>12198849778457.027</v>
      </c>
      <c r="H1806" s="40">
        <f t="shared" ca="1" si="248"/>
        <v>12198849778457.027</v>
      </c>
      <c r="I1806" s="40">
        <f t="shared" ca="1" si="249"/>
        <v>38755306264254.484</v>
      </c>
      <c r="J1806" s="40">
        <f t="shared" ca="1" si="250"/>
        <v>1469376904373.8838</v>
      </c>
      <c r="K1806" s="41">
        <f t="shared" ca="1" si="251"/>
        <v>26.375333754662837</v>
      </c>
    </row>
    <row r="1807" spans="2:11" ht="15" customHeight="1" x14ac:dyDescent="0.35">
      <c r="B1807" s="5">
        <v>1786</v>
      </c>
      <c r="C1807" s="39">
        <f t="shared" ca="1" si="243"/>
        <v>3.3569162401227701</v>
      </c>
      <c r="D1807" s="40">
        <f t="shared" ca="1" si="244"/>
        <v>9739642693.726305</v>
      </c>
      <c r="E1807" s="40">
        <f t="shared" ca="1" si="245"/>
        <v>28051882929423.668</v>
      </c>
      <c r="F1807" s="40">
        <f t="shared" ca="1" si="246"/>
        <v>297863335937.79492</v>
      </c>
      <c r="G1807" s="40">
        <f t="shared" ca="1" si="247"/>
        <v>7710860795573.1514</v>
      </c>
      <c r="H1807" s="40">
        <f t="shared" ca="1" si="248"/>
        <v>28051882929423.668</v>
      </c>
      <c r="I1807" s="40">
        <f t="shared" ca="1" si="249"/>
        <v>7346244474221.6885</v>
      </c>
      <c r="J1807" s="40">
        <f t="shared" ca="1" si="250"/>
        <v>1069689634998.0919</v>
      </c>
      <c r="K1807" s="41">
        <f t="shared" ca="1" si="251"/>
        <v>6.8676410744456664</v>
      </c>
    </row>
    <row r="1808" spans="2:11" ht="15" customHeight="1" x14ac:dyDescent="0.35">
      <c r="B1808" s="5">
        <v>1787</v>
      </c>
      <c r="C1808" s="39">
        <f t="shared" ca="1" si="243"/>
        <v>2.5919026700826548</v>
      </c>
      <c r="D1808" s="40">
        <f t="shared" ca="1" si="244"/>
        <v>1897530727.2775526</v>
      </c>
      <c r="E1808" s="40">
        <f t="shared" ca="1" si="245"/>
        <v>1470342882786.9468</v>
      </c>
      <c r="F1808" s="40">
        <f t="shared" ca="1" si="246"/>
        <v>4409301298730.4893</v>
      </c>
      <c r="G1808" s="40">
        <f t="shared" ca="1" si="247"/>
        <v>495085621388.69727</v>
      </c>
      <c r="H1808" s="40">
        <f t="shared" ca="1" si="248"/>
        <v>495085621388.69727</v>
      </c>
      <c r="I1808" s="40">
        <f t="shared" ca="1" si="249"/>
        <v>14947167982223.592</v>
      </c>
      <c r="J1808" s="40">
        <f t="shared" ca="1" si="250"/>
        <v>932566823801.48462</v>
      </c>
      <c r="K1808" s="41">
        <f t="shared" ca="1" si="251"/>
        <v>16.027985985276047</v>
      </c>
    </row>
    <row r="1809" spans="2:11" ht="15" customHeight="1" x14ac:dyDescent="0.35">
      <c r="B1809" s="5">
        <v>1788</v>
      </c>
      <c r="C1809" s="39">
        <f t="shared" ca="1" si="243"/>
        <v>2.5619602805743407</v>
      </c>
      <c r="D1809" s="40">
        <f t="shared" ca="1" si="244"/>
        <v>2628455917.732749</v>
      </c>
      <c r="E1809" s="40">
        <f t="shared" ca="1" si="245"/>
        <v>11773308107501.313</v>
      </c>
      <c r="F1809" s="40">
        <f t="shared" ca="1" si="246"/>
        <v>1598765287810.9609</v>
      </c>
      <c r="G1809" s="40">
        <f t="shared" ca="1" si="247"/>
        <v>8415384898560.457</v>
      </c>
      <c r="H1809" s="40">
        <f t="shared" ca="1" si="248"/>
        <v>11773308107501.313</v>
      </c>
      <c r="I1809" s="40">
        <f t="shared" ca="1" si="249"/>
        <v>13064226862683.855</v>
      </c>
      <c r="J1809" s="40">
        <f t="shared" ca="1" si="250"/>
        <v>1143697439926.1533</v>
      </c>
      <c r="K1809" s="41">
        <f t="shared" ca="1" si="251"/>
        <v>11.422799777821826</v>
      </c>
    </row>
    <row r="1810" spans="2:11" ht="15" customHeight="1" x14ac:dyDescent="0.35">
      <c r="B1810" s="5">
        <v>1789</v>
      </c>
      <c r="C1810" s="39">
        <f t="shared" ca="1" si="243"/>
        <v>3.6982193869552225</v>
      </c>
      <c r="D1810" s="40">
        <f t="shared" ca="1" si="244"/>
        <v>11962426018.76535</v>
      </c>
      <c r="E1810" s="40">
        <f t="shared" ca="1" si="245"/>
        <v>20421834849484.945</v>
      </c>
      <c r="F1810" s="40">
        <f t="shared" ca="1" si="246"/>
        <v>7096133778413.1035</v>
      </c>
      <c r="G1810" s="40">
        <f t="shared" ca="1" si="247"/>
        <v>4816974126998.7529</v>
      </c>
      <c r="H1810" s="40">
        <f t="shared" ca="1" si="248"/>
        <v>4816974126998.7529</v>
      </c>
      <c r="I1810" s="40">
        <f t="shared" ca="1" si="249"/>
        <v>19966156504280.109</v>
      </c>
      <c r="J1810" s="40">
        <f t="shared" ca="1" si="250"/>
        <v>1453316507949.1646</v>
      </c>
      <c r="K1810" s="41">
        <f t="shared" ca="1" si="251"/>
        <v>13.738340131053203</v>
      </c>
    </row>
    <row r="1811" spans="2:11" ht="15" customHeight="1" x14ac:dyDescent="0.35">
      <c r="B1811" s="5">
        <v>1790</v>
      </c>
      <c r="C1811" s="39">
        <f t="shared" ca="1" si="243"/>
        <v>3.320364553069246</v>
      </c>
      <c r="D1811" s="40">
        <f t="shared" ca="1" si="244"/>
        <v>7145983917.2788019</v>
      </c>
      <c r="E1811" s="40">
        <f t="shared" ca="1" si="245"/>
        <v>11284195754186.697</v>
      </c>
      <c r="F1811" s="40">
        <f t="shared" ca="1" si="246"/>
        <v>6285696863559.4219</v>
      </c>
      <c r="G1811" s="40">
        <f t="shared" ca="1" si="247"/>
        <v>1079721343627.3085</v>
      </c>
      <c r="H1811" s="40">
        <f t="shared" ca="1" si="248"/>
        <v>11284195754186.697</v>
      </c>
      <c r="I1811" s="40">
        <f t="shared" ca="1" si="249"/>
        <v>116919985904736.91</v>
      </c>
      <c r="J1811" s="40">
        <f t="shared" ca="1" si="250"/>
        <v>938932787712.72913</v>
      </c>
      <c r="K1811" s="41">
        <f t="shared" ca="1" si="251"/>
        <v>124.52434022413659</v>
      </c>
    </row>
    <row r="1812" spans="2:11" ht="15" customHeight="1" x14ac:dyDescent="0.35">
      <c r="B1812" s="5">
        <v>1791</v>
      </c>
      <c r="C1812" s="39">
        <f t="shared" ca="1" si="243"/>
        <v>3.2681594957349218</v>
      </c>
      <c r="D1812" s="40">
        <f t="shared" ca="1" si="244"/>
        <v>8687829811.1343575</v>
      </c>
      <c r="E1812" s="40">
        <f t="shared" ca="1" si="245"/>
        <v>59426674280276.148</v>
      </c>
      <c r="F1812" s="40">
        <f t="shared" ca="1" si="246"/>
        <v>10801671437183.564</v>
      </c>
      <c r="G1812" s="40">
        <f t="shared" ca="1" si="247"/>
        <v>24873214738609.965</v>
      </c>
      <c r="H1812" s="40">
        <f t="shared" ca="1" si="248"/>
        <v>10801671437183.564</v>
      </c>
      <c r="I1812" s="40">
        <f t="shared" ca="1" si="249"/>
        <v>47540304726221.258</v>
      </c>
      <c r="J1812" s="40">
        <f t="shared" ca="1" si="250"/>
        <v>649215452853.58716</v>
      </c>
      <c r="K1812" s="41">
        <f t="shared" ca="1" si="251"/>
        <v>73.227315396238225</v>
      </c>
    </row>
    <row r="1813" spans="2:11" ht="15" customHeight="1" x14ac:dyDescent="0.35">
      <c r="B1813" s="5">
        <v>1792</v>
      </c>
      <c r="C1813" s="39">
        <f t="shared" ca="1" si="243"/>
        <v>3.5102824813189386</v>
      </c>
      <c r="D1813" s="40">
        <f t="shared" ca="1" si="244"/>
        <v>11526235254.187147</v>
      </c>
      <c r="E1813" s="40">
        <f t="shared" ca="1" si="245"/>
        <v>47103610026834.352</v>
      </c>
      <c r="F1813" s="40">
        <f t="shared" ca="1" si="246"/>
        <v>2031170103506.9067</v>
      </c>
      <c r="G1813" s="40">
        <f t="shared" ca="1" si="247"/>
        <v>18032070741498.332</v>
      </c>
      <c r="H1813" s="40">
        <f t="shared" ca="1" si="248"/>
        <v>47103610026834.352</v>
      </c>
      <c r="I1813" s="40">
        <f t="shared" ca="1" si="249"/>
        <v>5362628466241.5615</v>
      </c>
      <c r="J1813" s="40">
        <f t="shared" ca="1" si="250"/>
        <v>722797891765.38599</v>
      </c>
      <c r="K1813" s="41">
        <f t="shared" ca="1" si="251"/>
        <v>7.4192641225664016</v>
      </c>
    </row>
    <row r="1814" spans="2:11" ht="15" customHeight="1" x14ac:dyDescent="0.35">
      <c r="B1814" s="5">
        <v>1793</v>
      </c>
      <c r="C1814" s="39">
        <f t="shared" ref="C1814:C1877" ca="1" si="252">MEDIAN(1.8,NORMINV(RAND(),$C$7,$D$7),4.5)</f>
        <v>2.9369701712681731</v>
      </c>
      <c r="D1814" s="40">
        <f t="shared" ref="D1814:D1877" ca="1" si="253">($C$8+RAND()*($D$8-$C$8))*C1814^5</f>
        <v>4321033090.1328611</v>
      </c>
      <c r="E1814" s="40">
        <f t="shared" ref="E1814:E1877" ca="1" si="254">D1814*($C$10+RAND()*($D$10-$C$10))*EXP(NORMINV(RAND(),$C$9,$D$9))*($C$11+RAND()*($D$11-$C$11))</f>
        <v>114815685374263.61</v>
      </c>
      <c r="F1814" s="40">
        <f t="shared" ref="F1814:F1877" ca="1" si="255">EXP(NORMINV(RAND(),$C$12,$D$12))*EXP(NORMINV(RAND(),$C$13,$D$13))</f>
        <v>924629893972.56824</v>
      </c>
      <c r="G1814" s="40">
        <f t="shared" ref="G1814:G1877" ca="1" si="256">EXP(NORMINV(RAND(),$C$14,$D$14))*($C$15+RAND()*($D$15-$C$15))*EXP(NORMINV(RAND(),$C$16,$D$16))/1000000*31536000</f>
        <v>1120212184152.9102</v>
      </c>
      <c r="H1814" s="40">
        <f t="shared" ref="H1814:H1877" ca="1" si="257">CHOOSE(RANDBETWEEN(1,3),E1814,F1814,G1814)</f>
        <v>1120212184152.9102</v>
      </c>
      <c r="I1814" s="40">
        <f t="shared" ref="I1814:I1877" ca="1" si="258">EXP(NORMINV(RAND(),$C$14,$D$14))*($C$15+RAND()*($D$15-$C$15))*60</f>
        <v>19087076878354.633</v>
      </c>
      <c r="J1814" s="40">
        <f t="shared" ref="J1814:J1877" ca="1" si="259">($C$17+RAND()*($D$17-$C$17))*($C$18+RAND()*($D$18-$C$18))</f>
        <v>870619074957.95422</v>
      </c>
      <c r="K1814" s="41">
        <f t="shared" ref="K1814:K1877" ca="1" si="260">I1814/J1814</f>
        <v>21.923568443841443</v>
      </c>
    </row>
    <row r="1815" spans="2:11" ht="15" customHeight="1" x14ac:dyDescent="0.35">
      <c r="B1815" s="5">
        <v>1794</v>
      </c>
      <c r="C1815" s="39">
        <f t="shared" ca="1" si="252"/>
        <v>2.8000727631034286</v>
      </c>
      <c r="D1815" s="40">
        <f t="shared" ca="1" si="253"/>
        <v>3199144174.4068928</v>
      </c>
      <c r="E1815" s="40">
        <f t="shared" ca="1" si="254"/>
        <v>40205942845102.211</v>
      </c>
      <c r="F1815" s="40">
        <f t="shared" ca="1" si="255"/>
        <v>4388345831429.2852</v>
      </c>
      <c r="G1815" s="40">
        <f t="shared" ca="1" si="256"/>
        <v>3577952523318.6392</v>
      </c>
      <c r="H1815" s="40">
        <f t="shared" ca="1" si="257"/>
        <v>40205942845102.211</v>
      </c>
      <c r="I1815" s="40">
        <f t="shared" ca="1" si="258"/>
        <v>16510663928645.584</v>
      </c>
      <c r="J1815" s="40">
        <f t="shared" ca="1" si="259"/>
        <v>1405341514252.9316</v>
      </c>
      <c r="K1815" s="41">
        <f t="shared" ca="1" si="260"/>
        <v>11.748506509766433</v>
      </c>
    </row>
    <row r="1816" spans="2:11" ht="15" customHeight="1" x14ac:dyDescent="0.35">
      <c r="B1816" s="5">
        <v>1795</v>
      </c>
      <c r="C1816" s="39">
        <f t="shared" ca="1" si="252"/>
        <v>3.7747997544263612</v>
      </c>
      <c r="D1816" s="40">
        <f t="shared" ca="1" si="253"/>
        <v>12286991029.414537</v>
      </c>
      <c r="E1816" s="40">
        <f t="shared" ca="1" si="254"/>
        <v>91040737035899.984</v>
      </c>
      <c r="F1816" s="40">
        <f t="shared" ca="1" si="255"/>
        <v>6354170666457.6406</v>
      </c>
      <c r="G1816" s="40">
        <f t="shared" ca="1" si="256"/>
        <v>32084003382067.617</v>
      </c>
      <c r="H1816" s="40">
        <f t="shared" ca="1" si="257"/>
        <v>32084003382067.617</v>
      </c>
      <c r="I1816" s="40">
        <f t="shared" ca="1" si="258"/>
        <v>4586846831868.0156</v>
      </c>
      <c r="J1816" s="40">
        <f t="shared" ca="1" si="259"/>
        <v>1223642212448.5725</v>
      </c>
      <c r="K1816" s="41">
        <f t="shared" ca="1" si="260"/>
        <v>3.7485196123542464</v>
      </c>
    </row>
    <row r="1817" spans="2:11" ht="15" customHeight="1" x14ac:dyDescent="0.35">
      <c r="B1817" s="5">
        <v>1796</v>
      </c>
      <c r="C1817" s="39">
        <f t="shared" ca="1" si="252"/>
        <v>3.3465328552141056</v>
      </c>
      <c r="D1817" s="40">
        <f t="shared" ca="1" si="253"/>
        <v>9454782684.9779549</v>
      </c>
      <c r="E1817" s="40">
        <f t="shared" ca="1" si="254"/>
        <v>49409398359677.313</v>
      </c>
      <c r="F1817" s="40">
        <f t="shared" ca="1" si="255"/>
        <v>2764234779069.7856</v>
      </c>
      <c r="G1817" s="40">
        <f t="shared" ca="1" si="256"/>
        <v>137236076832965.22</v>
      </c>
      <c r="H1817" s="40">
        <f t="shared" ca="1" si="257"/>
        <v>49409398359677.313</v>
      </c>
      <c r="I1817" s="40">
        <f t="shared" ca="1" si="258"/>
        <v>6066264939354.4326</v>
      </c>
      <c r="J1817" s="40">
        <f t="shared" ca="1" si="259"/>
        <v>1660927220059.801</v>
      </c>
      <c r="K1817" s="41">
        <f t="shared" ca="1" si="260"/>
        <v>3.6523363974587757</v>
      </c>
    </row>
    <row r="1818" spans="2:11" ht="15" customHeight="1" x14ac:dyDescent="0.35">
      <c r="B1818" s="5">
        <v>1797</v>
      </c>
      <c r="C1818" s="39">
        <f t="shared" ca="1" si="252"/>
        <v>3.6612603950883109</v>
      </c>
      <c r="D1818" s="40">
        <f t="shared" ca="1" si="253"/>
        <v>11451136668.775503</v>
      </c>
      <c r="E1818" s="40">
        <f t="shared" ca="1" si="254"/>
        <v>29672374470251.258</v>
      </c>
      <c r="F1818" s="40">
        <f t="shared" ca="1" si="255"/>
        <v>6763387651559.1338</v>
      </c>
      <c r="G1818" s="40">
        <f t="shared" ca="1" si="256"/>
        <v>9321586528427.9082</v>
      </c>
      <c r="H1818" s="40">
        <f t="shared" ca="1" si="257"/>
        <v>29672374470251.258</v>
      </c>
      <c r="I1818" s="40">
        <f t="shared" ca="1" si="258"/>
        <v>6577770978042.9443</v>
      </c>
      <c r="J1818" s="40">
        <f t="shared" ca="1" si="259"/>
        <v>503253923975.95349</v>
      </c>
      <c r="K1818" s="41">
        <f t="shared" ca="1" si="260"/>
        <v>13.070481251443246</v>
      </c>
    </row>
    <row r="1819" spans="2:11" ht="15" customHeight="1" x14ac:dyDescent="0.35">
      <c r="B1819" s="5">
        <v>1798</v>
      </c>
      <c r="C1819" s="39">
        <f t="shared" ca="1" si="252"/>
        <v>2.8445822809033858</v>
      </c>
      <c r="D1819" s="40">
        <f t="shared" ca="1" si="253"/>
        <v>4356566299.4957228</v>
      </c>
      <c r="E1819" s="40">
        <f t="shared" ca="1" si="254"/>
        <v>24926508884611.105</v>
      </c>
      <c r="F1819" s="40">
        <f t="shared" ca="1" si="255"/>
        <v>4692115094252.6992</v>
      </c>
      <c r="G1819" s="40">
        <f t="shared" ca="1" si="256"/>
        <v>385064736229.6463</v>
      </c>
      <c r="H1819" s="40">
        <f t="shared" ca="1" si="257"/>
        <v>4692115094252.6992</v>
      </c>
      <c r="I1819" s="40">
        <f t="shared" ca="1" si="258"/>
        <v>10676537705429.527</v>
      </c>
      <c r="J1819" s="40">
        <f t="shared" ca="1" si="259"/>
        <v>1049052060317.8274</v>
      </c>
      <c r="K1819" s="41">
        <f t="shared" ca="1" si="260"/>
        <v>10.177319228747233</v>
      </c>
    </row>
    <row r="1820" spans="2:11" ht="15" customHeight="1" x14ac:dyDescent="0.35">
      <c r="B1820" s="5">
        <v>1799</v>
      </c>
      <c r="C1820" s="39">
        <f t="shared" ca="1" si="252"/>
        <v>2.7929504760116708</v>
      </c>
      <c r="D1820" s="40">
        <f t="shared" ca="1" si="253"/>
        <v>2829351471.8075771</v>
      </c>
      <c r="E1820" s="40">
        <f t="shared" ca="1" si="254"/>
        <v>9050901289003.668</v>
      </c>
      <c r="F1820" s="40">
        <f t="shared" ca="1" si="255"/>
        <v>4156639237114.0107</v>
      </c>
      <c r="G1820" s="40">
        <f t="shared" ca="1" si="256"/>
        <v>13753166208947.176</v>
      </c>
      <c r="H1820" s="40">
        <f t="shared" ca="1" si="257"/>
        <v>4156639237114.0107</v>
      </c>
      <c r="I1820" s="40">
        <f t="shared" ca="1" si="258"/>
        <v>1388782702850.6709</v>
      </c>
      <c r="J1820" s="40">
        <f t="shared" ca="1" si="259"/>
        <v>1612011162693.6897</v>
      </c>
      <c r="K1820" s="41">
        <f t="shared" ca="1" si="260"/>
        <v>0.8615217654758659</v>
      </c>
    </row>
    <row r="1821" spans="2:11" ht="15" customHeight="1" x14ac:dyDescent="0.35">
      <c r="B1821" s="5">
        <v>1800</v>
      </c>
      <c r="C1821" s="39">
        <f t="shared" ca="1" si="252"/>
        <v>3.6283559183135461</v>
      </c>
      <c r="D1821" s="40">
        <f t="shared" ca="1" si="253"/>
        <v>13287393989.513111</v>
      </c>
      <c r="E1821" s="40">
        <f t="shared" ca="1" si="254"/>
        <v>103828214747799.42</v>
      </c>
      <c r="F1821" s="40">
        <f t="shared" ca="1" si="255"/>
        <v>8319586113248.4385</v>
      </c>
      <c r="G1821" s="40">
        <f t="shared" ca="1" si="256"/>
        <v>4338358655828.6494</v>
      </c>
      <c r="H1821" s="40">
        <f t="shared" ca="1" si="257"/>
        <v>8319586113248.4385</v>
      </c>
      <c r="I1821" s="40">
        <f t="shared" ca="1" si="258"/>
        <v>10093072785389.18</v>
      </c>
      <c r="J1821" s="40">
        <f t="shared" ca="1" si="259"/>
        <v>1064426379682.1494</v>
      </c>
      <c r="K1821" s="41">
        <f t="shared" ca="1" si="260"/>
        <v>9.4821708462384162</v>
      </c>
    </row>
    <row r="1822" spans="2:11" ht="15" customHeight="1" x14ac:dyDescent="0.35">
      <c r="B1822" s="5">
        <v>1801</v>
      </c>
      <c r="C1822" s="39">
        <f t="shared" ca="1" si="252"/>
        <v>3.5765523889007138</v>
      </c>
      <c r="D1822" s="40">
        <f t="shared" ca="1" si="253"/>
        <v>12312139262.861389</v>
      </c>
      <c r="E1822" s="40">
        <f t="shared" ca="1" si="254"/>
        <v>15599303838510.033</v>
      </c>
      <c r="F1822" s="40">
        <f t="shared" ca="1" si="255"/>
        <v>3532955344601.5425</v>
      </c>
      <c r="G1822" s="40">
        <f t="shared" ca="1" si="256"/>
        <v>12363600701784.955</v>
      </c>
      <c r="H1822" s="40">
        <f t="shared" ca="1" si="257"/>
        <v>15599303838510.033</v>
      </c>
      <c r="I1822" s="40">
        <f t="shared" ca="1" si="258"/>
        <v>1465831467590.0347</v>
      </c>
      <c r="J1822" s="40">
        <f t="shared" ca="1" si="259"/>
        <v>745814606886.6792</v>
      </c>
      <c r="K1822" s="41">
        <f t="shared" ca="1" si="260"/>
        <v>1.9654099746168641</v>
      </c>
    </row>
    <row r="1823" spans="2:11" ht="15" customHeight="1" x14ac:dyDescent="0.35">
      <c r="B1823" s="5">
        <v>1802</v>
      </c>
      <c r="C1823" s="39">
        <f t="shared" ca="1" si="252"/>
        <v>4.1375767472335294</v>
      </c>
      <c r="D1823" s="40">
        <f t="shared" ca="1" si="253"/>
        <v>21252230395.281452</v>
      </c>
      <c r="E1823" s="40">
        <f t="shared" ca="1" si="254"/>
        <v>104635651133003.73</v>
      </c>
      <c r="F1823" s="40">
        <f t="shared" ca="1" si="255"/>
        <v>4599809537499.6836</v>
      </c>
      <c r="G1823" s="40">
        <f t="shared" ca="1" si="256"/>
        <v>26536078560449.906</v>
      </c>
      <c r="H1823" s="40">
        <f t="shared" ca="1" si="257"/>
        <v>104635651133003.73</v>
      </c>
      <c r="I1823" s="40">
        <f t="shared" ca="1" si="258"/>
        <v>13389738589908.209</v>
      </c>
      <c r="J1823" s="40">
        <f t="shared" ca="1" si="259"/>
        <v>1643355658861.3674</v>
      </c>
      <c r="K1823" s="41">
        <f t="shared" ca="1" si="260"/>
        <v>8.1478032571388486</v>
      </c>
    </row>
    <row r="1824" spans="2:11" ht="15" customHeight="1" x14ac:dyDescent="0.35">
      <c r="B1824" s="5">
        <v>1803</v>
      </c>
      <c r="C1824" s="39">
        <f t="shared" ca="1" si="252"/>
        <v>2.760969803715895</v>
      </c>
      <c r="D1824" s="40">
        <f t="shared" ca="1" si="253"/>
        <v>3447096055.5863814</v>
      </c>
      <c r="E1824" s="40">
        <f t="shared" ca="1" si="254"/>
        <v>15473381700886.182</v>
      </c>
      <c r="F1824" s="40">
        <f t="shared" ca="1" si="255"/>
        <v>21537536584569.605</v>
      </c>
      <c r="G1824" s="40">
        <f t="shared" ca="1" si="256"/>
        <v>29979884356536.645</v>
      </c>
      <c r="H1824" s="40">
        <f t="shared" ca="1" si="257"/>
        <v>15473381700886.182</v>
      </c>
      <c r="I1824" s="40">
        <f t="shared" ca="1" si="258"/>
        <v>13202260055254.988</v>
      </c>
      <c r="J1824" s="40">
        <f t="shared" ca="1" si="259"/>
        <v>833318276994.2218</v>
      </c>
      <c r="K1824" s="41">
        <f t="shared" ca="1" si="260"/>
        <v>15.84299831137213</v>
      </c>
    </row>
    <row r="1825" spans="2:11" ht="15" customHeight="1" x14ac:dyDescent="0.35">
      <c r="B1825" s="5">
        <v>1804</v>
      </c>
      <c r="C1825" s="39">
        <f t="shared" ca="1" si="252"/>
        <v>2.9465576667586788</v>
      </c>
      <c r="D1825" s="40">
        <f t="shared" ca="1" si="253"/>
        <v>4305679954.7799311</v>
      </c>
      <c r="E1825" s="40">
        <f t="shared" ca="1" si="254"/>
        <v>13806210413637.043</v>
      </c>
      <c r="F1825" s="40">
        <f t="shared" ca="1" si="255"/>
        <v>1908967990462.7073</v>
      </c>
      <c r="G1825" s="40">
        <f t="shared" ca="1" si="256"/>
        <v>2425586158269.6172</v>
      </c>
      <c r="H1825" s="40">
        <f t="shared" ca="1" si="257"/>
        <v>2425586158269.6172</v>
      </c>
      <c r="I1825" s="40">
        <f t="shared" ca="1" si="258"/>
        <v>130590972471943.34</v>
      </c>
      <c r="J1825" s="40">
        <f t="shared" ca="1" si="259"/>
        <v>667915497078.06311</v>
      </c>
      <c r="K1825" s="41">
        <f t="shared" ca="1" si="260"/>
        <v>195.52020134768699</v>
      </c>
    </row>
    <row r="1826" spans="2:11" ht="15" customHeight="1" x14ac:dyDescent="0.35">
      <c r="B1826" s="5">
        <v>1805</v>
      </c>
      <c r="C1826" s="39">
        <f t="shared" ca="1" si="252"/>
        <v>3.4341225957598338</v>
      </c>
      <c r="D1826" s="40">
        <f t="shared" ca="1" si="253"/>
        <v>10199113676.465345</v>
      </c>
      <c r="E1826" s="40">
        <f t="shared" ca="1" si="254"/>
        <v>63412757651537.922</v>
      </c>
      <c r="F1826" s="40">
        <f t="shared" ca="1" si="255"/>
        <v>592246004936.49548</v>
      </c>
      <c r="G1826" s="40">
        <f t="shared" ca="1" si="256"/>
        <v>8391695465347.123</v>
      </c>
      <c r="H1826" s="40">
        <f t="shared" ca="1" si="257"/>
        <v>8391695465347.123</v>
      </c>
      <c r="I1826" s="40">
        <f t="shared" ca="1" si="258"/>
        <v>53676324634064.398</v>
      </c>
      <c r="J1826" s="40">
        <f t="shared" ca="1" si="259"/>
        <v>1123740759716.0583</v>
      </c>
      <c r="K1826" s="41">
        <f t="shared" ca="1" si="260"/>
        <v>47.76575395167395</v>
      </c>
    </row>
    <row r="1827" spans="2:11" ht="15" customHeight="1" x14ac:dyDescent="0.35">
      <c r="B1827" s="5">
        <v>1806</v>
      </c>
      <c r="C1827" s="39">
        <f t="shared" ca="1" si="252"/>
        <v>2.7637849109078929</v>
      </c>
      <c r="D1827" s="40">
        <f t="shared" ca="1" si="253"/>
        <v>3505211907.8896003</v>
      </c>
      <c r="E1827" s="40">
        <f t="shared" ca="1" si="254"/>
        <v>15145023950991.053</v>
      </c>
      <c r="F1827" s="40">
        <f t="shared" ca="1" si="255"/>
        <v>5970041389387.0576</v>
      </c>
      <c r="G1827" s="40">
        <f t="shared" ca="1" si="256"/>
        <v>20256585747854.941</v>
      </c>
      <c r="H1827" s="40">
        <f t="shared" ca="1" si="257"/>
        <v>15145023950991.053</v>
      </c>
      <c r="I1827" s="40">
        <f t="shared" ca="1" si="258"/>
        <v>141561878324824</v>
      </c>
      <c r="J1827" s="40">
        <f t="shared" ca="1" si="259"/>
        <v>646760539122.47253</v>
      </c>
      <c r="K1827" s="41">
        <f t="shared" ca="1" si="260"/>
        <v>218.87834795378171</v>
      </c>
    </row>
    <row r="1828" spans="2:11" ht="15" customHeight="1" x14ac:dyDescent="0.35">
      <c r="B1828" s="5">
        <v>1807</v>
      </c>
      <c r="C1828" s="39">
        <f t="shared" ca="1" si="252"/>
        <v>2.7805135073358622</v>
      </c>
      <c r="D1828" s="40">
        <f t="shared" ca="1" si="253"/>
        <v>3776854969.5561061</v>
      </c>
      <c r="E1828" s="40">
        <f t="shared" ca="1" si="254"/>
        <v>34567778694791.496</v>
      </c>
      <c r="F1828" s="40">
        <f t="shared" ca="1" si="255"/>
        <v>2044362267458.7959</v>
      </c>
      <c r="G1828" s="40">
        <f t="shared" ca="1" si="256"/>
        <v>17966371275105.379</v>
      </c>
      <c r="H1828" s="40">
        <f t="shared" ca="1" si="257"/>
        <v>2044362267458.7959</v>
      </c>
      <c r="I1828" s="40">
        <f t="shared" ca="1" si="258"/>
        <v>7009493601003.5332</v>
      </c>
      <c r="J1828" s="40">
        <f t="shared" ca="1" si="259"/>
        <v>770693864747.77795</v>
      </c>
      <c r="K1828" s="41">
        <f t="shared" ca="1" si="260"/>
        <v>9.0950426902613319</v>
      </c>
    </row>
    <row r="1829" spans="2:11" ht="15" customHeight="1" x14ac:dyDescent="0.35">
      <c r="B1829" s="5">
        <v>1808</v>
      </c>
      <c r="C1829" s="39">
        <f t="shared" ca="1" si="252"/>
        <v>3.0269609240562789</v>
      </c>
      <c r="D1829" s="40">
        <f t="shared" ca="1" si="253"/>
        <v>5328255060.813426</v>
      </c>
      <c r="E1829" s="40">
        <f t="shared" ca="1" si="254"/>
        <v>11253102187486.426</v>
      </c>
      <c r="F1829" s="40">
        <f t="shared" ca="1" si="255"/>
        <v>3656363053721.4736</v>
      </c>
      <c r="G1829" s="40">
        <f t="shared" ca="1" si="256"/>
        <v>27085045183222.891</v>
      </c>
      <c r="H1829" s="40">
        <f t="shared" ca="1" si="257"/>
        <v>11253102187486.426</v>
      </c>
      <c r="I1829" s="40">
        <f t="shared" ca="1" si="258"/>
        <v>19414159467707.98</v>
      </c>
      <c r="J1829" s="40">
        <f t="shared" ca="1" si="259"/>
        <v>1803301695007.4863</v>
      </c>
      <c r="K1829" s="41">
        <f t="shared" ca="1" si="260"/>
        <v>10.765896533817312</v>
      </c>
    </row>
    <row r="1830" spans="2:11" ht="15" customHeight="1" x14ac:dyDescent="0.35">
      <c r="B1830" s="5">
        <v>1809</v>
      </c>
      <c r="C1830" s="39">
        <f t="shared" ca="1" si="252"/>
        <v>3.2836680675034735</v>
      </c>
      <c r="D1830" s="40">
        <f t="shared" ca="1" si="253"/>
        <v>8230287371.2120333</v>
      </c>
      <c r="E1830" s="40">
        <f t="shared" ca="1" si="254"/>
        <v>91348270618734.688</v>
      </c>
      <c r="F1830" s="40">
        <f t="shared" ca="1" si="255"/>
        <v>1997049133633.2749</v>
      </c>
      <c r="G1830" s="40">
        <f t="shared" ca="1" si="256"/>
        <v>2199941169731.6348</v>
      </c>
      <c r="H1830" s="40">
        <f t="shared" ca="1" si="257"/>
        <v>91348270618734.688</v>
      </c>
      <c r="I1830" s="40">
        <f t="shared" ca="1" si="258"/>
        <v>1530159980911.5776</v>
      </c>
      <c r="J1830" s="40">
        <f t="shared" ca="1" si="259"/>
        <v>1188789629149.071</v>
      </c>
      <c r="K1830" s="41">
        <f t="shared" ca="1" si="260"/>
        <v>1.2871579154058213</v>
      </c>
    </row>
    <row r="1831" spans="2:11" ht="15" customHeight="1" x14ac:dyDescent="0.35">
      <c r="B1831" s="5">
        <v>1810</v>
      </c>
      <c r="C1831" s="39">
        <f t="shared" ca="1" si="252"/>
        <v>2.7210531407194134</v>
      </c>
      <c r="D1831" s="40">
        <f t="shared" ca="1" si="253"/>
        <v>2489251844.5308423</v>
      </c>
      <c r="E1831" s="40">
        <f t="shared" ca="1" si="254"/>
        <v>14050300618668.172</v>
      </c>
      <c r="F1831" s="40">
        <f t="shared" ca="1" si="255"/>
        <v>7888936882719.6836</v>
      </c>
      <c r="G1831" s="40">
        <f t="shared" ca="1" si="256"/>
        <v>24869700065783.305</v>
      </c>
      <c r="H1831" s="40">
        <f t="shared" ca="1" si="257"/>
        <v>14050300618668.172</v>
      </c>
      <c r="I1831" s="40">
        <f t="shared" ca="1" si="258"/>
        <v>2022521741191.1914</v>
      </c>
      <c r="J1831" s="40">
        <f t="shared" ca="1" si="259"/>
        <v>806755706166.14014</v>
      </c>
      <c r="K1831" s="41">
        <f t="shared" ca="1" si="260"/>
        <v>2.5069816373566263</v>
      </c>
    </row>
    <row r="1832" spans="2:11" ht="15" customHeight="1" x14ac:dyDescent="0.35">
      <c r="B1832" s="5">
        <v>1811</v>
      </c>
      <c r="C1832" s="39">
        <f t="shared" ca="1" si="252"/>
        <v>2.1536985078863329</v>
      </c>
      <c r="D1832" s="40">
        <f t="shared" ca="1" si="253"/>
        <v>1097324423.6898332</v>
      </c>
      <c r="E1832" s="40">
        <f t="shared" ca="1" si="254"/>
        <v>5839601697018.7227</v>
      </c>
      <c r="F1832" s="40">
        <f t="shared" ca="1" si="255"/>
        <v>10259502532231.525</v>
      </c>
      <c r="G1832" s="40">
        <f t="shared" ca="1" si="256"/>
        <v>897101022359.96387</v>
      </c>
      <c r="H1832" s="40">
        <f t="shared" ca="1" si="257"/>
        <v>5839601697018.7227</v>
      </c>
      <c r="I1832" s="40">
        <f t="shared" ca="1" si="258"/>
        <v>22162840070210.547</v>
      </c>
      <c r="J1832" s="40">
        <f t="shared" ca="1" si="259"/>
        <v>1069427550785.8341</v>
      </c>
      <c r="K1832" s="41">
        <f t="shared" ca="1" si="260"/>
        <v>20.724021981596511</v>
      </c>
    </row>
    <row r="1833" spans="2:11" ht="15" customHeight="1" x14ac:dyDescent="0.35">
      <c r="B1833" s="5">
        <v>1812</v>
      </c>
      <c r="C1833" s="39">
        <f t="shared" ca="1" si="252"/>
        <v>2.2930993439783576</v>
      </c>
      <c r="D1833" s="40">
        <f t="shared" ca="1" si="253"/>
        <v>1298729688.0770154</v>
      </c>
      <c r="E1833" s="40">
        <f t="shared" ca="1" si="254"/>
        <v>2273183887332.729</v>
      </c>
      <c r="F1833" s="40">
        <f t="shared" ca="1" si="255"/>
        <v>9483280905548.707</v>
      </c>
      <c r="G1833" s="40">
        <f t="shared" ca="1" si="256"/>
        <v>6267947418123.9873</v>
      </c>
      <c r="H1833" s="40">
        <f t="shared" ca="1" si="257"/>
        <v>9483280905548.707</v>
      </c>
      <c r="I1833" s="40">
        <f t="shared" ca="1" si="258"/>
        <v>53165455359907.664</v>
      </c>
      <c r="J1833" s="40">
        <f t="shared" ca="1" si="259"/>
        <v>897491928510.9303</v>
      </c>
      <c r="K1833" s="41">
        <f t="shared" ca="1" si="260"/>
        <v>59.23780891056802</v>
      </c>
    </row>
    <row r="1834" spans="2:11" ht="15" customHeight="1" x14ac:dyDescent="0.35">
      <c r="B1834" s="5">
        <v>1813</v>
      </c>
      <c r="C1834" s="39">
        <f t="shared" ca="1" si="252"/>
        <v>2.9018447108944718</v>
      </c>
      <c r="D1834" s="40">
        <f t="shared" ca="1" si="253"/>
        <v>4097916981.5775876</v>
      </c>
      <c r="E1834" s="40">
        <f t="shared" ca="1" si="254"/>
        <v>48078856579636.281</v>
      </c>
      <c r="F1834" s="40">
        <f t="shared" ca="1" si="255"/>
        <v>1431052978375.6057</v>
      </c>
      <c r="G1834" s="40">
        <f t="shared" ca="1" si="256"/>
        <v>11001687237335.613</v>
      </c>
      <c r="H1834" s="40">
        <f t="shared" ca="1" si="257"/>
        <v>1431052978375.6057</v>
      </c>
      <c r="I1834" s="40">
        <f t="shared" ca="1" si="258"/>
        <v>26131945182585.512</v>
      </c>
      <c r="J1834" s="40">
        <f t="shared" ca="1" si="259"/>
        <v>438677422770.97894</v>
      </c>
      <c r="K1834" s="41">
        <f t="shared" ca="1" si="260"/>
        <v>59.569842955488184</v>
      </c>
    </row>
    <row r="1835" spans="2:11" ht="15" customHeight="1" x14ac:dyDescent="0.35">
      <c r="B1835" s="5">
        <v>1814</v>
      </c>
      <c r="C1835" s="39">
        <f t="shared" ca="1" si="252"/>
        <v>3.2688976292791718</v>
      </c>
      <c r="D1835" s="40">
        <f t="shared" ca="1" si="253"/>
        <v>8573642060.6736698</v>
      </c>
      <c r="E1835" s="40">
        <f t="shared" ca="1" si="254"/>
        <v>26074846970950.441</v>
      </c>
      <c r="F1835" s="40">
        <f t="shared" ca="1" si="255"/>
        <v>4986382960097.0107</v>
      </c>
      <c r="G1835" s="40">
        <f t="shared" ca="1" si="256"/>
        <v>5808336907770.752</v>
      </c>
      <c r="H1835" s="40">
        <f t="shared" ca="1" si="257"/>
        <v>5808336907770.752</v>
      </c>
      <c r="I1835" s="40">
        <f t="shared" ca="1" si="258"/>
        <v>26443329126919.836</v>
      </c>
      <c r="J1835" s="40">
        <f t="shared" ca="1" si="259"/>
        <v>1079325598075.3754</v>
      </c>
      <c r="K1835" s="41">
        <f t="shared" ca="1" si="260"/>
        <v>24.499862853315882</v>
      </c>
    </row>
    <row r="1836" spans="2:11" ht="15" customHeight="1" x14ac:dyDescent="0.35">
      <c r="B1836" s="5">
        <v>1815</v>
      </c>
      <c r="C1836" s="39">
        <f t="shared" ca="1" si="252"/>
        <v>3.200040702670925</v>
      </c>
      <c r="D1836" s="40">
        <f t="shared" ca="1" si="253"/>
        <v>7015331360.3318195</v>
      </c>
      <c r="E1836" s="40">
        <f t="shared" ca="1" si="254"/>
        <v>20967380562895.563</v>
      </c>
      <c r="F1836" s="40">
        <f t="shared" ca="1" si="255"/>
        <v>1002026146463.4988</v>
      </c>
      <c r="G1836" s="40">
        <f t="shared" ca="1" si="256"/>
        <v>9583101391238.5742</v>
      </c>
      <c r="H1836" s="40">
        <f t="shared" ca="1" si="257"/>
        <v>20967380562895.563</v>
      </c>
      <c r="I1836" s="40">
        <f t="shared" ca="1" si="258"/>
        <v>4732293244367.0488</v>
      </c>
      <c r="J1836" s="40">
        <f t="shared" ca="1" si="259"/>
        <v>747410262023.41174</v>
      </c>
      <c r="K1836" s="41">
        <f t="shared" ca="1" si="260"/>
        <v>6.3315871949036948</v>
      </c>
    </row>
    <row r="1837" spans="2:11" ht="15" customHeight="1" x14ac:dyDescent="0.35">
      <c r="B1837" s="5">
        <v>1816</v>
      </c>
      <c r="C1837" s="39">
        <f t="shared" ca="1" si="252"/>
        <v>3.1301167887568013</v>
      </c>
      <c r="D1837" s="40">
        <f t="shared" ca="1" si="253"/>
        <v>5110832604.3378134</v>
      </c>
      <c r="E1837" s="40">
        <f t="shared" ca="1" si="254"/>
        <v>9804347689518.7695</v>
      </c>
      <c r="F1837" s="40">
        <f t="shared" ca="1" si="255"/>
        <v>13291565915622.719</v>
      </c>
      <c r="G1837" s="40">
        <f t="shared" ca="1" si="256"/>
        <v>2007824299982.0278</v>
      </c>
      <c r="H1837" s="40">
        <f t="shared" ca="1" si="257"/>
        <v>13291565915622.719</v>
      </c>
      <c r="I1837" s="40">
        <f t="shared" ca="1" si="258"/>
        <v>28681345014841.855</v>
      </c>
      <c r="J1837" s="40">
        <f t="shared" ca="1" si="259"/>
        <v>1691883317074.5942</v>
      </c>
      <c r="K1837" s="41">
        <f t="shared" ca="1" si="260"/>
        <v>16.952318593952604</v>
      </c>
    </row>
    <row r="1838" spans="2:11" ht="15" customHeight="1" x14ac:dyDescent="0.35">
      <c r="B1838" s="5">
        <v>1817</v>
      </c>
      <c r="C1838" s="39">
        <f t="shared" ca="1" si="252"/>
        <v>3.2175376200607739</v>
      </c>
      <c r="D1838" s="40">
        <f t="shared" ca="1" si="253"/>
        <v>6499704887.165453</v>
      </c>
      <c r="E1838" s="40">
        <f t="shared" ca="1" si="254"/>
        <v>22974778358240.375</v>
      </c>
      <c r="F1838" s="40">
        <f t="shared" ca="1" si="255"/>
        <v>13383056815078.469</v>
      </c>
      <c r="G1838" s="40">
        <f t="shared" ca="1" si="256"/>
        <v>2062281210962.8682</v>
      </c>
      <c r="H1838" s="40">
        <f t="shared" ca="1" si="257"/>
        <v>22974778358240.375</v>
      </c>
      <c r="I1838" s="40">
        <f t="shared" ca="1" si="258"/>
        <v>33695943279473.094</v>
      </c>
      <c r="J1838" s="40">
        <f t="shared" ca="1" si="259"/>
        <v>1416611768740.0669</v>
      </c>
      <c r="K1838" s="41">
        <f t="shared" ca="1" si="260"/>
        <v>23.78629348070589</v>
      </c>
    </row>
    <row r="1839" spans="2:11" ht="15" customHeight="1" x14ac:dyDescent="0.35">
      <c r="B1839" s="5">
        <v>1818</v>
      </c>
      <c r="C1839" s="39">
        <f t="shared" ca="1" si="252"/>
        <v>2.7172852991517065</v>
      </c>
      <c r="D1839" s="40">
        <f t="shared" ca="1" si="253"/>
        <v>2394701857.9600596</v>
      </c>
      <c r="E1839" s="40">
        <f t="shared" ca="1" si="254"/>
        <v>10308013851412.85</v>
      </c>
      <c r="F1839" s="40">
        <f t="shared" ca="1" si="255"/>
        <v>5556644017956.8447</v>
      </c>
      <c r="G1839" s="40">
        <f t="shared" ca="1" si="256"/>
        <v>485753866326.50262</v>
      </c>
      <c r="H1839" s="40">
        <f t="shared" ca="1" si="257"/>
        <v>485753866326.50262</v>
      </c>
      <c r="I1839" s="40">
        <f t="shared" ca="1" si="258"/>
        <v>3488698918032.7402</v>
      </c>
      <c r="J1839" s="40">
        <f t="shared" ca="1" si="259"/>
        <v>928298781803.5155</v>
      </c>
      <c r="K1839" s="41">
        <f t="shared" ca="1" si="260"/>
        <v>3.7581638438163556</v>
      </c>
    </row>
    <row r="1840" spans="2:11" ht="15" customHeight="1" x14ac:dyDescent="0.35">
      <c r="B1840" s="5">
        <v>1819</v>
      </c>
      <c r="C1840" s="39">
        <f t="shared" ca="1" si="252"/>
        <v>3.0407235307558782</v>
      </c>
      <c r="D1840" s="40">
        <f t="shared" ca="1" si="253"/>
        <v>4938951754.0134888</v>
      </c>
      <c r="E1840" s="40">
        <f t="shared" ca="1" si="254"/>
        <v>43737534562164.445</v>
      </c>
      <c r="F1840" s="40">
        <f t="shared" ca="1" si="255"/>
        <v>4321843980668.106</v>
      </c>
      <c r="G1840" s="40">
        <f t="shared" ca="1" si="256"/>
        <v>22417528948712.965</v>
      </c>
      <c r="H1840" s="40">
        <f t="shared" ca="1" si="257"/>
        <v>22417528948712.965</v>
      </c>
      <c r="I1840" s="40">
        <f t="shared" ca="1" si="258"/>
        <v>702256493401.50732</v>
      </c>
      <c r="J1840" s="40">
        <f t="shared" ca="1" si="259"/>
        <v>1666544869531.3413</v>
      </c>
      <c r="K1840" s="41">
        <f t="shared" ca="1" si="260"/>
        <v>0.42138469010977958</v>
      </c>
    </row>
    <row r="1841" spans="2:11" ht="15" customHeight="1" x14ac:dyDescent="0.35">
      <c r="B1841" s="5">
        <v>1820</v>
      </c>
      <c r="C1841" s="39">
        <f t="shared" ca="1" si="252"/>
        <v>3.3696035070058001</v>
      </c>
      <c r="D1841" s="40">
        <f t="shared" ca="1" si="253"/>
        <v>7434072922.8319349</v>
      </c>
      <c r="E1841" s="40">
        <f t="shared" ca="1" si="254"/>
        <v>31040913724815.492</v>
      </c>
      <c r="F1841" s="40">
        <f t="shared" ca="1" si="255"/>
        <v>3898395095724.1265</v>
      </c>
      <c r="G1841" s="40">
        <f t="shared" ca="1" si="256"/>
        <v>11800977098045.713</v>
      </c>
      <c r="H1841" s="40">
        <f t="shared" ca="1" si="257"/>
        <v>3898395095724.1265</v>
      </c>
      <c r="I1841" s="40">
        <f t="shared" ca="1" si="258"/>
        <v>2859610563222.3892</v>
      </c>
      <c r="J1841" s="40">
        <f t="shared" ca="1" si="259"/>
        <v>1100062536944.0183</v>
      </c>
      <c r="K1841" s="41">
        <f t="shared" ca="1" si="260"/>
        <v>2.5994981805001816</v>
      </c>
    </row>
    <row r="1842" spans="2:11" ht="15" customHeight="1" x14ac:dyDescent="0.35">
      <c r="B1842" s="5">
        <v>1821</v>
      </c>
      <c r="C1842" s="39">
        <f t="shared" ca="1" si="252"/>
        <v>3.5908769496421993</v>
      </c>
      <c r="D1842" s="40">
        <f t="shared" ca="1" si="253"/>
        <v>13443785843.536642</v>
      </c>
      <c r="E1842" s="40">
        <f t="shared" ca="1" si="254"/>
        <v>38642982118785.75</v>
      </c>
      <c r="F1842" s="40">
        <f t="shared" ca="1" si="255"/>
        <v>4087971757005.5103</v>
      </c>
      <c r="G1842" s="40">
        <f t="shared" ca="1" si="256"/>
        <v>85040863570257.844</v>
      </c>
      <c r="H1842" s="40">
        <f t="shared" ca="1" si="257"/>
        <v>38642982118785.75</v>
      </c>
      <c r="I1842" s="40">
        <f t="shared" ca="1" si="258"/>
        <v>9884203123010.2813</v>
      </c>
      <c r="J1842" s="40">
        <f t="shared" ca="1" si="259"/>
        <v>1462908928202.8887</v>
      </c>
      <c r="K1842" s="41">
        <f t="shared" ca="1" si="260"/>
        <v>6.7565402961567376</v>
      </c>
    </row>
    <row r="1843" spans="2:11" ht="15" customHeight="1" x14ac:dyDescent="0.35">
      <c r="B1843" s="5">
        <v>1822</v>
      </c>
      <c r="C1843" s="39">
        <f t="shared" ca="1" si="252"/>
        <v>2.8309587631434021</v>
      </c>
      <c r="D1843" s="40">
        <f t="shared" ca="1" si="253"/>
        <v>3750496593.7353983</v>
      </c>
      <c r="E1843" s="40">
        <f t="shared" ca="1" si="254"/>
        <v>74385145443942.281</v>
      </c>
      <c r="F1843" s="40">
        <f t="shared" ca="1" si="255"/>
        <v>14882955185457.623</v>
      </c>
      <c r="G1843" s="40">
        <f t="shared" ca="1" si="256"/>
        <v>6332314930599.9482</v>
      </c>
      <c r="H1843" s="40">
        <f t="shared" ca="1" si="257"/>
        <v>74385145443942.281</v>
      </c>
      <c r="I1843" s="40">
        <f t="shared" ca="1" si="258"/>
        <v>2370066147012.1553</v>
      </c>
      <c r="J1843" s="40">
        <f t="shared" ca="1" si="259"/>
        <v>425227499074.82935</v>
      </c>
      <c r="K1843" s="41">
        <f t="shared" ca="1" si="260"/>
        <v>5.5736427022446238</v>
      </c>
    </row>
    <row r="1844" spans="2:11" ht="15" customHeight="1" x14ac:dyDescent="0.35">
      <c r="B1844" s="5">
        <v>1823</v>
      </c>
      <c r="C1844" s="39">
        <f t="shared" ca="1" si="252"/>
        <v>2.5999120375852551</v>
      </c>
      <c r="D1844" s="40">
        <f t="shared" ca="1" si="253"/>
        <v>2795668589.5400314</v>
      </c>
      <c r="E1844" s="40">
        <f t="shared" ca="1" si="254"/>
        <v>22951405215741.863</v>
      </c>
      <c r="F1844" s="40">
        <f t="shared" ca="1" si="255"/>
        <v>22983200354743.457</v>
      </c>
      <c r="G1844" s="40">
        <f t="shared" ca="1" si="256"/>
        <v>1887746975971.4746</v>
      </c>
      <c r="H1844" s="40">
        <f t="shared" ca="1" si="257"/>
        <v>22983200354743.457</v>
      </c>
      <c r="I1844" s="40">
        <f t="shared" ca="1" si="258"/>
        <v>1805187992075.9731</v>
      </c>
      <c r="J1844" s="40">
        <f t="shared" ca="1" si="259"/>
        <v>1294900445485.9238</v>
      </c>
      <c r="K1844" s="41">
        <f t="shared" ca="1" si="260"/>
        <v>1.3940747324390323</v>
      </c>
    </row>
    <row r="1845" spans="2:11" ht="15" customHeight="1" x14ac:dyDescent="0.35">
      <c r="B1845" s="5">
        <v>1824</v>
      </c>
      <c r="C1845" s="39">
        <f t="shared" ca="1" si="252"/>
        <v>2.6879125311122225</v>
      </c>
      <c r="D1845" s="40">
        <f t="shared" ca="1" si="253"/>
        <v>3203924758.3722796</v>
      </c>
      <c r="E1845" s="40">
        <f t="shared" ca="1" si="254"/>
        <v>28898682981191.539</v>
      </c>
      <c r="F1845" s="40">
        <f t="shared" ca="1" si="255"/>
        <v>1923762985896.3533</v>
      </c>
      <c r="G1845" s="40">
        <f t="shared" ca="1" si="256"/>
        <v>17530199825395.709</v>
      </c>
      <c r="H1845" s="40">
        <f t="shared" ca="1" si="257"/>
        <v>17530199825395.709</v>
      </c>
      <c r="I1845" s="40">
        <f t="shared" ca="1" si="258"/>
        <v>8599597219120.3877</v>
      </c>
      <c r="J1845" s="40">
        <f t="shared" ca="1" si="259"/>
        <v>1065014188484.6101</v>
      </c>
      <c r="K1845" s="41">
        <f t="shared" ca="1" si="260"/>
        <v>8.0746315984358876</v>
      </c>
    </row>
    <row r="1846" spans="2:11" ht="15" customHeight="1" x14ac:dyDescent="0.35">
      <c r="B1846" s="5">
        <v>1825</v>
      </c>
      <c r="C1846" s="39">
        <f t="shared" ca="1" si="252"/>
        <v>3.6472100469613822</v>
      </c>
      <c r="D1846" s="40">
        <f t="shared" ca="1" si="253"/>
        <v>12376749738.597433</v>
      </c>
      <c r="E1846" s="40">
        <f t="shared" ca="1" si="254"/>
        <v>18454360623510.754</v>
      </c>
      <c r="F1846" s="40">
        <f t="shared" ca="1" si="255"/>
        <v>747609531483.97412</v>
      </c>
      <c r="G1846" s="40">
        <f t="shared" ca="1" si="256"/>
        <v>14362071361655.904</v>
      </c>
      <c r="H1846" s="40">
        <f t="shared" ca="1" si="257"/>
        <v>18454360623510.754</v>
      </c>
      <c r="I1846" s="40">
        <f t="shared" ca="1" si="258"/>
        <v>72523711653428.219</v>
      </c>
      <c r="J1846" s="40">
        <f t="shared" ca="1" si="259"/>
        <v>685637718093.72131</v>
      </c>
      <c r="K1846" s="41">
        <f t="shared" ca="1" si="260"/>
        <v>105.77555717772633</v>
      </c>
    </row>
    <row r="1847" spans="2:11" ht="15" customHeight="1" x14ac:dyDescent="0.35">
      <c r="B1847" s="5">
        <v>1826</v>
      </c>
      <c r="C1847" s="39">
        <f t="shared" ca="1" si="252"/>
        <v>3.2394425920881043</v>
      </c>
      <c r="D1847" s="40">
        <f t="shared" ca="1" si="253"/>
        <v>8309758657.8426313</v>
      </c>
      <c r="E1847" s="40">
        <f t="shared" ca="1" si="254"/>
        <v>28411954077642.07</v>
      </c>
      <c r="F1847" s="40">
        <f t="shared" ca="1" si="255"/>
        <v>2696627292749.2607</v>
      </c>
      <c r="G1847" s="40">
        <f t="shared" ca="1" si="256"/>
        <v>2012867204904.3269</v>
      </c>
      <c r="H1847" s="40">
        <f t="shared" ca="1" si="257"/>
        <v>28411954077642.07</v>
      </c>
      <c r="I1847" s="40">
        <f t="shared" ca="1" si="258"/>
        <v>4051062507286.2813</v>
      </c>
      <c r="J1847" s="40">
        <f t="shared" ca="1" si="259"/>
        <v>1055760098895.7678</v>
      </c>
      <c r="K1847" s="41">
        <f t="shared" ca="1" si="260"/>
        <v>3.8371051449314444</v>
      </c>
    </row>
    <row r="1848" spans="2:11" ht="15" customHeight="1" x14ac:dyDescent="0.35">
      <c r="B1848" s="5">
        <v>1827</v>
      </c>
      <c r="C1848" s="39">
        <f t="shared" ca="1" si="252"/>
        <v>2.3312052016242721</v>
      </c>
      <c r="D1848" s="40">
        <f t="shared" ca="1" si="253"/>
        <v>1542841485.9423373</v>
      </c>
      <c r="E1848" s="40">
        <f t="shared" ca="1" si="254"/>
        <v>2705714670353.3081</v>
      </c>
      <c r="F1848" s="40">
        <f t="shared" ca="1" si="255"/>
        <v>3950142952232.2139</v>
      </c>
      <c r="G1848" s="40">
        <f t="shared" ca="1" si="256"/>
        <v>7004910753272.2764</v>
      </c>
      <c r="H1848" s="40">
        <f t="shared" ca="1" si="257"/>
        <v>2705714670353.3081</v>
      </c>
      <c r="I1848" s="40">
        <f t="shared" ca="1" si="258"/>
        <v>25403697747771.359</v>
      </c>
      <c r="J1848" s="40">
        <f t="shared" ca="1" si="259"/>
        <v>509334321006.4035</v>
      </c>
      <c r="K1848" s="41">
        <f t="shared" ca="1" si="260"/>
        <v>49.876273206124623</v>
      </c>
    </row>
    <row r="1849" spans="2:11" ht="15" customHeight="1" x14ac:dyDescent="0.35">
      <c r="B1849" s="5">
        <v>1828</v>
      </c>
      <c r="C1849" s="39">
        <f t="shared" ca="1" si="252"/>
        <v>3.1559392147605756</v>
      </c>
      <c r="D1849" s="40">
        <f t="shared" ca="1" si="253"/>
        <v>7364197106.4478941</v>
      </c>
      <c r="E1849" s="40">
        <f t="shared" ca="1" si="254"/>
        <v>50518175032358.188</v>
      </c>
      <c r="F1849" s="40">
        <f t="shared" ca="1" si="255"/>
        <v>1461211950506.4707</v>
      </c>
      <c r="G1849" s="40">
        <f t="shared" ca="1" si="256"/>
        <v>3948468023550.3179</v>
      </c>
      <c r="H1849" s="40">
        <f t="shared" ca="1" si="257"/>
        <v>1461211950506.4707</v>
      </c>
      <c r="I1849" s="40">
        <f t="shared" ca="1" si="258"/>
        <v>5466919784805.873</v>
      </c>
      <c r="J1849" s="40">
        <f t="shared" ca="1" si="259"/>
        <v>1032623878821.3607</v>
      </c>
      <c r="K1849" s="41">
        <f t="shared" ca="1" si="260"/>
        <v>5.2942023682871131</v>
      </c>
    </row>
    <row r="1850" spans="2:11" ht="15" customHeight="1" x14ac:dyDescent="0.35">
      <c r="B1850" s="5">
        <v>1829</v>
      </c>
      <c r="C1850" s="39">
        <f t="shared" ca="1" si="252"/>
        <v>2.913043740528626</v>
      </c>
      <c r="D1850" s="40">
        <f t="shared" ca="1" si="253"/>
        <v>4436251475.1429472</v>
      </c>
      <c r="E1850" s="40">
        <f t="shared" ca="1" si="254"/>
        <v>6973504438769.2158</v>
      </c>
      <c r="F1850" s="40">
        <f t="shared" ca="1" si="255"/>
        <v>3092339149585.3979</v>
      </c>
      <c r="G1850" s="40">
        <f t="shared" ca="1" si="256"/>
        <v>133641565762.56136</v>
      </c>
      <c r="H1850" s="40">
        <f t="shared" ca="1" si="257"/>
        <v>133641565762.56136</v>
      </c>
      <c r="I1850" s="40">
        <f t="shared" ca="1" si="258"/>
        <v>1750769255727.26</v>
      </c>
      <c r="J1850" s="40">
        <f t="shared" ca="1" si="259"/>
        <v>1140549593654.9329</v>
      </c>
      <c r="K1850" s="41">
        <f t="shared" ca="1" si="260"/>
        <v>1.535022471155205</v>
      </c>
    </row>
    <row r="1851" spans="2:11" ht="15" customHeight="1" x14ac:dyDescent="0.35">
      <c r="B1851" s="5">
        <v>1830</v>
      </c>
      <c r="C1851" s="39">
        <f t="shared" ca="1" si="252"/>
        <v>2.697935874332118</v>
      </c>
      <c r="D1851" s="40">
        <f t="shared" ca="1" si="253"/>
        <v>3313710495.0834227</v>
      </c>
      <c r="E1851" s="40">
        <f t="shared" ca="1" si="254"/>
        <v>14266274437685.057</v>
      </c>
      <c r="F1851" s="40">
        <f t="shared" ca="1" si="255"/>
        <v>602716571553.72961</v>
      </c>
      <c r="G1851" s="40">
        <f t="shared" ca="1" si="256"/>
        <v>3421938174241.0405</v>
      </c>
      <c r="H1851" s="40">
        <f t="shared" ca="1" si="257"/>
        <v>14266274437685.057</v>
      </c>
      <c r="I1851" s="40">
        <f t="shared" ca="1" si="258"/>
        <v>32423604653915.113</v>
      </c>
      <c r="J1851" s="40">
        <f t="shared" ca="1" si="259"/>
        <v>1139595143863.9214</v>
      </c>
      <c r="K1851" s="41">
        <f t="shared" ca="1" si="260"/>
        <v>28.451862776441249</v>
      </c>
    </row>
    <row r="1852" spans="2:11" ht="15" customHeight="1" x14ac:dyDescent="0.35">
      <c r="B1852" s="5">
        <v>1831</v>
      </c>
      <c r="C1852" s="39">
        <f t="shared" ca="1" si="252"/>
        <v>3.2872943297371879</v>
      </c>
      <c r="D1852" s="40">
        <f t="shared" ca="1" si="253"/>
        <v>7887582894.1347818</v>
      </c>
      <c r="E1852" s="40">
        <f t="shared" ca="1" si="254"/>
        <v>17998481255548.652</v>
      </c>
      <c r="F1852" s="40">
        <f t="shared" ca="1" si="255"/>
        <v>3647142507456.8574</v>
      </c>
      <c r="G1852" s="40">
        <f t="shared" ca="1" si="256"/>
        <v>9476920020368.4023</v>
      </c>
      <c r="H1852" s="40">
        <f t="shared" ca="1" si="257"/>
        <v>17998481255548.652</v>
      </c>
      <c r="I1852" s="40">
        <f t="shared" ca="1" si="258"/>
        <v>3343594497655.0142</v>
      </c>
      <c r="J1852" s="40">
        <f t="shared" ca="1" si="259"/>
        <v>1327809938550.928</v>
      </c>
      <c r="K1852" s="41">
        <f t="shared" ca="1" si="260"/>
        <v>2.5181273317655402</v>
      </c>
    </row>
    <row r="1853" spans="2:11" ht="15" customHeight="1" x14ac:dyDescent="0.35">
      <c r="B1853" s="5">
        <v>1832</v>
      </c>
      <c r="C1853" s="39">
        <f t="shared" ca="1" si="252"/>
        <v>2.9789961219218921</v>
      </c>
      <c r="D1853" s="40">
        <f t="shared" ca="1" si="253"/>
        <v>4944269196.6886444</v>
      </c>
      <c r="E1853" s="40">
        <f t="shared" ca="1" si="254"/>
        <v>15654130484729.406</v>
      </c>
      <c r="F1853" s="40">
        <f t="shared" ca="1" si="255"/>
        <v>506747462629.18262</v>
      </c>
      <c r="G1853" s="40">
        <f t="shared" ca="1" si="256"/>
        <v>59376854165942.398</v>
      </c>
      <c r="H1853" s="40">
        <f t="shared" ca="1" si="257"/>
        <v>506747462629.18262</v>
      </c>
      <c r="I1853" s="40">
        <f t="shared" ca="1" si="258"/>
        <v>4950793693483.7354</v>
      </c>
      <c r="J1853" s="40">
        <f t="shared" ca="1" si="259"/>
        <v>1640707572673.2932</v>
      </c>
      <c r="K1853" s="41">
        <f t="shared" ca="1" si="260"/>
        <v>3.0174747626825056</v>
      </c>
    </row>
    <row r="1854" spans="2:11" ht="15" customHeight="1" x14ac:dyDescent="0.35">
      <c r="B1854" s="5">
        <v>1833</v>
      </c>
      <c r="C1854" s="39">
        <f t="shared" ca="1" si="252"/>
        <v>3.1760006436098349</v>
      </c>
      <c r="D1854" s="40">
        <f t="shared" ca="1" si="253"/>
        <v>5669286555.9729633</v>
      </c>
      <c r="E1854" s="40">
        <f t="shared" ca="1" si="254"/>
        <v>84961871238072.703</v>
      </c>
      <c r="F1854" s="40">
        <f t="shared" ca="1" si="255"/>
        <v>2955212458715.9224</v>
      </c>
      <c r="G1854" s="40">
        <f t="shared" ca="1" si="256"/>
        <v>2746000911071.3936</v>
      </c>
      <c r="H1854" s="40">
        <f t="shared" ca="1" si="257"/>
        <v>2955212458715.9224</v>
      </c>
      <c r="I1854" s="40">
        <f t="shared" ca="1" si="258"/>
        <v>107130352278342.41</v>
      </c>
      <c r="J1854" s="40">
        <f t="shared" ca="1" si="259"/>
        <v>530229499491.37421</v>
      </c>
      <c r="K1854" s="41">
        <f t="shared" ca="1" si="260"/>
        <v>202.0452509358831</v>
      </c>
    </row>
    <row r="1855" spans="2:11" ht="15" customHeight="1" x14ac:dyDescent="0.35">
      <c r="B1855" s="5">
        <v>1834</v>
      </c>
      <c r="C1855" s="39">
        <f t="shared" ca="1" si="252"/>
        <v>3.1562590171321712</v>
      </c>
      <c r="D1855" s="40">
        <f t="shared" ca="1" si="253"/>
        <v>7237010543.1143503</v>
      </c>
      <c r="E1855" s="40">
        <f t="shared" ca="1" si="254"/>
        <v>13818981143515.682</v>
      </c>
      <c r="F1855" s="40">
        <f t="shared" ca="1" si="255"/>
        <v>3575304332040.769</v>
      </c>
      <c r="G1855" s="40">
        <f t="shared" ca="1" si="256"/>
        <v>22732985107798.027</v>
      </c>
      <c r="H1855" s="40">
        <f t="shared" ca="1" si="257"/>
        <v>13818981143515.682</v>
      </c>
      <c r="I1855" s="40">
        <f t="shared" ca="1" si="258"/>
        <v>3153318885720.3042</v>
      </c>
      <c r="J1855" s="40">
        <f t="shared" ca="1" si="259"/>
        <v>734530798823.94666</v>
      </c>
      <c r="K1855" s="41">
        <f t="shared" ca="1" si="260"/>
        <v>4.2929702754044712</v>
      </c>
    </row>
    <row r="1856" spans="2:11" ht="15" customHeight="1" x14ac:dyDescent="0.35">
      <c r="B1856" s="5">
        <v>1835</v>
      </c>
      <c r="C1856" s="39">
        <f t="shared" ca="1" si="252"/>
        <v>2.4648186821762481</v>
      </c>
      <c r="D1856" s="40">
        <f t="shared" ca="1" si="253"/>
        <v>2038152816.0944686</v>
      </c>
      <c r="E1856" s="40">
        <f t="shared" ca="1" si="254"/>
        <v>6266838928166.3652</v>
      </c>
      <c r="F1856" s="40">
        <f t="shared" ca="1" si="255"/>
        <v>3691472722801.1768</v>
      </c>
      <c r="G1856" s="40">
        <f t="shared" ca="1" si="256"/>
        <v>2215417042877.9067</v>
      </c>
      <c r="H1856" s="40">
        <f t="shared" ca="1" si="257"/>
        <v>3691472722801.1768</v>
      </c>
      <c r="I1856" s="40">
        <f t="shared" ca="1" si="258"/>
        <v>15578417358451.865</v>
      </c>
      <c r="J1856" s="40">
        <f t="shared" ca="1" si="259"/>
        <v>911462710216.1311</v>
      </c>
      <c r="K1856" s="41">
        <f t="shared" ca="1" si="260"/>
        <v>17.09166725510671</v>
      </c>
    </row>
    <row r="1857" spans="2:11" ht="15" customHeight="1" x14ac:dyDescent="0.35">
      <c r="B1857" s="5">
        <v>1836</v>
      </c>
      <c r="C1857" s="39">
        <f t="shared" ca="1" si="252"/>
        <v>2.8167288111356266</v>
      </c>
      <c r="D1857" s="40">
        <f t="shared" ca="1" si="253"/>
        <v>4067834534.8947592</v>
      </c>
      <c r="E1857" s="40">
        <f t="shared" ca="1" si="254"/>
        <v>12173034009482.686</v>
      </c>
      <c r="F1857" s="40">
        <f t="shared" ca="1" si="255"/>
        <v>117939499841.35483</v>
      </c>
      <c r="G1857" s="40">
        <f t="shared" ca="1" si="256"/>
        <v>16373561593707.197</v>
      </c>
      <c r="H1857" s="40">
        <f t="shared" ca="1" si="257"/>
        <v>16373561593707.197</v>
      </c>
      <c r="I1857" s="40">
        <f t="shared" ca="1" si="258"/>
        <v>63127402920910.281</v>
      </c>
      <c r="J1857" s="40">
        <f t="shared" ca="1" si="259"/>
        <v>700387618714.33594</v>
      </c>
      <c r="K1857" s="41">
        <f t="shared" ca="1" si="260"/>
        <v>90.132094334834008</v>
      </c>
    </row>
    <row r="1858" spans="2:11" ht="15" customHeight="1" x14ac:dyDescent="0.35">
      <c r="B1858" s="5">
        <v>1837</v>
      </c>
      <c r="C1858" s="39">
        <f t="shared" ca="1" si="252"/>
        <v>3.2353321935882242</v>
      </c>
      <c r="D1858" s="40">
        <f t="shared" ca="1" si="253"/>
        <v>8174520569.6368008</v>
      </c>
      <c r="E1858" s="40">
        <f t="shared" ca="1" si="254"/>
        <v>17957001342172.016</v>
      </c>
      <c r="F1858" s="40">
        <f t="shared" ca="1" si="255"/>
        <v>1985170254458.9995</v>
      </c>
      <c r="G1858" s="40">
        <f t="shared" ca="1" si="256"/>
        <v>23244826974932.953</v>
      </c>
      <c r="H1858" s="40">
        <f t="shared" ca="1" si="257"/>
        <v>1985170254458.9995</v>
      </c>
      <c r="I1858" s="40">
        <f t="shared" ca="1" si="258"/>
        <v>1039826046182.2396</v>
      </c>
      <c r="J1858" s="40">
        <f t="shared" ca="1" si="259"/>
        <v>1717711965542.5903</v>
      </c>
      <c r="K1858" s="41">
        <f t="shared" ca="1" si="260"/>
        <v>0.6053553023098257</v>
      </c>
    </row>
    <row r="1859" spans="2:11" ht="15" customHeight="1" x14ac:dyDescent="0.35">
      <c r="B1859" s="5">
        <v>1838</v>
      </c>
      <c r="C1859" s="39">
        <f t="shared" ca="1" si="252"/>
        <v>2.9055923451330004</v>
      </c>
      <c r="D1859" s="40">
        <f t="shared" ca="1" si="253"/>
        <v>3441894396.7289405</v>
      </c>
      <c r="E1859" s="40">
        <f t="shared" ca="1" si="254"/>
        <v>34508043958575.285</v>
      </c>
      <c r="F1859" s="40">
        <f t="shared" ca="1" si="255"/>
        <v>4371040320595.9487</v>
      </c>
      <c r="G1859" s="40">
        <f t="shared" ca="1" si="256"/>
        <v>13583032178030.658</v>
      </c>
      <c r="H1859" s="40">
        <f t="shared" ca="1" si="257"/>
        <v>34508043958575.285</v>
      </c>
      <c r="I1859" s="40">
        <f t="shared" ca="1" si="258"/>
        <v>5653247712733.2324</v>
      </c>
      <c r="J1859" s="40">
        <f t="shared" ca="1" si="259"/>
        <v>1507244257775.1797</v>
      </c>
      <c r="K1859" s="41">
        <f t="shared" ca="1" si="260"/>
        <v>3.7507176979250234</v>
      </c>
    </row>
    <row r="1860" spans="2:11" ht="15" customHeight="1" x14ac:dyDescent="0.35">
      <c r="B1860" s="5">
        <v>1839</v>
      </c>
      <c r="C1860" s="39">
        <f t="shared" ca="1" si="252"/>
        <v>2.9514666975404236</v>
      </c>
      <c r="D1860" s="40">
        <f t="shared" ca="1" si="253"/>
        <v>4198445958.7656069</v>
      </c>
      <c r="E1860" s="40">
        <f t="shared" ca="1" si="254"/>
        <v>13388134992437.721</v>
      </c>
      <c r="F1860" s="40">
        <f t="shared" ca="1" si="255"/>
        <v>1378408689334.5066</v>
      </c>
      <c r="G1860" s="40">
        <f t="shared" ca="1" si="256"/>
        <v>3757182319985.3149</v>
      </c>
      <c r="H1860" s="40">
        <f t="shared" ca="1" si="257"/>
        <v>3757182319985.3149</v>
      </c>
      <c r="I1860" s="40">
        <f t="shared" ca="1" si="258"/>
        <v>3806761611360.0444</v>
      </c>
      <c r="J1860" s="40">
        <f t="shared" ca="1" si="259"/>
        <v>869251175225.6178</v>
      </c>
      <c r="K1860" s="41">
        <f t="shared" ca="1" si="260"/>
        <v>4.3793574513971558</v>
      </c>
    </row>
    <row r="1861" spans="2:11" ht="15" customHeight="1" x14ac:dyDescent="0.35">
      <c r="B1861" s="5">
        <v>1840</v>
      </c>
      <c r="C1861" s="39">
        <f t="shared" ca="1" si="252"/>
        <v>2.9648446384597498</v>
      </c>
      <c r="D1861" s="40">
        <f t="shared" ca="1" si="253"/>
        <v>4476471966.2690563</v>
      </c>
      <c r="E1861" s="40">
        <f t="shared" ca="1" si="254"/>
        <v>6882214957745.9678</v>
      </c>
      <c r="F1861" s="40">
        <f t="shared" ca="1" si="255"/>
        <v>3217212556135.1787</v>
      </c>
      <c r="G1861" s="40">
        <f t="shared" ca="1" si="256"/>
        <v>409203665267.88867</v>
      </c>
      <c r="H1861" s="40">
        <f t="shared" ca="1" si="257"/>
        <v>6882214957745.9678</v>
      </c>
      <c r="I1861" s="40">
        <f t="shared" ca="1" si="258"/>
        <v>6010112333316.1191</v>
      </c>
      <c r="J1861" s="40">
        <f t="shared" ca="1" si="259"/>
        <v>601065933794.33203</v>
      </c>
      <c r="K1861" s="41">
        <f t="shared" ca="1" si="260"/>
        <v>9.9990899423899329</v>
      </c>
    </row>
    <row r="1862" spans="2:11" ht="15" customHeight="1" x14ac:dyDescent="0.35">
      <c r="B1862" s="5">
        <v>1841</v>
      </c>
      <c r="C1862" s="39">
        <f t="shared" ca="1" si="252"/>
        <v>2.4639185042930167</v>
      </c>
      <c r="D1862" s="40">
        <f t="shared" ca="1" si="253"/>
        <v>1491911327.7240746</v>
      </c>
      <c r="E1862" s="40">
        <f t="shared" ca="1" si="254"/>
        <v>820438014537.68335</v>
      </c>
      <c r="F1862" s="40">
        <f t="shared" ca="1" si="255"/>
        <v>1897235297335.5476</v>
      </c>
      <c r="G1862" s="40">
        <f t="shared" ca="1" si="256"/>
        <v>49940817500386.75</v>
      </c>
      <c r="H1862" s="40">
        <f t="shared" ca="1" si="257"/>
        <v>49940817500386.75</v>
      </c>
      <c r="I1862" s="40">
        <f t="shared" ca="1" si="258"/>
        <v>20328895075718.168</v>
      </c>
      <c r="J1862" s="40">
        <f t="shared" ca="1" si="259"/>
        <v>765071199186.91504</v>
      </c>
      <c r="K1862" s="41">
        <f t="shared" ca="1" si="260"/>
        <v>26.571246045234545</v>
      </c>
    </row>
    <row r="1863" spans="2:11" ht="15" customHeight="1" x14ac:dyDescent="0.35">
      <c r="B1863" s="5">
        <v>1842</v>
      </c>
      <c r="C1863" s="39">
        <f t="shared" ca="1" si="252"/>
        <v>3.3400005490337028</v>
      </c>
      <c r="D1863" s="40">
        <f t="shared" ca="1" si="253"/>
        <v>7983920303.211978</v>
      </c>
      <c r="E1863" s="40">
        <f t="shared" ca="1" si="254"/>
        <v>29561684039417.16</v>
      </c>
      <c r="F1863" s="40">
        <f t="shared" ca="1" si="255"/>
        <v>350012223743.521</v>
      </c>
      <c r="G1863" s="40">
        <f t="shared" ca="1" si="256"/>
        <v>29039235009250.801</v>
      </c>
      <c r="H1863" s="40">
        <f t="shared" ca="1" si="257"/>
        <v>29561684039417.16</v>
      </c>
      <c r="I1863" s="40">
        <f t="shared" ca="1" si="258"/>
        <v>3844493217512.7744</v>
      </c>
      <c r="J1863" s="40">
        <f t="shared" ca="1" si="259"/>
        <v>1112904405228.4805</v>
      </c>
      <c r="K1863" s="41">
        <f t="shared" ca="1" si="260"/>
        <v>3.454468505516874</v>
      </c>
    </row>
    <row r="1864" spans="2:11" ht="15" customHeight="1" x14ac:dyDescent="0.35">
      <c r="B1864" s="5">
        <v>1843</v>
      </c>
      <c r="C1864" s="39">
        <f t="shared" ca="1" si="252"/>
        <v>3.1022749743076266</v>
      </c>
      <c r="D1864" s="40">
        <f t="shared" ca="1" si="253"/>
        <v>5735637657.0921259</v>
      </c>
      <c r="E1864" s="40">
        <f t="shared" ca="1" si="254"/>
        <v>26321902684356.285</v>
      </c>
      <c r="F1864" s="40">
        <f t="shared" ca="1" si="255"/>
        <v>48776321474124.742</v>
      </c>
      <c r="G1864" s="40">
        <f t="shared" ca="1" si="256"/>
        <v>36063706316284.469</v>
      </c>
      <c r="H1864" s="40">
        <f t="shared" ca="1" si="257"/>
        <v>36063706316284.469</v>
      </c>
      <c r="I1864" s="40">
        <f t="shared" ca="1" si="258"/>
        <v>10325424765137.031</v>
      </c>
      <c r="J1864" s="40">
        <f t="shared" ca="1" si="259"/>
        <v>982934802552.02087</v>
      </c>
      <c r="K1864" s="41">
        <f t="shared" ca="1" si="260"/>
        <v>10.50468936325059</v>
      </c>
    </row>
    <row r="1865" spans="2:11" ht="15" customHeight="1" x14ac:dyDescent="0.35">
      <c r="B1865" s="5">
        <v>1844</v>
      </c>
      <c r="C1865" s="39">
        <f t="shared" ca="1" si="252"/>
        <v>3.5706276389560387</v>
      </c>
      <c r="D1865" s="40">
        <f t="shared" ca="1" si="253"/>
        <v>11088425520.363161</v>
      </c>
      <c r="E1865" s="40">
        <f t="shared" ca="1" si="254"/>
        <v>21116022313852.18</v>
      </c>
      <c r="F1865" s="40">
        <f t="shared" ca="1" si="255"/>
        <v>4390736292931.146</v>
      </c>
      <c r="G1865" s="40">
        <f t="shared" ca="1" si="256"/>
        <v>2785676617251.5752</v>
      </c>
      <c r="H1865" s="40">
        <f t="shared" ca="1" si="257"/>
        <v>21116022313852.18</v>
      </c>
      <c r="I1865" s="40">
        <f t="shared" ca="1" si="258"/>
        <v>3948139542557.0933</v>
      </c>
      <c r="J1865" s="40">
        <f t="shared" ca="1" si="259"/>
        <v>684144276103.69092</v>
      </c>
      <c r="K1865" s="41">
        <f t="shared" ca="1" si="260"/>
        <v>5.7709165748522633</v>
      </c>
    </row>
    <row r="1866" spans="2:11" ht="15" customHeight="1" x14ac:dyDescent="0.35">
      <c r="B1866" s="5">
        <v>1845</v>
      </c>
      <c r="C1866" s="39">
        <f t="shared" ca="1" si="252"/>
        <v>3.5418286249898094</v>
      </c>
      <c r="D1866" s="40">
        <f t="shared" ca="1" si="253"/>
        <v>12229814267.248911</v>
      </c>
      <c r="E1866" s="40">
        <f t="shared" ca="1" si="254"/>
        <v>16178494867367.709</v>
      </c>
      <c r="F1866" s="40">
        <f t="shared" ca="1" si="255"/>
        <v>4404606414901.5</v>
      </c>
      <c r="G1866" s="40">
        <f t="shared" ca="1" si="256"/>
        <v>957385592132.6759</v>
      </c>
      <c r="H1866" s="40">
        <f t="shared" ca="1" si="257"/>
        <v>4404606414901.5</v>
      </c>
      <c r="I1866" s="40">
        <f t="shared" ca="1" si="258"/>
        <v>268910665873801.75</v>
      </c>
      <c r="J1866" s="40">
        <f t="shared" ca="1" si="259"/>
        <v>936388738178.93689</v>
      </c>
      <c r="K1866" s="41">
        <f t="shared" ca="1" si="260"/>
        <v>287.17844940849227</v>
      </c>
    </row>
    <row r="1867" spans="2:11" ht="15" customHeight="1" x14ac:dyDescent="0.35">
      <c r="B1867" s="5">
        <v>1846</v>
      </c>
      <c r="C1867" s="39">
        <f t="shared" ca="1" si="252"/>
        <v>2.3628588852325132</v>
      </c>
      <c r="D1867" s="40">
        <f t="shared" ca="1" si="253"/>
        <v>1299710224.0748219</v>
      </c>
      <c r="E1867" s="40">
        <f t="shared" ca="1" si="254"/>
        <v>12822759144573.305</v>
      </c>
      <c r="F1867" s="40">
        <f t="shared" ca="1" si="255"/>
        <v>2041215647637.9131</v>
      </c>
      <c r="G1867" s="40">
        <f t="shared" ca="1" si="256"/>
        <v>10033677633111.605</v>
      </c>
      <c r="H1867" s="40">
        <f t="shared" ca="1" si="257"/>
        <v>10033677633111.605</v>
      </c>
      <c r="I1867" s="40">
        <f t="shared" ca="1" si="258"/>
        <v>70971850160069.828</v>
      </c>
      <c r="J1867" s="40">
        <f t="shared" ca="1" si="259"/>
        <v>1097383554821.75</v>
      </c>
      <c r="K1867" s="41">
        <f t="shared" ca="1" si="260"/>
        <v>64.673695763190025</v>
      </c>
    </row>
    <row r="1868" spans="2:11" ht="15" customHeight="1" x14ac:dyDescent="0.35">
      <c r="B1868" s="5">
        <v>1847</v>
      </c>
      <c r="C1868" s="39">
        <f t="shared" ca="1" si="252"/>
        <v>2.8316818434821469</v>
      </c>
      <c r="D1868" s="40">
        <f t="shared" ca="1" si="253"/>
        <v>3209752087.913403</v>
      </c>
      <c r="E1868" s="40">
        <f t="shared" ca="1" si="254"/>
        <v>6454512575019.4023</v>
      </c>
      <c r="F1868" s="40">
        <f t="shared" ca="1" si="255"/>
        <v>8313895556228.6201</v>
      </c>
      <c r="G1868" s="40">
        <f t="shared" ca="1" si="256"/>
        <v>18334821148909.379</v>
      </c>
      <c r="H1868" s="40">
        <f t="shared" ca="1" si="257"/>
        <v>18334821148909.379</v>
      </c>
      <c r="I1868" s="40">
        <f t="shared" ca="1" si="258"/>
        <v>3274547782689.5166</v>
      </c>
      <c r="J1868" s="40">
        <f t="shared" ca="1" si="259"/>
        <v>1789597131683.7146</v>
      </c>
      <c r="K1868" s="41">
        <f t="shared" ca="1" si="260"/>
        <v>1.8297681219508377</v>
      </c>
    </row>
    <row r="1869" spans="2:11" ht="15" customHeight="1" x14ac:dyDescent="0.35">
      <c r="B1869" s="5">
        <v>1848</v>
      </c>
      <c r="C1869" s="39">
        <f t="shared" ca="1" si="252"/>
        <v>3.1270001397451881</v>
      </c>
      <c r="D1869" s="40">
        <f t="shared" ca="1" si="253"/>
        <v>6977849053.6257095</v>
      </c>
      <c r="E1869" s="40">
        <f t="shared" ca="1" si="254"/>
        <v>6366541810653.0742</v>
      </c>
      <c r="F1869" s="40">
        <f t="shared" ca="1" si="255"/>
        <v>689781205886.35889</v>
      </c>
      <c r="G1869" s="40">
        <f t="shared" ca="1" si="256"/>
        <v>2613722762630.2935</v>
      </c>
      <c r="H1869" s="40">
        <f t="shared" ca="1" si="257"/>
        <v>2613722762630.2935</v>
      </c>
      <c r="I1869" s="40">
        <f t="shared" ca="1" si="258"/>
        <v>50654170504809.078</v>
      </c>
      <c r="J1869" s="40">
        <f t="shared" ca="1" si="259"/>
        <v>1203353573772.832</v>
      </c>
      <c r="K1869" s="41">
        <f t="shared" ca="1" si="260"/>
        <v>42.094170498862475</v>
      </c>
    </row>
    <row r="1870" spans="2:11" ht="15" customHeight="1" x14ac:dyDescent="0.35">
      <c r="B1870" s="5">
        <v>1849</v>
      </c>
      <c r="C1870" s="39">
        <f t="shared" ca="1" si="252"/>
        <v>3.0492113321856538</v>
      </c>
      <c r="D1870" s="40">
        <f t="shared" ca="1" si="253"/>
        <v>5244089285.5210276</v>
      </c>
      <c r="E1870" s="40">
        <f t="shared" ca="1" si="254"/>
        <v>51651077107515.539</v>
      </c>
      <c r="F1870" s="40">
        <f t="shared" ca="1" si="255"/>
        <v>7577852159603.5313</v>
      </c>
      <c r="G1870" s="40">
        <f t="shared" ca="1" si="256"/>
        <v>2645332330490.7251</v>
      </c>
      <c r="H1870" s="40">
        <f t="shared" ca="1" si="257"/>
        <v>51651077107515.539</v>
      </c>
      <c r="I1870" s="40">
        <f t="shared" ca="1" si="258"/>
        <v>26643585888573.223</v>
      </c>
      <c r="J1870" s="40">
        <f t="shared" ca="1" si="259"/>
        <v>1622661360539.7144</v>
      </c>
      <c r="K1870" s="41">
        <f t="shared" ca="1" si="260"/>
        <v>16.419683451210844</v>
      </c>
    </row>
    <row r="1871" spans="2:11" ht="15" customHeight="1" x14ac:dyDescent="0.35">
      <c r="B1871" s="5">
        <v>1850</v>
      </c>
      <c r="C1871" s="39">
        <f t="shared" ca="1" si="252"/>
        <v>3.0857867572120021</v>
      </c>
      <c r="D1871" s="40">
        <f t="shared" ca="1" si="253"/>
        <v>5656829064.3506317</v>
      </c>
      <c r="E1871" s="40">
        <f t="shared" ca="1" si="254"/>
        <v>8690898706266.5928</v>
      </c>
      <c r="F1871" s="40">
        <f t="shared" ca="1" si="255"/>
        <v>4443205921179.5215</v>
      </c>
      <c r="G1871" s="40">
        <f t="shared" ca="1" si="256"/>
        <v>2833059225125.1484</v>
      </c>
      <c r="H1871" s="40">
        <f t="shared" ca="1" si="257"/>
        <v>4443205921179.5215</v>
      </c>
      <c r="I1871" s="40">
        <f t="shared" ca="1" si="258"/>
        <v>2978227997215.8853</v>
      </c>
      <c r="J1871" s="40">
        <f t="shared" ca="1" si="259"/>
        <v>1728242535263.8596</v>
      </c>
      <c r="K1871" s="41">
        <f t="shared" ca="1" si="260"/>
        <v>1.7232697011251283</v>
      </c>
    </row>
    <row r="1872" spans="2:11" ht="15" customHeight="1" x14ac:dyDescent="0.35">
      <c r="B1872" s="5">
        <v>1851</v>
      </c>
      <c r="C1872" s="39">
        <f t="shared" ca="1" si="252"/>
        <v>2.7615220065175725</v>
      </c>
      <c r="D1872" s="40">
        <f t="shared" ca="1" si="253"/>
        <v>2837263371.637722</v>
      </c>
      <c r="E1872" s="40">
        <f t="shared" ca="1" si="254"/>
        <v>64261732872931.102</v>
      </c>
      <c r="F1872" s="40">
        <f t="shared" ca="1" si="255"/>
        <v>1801248821783.8584</v>
      </c>
      <c r="G1872" s="40">
        <f t="shared" ca="1" si="256"/>
        <v>4293251173843.9019</v>
      </c>
      <c r="H1872" s="40">
        <f t="shared" ca="1" si="257"/>
        <v>1801248821783.8584</v>
      </c>
      <c r="I1872" s="40">
        <f t="shared" ca="1" si="258"/>
        <v>52347181549951.367</v>
      </c>
      <c r="J1872" s="40">
        <f t="shared" ca="1" si="259"/>
        <v>748376089720.84644</v>
      </c>
      <c r="K1872" s="41">
        <f t="shared" ca="1" si="260"/>
        <v>69.94769377182736</v>
      </c>
    </row>
    <row r="1873" spans="2:11" ht="15" customHeight="1" x14ac:dyDescent="0.35">
      <c r="B1873" s="5">
        <v>1852</v>
      </c>
      <c r="C1873" s="39">
        <f t="shared" ca="1" si="252"/>
        <v>4.5</v>
      </c>
      <c r="D1873" s="40">
        <f t="shared" ca="1" si="253"/>
        <v>33418584296.676609</v>
      </c>
      <c r="E1873" s="40">
        <f t="shared" ca="1" si="254"/>
        <v>41509945229425.961</v>
      </c>
      <c r="F1873" s="40">
        <f t="shared" ca="1" si="255"/>
        <v>7251727330334.1162</v>
      </c>
      <c r="G1873" s="40">
        <f t="shared" ca="1" si="256"/>
        <v>4012275818803.3188</v>
      </c>
      <c r="H1873" s="40">
        <f t="shared" ca="1" si="257"/>
        <v>4012275818803.3188</v>
      </c>
      <c r="I1873" s="40">
        <f t="shared" ca="1" si="258"/>
        <v>12192333321670.217</v>
      </c>
      <c r="J1873" s="40">
        <f t="shared" ca="1" si="259"/>
        <v>1722262818497.0991</v>
      </c>
      <c r="K1873" s="41">
        <f t="shared" ca="1" si="260"/>
        <v>7.0792524757107813</v>
      </c>
    </row>
    <row r="1874" spans="2:11" ht="15" customHeight="1" x14ac:dyDescent="0.35">
      <c r="B1874" s="5">
        <v>1853</v>
      </c>
      <c r="C1874" s="39">
        <f t="shared" ca="1" si="252"/>
        <v>2.3387962192443208</v>
      </c>
      <c r="D1874" s="40">
        <f t="shared" ca="1" si="253"/>
        <v>1465312648.3912764</v>
      </c>
      <c r="E1874" s="40">
        <f t="shared" ca="1" si="254"/>
        <v>4712876117621.2119</v>
      </c>
      <c r="F1874" s="40">
        <f t="shared" ca="1" si="255"/>
        <v>4698863588552.6816</v>
      </c>
      <c r="G1874" s="40">
        <f t="shared" ca="1" si="256"/>
        <v>2330076926562.7852</v>
      </c>
      <c r="H1874" s="40">
        <f t="shared" ca="1" si="257"/>
        <v>4712876117621.2119</v>
      </c>
      <c r="I1874" s="40">
        <f t="shared" ca="1" si="258"/>
        <v>7074102094439.0371</v>
      </c>
      <c r="J1874" s="40">
        <f t="shared" ca="1" si="259"/>
        <v>1333396592796.9863</v>
      </c>
      <c r="K1874" s="41">
        <f t="shared" ca="1" si="260"/>
        <v>5.3053248618253299</v>
      </c>
    </row>
    <row r="1875" spans="2:11" ht="15" customHeight="1" x14ac:dyDescent="0.35">
      <c r="B1875" s="5">
        <v>1854</v>
      </c>
      <c r="C1875" s="39">
        <f t="shared" ca="1" si="252"/>
        <v>2.6645251762230435</v>
      </c>
      <c r="D1875" s="40">
        <f t="shared" ca="1" si="253"/>
        <v>2997645068.7505908</v>
      </c>
      <c r="E1875" s="40">
        <f t="shared" ca="1" si="254"/>
        <v>58764984394991.523</v>
      </c>
      <c r="F1875" s="40">
        <f t="shared" ca="1" si="255"/>
        <v>3755535128487.5068</v>
      </c>
      <c r="G1875" s="40">
        <f t="shared" ca="1" si="256"/>
        <v>10361198903803.801</v>
      </c>
      <c r="H1875" s="40">
        <f t="shared" ca="1" si="257"/>
        <v>58764984394991.523</v>
      </c>
      <c r="I1875" s="40">
        <f t="shared" ca="1" si="258"/>
        <v>44141610339468.781</v>
      </c>
      <c r="J1875" s="40">
        <f t="shared" ca="1" si="259"/>
        <v>735303744663.26929</v>
      </c>
      <c r="K1875" s="41">
        <f t="shared" ca="1" si="260"/>
        <v>60.031804080752146</v>
      </c>
    </row>
    <row r="1876" spans="2:11" ht="15" customHeight="1" x14ac:dyDescent="0.35">
      <c r="B1876" s="5">
        <v>1855</v>
      </c>
      <c r="C1876" s="39">
        <f t="shared" ca="1" si="252"/>
        <v>3.3399991033886729</v>
      </c>
      <c r="D1876" s="40">
        <f t="shared" ca="1" si="253"/>
        <v>7184564101.823226</v>
      </c>
      <c r="E1876" s="40">
        <f t="shared" ca="1" si="254"/>
        <v>118324881425293.91</v>
      </c>
      <c r="F1876" s="40">
        <f t="shared" ca="1" si="255"/>
        <v>592082534705.9054</v>
      </c>
      <c r="G1876" s="40">
        <f t="shared" ca="1" si="256"/>
        <v>1537268859725.4446</v>
      </c>
      <c r="H1876" s="40">
        <f t="shared" ca="1" si="257"/>
        <v>1537268859725.4446</v>
      </c>
      <c r="I1876" s="40">
        <f t="shared" ca="1" si="258"/>
        <v>14958779473684.875</v>
      </c>
      <c r="J1876" s="40">
        <f t="shared" ca="1" si="259"/>
        <v>1393452855819.4797</v>
      </c>
      <c r="K1876" s="41">
        <f t="shared" ca="1" si="260"/>
        <v>10.735045259129146</v>
      </c>
    </row>
    <row r="1877" spans="2:11" ht="15" customHeight="1" x14ac:dyDescent="0.35">
      <c r="B1877" s="5">
        <v>1856</v>
      </c>
      <c r="C1877" s="39">
        <f t="shared" ca="1" si="252"/>
        <v>3.4807497901297202</v>
      </c>
      <c r="D1877" s="40">
        <f t="shared" ca="1" si="253"/>
        <v>10520429562.091051</v>
      </c>
      <c r="E1877" s="40">
        <f t="shared" ca="1" si="254"/>
        <v>155240828901204.25</v>
      </c>
      <c r="F1877" s="40">
        <f t="shared" ca="1" si="255"/>
        <v>28368592166429.418</v>
      </c>
      <c r="G1877" s="40">
        <f t="shared" ca="1" si="256"/>
        <v>2802494934421.9839</v>
      </c>
      <c r="H1877" s="40">
        <f t="shared" ca="1" si="257"/>
        <v>155240828901204.25</v>
      </c>
      <c r="I1877" s="40">
        <f t="shared" ca="1" si="258"/>
        <v>1184464679470.0383</v>
      </c>
      <c r="J1877" s="40">
        <f t="shared" ca="1" si="259"/>
        <v>948361289858.00452</v>
      </c>
      <c r="K1877" s="41">
        <f t="shared" ca="1" si="260"/>
        <v>1.248959328197996</v>
      </c>
    </row>
    <row r="1878" spans="2:11" ht="15" customHeight="1" x14ac:dyDescent="0.35">
      <c r="B1878" s="5">
        <v>1857</v>
      </c>
      <c r="C1878" s="39">
        <f t="shared" ref="C1878:C1941" ca="1" si="261">MEDIAN(1.8,NORMINV(RAND(),$C$7,$D$7),4.5)</f>
        <v>3.198641729663243</v>
      </c>
      <c r="D1878" s="40">
        <f t="shared" ref="D1878:D1941" ca="1" si="262">($C$8+RAND()*($D$8-$C$8))*C1878^5</f>
        <v>8024393101.8725357</v>
      </c>
      <c r="E1878" s="40">
        <f t="shared" ref="E1878:E1941" ca="1" si="263">D1878*($C$10+RAND()*($D$10-$C$10))*EXP(NORMINV(RAND(),$C$9,$D$9))*($C$11+RAND()*($D$11-$C$11))</f>
        <v>11457177894904.121</v>
      </c>
      <c r="F1878" s="40">
        <f t="shared" ref="F1878:F1941" ca="1" si="264">EXP(NORMINV(RAND(),$C$12,$D$12))*EXP(NORMINV(RAND(),$C$13,$D$13))</f>
        <v>2592142207525.8179</v>
      </c>
      <c r="G1878" s="40">
        <f t="shared" ref="G1878:G1941" ca="1" si="265">EXP(NORMINV(RAND(),$C$14,$D$14))*($C$15+RAND()*($D$15-$C$15))*EXP(NORMINV(RAND(),$C$16,$D$16))/1000000*31536000</f>
        <v>27268419111770.852</v>
      </c>
      <c r="H1878" s="40">
        <f t="shared" ref="H1878:H1941" ca="1" si="266">CHOOSE(RANDBETWEEN(1,3),E1878,F1878,G1878)</f>
        <v>27268419111770.852</v>
      </c>
      <c r="I1878" s="40">
        <f t="shared" ref="I1878:I1941" ca="1" si="267">EXP(NORMINV(RAND(),$C$14,$D$14))*($C$15+RAND()*($D$15-$C$15))*60</f>
        <v>9734017604468.3301</v>
      </c>
      <c r="J1878" s="40">
        <f t="shared" ref="J1878:J1941" ca="1" si="268">($C$17+RAND()*($D$17-$C$17))*($C$18+RAND()*($D$18-$C$18))</f>
        <v>1504686337975.4109</v>
      </c>
      <c r="K1878" s="41">
        <f t="shared" ref="K1878:K1941" ca="1" si="269">I1878/J1878</f>
        <v>6.4691340373075148</v>
      </c>
    </row>
    <row r="1879" spans="2:11" ht="15" customHeight="1" x14ac:dyDescent="0.35">
      <c r="B1879" s="5">
        <v>1858</v>
      </c>
      <c r="C1879" s="39">
        <f t="shared" ca="1" si="261"/>
        <v>3.1300956953135497</v>
      </c>
      <c r="D1879" s="40">
        <f t="shared" ca="1" si="262"/>
        <v>4923852021.4612846</v>
      </c>
      <c r="E1879" s="40">
        <f t="shared" ca="1" si="263"/>
        <v>5897003366029.0137</v>
      </c>
      <c r="F1879" s="40">
        <f t="shared" ca="1" si="264"/>
        <v>3573817453484.0273</v>
      </c>
      <c r="G1879" s="40">
        <f t="shared" ca="1" si="265"/>
        <v>1395992057299.5632</v>
      </c>
      <c r="H1879" s="40">
        <f t="shared" ca="1" si="266"/>
        <v>5897003366029.0137</v>
      </c>
      <c r="I1879" s="40">
        <f t="shared" ca="1" si="267"/>
        <v>4466531809481.457</v>
      </c>
      <c r="J1879" s="40">
        <f t="shared" ca="1" si="268"/>
        <v>1167892918930.3149</v>
      </c>
      <c r="K1879" s="41">
        <f t="shared" ca="1" si="269"/>
        <v>3.8244360737903942</v>
      </c>
    </row>
    <row r="1880" spans="2:11" ht="15" customHeight="1" x14ac:dyDescent="0.35">
      <c r="B1880" s="5">
        <v>1859</v>
      </c>
      <c r="C1880" s="39">
        <f t="shared" ca="1" si="261"/>
        <v>2.9638157149119806</v>
      </c>
      <c r="D1880" s="40">
        <f t="shared" ca="1" si="262"/>
        <v>4670737440.3383322</v>
      </c>
      <c r="E1880" s="40">
        <f t="shared" ca="1" si="263"/>
        <v>14401237605453.922</v>
      </c>
      <c r="F1880" s="40">
        <f t="shared" ca="1" si="264"/>
        <v>7011309631675.2715</v>
      </c>
      <c r="G1880" s="40">
        <f t="shared" ca="1" si="265"/>
        <v>6132010478805.9385</v>
      </c>
      <c r="H1880" s="40">
        <f t="shared" ca="1" si="266"/>
        <v>6132010478805.9385</v>
      </c>
      <c r="I1880" s="40">
        <f t="shared" ca="1" si="267"/>
        <v>10378552666764.021</v>
      </c>
      <c r="J1880" s="40">
        <f t="shared" ca="1" si="268"/>
        <v>1258865178093.2048</v>
      </c>
      <c r="K1880" s="41">
        <f t="shared" ca="1" si="269"/>
        <v>8.2443718734712714</v>
      </c>
    </row>
    <row r="1881" spans="2:11" ht="15" customHeight="1" x14ac:dyDescent="0.35">
      <c r="B1881" s="5">
        <v>1860</v>
      </c>
      <c r="C1881" s="39">
        <f t="shared" ca="1" si="261"/>
        <v>3.474357205308594</v>
      </c>
      <c r="D1881" s="40">
        <f t="shared" ca="1" si="262"/>
        <v>9438317478.095932</v>
      </c>
      <c r="E1881" s="40">
        <f t="shared" ca="1" si="263"/>
        <v>31127945049613.699</v>
      </c>
      <c r="F1881" s="40">
        <f t="shared" ca="1" si="264"/>
        <v>4054261413205.3975</v>
      </c>
      <c r="G1881" s="40">
        <f t="shared" ca="1" si="265"/>
        <v>8392904230818.3076</v>
      </c>
      <c r="H1881" s="40">
        <f t="shared" ca="1" si="266"/>
        <v>8392904230818.3076</v>
      </c>
      <c r="I1881" s="40">
        <f t="shared" ca="1" si="267"/>
        <v>477783583153.13702</v>
      </c>
      <c r="J1881" s="40">
        <f t="shared" ca="1" si="268"/>
        <v>1309779080200.9417</v>
      </c>
      <c r="K1881" s="41">
        <f t="shared" ca="1" si="269"/>
        <v>0.36478180967727564</v>
      </c>
    </row>
    <row r="1882" spans="2:11" ht="15" customHeight="1" x14ac:dyDescent="0.35">
      <c r="B1882" s="5">
        <v>1861</v>
      </c>
      <c r="C1882" s="39">
        <f t="shared" ca="1" si="261"/>
        <v>3.7203220136461357</v>
      </c>
      <c r="D1882" s="40">
        <f t="shared" ca="1" si="262"/>
        <v>15423560384.713055</v>
      </c>
      <c r="E1882" s="40">
        <f t="shared" ca="1" si="263"/>
        <v>41889972337913.867</v>
      </c>
      <c r="F1882" s="40">
        <f t="shared" ca="1" si="264"/>
        <v>14628037544894.822</v>
      </c>
      <c r="G1882" s="40">
        <f t="shared" ca="1" si="265"/>
        <v>397663246225.85779</v>
      </c>
      <c r="H1882" s="40">
        <f t="shared" ca="1" si="266"/>
        <v>397663246225.85779</v>
      </c>
      <c r="I1882" s="40">
        <f t="shared" ca="1" si="267"/>
        <v>9973729630538.0879</v>
      </c>
      <c r="J1882" s="40">
        <f t="shared" ca="1" si="268"/>
        <v>1170441893177.5425</v>
      </c>
      <c r="K1882" s="41">
        <f t="shared" ca="1" si="269"/>
        <v>8.5213368460874026</v>
      </c>
    </row>
    <row r="1883" spans="2:11" ht="15" customHeight="1" x14ac:dyDescent="0.35">
      <c r="B1883" s="5">
        <v>1862</v>
      </c>
      <c r="C1883" s="39">
        <f t="shared" ca="1" si="261"/>
        <v>3.0153682268571376</v>
      </c>
      <c r="D1883" s="40">
        <f t="shared" ca="1" si="262"/>
        <v>4661570014.9324598</v>
      </c>
      <c r="E1883" s="40">
        <f t="shared" ca="1" si="263"/>
        <v>26929183186056.656</v>
      </c>
      <c r="F1883" s="40">
        <f t="shared" ca="1" si="264"/>
        <v>4155071779786.0757</v>
      </c>
      <c r="G1883" s="40">
        <f t="shared" ca="1" si="265"/>
        <v>3222934146843.5317</v>
      </c>
      <c r="H1883" s="40">
        <f t="shared" ca="1" si="266"/>
        <v>3222934146843.5317</v>
      </c>
      <c r="I1883" s="40">
        <f t="shared" ca="1" si="267"/>
        <v>26604080684171.93</v>
      </c>
      <c r="J1883" s="40">
        <f t="shared" ca="1" si="268"/>
        <v>1149034121922.0413</v>
      </c>
      <c r="K1883" s="41">
        <f t="shared" ca="1" si="269"/>
        <v>23.153429629809498</v>
      </c>
    </row>
    <row r="1884" spans="2:11" ht="15" customHeight="1" x14ac:dyDescent="0.35">
      <c r="B1884" s="5">
        <v>1863</v>
      </c>
      <c r="C1884" s="39">
        <f t="shared" ca="1" si="261"/>
        <v>2.6958118144035859</v>
      </c>
      <c r="D1884" s="40">
        <f t="shared" ca="1" si="262"/>
        <v>2463001016.7893286</v>
      </c>
      <c r="E1884" s="40">
        <f t="shared" ca="1" si="263"/>
        <v>7133709360334.0527</v>
      </c>
      <c r="F1884" s="40">
        <f t="shared" ca="1" si="264"/>
        <v>3491678257240.0723</v>
      </c>
      <c r="G1884" s="40">
        <f t="shared" ca="1" si="265"/>
        <v>5343655626899.5225</v>
      </c>
      <c r="H1884" s="40">
        <f t="shared" ca="1" si="266"/>
        <v>3491678257240.0723</v>
      </c>
      <c r="I1884" s="40">
        <f t="shared" ca="1" si="267"/>
        <v>2436053332012.8921</v>
      </c>
      <c r="J1884" s="40">
        <f t="shared" ca="1" si="268"/>
        <v>861055178146.62976</v>
      </c>
      <c r="K1884" s="41">
        <f t="shared" ca="1" si="269"/>
        <v>2.8291489254571962</v>
      </c>
    </row>
    <row r="1885" spans="2:11" ht="15" customHeight="1" x14ac:dyDescent="0.35">
      <c r="B1885" s="5">
        <v>1864</v>
      </c>
      <c r="C1885" s="39">
        <f t="shared" ca="1" si="261"/>
        <v>3.0411921899706473</v>
      </c>
      <c r="D1885" s="40">
        <f t="shared" ca="1" si="262"/>
        <v>4844073746.2048874</v>
      </c>
      <c r="E1885" s="40">
        <f t="shared" ca="1" si="263"/>
        <v>6833354747352.499</v>
      </c>
      <c r="F1885" s="40">
        <f t="shared" ca="1" si="264"/>
        <v>861735659201.80908</v>
      </c>
      <c r="G1885" s="40">
        <f t="shared" ca="1" si="265"/>
        <v>975525517449.85974</v>
      </c>
      <c r="H1885" s="40">
        <f t="shared" ca="1" si="266"/>
        <v>975525517449.85974</v>
      </c>
      <c r="I1885" s="40">
        <f t="shared" ca="1" si="267"/>
        <v>12577360766889.539</v>
      </c>
      <c r="J1885" s="40">
        <f t="shared" ca="1" si="268"/>
        <v>573750591847.06189</v>
      </c>
      <c r="K1885" s="41">
        <f t="shared" ca="1" si="269"/>
        <v>21.921303342624075</v>
      </c>
    </row>
    <row r="1886" spans="2:11" ht="15" customHeight="1" x14ac:dyDescent="0.35">
      <c r="B1886" s="5">
        <v>1865</v>
      </c>
      <c r="C1886" s="39">
        <f t="shared" ca="1" si="261"/>
        <v>3.0521857972261803</v>
      </c>
      <c r="D1886" s="40">
        <f t="shared" ca="1" si="262"/>
        <v>4308474591.0410538</v>
      </c>
      <c r="E1886" s="40">
        <f t="shared" ca="1" si="263"/>
        <v>857337724458.43884</v>
      </c>
      <c r="F1886" s="40">
        <f t="shared" ca="1" si="264"/>
        <v>5785017796036.8877</v>
      </c>
      <c r="G1886" s="40">
        <f t="shared" ca="1" si="265"/>
        <v>2893259768254.0928</v>
      </c>
      <c r="H1886" s="40">
        <f t="shared" ca="1" si="266"/>
        <v>2893259768254.0928</v>
      </c>
      <c r="I1886" s="40">
        <f t="shared" ca="1" si="267"/>
        <v>37118334644723.461</v>
      </c>
      <c r="J1886" s="40">
        <f t="shared" ca="1" si="268"/>
        <v>1091693338392.0284</v>
      </c>
      <c r="K1886" s="41">
        <f t="shared" ca="1" si="269"/>
        <v>34.000697209891939</v>
      </c>
    </row>
    <row r="1887" spans="2:11" ht="15" customHeight="1" x14ac:dyDescent="0.35">
      <c r="B1887" s="5">
        <v>1866</v>
      </c>
      <c r="C1887" s="39">
        <f t="shared" ca="1" si="261"/>
        <v>3.3160370348934602</v>
      </c>
      <c r="D1887" s="40">
        <f t="shared" ca="1" si="262"/>
        <v>7985460966.9210548</v>
      </c>
      <c r="E1887" s="40">
        <f t="shared" ca="1" si="263"/>
        <v>20194590399235.375</v>
      </c>
      <c r="F1887" s="40">
        <f t="shared" ca="1" si="264"/>
        <v>9028783559628.2402</v>
      </c>
      <c r="G1887" s="40">
        <f t="shared" ca="1" si="265"/>
        <v>5167539721207.8359</v>
      </c>
      <c r="H1887" s="40">
        <f t="shared" ca="1" si="266"/>
        <v>5167539721207.8359</v>
      </c>
      <c r="I1887" s="40">
        <f t="shared" ca="1" si="267"/>
        <v>1261079517680.1709</v>
      </c>
      <c r="J1887" s="40">
        <f t="shared" ca="1" si="268"/>
        <v>1359575939888.2749</v>
      </c>
      <c r="K1887" s="41">
        <f t="shared" ca="1" si="269"/>
        <v>0.92755357069925926</v>
      </c>
    </row>
    <row r="1888" spans="2:11" ht="15" customHeight="1" x14ac:dyDescent="0.35">
      <c r="B1888" s="5">
        <v>1867</v>
      </c>
      <c r="C1888" s="39">
        <f t="shared" ca="1" si="261"/>
        <v>2.6331420928110241</v>
      </c>
      <c r="D1888" s="40">
        <f t="shared" ca="1" si="262"/>
        <v>2928602120.2475123</v>
      </c>
      <c r="E1888" s="40">
        <f t="shared" ca="1" si="263"/>
        <v>12783885694986.207</v>
      </c>
      <c r="F1888" s="40">
        <f t="shared" ca="1" si="264"/>
        <v>3181379214745.562</v>
      </c>
      <c r="G1888" s="40">
        <f t="shared" ca="1" si="265"/>
        <v>676921396186.07288</v>
      </c>
      <c r="H1888" s="40">
        <f t="shared" ca="1" si="266"/>
        <v>676921396186.07288</v>
      </c>
      <c r="I1888" s="40">
        <f t="shared" ca="1" si="267"/>
        <v>53638292671214.875</v>
      </c>
      <c r="J1888" s="40">
        <f t="shared" ca="1" si="268"/>
        <v>1755720656330.811</v>
      </c>
      <c r="K1888" s="41">
        <f t="shared" ca="1" si="269"/>
        <v>30.550584728729422</v>
      </c>
    </row>
    <row r="1889" spans="2:11" ht="15" customHeight="1" x14ac:dyDescent="0.35">
      <c r="B1889" s="5">
        <v>1868</v>
      </c>
      <c r="C1889" s="39">
        <f t="shared" ca="1" si="261"/>
        <v>2.8337237088793006</v>
      </c>
      <c r="D1889" s="40">
        <f t="shared" ca="1" si="262"/>
        <v>3604998723.3624167</v>
      </c>
      <c r="E1889" s="40">
        <f t="shared" ca="1" si="263"/>
        <v>42955241050914.578</v>
      </c>
      <c r="F1889" s="40">
        <f t="shared" ca="1" si="264"/>
        <v>1515556335943.7</v>
      </c>
      <c r="G1889" s="40">
        <f t="shared" ca="1" si="265"/>
        <v>30877504954746.086</v>
      </c>
      <c r="H1889" s="40">
        <f t="shared" ca="1" si="266"/>
        <v>42955241050914.578</v>
      </c>
      <c r="I1889" s="40">
        <f t="shared" ca="1" si="267"/>
        <v>25865990249688.383</v>
      </c>
      <c r="J1889" s="40">
        <f t="shared" ca="1" si="268"/>
        <v>1083236717771.0256</v>
      </c>
      <c r="K1889" s="41">
        <f t="shared" ca="1" si="269"/>
        <v>23.878428256118188</v>
      </c>
    </row>
    <row r="1890" spans="2:11" ht="15" customHeight="1" x14ac:dyDescent="0.35">
      <c r="B1890" s="5">
        <v>1869</v>
      </c>
      <c r="C1890" s="39">
        <f t="shared" ca="1" si="261"/>
        <v>3.075460395046882</v>
      </c>
      <c r="D1890" s="40">
        <f t="shared" ca="1" si="262"/>
        <v>5634437770.6870689</v>
      </c>
      <c r="E1890" s="40">
        <f t="shared" ca="1" si="263"/>
        <v>33972538276480.77</v>
      </c>
      <c r="F1890" s="40">
        <f t="shared" ca="1" si="264"/>
        <v>306139584469.16144</v>
      </c>
      <c r="G1890" s="40">
        <f t="shared" ca="1" si="265"/>
        <v>10914082121899.09</v>
      </c>
      <c r="H1890" s="40">
        <f t="shared" ca="1" si="266"/>
        <v>306139584469.16144</v>
      </c>
      <c r="I1890" s="40">
        <f t="shared" ca="1" si="267"/>
        <v>1404243476011.47</v>
      </c>
      <c r="J1890" s="40">
        <f t="shared" ca="1" si="268"/>
        <v>758998225043.30249</v>
      </c>
      <c r="K1890" s="41">
        <f t="shared" ca="1" si="269"/>
        <v>1.8501274834092727</v>
      </c>
    </row>
    <row r="1891" spans="2:11" ht="15" customHeight="1" x14ac:dyDescent="0.35">
      <c r="B1891" s="5">
        <v>1870</v>
      </c>
      <c r="C1891" s="39">
        <f t="shared" ca="1" si="261"/>
        <v>3.0106217417260686</v>
      </c>
      <c r="D1891" s="40">
        <f t="shared" ca="1" si="262"/>
        <v>4154922182.5645061</v>
      </c>
      <c r="E1891" s="40">
        <f t="shared" ca="1" si="263"/>
        <v>78022186899759.469</v>
      </c>
      <c r="F1891" s="40">
        <f t="shared" ca="1" si="264"/>
        <v>3710905023646.8403</v>
      </c>
      <c r="G1891" s="40">
        <f t="shared" ca="1" si="265"/>
        <v>17871617615534.832</v>
      </c>
      <c r="H1891" s="40">
        <f t="shared" ca="1" si="266"/>
        <v>3710905023646.8403</v>
      </c>
      <c r="I1891" s="40">
        <f t="shared" ca="1" si="267"/>
        <v>2561125735445.8726</v>
      </c>
      <c r="J1891" s="40">
        <f t="shared" ca="1" si="268"/>
        <v>1477558954300.9351</v>
      </c>
      <c r="K1891" s="41">
        <f t="shared" ca="1" si="269"/>
        <v>1.7333492704239313</v>
      </c>
    </row>
    <row r="1892" spans="2:11" ht="15" customHeight="1" x14ac:dyDescent="0.35">
      <c r="B1892" s="5">
        <v>1871</v>
      </c>
      <c r="C1892" s="39">
        <f t="shared" ca="1" si="261"/>
        <v>2.5756390792457333</v>
      </c>
      <c r="D1892" s="40">
        <f t="shared" ca="1" si="262"/>
        <v>2313288810.0107265</v>
      </c>
      <c r="E1892" s="40">
        <f t="shared" ca="1" si="263"/>
        <v>6016575809431.3457</v>
      </c>
      <c r="F1892" s="40">
        <f t="shared" ca="1" si="264"/>
        <v>1079721673782.1541</v>
      </c>
      <c r="G1892" s="40">
        <f t="shared" ca="1" si="265"/>
        <v>69819012319630.258</v>
      </c>
      <c r="H1892" s="40">
        <f t="shared" ca="1" si="266"/>
        <v>6016575809431.3457</v>
      </c>
      <c r="I1892" s="40">
        <f t="shared" ca="1" si="267"/>
        <v>50499067857431.109</v>
      </c>
      <c r="J1892" s="40">
        <f t="shared" ca="1" si="268"/>
        <v>1261353983332.3472</v>
      </c>
      <c r="K1892" s="41">
        <f t="shared" ca="1" si="269"/>
        <v>40.035603426738767</v>
      </c>
    </row>
    <row r="1893" spans="2:11" ht="15" customHeight="1" x14ac:dyDescent="0.35">
      <c r="B1893" s="5">
        <v>1872</v>
      </c>
      <c r="C1893" s="39">
        <f t="shared" ca="1" si="261"/>
        <v>3.7479347543902222</v>
      </c>
      <c r="D1893" s="40">
        <f t="shared" ca="1" si="262"/>
        <v>14787661341.378386</v>
      </c>
      <c r="E1893" s="40">
        <f t="shared" ca="1" si="263"/>
        <v>60328992714117.25</v>
      </c>
      <c r="F1893" s="40">
        <f t="shared" ca="1" si="264"/>
        <v>1349219092255.3708</v>
      </c>
      <c r="G1893" s="40">
        <f t="shared" ca="1" si="265"/>
        <v>66205067884288.891</v>
      </c>
      <c r="H1893" s="40">
        <f t="shared" ca="1" si="266"/>
        <v>1349219092255.3708</v>
      </c>
      <c r="I1893" s="40">
        <f t="shared" ca="1" si="267"/>
        <v>5325586561127.0645</v>
      </c>
      <c r="J1893" s="40">
        <f t="shared" ca="1" si="268"/>
        <v>1578997087527.8618</v>
      </c>
      <c r="K1893" s="41">
        <f t="shared" ca="1" si="269"/>
        <v>3.3727652844914404</v>
      </c>
    </row>
    <row r="1894" spans="2:11" ht="15" customHeight="1" x14ac:dyDescent="0.35">
      <c r="B1894" s="5">
        <v>1873</v>
      </c>
      <c r="C1894" s="39">
        <f t="shared" ca="1" si="261"/>
        <v>2.3841719869670022</v>
      </c>
      <c r="D1894" s="40">
        <f t="shared" ca="1" si="262"/>
        <v>1309542068.825953</v>
      </c>
      <c r="E1894" s="40">
        <f t="shared" ca="1" si="263"/>
        <v>8006447947507.791</v>
      </c>
      <c r="F1894" s="40">
        <f t="shared" ca="1" si="264"/>
        <v>2227138229968.6631</v>
      </c>
      <c r="G1894" s="40">
        <f t="shared" ca="1" si="265"/>
        <v>12728824752322.967</v>
      </c>
      <c r="H1894" s="40">
        <f t="shared" ca="1" si="266"/>
        <v>8006447947507.791</v>
      </c>
      <c r="I1894" s="40">
        <f t="shared" ca="1" si="267"/>
        <v>17179783256619.965</v>
      </c>
      <c r="J1894" s="40">
        <f t="shared" ca="1" si="268"/>
        <v>1343082930764.8811</v>
      </c>
      <c r="K1894" s="41">
        <f t="shared" ca="1" si="269"/>
        <v>12.791304887506938</v>
      </c>
    </row>
    <row r="1895" spans="2:11" ht="15" customHeight="1" x14ac:dyDescent="0.35">
      <c r="B1895" s="5">
        <v>1874</v>
      </c>
      <c r="C1895" s="39">
        <f t="shared" ca="1" si="261"/>
        <v>3.2818027525219255</v>
      </c>
      <c r="D1895" s="40">
        <f t="shared" ca="1" si="262"/>
        <v>6781074345.2913742</v>
      </c>
      <c r="E1895" s="40">
        <f t="shared" ca="1" si="263"/>
        <v>93526642697741.297</v>
      </c>
      <c r="F1895" s="40">
        <f t="shared" ca="1" si="264"/>
        <v>545527004169.76917</v>
      </c>
      <c r="G1895" s="40">
        <f t="shared" ca="1" si="265"/>
        <v>5137896261116.792</v>
      </c>
      <c r="H1895" s="40">
        <f t="shared" ca="1" si="266"/>
        <v>5137896261116.792</v>
      </c>
      <c r="I1895" s="40">
        <f t="shared" ca="1" si="267"/>
        <v>15017733277210.766</v>
      </c>
      <c r="J1895" s="40">
        <f t="shared" ca="1" si="268"/>
        <v>1286262203568.8713</v>
      </c>
      <c r="K1895" s="41">
        <f t="shared" ca="1" si="269"/>
        <v>11.675483610995073</v>
      </c>
    </row>
    <row r="1896" spans="2:11" ht="15" customHeight="1" x14ac:dyDescent="0.35">
      <c r="B1896" s="5">
        <v>1875</v>
      </c>
      <c r="C1896" s="39">
        <f t="shared" ca="1" si="261"/>
        <v>2.4912011359176987</v>
      </c>
      <c r="D1896" s="40">
        <f t="shared" ca="1" si="262"/>
        <v>1797353099.5695643</v>
      </c>
      <c r="E1896" s="40">
        <f t="shared" ca="1" si="263"/>
        <v>3881619675142.7339</v>
      </c>
      <c r="F1896" s="40">
        <f t="shared" ca="1" si="264"/>
        <v>5639253009798.2529</v>
      </c>
      <c r="G1896" s="40">
        <f t="shared" ca="1" si="265"/>
        <v>4742497215924.0371</v>
      </c>
      <c r="H1896" s="40">
        <f t="shared" ca="1" si="266"/>
        <v>5639253009798.2529</v>
      </c>
      <c r="I1896" s="40">
        <f t="shared" ca="1" si="267"/>
        <v>33741243369634.539</v>
      </c>
      <c r="J1896" s="40">
        <f t="shared" ca="1" si="268"/>
        <v>1462499954400.175</v>
      </c>
      <c r="K1896" s="41">
        <f t="shared" ca="1" si="269"/>
        <v>23.070936356694151</v>
      </c>
    </row>
    <row r="1897" spans="2:11" ht="15" customHeight="1" x14ac:dyDescent="0.35">
      <c r="B1897" s="5">
        <v>1876</v>
      </c>
      <c r="C1897" s="39">
        <f t="shared" ca="1" si="261"/>
        <v>3.3064763778954722</v>
      </c>
      <c r="D1897" s="40">
        <f t="shared" ca="1" si="262"/>
        <v>9103697130.8571091</v>
      </c>
      <c r="E1897" s="40">
        <f t="shared" ca="1" si="263"/>
        <v>66188203044072.008</v>
      </c>
      <c r="F1897" s="40">
        <f t="shared" ca="1" si="264"/>
        <v>7210476303670.4551</v>
      </c>
      <c r="G1897" s="40">
        <f t="shared" ca="1" si="265"/>
        <v>13382415108994.639</v>
      </c>
      <c r="H1897" s="40">
        <f t="shared" ca="1" si="266"/>
        <v>13382415108994.639</v>
      </c>
      <c r="I1897" s="40">
        <f t="shared" ca="1" si="267"/>
        <v>2207291542500.7935</v>
      </c>
      <c r="J1897" s="40">
        <f t="shared" ca="1" si="268"/>
        <v>1278435853138.4199</v>
      </c>
      <c r="K1897" s="41">
        <f t="shared" ca="1" si="269"/>
        <v>1.7265563517184961</v>
      </c>
    </row>
    <row r="1898" spans="2:11" ht="15" customHeight="1" x14ac:dyDescent="0.35">
      <c r="B1898" s="5">
        <v>1877</v>
      </c>
      <c r="C1898" s="39">
        <f t="shared" ca="1" si="261"/>
        <v>2.5846637575399658</v>
      </c>
      <c r="D1898" s="40">
        <f t="shared" ca="1" si="262"/>
        <v>2626994285.2980747</v>
      </c>
      <c r="E1898" s="40">
        <f t="shared" ca="1" si="263"/>
        <v>6477572824312.416</v>
      </c>
      <c r="F1898" s="40">
        <f t="shared" ca="1" si="264"/>
        <v>8525822421066.752</v>
      </c>
      <c r="G1898" s="40">
        <f t="shared" ca="1" si="265"/>
        <v>9630599874228.1426</v>
      </c>
      <c r="H1898" s="40">
        <f t="shared" ca="1" si="266"/>
        <v>6477572824312.416</v>
      </c>
      <c r="I1898" s="40">
        <f t="shared" ca="1" si="267"/>
        <v>48251772569456.188</v>
      </c>
      <c r="J1898" s="40">
        <f t="shared" ca="1" si="268"/>
        <v>727923414130.91028</v>
      </c>
      <c r="K1898" s="41">
        <f t="shared" ca="1" si="269"/>
        <v>66.28688077998622</v>
      </c>
    </row>
    <row r="1899" spans="2:11" ht="15" customHeight="1" x14ac:dyDescent="0.35">
      <c r="B1899" s="5">
        <v>1878</v>
      </c>
      <c r="C1899" s="39">
        <f t="shared" ca="1" si="261"/>
        <v>3.3678769988041526</v>
      </c>
      <c r="D1899" s="40">
        <f t="shared" ca="1" si="262"/>
        <v>10044506207.18433</v>
      </c>
      <c r="E1899" s="40">
        <f t="shared" ca="1" si="263"/>
        <v>26466329387148.207</v>
      </c>
      <c r="F1899" s="40">
        <f t="shared" ca="1" si="264"/>
        <v>3919115853721.6089</v>
      </c>
      <c r="G1899" s="40">
        <f t="shared" ca="1" si="265"/>
        <v>26681642369878.371</v>
      </c>
      <c r="H1899" s="40">
        <f t="shared" ca="1" si="266"/>
        <v>3919115853721.6089</v>
      </c>
      <c r="I1899" s="40">
        <f t="shared" ca="1" si="267"/>
        <v>16995990812201.004</v>
      </c>
      <c r="J1899" s="40">
        <f t="shared" ca="1" si="268"/>
        <v>1288442844742.8701</v>
      </c>
      <c r="K1899" s="41">
        <f t="shared" ca="1" si="269"/>
        <v>13.191109626281353</v>
      </c>
    </row>
    <row r="1900" spans="2:11" ht="15" customHeight="1" x14ac:dyDescent="0.35">
      <c r="B1900" s="5">
        <v>1879</v>
      </c>
      <c r="C1900" s="39">
        <f t="shared" ca="1" si="261"/>
        <v>2.5740983925769378</v>
      </c>
      <c r="D1900" s="40">
        <f t="shared" ca="1" si="262"/>
        <v>1971342781.9012294</v>
      </c>
      <c r="E1900" s="40">
        <f t="shared" ca="1" si="263"/>
        <v>13906606868284.666</v>
      </c>
      <c r="F1900" s="40">
        <f t="shared" ca="1" si="264"/>
        <v>6068940518460.4092</v>
      </c>
      <c r="G1900" s="40">
        <f t="shared" ca="1" si="265"/>
        <v>3235543409177.8223</v>
      </c>
      <c r="H1900" s="40">
        <f t="shared" ca="1" si="266"/>
        <v>13906606868284.666</v>
      </c>
      <c r="I1900" s="40">
        <f t="shared" ca="1" si="267"/>
        <v>770257369738.47803</v>
      </c>
      <c r="J1900" s="40">
        <f t="shared" ca="1" si="268"/>
        <v>724332950140.65344</v>
      </c>
      <c r="K1900" s="41">
        <f t="shared" ca="1" si="269"/>
        <v>1.0634023615643977</v>
      </c>
    </row>
    <row r="1901" spans="2:11" ht="15" customHeight="1" x14ac:dyDescent="0.35">
      <c r="B1901" s="5">
        <v>1880</v>
      </c>
      <c r="C1901" s="39">
        <f t="shared" ca="1" si="261"/>
        <v>2.9801337194241881</v>
      </c>
      <c r="D1901" s="40">
        <f t="shared" ca="1" si="262"/>
        <v>4978704755.3928833</v>
      </c>
      <c r="E1901" s="40">
        <f t="shared" ca="1" si="263"/>
        <v>35985988608563.656</v>
      </c>
      <c r="F1901" s="40">
        <f t="shared" ca="1" si="264"/>
        <v>2034481021473.2595</v>
      </c>
      <c r="G1901" s="40">
        <f t="shared" ca="1" si="265"/>
        <v>83273355030229.156</v>
      </c>
      <c r="H1901" s="40">
        <f t="shared" ca="1" si="266"/>
        <v>83273355030229.156</v>
      </c>
      <c r="I1901" s="40">
        <f t="shared" ca="1" si="267"/>
        <v>640372464738.84106</v>
      </c>
      <c r="J1901" s="40">
        <f t="shared" ca="1" si="268"/>
        <v>819777476694.17822</v>
      </c>
      <c r="K1901" s="41">
        <f t="shared" ca="1" si="269"/>
        <v>0.78115401184379574</v>
      </c>
    </row>
    <row r="1902" spans="2:11" ht="15" customHeight="1" x14ac:dyDescent="0.35">
      <c r="B1902" s="5">
        <v>1881</v>
      </c>
      <c r="C1902" s="39">
        <f t="shared" ca="1" si="261"/>
        <v>3.9310800579508367</v>
      </c>
      <c r="D1902" s="40">
        <f t="shared" ca="1" si="262"/>
        <v>17059771842.872541</v>
      </c>
      <c r="E1902" s="40">
        <f t="shared" ca="1" si="263"/>
        <v>359620242979523</v>
      </c>
      <c r="F1902" s="40">
        <f t="shared" ca="1" si="264"/>
        <v>3332642768518.7217</v>
      </c>
      <c r="G1902" s="40">
        <f t="shared" ca="1" si="265"/>
        <v>3484345248015.2578</v>
      </c>
      <c r="H1902" s="40">
        <f t="shared" ca="1" si="266"/>
        <v>3484345248015.2578</v>
      </c>
      <c r="I1902" s="40">
        <f t="shared" ca="1" si="267"/>
        <v>2427607072076.876</v>
      </c>
      <c r="J1902" s="40">
        <f t="shared" ca="1" si="268"/>
        <v>1329752951555.9753</v>
      </c>
      <c r="K1902" s="41">
        <f t="shared" ca="1" si="269"/>
        <v>1.825607583150145</v>
      </c>
    </row>
    <row r="1903" spans="2:11" ht="15" customHeight="1" x14ac:dyDescent="0.35">
      <c r="B1903" s="5">
        <v>1882</v>
      </c>
      <c r="C1903" s="39">
        <f t="shared" ca="1" si="261"/>
        <v>2.2783568507529166</v>
      </c>
      <c r="D1903" s="40">
        <f t="shared" ca="1" si="262"/>
        <v>1155908945.0278642</v>
      </c>
      <c r="E1903" s="40">
        <f t="shared" ca="1" si="263"/>
        <v>3858648343677.9766</v>
      </c>
      <c r="F1903" s="40">
        <f t="shared" ca="1" si="264"/>
        <v>1431613096621.6016</v>
      </c>
      <c r="G1903" s="40">
        <f t="shared" ca="1" si="265"/>
        <v>75874405101322.109</v>
      </c>
      <c r="H1903" s="40">
        <f t="shared" ca="1" si="266"/>
        <v>1431613096621.6016</v>
      </c>
      <c r="I1903" s="40">
        <f t="shared" ca="1" si="267"/>
        <v>19615859525913.414</v>
      </c>
      <c r="J1903" s="40">
        <f t="shared" ca="1" si="268"/>
        <v>723342624794.54382</v>
      </c>
      <c r="K1903" s="41">
        <f t="shared" ca="1" si="269"/>
        <v>27.118351461017589</v>
      </c>
    </row>
    <row r="1904" spans="2:11" ht="15" customHeight="1" x14ac:dyDescent="0.35">
      <c r="B1904" s="5">
        <v>1883</v>
      </c>
      <c r="C1904" s="39">
        <f t="shared" ca="1" si="261"/>
        <v>3.8671371753127972</v>
      </c>
      <c r="D1904" s="40">
        <f t="shared" ca="1" si="262"/>
        <v>14442808877.463282</v>
      </c>
      <c r="E1904" s="40">
        <f t="shared" ca="1" si="263"/>
        <v>15311526813350.369</v>
      </c>
      <c r="F1904" s="40">
        <f t="shared" ca="1" si="264"/>
        <v>1186175804982.1807</v>
      </c>
      <c r="G1904" s="40">
        <f t="shared" ca="1" si="265"/>
        <v>2447193165692.5166</v>
      </c>
      <c r="H1904" s="40">
        <f t="shared" ca="1" si="266"/>
        <v>15311526813350.369</v>
      </c>
      <c r="I1904" s="40">
        <f t="shared" ca="1" si="267"/>
        <v>7652471731388.1611</v>
      </c>
      <c r="J1904" s="40">
        <f t="shared" ca="1" si="268"/>
        <v>1555890021121.2183</v>
      </c>
      <c r="K1904" s="41">
        <f t="shared" ca="1" si="269"/>
        <v>4.9183885927062985</v>
      </c>
    </row>
    <row r="1905" spans="2:11" ht="15" customHeight="1" x14ac:dyDescent="0.35">
      <c r="B1905" s="5">
        <v>1884</v>
      </c>
      <c r="C1905" s="39">
        <f t="shared" ca="1" si="261"/>
        <v>3.0286128643508863</v>
      </c>
      <c r="D1905" s="40">
        <f t="shared" ca="1" si="262"/>
        <v>4744641964.8284101</v>
      </c>
      <c r="E1905" s="40">
        <f t="shared" ca="1" si="263"/>
        <v>12667989302636.16</v>
      </c>
      <c r="F1905" s="40">
        <f t="shared" ca="1" si="264"/>
        <v>7169833411368.8379</v>
      </c>
      <c r="G1905" s="40">
        <f t="shared" ca="1" si="265"/>
        <v>4979905743541.9453</v>
      </c>
      <c r="H1905" s="40">
        <f t="shared" ca="1" si="266"/>
        <v>7169833411368.8379</v>
      </c>
      <c r="I1905" s="40">
        <f t="shared" ca="1" si="267"/>
        <v>3452571196966.6338</v>
      </c>
      <c r="J1905" s="40">
        <f t="shared" ca="1" si="268"/>
        <v>1151788429610.9302</v>
      </c>
      <c r="K1905" s="41">
        <f t="shared" ca="1" si="269"/>
        <v>2.9975741275095977</v>
      </c>
    </row>
    <row r="1906" spans="2:11" ht="15" customHeight="1" x14ac:dyDescent="0.35">
      <c r="B1906" s="5">
        <v>1885</v>
      </c>
      <c r="C1906" s="39">
        <f t="shared" ca="1" si="261"/>
        <v>3.1814092469917106</v>
      </c>
      <c r="D1906" s="40">
        <f t="shared" ca="1" si="262"/>
        <v>5856616714.331809</v>
      </c>
      <c r="E1906" s="40">
        <f t="shared" ca="1" si="263"/>
        <v>19516189595996.496</v>
      </c>
      <c r="F1906" s="40">
        <f t="shared" ca="1" si="264"/>
        <v>2211706004394.2935</v>
      </c>
      <c r="G1906" s="40">
        <f t="shared" ca="1" si="265"/>
        <v>8265998466880.0371</v>
      </c>
      <c r="H1906" s="40">
        <f t="shared" ca="1" si="266"/>
        <v>2211706004394.2935</v>
      </c>
      <c r="I1906" s="40">
        <f t="shared" ca="1" si="267"/>
        <v>8855041601416.0059</v>
      </c>
      <c r="J1906" s="40">
        <f t="shared" ca="1" si="268"/>
        <v>1212070532185.145</v>
      </c>
      <c r="K1906" s="41">
        <f t="shared" ca="1" si="269"/>
        <v>7.3057147800235347</v>
      </c>
    </row>
    <row r="1907" spans="2:11" ht="15" customHeight="1" x14ac:dyDescent="0.35">
      <c r="B1907" s="5">
        <v>1886</v>
      </c>
      <c r="C1907" s="39">
        <f t="shared" ca="1" si="261"/>
        <v>3.1547586337467357</v>
      </c>
      <c r="D1907" s="40">
        <f t="shared" ca="1" si="262"/>
        <v>5102675784.8020144</v>
      </c>
      <c r="E1907" s="40">
        <f t="shared" ca="1" si="263"/>
        <v>28901437748798.758</v>
      </c>
      <c r="F1907" s="40">
        <f t="shared" ca="1" si="264"/>
        <v>10029929655658.451</v>
      </c>
      <c r="G1907" s="40">
        <f t="shared" ca="1" si="265"/>
        <v>3353946818765.9849</v>
      </c>
      <c r="H1907" s="40">
        <f t="shared" ca="1" si="266"/>
        <v>10029929655658.451</v>
      </c>
      <c r="I1907" s="40">
        <f t="shared" ca="1" si="267"/>
        <v>90120054435092.703</v>
      </c>
      <c r="J1907" s="40">
        <f t="shared" ca="1" si="268"/>
        <v>1181801371080.5605</v>
      </c>
      <c r="K1907" s="41">
        <f t="shared" ca="1" si="269"/>
        <v>76.256515384385551</v>
      </c>
    </row>
    <row r="1908" spans="2:11" ht="15" customHeight="1" x14ac:dyDescent="0.35">
      <c r="B1908" s="5">
        <v>1887</v>
      </c>
      <c r="C1908" s="39">
        <f t="shared" ca="1" si="261"/>
        <v>3.0207256471338799</v>
      </c>
      <c r="D1908" s="40">
        <f t="shared" ca="1" si="262"/>
        <v>4569686616.6480837</v>
      </c>
      <c r="E1908" s="40">
        <f t="shared" ca="1" si="263"/>
        <v>11486737227918.27</v>
      </c>
      <c r="F1908" s="40">
        <f t="shared" ca="1" si="264"/>
        <v>498672813972.5719</v>
      </c>
      <c r="G1908" s="40">
        <f t="shared" ca="1" si="265"/>
        <v>15475493075142.785</v>
      </c>
      <c r="H1908" s="40">
        <f t="shared" ca="1" si="266"/>
        <v>15475493075142.785</v>
      </c>
      <c r="I1908" s="40">
        <f t="shared" ca="1" si="267"/>
        <v>11942974394128.428</v>
      </c>
      <c r="J1908" s="40">
        <f t="shared" ca="1" si="268"/>
        <v>757521464882.53662</v>
      </c>
      <c r="K1908" s="41">
        <f t="shared" ca="1" si="269"/>
        <v>15.765856081689169</v>
      </c>
    </row>
    <row r="1909" spans="2:11" ht="15" customHeight="1" x14ac:dyDescent="0.35">
      <c r="B1909" s="5">
        <v>1888</v>
      </c>
      <c r="C1909" s="39">
        <f t="shared" ca="1" si="261"/>
        <v>3.647938726146879</v>
      </c>
      <c r="D1909" s="40">
        <f t="shared" ca="1" si="262"/>
        <v>12947832848.181997</v>
      </c>
      <c r="E1909" s="40">
        <f t="shared" ca="1" si="263"/>
        <v>93129174270263.234</v>
      </c>
      <c r="F1909" s="40">
        <f t="shared" ca="1" si="264"/>
        <v>2230626468294.2256</v>
      </c>
      <c r="G1909" s="40">
        <f t="shared" ca="1" si="265"/>
        <v>762516453436.53638</v>
      </c>
      <c r="H1909" s="40">
        <f t="shared" ca="1" si="266"/>
        <v>762516453436.53638</v>
      </c>
      <c r="I1909" s="40">
        <f t="shared" ca="1" si="267"/>
        <v>18807580965617.516</v>
      </c>
      <c r="J1909" s="40">
        <f t="shared" ca="1" si="268"/>
        <v>1286934380962.7517</v>
      </c>
      <c r="K1909" s="41">
        <f t="shared" ca="1" si="269"/>
        <v>14.614250146575166</v>
      </c>
    </row>
    <row r="1910" spans="2:11" ht="15" customHeight="1" x14ac:dyDescent="0.35">
      <c r="B1910" s="5">
        <v>1889</v>
      </c>
      <c r="C1910" s="39">
        <f t="shared" ca="1" si="261"/>
        <v>3.165785501883934</v>
      </c>
      <c r="D1910" s="40">
        <f t="shared" ca="1" si="262"/>
        <v>6863598283.7442026</v>
      </c>
      <c r="E1910" s="40">
        <f t="shared" ca="1" si="263"/>
        <v>34255316070808.535</v>
      </c>
      <c r="F1910" s="40">
        <f t="shared" ca="1" si="264"/>
        <v>1087599421467.141</v>
      </c>
      <c r="G1910" s="40">
        <f t="shared" ca="1" si="265"/>
        <v>3563318064485.9307</v>
      </c>
      <c r="H1910" s="40">
        <f t="shared" ca="1" si="266"/>
        <v>1087599421467.141</v>
      </c>
      <c r="I1910" s="40">
        <f t="shared" ca="1" si="267"/>
        <v>209800492336499.53</v>
      </c>
      <c r="J1910" s="40">
        <f t="shared" ca="1" si="268"/>
        <v>705247284815.90759</v>
      </c>
      <c r="K1910" s="41">
        <f t="shared" ca="1" si="269"/>
        <v>297.48500540666987</v>
      </c>
    </row>
    <row r="1911" spans="2:11" ht="15" customHeight="1" x14ac:dyDescent="0.35">
      <c r="B1911" s="5">
        <v>1890</v>
      </c>
      <c r="C1911" s="39">
        <f t="shared" ca="1" si="261"/>
        <v>2.7345598667229138</v>
      </c>
      <c r="D1911" s="40">
        <f t="shared" ca="1" si="262"/>
        <v>3413167971.2010698</v>
      </c>
      <c r="E1911" s="40">
        <f t="shared" ca="1" si="263"/>
        <v>1967799316598.2512</v>
      </c>
      <c r="F1911" s="40">
        <f t="shared" ca="1" si="264"/>
        <v>4059219766444.5039</v>
      </c>
      <c r="G1911" s="40">
        <f t="shared" ca="1" si="265"/>
        <v>1227553133713.9978</v>
      </c>
      <c r="H1911" s="40">
        <f t="shared" ca="1" si="266"/>
        <v>1967799316598.2512</v>
      </c>
      <c r="I1911" s="40">
        <f t="shared" ca="1" si="267"/>
        <v>7167698376546.0039</v>
      </c>
      <c r="J1911" s="40">
        <f t="shared" ca="1" si="268"/>
        <v>683909891249.60596</v>
      </c>
      <c r="K1911" s="41">
        <f t="shared" ca="1" si="269"/>
        <v>10.480471869546358</v>
      </c>
    </row>
    <row r="1912" spans="2:11" ht="15" customHeight="1" x14ac:dyDescent="0.35">
      <c r="B1912" s="5">
        <v>1891</v>
      </c>
      <c r="C1912" s="39">
        <f t="shared" ca="1" si="261"/>
        <v>2.4408663083198552</v>
      </c>
      <c r="D1912" s="40">
        <f t="shared" ca="1" si="262"/>
        <v>1968727846.2166989</v>
      </c>
      <c r="E1912" s="40">
        <f t="shared" ca="1" si="263"/>
        <v>35458453076742.297</v>
      </c>
      <c r="F1912" s="40">
        <f t="shared" ca="1" si="264"/>
        <v>2107533846867.3022</v>
      </c>
      <c r="G1912" s="40">
        <f t="shared" ca="1" si="265"/>
        <v>1392531675240.2375</v>
      </c>
      <c r="H1912" s="40">
        <f t="shared" ca="1" si="266"/>
        <v>2107533846867.3022</v>
      </c>
      <c r="I1912" s="40">
        <f t="shared" ca="1" si="267"/>
        <v>878523928052.56409</v>
      </c>
      <c r="J1912" s="40">
        <f t="shared" ca="1" si="268"/>
        <v>1048358995132.5262</v>
      </c>
      <c r="K1912" s="41">
        <f t="shared" ca="1" si="269"/>
        <v>0.8379991321021738</v>
      </c>
    </row>
    <row r="1913" spans="2:11" ht="15" customHeight="1" x14ac:dyDescent="0.35">
      <c r="B1913" s="5">
        <v>1892</v>
      </c>
      <c r="C1913" s="39">
        <f t="shared" ca="1" si="261"/>
        <v>3.4032427927710436</v>
      </c>
      <c r="D1913" s="40">
        <f t="shared" ca="1" si="262"/>
        <v>8470167687.4557667</v>
      </c>
      <c r="E1913" s="40">
        <f t="shared" ca="1" si="263"/>
        <v>12513218894250.658</v>
      </c>
      <c r="F1913" s="40">
        <f t="shared" ca="1" si="264"/>
        <v>22054624850187.727</v>
      </c>
      <c r="G1913" s="40">
        <f t="shared" ca="1" si="265"/>
        <v>8649151663156.2744</v>
      </c>
      <c r="H1913" s="40">
        <f t="shared" ca="1" si="266"/>
        <v>8649151663156.2744</v>
      </c>
      <c r="I1913" s="40">
        <f t="shared" ca="1" si="267"/>
        <v>1640883831626.0403</v>
      </c>
      <c r="J1913" s="40">
        <f t="shared" ca="1" si="268"/>
        <v>813675046198.1991</v>
      </c>
      <c r="K1913" s="41">
        <f t="shared" ca="1" si="269"/>
        <v>2.0166328552078339</v>
      </c>
    </row>
    <row r="1914" spans="2:11" ht="15" customHeight="1" x14ac:dyDescent="0.35">
      <c r="B1914" s="5">
        <v>1893</v>
      </c>
      <c r="C1914" s="39">
        <f t="shared" ca="1" si="261"/>
        <v>1.868387016381605</v>
      </c>
      <c r="D1914" s="40">
        <f t="shared" ca="1" si="262"/>
        <v>473165839.98127425</v>
      </c>
      <c r="E1914" s="40">
        <f t="shared" ca="1" si="263"/>
        <v>2890826221892.4849</v>
      </c>
      <c r="F1914" s="40">
        <f t="shared" ca="1" si="264"/>
        <v>3611009162041.3931</v>
      </c>
      <c r="G1914" s="40">
        <f t="shared" ca="1" si="265"/>
        <v>1328025620752.4102</v>
      </c>
      <c r="H1914" s="40">
        <f t="shared" ca="1" si="266"/>
        <v>1328025620752.4102</v>
      </c>
      <c r="I1914" s="40">
        <f t="shared" ca="1" si="267"/>
        <v>2066497224628.7261</v>
      </c>
      <c r="J1914" s="40">
        <f t="shared" ca="1" si="268"/>
        <v>1481363952552.7534</v>
      </c>
      <c r="K1914" s="41">
        <f t="shared" ca="1" si="269"/>
        <v>1.3949962945079395</v>
      </c>
    </row>
    <row r="1915" spans="2:11" ht="15" customHeight="1" x14ac:dyDescent="0.35">
      <c r="B1915" s="5">
        <v>1894</v>
      </c>
      <c r="C1915" s="39">
        <f t="shared" ca="1" si="261"/>
        <v>3.0347186753974107</v>
      </c>
      <c r="D1915" s="40">
        <f t="shared" ca="1" si="262"/>
        <v>5604403831.4042959</v>
      </c>
      <c r="E1915" s="40">
        <f t="shared" ca="1" si="263"/>
        <v>20487825961147.074</v>
      </c>
      <c r="F1915" s="40">
        <f t="shared" ca="1" si="264"/>
        <v>13635130155101.014</v>
      </c>
      <c r="G1915" s="40">
        <f t="shared" ca="1" si="265"/>
        <v>30260297827122.566</v>
      </c>
      <c r="H1915" s="40">
        <f t="shared" ca="1" si="266"/>
        <v>13635130155101.014</v>
      </c>
      <c r="I1915" s="40">
        <f t="shared" ca="1" si="267"/>
        <v>63237209077235</v>
      </c>
      <c r="J1915" s="40">
        <f t="shared" ca="1" si="268"/>
        <v>737638540336.40564</v>
      </c>
      <c r="K1915" s="41">
        <f t="shared" ca="1" si="269"/>
        <v>85.729263886340846</v>
      </c>
    </row>
    <row r="1916" spans="2:11" ht="15" customHeight="1" x14ac:dyDescent="0.35">
      <c r="B1916" s="5">
        <v>1895</v>
      </c>
      <c r="C1916" s="39">
        <f t="shared" ca="1" si="261"/>
        <v>2.4649413390691608</v>
      </c>
      <c r="D1916" s="40">
        <f t="shared" ca="1" si="262"/>
        <v>2071923442.0152104</v>
      </c>
      <c r="E1916" s="40">
        <f t="shared" ca="1" si="263"/>
        <v>3599512780102.6279</v>
      </c>
      <c r="F1916" s="40">
        <f t="shared" ca="1" si="264"/>
        <v>9861980785662.7031</v>
      </c>
      <c r="G1916" s="40">
        <f t="shared" ca="1" si="265"/>
        <v>26194458442470.906</v>
      </c>
      <c r="H1916" s="40">
        <f t="shared" ca="1" si="266"/>
        <v>3599512780102.6279</v>
      </c>
      <c r="I1916" s="40">
        <f t="shared" ca="1" si="267"/>
        <v>17865403350861.594</v>
      </c>
      <c r="J1916" s="40">
        <f t="shared" ca="1" si="268"/>
        <v>795396549994.38818</v>
      </c>
      <c r="K1916" s="41">
        <f t="shared" ca="1" si="269"/>
        <v>22.46100181222516</v>
      </c>
    </row>
    <row r="1917" spans="2:11" ht="15" customHeight="1" x14ac:dyDescent="0.35">
      <c r="B1917" s="5">
        <v>1896</v>
      </c>
      <c r="C1917" s="39">
        <f t="shared" ca="1" si="261"/>
        <v>3.7374393248269691</v>
      </c>
      <c r="D1917" s="40">
        <f t="shared" ca="1" si="262"/>
        <v>11767037588.630001</v>
      </c>
      <c r="E1917" s="40">
        <f t="shared" ca="1" si="263"/>
        <v>37955357237446.156</v>
      </c>
      <c r="F1917" s="40">
        <f t="shared" ca="1" si="264"/>
        <v>993301866599.72437</v>
      </c>
      <c r="G1917" s="40">
        <f t="shared" ca="1" si="265"/>
        <v>21819242637510.367</v>
      </c>
      <c r="H1917" s="40">
        <f t="shared" ca="1" si="266"/>
        <v>37955357237446.156</v>
      </c>
      <c r="I1917" s="40">
        <f t="shared" ca="1" si="267"/>
        <v>80239137780738.078</v>
      </c>
      <c r="J1917" s="40">
        <f t="shared" ca="1" si="268"/>
        <v>1155321030286.5522</v>
      </c>
      <c r="K1917" s="41">
        <f t="shared" ca="1" si="269"/>
        <v>69.451810948889687</v>
      </c>
    </row>
    <row r="1918" spans="2:11" ht="15" customHeight="1" x14ac:dyDescent="0.35">
      <c r="B1918" s="5">
        <v>1897</v>
      </c>
      <c r="C1918" s="39">
        <f t="shared" ca="1" si="261"/>
        <v>2.8743156074629099</v>
      </c>
      <c r="D1918" s="40">
        <f t="shared" ca="1" si="262"/>
        <v>3733119812.1012111</v>
      </c>
      <c r="E1918" s="40">
        <f t="shared" ca="1" si="263"/>
        <v>16133601589869.904</v>
      </c>
      <c r="F1918" s="40">
        <f t="shared" ca="1" si="264"/>
        <v>4503931053373.9316</v>
      </c>
      <c r="G1918" s="40">
        <f t="shared" ca="1" si="265"/>
        <v>794608067531.8269</v>
      </c>
      <c r="H1918" s="40">
        <f t="shared" ca="1" si="266"/>
        <v>4503931053373.9316</v>
      </c>
      <c r="I1918" s="40">
        <f t="shared" ca="1" si="267"/>
        <v>6642899838442.9766</v>
      </c>
      <c r="J1918" s="40">
        <f t="shared" ca="1" si="268"/>
        <v>760416688211.08875</v>
      </c>
      <c r="K1918" s="41">
        <f t="shared" ca="1" si="269"/>
        <v>8.7358680331841079</v>
      </c>
    </row>
    <row r="1919" spans="2:11" ht="15" customHeight="1" x14ac:dyDescent="0.35">
      <c r="B1919" s="5">
        <v>1898</v>
      </c>
      <c r="C1919" s="39">
        <f t="shared" ca="1" si="261"/>
        <v>2.5643872852274017</v>
      </c>
      <c r="D1919" s="40">
        <f t="shared" ca="1" si="262"/>
        <v>2345390716.8878222</v>
      </c>
      <c r="E1919" s="40">
        <f t="shared" ca="1" si="263"/>
        <v>75674451391049.859</v>
      </c>
      <c r="F1919" s="40">
        <f t="shared" ca="1" si="264"/>
        <v>600032757100.49817</v>
      </c>
      <c r="G1919" s="40">
        <f t="shared" ca="1" si="265"/>
        <v>1812410420087.1143</v>
      </c>
      <c r="H1919" s="40">
        <f t="shared" ca="1" si="266"/>
        <v>75674451391049.859</v>
      </c>
      <c r="I1919" s="40">
        <f t="shared" ca="1" si="267"/>
        <v>1695977120016.4924</v>
      </c>
      <c r="J1919" s="40">
        <f t="shared" ca="1" si="268"/>
        <v>594883588691.05994</v>
      </c>
      <c r="K1919" s="41">
        <f t="shared" ca="1" si="269"/>
        <v>2.8509394985129801</v>
      </c>
    </row>
    <row r="1920" spans="2:11" ht="15" customHeight="1" x14ac:dyDescent="0.35">
      <c r="B1920" s="5">
        <v>1899</v>
      </c>
      <c r="C1920" s="39">
        <f t="shared" ca="1" si="261"/>
        <v>3.2217421255841461</v>
      </c>
      <c r="D1920" s="40">
        <f t="shared" ca="1" si="262"/>
        <v>7381933249.0267696</v>
      </c>
      <c r="E1920" s="40">
        <f t="shared" ca="1" si="263"/>
        <v>60406995653728.367</v>
      </c>
      <c r="F1920" s="40">
        <f t="shared" ca="1" si="264"/>
        <v>4088219669420.3276</v>
      </c>
      <c r="G1920" s="40">
        <f t="shared" ca="1" si="265"/>
        <v>2368851266382.5122</v>
      </c>
      <c r="H1920" s="40">
        <f t="shared" ca="1" si="266"/>
        <v>4088219669420.3276</v>
      </c>
      <c r="I1920" s="40">
        <f t="shared" ca="1" si="267"/>
        <v>10219547147591.143</v>
      </c>
      <c r="J1920" s="40">
        <f t="shared" ca="1" si="268"/>
        <v>1189049220206.2307</v>
      </c>
      <c r="K1920" s="41">
        <f t="shared" ca="1" si="269"/>
        <v>8.5947217103583373</v>
      </c>
    </row>
    <row r="1921" spans="2:11" ht="15" customHeight="1" x14ac:dyDescent="0.35">
      <c r="B1921" s="5">
        <v>1900</v>
      </c>
      <c r="C1921" s="39">
        <f t="shared" ca="1" si="261"/>
        <v>2.1162581982577082</v>
      </c>
      <c r="D1921" s="40">
        <f t="shared" ca="1" si="262"/>
        <v>696446807.19050407</v>
      </c>
      <c r="E1921" s="40">
        <f t="shared" ca="1" si="263"/>
        <v>6729559358881.417</v>
      </c>
      <c r="F1921" s="40">
        <f t="shared" ca="1" si="264"/>
        <v>1518864131964.6218</v>
      </c>
      <c r="G1921" s="40">
        <f t="shared" ca="1" si="265"/>
        <v>3237560516348.3535</v>
      </c>
      <c r="H1921" s="40">
        <f t="shared" ca="1" si="266"/>
        <v>1518864131964.6218</v>
      </c>
      <c r="I1921" s="40">
        <f t="shared" ca="1" si="267"/>
        <v>4948068419285.333</v>
      </c>
      <c r="J1921" s="40">
        <f t="shared" ca="1" si="268"/>
        <v>820759217348.25293</v>
      </c>
      <c r="K1921" s="41">
        <f t="shared" ca="1" si="269"/>
        <v>6.0286480062591101</v>
      </c>
    </row>
    <row r="1922" spans="2:11" ht="15" customHeight="1" x14ac:dyDescent="0.35">
      <c r="B1922" s="5">
        <v>1901</v>
      </c>
      <c r="C1922" s="39">
        <f t="shared" ca="1" si="261"/>
        <v>4.0414036965692457</v>
      </c>
      <c r="D1922" s="40">
        <f t="shared" ca="1" si="262"/>
        <v>24671585650.76112</v>
      </c>
      <c r="E1922" s="40">
        <f t="shared" ca="1" si="263"/>
        <v>164292870362703.41</v>
      </c>
      <c r="F1922" s="40">
        <f t="shared" ca="1" si="264"/>
        <v>9060539078770.9473</v>
      </c>
      <c r="G1922" s="40">
        <f t="shared" ca="1" si="265"/>
        <v>1430334848686.24</v>
      </c>
      <c r="H1922" s="40">
        <f t="shared" ca="1" si="266"/>
        <v>164292870362703.41</v>
      </c>
      <c r="I1922" s="40">
        <f t="shared" ca="1" si="267"/>
        <v>1183048400172.4497</v>
      </c>
      <c r="J1922" s="40">
        <f t="shared" ca="1" si="268"/>
        <v>868338596825.28967</v>
      </c>
      <c r="K1922" s="41">
        <f t="shared" ca="1" si="269"/>
        <v>1.362427519055081</v>
      </c>
    </row>
    <row r="1923" spans="2:11" ht="15" customHeight="1" x14ac:dyDescent="0.35">
      <c r="B1923" s="5">
        <v>1902</v>
      </c>
      <c r="C1923" s="39">
        <f t="shared" ca="1" si="261"/>
        <v>3.2710010490403527</v>
      </c>
      <c r="D1923" s="40">
        <f t="shared" ca="1" si="262"/>
        <v>8566528519.3935051</v>
      </c>
      <c r="E1923" s="40">
        <f t="shared" ca="1" si="263"/>
        <v>108777034714636.08</v>
      </c>
      <c r="F1923" s="40">
        <f t="shared" ca="1" si="264"/>
        <v>13362752915005.51</v>
      </c>
      <c r="G1923" s="40">
        <f t="shared" ca="1" si="265"/>
        <v>2063175345620.4658</v>
      </c>
      <c r="H1923" s="40">
        <f t="shared" ca="1" si="266"/>
        <v>2063175345620.4658</v>
      </c>
      <c r="I1923" s="40">
        <f t="shared" ca="1" si="267"/>
        <v>32998757946819.813</v>
      </c>
      <c r="J1923" s="40">
        <f t="shared" ca="1" si="268"/>
        <v>1131277165104.8027</v>
      </c>
      <c r="K1923" s="41">
        <f t="shared" ca="1" si="269"/>
        <v>29.169472313854026</v>
      </c>
    </row>
    <row r="1924" spans="2:11" ht="15" customHeight="1" x14ac:dyDescent="0.35">
      <c r="B1924" s="5">
        <v>1903</v>
      </c>
      <c r="C1924" s="39">
        <f t="shared" ca="1" si="261"/>
        <v>2.9427860106929495</v>
      </c>
      <c r="D1924" s="40">
        <f t="shared" ca="1" si="262"/>
        <v>3971008869.323956</v>
      </c>
      <c r="E1924" s="40">
        <f t="shared" ca="1" si="263"/>
        <v>11287472014131.613</v>
      </c>
      <c r="F1924" s="40">
        <f t="shared" ca="1" si="264"/>
        <v>21191298844779.266</v>
      </c>
      <c r="G1924" s="40">
        <f t="shared" ca="1" si="265"/>
        <v>312021494008.96912</v>
      </c>
      <c r="H1924" s="40">
        <f t="shared" ca="1" si="266"/>
        <v>21191298844779.266</v>
      </c>
      <c r="I1924" s="40">
        <f t="shared" ca="1" si="267"/>
        <v>8747827489521.5</v>
      </c>
      <c r="J1924" s="40">
        <f t="shared" ca="1" si="268"/>
        <v>853619287014.70398</v>
      </c>
      <c r="K1924" s="41">
        <f t="shared" ca="1" si="269"/>
        <v>10.247926239008251</v>
      </c>
    </row>
    <row r="1925" spans="2:11" ht="15" customHeight="1" x14ac:dyDescent="0.35">
      <c r="B1925" s="5">
        <v>1904</v>
      </c>
      <c r="C1925" s="39">
        <f t="shared" ca="1" si="261"/>
        <v>3.3490682110225682</v>
      </c>
      <c r="D1925" s="40">
        <f t="shared" ca="1" si="262"/>
        <v>9703076939.7887306</v>
      </c>
      <c r="E1925" s="40">
        <f t="shared" ca="1" si="263"/>
        <v>8197524970950.6563</v>
      </c>
      <c r="F1925" s="40">
        <f t="shared" ca="1" si="264"/>
        <v>3226261280023.3809</v>
      </c>
      <c r="G1925" s="40">
        <f t="shared" ca="1" si="265"/>
        <v>3636808983064.4233</v>
      </c>
      <c r="H1925" s="40">
        <f t="shared" ca="1" si="266"/>
        <v>3636808983064.4233</v>
      </c>
      <c r="I1925" s="40">
        <f t="shared" ca="1" si="267"/>
        <v>23405743191864.055</v>
      </c>
      <c r="J1925" s="40">
        <f t="shared" ca="1" si="268"/>
        <v>1092088157353.115</v>
      </c>
      <c r="K1925" s="41">
        <f t="shared" ca="1" si="269"/>
        <v>21.432100544513148</v>
      </c>
    </row>
    <row r="1926" spans="2:11" ht="15" customHeight="1" x14ac:dyDescent="0.35">
      <c r="B1926" s="5">
        <v>1905</v>
      </c>
      <c r="C1926" s="39">
        <f t="shared" ca="1" si="261"/>
        <v>3.8477236747534973</v>
      </c>
      <c r="D1926" s="40">
        <f t="shared" ca="1" si="262"/>
        <v>15635471440.681465</v>
      </c>
      <c r="E1926" s="40">
        <f t="shared" ca="1" si="263"/>
        <v>41839880329565.273</v>
      </c>
      <c r="F1926" s="40">
        <f t="shared" ca="1" si="264"/>
        <v>1227059297738.4695</v>
      </c>
      <c r="G1926" s="40">
        <f t="shared" ca="1" si="265"/>
        <v>869981719238.89624</v>
      </c>
      <c r="H1926" s="40">
        <f t="shared" ca="1" si="266"/>
        <v>41839880329565.273</v>
      </c>
      <c r="I1926" s="40">
        <f t="shared" ca="1" si="267"/>
        <v>4198220242645.1953</v>
      </c>
      <c r="J1926" s="40">
        <f t="shared" ca="1" si="268"/>
        <v>1153192580425.1501</v>
      </c>
      <c r="K1926" s="41">
        <f t="shared" ca="1" si="269"/>
        <v>3.640519644253545</v>
      </c>
    </row>
    <row r="1927" spans="2:11" ht="15" customHeight="1" x14ac:dyDescent="0.35">
      <c r="B1927" s="5">
        <v>1906</v>
      </c>
      <c r="C1927" s="39">
        <f t="shared" ca="1" si="261"/>
        <v>3.1985890568303561</v>
      </c>
      <c r="D1927" s="40">
        <f t="shared" ca="1" si="262"/>
        <v>5982277312.9923334</v>
      </c>
      <c r="E1927" s="40">
        <f t="shared" ca="1" si="263"/>
        <v>27847252246790.984</v>
      </c>
      <c r="F1927" s="40">
        <f t="shared" ca="1" si="264"/>
        <v>4951648348136.75</v>
      </c>
      <c r="G1927" s="40">
        <f t="shared" ca="1" si="265"/>
        <v>2276492053633.582</v>
      </c>
      <c r="H1927" s="40">
        <f t="shared" ca="1" si="266"/>
        <v>2276492053633.582</v>
      </c>
      <c r="I1927" s="40">
        <f t="shared" ca="1" si="267"/>
        <v>12463965816986.41</v>
      </c>
      <c r="J1927" s="40">
        <f t="shared" ca="1" si="268"/>
        <v>892808847800.39758</v>
      </c>
      <c r="K1927" s="41">
        <f t="shared" ca="1" si="269"/>
        <v>13.960396839361229</v>
      </c>
    </row>
    <row r="1928" spans="2:11" ht="15" customHeight="1" x14ac:dyDescent="0.35">
      <c r="B1928" s="5">
        <v>1907</v>
      </c>
      <c r="C1928" s="39">
        <f t="shared" ca="1" si="261"/>
        <v>2.9089199747881738</v>
      </c>
      <c r="D1928" s="40">
        <f t="shared" ca="1" si="262"/>
        <v>4087980889.9141393</v>
      </c>
      <c r="E1928" s="40">
        <f t="shared" ca="1" si="263"/>
        <v>11582047458593.984</v>
      </c>
      <c r="F1928" s="40">
        <f t="shared" ca="1" si="264"/>
        <v>1990688466366.9951</v>
      </c>
      <c r="G1928" s="40">
        <f t="shared" ca="1" si="265"/>
        <v>11154159790367.795</v>
      </c>
      <c r="H1928" s="40">
        <f t="shared" ca="1" si="266"/>
        <v>11154159790367.795</v>
      </c>
      <c r="I1928" s="40">
        <f t="shared" ca="1" si="267"/>
        <v>957828489638.97681</v>
      </c>
      <c r="J1928" s="40">
        <f t="shared" ca="1" si="268"/>
        <v>984411205918.94922</v>
      </c>
      <c r="K1928" s="41">
        <f t="shared" ca="1" si="269"/>
        <v>0.9729963290542214</v>
      </c>
    </row>
    <row r="1929" spans="2:11" ht="15" customHeight="1" x14ac:dyDescent="0.35">
      <c r="B1929" s="5">
        <v>1908</v>
      </c>
      <c r="C1929" s="39">
        <f t="shared" ca="1" si="261"/>
        <v>2.6451762655561604</v>
      </c>
      <c r="D1929" s="40">
        <f t="shared" ca="1" si="262"/>
        <v>2361131632.0333681</v>
      </c>
      <c r="E1929" s="40">
        <f t="shared" ca="1" si="263"/>
        <v>2271768079498.814</v>
      </c>
      <c r="F1929" s="40">
        <f t="shared" ca="1" si="264"/>
        <v>956879027143.34216</v>
      </c>
      <c r="G1929" s="40">
        <f t="shared" ca="1" si="265"/>
        <v>22874686250891.34</v>
      </c>
      <c r="H1929" s="40">
        <f t="shared" ca="1" si="266"/>
        <v>956879027143.34216</v>
      </c>
      <c r="I1929" s="40">
        <f t="shared" ca="1" si="267"/>
        <v>1025703322218.7708</v>
      </c>
      <c r="J1929" s="40">
        <f t="shared" ca="1" si="268"/>
        <v>1091636091011.8372</v>
      </c>
      <c r="K1929" s="41">
        <f t="shared" ca="1" si="269"/>
        <v>0.93960187892656299</v>
      </c>
    </row>
    <row r="1930" spans="2:11" ht="15" customHeight="1" x14ac:dyDescent="0.35">
      <c r="B1930" s="5">
        <v>1909</v>
      </c>
      <c r="C1930" s="39">
        <f t="shared" ca="1" si="261"/>
        <v>2.8547055703251325</v>
      </c>
      <c r="D1930" s="40">
        <f t="shared" ca="1" si="262"/>
        <v>4254526057.5233765</v>
      </c>
      <c r="E1930" s="40">
        <f t="shared" ca="1" si="263"/>
        <v>11890858200375.502</v>
      </c>
      <c r="F1930" s="40">
        <f t="shared" ca="1" si="264"/>
        <v>6357626606559.1289</v>
      </c>
      <c r="G1930" s="40">
        <f t="shared" ca="1" si="265"/>
        <v>2903356856632.9688</v>
      </c>
      <c r="H1930" s="40">
        <f t="shared" ca="1" si="266"/>
        <v>6357626606559.1289</v>
      </c>
      <c r="I1930" s="40">
        <f t="shared" ca="1" si="267"/>
        <v>14095172660504.074</v>
      </c>
      <c r="J1930" s="40">
        <f t="shared" ca="1" si="268"/>
        <v>943074871165.81311</v>
      </c>
      <c r="K1930" s="41">
        <f t="shared" ca="1" si="269"/>
        <v>14.94597416542322</v>
      </c>
    </row>
    <row r="1931" spans="2:11" ht="15" customHeight="1" x14ac:dyDescent="0.35">
      <c r="B1931" s="5">
        <v>1910</v>
      </c>
      <c r="C1931" s="39">
        <f t="shared" ca="1" si="261"/>
        <v>3.4169984072028639</v>
      </c>
      <c r="D1931" s="40">
        <f t="shared" ca="1" si="262"/>
        <v>10956132175.678764</v>
      </c>
      <c r="E1931" s="40">
        <f t="shared" ca="1" si="263"/>
        <v>183011864823982.34</v>
      </c>
      <c r="F1931" s="40">
        <f t="shared" ca="1" si="264"/>
        <v>695995313044.26025</v>
      </c>
      <c r="G1931" s="40">
        <f t="shared" ca="1" si="265"/>
        <v>8465455722881.8125</v>
      </c>
      <c r="H1931" s="40">
        <f t="shared" ca="1" si="266"/>
        <v>695995313044.26025</v>
      </c>
      <c r="I1931" s="40">
        <f t="shared" ca="1" si="267"/>
        <v>31333696659252.867</v>
      </c>
      <c r="J1931" s="40">
        <f t="shared" ca="1" si="268"/>
        <v>1268512092447.8953</v>
      </c>
      <c r="K1931" s="41">
        <f t="shared" ca="1" si="269"/>
        <v>24.701141475748219</v>
      </c>
    </row>
    <row r="1932" spans="2:11" ht="15" customHeight="1" x14ac:dyDescent="0.35">
      <c r="B1932" s="5">
        <v>1911</v>
      </c>
      <c r="C1932" s="39">
        <f t="shared" ca="1" si="261"/>
        <v>3.4205546494293251</v>
      </c>
      <c r="D1932" s="40">
        <f t="shared" ca="1" si="262"/>
        <v>9832906493.3289623</v>
      </c>
      <c r="E1932" s="40">
        <f t="shared" ca="1" si="263"/>
        <v>29086846250284.688</v>
      </c>
      <c r="F1932" s="40">
        <f t="shared" ca="1" si="264"/>
        <v>2441665268996.0933</v>
      </c>
      <c r="G1932" s="40">
        <f t="shared" ca="1" si="265"/>
        <v>232570893303.46408</v>
      </c>
      <c r="H1932" s="40">
        <f t="shared" ca="1" si="266"/>
        <v>2441665268996.0933</v>
      </c>
      <c r="I1932" s="40">
        <f t="shared" ca="1" si="267"/>
        <v>3597698886706.4102</v>
      </c>
      <c r="J1932" s="40">
        <f t="shared" ca="1" si="268"/>
        <v>1197376204342.9292</v>
      </c>
      <c r="K1932" s="41">
        <f t="shared" ca="1" si="269"/>
        <v>3.004652066457826</v>
      </c>
    </row>
    <row r="1933" spans="2:11" ht="15" customHeight="1" x14ac:dyDescent="0.35">
      <c r="B1933" s="5">
        <v>1912</v>
      </c>
      <c r="C1933" s="39">
        <f t="shared" ca="1" si="261"/>
        <v>2.8003918668708807</v>
      </c>
      <c r="D1933" s="40">
        <f t="shared" ca="1" si="262"/>
        <v>3685714228.316607</v>
      </c>
      <c r="E1933" s="40">
        <f t="shared" ca="1" si="263"/>
        <v>134207159793828.53</v>
      </c>
      <c r="F1933" s="40">
        <f t="shared" ca="1" si="264"/>
        <v>3645976739422.2925</v>
      </c>
      <c r="G1933" s="40">
        <f t="shared" ca="1" si="265"/>
        <v>4469692215364.7607</v>
      </c>
      <c r="H1933" s="40">
        <f t="shared" ca="1" si="266"/>
        <v>4469692215364.7607</v>
      </c>
      <c r="I1933" s="40">
        <f t="shared" ca="1" si="267"/>
        <v>68222339490982.82</v>
      </c>
      <c r="J1933" s="40">
        <f t="shared" ca="1" si="268"/>
        <v>1567687286802.1128</v>
      </c>
      <c r="K1933" s="41">
        <f t="shared" ca="1" si="269"/>
        <v>43.517824036289731</v>
      </c>
    </row>
    <row r="1934" spans="2:11" ht="15" customHeight="1" x14ac:dyDescent="0.35">
      <c r="B1934" s="5">
        <v>1913</v>
      </c>
      <c r="C1934" s="39">
        <f t="shared" ca="1" si="261"/>
        <v>3.1079711889732815</v>
      </c>
      <c r="D1934" s="40">
        <f t="shared" ca="1" si="262"/>
        <v>5986281326.0365858</v>
      </c>
      <c r="E1934" s="40">
        <f t="shared" ca="1" si="263"/>
        <v>98470996214574.484</v>
      </c>
      <c r="F1934" s="40">
        <f t="shared" ca="1" si="264"/>
        <v>130126209767.51901</v>
      </c>
      <c r="G1934" s="40">
        <f t="shared" ca="1" si="265"/>
        <v>2166202869302.979</v>
      </c>
      <c r="H1934" s="40">
        <f t="shared" ca="1" si="266"/>
        <v>2166202869302.979</v>
      </c>
      <c r="I1934" s="40">
        <f t="shared" ca="1" si="267"/>
        <v>45516296831482.047</v>
      </c>
      <c r="J1934" s="40">
        <f t="shared" ca="1" si="268"/>
        <v>1193618739349.4065</v>
      </c>
      <c r="K1934" s="41">
        <f t="shared" ca="1" si="269"/>
        <v>38.133028018889135</v>
      </c>
    </row>
    <row r="1935" spans="2:11" ht="15" customHeight="1" x14ac:dyDescent="0.35">
      <c r="B1935" s="5">
        <v>1914</v>
      </c>
      <c r="C1935" s="39">
        <f t="shared" ca="1" si="261"/>
        <v>2.8710764721417226</v>
      </c>
      <c r="D1935" s="40">
        <f t="shared" ca="1" si="262"/>
        <v>3249967365.2746382</v>
      </c>
      <c r="E1935" s="40">
        <f t="shared" ca="1" si="263"/>
        <v>20814674572704.262</v>
      </c>
      <c r="F1935" s="40">
        <f t="shared" ca="1" si="264"/>
        <v>363844186519.48999</v>
      </c>
      <c r="G1935" s="40">
        <f t="shared" ca="1" si="265"/>
        <v>2047291950586.8987</v>
      </c>
      <c r="H1935" s="40">
        <f t="shared" ca="1" si="266"/>
        <v>2047291950586.8987</v>
      </c>
      <c r="I1935" s="40">
        <f t="shared" ca="1" si="267"/>
        <v>22933405947551.453</v>
      </c>
      <c r="J1935" s="40">
        <f t="shared" ca="1" si="268"/>
        <v>884617582338.00415</v>
      </c>
      <c r="K1935" s="41">
        <f t="shared" ca="1" si="269"/>
        <v>25.924655360047787</v>
      </c>
    </row>
    <row r="1936" spans="2:11" ht="15" customHeight="1" x14ac:dyDescent="0.35">
      <c r="B1936" s="5">
        <v>1915</v>
      </c>
      <c r="C1936" s="39">
        <f t="shared" ca="1" si="261"/>
        <v>3.4917334651435068</v>
      </c>
      <c r="D1936" s="40">
        <f t="shared" ca="1" si="262"/>
        <v>11625472943.312004</v>
      </c>
      <c r="E1936" s="40">
        <f t="shared" ca="1" si="263"/>
        <v>3081745432089.5713</v>
      </c>
      <c r="F1936" s="40">
        <f t="shared" ca="1" si="264"/>
        <v>6633793667377.8945</v>
      </c>
      <c r="G1936" s="40">
        <f t="shared" ca="1" si="265"/>
        <v>10155811640842.73</v>
      </c>
      <c r="H1936" s="40">
        <f t="shared" ca="1" si="266"/>
        <v>3081745432089.5713</v>
      </c>
      <c r="I1936" s="40">
        <f t="shared" ca="1" si="267"/>
        <v>9491269198016.0254</v>
      </c>
      <c r="J1936" s="40">
        <f t="shared" ca="1" si="268"/>
        <v>1493452655784.2839</v>
      </c>
      <c r="K1936" s="41">
        <f t="shared" ca="1" si="269"/>
        <v>6.3552528171920537</v>
      </c>
    </row>
    <row r="1937" spans="2:11" ht="15" customHeight="1" x14ac:dyDescent="0.35">
      <c r="B1937" s="5">
        <v>1916</v>
      </c>
      <c r="C1937" s="39">
        <f t="shared" ca="1" si="261"/>
        <v>2.8348378536807677</v>
      </c>
      <c r="D1937" s="40">
        <f t="shared" ca="1" si="262"/>
        <v>3005789304.9798832</v>
      </c>
      <c r="E1937" s="40">
        <f t="shared" ca="1" si="263"/>
        <v>7863897397623.8594</v>
      </c>
      <c r="F1937" s="40">
        <f t="shared" ca="1" si="264"/>
        <v>2344009960394.708</v>
      </c>
      <c r="G1937" s="40">
        <f t="shared" ca="1" si="265"/>
        <v>5107049552367.583</v>
      </c>
      <c r="H1937" s="40">
        <f t="shared" ca="1" si="266"/>
        <v>7863897397623.8594</v>
      </c>
      <c r="I1937" s="40">
        <f t="shared" ca="1" si="267"/>
        <v>23232882206215.199</v>
      </c>
      <c r="J1937" s="40">
        <f t="shared" ca="1" si="268"/>
        <v>1012947229821.166</v>
      </c>
      <c r="K1937" s="41">
        <f t="shared" ca="1" si="269"/>
        <v>22.935925507508344</v>
      </c>
    </row>
    <row r="1938" spans="2:11" ht="15" customHeight="1" x14ac:dyDescent="0.35">
      <c r="B1938" s="5">
        <v>1917</v>
      </c>
      <c r="C1938" s="39">
        <f t="shared" ca="1" si="261"/>
        <v>3.0394766085891169</v>
      </c>
      <c r="D1938" s="40">
        <f t="shared" ca="1" si="262"/>
        <v>4709064179.9596987</v>
      </c>
      <c r="E1938" s="40">
        <f t="shared" ca="1" si="263"/>
        <v>40483025711344.633</v>
      </c>
      <c r="F1938" s="40">
        <f t="shared" ca="1" si="264"/>
        <v>4097097620572.1733</v>
      </c>
      <c r="G1938" s="40">
        <f t="shared" ca="1" si="265"/>
        <v>734393259497.90271</v>
      </c>
      <c r="H1938" s="40">
        <f t="shared" ca="1" si="266"/>
        <v>40483025711344.633</v>
      </c>
      <c r="I1938" s="40">
        <f t="shared" ca="1" si="267"/>
        <v>23736886505800.832</v>
      </c>
      <c r="J1938" s="40">
        <f t="shared" ca="1" si="268"/>
        <v>1078298953941.6981</v>
      </c>
      <c r="K1938" s="41">
        <f t="shared" ca="1" si="269"/>
        <v>22.01327045624144</v>
      </c>
    </row>
    <row r="1939" spans="2:11" ht="15" customHeight="1" x14ac:dyDescent="0.35">
      <c r="B1939" s="5">
        <v>1918</v>
      </c>
      <c r="C1939" s="39">
        <f t="shared" ca="1" si="261"/>
        <v>2.4015586082976661</v>
      </c>
      <c r="D1939" s="40">
        <f t="shared" ca="1" si="262"/>
        <v>1513939319.0464416</v>
      </c>
      <c r="E1939" s="40">
        <f t="shared" ca="1" si="263"/>
        <v>8850840305285.8418</v>
      </c>
      <c r="F1939" s="40">
        <f t="shared" ca="1" si="264"/>
        <v>2548014248841.7188</v>
      </c>
      <c r="G1939" s="40">
        <f t="shared" ca="1" si="265"/>
        <v>15398075398073.348</v>
      </c>
      <c r="H1939" s="40">
        <f t="shared" ca="1" si="266"/>
        <v>8850840305285.8418</v>
      </c>
      <c r="I1939" s="40">
        <f t="shared" ca="1" si="267"/>
        <v>18692073134402.637</v>
      </c>
      <c r="J1939" s="40">
        <f t="shared" ca="1" si="268"/>
        <v>921777523057.35034</v>
      </c>
      <c r="K1939" s="41">
        <f t="shared" ca="1" si="269"/>
        <v>20.27829130873662</v>
      </c>
    </row>
    <row r="1940" spans="2:11" ht="15" customHeight="1" x14ac:dyDescent="0.35">
      <c r="B1940" s="5">
        <v>1919</v>
      </c>
      <c r="C1940" s="39">
        <f t="shared" ca="1" si="261"/>
        <v>3.4382359754060241</v>
      </c>
      <c r="D1940" s="40">
        <f t="shared" ca="1" si="262"/>
        <v>8559770367.0873051</v>
      </c>
      <c r="E1940" s="40">
        <f t="shared" ca="1" si="263"/>
        <v>102011152635844.88</v>
      </c>
      <c r="F1940" s="40">
        <f t="shared" ca="1" si="264"/>
        <v>1520483247731.5574</v>
      </c>
      <c r="G1940" s="40">
        <f t="shared" ca="1" si="265"/>
        <v>2066677094726.3113</v>
      </c>
      <c r="H1940" s="40">
        <f t="shared" ca="1" si="266"/>
        <v>102011152635844.88</v>
      </c>
      <c r="I1940" s="40">
        <f t="shared" ca="1" si="267"/>
        <v>3103276475041.2295</v>
      </c>
      <c r="J1940" s="40">
        <f t="shared" ca="1" si="268"/>
        <v>1743068917016.3782</v>
      </c>
      <c r="K1940" s="41">
        <f t="shared" ca="1" si="269"/>
        <v>1.7803521391185881</v>
      </c>
    </row>
    <row r="1941" spans="2:11" ht="15" customHeight="1" x14ac:dyDescent="0.35">
      <c r="B1941" s="5">
        <v>1920</v>
      </c>
      <c r="C1941" s="39">
        <f t="shared" ca="1" si="261"/>
        <v>2.999219513041818</v>
      </c>
      <c r="D1941" s="40">
        <f t="shared" ca="1" si="262"/>
        <v>4681497310.0610361</v>
      </c>
      <c r="E1941" s="40">
        <f t="shared" ca="1" si="263"/>
        <v>9777380210766.4453</v>
      </c>
      <c r="F1941" s="40">
        <f t="shared" ca="1" si="264"/>
        <v>15276470444326.529</v>
      </c>
      <c r="G1941" s="40">
        <f t="shared" ca="1" si="265"/>
        <v>3404955547247.7153</v>
      </c>
      <c r="H1941" s="40">
        <f t="shared" ca="1" si="266"/>
        <v>9777380210766.4453</v>
      </c>
      <c r="I1941" s="40">
        <f t="shared" ca="1" si="267"/>
        <v>2074829889688.3059</v>
      </c>
      <c r="J1941" s="40">
        <f t="shared" ca="1" si="268"/>
        <v>1597471079922.7607</v>
      </c>
      <c r="K1941" s="41">
        <f t="shared" ca="1" si="269"/>
        <v>1.2988215660145948</v>
      </c>
    </row>
    <row r="1942" spans="2:11" ht="15" customHeight="1" x14ac:dyDescent="0.35">
      <c r="B1942" s="5">
        <v>1921</v>
      </c>
      <c r="C1942" s="39">
        <f t="shared" ref="C1942:C2005" ca="1" si="270">MEDIAN(1.8,NORMINV(RAND(),$C$7,$D$7),4.5)</f>
        <v>2.6256552830728181</v>
      </c>
      <c r="D1942" s="40">
        <f t="shared" ref="D1942:D2005" ca="1" si="271">($C$8+RAND()*($D$8-$C$8))*C1942^5</f>
        <v>2951159420.3677816</v>
      </c>
      <c r="E1942" s="40">
        <f t="shared" ref="E1942:E2005" ca="1" si="272">D1942*($C$10+RAND()*($D$10-$C$10))*EXP(NORMINV(RAND(),$C$9,$D$9))*($C$11+RAND()*($D$11-$C$11))</f>
        <v>1349865500203.8123</v>
      </c>
      <c r="F1942" s="40">
        <f t="shared" ref="F1942:F2005" ca="1" si="273">EXP(NORMINV(RAND(),$C$12,$D$12))*EXP(NORMINV(RAND(),$C$13,$D$13))</f>
        <v>5310278648007.6943</v>
      </c>
      <c r="G1942" s="40">
        <f t="shared" ref="G1942:G2005" ca="1" si="274">EXP(NORMINV(RAND(),$C$14,$D$14))*($C$15+RAND()*($D$15-$C$15))*EXP(NORMINV(RAND(),$C$16,$D$16))/1000000*31536000</f>
        <v>4994567802734.46</v>
      </c>
      <c r="H1942" s="40">
        <f t="shared" ref="H1942:H2005" ca="1" si="275">CHOOSE(RANDBETWEEN(1,3),E1942,F1942,G1942)</f>
        <v>4994567802734.46</v>
      </c>
      <c r="I1942" s="40">
        <f t="shared" ref="I1942:I2005" ca="1" si="276">EXP(NORMINV(RAND(),$C$14,$D$14))*($C$15+RAND()*($D$15-$C$15))*60</f>
        <v>162302958670791.72</v>
      </c>
      <c r="J1942" s="40">
        <f t="shared" ref="J1942:J2005" ca="1" si="277">($C$17+RAND()*($D$17-$C$17))*($C$18+RAND()*($D$18-$C$18))</f>
        <v>1324812274751.4639</v>
      </c>
      <c r="K1942" s="41">
        <f t="shared" ref="K1942:K2005" ca="1" si="278">I1942/J1942</f>
        <v>122.51015616626886</v>
      </c>
    </row>
    <row r="1943" spans="2:11" ht="15" customHeight="1" x14ac:dyDescent="0.35">
      <c r="B1943" s="5">
        <v>1922</v>
      </c>
      <c r="C1943" s="39">
        <f t="shared" ca="1" si="270"/>
        <v>3.1230973173783245</v>
      </c>
      <c r="D1943" s="40">
        <f t="shared" ca="1" si="271"/>
        <v>6380962662.8228216</v>
      </c>
      <c r="E1943" s="40">
        <f t="shared" ca="1" si="272"/>
        <v>18821249028682.715</v>
      </c>
      <c r="F1943" s="40">
        <f t="shared" ca="1" si="273"/>
        <v>1437724844952.9675</v>
      </c>
      <c r="G1943" s="40">
        <f t="shared" ca="1" si="274"/>
        <v>20414521933838.313</v>
      </c>
      <c r="H1943" s="40">
        <f t="shared" ca="1" si="275"/>
        <v>1437724844952.9675</v>
      </c>
      <c r="I1943" s="40">
        <f t="shared" ca="1" si="276"/>
        <v>22143841913928.102</v>
      </c>
      <c r="J1943" s="40">
        <f t="shared" ca="1" si="277"/>
        <v>1502461474914.0361</v>
      </c>
      <c r="K1943" s="41">
        <f t="shared" ca="1" si="278"/>
        <v>14.738375847670284</v>
      </c>
    </row>
    <row r="1944" spans="2:11" ht="15" customHeight="1" x14ac:dyDescent="0.35">
      <c r="B1944" s="5">
        <v>1923</v>
      </c>
      <c r="C1944" s="39">
        <f t="shared" ca="1" si="270"/>
        <v>2.4208406289988385</v>
      </c>
      <c r="D1944" s="40">
        <f t="shared" ca="1" si="271"/>
        <v>1969265491.0372379</v>
      </c>
      <c r="E1944" s="40">
        <f t="shared" ca="1" si="272"/>
        <v>4919242248605.8564</v>
      </c>
      <c r="F1944" s="40">
        <f t="shared" ca="1" si="273"/>
        <v>521233128056.59851</v>
      </c>
      <c r="G1944" s="40">
        <f t="shared" ca="1" si="274"/>
        <v>2117753327415.7363</v>
      </c>
      <c r="H1944" s="40">
        <f t="shared" ca="1" si="275"/>
        <v>521233128056.59851</v>
      </c>
      <c r="I1944" s="40">
        <f t="shared" ca="1" si="276"/>
        <v>2134452844272.1655</v>
      </c>
      <c r="J1944" s="40">
        <f t="shared" ca="1" si="277"/>
        <v>629202720897.34485</v>
      </c>
      <c r="K1944" s="41">
        <f t="shared" ca="1" si="278"/>
        <v>3.3923134363247676</v>
      </c>
    </row>
    <row r="1945" spans="2:11" ht="15" customHeight="1" x14ac:dyDescent="0.35">
      <c r="B1945" s="5">
        <v>1924</v>
      </c>
      <c r="C1945" s="39">
        <f t="shared" ca="1" si="270"/>
        <v>3.2115343789011161</v>
      </c>
      <c r="D1945" s="40">
        <f t="shared" ca="1" si="271"/>
        <v>5515182646.414196</v>
      </c>
      <c r="E1945" s="40">
        <f t="shared" ca="1" si="272"/>
        <v>7124513582833.1602</v>
      </c>
      <c r="F1945" s="40">
        <f t="shared" ca="1" si="273"/>
        <v>2549379679227.7544</v>
      </c>
      <c r="G1945" s="40">
        <f t="shared" ca="1" si="274"/>
        <v>2074071470888.4744</v>
      </c>
      <c r="H1945" s="40">
        <f t="shared" ca="1" si="275"/>
        <v>2549379679227.7544</v>
      </c>
      <c r="I1945" s="40">
        <f t="shared" ca="1" si="276"/>
        <v>28810815476705.305</v>
      </c>
      <c r="J1945" s="40">
        <f t="shared" ca="1" si="277"/>
        <v>579833781408.69678</v>
      </c>
      <c r="K1945" s="41">
        <f t="shared" ca="1" si="278"/>
        <v>49.68805957926407</v>
      </c>
    </row>
    <row r="1946" spans="2:11" ht="15" customHeight="1" x14ac:dyDescent="0.35">
      <c r="B1946" s="5">
        <v>1925</v>
      </c>
      <c r="C1946" s="39">
        <f t="shared" ca="1" si="270"/>
        <v>2.3712400677493362</v>
      </c>
      <c r="D1946" s="40">
        <f t="shared" ca="1" si="271"/>
        <v>1602487693.3531144</v>
      </c>
      <c r="E1946" s="40">
        <f t="shared" ca="1" si="272"/>
        <v>5372387398945.2324</v>
      </c>
      <c r="F1946" s="40">
        <f t="shared" ca="1" si="273"/>
        <v>15137516798367.912</v>
      </c>
      <c r="G1946" s="40">
        <f t="shared" ca="1" si="274"/>
        <v>3318311430801.8335</v>
      </c>
      <c r="H1946" s="40">
        <f t="shared" ca="1" si="275"/>
        <v>3318311430801.8335</v>
      </c>
      <c r="I1946" s="40">
        <f t="shared" ca="1" si="276"/>
        <v>21645725608806.242</v>
      </c>
      <c r="J1946" s="40">
        <f t="shared" ca="1" si="277"/>
        <v>1123136460042.6389</v>
      </c>
      <c r="K1946" s="41">
        <f t="shared" ca="1" si="278"/>
        <v>19.272569610984299</v>
      </c>
    </row>
    <row r="1947" spans="2:11" ht="15" customHeight="1" x14ac:dyDescent="0.35">
      <c r="B1947" s="5">
        <v>1926</v>
      </c>
      <c r="C1947" s="39">
        <f t="shared" ca="1" si="270"/>
        <v>3.0360134424720471</v>
      </c>
      <c r="D1947" s="40">
        <f t="shared" ca="1" si="271"/>
        <v>5484174161.9725113</v>
      </c>
      <c r="E1947" s="40">
        <f t="shared" ca="1" si="272"/>
        <v>9291656707505.0332</v>
      </c>
      <c r="F1947" s="40">
        <f t="shared" ca="1" si="273"/>
        <v>619830614993.73889</v>
      </c>
      <c r="G1947" s="40">
        <f t="shared" ca="1" si="274"/>
        <v>8228230996015.0186</v>
      </c>
      <c r="H1947" s="40">
        <f t="shared" ca="1" si="275"/>
        <v>619830614993.73889</v>
      </c>
      <c r="I1947" s="40">
        <f t="shared" ca="1" si="276"/>
        <v>239057100916702.59</v>
      </c>
      <c r="J1947" s="40">
        <f t="shared" ca="1" si="277"/>
        <v>1378560132816.6497</v>
      </c>
      <c r="K1947" s="41">
        <f t="shared" ca="1" si="278"/>
        <v>173.41071689652404</v>
      </c>
    </row>
    <row r="1948" spans="2:11" ht="15" customHeight="1" x14ac:dyDescent="0.35">
      <c r="B1948" s="5">
        <v>1927</v>
      </c>
      <c r="C1948" s="39">
        <f t="shared" ca="1" si="270"/>
        <v>2.998436326476603</v>
      </c>
      <c r="D1948" s="40">
        <f t="shared" ca="1" si="271"/>
        <v>5157072844.3236113</v>
      </c>
      <c r="E1948" s="40">
        <f t="shared" ca="1" si="272"/>
        <v>68566995331795.984</v>
      </c>
      <c r="F1948" s="40">
        <f t="shared" ca="1" si="273"/>
        <v>916051350501.44482</v>
      </c>
      <c r="G1948" s="40">
        <f t="shared" ca="1" si="274"/>
        <v>6364776455534.9043</v>
      </c>
      <c r="H1948" s="40">
        <f t="shared" ca="1" si="275"/>
        <v>916051350501.44482</v>
      </c>
      <c r="I1948" s="40">
        <f t="shared" ca="1" si="276"/>
        <v>11369359545680.15</v>
      </c>
      <c r="J1948" s="40">
        <f t="shared" ca="1" si="277"/>
        <v>728465966167.61218</v>
      </c>
      <c r="K1948" s="41">
        <f t="shared" ca="1" si="278"/>
        <v>15.607262485429803</v>
      </c>
    </row>
    <row r="1949" spans="2:11" ht="15" customHeight="1" x14ac:dyDescent="0.35">
      <c r="B1949" s="5">
        <v>1928</v>
      </c>
      <c r="C1949" s="39">
        <f t="shared" ca="1" si="270"/>
        <v>3.4846474945005719</v>
      </c>
      <c r="D1949" s="40">
        <f t="shared" ca="1" si="271"/>
        <v>11868002899.769033</v>
      </c>
      <c r="E1949" s="40">
        <f t="shared" ca="1" si="272"/>
        <v>611061157251837.88</v>
      </c>
      <c r="F1949" s="40">
        <f t="shared" ca="1" si="273"/>
        <v>5575976811059.8496</v>
      </c>
      <c r="G1949" s="40">
        <f t="shared" ca="1" si="274"/>
        <v>24409719263270.285</v>
      </c>
      <c r="H1949" s="40">
        <f t="shared" ca="1" si="275"/>
        <v>24409719263270.285</v>
      </c>
      <c r="I1949" s="40">
        <f t="shared" ca="1" si="276"/>
        <v>3022413342235.9824</v>
      </c>
      <c r="J1949" s="40">
        <f t="shared" ca="1" si="277"/>
        <v>1152210809360.1938</v>
      </c>
      <c r="K1949" s="41">
        <f t="shared" ca="1" si="278"/>
        <v>2.6231426729230956</v>
      </c>
    </row>
    <row r="1950" spans="2:11" ht="15" customHeight="1" x14ac:dyDescent="0.35">
      <c r="B1950" s="5">
        <v>1929</v>
      </c>
      <c r="C1950" s="39">
        <f t="shared" ca="1" si="270"/>
        <v>2.5614437422374978</v>
      </c>
      <c r="D1950" s="40">
        <f t="shared" ca="1" si="271"/>
        <v>2448545559.1686864</v>
      </c>
      <c r="E1950" s="40">
        <f t="shared" ca="1" si="272"/>
        <v>12392512082839.783</v>
      </c>
      <c r="F1950" s="40">
        <f t="shared" ca="1" si="273"/>
        <v>13710575003412.807</v>
      </c>
      <c r="G1950" s="40">
        <f t="shared" ca="1" si="274"/>
        <v>4571906722213.4121</v>
      </c>
      <c r="H1950" s="40">
        <f t="shared" ca="1" si="275"/>
        <v>4571906722213.4121</v>
      </c>
      <c r="I1950" s="40">
        <f t="shared" ca="1" si="276"/>
        <v>1423517042520.0071</v>
      </c>
      <c r="J1950" s="40">
        <f t="shared" ca="1" si="277"/>
        <v>457934105466.74597</v>
      </c>
      <c r="K1950" s="41">
        <f t="shared" ca="1" si="278"/>
        <v>3.1085630564010902</v>
      </c>
    </row>
    <row r="1951" spans="2:11" ht="15" customHeight="1" x14ac:dyDescent="0.35">
      <c r="B1951" s="5">
        <v>1930</v>
      </c>
      <c r="C1951" s="39">
        <f t="shared" ca="1" si="270"/>
        <v>2.6861143239216565</v>
      </c>
      <c r="D1951" s="40">
        <f t="shared" ca="1" si="271"/>
        <v>2363501373.2489762</v>
      </c>
      <c r="E1951" s="40">
        <f t="shared" ca="1" si="272"/>
        <v>3063585970987.0566</v>
      </c>
      <c r="F1951" s="40">
        <f t="shared" ca="1" si="273"/>
        <v>4772342112077.877</v>
      </c>
      <c r="G1951" s="40">
        <f t="shared" ca="1" si="274"/>
        <v>38148119934987.039</v>
      </c>
      <c r="H1951" s="40">
        <f t="shared" ca="1" si="275"/>
        <v>38148119934987.039</v>
      </c>
      <c r="I1951" s="40">
        <f t="shared" ca="1" si="276"/>
        <v>2873913268822.8438</v>
      </c>
      <c r="J1951" s="40">
        <f t="shared" ca="1" si="277"/>
        <v>1218482071041.8191</v>
      </c>
      <c r="K1951" s="41">
        <f t="shared" ca="1" si="278"/>
        <v>2.3586011949815626</v>
      </c>
    </row>
    <row r="1952" spans="2:11" ht="15" customHeight="1" x14ac:dyDescent="0.35">
      <c r="B1952" s="5">
        <v>1931</v>
      </c>
      <c r="C1952" s="39">
        <f t="shared" ca="1" si="270"/>
        <v>3.6050282623915324</v>
      </c>
      <c r="D1952" s="40">
        <f t="shared" ca="1" si="271"/>
        <v>10392410300.41087</v>
      </c>
      <c r="E1952" s="40">
        <f t="shared" ca="1" si="272"/>
        <v>12391031736710.063</v>
      </c>
      <c r="F1952" s="40">
        <f t="shared" ca="1" si="273"/>
        <v>1657708586545.5967</v>
      </c>
      <c r="G1952" s="40">
        <f t="shared" ca="1" si="274"/>
        <v>4382549563512.5298</v>
      </c>
      <c r="H1952" s="40">
        <f t="shared" ca="1" si="275"/>
        <v>1657708586545.5967</v>
      </c>
      <c r="I1952" s="40">
        <f t="shared" ca="1" si="276"/>
        <v>1875689566426.9568</v>
      </c>
      <c r="J1952" s="40">
        <f t="shared" ca="1" si="277"/>
        <v>1144448476616.0691</v>
      </c>
      <c r="K1952" s="41">
        <f t="shared" ca="1" si="278"/>
        <v>1.6389462739056964</v>
      </c>
    </row>
    <row r="1953" spans="2:11" ht="15" customHeight="1" x14ac:dyDescent="0.35">
      <c r="B1953" s="5">
        <v>1932</v>
      </c>
      <c r="C1953" s="39">
        <f t="shared" ca="1" si="270"/>
        <v>3.1489158400237893</v>
      </c>
      <c r="D1953" s="40">
        <f t="shared" ca="1" si="271"/>
        <v>6915126703.3311682</v>
      </c>
      <c r="E1953" s="40">
        <f t="shared" ca="1" si="272"/>
        <v>11468824323691.676</v>
      </c>
      <c r="F1953" s="40">
        <f t="shared" ca="1" si="273"/>
        <v>4572797459200.7607</v>
      </c>
      <c r="G1953" s="40">
        <f t="shared" ca="1" si="274"/>
        <v>9198554331730.1445</v>
      </c>
      <c r="H1953" s="40">
        <f t="shared" ca="1" si="275"/>
        <v>11468824323691.676</v>
      </c>
      <c r="I1953" s="40">
        <f t="shared" ca="1" si="276"/>
        <v>157317700919071.09</v>
      </c>
      <c r="J1953" s="40">
        <f t="shared" ca="1" si="277"/>
        <v>673154172620.83801</v>
      </c>
      <c r="K1953" s="41">
        <f t="shared" ca="1" si="278"/>
        <v>233.70233345887931</v>
      </c>
    </row>
    <row r="1954" spans="2:11" ht="15" customHeight="1" x14ac:dyDescent="0.35">
      <c r="B1954" s="5">
        <v>1933</v>
      </c>
      <c r="C1954" s="39">
        <f t="shared" ca="1" si="270"/>
        <v>3.130331161161747</v>
      </c>
      <c r="D1954" s="40">
        <f t="shared" ca="1" si="271"/>
        <v>5306540283.9816618</v>
      </c>
      <c r="E1954" s="40">
        <f t="shared" ca="1" si="272"/>
        <v>14255140012657.736</v>
      </c>
      <c r="F1954" s="40">
        <f t="shared" ca="1" si="273"/>
        <v>2341250719935.1963</v>
      </c>
      <c r="G1954" s="40">
        <f t="shared" ca="1" si="274"/>
        <v>1403138215616.7622</v>
      </c>
      <c r="H1954" s="40">
        <f t="shared" ca="1" si="275"/>
        <v>1403138215616.7622</v>
      </c>
      <c r="I1954" s="40">
        <f t="shared" ca="1" si="276"/>
        <v>4723443587742.6934</v>
      </c>
      <c r="J1954" s="40">
        <f t="shared" ca="1" si="277"/>
        <v>1157466496279.7556</v>
      </c>
      <c r="K1954" s="41">
        <f t="shared" ca="1" si="278"/>
        <v>4.0808469212063079</v>
      </c>
    </row>
    <row r="1955" spans="2:11" ht="15" customHeight="1" x14ac:dyDescent="0.35">
      <c r="B1955" s="5">
        <v>1934</v>
      </c>
      <c r="C1955" s="39">
        <f t="shared" ca="1" si="270"/>
        <v>2.147207158488913</v>
      </c>
      <c r="D1955" s="40">
        <f t="shared" ca="1" si="271"/>
        <v>1071820588.0868828</v>
      </c>
      <c r="E1955" s="40">
        <f t="shared" ca="1" si="272"/>
        <v>342944270244.04004</v>
      </c>
      <c r="F1955" s="40">
        <f t="shared" ca="1" si="273"/>
        <v>1896806221355.9392</v>
      </c>
      <c r="G1955" s="40">
        <f t="shared" ca="1" si="274"/>
        <v>13523228668834.398</v>
      </c>
      <c r="H1955" s="40">
        <f t="shared" ca="1" si="275"/>
        <v>1896806221355.9392</v>
      </c>
      <c r="I1955" s="40">
        <f t="shared" ca="1" si="276"/>
        <v>14739553206935.109</v>
      </c>
      <c r="J1955" s="40">
        <f t="shared" ca="1" si="277"/>
        <v>1630446947711.7346</v>
      </c>
      <c r="K1955" s="41">
        <f t="shared" ca="1" si="278"/>
        <v>9.0401918490027953</v>
      </c>
    </row>
    <row r="1956" spans="2:11" ht="15" customHeight="1" x14ac:dyDescent="0.35">
      <c r="B1956" s="5">
        <v>1935</v>
      </c>
      <c r="C1956" s="39">
        <f t="shared" ca="1" si="270"/>
        <v>2.1825069586635784</v>
      </c>
      <c r="D1956" s="40">
        <f t="shared" ca="1" si="271"/>
        <v>1153111884.4430442</v>
      </c>
      <c r="E1956" s="40">
        <f t="shared" ca="1" si="272"/>
        <v>1963538542675.4705</v>
      </c>
      <c r="F1956" s="40">
        <f t="shared" ca="1" si="273"/>
        <v>2009497170650.0925</v>
      </c>
      <c r="G1956" s="40">
        <f t="shared" ca="1" si="274"/>
        <v>9679384670719.4512</v>
      </c>
      <c r="H1956" s="40">
        <f t="shared" ca="1" si="275"/>
        <v>2009497170650.0925</v>
      </c>
      <c r="I1956" s="40">
        <f t="shared" ca="1" si="276"/>
        <v>5288944674422.9756</v>
      </c>
      <c r="J1956" s="40">
        <f t="shared" ca="1" si="277"/>
        <v>1558430274293.9839</v>
      </c>
      <c r="K1956" s="41">
        <f t="shared" ca="1" si="278"/>
        <v>3.3937640725177953</v>
      </c>
    </row>
    <row r="1957" spans="2:11" ht="15" customHeight="1" x14ac:dyDescent="0.35">
      <c r="B1957" s="5">
        <v>1936</v>
      </c>
      <c r="C1957" s="39">
        <f t="shared" ca="1" si="270"/>
        <v>2.8769766997282256</v>
      </c>
      <c r="D1957" s="40">
        <f t="shared" ca="1" si="271"/>
        <v>3919644779.6202507</v>
      </c>
      <c r="E1957" s="40">
        <f t="shared" ca="1" si="272"/>
        <v>27592094242715.328</v>
      </c>
      <c r="F1957" s="40">
        <f t="shared" ca="1" si="273"/>
        <v>1154950184898.5984</v>
      </c>
      <c r="G1957" s="40">
        <f t="shared" ca="1" si="274"/>
        <v>5264811972685.1045</v>
      </c>
      <c r="H1957" s="40">
        <f t="shared" ca="1" si="275"/>
        <v>5264811972685.1045</v>
      </c>
      <c r="I1957" s="40">
        <f t="shared" ca="1" si="276"/>
        <v>21448853649421.543</v>
      </c>
      <c r="J1957" s="40">
        <f t="shared" ca="1" si="277"/>
        <v>1041403437347.2374</v>
      </c>
      <c r="K1957" s="41">
        <f t="shared" ca="1" si="278"/>
        <v>20.596104141981822</v>
      </c>
    </row>
    <row r="1958" spans="2:11" ht="15" customHeight="1" x14ac:dyDescent="0.35">
      <c r="B1958" s="5">
        <v>1937</v>
      </c>
      <c r="C1958" s="39">
        <f t="shared" ca="1" si="270"/>
        <v>2.7810695176611953</v>
      </c>
      <c r="D1958" s="40">
        <f t="shared" ca="1" si="271"/>
        <v>3580283347.8651829</v>
      </c>
      <c r="E1958" s="40">
        <f t="shared" ca="1" si="272"/>
        <v>14754166391029.279</v>
      </c>
      <c r="F1958" s="40">
        <f t="shared" ca="1" si="273"/>
        <v>6993625302915.5098</v>
      </c>
      <c r="G1958" s="40">
        <f t="shared" ca="1" si="274"/>
        <v>1730732140877.4463</v>
      </c>
      <c r="H1958" s="40">
        <f t="shared" ca="1" si="275"/>
        <v>1730732140877.4463</v>
      </c>
      <c r="I1958" s="40">
        <f t="shared" ca="1" si="276"/>
        <v>9436871305692.5801</v>
      </c>
      <c r="J1958" s="40">
        <f t="shared" ca="1" si="277"/>
        <v>1307064595559.866</v>
      </c>
      <c r="K1958" s="41">
        <f t="shared" ca="1" si="278"/>
        <v>7.2198966583211641</v>
      </c>
    </row>
    <row r="1959" spans="2:11" ht="15" customHeight="1" x14ac:dyDescent="0.35">
      <c r="B1959" s="5">
        <v>1938</v>
      </c>
      <c r="C1959" s="39">
        <f t="shared" ca="1" si="270"/>
        <v>2.7521151924816127</v>
      </c>
      <c r="D1959" s="40">
        <f t="shared" ca="1" si="271"/>
        <v>3077429562.5948257</v>
      </c>
      <c r="E1959" s="40">
        <f t="shared" ca="1" si="272"/>
        <v>4593057066516.8311</v>
      </c>
      <c r="F1959" s="40">
        <f t="shared" ca="1" si="273"/>
        <v>1746378390006.626</v>
      </c>
      <c r="G1959" s="40">
        <f t="shared" ca="1" si="274"/>
        <v>9989405349067.9805</v>
      </c>
      <c r="H1959" s="40">
        <f t="shared" ca="1" si="275"/>
        <v>9989405349067.9805</v>
      </c>
      <c r="I1959" s="40">
        <f t="shared" ca="1" si="276"/>
        <v>10340016075456.598</v>
      </c>
      <c r="J1959" s="40">
        <f t="shared" ca="1" si="277"/>
        <v>1415678368310.188</v>
      </c>
      <c r="K1959" s="41">
        <f t="shared" ca="1" si="278"/>
        <v>7.3039302619272668</v>
      </c>
    </row>
    <row r="1960" spans="2:11" ht="15" customHeight="1" x14ac:dyDescent="0.35">
      <c r="B1960" s="5">
        <v>1939</v>
      </c>
      <c r="C1960" s="39">
        <f t="shared" ca="1" si="270"/>
        <v>2.7615925179766405</v>
      </c>
      <c r="D1960" s="40">
        <f t="shared" ca="1" si="271"/>
        <v>2988619828.2390456</v>
      </c>
      <c r="E1960" s="40">
        <f t="shared" ca="1" si="272"/>
        <v>14033506057320.594</v>
      </c>
      <c r="F1960" s="40">
        <f t="shared" ca="1" si="273"/>
        <v>815805334578.81042</v>
      </c>
      <c r="G1960" s="40">
        <f t="shared" ca="1" si="274"/>
        <v>1747484358200.9575</v>
      </c>
      <c r="H1960" s="40">
        <f t="shared" ca="1" si="275"/>
        <v>1747484358200.9575</v>
      </c>
      <c r="I1960" s="40">
        <f t="shared" ca="1" si="276"/>
        <v>6865533158095.0479</v>
      </c>
      <c r="J1960" s="40">
        <f t="shared" ca="1" si="277"/>
        <v>1742221030186.3794</v>
      </c>
      <c r="K1960" s="41">
        <f t="shared" ca="1" si="278"/>
        <v>3.940678616054007</v>
      </c>
    </row>
    <row r="1961" spans="2:11" ht="15" customHeight="1" x14ac:dyDescent="0.35">
      <c r="B1961" s="5">
        <v>1940</v>
      </c>
      <c r="C1961" s="39">
        <f t="shared" ca="1" si="270"/>
        <v>2.7118717674133976</v>
      </c>
      <c r="D1961" s="40">
        <f t="shared" ca="1" si="271"/>
        <v>2727569531.7083259</v>
      </c>
      <c r="E1961" s="40">
        <f t="shared" ca="1" si="272"/>
        <v>21792715707367.863</v>
      </c>
      <c r="F1961" s="40">
        <f t="shared" ca="1" si="273"/>
        <v>12966231677364.023</v>
      </c>
      <c r="G1961" s="40">
        <f t="shared" ca="1" si="274"/>
        <v>63380201644761.656</v>
      </c>
      <c r="H1961" s="40">
        <f t="shared" ca="1" si="275"/>
        <v>63380201644761.656</v>
      </c>
      <c r="I1961" s="40">
        <f t="shared" ca="1" si="276"/>
        <v>6514259889684.3389</v>
      </c>
      <c r="J1961" s="40">
        <f t="shared" ca="1" si="277"/>
        <v>1221938211726.8757</v>
      </c>
      <c r="K1961" s="41">
        <f t="shared" ca="1" si="278"/>
        <v>5.3310877973757878</v>
      </c>
    </row>
    <row r="1962" spans="2:11" ht="15" customHeight="1" x14ac:dyDescent="0.35">
      <c r="B1962" s="5">
        <v>1941</v>
      </c>
      <c r="C1962" s="39">
        <f t="shared" ca="1" si="270"/>
        <v>2.7717613909454992</v>
      </c>
      <c r="D1962" s="40">
        <f t="shared" ca="1" si="271"/>
        <v>3536521978.9881973</v>
      </c>
      <c r="E1962" s="40">
        <f t="shared" ca="1" si="272"/>
        <v>46126782781803.625</v>
      </c>
      <c r="F1962" s="40">
        <f t="shared" ca="1" si="273"/>
        <v>1529417453952.6294</v>
      </c>
      <c r="G1962" s="40">
        <f t="shared" ca="1" si="274"/>
        <v>2582544945004.2827</v>
      </c>
      <c r="H1962" s="40">
        <f t="shared" ca="1" si="275"/>
        <v>1529417453952.6294</v>
      </c>
      <c r="I1962" s="40">
        <f t="shared" ca="1" si="276"/>
        <v>12199275661383.295</v>
      </c>
      <c r="J1962" s="40">
        <f t="shared" ca="1" si="277"/>
        <v>671542764814.26855</v>
      </c>
      <c r="K1962" s="41">
        <f t="shared" ca="1" si="278"/>
        <v>18.166044369128599</v>
      </c>
    </row>
    <row r="1963" spans="2:11" ht="15" customHeight="1" x14ac:dyDescent="0.35">
      <c r="B1963" s="5">
        <v>1942</v>
      </c>
      <c r="C1963" s="39">
        <f t="shared" ca="1" si="270"/>
        <v>2.4438987840168918</v>
      </c>
      <c r="D1963" s="40">
        <f t="shared" ca="1" si="271"/>
        <v>1760867350.3084736</v>
      </c>
      <c r="E1963" s="40">
        <f t="shared" ca="1" si="272"/>
        <v>8661795639535.4141</v>
      </c>
      <c r="F1963" s="40">
        <f t="shared" ca="1" si="273"/>
        <v>39742467856680.625</v>
      </c>
      <c r="G1963" s="40">
        <f t="shared" ca="1" si="274"/>
        <v>22245373909781.188</v>
      </c>
      <c r="H1963" s="40">
        <f t="shared" ca="1" si="275"/>
        <v>22245373909781.188</v>
      </c>
      <c r="I1963" s="40">
        <f t="shared" ca="1" si="276"/>
        <v>3399590227582.9097</v>
      </c>
      <c r="J1963" s="40">
        <f t="shared" ca="1" si="277"/>
        <v>1268922982405.8948</v>
      </c>
      <c r="K1963" s="41">
        <f t="shared" ca="1" si="278"/>
        <v>2.6791147096549874</v>
      </c>
    </row>
    <row r="1964" spans="2:11" ht="15" customHeight="1" x14ac:dyDescent="0.35">
      <c r="B1964" s="5">
        <v>1943</v>
      </c>
      <c r="C1964" s="39">
        <f t="shared" ca="1" si="270"/>
        <v>3.3259164185892613</v>
      </c>
      <c r="D1964" s="40">
        <f t="shared" ca="1" si="271"/>
        <v>6758188526.7863073</v>
      </c>
      <c r="E1964" s="40">
        <f t="shared" ca="1" si="272"/>
        <v>11653969273467.566</v>
      </c>
      <c r="F1964" s="40">
        <f t="shared" ca="1" si="273"/>
        <v>6432724616155.3086</v>
      </c>
      <c r="G1964" s="40">
        <f t="shared" ca="1" si="274"/>
        <v>20464455119374.727</v>
      </c>
      <c r="H1964" s="40">
        <f t="shared" ca="1" si="275"/>
        <v>11653969273467.566</v>
      </c>
      <c r="I1964" s="40">
        <f t="shared" ca="1" si="276"/>
        <v>23659150799742.523</v>
      </c>
      <c r="J1964" s="40">
        <f t="shared" ca="1" si="277"/>
        <v>1804864080224.4675</v>
      </c>
      <c r="K1964" s="41">
        <f t="shared" ca="1" si="278"/>
        <v>13.10854986753356</v>
      </c>
    </row>
    <row r="1965" spans="2:11" ht="15" customHeight="1" x14ac:dyDescent="0.35">
      <c r="B1965" s="5">
        <v>1944</v>
      </c>
      <c r="C1965" s="39">
        <f t="shared" ca="1" si="270"/>
        <v>3.7257302877712628</v>
      </c>
      <c r="D1965" s="40">
        <f t="shared" ca="1" si="271"/>
        <v>15494510296.021494</v>
      </c>
      <c r="E1965" s="40">
        <f t="shared" ca="1" si="272"/>
        <v>66057359884365.148</v>
      </c>
      <c r="F1965" s="40">
        <f t="shared" ca="1" si="273"/>
        <v>214699908791.34509</v>
      </c>
      <c r="G1965" s="40">
        <f t="shared" ca="1" si="274"/>
        <v>8496580163039.7832</v>
      </c>
      <c r="H1965" s="40">
        <f t="shared" ca="1" si="275"/>
        <v>214699908791.34509</v>
      </c>
      <c r="I1965" s="40">
        <f t="shared" ca="1" si="276"/>
        <v>41159928769040.75</v>
      </c>
      <c r="J1965" s="40">
        <f t="shared" ca="1" si="277"/>
        <v>1251951565639.1475</v>
      </c>
      <c r="K1965" s="41">
        <f t="shared" ca="1" si="278"/>
        <v>32.876614318564108</v>
      </c>
    </row>
    <row r="1966" spans="2:11" ht="15" customHeight="1" x14ac:dyDescent="0.35">
      <c r="B1966" s="5">
        <v>1945</v>
      </c>
      <c r="C1966" s="39">
        <f t="shared" ca="1" si="270"/>
        <v>2.8423551846582544</v>
      </c>
      <c r="D1966" s="40">
        <f t="shared" ca="1" si="271"/>
        <v>4061217676.6410422</v>
      </c>
      <c r="E1966" s="40">
        <f t="shared" ca="1" si="272"/>
        <v>9552063689909.9883</v>
      </c>
      <c r="F1966" s="40">
        <f t="shared" ca="1" si="273"/>
        <v>3758377614824.1841</v>
      </c>
      <c r="G1966" s="40">
        <f t="shared" ca="1" si="274"/>
        <v>18416188917021.457</v>
      </c>
      <c r="H1966" s="40">
        <f t="shared" ca="1" si="275"/>
        <v>9552063689909.9883</v>
      </c>
      <c r="I1966" s="40">
        <f t="shared" ca="1" si="276"/>
        <v>2969109418770.627</v>
      </c>
      <c r="J1966" s="40">
        <f t="shared" ca="1" si="277"/>
        <v>1162426346621.1968</v>
      </c>
      <c r="K1966" s="41">
        <f t="shared" ca="1" si="278"/>
        <v>2.5542344488327218</v>
      </c>
    </row>
    <row r="1967" spans="2:11" ht="15" customHeight="1" x14ac:dyDescent="0.35">
      <c r="B1967" s="5">
        <v>1946</v>
      </c>
      <c r="C1967" s="39">
        <f t="shared" ca="1" si="270"/>
        <v>3.0610430202335435</v>
      </c>
      <c r="D1967" s="40">
        <f t="shared" ca="1" si="271"/>
        <v>4301868319.9090214</v>
      </c>
      <c r="E1967" s="40">
        <f t="shared" ca="1" si="272"/>
        <v>16991901477519.684</v>
      </c>
      <c r="F1967" s="40">
        <f t="shared" ca="1" si="273"/>
        <v>715215501344.8175</v>
      </c>
      <c r="G1967" s="40">
        <f t="shared" ca="1" si="274"/>
        <v>11705544305351.727</v>
      </c>
      <c r="H1967" s="40">
        <f t="shared" ca="1" si="275"/>
        <v>16991901477519.684</v>
      </c>
      <c r="I1967" s="40">
        <f t="shared" ca="1" si="276"/>
        <v>3509110359314.2676</v>
      </c>
      <c r="J1967" s="40">
        <f t="shared" ca="1" si="277"/>
        <v>1193178940997.8472</v>
      </c>
      <c r="K1967" s="41">
        <f t="shared" ca="1" si="278"/>
        <v>2.9409757738261986</v>
      </c>
    </row>
    <row r="1968" spans="2:11" ht="15" customHeight="1" x14ac:dyDescent="0.35">
      <c r="B1968" s="5">
        <v>1947</v>
      </c>
      <c r="C1968" s="39">
        <f t="shared" ca="1" si="270"/>
        <v>2.2738991109641016</v>
      </c>
      <c r="D1968" s="40">
        <f t="shared" ca="1" si="271"/>
        <v>1081993244.1197898</v>
      </c>
      <c r="E1968" s="40">
        <f t="shared" ca="1" si="272"/>
        <v>1407544894306.9956</v>
      </c>
      <c r="F1968" s="40">
        <f t="shared" ca="1" si="273"/>
        <v>1762415278419.4983</v>
      </c>
      <c r="G1968" s="40">
        <f t="shared" ca="1" si="274"/>
        <v>2867898231061.7715</v>
      </c>
      <c r="H1968" s="40">
        <f t="shared" ca="1" si="275"/>
        <v>2867898231061.7715</v>
      </c>
      <c r="I1968" s="40">
        <f t="shared" ca="1" si="276"/>
        <v>50507460397721.398</v>
      </c>
      <c r="J1968" s="40">
        <f t="shared" ca="1" si="277"/>
        <v>1512822810120.4475</v>
      </c>
      <c r="K1968" s="41">
        <f t="shared" ca="1" si="278"/>
        <v>33.386236682734911</v>
      </c>
    </row>
    <row r="1969" spans="2:11" ht="15" customHeight="1" x14ac:dyDescent="0.35">
      <c r="B1969" s="5">
        <v>1948</v>
      </c>
      <c r="C1969" s="39">
        <f t="shared" ca="1" si="270"/>
        <v>2.9859217519449324</v>
      </c>
      <c r="D1969" s="40">
        <f t="shared" ca="1" si="271"/>
        <v>4491000104.7951841</v>
      </c>
      <c r="E1969" s="40">
        <f t="shared" ca="1" si="272"/>
        <v>3620903883230.1035</v>
      </c>
      <c r="F1969" s="40">
        <f t="shared" ca="1" si="273"/>
        <v>1373520847349.1418</v>
      </c>
      <c r="G1969" s="40">
        <f t="shared" ca="1" si="274"/>
        <v>3821512639437.0991</v>
      </c>
      <c r="H1969" s="40">
        <f t="shared" ca="1" si="275"/>
        <v>3620903883230.1035</v>
      </c>
      <c r="I1969" s="40">
        <f t="shared" ca="1" si="276"/>
        <v>44714494582091.32</v>
      </c>
      <c r="J1969" s="40">
        <f t="shared" ca="1" si="277"/>
        <v>1588476032623.7695</v>
      </c>
      <c r="K1969" s="41">
        <f t="shared" ca="1" si="278"/>
        <v>28.149303901195182</v>
      </c>
    </row>
    <row r="1970" spans="2:11" ht="15" customHeight="1" x14ac:dyDescent="0.35">
      <c r="B1970" s="5">
        <v>1949</v>
      </c>
      <c r="C1970" s="39">
        <f t="shared" ca="1" si="270"/>
        <v>3.0378239649789158</v>
      </c>
      <c r="D1970" s="40">
        <f t="shared" ca="1" si="271"/>
        <v>5779673284.221385</v>
      </c>
      <c r="E1970" s="40">
        <f t="shared" ca="1" si="272"/>
        <v>15613996048010.369</v>
      </c>
      <c r="F1970" s="40">
        <f t="shared" ca="1" si="273"/>
        <v>2549062955483.7212</v>
      </c>
      <c r="G1970" s="40">
        <f t="shared" ca="1" si="274"/>
        <v>20700097514246.234</v>
      </c>
      <c r="H1970" s="40">
        <f t="shared" ca="1" si="275"/>
        <v>2549062955483.7212</v>
      </c>
      <c r="I1970" s="40">
        <f t="shared" ca="1" si="276"/>
        <v>23735556068554.527</v>
      </c>
      <c r="J1970" s="40">
        <f t="shared" ca="1" si="277"/>
        <v>1285762943900.5066</v>
      </c>
      <c r="K1970" s="41">
        <f t="shared" ca="1" si="278"/>
        <v>18.460289418942224</v>
      </c>
    </row>
    <row r="1971" spans="2:11" ht="15" customHeight="1" x14ac:dyDescent="0.35">
      <c r="B1971" s="5">
        <v>1950</v>
      </c>
      <c r="C1971" s="39">
        <f t="shared" ca="1" si="270"/>
        <v>2.8528331590306077</v>
      </c>
      <c r="D1971" s="40">
        <f t="shared" ca="1" si="271"/>
        <v>4420808636.1280785</v>
      </c>
      <c r="E1971" s="40">
        <f t="shared" ca="1" si="272"/>
        <v>14253552435762.346</v>
      </c>
      <c r="F1971" s="40">
        <f t="shared" ca="1" si="273"/>
        <v>3649575962400.5645</v>
      </c>
      <c r="G1971" s="40">
        <f t="shared" ca="1" si="274"/>
        <v>118076137496345.86</v>
      </c>
      <c r="H1971" s="40">
        <f t="shared" ca="1" si="275"/>
        <v>14253552435762.346</v>
      </c>
      <c r="I1971" s="40">
        <f t="shared" ca="1" si="276"/>
        <v>16061464354628.426</v>
      </c>
      <c r="J1971" s="40">
        <f t="shared" ca="1" si="277"/>
        <v>646777216114.71729</v>
      </c>
      <c r="K1971" s="41">
        <f t="shared" ca="1" si="278"/>
        <v>24.833070730462534</v>
      </c>
    </row>
    <row r="1972" spans="2:11" ht="15" customHeight="1" x14ac:dyDescent="0.35">
      <c r="B1972" s="5">
        <v>1951</v>
      </c>
      <c r="C1972" s="39">
        <f t="shared" ca="1" si="270"/>
        <v>3.3322999944910228</v>
      </c>
      <c r="D1972" s="40">
        <f t="shared" ca="1" si="271"/>
        <v>9264209322.8184223</v>
      </c>
      <c r="E1972" s="40">
        <f t="shared" ca="1" si="272"/>
        <v>11535012916389.51</v>
      </c>
      <c r="F1972" s="40">
        <f t="shared" ca="1" si="273"/>
        <v>6392505624691.0947</v>
      </c>
      <c r="G1972" s="40">
        <f t="shared" ca="1" si="274"/>
        <v>73060351075613.672</v>
      </c>
      <c r="H1972" s="40">
        <f t="shared" ca="1" si="275"/>
        <v>11535012916389.51</v>
      </c>
      <c r="I1972" s="40">
        <f t="shared" ca="1" si="276"/>
        <v>955407154331.3241</v>
      </c>
      <c r="J1972" s="40">
        <f t="shared" ca="1" si="277"/>
        <v>1292441704059.3308</v>
      </c>
      <c r="K1972" s="41">
        <f t="shared" ca="1" si="278"/>
        <v>0.73922649766760018</v>
      </c>
    </row>
    <row r="1973" spans="2:11" ht="15" customHeight="1" x14ac:dyDescent="0.35">
      <c r="B1973" s="5">
        <v>1952</v>
      </c>
      <c r="C1973" s="39">
        <f t="shared" ca="1" si="270"/>
        <v>2.9742109642945991</v>
      </c>
      <c r="D1973" s="40">
        <f t="shared" ca="1" si="271"/>
        <v>5563179901.9063931</v>
      </c>
      <c r="E1973" s="40">
        <f t="shared" ca="1" si="272"/>
        <v>10093746602497.74</v>
      </c>
      <c r="F1973" s="40">
        <f t="shared" ca="1" si="273"/>
        <v>236399777247.20523</v>
      </c>
      <c r="G1973" s="40">
        <f t="shared" ca="1" si="274"/>
        <v>3748855952547.3906</v>
      </c>
      <c r="H1973" s="40">
        <f t="shared" ca="1" si="275"/>
        <v>236399777247.20523</v>
      </c>
      <c r="I1973" s="40">
        <f t="shared" ca="1" si="276"/>
        <v>20999481564106.891</v>
      </c>
      <c r="J1973" s="40">
        <f t="shared" ca="1" si="277"/>
        <v>1577806220308.9197</v>
      </c>
      <c r="K1973" s="41">
        <f t="shared" ca="1" si="278"/>
        <v>13.309290642798574</v>
      </c>
    </row>
    <row r="1974" spans="2:11" ht="15" customHeight="1" x14ac:dyDescent="0.35">
      <c r="B1974" s="5">
        <v>1953</v>
      </c>
      <c r="C1974" s="39">
        <f t="shared" ca="1" si="270"/>
        <v>2.4265119243420887</v>
      </c>
      <c r="D1974" s="40">
        <f t="shared" ca="1" si="271"/>
        <v>1659075543.5312612</v>
      </c>
      <c r="E1974" s="40">
        <f t="shared" ca="1" si="272"/>
        <v>8261882606766.21</v>
      </c>
      <c r="F1974" s="40">
        <f t="shared" ca="1" si="273"/>
        <v>7414775497907.6992</v>
      </c>
      <c r="G1974" s="40">
        <f t="shared" ca="1" si="274"/>
        <v>5697882308214.8271</v>
      </c>
      <c r="H1974" s="40">
        <f t="shared" ca="1" si="275"/>
        <v>5697882308214.8271</v>
      </c>
      <c r="I1974" s="40">
        <f t="shared" ca="1" si="276"/>
        <v>30787036698368.539</v>
      </c>
      <c r="J1974" s="40">
        <f t="shared" ca="1" si="277"/>
        <v>718167060862.38843</v>
      </c>
      <c r="K1974" s="41">
        <f t="shared" ca="1" si="278"/>
        <v>42.868906659961389</v>
      </c>
    </row>
    <row r="1975" spans="2:11" ht="15" customHeight="1" x14ac:dyDescent="0.35">
      <c r="B1975" s="5">
        <v>1954</v>
      </c>
      <c r="C1975" s="39">
        <f t="shared" ca="1" si="270"/>
        <v>2.6484687334962764</v>
      </c>
      <c r="D1975" s="40">
        <f t="shared" ca="1" si="271"/>
        <v>2722171132.7918119</v>
      </c>
      <c r="E1975" s="40">
        <f t="shared" ca="1" si="272"/>
        <v>1005975457204.4382</v>
      </c>
      <c r="F1975" s="40">
        <f t="shared" ca="1" si="273"/>
        <v>2490857137761.3057</v>
      </c>
      <c r="G1975" s="40">
        <f t="shared" ca="1" si="274"/>
        <v>17053202542350.572</v>
      </c>
      <c r="H1975" s="40">
        <f t="shared" ca="1" si="275"/>
        <v>1005975457204.4382</v>
      </c>
      <c r="I1975" s="40">
        <f t="shared" ca="1" si="276"/>
        <v>8348136066921.7002</v>
      </c>
      <c r="J1975" s="40">
        <f t="shared" ca="1" si="277"/>
        <v>632724469973.22241</v>
      </c>
      <c r="K1975" s="41">
        <f t="shared" ca="1" si="278"/>
        <v>13.193951653671625</v>
      </c>
    </row>
    <row r="1976" spans="2:11" ht="15" customHeight="1" x14ac:dyDescent="0.35">
      <c r="B1976" s="5">
        <v>1955</v>
      </c>
      <c r="C1976" s="39">
        <f t="shared" ca="1" si="270"/>
        <v>2.4052472362278325</v>
      </c>
      <c r="D1976" s="40">
        <f t="shared" ca="1" si="271"/>
        <v>1778052973.1696739</v>
      </c>
      <c r="E1976" s="40">
        <f t="shared" ca="1" si="272"/>
        <v>4661648575214.4805</v>
      </c>
      <c r="F1976" s="40">
        <f t="shared" ca="1" si="273"/>
        <v>1777687041269.5618</v>
      </c>
      <c r="G1976" s="40">
        <f t="shared" ca="1" si="274"/>
        <v>520847264369.55731</v>
      </c>
      <c r="H1976" s="40">
        <f t="shared" ca="1" si="275"/>
        <v>1777687041269.5618</v>
      </c>
      <c r="I1976" s="40">
        <f t="shared" ca="1" si="276"/>
        <v>1702865469513.8442</v>
      </c>
      <c r="J1976" s="40">
        <f t="shared" ca="1" si="277"/>
        <v>1692408308988.2693</v>
      </c>
      <c r="K1976" s="41">
        <f t="shared" ca="1" si="278"/>
        <v>1.0061788638533844</v>
      </c>
    </row>
    <row r="1977" spans="2:11" ht="15" customHeight="1" x14ac:dyDescent="0.35">
      <c r="B1977" s="5">
        <v>1956</v>
      </c>
      <c r="C1977" s="39">
        <f t="shared" ca="1" si="270"/>
        <v>3.1210118659028256</v>
      </c>
      <c r="D1977" s="40">
        <f t="shared" ca="1" si="271"/>
        <v>4892090065.9443007</v>
      </c>
      <c r="E1977" s="40">
        <f t="shared" ca="1" si="272"/>
        <v>29396776711093.875</v>
      </c>
      <c r="F1977" s="40">
        <f t="shared" ca="1" si="273"/>
        <v>12405412553252.787</v>
      </c>
      <c r="G1977" s="40">
        <f t="shared" ca="1" si="274"/>
        <v>7806379808971.9043</v>
      </c>
      <c r="H1977" s="40">
        <f t="shared" ca="1" si="275"/>
        <v>7806379808971.9043</v>
      </c>
      <c r="I1977" s="40">
        <f t="shared" ca="1" si="276"/>
        <v>7014708760236.541</v>
      </c>
      <c r="J1977" s="40">
        <f t="shared" ca="1" si="277"/>
        <v>524495579096.9624</v>
      </c>
      <c r="K1977" s="41">
        <f t="shared" ca="1" si="278"/>
        <v>13.374199973837618</v>
      </c>
    </row>
    <row r="1978" spans="2:11" ht="15" customHeight="1" x14ac:dyDescent="0.35">
      <c r="B1978" s="5">
        <v>1957</v>
      </c>
      <c r="C1978" s="39">
        <f t="shared" ca="1" si="270"/>
        <v>3.0922745791454762</v>
      </c>
      <c r="D1978" s="40">
        <f t="shared" ca="1" si="271"/>
        <v>4615248518.7375441</v>
      </c>
      <c r="E1978" s="40">
        <f t="shared" ca="1" si="272"/>
        <v>14086564793772.396</v>
      </c>
      <c r="F1978" s="40">
        <f t="shared" ca="1" si="273"/>
        <v>3348053408877.0132</v>
      </c>
      <c r="G1978" s="40">
        <f t="shared" ca="1" si="274"/>
        <v>19885250658476.109</v>
      </c>
      <c r="H1978" s="40">
        <f t="shared" ca="1" si="275"/>
        <v>19885250658476.109</v>
      </c>
      <c r="I1978" s="40">
        <f t="shared" ca="1" si="276"/>
        <v>1515109705796.918</v>
      </c>
      <c r="J1978" s="40">
        <f t="shared" ca="1" si="277"/>
        <v>748976911088.3634</v>
      </c>
      <c r="K1978" s="41">
        <f t="shared" ca="1" si="278"/>
        <v>2.0229057576624911</v>
      </c>
    </row>
    <row r="1979" spans="2:11" ht="15" customHeight="1" x14ac:dyDescent="0.35">
      <c r="B1979" s="5">
        <v>1958</v>
      </c>
      <c r="C1979" s="39">
        <f t="shared" ca="1" si="270"/>
        <v>2.0261240528716957</v>
      </c>
      <c r="D1979" s="40">
        <f t="shared" ca="1" si="271"/>
        <v>596833454.96423495</v>
      </c>
      <c r="E1979" s="40">
        <f t="shared" ca="1" si="272"/>
        <v>9798295366994.0234</v>
      </c>
      <c r="F1979" s="40">
        <f t="shared" ca="1" si="273"/>
        <v>2196638732671.6594</v>
      </c>
      <c r="G1979" s="40">
        <f t="shared" ca="1" si="274"/>
        <v>12376698257400.164</v>
      </c>
      <c r="H1979" s="40">
        <f t="shared" ca="1" si="275"/>
        <v>2196638732671.6594</v>
      </c>
      <c r="I1979" s="40">
        <f t="shared" ca="1" si="276"/>
        <v>13202067380767.506</v>
      </c>
      <c r="J1979" s="40">
        <f t="shared" ca="1" si="277"/>
        <v>503048392820.19177</v>
      </c>
      <c r="K1979" s="41">
        <f t="shared" ca="1" si="278"/>
        <v>26.244129927051404</v>
      </c>
    </row>
    <row r="1980" spans="2:11" ht="15" customHeight="1" x14ac:dyDescent="0.35">
      <c r="B1980" s="5">
        <v>1959</v>
      </c>
      <c r="C1980" s="39">
        <f t="shared" ca="1" si="270"/>
        <v>2.468251239897409</v>
      </c>
      <c r="D1980" s="40">
        <f t="shared" ca="1" si="271"/>
        <v>1655224228.1804898</v>
      </c>
      <c r="E1980" s="40">
        <f t="shared" ca="1" si="272"/>
        <v>7109473027414.3975</v>
      </c>
      <c r="F1980" s="40">
        <f t="shared" ca="1" si="273"/>
        <v>2173924451809.9717</v>
      </c>
      <c r="G1980" s="40">
        <f t="shared" ca="1" si="274"/>
        <v>530232548747.82886</v>
      </c>
      <c r="H1980" s="40">
        <f t="shared" ca="1" si="275"/>
        <v>7109473027414.3975</v>
      </c>
      <c r="I1980" s="40">
        <f t="shared" ca="1" si="276"/>
        <v>3468151101754.9111</v>
      </c>
      <c r="J1980" s="40">
        <f t="shared" ca="1" si="277"/>
        <v>1081275810097.0258</v>
      </c>
      <c r="K1980" s="41">
        <f t="shared" ca="1" si="278"/>
        <v>3.207462027143384</v>
      </c>
    </row>
    <row r="1981" spans="2:11" ht="15" customHeight="1" x14ac:dyDescent="0.35">
      <c r="B1981" s="5">
        <v>1960</v>
      </c>
      <c r="C1981" s="39">
        <f t="shared" ca="1" si="270"/>
        <v>3.3991412983735638</v>
      </c>
      <c r="D1981" s="40">
        <f t="shared" ca="1" si="271"/>
        <v>7954299639.5754137</v>
      </c>
      <c r="E1981" s="40">
        <f t="shared" ca="1" si="272"/>
        <v>8189096749864.0625</v>
      </c>
      <c r="F1981" s="40">
        <f t="shared" ca="1" si="273"/>
        <v>2450682435608.2837</v>
      </c>
      <c r="G1981" s="40">
        <f t="shared" ca="1" si="274"/>
        <v>755653378225.83081</v>
      </c>
      <c r="H1981" s="40">
        <f t="shared" ca="1" si="275"/>
        <v>755653378225.83081</v>
      </c>
      <c r="I1981" s="40">
        <f t="shared" ca="1" si="276"/>
        <v>13931445342723.625</v>
      </c>
      <c r="J1981" s="40">
        <f t="shared" ca="1" si="277"/>
        <v>1341223352017.5576</v>
      </c>
      <c r="K1981" s="41">
        <f t="shared" ca="1" si="278"/>
        <v>10.387118090187601</v>
      </c>
    </row>
    <row r="1982" spans="2:11" ht="15" customHeight="1" x14ac:dyDescent="0.35">
      <c r="B1982" s="5">
        <v>1961</v>
      </c>
      <c r="C1982" s="39">
        <f t="shared" ca="1" si="270"/>
        <v>3.5921426964274081</v>
      </c>
      <c r="D1982" s="40">
        <f t="shared" ca="1" si="271"/>
        <v>14014186202.266512</v>
      </c>
      <c r="E1982" s="40">
        <f t="shared" ca="1" si="272"/>
        <v>28377603628631.266</v>
      </c>
      <c r="F1982" s="40">
        <f t="shared" ca="1" si="273"/>
        <v>1067923844534.8334</v>
      </c>
      <c r="G1982" s="40">
        <f t="shared" ca="1" si="274"/>
        <v>1540933221138.4048</v>
      </c>
      <c r="H1982" s="40">
        <f t="shared" ca="1" si="275"/>
        <v>1067923844534.8334</v>
      </c>
      <c r="I1982" s="40">
        <f t="shared" ca="1" si="276"/>
        <v>5616883076350.3887</v>
      </c>
      <c r="J1982" s="40">
        <f t="shared" ca="1" si="277"/>
        <v>1079530041442.0769</v>
      </c>
      <c r="K1982" s="41">
        <f t="shared" ca="1" si="278"/>
        <v>5.2030817677358421</v>
      </c>
    </row>
    <row r="1983" spans="2:11" ht="15" customHeight="1" x14ac:dyDescent="0.35">
      <c r="B1983" s="5">
        <v>1962</v>
      </c>
      <c r="C1983" s="39">
        <f t="shared" ca="1" si="270"/>
        <v>2.5797686387081091</v>
      </c>
      <c r="D1983" s="40">
        <f t="shared" ca="1" si="271"/>
        <v>2207126907.5518031</v>
      </c>
      <c r="E1983" s="40">
        <f t="shared" ca="1" si="272"/>
        <v>11946476998890.799</v>
      </c>
      <c r="F1983" s="40">
        <f t="shared" ca="1" si="273"/>
        <v>13657558050418.973</v>
      </c>
      <c r="G1983" s="40">
        <f t="shared" ca="1" si="274"/>
        <v>1569140321928.2451</v>
      </c>
      <c r="H1983" s="40">
        <f t="shared" ca="1" si="275"/>
        <v>11946476998890.799</v>
      </c>
      <c r="I1983" s="40">
        <f t="shared" ca="1" si="276"/>
        <v>3956349602469.8115</v>
      </c>
      <c r="J1983" s="40">
        <f t="shared" ca="1" si="277"/>
        <v>1171969585826.5605</v>
      </c>
      <c r="K1983" s="41">
        <f t="shared" ca="1" si="278"/>
        <v>3.375812521345849</v>
      </c>
    </row>
    <row r="1984" spans="2:11" ht="15" customHeight="1" x14ac:dyDescent="0.35">
      <c r="B1984" s="5">
        <v>1963</v>
      </c>
      <c r="C1984" s="39">
        <f t="shared" ca="1" si="270"/>
        <v>2.6960156374991358</v>
      </c>
      <c r="D1984" s="40">
        <f t="shared" ca="1" si="271"/>
        <v>2843667900.5615358</v>
      </c>
      <c r="E1984" s="40">
        <f t="shared" ca="1" si="272"/>
        <v>20934632695262.711</v>
      </c>
      <c r="F1984" s="40">
        <f t="shared" ca="1" si="273"/>
        <v>4246438240556.9507</v>
      </c>
      <c r="G1984" s="40">
        <f t="shared" ca="1" si="274"/>
        <v>13124297175487.041</v>
      </c>
      <c r="H1984" s="40">
        <f t="shared" ca="1" si="275"/>
        <v>4246438240556.9507</v>
      </c>
      <c r="I1984" s="40">
        <f t="shared" ca="1" si="276"/>
        <v>17879149805698.086</v>
      </c>
      <c r="J1984" s="40">
        <f t="shared" ca="1" si="277"/>
        <v>959866642220.92773</v>
      </c>
      <c r="K1984" s="41">
        <f t="shared" ca="1" si="278"/>
        <v>18.626701897181807</v>
      </c>
    </row>
    <row r="1985" spans="2:11" ht="15" customHeight="1" x14ac:dyDescent="0.35">
      <c r="B1985" s="5">
        <v>1964</v>
      </c>
      <c r="C1985" s="39">
        <f t="shared" ca="1" si="270"/>
        <v>3.4148437683670418</v>
      </c>
      <c r="D1985" s="40">
        <f t="shared" ca="1" si="271"/>
        <v>8628329827.3849888</v>
      </c>
      <c r="E1985" s="40">
        <f t="shared" ca="1" si="272"/>
        <v>61473388654584.188</v>
      </c>
      <c r="F1985" s="40">
        <f t="shared" ca="1" si="273"/>
        <v>1023110354648.3202</v>
      </c>
      <c r="G1985" s="40">
        <f t="shared" ca="1" si="274"/>
        <v>2918970109459.5762</v>
      </c>
      <c r="H1985" s="40">
        <f t="shared" ca="1" si="275"/>
        <v>2918970109459.5762</v>
      </c>
      <c r="I1985" s="40">
        <f t="shared" ca="1" si="276"/>
        <v>1707448340002.804</v>
      </c>
      <c r="J1985" s="40">
        <f t="shared" ca="1" si="277"/>
        <v>1194484558804.7266</v>
      </c>
      <c r="K1985" s="41">
        <f t="shared" ca="1" si="278"/>
        <v>1.4294436268907318</v>
      </c>
    </row>
    <row r="1986" spans="2:11" ht="15" customHeight="1" x14ac:dyDescent="0.35">
      <c r="B1986" s="5">
        <v>1965</v>
      </c>
      <c r="C1986" s="39">
        <f t="shared" ca="1" si="270"/>
        <v>2.8913940185609124</v>
      </c>
      <c r="D1986" s="40">
        <f t="shared" ca="1" si="271"/>
        <v>4194964495.3730679</v>
      </c>
      <c r="E1986" s="40">
        <f t="shared" ca="1" si="272"/>
        <v>48580355593913.648</v>
      </c>
      <c r="F1986" s="40">
        <f t="shared" ca="1" si="273"/>
        <v>1480926892180.4399</v>
      </c>
      <c r="G1986" s="40">
        <f t="shared" ca="1" si="274"/>
        <v>5499353609273.4512</v>
      </c>
      <c r="H1986" s="40">
        <f t="shared" ca="1" si="275"/>
        <v>5499353609273.4512</v>
      </c>
      <c r="I1986" s="40">
        <f t="shared" ca="1" si="276"/>
        <v>39668318729228.5</v>
      </c>
      <c r="J1986" s="40">
        <f t="shared" ca="1" si="277"/>
        <v>1099901517793.0806</v>
      </c>
      <c r="K1986" s="41">
        <f t="shared" ca="1" si="278"/>
        <v>36.065336839267019</v>
      </c>
    </row>
    <row r="1987" spans="2:11" ht="15" customHeight="1" x14ac:dyDescent="0.35">
      <c r="B1987" s="5">
        <v>1966</v>
      </c>
      <c r="C1987" s="39">
        <f t="shared" ca="1" si="270"/>
        <v>2.176201026539768</v>
      </c>
      <c r="D1987" s="40">
        <f t="shared" ca="1" si="271"/>
        <v>1012294590.3135604</v>
      </c>
      <c r="E1987" s="40">
        <f t="shared" ca="1" si="272"/>
        <v>3261901811274.4717</v>
      </c>
      <c r="F1987" s="40">
        <f t="shared" ca="1" si="273"/>
        <v>1020011778572.0795</v>
      </c>
      <c r="G1987" s="40">
        <f t="shared" ca="1" si="274"/>
        <v>37850480795189.078</v>
      </c>
      <c r="H1987" s="40">
        <f t="shared" ca="1" si="275"/>
        <v>3261901811274.4717</v>
      </c>
      <c r="I1987" s="40">
        <f t="shared" ca="1" si="276"/>
        <v>37357004801032.109</v>
      </c>
      <c r="J1987" s="40">
        <f t="shared" ca="1" si="277"/>
        <v>1654597373947.2915</v>
      </c>
      <c r="K1987" s="41">
        <f t="shared" ca="1" si="278"/>
        <v>22.57770101007192</v>
      </c>
    </row>
    <row r="1988" spans="2:11" ht="15" customHeight="1" x14ac:dyDescent="0.35">
      <c r="B1988" s="5">
        <v>1967</v>
      </c>
      <c r="C1988" s="39">
        <f t="shared" ca="1" si="270"/>
        <v>2.9817355487579129</v>
      </c>
      <c r="D1988" s="40">
        <f t="shared" ca="1" si="271"/>
        <v>5027202922.5359058</v>
      </c>
      <c r="E1988" s="40">
        <f t="shared" ca="1" si="272"/>
        <v>7959974794036.8096</v>
      </c>
      <c r="F1988" s="40">
        <f t="shared" ca="1" si="273"/>
        <v>2566754494552.0835</v>
      </c>
      <c r="G1988" s="40">
        <f t="shared" ca="1" si="274"/>
        <v>14534514555328.623</v>
      </c>
      <c r="H1988" s="40">
        <f t="shared" ca="1" si="275"/>
        <v>7959974794036.8096</v>
      </c>
      <c r="I1988" s="40">
        <f t="shared" ca="1" si="276"/>
        <v>121698657974753.56</v>
      </c>
      <c r="J1988" s="40">
        <f t="shared" ca="1" si="277"/>
        <v>1510250393034.9053</v>
      </c>
      <c r="K1988" s="41">
        <f t="shared" ca="1" si="278"/>
        <v>80.58177540361072</v>
      </c>
    </row>
    <row r="1989" spans="2:11" ht="15" customHeight="1" x14ac:dyDescent="0.35">
      <c r="B1989" s="5">
        <v>1968</v>
      </c>
      <c r="C1989" s="39">
        <f t="shared" ca="1" si="270"/>
        <v>3.1146746031169483</v>
      </c>
      <c r="D1989" s="40">
        <f t="shared" ca="1" si="271"/>
        <v>6289066457.8853426</v>
      </c>
      <c r="E1989" s="40">
        <f t="shared" ca="1" si="272"/>
        <v>29020886486991.395</v>
      </c>
      <c r="F1989" s="40">
        <f t="shared" ca="1" si="273"/>
        <v>507146068234.73169</v>
      </c>
      <c r="G1989" s="40">
        <f t="shared" ca="1" si="274"/>
        <v>681063013219.3501</v>
      </c>
      <c r="H1989" s="40">
        <f t="shared" ca="1" si="275"/>
        <v>681063013219.3501</v>
      </c>
      <c r="I1989" s="40">
        <f t="shared" ca="1" si="276"/>
        <v>19627121381312.754</v>
      </c>
      <c r="J1989" s="40">
        <f t="shared" ca="1" si="277"/>
        <v>1205272803353.8706</v>
      </c>
      <c r="K1989" s="41">
        <f t="shared" ca="1" si="278"/>
        <v>16.284380869374175</v>
      </c>
    </row>
    <row r="1990" spans="2:11" ht="15" customHeight="1" x14ac:dyDescent="0.35">
      <c r="B1990" s="5">
        <v>1969</v>
      </c>
      <c r="C1990" s="39">
        <f t="shared" ca="1" si="270"/>
        <v>2.7751124756955341</v>
      </c>
      <c r="D1990" s="40">
        <f t="shared" ca="1" si="271"/>
        <v>3727661339.1376514</v>
      </c>
      <c r="E1990" s="40">
        <f t="shared" ca="1" si="272"/>
        <v>7660140728215.4063</v>
      </c>
      <c r="F1990" s="40">
        <f t="shared" ca="1" si="273"/>
        <v>2848264979501.0034</v>
      </c>
      <c r="G1990" s="40">
        <f t="shared" ca="1" si="274"/>
        <v>23665240520914.91</v>
      </c>
      <c r="H1990" s="40">
        <f t="shared" ca="1" si="275"/>
        <v>23665240520914.91</v>
      </c>
      <c r="I1990" s="40">
        <f t="shared" ca="1" si="276"/>
        <v>5351163865515.3008</v>
      </c>
      <c r="J1990" s="40">
        <f t="shared" ca="1" si="277"/>
        <v>944789448570.37939</v>
      </c>
      <c r="K1990" s="41">
        <f t="shared" ca="1" si="278"/>
        <v>5.6638692076975294</v>
      </c>
    </row>
    <row r="1991" spans="2:11" ht="15" customHeight="1" x14ac:dyDescent="0.35">
      <c r="B1991" s="5">
        <v>1970</v>
      </c>
      <c r="C1991" s="39">
        <f t="shared" ca="1" si="270"/>
        <v>2.5455177318939732</v>
      </c>
      <c r="D1991" s="40">
        <f t="shared" ca="1" si="271"/>
        <v>2560941348.8725686</v>
      </c>
      <c r="E1991" s="40">
        <f t="shared" ca="1" si="272"/>
        <v>23369644365617.859</v>
      </c>
      <c r="F1991" s="40">
        <f t="shared" ca="1" si="273"/>
        <v>6753329933317.2754</v>
      </c>
      <c r="G1991" s="40">
        <f t="shared" ca="1" si="274"/>
        <v>6868452722505.9355</v>
      </c>
      <c r="H1991" s="40">
        <f t="shared" ca="1" si="275"/>
        <v>23369644365617.859</v>
      </c>
      <c r="I1991" s="40">
        <f t="shared" ca="1" si="276"/>
        <v>1156176237688.8591</v>
      </c>
      <c r="J1991" s="40">
        <f t="shared" ca="1" si="277"/>
        <v>1194533589884.5063</v>
      </c>
      <c r="K1991" s="41">
        <f t="shared" ca="1" si="278"/>
        <v>0.96788926446232815</v>
      </c>
    </row>
    <row r="1992" spans="2:11" ht="15" customHeight="1" x14ac:dyDescent="0.35">
      <c r="B1992" s="5">
        <v>1971</v>
      </c>
      <c r="C1992" s="39">
        <f t="shared" ca="1" si="270"/>
        <v>3.0278132975381995</v>
      </c>
      <c r="D1992" s="40">
        <f t="shared" ca="1" si="271"/>
        <v>4306932574.2667227</v>
      </c>
      <c r="E1992" s="40">
        <f t="shared" ca="1" si="272"/>
        <v>17755929590206.633</v>
      </c>
      <c r="F1992" s="40">
        <f t="shared" ca="1" si="273"/>
        <v>4122157800874.7329</v>
      </c>
      <c r="G1992" s="40">
        <f t="shared" ca="1" si="274"/>
        <v>5275539646658.208</v>
      </c>
      <c r="H1992" s="40">
        <f t="shared" ca="1" si="275"/>
        <v>5275539646658.208</v>
      </c>
      <c r="I1992" s="40">
        <f t="shared" ca="1" si="276"/>
        <v>375902966324376.13</v>
      </c>
      <c r="J1992" s="40">
        <f t="shared" ca="1" si="277"/>
        <v>1437551012680.6482</v>
      </c>
      <c r="K1992" s="41">
        <f t="shared" ca="1" si="278"/>
        <v>261.48843624228516</v>
      </c>
    </row>
    <row r="1993" spans="2:11" ht="15" customHeight="1" x14ac:dyDescent="0.35">
      <c r="B1993" s="5">
        <v>1972</v>
      </c>
      <c r="C1993" s="39">
        <f t="shared" ca="1" si="270"/>
        <v>2.9691084154747491</v>
      </c>
      <c r="D1993" s="40">
        <f t="shared" ca="1" si="271"/>
        <v>3935722704.7673187</v>
      </c>
      <c r="E1993" s="40">
        <f t="shared" ca="1" si="272"/>
        <v>26598859744335.367</v>
      </c>
      <c r="F1993" s="40">
        <f t="shared" ca="1" si="273"/>
        <v>16118368175172.42</v>
      </c>
      <c r="G1993" s="40">
        <f t="shared" ca="1" si="274"/>
        <v>627265900400.67151</v>
      </c>
      <c r="H1993" s="40">
        <f t="shared" ca="1" si="275"/>
        <v>627265900400.67151</v>
      </c>
      <c r="I1993" s="40">
        <f t="shared" ca="1" si="276"/>
        <v>19202253034997.18</v>
      </c>
      <c r="J1993" s="40">
        <f t="shared" ca="1" si="277"/>
        <v>831766143264.48669</v>
      </c>
      <c r="K1993" s="41">
        <f t="shared" ca="1" si="278"/>
        <v>23.086120047676921</v>
      </c>
    </row>
    <row r="1994" spans="2:11" ht="15" customHeight="1" x14ac:dyDescent="0.35">
      <c r="B1994" s="5">
        <v>1973</v>
      </c>
      <c r="C1994" s="39">
        <f t="shared" ca="1" si="270"/>
        <v>2.9313278189620346</v>
      </c>
      <c r="D1994" s="40">
        <f t="shared" ca="1" si="271"/>
        <v>4172195433.4287491</v>
      </c>
      <c r="E1994" s="40">
        <f t="shared" ca="1" si="272"/>
        <v>33771731122575.613</v>
      </c>
      <c r="F1994" s="40">
        <f t="shared" ca="1" si="273"/>
        <v>606251228635.70972</v>
      </c>
      <c r="G1994" s="40">
        <f t="shared" ca="1" si="274"/>
        <v>2834651523001.438</v>
      </c>
      <c r="H1994" s="40">
        <f t="shared" ca="1" si="275"/>
        <v>606251228635.70972</v>
      </c>
      <c r="I1994" s="40">
        <f t="shared" ca="1" si="276"/>
        <v>72963532988800.188</v>
      </c>
      <c r="J1994" s="40">
        <f t="shared" ca="1" si="277"/>
        <v>566271390532.8407</v>
      </c>
      <c r="K1994" s="41">
        <f t="shared" ca="1" si="278"/>
        <v>128.8490540200948</v>
      </c>
    </row>
    <row r="1995" spans="2:11" ht="15" customHeight="1" x14ac:dyDescent="0.35">
      <c r="B1995" s="5">
        <v>1974</v>
      </c>
      <c r="C1995" s="39">
        <f t="shared" ca="1" si="270"/>
        <v>3.5574615822353604</v>
      </c>
      <c r="D1995" s="40">
        <f t="shared" ca="1" si="271"/>
        <v>13065670153.827805</v>
      </c>
      <c r="E1995" s="40">
        <f t="shared" ca="1" si="272"/>
        <v>43774364864609.594</v>
      </c>
      <c r="F1995" s="40">
        <f t="shared" ca="1" si="273"/>
        <v>1386965631620.9165</v>
      </c>
      <c r="G1995" s="40">
        <f t="shared" ca="1" si="274"/>
        <v>7503589207937.9609</v>
      </c>
      <c r="H1995" s="40">
        <f t="shared" ca="1" si="275"/>
        <v>7503589207937.9609</v>
      </c>
      <c r="I1995" s="40">
        <f t="shared" ca="1" si="276"/>
        <v>5617497057840.8516</v>
      </c>
      <c r="J1995" s="40">
        <f t="shared" ca="1" si="277"/>
        <v>1291766940888.7402</v>
      </c>
      <c r="K1995" s="41">
        <f t="shared" ca="1" si="278"/>
        <v>4.3486923840735496</v>
      </c>
    </row>
    <row r="1996" spans="2:11" ht="15" customHeight="1" x14ac:dyDescent="0.35">
      <c r="B1996" s="5">
        <v>1975</v>
      </c>
      <c r="C1996" s="39">
        <f t="shared" ca="1" si="270"/>
        <v>2.8790120639936188</v>
      </c>
      <c r="D1996" s="40">
        <f t="shared" ca="1" si="271"/>
        <v>4124515190.9367771</v>
      </c>
      <c r="E1996" s="40">
        <f t="shared" ca="1" si="272"/>
        <v>14841533115125.434</v>
      </c>
      <c r="F1996" s="40">
        <f t="shared" ca="1" si="273"/>
        <v>161409607416.94186</v>
      </c>
      <c r="G1996" s="40">
        <f t="shared" ca="1" si="274"/>
        <v>3477523797941.728</v>
      </c>
      <c r="H1996" s="40">
        <f t="shared" ca="1" si="275"/>
        <v>14841533115125.434</v>
      </c>
      <c r="I1996" s="40">
        <f t="shared" ca="1" si="276"/>
        <v>1158547475770.3655</v>
      </c>
      <c r="J1996" s="40">
        <f t="shared" ca="1" si="277"/>
        <v>848860597275.64233</v>
      </c>
      <c r="K1996" s="41">
        <f t="shared" ca="1" si="278"/>
        <v>1.364826544533509</v>
      </c>
    </row>
    <row r="1997" spans="2:11" ht="15" customHeight="1" x14ac:dyDescent="0.35">
      <c r="B1997" s="5">
        <v>1976</v>
      </c>
      <c r="C1997" s="39">
        <f t="shared" ca="1" si="270"/>
        <v>3.7498528324783358</v>
      </c>
      <c r="D1997" s="40">
        <f t="shared" ca="1" si="271"/>
        <v>12864805971.528437</v>
      </c>
      <c r="E1997" s="40">
        <f t="shared" ca="1" si="272"/>
        <v>161487032382583.94</v>
      </c>
      <c r="F1997" s="40">
        <f t="shared" ca="1" si="273"/>
        <v>1071141626185.0962</v>
      </c>
      <c r="G1997" s="40">
        <f t="shared" ca="1" si="274"/>
        <v>2999021961242.4595</v>
      </c>
      <c r="H1997" s="40">
        <f t="shared" ca="1" si="275"/>
        <v>2999021961242.4595</v>
      </c>
      <c r="I1997" s="40">
        <f t="shared" ca="1" si="276"/>
        <v>2469684208223.5693</v>
      </c>
      <c r="J1997" s="40">
        <f t="shared" ca="1" si="277"/>
        <v>1466625090619.5144</v>
      </c>
      <c r="K1997" s="41">
        <f t="shared" ca="1" si="278"/>
        <v>1.6839233312041284</v>
      </c>
    </row>
    <row r="1998" spans="2:11" ht="15" customHeight="1" x14ac:dyDescent="0.35">
      <c r="B1998" s="5">
        <v>1977</v>
      </c>
      <c r="C1998" s="39">
        <f t="shared" ca="1" si="270"/>
        <v>2.5065684981853917</v>
      </c>
      <c r="D1998" s="40">
        <f t="shared" ca="1" si="271"/>
        <v>1621094786.9685276</v>
      </c>
      <c r="E1998" s="40">
        <f t="shared" ca="1" si="272"/>
        <v>1023988542255.3083</v>
      </c>
      <c r="F1998" s="40">
        <f t="shared" ca="1" si="273"/>
        <v>16002077340820.814</v>
      </c>
      <c r="G1998" s="40">
        <f t="shared" ca="1" si="274"/>
        <v>8556642669010.6504</v>
      </c>
      <c r="H1998" s="40">
        <f t="shared" ca="1" si="275"/>
        <v>16002077340820.814</v>
      </c>
      <c r="I1998" s="40">
        <f t="shared" ca="1" si="276"/>
        <v>61910329985254.039</v>
      </c>
      <c r="J1998" s="40">
        <f t="shared" ca="1" si="277"/>
        <v>1552379698611.2351</v>
      </c>
      <c r="K1998" s="41">
        <f t="shared" ca="1" si="278"/>
        <v>39.880919623362288</v>
      </c>
    </row>
    <row r="1999" spans="2:11" ht="15" customHeight="1" x14ac:dyDescent="0.35">
      <c r="B1999" s="5">
        <v>1978</v>
      </c>
      <c r="C1999" s="39">
        <f t="shared" ca="1" si="270"/>
        <v>2.6362880049641046</v>
      </c>
      <c r="D1999" s="40">
        <f t="shared" ca="1" si="271"/>
        <v>2651537575.717979</v>
      </c>
      <c r="E1999" s="40">
        <f t="shared" ca="1" si="272"/>
        <v>8411852857278.0957</v>
      </c>
      <c r="F1999" s="40">
        <f t="shared" ca="1" si="273"/>
        <v>3210501889905.9897</v>
      </c>
      <c r="G1999" s="40">
        <f t="shared" ca="1" si="274"/>
        <v>100618026770073.66</v>
      </c>
      <c r="H1999" s="40">
        <f t="shared" ca="1" si="275"/>
        <v>8411852857278.0957</v>
      </c>
      <c r="I1999" s="40">
        <f t="shared" ca="1" si="276"/>
        <v>1038186505155.1</v>
      </c>
      <c r="J1999" s="40">
        <f t="shared" ca="1" si="277"/>
        <v>1592317234070.2024</v>
      </c>
      <c r="K1999" s="41">
        <f t="shared" ca="1" si="278"/>
        <v>0.65199727977655497</v>
      </c>
    </row>
    <row r="2000" spans="2:11" ht="15" customHeight="1" x14ac:dyDescent="0.35">
      <c r="B2000" s="5">
        <v>1979</v>
      </c>
      <c r="C2000" s="39">
        <f t="shared" ca="1" si="270"/>
        <v>3.0020764045207691</v>
      </c>
      <c r="D2000" s="40">
        <f t="shared" ca="1" si="271"/>
        <v>4400252595.7155476</v>
      </c>
      <c r="E2000" s="40">
        <f t="shared" ca="1" si="272"/>
        <v>18971500867692.016</v>
      </c>
      <c r="F2000" s="40">
        <f t="shared" ca="1" si="273"/>
        <v>2938130241239.3721</v>
      </c>
      <c r="G2000" s="40">
        <f t="shared" ca="1" si="274"/>
        <v>5856958667793.6973</v>
      </c>
      <c r="H2000" s="40">
        <f t="shared" ca="1" si="275"/>
        <v>18971500867692.016</v>
      </c>
      <c r="I2000" s="40">
        <f t="shared" ca="1" si="276"/>
        <v>1556567714685.4692</v>
      </c>
      <c r="J2000" s="40">
        <f t="shared" ca="1" si="277"/>
        <v>1300810260354.605</v>
      </c>
      <c r="K2000" s="41">
        <f t="shared" ca="1" si="278"/>
        <v>1.1966139583348181</v>
      </c>
    </row>
    <row r="2001" spans="2:11" ht="15" customHeight="1" x14ac:dyDescent="0.35">
      <c r="B2001" s="5">
        <v>1980</v>
      </c>
      <c r="C2001" s="39">
        <f t="shared" ca="1" si="270"/>
        <v>2.9768660514982468</v>
      </c>
      <c r="D2001" s="40">
        <f t="shared" ca="1" si="271"/>
        <v>4616593138.3045673</v>
      </c>
      <c r="E2001" s="40">
        <f t="shared" ca="1" si="272"/>
        <v>16493760811757.449</v>
      </c>
      <c r="F2001" s="40">
        <f t="shared" ca="1" si="273"/>
        <v>1352926141348.7944</v>
      </c>
      <c r="G2001" s="40">
        <f t="shared" ca="1" si="274"/>
        <v>12873126066366.932</v>
      </c>
      <c r="H2001" s="40">
        <f t="shared" ca="1" si="275"/>
        <v>12873126066366.932</v>
      </c>
      <c r="I2001" s="40">
        <f t="shared" ca="1" si="276"/>
        <v>2572951518767.4463</v>
      </c>
      <c r="J2001" s="40">
        <f t="shared" ca="1" si="277"/>
        <v>479674019674.38672</v>
      </c>
      <c r="K2001" s="41">
        <f t="shared" ca="1" si="278"/>
        <v>5.3639584660307902</v>
      </c>
    </row>
    <row r="2002" spans="2:11" ht="15" customHeight="1" x14ac:dyDescent="0.35">
      <c r="B2002" s="5">
        <v>1981</v>
      </c>
      <c r="C2002" s="39">
        <f t="shared" ca="1" si="270"/>
        <v>3.0696060348676197</v>
      </c>
      <c r="D2002" s="40">
        <f t="shared" ca="1" si="271"/>
        <v>4897729143.4160604</v>
      </c>
      <c r="E2002" s="40">
        <f t="shared" ca="1" si="272"/>
        <v>23382022160762.262</v>
      </c>
      <c r="F2002" s="40">
        <f t="shared" ca="1" si="273"/>
        <v>9496147143305.3027</v>
      </c>
      <c r="G2002" s="40">
        <f t="shared" ca="1" si="274"/>
        <v>859661435471.51355</v>
      </c>
      <c r="H2002" s="40">
        <f t="shared" ca="1" si="275"/>
        <v>859661435471.51355</v>
      </c>
      <c r="I2002" s="40">
        <f t="shared" ca="1" si="276"/>
        <v>18715656334764.309</v>
      </c>
      <c r="J2002" s="40">
        <f t="shared" ca="1" si="277"/>
        <v>1017334316217.5725</v>
      </c>
      <c r="K2002" s="41">
        <f t="shared" ca="1" si="278"/>
        <v>18.396761061151189</v>
      </c>
    </row>
    <row r="2003" spans="2:11" ht="15" customHeight="1" x14ac:dyDescent="0.35">
      <c r="B2003" s="5">
        <v>1982</v>
      </c>
      <c r="C2003" s="39">
        <f t="shared" ca="1" si="270"/>
        <v>3.1822875726803028</v>
      </c>
      <c r="D2003" s="40">
        <f t="shared" ca="1" si="271"/>
        <v>6173978592.9212818</v>
      </c>
      <c r="E2003" s="40">
        <f t="shared" ca="1" si="272"/>
        <v>25440390300361.563</v>
      </c>
      <c r="F2003" s="40">
        <f t="shared" ca="1" si="273"/>
        <v>6179599185791.0439</v>
      </c>
      <c r="G2003" s="40">
        <f t="shared" ca="1" si="274"/>
        <v>29579716771277.516</v>
      </c>
      <c r="H2003" s="40">
        <f t="shared" ca="1" si="275"/>
        <v>6179599185791.0439</v>
      </c>
      <c r="I2003" s="40">
        <f t="shared" ca="1" si="276"/>
        <v>25799328025000.344</v>
      </c>
      <c r="J2003" s="40">
        <f t="shared" ca="1" si="277"/>
        <v>794093934724.70947</v>
      </c>
      <c r="K2003" s="41">
        <f t="shared" ca="1" si="278"/>
        <v>32.489012819301109</v>
      </c>
    </row>
    <row r="2004" spans="2:11" ht="15" customHeight="1" x14ac:dyDescent="0.35">
      <c r="B2004" s="5">
        <v>1983</v>
      </c>
      <c r="C2004" s="39">
        <f t="shared" ca="1" si="270"/>
        <v>3.2879674122827218</v>
      </c>
      <c r="D2004" s="40">
        <f t="shared" ca="1" si="271"/>
        <v>8240275253.6943197</v>
      </c>
      <c r="E2004" s="40">
        <f t="shared" ca="1" si="272"/>
        <v>24345252254342.109</v>
      </c>
      <c r="F2004" s="40">
        <f t="shared" ca="1" si="273"/>
        <v>3312924469232.7593</v>
      </c>
      <c r="G2004" s="40">
        <f t="shared" ca="1" si="274"/>
        <v>6352327694753.3311</v>
      </c>
      <c r="H2004" s="40">
        <f t="shared" ca="1" si="275"/>
        <v>3312924469232.7593</v>
      </c>
      <c r="I2004" s="40">
        <f t="shared" ca="1" si="276"/>
        <v>58152544273712.125</v>
      </c>
      <c r="J2004" s="40">
        <f t="shared" ca="1" si="277"/>
        <v>1319885741706.6792</v>
      </c>
      <c r="K2004" s="41">
        <f t="shared" ca="1" si="278"/>
        <v>44.058771480111552</v>
      </c>
    </row>
    <row r="2005" spans="2:11" ht="15" customHeight="1" x14ac:dyDescent="0.35">
      <c r="B2005" s="5">
        <v>1984</v>
      </c>
      <c r="C2005" s="39">
        <f t="shared" ca="1" si="270"/>
        <v>3.2545420610359708</v>
      </c>
      <c r="D2005" s="40">
        <f t="shared" ca="1" si="271"/>
        <v>6947940312.9554482</v>
      </c>
      <c r="E2005" s="40">
        <f t="shared" ca="1" si="272"/>
        <v>32291301106798.926</v>
      </c>
      <c r="F2005" s="40">
        <f t="shared" ca="1" si="273"/>
        <v>7643056788970.4365</v>
      </c>
      <c r="G2005" s="40">
        <f t="shared" ca="1" si="274"/>
        <v>1430135726246.4741</v>
      </c>
      <c r="H2005" s="40">
        <f t="shared" ca="1" si="275"/>
        <v>1430135726246.4741</v>
      </c>
      <c r="I2005" s="40">
        <f t="shared" ca="1" si="276"/>
        <v>26796957857416.398</v>
      </c>
      <c r="J2005" s="40">
        <f t="shared" ca="1" si="277"/>
        <v>1035445220437.0685</v>
      </c>
      <c r="K2005" s="41">
        <f t="shared" ca="1" si="278"/>
        <v>25.879648028222313</v>
      </c>
    </row>
    <row r="2006" spans="2:11" ht="15" customHeight="1" x14ac:dyDescent="0.35">
      <c r="B2006" s="5">
        <v>1985</v>
      </c>
      <c r="C2006" s="39">
        <f t="shared" ref="C2006:C2021" ca="1" si="279">MEDIAN(1.8,NORMINV(RAND(),$C$7,$D$7),4.5)</f>
        <v>2.6927718126156273</v>
      </c>
      <c r="D2006" s="40">
        <f t="shared" ref="D2006:D2069" ca="1" si="280">($C$8+RAND()*($D$8-$C$8))*C2006^5</f>
        <v>3289349491.4410868</v>
      </c>
      <c r="E2006" s="40">
        <f t="shared" ref="E2006:E2069" ca="1" si="281">D2006*($C$10+RAND()*($D$10-$C$10))*EXP(NORMINV(RAND(),$C$9,$D$9))*($C$11+RAND()*($D$11-$C$11))</f>
        <v>32782928147577.219</v>
      </c>
      <c r="F2006" s="40">
        <f t="shared" ref="F2006:F2021" ca="1" si="282">EXP(NORMINV(RAND(),$C$12,$D$12))*EXP(NORMINV(RAND(),$C$13,$D$13))</f>
        <v>1273567435539.5808</v>
      </c>
      <c r="G2006" s="40">
        <f t="shared" ref="G2006:G2021" ca="1" si="283">EXP(NORMINV(RAND(),$C$14,$D$14))*($C$15+RAND()*($D$15-$C$15))*EXP(NORMINV(RAND(),$C$16,$D$16))/1000000*31536000</f>
        <v>1682331332613.4683</v>
      </c>
      <c r="H2006" s="40">
        <f t="shared" ref="H2006:H2069" ca="1" si="284">CHOOSE(RANDBETWEEN(1,3),E2006,F2006,G2006)</f>
        <v>1273567435539.5808</v>
      </c>
      <c r="I2006" s="40">
        <f t="shared" ref="I2006:I2021" ca="1" si="285">EXP(NORMINV(RAND(),$C$14,$D$14))*($C$15+RAND()*($D$15-$C$15))*60</f>
        <v>143274954477303.5</v>
      </c>
      <c r="J2006" s="40">
        <f t="shared" ref="J2006:J2021" ca="1" si="286">($C$17+RAND()*($D$17-$C$17))*($C$18+RAND()*($D$18-$C$18))</f>
        <v>1283287705946.8755</v>
      </c>
      <c r="K2006" s="41">
        <f t="shared" ref="K2006:K2069" ca="1" si="287">I2006/J2006</f>
        <v>111.64679113916071</v>
      </c>
    </row>
    <row r="2007" spans="2:11" ht="15" customHeight="1" x14ac:dyDescent="0.35">
      <c r="B2007" s="5">
        <v>1986</v>
      </c>
      <c r="C2007" s="39">
        <f t="shared" ca="1" si="279"/>
        <v>3.043188805016233</v>
      </c>
      <c r="D2007" s="40">
        <f t="shared" ca="1" si="280"/>
        <v>5708279791.9142656</v>
      </c>
      <c r="E2007" s="40">
        <f t="shared" ca="1" si="281"/>
        <v>43479645287487.297</v>
      </c>
      <c r="F2007" s="40">
        <f t="shared" ca="1" si="282"/>
        <v>1863048709330.0056</v>
      </c>
      <c r="G2007" s="40">
        <f t="shared" ca="1" si="283"/>
        <v>25792044401033.109</v>
      </c>
      <c r="H2007" s="40">
        <f t="shared" ca="1" si="284"/>
        <v>25792044401033.109</v>
      </c>
      <c r="I2007" s="40">
        <f t="shared" ca="1" si="285"/>
        <v>1039225044839.0076</v>
      </c>
      <c r="J2007" s="40">
        <f t="shared" ca="1" si="286"/>
        <v>1111789344846.3193</v>
      </c>
      <c r="K2007" s="41">
        <f t="shared" ca="1" si="287"/>
        <v>0.93473197027505039</v>
      </c>
    </row>
    <row r="2008" spans="2:11" ht="15" customHeight="1" x14ac:dyDescent="0.35">
      <c r="B2008" s="5">
        <v>1987</v>
      </c>
      <c r="C2008" s="39">
        <f t="shared" ca="1" si="279"/>
        <v>3.1209071713821417</v>
      </c>
      <c r="D2008" s="40">
        <f t="shared" ca="1" si="280"/>
        <v>6794448082.8180094</v>
      </c>
      <c r="E2008" s="40">
        <f t="shared" ca="1" si="281"/>
        <v>12147364121963.469</v>
      </c>
      <c r="F2008" s="40">
        <f t="shared" ca="1" si="282"/>
        <v>6017060389867.9453</v>
      </c>
      <c r="G2008" s="40">
        <f t="shared" ca="1" si="283"/>
        <v>2038512165012.9336</v>
      </c>
      <c r="H2008" s="40">
        <f t="shared" ca="1" si="284"/>
        <v>6017060389867.9453</v>
      </c>
      <c r="I2008" s="40">
        <f t="shared" ca="1" si="285"/>
        <v>54293687915793.555</v>
      </c>
      <c r="J2008" s="40">
        <f t="shared" ca="1" si="286"/>
        <v>1293698967082.7888</v>
      </c>
      <c r="K2008" s="41">
        <f t="shared" ca="1" si="287"/>
        <v>41.967791037371285</v>
      </c>
    </row>
    <row r="2009" spans="2:11" ht="15" customHeight="1" x14ac:dyDescent="0.35">
      <c r="B2009" s="5">
        <v>1988</v>
      </c>
      <c r="C2009" s="39">
        <f t="shared" ca="1" si="279"/>
        <v>2.8225161548216993</v>
      </c>
      <c r="D2009" s="40">
        <f t="shared" ca="1" si="280"/>
        <v>3376970764.5400906</v>
      </c>
      <c r="E2009" s="40">
        <f t="shared" ca="1" si="281"/>
        <v>5542934745900.8271</v>
      </c>
      <c r="F2009" s="40">
        <f t="shared" ca="1" si="282"/>
        <v>2448012044368.771</v>
      </c>
      <c r="G2009" s="40">
        <f t="shared" ca="1" si="283"/>
        <v>4119212849052.0161</v>
      </c>
      <c r="H2009" s="40">
        <f t="shared" ca="1" si="284"/>
        <v>4119212849052.0161</v>
      </c>
      <c r="I2009" s="40">
        <f t="shared" ca="1" si="285"/>
        <v>4142340547996.3223</v>
      </c>
      <c r="J2009" s="40">
        <f t="shared" ca="1" si="286"/>
        <v>1369986988344.2185</v>
      </c>
      <c r="K2009" s="41">
        <f t="shared" ca="1" si="287"/>
        <v>3.0236349565646612</v>
      </c>
    </row>
    <row r="2010" spans="2:11" ht="15" customHeight="1" x14ac:dyDescent="0.35">
      <c r="B2010" s="5">
        <v>1989</v>
      </c>
      <c r="C2010" s="39">
        <f t="shared" ca="1" si="279"/>
        <v>2.3830143121906358</v>
      </c>
      <c r="D2010" s="40">
        <f t="shared" ca="1" si="280"/>
        <v>1266850975.6184466</v>
      </c>
      <c r="E2010" s="40">
        <f t="shared" ca="1" si="281"/>
        <v>3489263658624.7578</v>
      </c>
      <c r="F2010" s="40">
        <f t="shared" ca="1" si="282"/>
        <v>2518212221922.3867</v>
      </c>
      <c r="G2010" s="40">
        <f t="shared" ca="1" si="283"/>
        <v>114486542959.62051</v>
      </c>
      <c r="H2010" s="40">
        <f t="shared" ca="1" si="284"/>
        <v>3489263658624.7578</v>
      </c>
      <c r="I2010" s="40">
        <f t="shared" ca="1" si="285"/>
        <v>97603215139475.75</v>
      </c>
      <c r="J2010" s="40">
        <f t="shared" ca="1" si="286"/>
        <v>1013060626500.0067</v>
      </c>
      <c r="K2010" s="41">
        <f t="shared" ca="1" si="287"/>
        <v>96.344890509349099</v>
      </c>
    </row>
    <row r="2011" spans="2:11" ht="15" customHeight="1" x14ac:dyDescent="0.35">
      <c r="B2011" s="5">
        <v>1990</v>
      </c>
      <c r="C2011" s="39">
        <f t="shared" ca="1" si="279"/>
        <v>2.8541378217694859</v>
      </c>
      <c r="D2011" s="40">
        <f t="shared" ca="1" si="280"/>
        <v>4095358789.0448952</v>
      </c>
      <c r="E2011" s="40">
        <f t="shared" ca="1" si="281"/>
        <v>11174314005183.514</v>
      </c>
      <c r="F2011" s="40">
        <f t="shared" ca="1" si="282"/>
        <v>85746829576.197052</v>
      </c>
      <c r="G2011" s="40">
        <f t="shared" ca="1" si="283"/>
        <v>35496249705541.938</v>
      </c>
      <c r="H2011" s="40">
        <f t="shared" ca="1" si="284"/>
        <v>35496249705541.938</v>
      </c>
      <c r="I2011" s="40">
        <f t="shared" ca="1" si="285"/>
        <v>6527670307962.7832</v>
      </c>
      <c r="J2011" s="40">
        <f t="shared" ca="1" si="286"/>
        <v>577364366081.49768</v>
      </c>
      <c r="K2011" s="41">
        <f t="shared" ca="1" si="287"/>
        <v>11.305980575603053</v>
      </c>
    </row>
    <row r="2012" spans="2:11" ht="15" customHeight="1" x14ac:dyDescent="0.35">
      <c r="B2012" s="5">
        <v>1991</v>
      </c>
      <c r="C2012" s="39">
        <f t="shared" ca="1" si="279"/>
        <v>2.9676935516129608</v>
      </c>
      <c r="D2012" s="40">
        <f t="shared" ca="1" si="280"/>
        <v>4024167485.3609395</v>
      </c>
      <c r="E2012" s="40">
        <f t="shared" ca="1" si="281"/>
        <v>32985678450243.07</v>
      </c>
      <c r="F2012" s="40">
        <f t="shared" ca="1" si="282"/>
        <v>917427442580.04321</v>
      </c>
      <c r="G2012" s="40">
        <f t="shared" ca="1" si="283"/>
        <v>2226101068607.3296</v>
      </c>
      <c r="H2012" s="40">
        <f t="shared" ca="1" si="284"/>
        <v>32985678450243.07</v>
      </c>
      <c r="I2012" s="40">
        <f t="shared" ca="1" si="285"/>
        <v>2597841423822.4526</v>
      </c>
      <c r="J2012" s="40">
        <f t="shared" ca="1" si="286"/>
        <v>464464380723.88306</v>
      </c>
      <c r="K2012" s="41">
        <f t="shared" ca="1" si="287"/>
        <v>5.5931983842843476</v>
      </c>
    </row>
    <row r="2013" spans="2:11" ht="15" customHeight="1" x14ac:dyDescent="0.35">
      <c r="B2013" s="5">
        <v>1992</v>
      </c>
      <c r="C2013" s="39">
        <f t="shared" ca="1" si="279"/>
        <v>2.8528587268069749</v>
      </c>
      <c r="D2013" s="40">
        <f t="shared" ca="1" si="280"/>
        <v>4265415346.4010682</v>
      </c>
      <c r="E2013" s="40">
        <f t="shared" ca="1" si="281"/>
        <v>11258860386027.648</v>
      </c>
      <c r="F2013" s="40">
        <f t="shared" ca="1" si="282"/>
        <v>8308134951640.0537</v>
      </c>
      <c r="G2013" s="40">
        <f t="shared" ca="1" si="283"/>
        <v>2437508937530.0186</v>
      </c>
      <c r="H2013" s="40">
        <f t="shared" ca="1" si="284"/>
        <v>8308134951640.0537</v>
      </c>
      <c r="I2013" s="40">
        <f t="shared" ca="1" si="285"/>
        <v>68181276154863.469</v>
      </c>
      <c r="J2013" s="40">
        <f t="shared" ca="1" si="286"/>
        <v>669888435023.73547</v>
      </c>
      <c r="K2013" s="41">
        <f t="shared" ca="1" si="287"/>
        <v>101.7800466318659</v>
      </c>
    </row>
    <row r="2014" spans="2:11" ht="15" customHeight="1" x14ac:dyDescent="0.35">
      <c r="B2014" s="5">
        <v>1993</v>
      </c>
      <c r="C2014" s="39">
        <f t="shared" ca="1" si="279"/>
        <v>4.2147258511175805</v>
      </c>
      <c r="D2014" s="40">
        <f t="shared" ca="1" si="280"/>
        <v>29270262330.219612</v>
      </c>
      <c r="E2014" s="40">
        <f t="shared" ca="1" si="281"/>
        <v>72627447333246.891</v>
      </c>
      <c r="F2014" s="40">
        <f t="shared" ca="1" si="282"/>
        <v>21999201010116.738</v>
      </c>
      <c r="G2014" s="40">
        <f t="shared" ca="1" si="283"/>
        <v>7765007853671.7832</v>
      </c>
      <c r="H2014" s="40">
        <f t="shared" ca="1" si="284"/>
        <v>21999201010116.738</v>
      </c>
      <c r="I2014" s="40">
        <f t="shared" ca="1" si="285"/>
        <v>3697066469406.4551</v>
      </c>
      <c r="J2014" s="40">
        <f t="shared" ca="1" si="286"/>
        <v>1676180412005.7678</v>
      </c>
      <c r="K2014" s="41">
        <f t="shared" ca="1" si="287"/>
        <v>2.2056494891158134</v>
      </c>
    </row>
    <row r="2015" spans="2:11" ht="15" customHeight="1" x14ac:dyDescent="0.35">
      <c r="B2015" s="5">
        <v>1994</v>
      </c>
      <c r="C2015" s="39">
        <f t="shared" ca="1" si="279"/>
        <v>2.2519131181411289</v>
      </c>
      <c r="D2015" s="40">
        <f t="shared" ca="1" si="280"/>
        <v>1233184847.4369328</v>
      </c>
      <c r="E2015" s="40">
        <f t="shared" ca="1" si="281"/>
        <v>6619463151090.9355</v>
      </c>
      <c r="F2015" s="40">
        <f t="shared" ca="1" si="282"/>
        <v>6124478396290.9092</v>
      </c>
      <c r="G2015" s="40">
        <f t="shared" ca="1" si="283"/>
        <v>2046629425197.3171</v>
      </c>
      <c r="H2015" s="40">
        <f t="shared" ca="1" si="284"/>
        <v>2046629425197.3171</v>
      </c>
      <c r="I2015" s="40">
        <f t="shared" ca="1" si="285"/>
        <v>5921288396722.0059</v>
      </c>
      <c r="J2015" s="40">
        <f t="shared" ca="1" si="286"/>
        <v>954465488664.73511</v>
      </c>
      <c r="K2015" s="41">
        <f t="shared" ca="1" si="287"/>
        <v>6.203774224467443</v>
      </c>
    </row>
    <row r="2016" spans="2:11" ht="15" customHeight="1" x14ac:dyDescent="0.35">
      <c r="B2016" s="5">
        <v>1995</v>
      </c>
      <c r="C2016" s="39">
        <f t="shared" ca="1" si="279"/>
        <v>3.2574139883850162</v>
      </c>
      <c r="D2016" s="40">
        <f t="shared" ca="1" si="280"/>
        <v>6740005113.7513838</v>
      </c>
      <c r="E2016" s="40">
        <f t="shared" ca="1" si="281"/>
        <v>48958812836192.828</v>
      </c>
      <c r="F2016" s="40">
        <f t="shared" ca="1" si="282"/>
        <v>1810069015195.7468</v>
      </c>
      <c r="G2016" s="40">
        <f t="shared" ca="1" si="283"/>
        <v>7270736631813.1182</v>
      </c>
      <c r="H2016" s="40">
        <f t="shared" ca="1" si="284"/>
        <v>7270736631813.1182</v>
      </c>
      <c r="I2016" s="40">
        <f t="shared" ca="1" si="285"/>
        <v>1295314405817.1938</v>
      </c>
      <c r="J2016" s="40">
        <f t="shared" ca="1" si="286"/>
        <v>1357671415322.6536</v>
      </c>
      <c r="K2016" s="41">
        <f t="shared" ca="1" si="287"/>
        <v>0.95407061767545542</v>
      </c>
    </row>
    <row r="2017" spans="2:11" ht="15" customHeight="1" x14ac:dyDescent="0.35">
      <c r="B2017" s="5">
        <v>1996</v>
      </c>
      <c r="C2017" s="39">
        <f t="shared" ca="1" si="279"/>
        <v>4.2387520680588597</v>
      </c>
      <c r="D2017" s="40">
        <f t="shared" ca="1" si="280"/>
        <v>31074972249.657848</v>
      </c>
      <c r="E2017" s="40">
        <f t="shared" ca="1" si="281"/>
        <v>312625733750698.88</v>
      </c>
      <c r="F2017" s="40">
        <f t="shared" ca="1" si="282"/>
        <v>2698585224259.4858</v>
      </c>
      <c r="G2017" s="40">
        <f t="shared" ca="1" si="283"/>
        <v>5970890928854.8672</v>
      </c>
      <c r="H2017" s="40">
        <f t="shared" ca="1" si="284"/>
        <v>2698585224259.4858</v>
      </c>
      <c r="I2017" s="40">
        <f t="shared" ca="1" si="285"/>
        <v>11158908477601.662</v>
      </c>
      <c r="J2017" s="40">
        <f t="shared" ca="1" si="286"/>
        <v>758765867219.73682</v>
      </c>
      <c r="K2017" s="41">
        <f t="shared" ca="1" si="287"/>
        <v>14.706655846934755</v>
      </c>
    </row>
    <row r="2018" spans="2:11" ht="15" customHeight="1" x14ac:dyDescent="0.35">
      <c r="B2018" s="5">
        <v>1997</v>
      </c>
      <c r="C2018" s="39">
        <f t="shared" ca="1" si="279"/>
        <v>3.1663680612868523</v>
      </c>
      <c r="D2018" s="40">
        <f t="shared" ca="1" si="280"/>
        <v>7022297360.141922</v>
      </c>
      <c r="E2018" s="40">
        <f t="shared" ca="1" si="281"/>
        <v>16655231231604.268</v>
      </c>
      <c r="F2018" s="40">
        <f t="shared" ca="1" si="282"/>
        <v>924800403831.39221</v>
      </c>
      <c r="G2018" s="40">
        <f t="shared" ca="1" si="283"/>
        <v>697624835407.02783</v>
      </c>
      <c r="H2018" s="40">
        <f t="shared" ca="1" si="284"/>
        <v>16655231231604.268</v>
      </c>
      <c r="I2018" s="40">
        <f t="shared" ca="1" si="285"/>
        <v>16863208933865.834</v>
      </c>
      <c r="J2018" s="40">
        <f t="shared" ca="1" si="286"/>
        <v>1684404487677.4756</v>
      </c>
      <c r="K2018" s="41">
        <f t="shared" ca="1" si="287"/>
        <v>10.011377348630496</v>
      </c>
    </row>
    <row r="2019" spans="2:11" ht="15" customHeight="1" x14ac:dyDescent="0.35">
      <c r="B2019" s="5">
        <v>1998</v>
      </c>
      <c r="C2019" s="39">
        <f t="shared" ca="1" si="279"/>
        <v>3.4420622802122209</v>
      </c>
      <c r="D2019" s="40">
        <f t="shared" ca="1" si="280"/>
        <v>10967308283.595402</v>
      </c>
      <c r="E2019" s="40">
        <f t="shared" ca="1" si="281"/>
        <v>51766154963926.148</v>
      </c>
      <c r="F2019" s="40">
        <f t="shared" ca="1" si="282"/>
        <v>424535574679.30664</v>
      </c>
      <c r="G2019" s="40">
        <f t="shared" ca="1" si="283"/>
        <v>6950263266317.4746</v>
      </c>
      <c r="H2019" s="40">
        <f t="shared" ca="1" si="284"/>
        <v>51766154963926.148</v>
      </c>
      <c r="I2019" s="40">
        <f t="shared" ca="1" si="285"/>
        <v>15233970505409.951</v>
      </c>
      <c r="J2019" s="40">
        <f t="shared" ca="1" si="286"/>
        <v>1002623265912.7888</v>
      </c>
      <c r="K2019" s="41">
        <f t="shared" ca="1" si="287"/>
        <v>15.194112308515937</v>
      </c>
    </row>
    <row r="2020" spans="2:11" ht="15" customHeight="1" x14ac:dyDescent="0.35">
      <c r="B2020" s="5">
        <v>1999</v>
      </c>
      <c r="C2020" s="39">
        <f t="shared" ca="1" si="279"/>
        <v>2.8585856250305821</v>
      </c>
      <c r="D2020" s="40">
        <f t="shared" ca="1" si="280"/>
        <v>3225367589.0833864</v>
      </c>
      <c r="E2020" s="40">
        <f t="shared" ca="1" si="281"/>
        <v>25200698834206.676</v>
      </c>
      <c r="F2020" s="40">
        <f t="shared" ca="1" si="282"/>
        <v>14740789978247.396</v>
      </c>
      <c r="G2020" s="40">
        <f t="shared" ca="1" si="283"/>
        <v>33033742864122.535</v>
      </c>
      <c r="H2020" s="40">
        <f t="shared" ca="1" si="284"/>
        <v>25200698834206.676</v>
      </c>
      <c r="I2020" s="40">
        <f t="shared" ca="1" si="285"/>
        <v>158362120107183.44</v>
      </c>
      <c r="J2020" s="40">
        <f t="shared" ca="1" si="286"/>
        <v>1231053152177.3716</v>
      </c>
      <c r="K2020" s="41">
        <f t="shared" ca="1" si="287"/>
        <v>128.63954722595636</v>
      </c>
    </row>
    <row r="2021" spans="2:11" ht="15" customHeight="1" x14ac:dyDescent="0.35">
      <c r="B2021" s="5">
        <v>2000</v>
      </c>
      <c r="C2021" s="39">
        <f t="shared" ca="1" si="279"/>
        <v>2.379744187034706</v>
      </c>
      <c r="D2021" s="40">
        <f t="shared" ca="1" si="280"/>
        <v>1443400753.562125</v>
      </c>
      <c r="E2021" s="40">
        <f t="shared" ca="1" si="281"/>
        <v>13576195283783.42</v>
      </c>
      <c r="F2021" s="40">
        <f t="shared" ca="1" si="282"/>
        <v>3132015728018.4331</v>
      </c>
      <c r="G2021" s="40">
        <f t="shared" ca="1" si="283"/>
        <v>2273900509221.5605</v>
      </c>
      <c r="H2021" s="40">
        <f t="shared" ca="1" si="284"/>
        <v>2273900509221.5605</v>
      </c>
      <c r="I2021" s="40">
        <f t="shared" ca="1" si="285"/>
        <v>14231944757972.021</v>
      </c>
      <c r="J2021" s="40">
        <f t="shared" ca="1" si="286"/>
        <v>738756527486.58862</v>
      </c>
      <c r="K2021" s="41">
        <f t="shared" ca="1" si="287"/>
        <v>19.264729621262653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7"/>
  <sheetViews>
    <sheetView zoomScaleNormal="100" workbookViewId="0"/>
  </sheetViews>
  <sheetFormatPr defaultColWidth="8.6328125" defaultRowHeight="14.5" x14ac:dyDescent="0.35"/>
  <cols>
    <col min="1" max="1" width="2" customWidth="1"/>
    <col min="2" max="2" width="26" customWidth="1"/>
    <col min="3" max="5" width="14" customWidth="1"/>
    <col min="6" max="8" width="16" customWidth="1"/>
  </cols>
  <sheetData>
    <row r="1" spans="1:11" ht="18" customHeight="1" x14ac:dyDescent="0.4">
      <c r="A1" s="11" t="s">
        <v>282</v>
      </c>
    </row>
    <row r="2" spans="1:11" ht="15" customHeight="1" x14ac:dyDescent="0.35">
      <c r="A2" s="2" t="s">
        <v>283</v>
      </c>
    </row>
    <row r="3" spans="1:11" ht="15" customHeight="1" x14ac:dyDescent="0.3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</row>
    <row r="5" spans="1:11" ht="15" customHeight="1" x14ac:dyDescent="0.35">
      <c r="A5" s="3" t="s">
        <v>284</v>
      </c>
      <c r="B5" s="4"/>
      <c r="C5" s="4"/>
      <c r="D5" s="4"/>
      <c r="E5" s="4"/>
      <c r="F5" s="4"/>
      <c r="G5" s="4"/>
      <c r="H5" s="4"/>
    </row>
    <row r="6" spans="1:11" ht="15" customHeight="1" x14ac:dyDescent="0.35">
      <c r="B6" s="5" t="s">
        <v>285</v>
      </c>
      <c r="C6" s="42">
        <v>1000000000000</v>
      </c>
    </row>
    <row r="7" spans="1:11" ht="15" customHeight="1" x14ac:dyDescent="0.35">
      <c r="B7" s="5" t="s">
        <v>286</v>
      </c>
      <c r="C7" s="43">
        <v>0.1</v>
      </c>
    </row>
    <row r="8" spans="1:11" ht="15" customHeight="1" x14ac:dyDescent="0.35">
      <c r="B8" s="5" t="s">
        <v>287</v>
      </c>
      <c r="C8" s="29">
        <v>0.83</v>
      </c>
    </row>
    <row r="9" spans="1:11" ht="15" customHeight="1" x14ac:dyDescent="0.35">
      <c r="B9" s="6" t="s">
        <v>288</v>
      </c>
      <c r="C9" s="34">
        <f>C6*C7*C8/1000000*31536000</f>
        <v>2617488000000</v>
      </c>
    </row>
    <row r="11" spans="1:11" ht="15" customHeight="1" x14ac:dyDescent="0.35">
      <c r="A11" s="3" t="s">
        <v>289</v>
      </c>
      <c r="B11" s="4"/>
      <c r="C11" s="4"/>
      <c r="D11" s="4"/>
      <c r="E11" s="4"/>
      <c r="F11" s="4"/>
      <c r="G11" s="4"/>
      <c r="H11" s="4"/>
    </row>
    <row r="12" spans="1:11" ht="15" customHeight="1" x14ac:dyDescent="0.35">
      <c r="B12" s="38" t="s">
        <v>290</v>
      </c>
      <c r="C12" s="38" t="s">
        <v>291</v>
      </c>
      <c r="D12" s="38" t="s">
        <v>292</v>
      </c>
      <c r="E12" s="38" t="s">
        <v>293</v>
      </c>
      <c r="F12" s="38" t="s">
        <v>294</v>
      </c>
      <c r="G12" s="38" t="s">
        <v>295</v>
      </c>
    </row>
    <row r="13" spans="1:11" ht="15" customHeight="1" x14ac:dyDescent="0.35">
      <c r="B13" s="5" t="s">
        <v>285</v>
      </c>
      <c r="C13" s="44">
        <v>300000000000</v>
      </c>
      <c r="D13" s="44">
        <v>2000000000000</v>
      </c>
      <c r="E13" s="45">
        <f>C13*$C$7*$C$8/1000000*31536000</f>
        <v>785246400000</v>
      </c>
      <c r="F13" s="45">
        <f>D13*$C$7*$C$8/1000000*31536000</f>
        <v>5234976000000</v>
      </c>
      <c r="G13" s="45">
        <f>ABS(F13-E13)</f>
        <v>4449729600000</v>
      </c>
    </row>
    <row r="14" spans="1:11" ht="15" customHeight="1" x14ac:dyDescent="0.35">
      <c r="B14" s="5" t="s">
        <v>286</v>
      </c>
      <c r="C14" s="46">
        <v>0.05</v>
      </c>
      <c r="D14" s="46">
        <v>0.3</v>
      </c>
      <c r="E14" s="45">
        <f>$C$6*C14*$C$8/1000000*31536000</f>
        <v>1308744000000</v>
      </c>
      <c r="F14" s="45">
        <f>$C$6*D14*$C$8/1000000*31536000</f>
        <v>7852464000000</v>
      </c>
      <c r="G14" s="45">
        <f>ABS(F14-E14)</f>
        <v>6543720000000</v>
      </c>
    </row>
    <row r="15" spans="1:11" ht="15" customHeight="1" x14ac:dyDescent="0.35">
      <c r="B15" s="5" t="s">
        <v>287</v>
      </c>
      <c r="C15" s="47">
        <v>0.4</v>
      </c>
      <c r="D15" s="47">
        <v>3.5</v>
      </c>
      <c r="E15" s="45">
        <f>$C$6*$C$7*C15/1000000*31536000</f>
        <v>1261440000000</v>
      </c>
      <c r="F15" s="45">
        <f>$C$6*$C$7*D15/1000000*31536000</f>
        <v>11037600000000</v>
      </c>
      <c r="G15" s="45">
        <f>ABS(F15-E15)</f>
        <v>9776160000000</v>
      </c>
    </row>
    <row r="17" spans="2:2" ht="15" customHeight="1" x14ac:dyDescent="0.35">
      <c r="B17" s="10" t="s">
        <v>296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Inputs &amp; Sources</vt:lpstr>
      <vt:lpstr>2026 Baseline</vt:lpstr>
      <vt:lpstr>2031 Projection</vt:lpstr>
      <vt:lpstr>Scale &amp; Human</vt:lpstr>
      <vt:lpstr>Monte Carlo</vt:lpstr>
      <vt:lpstr>Scenario L-B-H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Justin Olive</cp:lastModifiedBy>
  <cp:revision>1</cp:revision>
  <dcterms:created xsi:type="dcterms:W3CDTF">2026-06-14T02:03:34Z</dcterms:created>
  <dcterms:modified xsi:type="dcterms:W3CDTF">2026-06-14T19:30:34Z</dcterms:modified>
  <dc:language>en-US</dc:language>
</cp:coreProperties>
</file>