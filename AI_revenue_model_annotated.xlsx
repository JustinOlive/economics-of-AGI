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sti\Claude\Projects\economics of AGI\"/>
    </mc:Choice>
  </mc:AlternateContent>
  <xr:revisionPtr revIDLastSave="0" documentId="13_ncr:1_{0991AEAD-021A-4C45-B776-F38DD7A445D2}" xr6:coauthVersionLast="47" xr6:coauthVersionMax="47" xr10:uidLastSave="{00000000-0000-0000-0000-000000000000}"/>
  <bookViews>
    <workbookView xWindow="23420" yWindow="4160" windowWidth="14400" windowHeight="8170" tabRatio="500" firstSheet="2" activeTab="5" xr2:uid="{00000000-000D-0000-FFFF-FFFF00000000}"/>
  </bookViews>
  <sheets>
    <sheet name="Cover" sheetId="1" r:id="rId1"/>
    <sheet name="Inputs &amp; Sources" sheetId="2" r:id="rId2"/>
    <sheet name="2026 Baseline" sheetId="3" r:id="rId3"/>
    <sheet name="2031 Projection" sheetId="4" r:id="rId4"/>
    <sheet name="Scale &amp; Human" sheetId="5" r:id="rId5"/>
    <sheet name="Monte Carlo" sheetId="6" r:id="rId6"/>
    <sheet name="Scenario L-B-H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6" l="1"/>
  <c r="G15" i="7"/>
  <c r="F15" i="7"/>
  <c r="E15" i="7"/>
  <c r="F14" i="7"/>
  <c r="G14" i="7" s="1"/>
  <c r="E14" i="7"/>
  <c r="F13" i="7"/>
  <c r="E13" i="7"/>
  <c r="G13" i="7" s="1"/>
  <c r="C9" i="7"/>
  <c r="J2021" i="6"/>
  <c r="I2021" i="6"/>
  <c r="G2021" i="6"/>
  <c r="F2021" i="6"/>
  <c r="C2021" i="6"/>
  <c r="D2021" i="6" s="1"/>
  <c r="E2021" i="6" s="1"/>
  <c r="J2020" i="6"/>
  <c r="I2020" i="6"/>
  <c r="G2020" i="6"/>
  <c r="F2020" i="6"/>
  <c r="C2020" i="6"/>
  <c r="D2020" i="6" s="1"/>
  <c r="E2020" i="6" s="1"/>
  <c r="J2019" i="6"/>
  <c r="I2019" i="6"/>
  <c r="G2019" i="6"/>
  <c r="F2019" i="6"/>
  <c r="C2019" i="6"/>
  <c r="D2019" i="6" s="1"/>
  <c r="E2019" i="6" s="1"/>
  <c r="J2018" i="6"/>
  <c r="I2018" i="6"/>
  <c r="G2018" i="6"/>
  <c r="F2018" i="6"/>
  <c r="C2018" i="6"/>
  <c r="D2018" i="6" s="1"/>
  <c r="E2018" i="6" s="1"/>
  <c r="J2017" i="6"/>
  <c r="I2017" i="6"/>
  <c r="G2017" i="6"/>
  <c r="F2017" i="6"/>
  <c r="C2017" i="6"/>
  <c r="D2017" i="6" s="1"/>
  <c r="E2017" i="6" s="1"/>
  <c r="J2016" i="6"/>
  <c r="I2016" i="6"/>
  <c r="G2016" i="6"/>
  <c r="F2016" i="6"/>
  <c r="C2016" i="6"/>
  <c r="D2016" i="6" s="1"/>
  <c r="E2016" i="6" s="1"/>
  <c r="J2015" i="6"/>
  <c r="I2015" i="6"/>
  <c r="G2015" i="6"/>
  <c r="F2015" i="6"/>
  <c r="C2015" i="6"/>
  <c r="D2015" i="6" s="1"/>
  <c r="E2015" i="6" s="1"/>
  <c r="J2014" i="6"/>
  <c r="I2014" i="6"/>
  <c r="G2014" i="6"/>
  <c r="F2014" i="6"/>
  <c r="C2014" i="6"/>
  <c r="D2014" i="6" s="1"/>
  <c r="E2014" i="6" s="1"/>
  <c r="J2013" i="6"/>
  <c r="I2013" i="6"/>
  <c r="G2013" i="6"/>
  <c r="F2013" i="6"/>
  <c r="C2013" i="6"/>
  <c r="D2013" i="6" s="1"/>
  <c r="E2013" i="6" s="1"/>
  <c r="J2012" i="6"/>
  <c r="I2012" i="6"/>
  <c r="G2012" i="6"/>
  <c r="F2012" i="6"/>
  <c r="C2012" i="6"/>
  <c r="D2012" i="6" s="1"/>
  <c r="E2012" i="6" s="1"/>
  <c r="J2011" i="6"/>
  <c r="I2011" i="6"/>
  <c r="G2011" i="6"/>
  <c r="F2011" i="6"/>
  <c r="C2011" i="6"/>
  <c r="D2011" i="6" s="1"/>
  <c r="E2011" i="6" s="1"/>
  <c r="J2010" i="6"/>
  <c r="I2010" i="6"/>
  <c r="G2010" i="6"/>
  <c r="F2010" i="6"/>
  <c r="C2010" i="6"/>
  <c r="D2010" i="6" s="1"/>
  <c r="E2010" i="6" s="1"/>
  <c r="J2009" i="6"/>
  <c r="I2009" i="6"/>
  <c r="G2009" i="6"/>
  <c r="F2009" i="6"/>
  <c r="C2009" i="6"/>
  <c r="D2009" i="6" s="1"/>
  <c r="E2009" i="6" s="1"/>
  <c r="J2008" i="6"/>
  <c r="I2008" i="6"/>
  <c r="G2008" i="6"/>
  <c r="F2008" i="6"/>
  <c r="C2008" i="6"/>
  <c r="D2008" i="6" s="1"/>
  <c r="E2008" i="6" s="1"/>
  <c r="J2007" i="6"/>
  <c r="I2007" i="6"/>
  <c r="G2007" i="6"/>
  <c r="F2007" i="6"/>
  <c r="C2007" i="6"/>
  <c r="D2007" i="6" s="1"/>
  <c r="E2007" i="6" s="1"/>
  <c r="J2006" i="6"/>
  <c r="I2006" i="6"/>
  <c r="G2006" i="6"/>
  <c r="F2006" i="6"/>
  <c r="C2006" i="6"/>
  <c r="D2006" i="6" s="1"/>
  <c r="E2006" i="6" s="1"/>
  <c r="J2005" i="6"/>
  <c r="I2005" i="6"/>
  <c r="G2005" i="6"/>
  <c r="F2005" i="6"/>
  <c r="C2005" i="6"/>
  <c r="D2005" i="6" s="1"/>
  <c r="E2005" i="6" s="1"/>
  <c r="J2004" i="6"/>
  <c r="I2004" i="6"/>
  <c r="G2004" i="6"/>
  <c r="F2004" i="6"/>
  <c r="C2004" i="6"/>
  <c r="D2004" i="6" s="1"/>
  <c r="E2004" i="6" s="1"/>
  <c r="J2003" i="6"/>
  <c r="I2003" i="6"/>
  <c r="G2003" i="6"/>
  <c r="F2003" i="6"/>
  <c r="C2003" i="6"/>
  <c r="D2003" i="6" s="1"/>
  <c r="E2003" i="6" s="1"/>
  <c r="J2002" i="6"/>
  <c r="I2002" i="6"/>
  <c r="G2002" i="6"/>
  <c r="F2002" i="6"/>
  <c r="C2002" i="6"/>
  <c r="D2002" i="6" s="1"/>
  <c r="E2002" i="6" s="1"/>
  <c r="J2001" i="6"/>
  <c r="I2001" i="6"/>
  <c r="G2001" i="6"/>
  <c r="F2001" i="6"/>
  <c r="C2001" i="6"/>
  <c r="D2001" i="6" s="1"/>
  <c r="E2001" i="6" s="1"/>
  <c r="J2000" i="6"/>
  <c r="I2000" i="6"/>
  <c r="G2000" i="6"/>
  <c r="F2000" i="6"/>
  <c r="C2000" i="6"/>
  <c r="D2000" i="6" s="1"/>
  <c r="E2000" i="6" s="1"/>
  <c r="J1999" i="6"/>
  <c r="I1999" i="6"/>
  <c r="G1999" i="6"/>
  <c r="F1999" i="6"/>
  <c r="C1999" i="6"/>
  <c r="D1999" i="6" s="1"/>
  <c r="E1999" i="6" s="1"/>
  <c r="J1998" i="6"/>
  <c r="I1998" i="6"/>
  <c r="G1998" i="6"/>
  <c r="F1998" i="6"/>
  <c r="C1998" i="6"/>
  <c r="D1998" i="6" s="1"/>
  <c r="E1998" i="6" s="1"/>
  <c r="J1997" i="6"/>
  <c r="I1997" i="6"/>
  <c r="G1997" i="6"/>
  <c r="F1997" i="6"/>
  <c r="C1997" i="6"/>
  <c r="D1997" i="6" s="1"/>
  <c r="E1997" i="6" s="1"/>
  <c r="J1996" i="6"/>
  <c r="I1996" i="6"/>
  <c r="G1996" i="6"/>
  <c r="F1996" i="6"/>
  <c r="C1996" i="6"/>
  <c r="D1996" i="6" s="1"/>
  <c r="E1996" i="6" s="1"/>
  <c r="J1995" i="6"/>
  <c r="I1995" i="6"/>
  <c r="G1995" i="6"/>
  <c r="F1995" i="6"/>
  <c r="C1995" i="6"/>
  <c r="D1995" i="6" s="1"/>
  <c r="E1995" i="6" s="1"/>
  <c r="J1994" i="6"/>
  <c r="I1994" i="6"/>
  <c r="G1994" i="6"/>
  <c r="F1994" i="6"/>
  <c r="C1994" i="6"/>
  <c r="D1994" i="6" s="1"/>
  <c r="E1994" i="6" s="1"/>
  <c r="J1993" i="6"/>
  <c r="I1993" i="6"/>
  <c r="G1993" i="6"/>
  <c r="F1993" i="6"/>
  <c r="C1993" i="6"/>
  <c r="D1993" i="6" s="1"/>
  <c r="E1993" i="6" s="1"/>
  <c r="J1992" i="6"/>
  <c r="I1992" i="6"/>
  <c r="G1992" i="6"/>
  <c r="F1992" i="6"/>
  <c r="C1992" i="6"/>
  <c r="D1992" i="6" s="1"/>
  <c r="E1992" i="6" s="1"/>
  <c r="J1991" i="6"/>
  <c r="I1991" i="6"/>
  <c r="G1991" i="6"/>
  <c r="F1991" i="6"/>
  <c r="C1991" i="6"/>
  <c r="D1991" i="6" s="1"/>
  <c r="E1991" i="6" s="1"/>
  <c r="J1990" i="6"/>
  <c r="I1990" i="6"/>
  <c r="G1990" i="6"/>
  <c r="F1990" i="6"/>
  <c r="C1990" i="6"/>
  <c r="D1990" i="6" s="1"/>
  <c r="E1990" i="6" s="1"/>
  <c r="J1989" i="6"/>
  <c r="I1989" i="6"/>
  <c r="G1989" i="6"/>
  <c r="F1989" i="6"/>
  <c r="C1989" i="6"/>
  <c r="D1989" i="6" s="1"/>
  <c r="E1989" i="6" s="1"/>
  <c r="J1988" i="6"/>
  <c r="I1988" i="6"/>
  <c r="G1988" i="6"/>
  <c r="F1988" i="6"/>
  <c r="C1988" i="6"/>
  <c r="D1988" i="6" s="1"/>
  <c r="E1988" i="6" s="1"/>
  <c r="J1987" i="6"/>
  <c r="I1987" i="6"/>
  <c r="G1987" i="6"/>
  <c r="F1987" i="6"/>
  <c r="C1987" i="6"/>
  <c r="D1987" i="6" s="1"/>
  <c r="E1987" i="6" s="1"/>
  <c r="J1986" i="6"/>
  <c r="I1986" i="6"/>
  <c r="G1986" i="6"/>
  <c r="F1986" i="6"/>
  <c r="C1986" i="6"/>
  <c r="D1986" i="6" s="1"/>
  <c r="E1986" i="6" s="1"/>
  <c r="J1985" i="6"/>
  <c r="I1985" i="6"/>
  <c r="G1985" i="6"/>
  <c r="F1985" i="6"/>
  <c r="C1985" i="6"/>
  <c r="D1985" i="6" s="1"/>
  <c r="E1985" i="6" s="1"/>
  <c r="J1984" i="6"/>
  <c r="I1984" i="6"/>
  <c r="G1984" i="6"/>
  <c r="F1984" i="6"/>
  <c r="C1984" i="6"/>
  <c r="D1984" i="6" s="1"/>
  <c r="E1984" i="6" s="1"/>
  <c r="J1983" i="6"/>
  <c r="I1983" i="6"/>
  <c r="G1983" i="6"/>
  <c r="F1983" i="6"/>
  <c r="C1983" i="6"/>
  <c r="D1983" i="6" s="1"/>
  <c r="E1983" i="6" s="1"/>
  <c r="J1982" i="6"/>
  <c r="I1982" i="6"/>
  <c r="G1982" i="6"/>
  <c r="F1982" i="6"/>
  <c r="C1982" i="6"/>
  <c r="D1982" i="6" s="1"/>
  <c r="E1982" i="6" s="1"/>
  <c r="J1981" i="6"/>
  <c r="I1981" i="6"/>
  <c r="G1981" i="6"/>
  <c r="F1981" i="6"/>
  <c r="C1981" i="6"/>
  <c r="D1981" i="6" s="1"/>
  <c r="E1981" i="6" s="1"/>
  <c r="J1980" i="6"/>
  <c r="I1980" i="6"/>
  <c r="G1980" i="6"/>
  <c r="F1980" i="6"/>
  <c r="C1980" i="6"/>
  <c r="D1980" i="6" s="1"/>
  <c r="E1980" i="6" s="1"/>
  <c r="J1979" i="6"/>
  <c r="I1979" i="6"/>
  <c r="G1979" i="6"/>
  <c r="F1979" i="6"/>
  <c r="C1979" i="6"/>
  <c r="D1979" i="6" s="1"/>
  <c r="E1979" i="6" s="1"/>
  <c r="J1978" i="6"/>
  <c r="I1978" i="6"/>
  <c r="G1978" i="6"/>
  <c r="F1978" i="6"/>
  <c r="C1978" i="6"/>
  <c r="D1978" i="6" s="1"/>
  <c r="E1978" i="6" s="1"/>
  <c r="J1977" i="6"/>
  <c r="I1977" i="6"/>
  <c r="G1977" i="6"/>
  <c r="F1977" i="6"/>
  <c r="C1977" i="6"/>
  <c r="D1977" i="6" s="1"/>
  <c r="E1977" i="6" s="1"/>
  <c r="J1976" i="6"/>
  <c r="I1976" i="6"/>
  <c r="G1976" i="6"/>
  <c r="F1976" i="6"/>
  <c r="C1976" i="6"/>
  <c r="D1976" i="6" s="1"/>
  <c r="E1976" i="6" s="1"/>
  <c r="J1975" i="6"/>
  <c r="I1975" i="6"/>
  <c r="G1975" i="6"/>
  <c r="F1975" i="6"/>
  <c r="C1975" i="6"/>
  <c r="D1975" i="6" s="1"/>
  <c r="E1975" i="6" s="1"/>
  <c r="J1974" i="6"/>
  <c r="I1974" i="6"/>
  <c r="G1974" i="6"/>
  <c r="F1974" i="6"/>
  <c r="C1974" i="6"/>
  <c r="D1974" i="6" s="1"/>
  <c r="E1974" i="6" s="1"/>
  <c r="J1973" i="6"/>
  <c r="I1973" i="6"/>
  <c r="G1973" i="6"/>
  <c r="F1973" i="6"/>
  <c r="C1973" i="6"/>
  <c r="D1973" i="6" s="1"/>
  <c r="E1973" i="6" s="1"/>
  <c r="J1972" i="6"/>
  <c r="I1972" i="6"/>
  <c r="G1972" i="6"/>
  <c r="F1972" i="6"/>
  <c r="C1972" i="6"/>
  <c r="D1972" i="6" s="1"/>
  <c r="E1972" i="6" s="1"/>
  <c r="J1971" i="6"/>
  <c r="I1971" i="6"/>
  <c r="G1971" i="6"/>
  <c r="F1971" i="6"/>
  <c r="C1971" i="6"/>
  <c r="D1971" i="6" s="1"/>
  <c r="E1971" i="6" s="1"/>
  <c r="J1970" i="6"/>
  <c r="I1970" i="6"/>
  <c r="G1970" i="6"/>
  <c r="F1970" i="6"/>
  <c r="C1970" i="6"/>
  <c r="D1970" i="6" s="1"/>
  <c r="E1970" i="6" s="1"/>
  <c r="J1969" i="6"/>
  <c r="I1969" i="6"/>
  <c r="G1969" i="6"/>
  <c r="F1969" i="6"/>
  <c r="C1969" i="6"/>
  <c r="D1969" i="6" s="1"/>
  <c r="E1969" i="6" s="1"/>
  <c r="J1968" i="6"/>
  <c r="I1968" i="6"/>
  <c r="G1968" i="6"/>
  <c r="F1968" i="6"/>
  <c r="C1968" i="6"/>
  <c r="D1968" i="6" s="1"/>
  <c r="E1968" i="6" s="1"/>
  <c r="J1967" i="6"/>
  <c r="I1967" i="6"/>
  <c r="G1967" i="6"/>
  <c r="F1967" i="6"/>
  <c r="C1967" i="6"/>
  <c r="D1967" i="6" s="1"/>
  <c r="E1967" i="6" s="1"/>
  <c r="J1966" i="6"/>
  <c r="I1966" i="6"/>
  <c r="G1966" i="6"/>
  <c r="F1966" i="6"/>
  <c r="C1966" i="6"/>
  <c r="D1966" i="6" s="1"/>
  <c r="E1966" i="6" s="1"/>
  <c r="J1965" i="6"/>
  <c r="I1965" i="6"/>
  <c r="G1965" i="6"/>
  <c r="F1965" i="6"/>
  <c r="C1965" i="6"/>
  <c r="D1965" i="6" s="1"/>
  <c r="E1965" i="6" s="1"/>
  <c r="J1964" i="6"/>
  <c r="I1964" i="6"/>
  <c r="G1964" i="6"/>
  <c r="F1964" i="6"/>
  <c r="C1964" i="6"/>
  <c r="D1964" i="6" s="1"/>
  <c r="E1964" i="6" s="1"/>
  <c r="J1963" i="6"/>
  <c r="I1963" i="6"/>
  <c r="G1963" i="6"/>
  <c r="F1963" i="6"/>
  <c r="C1963" i="6"/>
  <c r="D1963" i="6" s="1"/>
  <c r="E1963" i="6" s="1"/>
  <c r="J1962" i="6"/>
  <c r="I1962" i="6"/>
  <c r="G1962" i="6"/>
  <c r="F1962" i="6"/>
  <c r="C1962" i="6"/>
  <c r="D1962" i="6" s="1"/>
  <c r="E1962" i="6" s="1"/>
  <c r="J1961" i="6"/>
  <c r="I1961" i="6"/>
  <c r="G1961" i="6"/>
  <c r="F1961" i="6"/>
  <c r="C1961" i="6"/>
  <c r="D1961" i="6" s="1"/>
  <c r="E1961" i="6" s="1"/>
  <c r="J1960" i="6"/>
  <c r="I1960" i="6"/>
  <c r="G1960" i="6"/>
  <c r="F1960" i="6"/>
  <c r="C1960" i="6"/>
  <c r="D1960" i="6" s="1"/>
  <c r="E1960" i="6" s="1"/>
  <c r="J1959" i="6"/>
  <c r="I1959" i="6"/>
  <c r="G1959" i="6"/>
  <c r="F1959" i="6"/>
  <c r="C1959" i="6"/>
  <c r="D1959" i="6" s="1"/>
  <c r="E1959" i="6" s="1"/>
  <c r="J1958" i="6"/>
  <c r="I1958" i="6"/>
  <c r="G1958" i="6"/>
  <c r="F1958" i="6"/>
  <c r="C1958" i="6"/>
  <c r="D1958" i="6" s="1"/>
  <c r="E1958" i="6" s="1"/>
  <c r="J1957" i="6"/>
  <c r="I1957" i="6"/>
  <c r="G1957" i="6"/>
  <c r="F1957" i="6"/>
  <c r="C1957" i="6"/>
  <c r="D1957" i="6" s="1"/>
  <c r="E1957" i="6" s="1"/>
  <c r="J1956" i="6"/>
  <c r="I1956" i="6"/>
  <c r="G1956" i="6"/>
  <c r="F1956" i="6"/>
  <c r="C1956" i="6"/>
  <c r="D1956" i="6" s="1"/>
  <c r="E1956" i="6" s="1"/>
  <c r="J1955" i="6"/>
  <c r="I1955" i="6"/>
  <c r="G1955" i="6"/>
  <c r="F1955" i="6"/>
  <c r="C1955" i="6"/>
  <c r="D1955" i="6" s="1"/>
  <c r="E1955" i="6" s="1"/>
  <c r="J1954" i="6"/>
  <c r="I1954" i="6"/>
  <c r="G1954" i="6"/>
  <c r="F1954" i="6"/>
  <c r="C1954" i="6"/>
  <c r="D1954" i="6" s="1"/>
  <c r="E1954" i="6" s="1"/>
  <c r="J1953" i="6"/>
  <c r="I1953" i="6"/>
  <c r="G1953" i="6"/>
  <c r="F1953" i="6"/>
  <c r="C1953" i="6"/>
  <c r="D1953" i="6" s="1"/>
  <c r="E1953" i="6" s="1"/>
  <c r="J1952" i="6"/>
  <c r="I1952" i="6"/>
  <c r="G1952" i="6"/>
  <c r="F1952" i="6"/>
  <c r="C1952" i="6"/>
  <c r="D1952" i="6" s="1"/>
  <c r="E1952" i="6" s="1"/>
  <c r="J1951" i="6"/>
  <c r="I1951" i="6"/>
  <c r="G1951" i="6"/>
  <c r="F1951" i="6"/>
  <c r="C1951" i="6"/>
  <c r="D1951" i="6" s="1"/>
  <c r="E1951" i="6" s="1"/>
  <c r="J1950" i="6"/>
  <c r="I1950" i="6"/>
  <c r="G1950" i="6"/>
  <c r="F1950" i="6"/>
  <c r="C1950" i="6"/>
  <c r="D1950" i="6" s="1"/>
  <c r="E1950" i="6" s="1"/>
  <c r="J1949" i="6"/>
  <c r="I1949" i="6"/>
  <c r="G1949" i="6"/>
  <c r="F1949" i="6"/>
  <c r="C1949" i="6"/>
  <c r="D1949" i="6" s="1"/>
  <c r="E1949" i="6" s="1"/>
  <c r="J1948" i="6"/>
  <c r="I1948" i="6"/>
  <c r="G1948" i="6"/>
  <c r="F1948" i="6"/>
  <c r="C1948" i="6"/>
  <c r="D1948" i="6" s="1"/>
  <c r="E1948" i="6" s="1"/>
  <c r="J1947" i="6"/>
  <c r="I1947" i="6"/>
  <c r="G1947" i="6"/>
  <c r="F1947" i="6"/>
  <c r="C1947" i="6"/>
  <c r="D1947" i="6" s="1"/>
  <c r="E1947" i="6" s="1"/>
  <c r="J1946" i="6"/>
  <c r="I1946" i="6"/>
  <c r="G1946" i="6"/>
  <c r="F1946" i="6"/>
  <c r="C1946" i="6"/>
  <c r="D1946" i="6" s="1"/>
  <c r="E1946" i="6" s="1"/>
  <c r="J1945" i="6"/>
  <c r="I1945" i="6"/>
  <c r="G1945" i="6"/>
  <c r="F1945" i="6"/>
  <c r="C1945" i="6"/>
  <c r="D1945" i="6" s="1"/>
  <c r="E1945" i="6" s="1"/>
  <c r="J1944" i="6"/>
  <c r="I1944" i="6"/>
  <c r="G1944" i="6"/>
  <c r="F1944" i="6"/>
  <c r="C1944" i="6"/>
  <c r="D1944" i="6" s="1"/>
  <c r="E1944" i="6" s="1"/>
  <c r="J1943" i="6"/>
  <c r="I1943" i="6"/>
  <c r="G1943" i="6"/>
  <c r="F1943" i="6"/>
  <c r="C1943" i="6"/>
  <c r="D1943" i="6" s="1"/>
  <c r="E1943" i="6" s="1"/>
  <c r="J1942" i="6"/>
  <c r="I1942" i="6"/>
  <c r="G1942" i="6"/>
  <c r="F1942" i="6"/>
  <c r="C1942" i="6"/>
  <c r="D1942" i="6" s="1"/>
  <c r="E1942" i="6" s="1"/>
  <c r="J1941" i="6"/>
  <c r="I1941" i="6"/>
  <c r="G1941" i="6"/>
  <c r="F1941" i="6"/>
  <c r="C1941" i="6"/>
  <c r="D1941" i="6" s="1"/>
  <c r="E1941" i="6" s="1"/>
  <c r="J1940" i="6"/>
  <c r="I1940" i="6"/>
  <c r="G1940" i="6"/>
  <c r="F1940" i="6"/>
  <c r="C1940" i="6"/>
  <c r="D1940" i="6" s="1"/>
  <c r="E1940" i="6" s="1"/>
  <c r="J1939" i="6"/>
  <c r="I1939" i="6"/>
  <c r="G1939" i="6"/>
  <c r="F1939" i="6"/>
  <c r="C1939" i="6"/>
  <c r="D1939" i="6" s="1"/>
  <c r="E1939" i="6" s="1"/>
  <c r="J1938" i="6"/>
  <c r="I1938" i="6"/>
  <c r="G1938" i="6"/>
  <c r="F1938" i="6"/>
  <c r="C1938" i="6"/>
  <c r="D1938" i="6" s="1"/>
  <c r="E1938" i="6" s="1"/>
  <c r="J1937" i="6"/>
  <c r="I1937" i="6"/>
  <c r="G1937" i="6"/>
  <c r="F1937" i="6"/>
  <c r="C1937" i="6"/>
  <c r="D1937" i="6" s="1"/>
  <c r="E1937" i="6" s="1"/>
  <c r="J1936" i="6"/>
  <c r="I1936" i="6"/>
  <c r="G1936" i="6"/>
  <c r="F1936" i="6"/>
  <c r="C1936" i="6"/>
  <c r="D1936" i="6" s="1"/>
  <c r="E1936" i="6" s="1"/>
  <c r="J1935" i="6"/>
  <c r="I1935" i="6"/>
  <c r="G1935" i="6"/>
  <c r="F1935" i="6"/>
  <c r="C1935" i="6"/>
  <c r="D1935" i="6" s="1"/>
  <c r="E1935" i="6" s="1"/>
  <c r="J1934" i="6"/>
  <c r="I1934" i="6"/>
  <c r="G1934" i="6"/>
  <c r="F1934" i="6"/>
  <c r="C1934" i="6"/>
  <c r="D1934" i="6" s="1"/>
  <c r="E1934" i="6" s="1"/>
  <c r="J1933" i="6"/>
  <c r="I1933" i="6"/>
  <c r="G1933" i="6"/>
  <c r="F1933" i="6"/>
  <c r="C1933" i="6"/>
  <c r="D1933" i="6" s="1"/>
  <c r="E1933" i="6" s="1"/>
  <c r="J1932" i="6"/>
  <c r="I1932" i="6"/>
  <c r="G1932" i="6"/>
  <c r="F1932" i="6"/>
  <c r="C1932" i="6"/>
  <c r="D1932" i="6" s="1"/>
  <c r="E1932" i="6" s="1"/>
  <c r="J1931" i="6"/>
  <c r="I1931" i="6"/>
  <c r="G1931" i="6"/>
  <c r="F1931" i="6"/>
  <c r="C1931" i="6"/>
  <c r="D1931" i="6" s="1"/>
  <c r="E1931" i="6" s="1"/>
  <c r="J1930" i="6"/>
  <c r="I1930" i="6"/>
  <c r="G1930" i="6"/>
  <c r="F1930" i="6"/>
  <c r="C1930" i="6"/>
  <c r="D1930" i="6" s="1"/>
  <c r="E1930" i="6" s="1"/>
  <c r="J1929" i="6"/>
  <c r="I1929" i="6"/>
  <c r="G1929" i="6"/>
  <c r="F1929" i="6"/>
  <c r="C1929" i="6"/>
  <c r="D1929" i="6" s="1"/>
  <c r="E1929" i="6" s="1"/>
  <c r="J1928" i="6"/>
  <c r="I1928" i="6"/>
  <c r="G1928" i="6"/>
  <c r="F1928" i="6"/>
  <c r="C1928" i="6"/>
  <c r="D1928" i="6" s="1"/>
  <c r="E1928" i="6" s="1"/>
  <c r="J1927" i="6"/>
  <c r="I1927" i="6"/>
  <c r="G1927" i="6"/>
  <c r="F1927" i="6"/>
  <c r="C1927" i="6"/>
  <c r="D1927" i="6" s="1"/>
  <c r="E1927" i="6" s="1"/>
  <c r="J1926" i="6"/>
  <c r="I1926" i="6"/>
  <c r="G1926" i="6"/>
  <c r="F1926" i="6"/>
  <c r="C1926" i="6"/>
  <c r="D1926" i="6" s="1"/>
  <c r="E1926" i="6" s="1"/>
  <c r="J1925" i="6"/>
  <c r="I1925" i="6"/>
  <c r="G1925" i="6"/>
  <c r="F1925" i="6"/>
  <c r="C1925" i="6"/>
  <c r="D1925" i="6" s="1"/>
  <c r="E1925" i="6" s="1"/>
  <c r="J1924" i="6"/>
  <c r="I1924" i="6"/>
  <c r="G1924" i="6"/>
  <c r="F1924" i="6"/>
  <c r="C1924" i="6"/>
  <c r="D1924" i="6" s="1"/>
  <c r="E1924" i="6" s="1"/>
  <c r="J1923" i="6"/>
  <c r="I1923" i="6"/>
  <c r="G1923" i="6"/>
  <c r="F1923" i="6"/>
  <c r="C1923" i="6"/>
  <c r="D1923" i="6" s="1"/>
  <c r="E1923" i="6" s="1"/>
  <c r="J1922" i="6"/>
  <c r="I1922" i="6"/>
  <c r="G1922" i="6"/>
  <c r="F1922" i="6"/>
  <c r="C1922" i="6"/>
  <c r="D1922" i="6" s="1"/>
  <c r="E1922" i="6" s="1"/>
  <c r="J1921" i="6"/>
  <c r="I1921" i="6"/>
  <c r="G1921" i="6"/>
  <c r="F1921" i="6"/>
  <c r="C1921" i="6"/>
  <c r="D1921" i="6" s="1"/>
  <c r="E1921" i="6" s="1"/>
  <c r="J1920" i="6"/>
  <c r="I1920" i="6"/>
  <c r="G1920" i="6"/>
  <c r="F1920" i="6"/>
  <c r="C1920" i="6"/>
  <c r="D1920" i="6" s="1"/>
  <c r="E1920" i="6" s="1"/>
  <c r="J1919" i="6"/>
  <c r="I1919" i="6"/>
  <c r="G1919" i="6"/>
  <c r="F1919" i="6"/>
  <c r="C1919" i="6"/>
  <c r="D1919" i="6" s="1"/>
  <c r="E1919" i="6" s="1"/>
  <c r="J1918" i="6"/>
  <c r="I1918" i="6"/>
  <c r="G1918" i="6"/>
  <c r="F1918" i="6"/>
  <c r="C1918" i="6"/>
  <c r="D1918" i="6" s="1"/>
  <c r="E1918" i="6" s="1"/>
  <c r="J1917" i="6"/>
  <c r="I1917" i="6"/>
  <c r="G1917" i="6"/>
  <c r="F1917" i="6"/>
  <c r="C1917" i="6"/>
  <c r="D1917" i="6" s="1"/>
  <c r="E1917" i="6" s="1"/>
  <c r="J1916" i="6"/>
  <c r="I1916" i="6"/>
  <c r="G1916" i="6"/>
  <c r="F1916" i="6"/>
  <c r="C1916" i="6"/>
  <c r="D1916" i="6" s="1"/>
  <c r="E1916" i="6" s="1"/>
  <c r="J1915" i="6"/>
  <c r="I1915" i="6"/>
  <c r="G1915" i="6"/>
  <c r="F1915" i="6"/>
  <c r="C1915" i="6"/>
  <c r="D1915" i="6" s="1"/>
  <c r="E1915" i="6" s="1"/>
  <c r="J1914" i="6"/>
  <c r="I1914" i="6"/>
  <c r="G1914" i="6"/>
  <c r="F1914" i="6"/>
  <c r="C1914" i="6"/>
  <c r="D1914" i="6" s="1"/>
  <c r="E1914" i="6" s="1"/>
  <c r="J1913" i="6"/>
  <c r="I1913" i="6"/>
  <c r="G1913" i="6"/>
  <c r="F1913" i="6"/>
  <c r="C1913" i="6"/>
  <c r="D1913" i="6" s="1"/>
  <c r="E1913" i="6" s="1"/>
  <c r="J1912" i="6"/>
  <c r="I1912" i="6"/>
  <c r="G1912" i="6"/>
  <c r="F1912" i="6"/>
  <c r="C1912" i="6"/>
  <c r="D1912" i="6" s="1"/>
  <c r="E1912" i="6" s="1"/>
  <c r="J1911" i="6"/>
  <c r="I1911" i="6"/>
  <c r="G1911" i="6"/>
  <c r="F1911" i="6"/>
  <c r="C1911" i="6"/>
  <c r="D1911" i="6" s="1"/>
  <c r="E1911" i="6" s="1"/>
  <c r="J1910" i="6"/>
  <c r="I1910" i="6"/>
  <c r="G1910" i="6"/>
  <c r="F1910" i="6"/>
  <c r="C1910" i="6"/>
  <c r="D1910" i="6" s="1"/>
  <c r="E1910" i="6" s="1"/>
  <c r="J1909" i="6"/>
  <c r="I1909" i="6"/>
  <c r="G1909" i="6"/>
  <c r="F1909" i="6"/>
  <c r="C1909" i="6"/>
  <c r="D1909" i="6" s="1"/>
  <c r="E1909" i="6" s="1"/>
  <c r="J1908" i="6"/>
  <c r="I1908" i="6"/>
  <c r="G1908" i="6"/>
  <c r="F1908" i="6"/>
  <c r="C1908" i="6"/>
  <c r="D1908" i="6" s="1"/>
  <c r="E1908" i="6" s="1"/>
  <c r="J1907" i="6"/>
  <c r="I1907" i="6"/>
  <c r="G1907" i="6"/>
  <c r="F1907" i="6"/>
  <c r="C1907" i="6"/>
  <c r="D1907" i="6" s="1"/>
  <c r="E1907" i="6" s="1"/>
  <c r="J1906" i="6"/>
  <c r="I1906" i="6"/>
  <c r="G1906" i="6"/>
  <c r="F1906" i="6"/>
  <c r="C1906" i="6"/>
  <c r="D1906" i="6" s="1"/>
  <c r="E1906" i="6" s="1"/>
  <c r="J1905" i="6"/>
  <c r="I1905" i="6"/>
  <c r="G1905" i="6"/>
  <c r="F1905" i="6"/>
  <c r="C1905" i="6"/>
  <c r="D1905" i="6" s="1"/>
  <c r="E1905" i="6" s="1"/>
  <c r="J1904" i="6"/>
  <c r="I1904" i="6"/>
  <c r="G1904" i="6"/>
  <c r="F1904" i="6"/>
  <c r="C1904" i="6"/>
  <c r="D1904" i="6" s="1"/>
  <c r="E1904" i="6" s="1"/>
  <c r="J1903" i="6"/>
  <c r="I1903" i="6"/>
  <c r="G1903" i="6"/>
  <c r="F1903" i="6"/>
  <c r="C1903" i="6"/>
  <c r="D1903" i="6" s="1"/>
  <c r="E1903" i="6" s="1"/>
  <c r="J1902" i="6"/>
  <c r="I1902" i="6"/>
  <c r="G1902" i="6"/>
  <c r="F1902" i="6"/>
  <c r="C1902" i="6"/>
  <c r="D1902" i="6" s="1"/>
  <c r="E1902" i="6" s="1"/>
  <c r="J1901" i="6"/>
  <c r="I1901" i="6"/>
  <c r="G1901" i="6"/>
  <c r="F1901" i="6"/>
  <c r="C1901" i="6"/>
  <c r="D1901" i="6" s="1"/>
  <c r="E1901" i="6" s="1"/>
  <c r="J1900" i="6"/>
  <c r="I1900" i="6"/>
  <c r="G1900" i="6"/>
  <c r="F1900" i="6"/>
  <c r="C1900" i="6"/>
  <c r="D1900" i="6" s="1"/>
  <c r="E1900" i="6" s="1"/>
  <c r="J1899" i="6"/>
  <c r="I1899" i="6"/>
  <c r="G1899" i="6"/>
  <c r="F1899" i="6"/>
  <c r="C1899" i="6"/>
  <c r="D1899" i="6" s="1"/>
  <c r="E1899" i="6" s="1"/>
  <c r="J1898" i="6"/>
  <c r="I1898" i="6"/>
  <c r="G1898" i="6"/>
  <c r="F1898" i="6"/>
  <c r="C1898" i="6"/>
  <c r="D1898" i="6" s="1"/>
  <c r="E1898" i="6" s="1"/>
  <c r="J1897" i="6"/>
  <c r="I1897" i="6"/>
  <c r="G1897" i="6"/>
  <c r="F1897" i="6"/>
  <c r="C1897" i="6"/>
  <c r="D1897" i="6" s="1"/>
  <c r="E1897" i="6" s="1"/>
  <c r="J1896" i="6"/>
  <c r="I1896" i="6"/>
  <c r="G1896" i="6"/>
  <c r="F1896" i="6"/>
  <c r="C1896" i="6"/>
  <c r="D1896" i="6" s="1"/>
  <c r="E1896" i="6" s="1"/>
  <c r="J1895" i="6"/>
  <c r="I1895" i="6"/>
  <c r="G1895" i="6"/>
  <c r="F1895" i="6"/>
  <c r="C1895" i="6"/>
  <c r="D1895" i="6" s="1"/>
  <c r="E1895" i="6" s="1"/>
  <c r="J1894" i="6"/>
  <c r="I1894" i="6"/>
  <c r="G1894" i="6"/>
  <c r="F1894" i="6"/>
  <c r="C1894" i="6"/>
  <c r="D1894" i="6" s="1"/>
  <c r="E1894" i="6" s="1"/>
  <c r="J1893" i="6"/>
  <c r="I1893" i="6"/>
  <c r="G1893" i="6"/>
  <c r="F1893" i="6"/>
  <c r="C1893" i="6"/>
  <c r="D1893" i="6" s="1"/>
  <c r="E1893" i="6" s="1"/>
  <c r="J1892" i="6"/>
  <c r="I1892" i="6"/>
  <c r="G1892" i="6"/>
  <c r="F1892" i="6"/>
  <c r="C1892" i="6"/>
  <c r="D1892" i="6" s="1"/>
  <c r="E1892" i="6" s="1"/>
  <c r="J1891" i="6"/>
  <c r="I1891" i="6"/>
  <c r="G1891" i="6"/>
  <c r="F1891" i="6"/>
  <c r="C1891" i="6"/>
  <c r="D1891" i="6" s="1"/>
  <c r="E1891" i="6" s="1"/>
  <c r="J1890" i="6"/>
  <c r="I1890" i="6"/>
  <c r="G1890" i="6"/>
  <c r="F1890" i="6"/>
  <c r="C1890" i="6"/>
  <c r="D1890" i="6" s="1"/>
  <c r="E1890" i="6" s="1"/>
  <c r="J1889" i="6"/>
  <c r="I1889" i="6"/>
  <c r="G1889" i="6"/>
  <c r="F1889" i="6"/>
  <c r="C1889" i="6"/>
  <c r="D1889" i="6" s="1"/>
  <c r="E1889" i="6" s="1"/>
  <c r="J1888" i="6"/>
  <c r="I1888" i="6"/>
  <c r="G1888" i="6"/>
  <c r="F1888" i="6"/>
  <c r="C1888" i="6"/>
  <c r="D1888" i="6" s="1"/>
  <c r="E1888" i="6" s="1"/>
  <c r="J1887" i="6"/>
  <c r="I1887" i="6"/>
  <c r="G1887" i="6"/>
  <c r="F1887" i="6"/>
  <c r="C1887" i="6"/>
  <c r="D1887" i="6" s="1"/>
  <c r="E1887" i="6" s="1"/>
  <c r="J1886" i="6"/>
  <c r="I1886" i="6"/>
  <c r="G1886" i="6"/>
  <c r="F1886" i="6"/>
  <c r="C1886" i="6"/>
  <c r="D1886" i="6" s="1"/>
  <c r="E1886" i="6" s="1"/>
  <c r="J1885" i="6"/>
  <c r="I1885" i="6"/>
  <c r="G1885" i="6"/>
  <c r="F1885" i="6"/>
  <c r="C1885" i="6"/>
  <c r="D1885" i="6" s="1"/>
  <c r="E1885" i="6" s="1"/>
  <c r="J1884" i="6"/>
  <c r="I1884" i="6"/>
  <c r="G1884" i="6"/>
  <c r="F1884" i="6"/>
  <c r="C1884" i="6"/>
  <c r="D1884" i="6" s="1"/>
  <c r="E1884" i="6" s="1"/>
  <c r="J1883" i="6"/>
  <c r="I1883" i="6"/>
  <c r="G1883" i="6"/>
  <c r="F1883" i="6"/>
  <c r="C1883" i="6"/>
  <c r="D1883" i="6" s="1"/>
  <c r="E1883" i="6" s="1"/>
  <c r="J1882" i="6"/>
  <c r="I1882" i="6"/>
  <c r="G1882" i="6"/>
  <c r="F1882" i="6"/>
  <c r="C1882" i="6"/>
  <c r="D1882" i="6" s="1"/>
  <c r="E1882" i="6" s="1"/>
  <c r="J1881" i="6"/>
  <c r="I1881" i="6"/>
  <c r="G1881" i="6"/>
  <c r="F1881" i="6"/>
  <c r="C1881" i="6"/>
  <c r="D1881" i="6" s="1"/>
  <c r="E1881" i="6" s="1"/>
  <c r="J1880" i="6"/>
  <c r="I1880" i="6"/>
  <c r="G1880" i="6"/>
  <c r="F1880" i="6"/>
  <c r="C1880" i="6"/>
  <c r="D1880" i="6" s="1"/>
  <c r="E1880" i="6" s="1"/>
  <c r="J1879" i="6"/>
  <c r="I1879" i="6"/>
  <c r="G1879" i="6"/>
  <c r="F1879" i="6"/>
  <c r="C1879" i="6"/>
  <c r="D1879" i="6" s="1"/>
  <c r="E1879" i="6" s="1"/>
  <c r="J1878" i="6"/>
  <c r="I1878" i="6"/>
  <c r="G1878" i="6"/>
  <c r="F1878" i="6"/>
  <c r="C1878" i="6"/>
  <c r="D1878" i="6" s="1"/>
  <c r="E1878" i="6" s="1"/>
  <c r="J1877" i="6"/>
  <c r="I1877" i="6"/>
  <c r="G1877" i="6"/>
  <c r="F1877" i="6"/>
  <c r="C1877" i="6"/>
  <c r="D1877" i="6" s="1"/>
  <c r="E1877" i="6" s="1"/>
  <c r="J1876" i="6"/>
  <c r="I1876" i="6"/>
  <c r="G1876" i="6"/>
  <c r="F1876" i="6"/>
  <c r="C1876" i="6"/>
  <c r="D1876" i="6" s="1"/>
  <c r="E1876" i="6" s="1"/>
  <c r="J1875" i="6"/>
  <c r="I1875" i="6"/>
  <c r="G1875" i="6"/>
  <c r="F1875" i="6"/>
  <c r="C1875" i="6"/>
  <c r="D1875" i="6" s="1"/>
  <c r="E1875" i="6" s="1"/>
  <c r="J1874" i="6"/>
  <c r="I1874" i="6"/>
  <c r="G1874" i="6"/>
  <c r="F1874" i="6"/>
  <c r="C1874" i="6"/>
  <c r="D1874" i="6" s="1"/>
  <c r="E1874" i="6" s="1"/>
  <c r="J1873" i="6"/>
  <c r="I1873" i="6"/>
  <c r="G1873" i="6"/>
  <c r="F1873" i="6"/>
  <c r="C1873" i="6"/>
  <c r="D1873" i="6" s="1"/>
  <c r="E1873" i="6" s="1"/>
  <c r="J1872" i="6"/>
  <c r="I1872" i="6"/>
  <c r="G1872" i="6"/>
  <c r="F1872" i="6"/>
  <c r="C1872" i="6"/>
  <c r="D1872" i="6" s="1"/>
  <c r="E1872" i="6" s="1"/>
  <c r="J1871" i="6"/>
  <c r="I1871" i="6"/>
  <c r="G1871" i="6"/>
  <c r="F1871" i="6"/>
  <c r="C1871" i="6"/>
  <c r="D1871" i="6" s="1"/>
  <c r="E1871" i="6" s="1"/>
  <c r="J1870" i="6"/>
  <c r="I1870" i="6"/>
  <c r="G1870" i="6"/>
  <c r="F1870" i="6"/>
  <c r="C1870" i="6"/>
  <c r="D1870" i="6" s="1"/>
  <c r="E1870" i="6" s="1"/>
  <c r="J1869" i="6"/>
  <c r="I1869" i="6"/>
  <c r="G1869" i="6"/>
  <c r="F1869" i="6"/>
  <c r="C1869" i="6"/>
  <c r="D1869" i="6" s="1"/>
  <c r="E1869" i="6" s="1"/>
  <c r="J1868" i="6"/>
  <c r="I1868" i="6"/>
  <c r="G1868" i="6"/>
  <c r="F1868" i="6"/>
  <c r="C1868" i="6"/>
  <c r="D1868" i="6" s="1"/>
  <c r="E1868" i="6" s="1"/>
  <c r="J1867" i="6"/>
  <c r="I1867" i="6"/>
  <c r="G1867" i="6"/>
  <c r="F1867" i="6"/>
  <c r="C1867" i="6"/>
  <c r="D1867" i="6" s="1"/>
  <c r="E1867" i="6" s="1"/>
  <c r="J1866" i="6"/>
  <c r="I1866" i="6"/>
  <c r="G1866" i="6"/>
  <c r="F1866" i="6"/>
  <c r="C1866" i="6"/>
  <c r="D1866" i="6" s="1"/>
  <c r="E1866" i="6" s="1"/>
  <c r="J1865" i="6"/>
  <c r="I1865" i="6"/>
  <c r="G1865" i="6"/>
  <c r="F1865" i="6"/>
  <c r="C1865" i="6"/>
  <c r="D1865" i="6" s="1"/>
  <c r="E1865" i="6" s="1"/>
  <c r="J1864" i="6"/>
  <c r="I1864" i="6"/>
  <c r="G1864" i="6"/>
  <c r="F1864" i="6"/>
  <c r="C1864" i="6"/>
  <c r="D1864" i="6" s="1"/>
  <c r="E1864" i="6" s="1"/>
  <c r="J1863" i="6"/>
  <c r="I1863" i="6"/>
  <c r="G1863" i="6"/>
  <c r="F1863" i="6"/>
  <c r="C1863" i="6"/>
  <c r="D1863" i="6" s="1"/>
  <c r="E1863" i="6" s="1"/>
  <c r="J1862" i="6"/>
  <c r="I1862" i="6"/>
  <c r="G1862" i="6"/>
  <c r="F1862" i="6"/>
  <c r="C1862" i="6"/>
  <c r="D1862" i="6" s="1"/>
  <c r="E1862" i="6" s="1"/>
  <c r="J1861" i="6"/>
  <c r="I1861" i="6"/>
  <c r="G1861" i="6"/>
  <c r="F1861" i="6"/>
  <c r="C1861" i="6"/>
  <c r="D1861" i="6" s="1"/>
  <c r="E1861" i="6" s="1"/>
  <c r="J1860" i="6"/>
  <c r="I1860" i="6"/>
  <c r="G1860" i="6"/>
  <c r="F1860" i="6"/>
  <c r="C1860" i="6"/>
  <c r="D1860" i="6" s="1"/>
  <c r="E1860" i="6" s="1"/>
  <c r="J1859" i="6"/>
  <c r="I1859" i="6"/>
  <c r="G1859" i="6"/>
  <c r="F1859" i="6"/>
  <c r="C1859" i="6"/>
  <c r="D1859" i="6" s="1"/>
  <c r="E1859" i="6" s="1"/>
  <c r="J1858" i="6"/>
  <c r="I1858" i="6"/>
  <c r="G1858" i="6"/>
  <c r="F1858" i="6"/>
  <c r="C1858" i="6"/>
  <c r="D1858" i="6" s="1"/>
  <c r="E1858" i="6" s="1"/>
  <c r="J1857" i="6"/>
  <c r="I1857" i="6"/>
  <c r="G1857" i="6"/>
  <c r="F1857" i="6"/>
  <c r="C1857" i="6"/>
  <c r="D1857" i="6" s="1"/>
  <c r="E1857" i="6" s="1"/>
  <c r="J1856" i="6"/>
  <c r="I1856" i="6"/>
  <c r="G1856" i="6"/>
  <c r="F1856" i="6"/>
  <c r="C1856" i="6"/>
  <c r="D1856" i="6" s="1"/>
  <c r="E1856" i="6" s="1"/>
  <c r="J1855" i="6"/>
  <c r="I1855" i="6"/>
  <c r="G1855" i="6"/>
  <c r="F1855" i="6"/>
  <c r="C1855" i="6"/>
  <c r="D1855" i="6" s="1"/>
  <c r="E1855" i="6" s="1"/>
  <c r="J1854" i="6"/>
  <c r="I1854" i="6"/>
  <c r="G1854" i="6"/>
  <c r="F1854" i="6"/>
  <c r="C1854" i="6"/>
  <c r="D1854" i="6" s="1"/>
  <c r="E1854" i="6" s="1"/>
  <c r="J1853" i="6"/>
  <c r="I1853" i="6"/>
  <c r="G1853" i="6"/>
  <c r="F1853" i="6"/>
  <c r="C1853" i="6"/>
  <c r="D1853" i="6" s="1"/>
  <c r="E1853" i="6" s="1"/>
  <c r="J1852" i="6"/>
  <c r="I1852" i="6"/>
  <c r="G1852" i="6"/>
  <c r="F1852" i="6"/>
  <c r="C1852" i="6"/>
  <c r="D1852" i="6" s="1"/>
  <c r="E1852" i="6" s="1"/>
  <c r="J1851" i="6"/>
  <c r="I1851" i="6"/>
  <c r="G1851" i="6"/>
  <c r="F1851" i="6"/>
  <c r="C1851" i="6"/>
  <c r="D1851" i="6" s="1"/>
  <c r="E1851" i="6" s="1"/>
  <c r="J1850" i="6"/>
  <c r="I1850" i="6"/>
  <c r="G1850" i="6"/>
  <c r="F1850" i="6"/>
  <c r="C1850" i="6"/>
  <c r="D1850" i="6" s="1"/>
  <c r="E1850" i="6" s="1"/>
  <c r="J1849" i="6"/>
  <c r="I1849" i="6"/>
  <c r="G1849" i="6"/>
  <c r="F1849" i="6"/>
  <c r="C1849" i="6"/>
  <c r="D1849" i="6" s="1"/>
  <c r="E1849" i="6" s="1"/>
  <c r="J1848" i="6"/>
  <c r="I1848" i="6"/>
  <c r="G1848" i="6"/>
  <c r="F1848" i="6"/>
  <c r="C1848" i="6"/>
  <c r="D1848" i="6" s="1"/>
  <c r="E1848" i="6" s="1"/>
  <c r="J1847" i="6"/>
  <c r="I1847" i="6"/>
  <c r="G1847" i="6"/>
  <c r="F1847" i="6"/>
  <c r="C1847" i="6"/>
  <c r="D1847" i="6" s="1"/>
  <c r="E1847" i="6" s="1"/>
  <c r="J1846" i="6"/>
  <c r="I1846" i="6"/>
  <c r="G1846" i="6"/>
  <c r="F1846" i="6"/>
  <c r="C1846" i="6"/>
  <c r="D1846" i="6" s="1"/>
  <c r="E1846" i="6" s="1"/>
  <c r="J1845" i="6"/>
  <c r="I1845" i="6"/>
  <c r="G1845" i="6"/>
  <c r="F1845" i="6"/>
  <c r="C1845" i="6"/>
  <c r="D1845" i="6" s="1"/>
  <c r="E1845" i="6" s="1"/>
  <c r="J1844" i="6"/>
  <c r="I1844" i="6"/>
  <c r="G1844" i="6"/>
  <c r="F1844" i="6"/>
  <c r="C1844" i="6"/>
  <c r="D1844" i="6" s="1"/>
  <c r="E1844" i="6" s="1"/>
  <c r="J1843" i="6"/>
  <c r="I1843" i="6"/>
  <c r="G1843" i="6"/>
  <c r="F1843" i="6"/>
  <c r="C1843" i="6"/>
  <c r="D1843" i="6" s="1"/>
  <c r="E1843" i="6" s="1"/>
  <c r="J1842" i="6"/>
  <c r="I1842" i="6"/>
  <c r="G1842" i="6"/>
  <c r="F1842" i="6"/>
  <c r="C1842" i="6"/>
  <c r="D1842" i="6" s="1"/>
  <c r="E1842" i="6" s="1"/>
  <c r="J1841" i="6"/>
  <c r="I1841" i="6"/>
  <c r="G1841" i="6"/>
  <c r="F1841" i="6"/>
  <c r="C1841" i="6"/>
  <c r="D1841" i="6" s="1"/>
  <c r="E1841" i="6" s="1"/>
  <c r="J1840" i="6"/>
  <c r="I1840" i="6"/>
  <c r="G1840" i="6"/>
  <c r="F1840" i="6"/>
  <c r="C1840" i="6"/>
  <c r="D1840" i="6" s="1"/>
  <c r="E1840" i="6" s="1"/>
  <c r="J1839" i="6"/>
  <c r="I1839" i="6"/>
  <c r="G1839" i="6"/>
  <c r="F1839" i="6"/>
  <c r="C1839" i="6"/>
  <c r="D1839" i="6" s="1"/>
  <c r="E1839" i="6" s="1"/>
  <c r="J1838" i="6"/>
  <c r="I1838" i="6"/>
  <c r="G1838" i="6"/>
  <c r="F1838" i="6"/>
  <c r="C1838" i="6"/>
  <c r="D1838" i="6" s="1"/>
  <c r="E1838" i="6" s="1"/>
  <c r="J1837" i="6"/>
  <c r="I1837" i="6"/>
  <c r="G1837" i="6"/>
  <c r="F1837" i="6"/>
  <c r="C1837" i="6"/>
  <c r="D1837" i="6" s="1"/>
  <c r="E1837" i="6" s="1"/>
  <c r="J1836" i="6"/>
  <c r="I1836" i="6"/>
  <c r="G1836" i="6"/>
  <c r="F1836" i="6"/>
  <c r="C1836" i="6"/>
  <c r="D1836" i="6" s="1"/>
  <c r="E1836" i="6" s="1"/>
  <c r="J1835" i="6"/>
  <c r="I1835" i="6"/>
  <c r="G1835" i="6"/>
  <c r="F1835" i="6"/>
  <c r="C1835" i="6"/>
  <c r="D1835" i="6" s="1"/>
  <c r="E1835" i="6" s="1"/>
  <c r="J1834" i="6"/>
  <c r="I1834" i="6"/>
  <c r="G1834" i="6"/>
  <c r="F1834" i="6"/>
  <c r="C1834" i="6"/>
  <c r="D1834" i="6" s="1"/>
  <c r="E1834" i="6" s="1"/>
  <c r="J1833" i="6"/>
  <c r="I1833" i="6"/>
  <c r="G1833" i="6"/>
  <c r="F1833" i="6"/>
  <c r="C1833" i="6"/>
  <c r="D1833" i="6" s="1"/>
  <c r="E1833" i="6" s="1"/>
  <c r="J1832" i="6"/>
  <c r="I1832" i="6"/>
  <c r="G1832" i="6"/>
  <c r="F1832" i="6"/>
  <c r="C1832" i="6"/>
  <c r="D1832" i="6" s="1"/>
  <c r="E1832" i="6" s="1"/>
  <c r="J1831" i="6"/>
  <c r="I1831" i="6"/>
  <c r="G1831" i="6"/>
  <c r="F1831" i="6"/>
  <c r="C1831" i="6"/>
  <c r="D1831" i="6" s="1"/>
  <c r="E1831" i="6" s="1"/>
  <c r="J1830" i="6"/>
  <c r="I1830" i="6"/>
  <c r="G1830" i="6"/>
  <c r="F1830" i="6"/>
  <c r="C1830" i="6"/>
  <c r="D1830" i="6" s="1"/>
  <c r="E1830" i="6" s="1"/>
  <c r="J1829" i="6"/>
  <c r="I1829" i="6"/>
  <c r="G1829" i="6"/>
  <c r="F1829" i="6"/>
  <c r="C1829" i="6"/>
  <c r="D1829" i="6" s="1"/>
  <c r="E1829" i="6" s="1"/>
  <c r="J1828" i="6"/>
  <c r="I1828" i="6"/>
  <c r="G1828" i="6"/>
  <c r="F1828" i="6"/>
  <c r="C1828" i="6"/>
  <c r="D1828" i="6" s="1"/>
  <c r="E1828" i="6" s="1"/>
  <c r="J1827" i="6"/>
  <c r="I1827" i="6"/>
  <c r="G1827" i="6"/>
  <c r="F1827" i="6"/>
  <c r="C1827" i="6"/>
  <c r="D1827" i="6" s="1"/>
  <c r="E1827" i="6" s="1"/>
  <c r="J1826" i="6"/>
  <c r="I1826" i="6"/>
  <c r="G1826" i="6"/>
  <c r="F1826" i="6"/>
  <c r="C1826" i="6"/>
  <c r="D1826" i="6" s="1"/>
  <c r="E1826" i="6" s="1"/>
  <c r="J1825" i="6"/>
  <c r="I1825" i="6"/>
  <c r="G1825" i="6"/>
  <c r="F1825" i="6"/>
  <c r="C1825" i="6"/>
  <c r="D1825" i="6" s="1"/>
  <c r="E1825" i="6" s="1"/>
  <c r="J1824" i="6"/>
  <c r="I1824" i="6"/>
  <c r="G1824" i="6"/>
  <c r="F1824" i="6"/>
  <c r="C1824" i="6"/>
  <c r="D1824" i="6" s="1"/>
  <c r="E1824" i="6" s="1"/>
  <c r="J1823" i="6"/>
  <c r="I1823" i="6"/>
  <c r="G1823" i="6"/>
  <c r="F1823" i="6"/>
  <c r="C1823" i="6"/>
  <c r="D1823" i="6" s="1"/>
  <c r="E1823" i="6" s="1"/>
  <c r="J1822" i="6"/>
  <c r="I1822" i="6"/>
  <c r="G1822" i="6"/>
  <c r="F1822" i="6"/>
  <c r="C1822" i="6"/>
  <c r="D1822" i="6" s="1"/>
  <c r="E1822" i="6" s="1"/>
  <c r="J1821" i="6"/>
  <c r="I1821" i="6"/>
  <c r="G1821" i="6"/>
  <c r="F1821" i="6"/>
  <c r="C1821" i="6"/>
  <c r="D1821" i="6" s="1"/>
  <c r="E1821" i="6" s="1"/>
  <c r="J1820" i="6"/>
  <c r="I1820" i="6"/>
  <c r="G1820" i="6"/>
  <c r="F1820" i="6"/>
  <c r="C1820" i="6"/>
  <c r="D1820" i="6" s="1"/>
  <c r="E1820" i="6" s="1"/>
  <c r="J1819" i="6"/>
  <c r="I1819" i="6"/>
  <c r="G1819" i="6"/>
  <c r="F1819" i="6"/>
  <c r="C1819" i="6"/>
  <c r="D1819" i="6" s="1"/>
  <c r="E1819" i="6" s="1"/>
  <c r="J1818" i="6"/>
  <c r="I1818" i="6"/>
  <c r="G1818" i="6"/>
  <c r="F1818" i="6"/>
  <c r="C1818" i="6"/>
  <c r="D1818" i="6" s="1"/>
  <c r="E1818" i="6" s="1"/>
  <c r="J1817" i="6"/>
  <c r="I1817" i="6"/>
  <c r="G1817" i="6"/>
  <c r="F1817" i="6"/>
  <c r="C1817" i="6"/>
  <c r="D1817" i="6" s="1"/>
  <c r="E1817" i="6" s="1"/>
  <c r="J1816" i="6"/>
  <c r="I1816" i="6"/>
  <c r="G1816" i="6"/>
  <c r="F1816" i="6"/>
  <c r="C1816" i="6"/>
  <c r="D1816" i="6" s="1"/>
  <c r="E1816" i="6" s="1"/>
  <c r="J1815" i="6"/>
  <c r="I1815" i="6"/>
  <c r="G1815" i="6"/>
  <c r="F1815" i="6"/>
  <c r="C1815" i="6"/>
  <c r="D1815" i="6" s="1"/>
  <c r="E1815" i="6" s="1"/>
  <c r="J1814" i="6"/>
  <c r="I1814" i="6"/>
  <c r="G1814" i="6"/>
  <c r="F1814" i="6"/>
  <c r="C1814" i="6"/>
  <c r="D1814" i="6" s="1"/>
  <c r="E1814" i="6" s="1"/>
  <c r="J1813" i="6"/>
  <c r="I1813" i="6"/>
  <c r="G1813" i="6"/>
  <c r="F1813" i="6"/>
  <c r="C1813" i="6"/>
  <c r="D1813" i="6" s="1"/>
  <c r="E1813" i="6" s="1"/>
  <c r="J1812" i="6"/>
  <c r="I1812" i="6"/>
  <c r="G1812" i="6"/>
  <c r="F1812" i="6"/>
  <c r="C1812" i="6"/>
  <c r="D1812" i="6" s="1"/>
  <c r="E1812" i="6" s="1"/>
  <c r="J1811" i="6"/>
  <c r="I1811" i="6"/>
  <c r="G1811" i="6"/>
  <c r="F1811" i="6"/>
  <c r="C1811" i="6"/>
  <c r="D1811" i="6" s="1"/>
  <c r="E1811" i="6" s="1"/>
  <c r="J1810" i="6"/>
  <c r="I1810" i="6"/>
  <c r="G1810" i="6"/>
  <c r="F1810" i="6"/>
  <c r="C1810" i="6"/>
  <c r="D1810" i="6" s="1"/>
  <c r="E1810" i="6" s="1"/>
  <c r="J1809" i="6"/>
  <c r="I1809" i="6"/>
  <c r="G1809" i="6"/>
  <c r="F1809" i="6"/>
  <c r="C1809" i="6"/>
  <c r="D1809" i="6" s="1"/>
  <c r="E1809" i="6" s="1"/>
  <c r="J1808" i="6"/>
  <c r="I1808" i="6"/>
  <c r="G1808" i="6"/>
  <c r="F1808" i="6"/>
  <c r="C1808" i="6"/>
  <c r="D1808" i="6" s="1"/>
  <c r="E1808" i="6" s="1"/>
  <c r="J1807" i="6"/>
  <c r="I1807" i="6"/>
  <c r="G1807" i="6"/>
  <c r="F1807" i="6"/>
  <c r="C1807" i="6"/>
  <c r="D1807" i="6" s="1"/>
  <c r="E1807" i="6" s="1"/>
  <c r="J1806" i="6"/>
  <c r="I1806" i="6"/>
  <c r="G1806" i="6"/>
  <c r="F1806" i="6"/>
  <c r="C1806" i="6"/>
  <c r="D1806" i="6" s="1"/>
  <c r="E1806" i="6" s="1"/>
  <c r="J1805" i="6"/>
  <c r="I1805" i="6"/>
  <c r="G1805" i="6"/>
  <c r="F1805" i="6"/>
  <c r="C1805" i="6"/>
  <c r="D1805" i="6" s="1"/>
  <c r="E1805" i="6" s="1"/>
  <c r="J1804" i="6"/>
  <c r="I1804" i="6"/>
  <c r="G1804" i="6"/>
  <c r="F1804" i="6"/>
  <c r="C1804" i="6"/>
  <c r="D1804" i="6" s="1"/>
  <c r="E1804" i="6" s="1"/>
  <c r="J1803" i="6"/>
  <c r="I1803" i="6"/>
  <c r="G1803" i="6"/>
  <c r="F1803" i="6"/>
  <c r="C1803" i="6"/>
  <c r="D1803" i="6" s="1"/>
  <c r="E1803" i="6" s="1"/>
  <c r="J1802" i="6"/>
  <c r="I1802" i="6"/>
  <c r="G1802" i="6"/>
  <c r="F1802" i="6"/>
  <c r="C1802" i="6"/>
  <c r="D1802" i="6" s="1"/>
  <c r="E1802" i="6" s="1"/>
  <c r="J1801" i="6"/>
  <c r="I1801" i="6"/>
  <c r="G1801" i="6"/>
  <c r="F1801" i="6"/>
  <c r="C1801" i="6"/>
  <c r="D1801" i="6" s="1"/>
  <c r="E1801" i="6" s="1"/>
  <c r="J1800" i="6"/>
  <c r="I1800" i="6"/>
  <c r="G1800" i="6"/>
  <c r="F1800" i="6"/>
  <c r="C1800" i="6"/>
  <c r="D1800" i="6" s="1"/>
  <c r="E1800" i="6" s="1"/>
  <c r="J1799" i="6"/>
  <c r="I1799" i="6"/>
  <c r="G1799" i="6"/>
  <c r="F1799" i="6"/>
  <c r="C1799" i="6"/>
  <c r="D1799" i="6" s="1"/>
  <c r="E1799" i="6" s="1"/>
  <c r="J1798" i="6"/>
  <c r="I1798" i="6"/>
  <c r="G1798" i="6"/>
  <c r="F1798" i="6"/>
  <c r="C1798" i="6"/>
  <c r="D1798" i="6" s="1"/>
  <c r="E1798" i="6" s="1"/>
  <c r="J1797" i="6"/>
  <c r="I1797" i="6"/>
  <c r="G1797" i="6"/>
  <c r="F1797" i="6"/>
  <c r="C1797" i="6"/>
  <c r="D1797" i="6" s="1"/>
  <c r="E1797" i="6" s="1"/>
  <c r="J1796" i="6"/>
  <c r="I1796" i="6"/>
  <c r="G1796" i="6"/>
  <c r="F1796" i="6"/>
  <c r="C1796" i="6"/>
  <c r="D1796" i="6" s="1"/>
  <c r="E1796" i="6" s="1"/>
  <c r="J1795" i="6"/>
  <c r="I1795" i="6"/>
  <c r="G1795" i="6"/>
  <c r="F1795" i="6"/>
  <c r="C1795" i="6"/>
  <c r="D1795" i="6" s="1"/>
  <c r="E1795" i="6" s="1"/>
  <c r="J1794" i="6"/>
  <c r="I1794" i="6"/>
  <c r="G1794" i="6"/>
  <c r="F1794" i="6"/>
  <c r="C1794" i="6"/>
  <c r="D1794" i="6" s="1"/>
  <c r="E1794" i="6" s="1"/>
  <c r="J1793" i="6"/>
  <c r="I1793" i="6"/>
  <c r="G1793" i="6"/>
  <c r="F1793" i="6"/>
  <c r="C1793" i="6"/>
  <c r="D1793" i="6" s="1"/>
  <c r="E1793" i="6" s="1"/>
  <c r="J1792" i="6"/>
  <c r="I1792" i="6"/>
  <c r="G1792" i="6"/>
  <c r="F1792" i="6"/>
  <c r="C1792" i="6"/>
  <c r="D1792" i="6" s="1"/>
  <c r="E1792" i="6" s="1"/>
  <c r="J1791" i="6"/>
  <c r="I1791" i="6"/>
  <c r="G1791" i="6"/>
  <c r="F1791" i="6"/>
  <c r="C1791" i="6"/>
  <c r="D1791" i="6" s="1"/>
  <c r="E1791" i="6" s="1"/>
  <c r="J1790" i="6"/>
  <c r="I1790" i="6"/>
  <c r="G1790" i="6"/>
  <c r="F1790" i="6"/>
  <c r="C1790" i="6"/>
  <c r="D1790" i="6" s="1"/>
  <c r="E1790" i="6" s="1"/>
  <c r="J1789" i="6"/>
  <c r="I1789" i="6"/>
  <c r="G1789" i="6"/>
  <c r="F1789" i="6"/>
  <c r="C1789" i="6"/>
  <c r="D1789" i="6" s="1"/>
  <c r="E1789" i="6" s="1"/>
  <c r="J1788" i="6"/>
  <c r="I1788" i="6"/>
  <c r="G1788" i="6"/>
  <c r="F1788" i="6"/>
  <c r="C1788" i="6"/>
  <c r="D1788" i="6" s="1"/>
  <c r="E1788" i="6" s="1"/>
  <c r="J1787" i="6"/>
  <c r="I1787" i="6"/>
  <c r="G1787" i="6"/>
  <c r="F1787" i="6"/>
  <c r="C1787" i="6"/>
  <c r="D1787" i="6" s="1"/>
  <c r="E1787" i="6" s="1"/>
  <c r="J1786" i="6"/>
  <c r="I1786" i="6"/>
  <c r="G1786" i="6"/>
  <c r="F1786" i="6"/>
  <c r="C1786" i="6"/>
  <c r="D1786" i="6" s="1"/>
  <c r="E1786" i="6" s="1"/>
  <c r="J1785" i="6"/>
  <c r="I1785" i="6"/>
  <c r="G1785" i="6"/>
  <c r="F1785" i="6"/>
  <c r="C1785" i="6"/>
  <c r="D1785" i="6" s="1"/>
  <c r="E1785" i="6" s="1"/>
  <c r="J1784" i="6"/>
  <c r="I1784" i="6"/>
  <c r="G1784" i="6"/>
  <c r="F1784" i="6"/>
  <c r="C1784" i="6"/>
  <c r="D1784" i="6" s="1"/>
  <c r="E1784" i="6" s="1"/>
  <c r="J1783" i="6"/>
  <c r="I1783" i="6"/>
  <c r="G1783" i="6"/>
  <c r="F1783" i="6"/>
  <c r="C1783" i="6"/>
  <c r="D1783" i="6" s="1"/>
  <c r="E1783" i="6" s="1"/>
  <c r="J1782" i="6"/>
  <c r="I1782" i="6"/>
  <c r="G1782" i="6"/>
  <c r="F1782" i="6"/>
  <c r="C1782" i="6"/>
  <c r="D1782" i="6" s="1"/>
  <c r="E1782" i="6" s="1"/>
  <c r="J1781" i="6"/>
  <c r="I1781" i="6"/>
  <c r="G1781" i="6"/>
  <c r="F1781" i="6"/>
  <c r="C1781" i="6"/>
  <c r="D1781" i="6" s="1"/>
  <c r="E1781" i="6" s="1"/>
  <c r="J1780" i="6"/>
  <c r="I1780" i="6"/>
  <c r="G1780" i="6"/>
  <c r="F1780" i="6"/>
  <c r="C1780" i="6"/>
  <c r="D1780" i="6" s="1"/>
  <c r="E1780" i="6" s="1"/>
  <c r="J1779" i="6"/>
  <c r="I1779" i="6"/>
  <c r="G1779" i="6"/>
  <c r="F1779" i="6"/>
  <c r="C1779" i="6"/>
  <c r="D1779" i="6" s="1"/>
  <c r="E1779" i="6" s="1"/>
  <c r="J1778" i="6"/>
  <c r="I1778" i="6"/>
  <c r="G1778" i="6"/>
  <c r="F1778" i="6"/>
  <c r="C1778" i="6"/>
  <c r="D1778" i="6" s="1"/>
  <c r="E1778" i="6" s="1"/>
  <c r="J1777" i="6"/>
  <c r="I1777" i="6"/>
  <c r="G1777" i="6"/>
  <c r="F1777" i="6"/>
  <c r="C1777" i="6"/>
  <c r="D1777" i="6" s="1"/>
  <c r="E1777" i="6" s="1"/>
  <c r="J1776" i="6"/>
  <c r="I1776" i="6"/>
  <c r="G1776" i="6"/>
  <c r="F1776" i="6"/>
  <c r="C1776" i="6"/>
  <c r="D1776" i="6" s="1"/>
  <c r="E1776" i="6" s="1"/>
  <c r="J1775" i="6"/>
  <c r="I1775" i="6"/>
  <c r="G1775" i="6"/>
  <c r="F1775" i="6"/>
  <c r="C1775" i="6"/>
  <c r="D1775" i="6" s="1"/>
  <c r="E1775" i="6" s="1"/>
  <c r="J1774" i="6"/>
  <c r="I1774" i="6"/>
  <c r="G1774" i="6"/>
  <c r="F1774" i="6"/>
  <c r="C1774" i="6"/>
  <c r="D1774" i="6" s="1"/>
  <c r="E1774" i="6" s="1"/>
  <c r="J1773" i="6"/>
  <c r="I1773" i="6"/>
  <c r="G1773" i="6"/>
  <c r="F1773" i="6"/>
  <c r="C1773" i="6"/>
  <c r="D1773" i="6" s="1"/>
  <c r="E1773" i="6" s="1"/>
  <c r="J1772" i="6"/>
  <c r="I1772" i="6"/>
  <c r="G1772" i="6"/>
  <c r="F1772" i="6"/>
  <c r="C1772" i="6"/>
  <c r="D1772" i="6" s="1"/>
  <c r="E1772" i="6" s="1"/>
  <c r="J1771" i="6"/>
  <c r="I1771" i="6"/>
  <c r="G1771" i="6"/>
  <c r="F1771" i="6"/>
  <c r="C1771" i="6"/>
  <c r="D1771" i="6" s="1"/>
  <c r="E1771" i="6" s="1"/>
  <c r="J1770" i="6"/>
  <c r="I1770" i="6"/>
  <c r="G1770" i="6"/>
  <c r="F1770" i="6"/>
  <c r="C1770" i="6"/>
  <c r="D1770" i="6" s="1"/>
  <c r="E1770" i="6" s="1"/>
  <c r="J1769" i="6"/>
  <c r="I1769" i="6"/>
  <c r="G1769" i="6"/>
  <c r="F1769" i="6"/>
  <c r="C1769" i="6"/>
  <c r="D1769" i="6" s="1"/>
  <c r="E1769" i="6" s="1"/>
  <c r="J1768" i="6"/>
  <c r="I1768" i="6"/>
  <c r="G1768" i="6"/>
  <c r="F1768" i="6"/>
  <c r="C1768" i="6"/>
  <c r="D1768" i="6" s="1"/>
  <c r="E1768" i="6" s="1"/>
  <c r="J1767" i="6"/>
  <c r="I1767" i="6"/>
  <c r="G1767" i="6"/>
  <c r="F1767" i="6"/>
  <c r="C1767" i="6"/>
  <c r="D1767" i="6" s="1"/>
  <c r="E1767" i="6" s="1"/>
  <c r="J1766" i="6"/>
  <c r="I1766" i="6"/>
  <c r="G1766" i="6"/>
  <c r="F1766" i="6"/>
  <c r="C1766" i="6"/>
  <c r="D1766" i="6" s="1"/>
  <c r="E1766" i="6" s="1"/>
  <c r="J1765" i="6"/>
  <c r="I1765" i="6"/>
  <c r="G1765" i="6"/>
  <c r="F1765" i="6"/>
  <c r="C1765" i="6"/>
  <c r="D1765" i="6" s="1"/>
  <c r="E1765" i="6" s="1"/>
  <c r="J1764" i="6"/>
  <c r="I1764" i="6"/>
  <c r="G1764" i="6"/>
  <c r="F1764" i="6"/>
  <c r="C1764" i="6"/>
  <c r="D1764" i="6" s="1"/>
  <c r="E1764" i="6" s="1"/>
  <c r="J1763" i="6"/>
  <c r="I1763" i="6"/>
  <c r="G1763" i="6"/>
  <c r="F1763" i="6"/>
  <c r="C1763" i="6"/>
  <c r="D1763" i="6" s="1"/>
  <c r="E1763" i="6" s="1"/>
  <c r="J1762" i="6"/>
  <c r="I1762" i="6"/>
  <c r="G1762" i="6"/>
  <c r="F1762" i="6"/>
  <c r="C1762" i="6"/>
  <c r="D1762" i="6" s="1"/>
  <c r="E1762" i="6" s="1"/>
  <c r="J1761" i="6"/>
  <c r="I1761" i="6"/>
  <c r="G1761" i="6"/>
  <c r="F1761" i="6"/>
  <c r="C1761" i="6"/>
  <c r="D1761" i="6" s="1"/>
  <c r="E1761" i="6" s="1"/>
  <c r="J1760" i="6"/>
  <c r="I1760" i="6"/>
  <c r="G1760" i="6"/>
  <c r="F1760" i="6"/>
  <c r="C1760" i="6"/>
  <c r="D1760" i="6" s="1"/>
  <c r="E1760" i="6" s="1"/>
  <c r="J1759" i="6"/>
  <c r="I1759" i="6"/>
  <c r="G1759" i="6"/>
  <c r="F1759" i="6"/>
  <c r="C1759" i="6"/>
  <c r="D1759" i="6" s="1"/>
  <c r="E1759" i="6" s="1"/>
  <c r="J1758" i="6"/>
  <c r="I1758" i="6"/>
  <c r="G1758" i="6"/>
  <c r="F1758" i="6"/>
  <c r="C1758" i="6"/>
  <c r="D1758" i="6" s="1"/>
  <c r="E1758" i="6" s="1"/>
  <c r="J1757" i="6"/>
  <c r="I1757" i="6"/>
  <c r="G1757" i="6"/>
  <c r="F1757" i="6"/>
  <c r="C1757" i="6"/>
  <c r="D1757" i="6" s="1"/>
  <c r="E1757" i="6" s="1"/>
  <c r="J1756" i="6"/>
  <c r="I1756" i="6"/>
  <c r="G1756" i="6"/>
  <c r="F1756" i="6"/>
  <c r="C1756" i="6"/>
  <c r="D1756" i="6" s="1"/>
  <c r="E1756" i="6" s="1"/>
  <c r="J1755" i="6"/>
  <c r="I1755" i="6"/>
  <c r="G1755" i="6"/>
  <c r="F1755" i="6"/>
  <c r="C1755" i="6"/>
  <c r="D1755" i="6" s="1"/>
  <c r="E1755" i="6" s="1"/>
  <c r="J1754" i="6"/>
  <c r="I1754" i="6"/>
  <c r="G1754" i="6"/>
  <c r="F1754" i="6"/>
  <c r="C1754" i="6"/>
  <c r="D1754" i="6" s="1"/>
  <c r="E1754" i="6" s="1"/>
  <c r="J1753" i="6"/>
  <c r="I1753" i="6"/>
  <c r="G1753" i="6"/>
  <c r="F1753" i="6"/>
  <c r="C1753" i="6"/>
  <c r="D1753" i="6" s="1"/>
  <c r="E1753" i="6" s="1"/>
  <c r="J1752" i="6"/>
  <c r="I1752" i="6"/>
  <c r="G1752" i="6"/>
  <c r="F1752" i="6"/>
  <c r="C1752" i="6"/>
  <c r="D1752" i="6" s="1"/>
  <c r="E1752" i="6" s="1"/>
  <c r="J1751" i="6"/>
  <c r="I1751" i="6"/>
  <c r="G1751" i="6"/>
  <c r="F1751" i="6"/>
  <c r="C1751" i="6"/>
  <c r="D1751" i="6" s="1"/>
  <c r="E1751" i="6" s="1"/>
  <c r="J1750" i="6"/>
  <c r="I1750" i="6"/>
  <c r="G1750" i="6"/>
  <c r="F1750" i="6"/>
  <c r="C1750" i="6"/>
  <c r="D1750" i="6" s="1"/>
  <c r="E1750" i="6" s="1"/>
  <c r="J1749" i="6"/>
  <c r="I1749" i="6"/>
  <c r="G1749" i="6"/>
  <c r="F1749" i="6"/>
  <c r="C1749" i="6"/>
  <c r="D1749" i="6" s="1"/>
  <c r="E1749" i="6" s="1"/>
  <c r="J1748" i="6"/>
  <c r="I1748" i="6"/>
  <c r="G1748" i="6"/>
  <c r="F1748" i="6"/>
  <c r="C1748" i="6"/>
  <c r="D1748" i="6" s="1"/>
  <c r="E1748" i="6" s="1"/>
  <c r="J1747" i="6"/>
  <c r="I1747" i="6"/>
  <c r="G1747" i="6"/>
  <c r="F1747" i="6"/>
  <c r="C1747" i="6"/>
  <c r="D1747" i="6" s="1"/>
  <c r="E1747" i="6" s="1"/>
  <c r="J1746" i="6"/>
  <c r="I1746" i="6"/>
  <c r="G1746" i="6"/>
  <c r="F1746" i="6"/>
  <c r="C1746" i="6"/>
  <c r="D1746" i="6" s="1"/>
  <c r="E1746" i="6" s="1"/>
  <c r="J1745" i="6"/>
  <c r="I1745" i="6"/>
  <c r="G1745" i="6"/>
  <c r="F1745" i="6"/>
  <c r="C1745" i="6"/>
  <c r="D1745" i="6" s="1"/>
  <c r="E1745" i="6" s="1"/>
  <c r="J1744" i="6"/>
  <c r="I1744" i="6"/>
  <c r="G1744" i="6"/>
  <c r="F1744" i="6"/>
  <c r="C1744" i="6"/>
  <c r="D1744" i="6" s="1"/>
  <c r="E1744" i="6" s="1"/>
  <c r="J1743" i="6"/>
  <c r="I1743" i="6"/>
  <c r="G1743" i="6"/>
  <c r="F1743" i="6"/>
  <c r="C1743" i="6"/>
  <c r="D1743" i="6" s="1"/>
  <c r="E1743" i="6" s="1"/>
  <c r="J1742" i="6"/>
  <c r="I1742" i="6"/>
  <c r="G1742" i="6"/>
  <c r="F1742" i="6"/>
  <c r="C1742" i="6"/>
  <c r="D1742" i="6" s="1"/>
  <c r="E1742" i="6" s="1"/>
  <c r="J1741" i="6"/>
  <c r="I1741" i="6"/>
  <c r="G1741" i="6"/>
  <c r="F1741" i="6"/>
  <c r="C1741" i="6"/>
  <c r="D1741" i="6" s="1"/>
  <c r="E1741" i="6" s="1"/>
  <c r="J1740" i="6"/>
  <c r="I1740" i="6"/>
  <c r="G1740" i="6"/>
  <c r="F1740" i="6"/>
  <c r="C1740" i="6"/>
  <c r="D1740" i="6" s="1"/>
  <c r="E1740" i="6" s="1"/>
  <c r="J1739" i="6"/>
  <c r="I1739" i="6"/>
  <c r="G1739" i="6"/>
  <c r="F1739" i="6"/>
  <c r="C1739" i="6"/>
  <c r="D1739" i="6" s="1"/>
  <c r="E1739" i="6" s="1"/>
  <c r="J1738" i="6"/>
  <c r="I1738" i="6"/>
  <c r="G1738" i="6"/>
  <c r="F1738" i="6"/>
  <c r="C1738" i="6"/>
  <c r="D1738" i="6" s="1"/>
  <c r="E1738" i="6" s="1"/>
  <c r="J1737" i="6"/>
  <c r="I1737" i="6"/>
  <c r="G1737" i="6"/>
  <c r="F1737" i="6"/>
  <c r="C1737" i="6"/>
  <c r="D1737" i="6" s="1"/>
  <c r="E1737" i="6" s="1"/>
  <c r="J1736" i="6"/>
  <c r="I1736" i="6"/>
  <c r="G1736" i="6"/>
  <c r="F1736" i="6"/>
  <c r="C1736" i="6"/>
  <c r="D1736" i="6" s="1"/>
  <c r="E1736" i="6" s="1"/>
  <c r="J1735" i="6"/>
  <c r="I1735" i="6"/>
  <c r="G1735" i="6"/>
  <c r="F1735" i="6"/>
  <c r="C1735" i="6"/>
  <c r="D1735" i="6" s="1"/>
  <c r="E1735" i="6" s="1"/>
  <c r="J1734" i="6"/>
  <c r="I1734" i="6"/>
  <c r="G1734" i="6"/>
  <c r="F1734" i="6"/>
  <c r="C1734" i="6"/>
  <c r="D1734" i="6" s="1"/>
  <c r="E1734" i="6" s="1"/>
  <c r="J1733" i="6"/>
  <c r="I1733" i="6"/>
  <c r="G1733" i="6"/>
  <c r="F1733" i="6"/>
  <c r="C1733" i="6"/>
  <c r="D1733" i="6" s="1"/>
  <c r="E1733" i="6" s="1"/>
  <c r="J1732" i="6"/>
  <c r="I1732" i="6"/>
  <c r="G1732" i="6"/>
  <c r="F1732" i="6"/>
  <c r="C1732" i="6"/>
  <c r="D1732" i="6" s="1"/>
  <c r="E1732" i="6" s="1"/>
  <c r="J1731" i="6"/>
  <c r="I1731" i="6"/>
  <c r="G1731" i="6"/>
  <c r="F1731" i="6"/>
  <c r="C1731" i="6"/>
  <c r="D1731" i="6" s="1"/>
  <c r="E1731" i="6" s="1"/>
  <c r="J1730" i="6"/>
  <c r="I1730" i="6"/>
  <c r="G1730" i="6"/>
  <c r="F1730" i="6"/>
  <c r="C1730" i="6"/>
  <c r="D1730" i="6" s="1"/>
  <c r="E1730" i="6" s="1"/>
  <c r="J1729" i="6"/>
  <c r="I1729" i="6"/>
  <c r="G1729" i="6"/>
  <c r="F1729" i="6"/>
  <c r="C1729" i="6"/>
  <c r="D1729" i="6" s="1"/>
  <c r="E1729" i="6" s="1"/>
  <c r="J1728" i="6"/>
  <c r="I1728" i="6"/>
  <c r="G1728" i="6"/>
  <c r="F1728" i="6"/>
  <c r="C1728" i="6"/>
  <c r="D1728" i="6" s="1"/>
  <c r="E1728" i="6" s="1"/>
  <c r="J1727" i="6"/>
  <c r="I1727" i="6"/>
  <c r="G1727" i="6"/>
  <c r="F1727" i="6"/>
  <c r="C1727" i="6"/>
  <c r="D1727" i="6" s="1"/>
  <c r="E1727" i="6" s="1"/>
  <c r="J1726" i="6"/>
  <c r="I1726" i="6"/>
  <c r="G1726" i="6"/>
  <c r="F1726" i="6"/>
  <c r="C1726" i="6"/>
  <c r="D1726" i="6" s="1"/>
  <c r="E1726" i="6" s="1"/>
  <c r="J1725" i="6"/>
  <c r="I1725" i="6"/>
  <c r="G1725" i="6"/>
  <c r="F1725" i="6"/>
  <c r="C1725" i="6"/>
  <c r="D1725" i="6" s="1"/>
  <c r="E1725" i="6" s="1"/>
  <c r="J1724" i="6"/>
  <c r="I1724" i="6"/>
  <c r="G1724" i="6"/>
  <c r="F1724" i="6"/>
  <c r="C1724" i="6"/>
  <c r="D1724" i="6" s="1"/>
  <c r="E1724" i="6" s="1"/>
  <c r="J1723" i="6"/>
  <c r="I1723" i="6"/>
  <c r="G1723" i="6"/>
  <c r="F1723" i="6"/>
  <c r="C1723" i="6"/>
  <c r="D1723" i="6" s="1"/>
  <c r="E1723" i="6" s="1"/>
  <c r="J1722" i="6"/>
  <c r="I1722" i="6"/>
  <c r="G1722" i="6"/>
  <c r="F1722" i="6"/>
  <c r="C1722" i="6"/>
  <c r="D1722" i="6" s="1"/>
  <c r="E1722" i="6" s="1"/>
  <c r="J1721" i="6"/>
  <c r="I1721" i="6"/>
  <c r="G1721" i="6"/>
  <c r="F1721" i="6"/>
  <c r="C1721" i="6"/>
  <c r="D1721" i="6" s="1"/>
  <c r="E1721" i="6" s="1"/>
  <c r="J1720" i="6"/>
  <c r="I1720" i="6"/>
  <c r="G1720" i="6"/>
  <c r="F1720" i="6"/>
  <c r="C1720" i="6"/>
  <c r="D1720" i="6" s="1"/>
  <c r="E1720" i="6" s="1"/>
  <c r="J1719" i="6"/>
  <c r="I1719" i="6"/>
  <c r="G1719" i="6"/>
  <c r="F1719" i="6"/>
  <c r="C1719" i="6"/>
  <c r="D1719" i="6" s="1"/>
  <c r="E1719" i="6" s="1"/>
  <c r="J1718" i="6"/>
  <c r="I1718" i="6"/>
  <c r="G1718" i="6"/>
  <c r="F1718" i="6"/>
  <c r="C1718" i="6"/>
  <c r="D1718" i="6" s="1"/>
  <c r="E1718" i="6" s="1"/>
  <c r="J1717" i="6"/>
  <c r="I1717" i="6"/>
  <c r="G1717" i="6"/>
  <c r="F1717" i="6"/>
  <c r="C1717" i="6"/>
  <c r="D1717" i="6" s="1"/>
  <c r="E1717" i="6" s="1"/>
  <c r="J1716" i="6"/>
  <c r="I1716" i="6"/>
  <c r="G1716" i="6"/>
  <c r="F1716" i="6"/>
  <c r="C1716" i="6"/>
  <c r="D1716" i="6" s="1"/>
  <c r="E1716" i="6" s="1"/>
  <c r="J1715" i="6"/>
  <c r="I1715" i="6"/>
  <c r="G1715" i="6"/>
  <c r="F1715" i="6"/>
  <c r="C1715" i="6"/>
  <c r="D1715" i="6" s="1"/>
  <c r="E1715" i="6" s="1"/>
  <c r="J1714" i="6"/>
  <c r="I1714" i="6"/>
  <c r="G1714" i="6"/>
  <c r="F1714" i="6"/>
  <c r="C1714" i="6"/>
  <c r="D1714" i="6" s="1"/>
  <c r="E1714" i="6" s="1"/>
  <c r="J1713" i="6"/>
  <c r="I1713" i="6"/>
  <c r="G1713" i="6"/>
  <c r="F1713" i="6"/>
  <c r="C1713" i="6"/>
  <c r="D1713" i="6" s="1"/>
  <c r="E1713" i="6" s="1"/>
  <c r="J1712" i="6"/>
  <c r="I1712" i="6"/>
  <c r="G1712" i="6"/>
  <c r="F1712" i="6"/>
  <c r="C1712" i="6"/>
  <c r="D1712" i="6" s="1"/>
  <c r="E1712" i="6" s="1"/>
  <c r="J1711" i="6"/>
  <c r="I1711" i="6"/>
  <c r="G1711" i="6"/>
  <c r="F1711" i="6"/>
  <c r="C1711" i="6"/>
  <c r="D1711" i="6" s="1"/>
  <c r="E1711" i="6" s="1"/>
  <c r="J1710" i="6"/>
  <c r="I1710" i="6"/>
  <c r="G1710" i="6"/>
  <c r="F1710" i="6"/>
  <c r="C1710" i="6"/>
  <c r="D1710" i="6" s="1"/>
  <c r="E1710" i="6" s="1"/>
  <c r="J1709" i="6"/>
  <c r="I1709" i="6"/>
  <c r="G1709" i="6"/>
  <c r="F1709" i="6"/>
  <c r="C1709" i="6"/>
  <c r="D1709" i="6" s="1"/>
  <c r="E1709" i="6" s="1"/>
  <c r="J1708" i="6"/>
  <c r="I1708" i="6"/>
  <c r="G1708" i="6"/>
  <c r="F1708" i="6"/>
  <c r="C1708" i="6"/>
  <c r="D1708" i="6" s="1"/>
  <c r="E1708" i="6" s="1"/>
  <c r="J1707" i="6"/>
  <c r="I1707" i="6"/>
  <c r="G1707" i="6"/>
  <c r="F1707" i="6"/>
  <c r="C1707" i="6"/>
  <c r="D1707" i="6" s="1"/>
  <c r="E1707" i="6" s="1"/>
  <c r="J1706" i="6"/>
  <c r="I1706" i="6"/>
  <c r="G1706" i="6"/>
  <c r="F1706" i="6"/>
  <c r="C1706" i="6"/>
  <c r="D1706" i="6" s="1"/>
  <c r="E1706" i="6" s="1"/>
  <c r="J1705" i="6"/>
  <c r="I1705" i="6"/>
  <c r="G1705" i="6"/>
  <c r="F1705" i="6"/>
  <c r="C1705" i="6"/>
  <c r="D1705" i="6" s="1"/>
  <c r="E1705" i="6" s="1"/>
  <c r="J1704" i="6"/>
  <c r="I1704" i="6"/>
  <c r="G1704" i="6"/>
  <c r="F1704" i="6"/>
  <c r="C1704" i="6"/>
  <c r="D1704" i="6" s="1"/>
  <c r="E1704" i="6" s="1"/>
  <c r="J1703" i="6"/>
  <c r="I1703" i="6"/>
  <c r="G1703" i="6"/>
  <c r="F1703" i="6"/>
  <c r="C1703" i="6"/>
  <c r="D1703" i="6" s="1"/>
  <c r="E1703" i="6" s="1"/>
  <c r="J1702" i="6"/>
  <c r="I1702" i="6"/>
  <c r="G1702" i="6"/>
  <c r="F1702" i="6"/>
  <c r="C1702" i="6"/>
  <c r="D1702" i="6" s="1"/>
  <c r="E1702" i="6" s="1"/>
  <c r="J1701" i="6"/>
  <c r="I1701" i="6"/>
  <c r="G1701" i="6"/>
  <c r="F1701" i="6"/>
  <c r="C1701" i="6"/>
  <c r="D1701" i="6" s="1"/>
  <c r="E1701" i="6" s="1"/>
  <c r="J1700" i="6"/>
  <c r="I1700" i="6"/>
  <c r="G1700" i="6"/>
  <c r="F1700" i="6"/>
  <c r="C1700" i="6"/>
  <c r="D1700" i="6" s="1"/>
  <c r="E1700" i="6" s="1"/>
  <c r="J1699" i="6"/>
  <c r="I1699" i="6"/>
  <c r="G1699" i="6"/>
  <c r="F1699" i="6"/>
  <c r="C1699" i="6"/>
  <c r="D1699" i="6" s="1"/>
  <c r="E1699" i="6" s="1"/>
  <c r="J1698" i="6"/>
  <c r="I1698" i="6"/>
  <c r="G1698" i="6"/>
  <c r="F1698" i="6"/>
  <c r="C1698" i="6"/>
  <c r="D1698" i="6" s="1"/>
  <c r="E1698" i="6" s="1"/>
  <c r="J1697" i="6"/>
  <c r="I1697" i="6"/>
  <c r="G1697" i="6"/>
  <c r="F1697" i="6"/>
  <c r="C1697" i="6"/>
  <c r="D1697" i="6" s="1"/>
  <c r="E1697" i="6" s="1"/>
  <c r="J1696" i="6"/>
  <c r="I1696" i="6"/>
  <c r="G1696" i="6"/>
  <c r="F1696" i="6"/>
  <c r="C1696" i="6"/>
  <c r="D1696" i="6" s="1"/>
  <c r="E1696" i="6" s="1"/>
  <c r="J1695" i="6"/>
  <c r="I1695" i="6"/>
  <c r="G1695" i="6"/>
  <c r="F1695" i="6"/>
  <c r="C1695" i="6"/>
  <c r="D1695" i="6" s="1"/>
  <c r="E1695" i="6" s="1"/>
  <c r="J1694" i="6"/>
  <c r="I1694" i="6"/>
  <c r="G1694" i="6"/>
  <c r="F1694" i="6"/>
  <c r="C1694" i="6"/>
  <c r="D1694" i="6" s="1"/>
  <c r="E1694" i="6" s="1"/>
  <c r="J1693" i="6"/>
  <c r="I1693" i="6"/>
  <c r="G1693" i="6"/>
  <c r="F1693" i="6"/>
  <c r="C1693" i="6"/>
  <c r="D1693" i="6" s="1"/>
  <c r="E1693" i="6" s="1"/>
  <c r="J1692" i="6"/>
  <c r="I1692" i="6"/>
  <c r="G1692" i="6"/>
  <c r="F1692" i="6"/>
  <c r="C1692" i="6"/>
  <c r="D1692" i="6" s="1"/>
  <c r="E1692" i="6" s="1"/>
  <c r="J1691" i="6"/>
  <c r="I1691" i="6"/>
  <c r="G1691" i="6"/>
  <c r="F1691" i="6"/>
  <c r="C1691" i="6"/>
  <c r="D1691" i="6" s="1"/>
  <c r="E1691" i="6" s="1"/>
  <c r="J1690" i="6"/>
  <c r="I1690" i="6"/>
  <c r="G1690" i="6"/>
  <c r="F1690" i="6"/>
  <c r="C1690" i="6"/>
  <c r="D1690" i="6" s="1"/>
  <c r="E1690" i="6" s="1"/>
  <c r="J1689" i="6"/>
  <c r="I1689" i="6"/>
  <c r="G1689" i="6"/>
  <c r="F1689" i="6"/>
  <c r="C1689" i="6"/>
  <c r="D1689" i="6" s="1"/>
  <c r="E1689" i="6" s="1"/>
  <c r="J1688" i="6"/>
  <c r="I1688" i="6"/>
  <c r="G1688" i="6"/>
  <c r="F1688" i="6"/>
  <c r="C1688" i="6"/>
  <c r="D1688" i="6" s="1"/>
  <c r="E1688" i="6" s="1"/>
  <c r="J1687" i="6"/>
  <c r="I1687" i="6"/>
  <c r="G1687" i="6"/>
  <c r="F1687" i="6"/>
  <c r="C1687" i="6"/>
  <c r="D1687" i="6" s="1"/>
  <c r="E1687" i="6" s="1"/>
  <c r="J1686" i="6"/>
  <c r="I1686" i="6"/>
  <c r="G1686" i="6"/>
  <c r="F1686" i="6"/>
  <c r="C1686" i="6"/>
  <c r="D1686" i="6" s="1"/>
  <c r="E1686" i="6" s="1"/>
  <c r="J1685" i="6"/>
  <c r="I1685" i="6"/>
  <c r="G1685" i="6"/>
  <c r="F1685" i="6"/>
  <c r="C1685" i="6"/>
  <c r="D1685" i="6" s="1"/>
  <c r="E1685" i="6" s="1"/>
  <c r="J1684" i="6"/>
  <c r="I1684" i="6"/>
  <c r="G1684" i="6"/>
  <c r="F1684" i="6"/>
  <c r="C1684" i="6"/>
  <c r="D1684" i="6" s="1"/>
  <c r="E1684" i="6" s="1"/>
  <c r="J1683" i="6"/>
  <c r="I1683" i="6"/>
  <c r="G1683" i="6"/>
  <c r="F1683" i="6"/>
  <c r="C1683" i="6"/>
  <c r="D1683" i="6" s="1"/>
  <c r="E1683" i="6" s="1"/>
  <c r="J1682" i="6"/>
  <c r="I1682" i="6"/>
  <c r="G1682" i="6"/>
  <c r="F1682" i="6"/>
  <c r="C1682" i="6"/>
  <c r="D1682" i="6" s="1"/>
  <c r="E1682" i="6" s="1"/>
  <c r="J1681" i="6"/>
  <c r="I1681" i="6"/>
  <c r="G1681" i="6"/>
  <c r="F1681" i="6"/>
  <c r="C1681" i="6"/>
  <c r="D1681" i="6" s="1"/>
  <c r="E1681" i="6" s="1"/>
  <c r="J1680" i="6"/>
  <c r="I1680" i="6"/>
  <c r="G1680" i="6"/>
  <c r="F1680" i="6"/>
  <c r="C1680" i="6"/>
  <c r="D1680" i="6" s="1"/>
  <c r="E1680" i="6" s="1"/>
  <c r="J1679" i="6"/>
  <c r="I1679" i="6"/>
  <c r="G1679" i="6"/>
  <c r="F1679" i="6"/>
  <c r="C1679" i="6"/>
  <c r="D1679" i="6" s="1"/>
  <c r="E1679" i="6" s="1"/>
  <c r="J1678" i="6"/>
  <c r="I1678" i="6"/>
  <c r="G1678" i="6"/>
  <c r="F1678" i="6"/>
  <c r="C1678" i="6"/>
  <c r="D1678" i="6" s="1"/>
  <c r="E1678" i="6" s="1"/>
  <c r="J1677" i="6"/>
  <c r="I1677" i="6"/>
  <c r="G1677" i="6"/>
  <c r="F1677" i="6"/>
  <c r="C1677" i="6"/>
  <c r="D1677" i="6" s="1"/>
  <c r="E1677" i="6" s="1"/>
  <c r="J1676" i="6"/>
  <c r="I1676" i="6"/>
  <c r="G1676" i="6"/>
  <c r="F1676" i="6"/>
  <c r="C1676" i="6"/>
  <c r="D1676" i="6" s="1"/>
  <c r="E1676" i="6" s="1"/>
  <c r="J1675" i="6"/>
  <c r="I1675" i="6"/>
  <c r="G1675" i="6"/>
  <c r="F1675" i="6"/>
  <c r="C1675" i="6"/>
  <c r="D1675" i="6" s="1"/>
  <c r="E1675" i="6" s="1"/>
  <c r="J1674" i="6"/>
  <c r="I1674" i="6"/>
  <c r="G1674" i="6"/>
  <c r="F1674" i="6"/>
  <c r="C1674" i="6"/>
  <c r="D1674" i="6" s="1"/>
  <c r="E1674" i="6" s="1"/>
  <c r="J1673" i="6"/>
  <c r="I1673" i="6"/>
  <c r="G1673" i="6"/>
  <c r="F1673" i="6"/>
  <c r="C1673" i="6"/>
  <c r="D1673" i="6" s="1"/>
  <c r="E1673" i="6" s="1"/>
  <c r="J1672" i="6"/>
  <c r="I1672" i="6"/>
  <c r="G1672" i="6"/>
  <c r="F1672" i="6"/>
  <c r="C1672" i="6"/>
  <c r="D1672" i="6" s="1"/>
  <c r="E1672" i="6" s="1"/>
  <c r="J1671" i="6"/>
  <c r="I1671" i="6"/>
  <c r="G1671" i="6"/>
  <c r="F1671" i="6"/>
  <c r="C1671" i="6"/>
  <c r="D1671" i="6" s="1"/>
  <c r="E1671" i="6" s="1"/>
  <c r="J1670" i="6"/>
  <c r="I1670" i="6"/>
  <c r="G1670" i="6"/>
  <c r="F1670" i="6"/>
  <c r="C1670" i="6"/>
  <c r="D1670" i="6" s="1"/>
  <c r="E1670" i="6" s="1"/>
  <c r="J1669" i="6"/>
  <c r="I1669" i="6"/>
  <c r="G1669" i="6"/>
  <c r="F1669" i="6"/>
  <c r="C1669" i="6"/>
  <c r="D1669" i="6" s="1"/>
  <c r="E1669" i="6" s="1"/>
  <c r="J1668" i="6"/>
  <c r="I1668" i="6"/>
  <c r="G1668" i="6"/>
  <c r="F1668" i="6"/>
  <c r="C1668" i="6"/>
  <c r="D1668" i="6" s="1"/>
  <c r="E1668" i="6" s="1"/>
  <c r="J1667" i="6"/>
  <c r="I1667" i="6"/>
  <c r="G1667" i="6"/>
  <c r="F1667" i="6"/>
  <c r="C1667" i="6"/>
  <c r="D1667" i="6" s="1"/>
  <c r="E1667" i="6" s="1"/>
  <c r="J1666" i="6"/>
  <c r="I1666" i="6"/>
  <c r="G1666" i="6"/>
  <c r="F1666" i="6"/>
  <c r="C1666" i="6"/>
  <c r="D1666" i="6" s="1"/>
  <c r="E1666" i="6" s="1"/>
  <c r="J1665" i="6"/>
  <c r="I1665" i="6"/>
  <c r="G1665" i="6"/>
  <c r="F1665" i="6"/>
  <c r="C1665" i="6"/>
  <c r="D1665" i="6" s="1"/>
  <c r="E1665" i="6" s="1"/>
  <c r="J1664" i="6"/>
  <c r="I1664" i="6"/>
  <c r="G1664" i="6"/>
  <c r="F1664" i="6"/>
  <c r="C1664" i="6"/>
  <c r="D1664" i="6" s="1"/>
  <c r="E1664" i="6" s="1"/>
  <c r="J1663" i="6"/>
  <c r="I1663" i="6"/>
  <c r="G1663" i="6"/>
  <c r="F1663" i="6"/>
  <c r="C1663" i="6"/>
  <c r="D1663" i="6" s="1"/>
  <c r="E1663" i="6" s="1"/>
  <c r="J1662" i="6"/>
  <c r="I1662" i="6"/>
  <c r="G1662" i="6"/>
  <c r="F1662" i="6"/>
  <c r="C1662" i="6"/>
  <c r="D1662" i="6" s="1"/>
  <c r="E1662" i="6" s="1"/>
  <c r="J1661" i="6"/>
  <c r="I1661" i="6"/>
  <c r="G1661" i="6"/>
  <c r="F1661" i="6"/>
  <c r="C1661" i="6"/>
  <c r="D1661" i="6" s="1"/>
  <c r="E1661" i="6" s="1"/>
  <c r="J1660" i="6"/>
  <c r="I1660" i="6"/>
  <c r="G1660" i="6"/>
  <c r="F1660" i="6"/>
  <c r="C1660" i="6"/>
  <c r="D1660" i="6" s="1"/>
  <c r="E1660" i="6" s="1"/>
  <c r="J1659" i="6"/>
  <c r="I1659" i="6"/>
  <c r="G1659" i="6"/>
  <c r="F1659" i="6"/>
  <c r="C1659" i="6"/>
  <c r="D1659" i="6" s="1"/>
  <c r="E1659" i="6" s="1"/>
  <c r="J1658" i="6"/>
  <c r="I1658" i="6"/>
  <c r="G1658" i="6"/>
  <c r="F1658" i="6"/>
  <c r="C1658" i="6"/>
  <c r="D1658" i="6" s="1"/>
  <c r="E1658" i="6" s="1"/>
  <c r="J1657" i="6"/>
  <c r="I1657" i="6"/>
  <c r="G1657" i="6"/>
  <c r="F1657" i="6"/>
  <c r="C1657" i="6"/>
  <c r="D1657" i="6" s="1"/>
  <c r="E1657" i="6" s="1"/>
  <c r="J1656" i="6"/>
  <c r="I1656" i="6"/>
  <c r="G1656" i="6"/>
  <c r="F1656" i="6"/>
  <c r="C1656" i="6"/>
  <c r="D1656" i="6" s="1"/>
  <c r="E1656" i="6" s="1"/>
  <c r="J1655" i="6"/>
  <c r="I1655" i="6"/>
  <c r="G1655" i="6"/>
  <c r="F1655" i="6"/>
  <c r="C1655" i="6"/>
  <c r="D1655" i="6" s="1"/>
  <c r="E1655" i="6" s="1"/>
  <c r="J1654" i="6"/>
  <c r="I1654" i="6"/>
  <c r="G1654" i="6"/>
  <c r="F1654" i="6"/>
  <c r="C1654" i="6"/>
  <c r="D1654" i="6" s="1"/>
  <c r="E1654" i="6" s="1"/>
  <c r="J1653" i="6"/>
  <c r="I1653" i="6"/>
  <c r="G1653" i="6"/>
  <c r="F1653" i="6"/>
  <c r="C1653" i="6"/>
  <c r="D1653" i="6" s="1"/>
  <c r="E1653" i="6" s="1"/>
  <c r="J1652" i="6"/>
  <c r="I1652" i="6"/>
  <c r="G1652" i="6"/>
  <c r="F1652" i="6"/>
  <c r="C1652" i="6"/>
  <c r="D1652" i="6" s="1"/>
  <c r="E1652" i="6" s="1"/>
  <c r="J1651" i="6"/>
  <c r="I1651" i="6"/>
  <c r="G1651" i="6"/>
  <c r="F1651" i="6"/>
  <c r="C1651" i="6"/>
  <c r="D1651" i="6" s="1"/>
  <c r="E1651" i="6" s="1"/>
  <c r="J1650" i="6"/>
  <c r="I1650" i="6"/>
  <c r="G1650" i="6"/>
  <c r="F1650" i="6"/>
  <c r="C1650" i="6"/>
  <c r="D1650" i="6" s="1"/>
  <c r="E1650" i="6" s="1"/>
  <c r="J1649" i="6"/>
  <c r="I1649" i="6"/>
  <c r="G1649" i="6"/>
  <c r="F1649" i="6"/>
  <c r="C1649" i="6"/>
  <c r="D1649" i="6" s="1"/>
  <c r="E1649" i="6" s="1"/>
  <c r="J1648" i="6"/>
  <c r="I1648" i="6"/>
  <c r="G1648" i="6"/>
  <c r="F1648" i="6"/>
  <c r="C1648" i="6"/>
  <c r="D1648" i="6" s="1"/>
  <c r="E1648" i="6" s="1"/>
  <c r="J1647" i="6"/>
  <c r="I1647" i="6"/>
  <c r="G1647" i="6"/>
  <c r="F1647" i="6"/>
  <c r="C1647" i="6"/>
  <c r="D1647" i="6" s="1"/>
  <c r="E1647" i="6" s="1"/>
  <c r="J1646" i="6"/>
  <c r="I1646" i="6"/>
  <c r="G1646" i="6"/>
  <c r="F1646" i="6"/>
  <c r="C1646" i="6"/>
  <c r="D1646" i="6" s="1"/>
  <c r="E1646" i="6" s="1"/>
  <c r="J1645" i="6"/>
  <c r="I1645" i="6"/>
  <c r="G1645" i="6"/>
  <c r="F1645" i="6"/>
  <c r="C1645" i="6"/>
  <c r="D1645" i="6" s="1"/>
  <c r="E1645" i="6" s="1"/>
  <c r="J1644" i="6"/>
  <c r="I1644" i="6"/>
  <c r="G1644" i="6"/>
  <c r="F1644" i="6"/>
  <c r="C1644" i="6"/>
  <c r="D1644" i="6" s="1"/>
  <c r="E1644" i="6" s="1"/>
  <c r="J1643" i="6"/>
  <c r="I1643" i="6"/>
  <c r="G1643" i="6"/>
  <c r="F1643" i="6"/>
  <c r="C1643" i="6"/>
  <c r="D1643" i="6" s="1"/>
  <c r="E1643" i="6" s="1"/>
  <c r="J1642" i="6"/>
  <c r="I1642" i="6"/>
  <c r="G1642" i="6"/>
  <c r="F1642" i="6"/>
  <c r="C1642" i="6"/>
  <c r="D1642" i="6" s="1"/>
  <c r="E1642" i="6" s="1"/>
  <c r="J1641" i="6"/>
  <c r="I1641" i="6"/>
  <c r="G1641" i="6"/>
  <c r="F1641" i="6"/>
  <c r="C1641" i="6"/>
  <c r="D1641" i="6" s="1"/>
  <c r="E1641" i="6" s="1"/>
  <c r="J1640" i="6"/>
  <c r="I1640" i="6"/>
  <c r="G1640" i="6"/>
  <c r="F1640" i="6"/>
  <c r="C1640" i="6"/>
  <c r="D1640" i="6" s="1"/>
  <c r="E1640" i="6" s="1"/>
  <c r="J1639" i="6"/>
  <c r="I1639" i="6"/>
  <c r="G1639" i="6"/>
  <c r="F1639" i="6"/>
  <c r="C1639" i="6"/>
  <c r="D1639" i="6" s="1"/>
  <c r="E1639" i="6" s="1"/>
  <c r="J1638" i="6"/>
  <c r="I1638" i="6"/>
  <c r="G1638" i="6"/>
  <c r="F1638" i="6"/>
  <c r="C1638" i="6"/>
  <c r="D1638" i="6" s="1"/>
  <c r="E1638" i="6" s="1"/>
  <c r="J1637" i="6"/>
  <c r="I1637" i="6"/>
  <c r="G1637" i="6"/>
  <c r="F1637" i="6"/>
  <c r="C1637" i="6"/>
  <c r="D1637" i="6" s="1"/>
  <c r="E1637" i="6" s="1"/>
  <c r="J1636" i="6"/>
  <c r="I1636" i="6"/>
  <c r="G1636" i="6"/>
  <c r="F1636" i="6"/>
  <c r="C1636" i="6"/>
  <c r="D1636" i="6" s="1"/>
  <c r="E1636" i="6" s="1"/>
  <c r="J1635" i="6"/>
  <c r="I1635" i="6"/>
  <c r="G1635" i="6"/>
  <c r="F1635" i="6"/>
  <c r="C1635" i="6"/>
  <c r="D1635" i="6" s="1"/>
  <c r="E1635" i="6" s="1"/>
  <c r="J1634" i="6"/>
  <c r="I1634" i="6"/>
  <c r="G1634" i="6"/>
  <c r="F1634" i="6"/>
  <c r="C1634" i="6"/>
  <c r="D1634" i="6" s="1"/>
  <c r="E1634" i="6" s="1"/>
  <c r="J1633" i="6"/>
  <c r="I1633" i="6"/>
  <c r="G1633" i="6"/>
  <c r="F1633" i="6"/>
  <c r="C1633" i="6"/>
  <c r="D1633" i="6" s="1"/>
  <c r="E1633" i="6" s="1"/>
  <c r="J1632" i="6"/>
  <c r="I1632" i="6"/>
  <c r="G1632" i="6"/>
  <c r="F1632" i="6"/>
  <c r="C1632" i="6"/>
  <c r="D1632" i="6" s="1"/>
  <c r="E1632" i="6" s="1"/>
  <c r="J1631" i="6"/>
  <c r="I1631" i="6"/>
  <c r="G1631" i="6"/>
  <c r="F1631" i="6"/>
  <c r="C1631" i="6"/>
  <c r="D1631" i="6" s="1"/>
  <c r="E1631" i="6" s="1"/>
  <c r="J1630" i="6"/>
  <c r="I1630" i="6"/>
  <c r="G1630" i="6"/>
  <c r="F1630" i="6"/>
  <c r="C1630" i="6"/>
  <c r="D1630" i="6" s="1"/>
  <c r="E1630" i="6" s="1"/>
  <c r="J1629" i="6"/>
  <c r="I1629" i="6"/>
  <c r="G1629" i="6"/>
  <c r="F1629" i="6"/>
  <c r="C1629" i="6"/>
  <c r="D1629" i="6" s="1"/>
  <c r="E1629" i="6" s="1"/>
  <c r="J1628" i="6"/>
  <c r="I1628" i="6"/>
  <c r="G1628" i="6"/>
  <c r="F1628" i="6"/>
  <c r="C1628" i="6"/>
  <c r="D1628" i="6" s="1"/>
  <c r="E1628" i="6" s="1"/>
  <c r="J1627" i="6"/>
  <c r="I1627" i="6"/>
  <c r="G1627" i="6"/>
  <c r="F1627" i="6"/>
  <c r="C1627" i="6"/>
  <c r="D1627" i="6" s="1"/>
  <c r="E1627" i="6" s="1"/>
  <c r="J1626" i="6"/>
  <c r="I1626" i="6"/>
  <c r="G1626" i="6"/>
  <c r="F1626" i="6"/>
  <c r="C1626" i="6"/>
  <c r="D1626" i="6" s="1"/>
  <c r="E1626" i="6" s="1"/>
  <c r="J1625" i="6"/>
  <c r="I1625" i="6"/>
  <c r="G1625" i="6"/>
  <c r="F1625" i="6"/>
  <c r="C1625" i="6"/>
  <c r="D1625" i="6" s="1"/>
  <c r="E1625" i="6" s="1"/>
  <c r="J1624" i="6"/>
  <c r="I1624" i="6"/>
  <c r="G1624" i="6"/>
  <c r="F1624" i="6"/>
  <c r="C1624" i="6"/>
  <c r="D1624" i="6" s="1"/>
  <c r="E1624" i="6" s="1"/>
  <c r="J1623" i="6"/>
  <c r="I1623" i="6"/>
  <c r="G1623" i="6"/>
  <c r="F1623" i="6"/>
  <c r="C1623" i="6"/>
  <c r="D1623" i="6" s="1"/>
  <c r="E1623" i="6" s="1"/>
  <c r="J1622" i="6"/>
  <c r="I1622" i="6"/>
  <c r="G1622" i="6"/>
  <c r="F1622" i="6"/>
  <c r="C1622" i="6"/>
  <c r="D1622" i="6" s="1"/>
  <c r="E1622" i="6" s="1"/>
  <c r="J1621" i="6"/>
  <c r="I1621" i="6"/>
  <c r="G1621" i="6"/>
  <c r="F1621" i="6"/>
  <c r="C1621" i="6"/>
  <c r="D1621" i="6" s="1"/>
  <c r="E1621" i="6" s="1"/>
  <c r="J1620" i="6"/>
  <c r="I1620" i="6"/>
  <c r="G1620" i="6"/>
  <c r="F1620" i="6"/>
  <c r="C1620" i="6"/>
  <c r="D1620" i="6" s="1"/>
  <c r="E1620" i="6" s="1"/>
  <c r="J1619" i="6"/>
  <c r="I1619" i="6"/>
  <c r="G1619" i="6"/>
  <c r="F1619" i="6"/>
  <c r="C1619" i="6"/>
  <c r="D1619" i="6" s="1"/>
  <c r="E1619" i="6" s="1"/>
  <c r="J1618" i="6"/>
  <c r="I1618" i="6"/>
  <c r="G1618" i="6"/>
  <c r="F1618" i="6"/>
  <c r="C1618" i="6"/>
  <c r="D1618" i="6" s="1"/>
  <c r="E1618" i="6" s="1"/>
  <c r="J1617" i="6"/>
  <c r="I1617" i="6"/>
  <c r="G1617" i="6"/>
  <c r="F1617" i="6"/>
  <c r="C1617" i="6"/>
  <c r="D1617" i="6" s="1"/>
  <c r="E1617" i="6" s="1"/>
  <c r="J1616" i="6"/>
  <c r="I1616" i="6"/>
  <c r="G1616" i="6"/>
  <c r="F1616" i="6"/>
  <c r="C1616" i="6"/>
  <c r="D1616" i="6" s="1"/>
  <c r="E1616" i="6" s="1"/>
  <c r="J1615" i="6"/>
  <c r="I1615" i="6"/>
  <c r="G1615" i="6"/>
  <c r="F1615" i="6"/>
  <c r="C1615" i="6"/>
  <c r="D1615" i="6" s="1"/>
  <c r="E1615" i="6" s="1"/>
  <c r="J1614" i="6"/>
  <c r="I1614" i="6"/>
  <c r="G1614" i="6"/>
  <c r="F1614" i="6"/>
  <c r="C1614" i="6"/>
  <c r="D1614" i="6" s="1"/>
  <c r="E1614" i="6" s="1"/>
  <c r="J1613" i="6"/>
  <c r="I1613" i="6"/>
  <c r="G1613" i="6"/>
  <c r="F1613" i="6"/>
  <c r="C1613" i="6"/>
  <c r="D1613" i="6" s="1"/>
  <c r="E1613" i="6" s="1"/>
  <c r="J1612" i="6"/>
  <c r="I1612" i="6"/>
  <c r="G1612" i="6"/>
  <c r="F1612" i="6"/>
  <c r="C1612" i="6"/>
  <c r="D1612" i="6" s="1"/>
  <c r="E1612" i="6" s="1"/>
  <c r="J1611" i="6"/>
  <c r="I1611" i="6"/>
  <c r="G1611" i="6"/>
  <c r="F1611" i="6"/>
  <c r="C1611" i="6"/>
  <c r="D1611" i="6" s="1"/>
  <c r="E1611" i="6" s="1"/>
  <c r="J1610" i="6"/>
  <c r="I1610" i="6"/>
  <c r="G1610" i="6"/>
  <c r="F1610" i="6"/>
  <c r="C1610" i="6"/>
  <c r="D1610" i="6" s="1"/>
  <c r="E1610" i="6" s="1"/>
  <c r="J1609" i="6"/>
  <c r="I1609" i="6"/>
  <c r="G1609" i="6"/>
  <c r="F1609" i="6"/>
  <c r="C1609" i="6"/>
  <c r="D1609" i="6" s="1"/>
  <c r="E1609" i="6" s="1"/>
  <c r="J1608" i="6"/>
  <c r="I1608" i="6"/>
  <c r="G1608" i="6"/>
  <c r="F1608" i="6"/>
  <c r="C1608" i="6"/>
  <c r="D1608" i="6" s="1"/>
  <c r="E1608" i="6" s="1"/>
  <c r="J1607" i="6"/>
  <c r="I1607" i="6"/>
  <c r="G1607" i="6"/>
  <c r="F1607" i="6"/>
  <c r="C1607" i="6"/>
  <c r="D1607" i="6" s="1"/>
  <c r="E1607" i="6" s="1"/>
  <c r="J1606" i="6"/>
  <c r="I1606" i="6"/>
  <c r="G1606" i="6"/>
  <c r="F1606" i="6"/>
  <c r="C1606" i="6"/>
  <c r="D1606" i="6" s="1"/>
  <c r="E1606" i="6" s="1"/>
  <c r="J1605" i="6"/>
  <c r="I1605" i="6"/>
  <c r="G1605" i="6"/>
  <c r="F1605" i="6"/>
  <c r="C1605" i="6"/>
  <c r="D1605" i="6" s="1"/>
  <c r="E1605" i="6" s="1"/>
  <c r="J1604" i="6"/>
  <c r="I1604" i="6"/>
  <c r="G1604" i="6"/>
  <c r="F1604" i="6"/>
  <c r="C1604" i="6"/>
  <c r="D1604" i="6" s="1"/>
  <c r="E1604" i="6" s="1"/>
  <c r="J1603" i="6"/>
  <c r="I1603" i="6"/>
  <c r="G1603" i="6"/>
  <c r="F1603" i="6"/>
  <c r="C1603" i="6"/>
  <c r="D1603" i="6" s="1"/>
  <c r="E1603" i="6" s="1"/>
  <c r="J1602" i="6"/>
  <c r="I1602" i="6"/>
  <c r="G1602" i="6"/>
  <c r="F1602" i="6"/>
  <c r="C1602" i="6"/>
  <c r="D1602" i="6" s="1"/>
  <c r="E1602" i="6" s="1"/>
  <c r="J1601" i="6"/>
  <c r="I1601" i="6"/>
  <c r="G1601" i="6"/>
  <c r="F1601" i="6"/>
  <c r="C1601" i="6"/>
  <c r="D1601" i="6" s="1"/>
  <c r="E1601" i="6" s="1"/>
  <c r="J1600" i="6"/>
  <c r="I1600" i="6"/>
  <c r="G1600" i="6"/>
  <c r="F1600" i="6"/>
  <c r="C1600" i="6"/>
  <c r="D1600" i="6" s="1"/>
  <c r="E1600" i="6" s="1"/>
  <c r="J1599" i="6"/>
  <c r="I1599" i="6"/>
  <c r="G1599" i="6"/>
  <c r="F1599" i="6"/>
  <c r="C1599" i="6"/>
  <c r="D1599" i="6" s="1"/>
  <c r="E1599" i="6" s="1"/>
  <c r="J1598" i="6"/>
  <c r="I1598" i="6"/>
  <c r="G1598" i="6"/>
  <c r="F1598" i="6"/>
  <c r="C1598" i="6"/>
  <c r="D1598" i="6" s="1"/>
  <c r="E1598" i="6" s="1"/>
  <c r="J1597" i="6"/>
  <c r="I1597" i="6"/>
  <c r="G1597" i="6"/>
  <c r="F1597" i="6"/>
  <c r="C1597" i="6"/>
  <c r="D1597" i="6" s="1"/>
  <c r="E1597" i="6" s="1"/>
  <c r="J1596" i="6"/>
  <c r="I1596" i="6"/>
  <c r="G1596" i="6"/>
  <c r="F1596" i="6"/>
  <c r="C1596" i="6"/>
  <c r="D1596" i="6" s="1"/>
  <c r="E1596" i="6" s="1"/>
  <c r="J1595" i="6"/>
  <c r="I1595" i="6"/>
  <c r="G1595" i="6"/>
  <c r="F1595" i="6"/>
  <c r="C1595" i="6"/>
  <c r="D1595" i="6" s="1"/>
  <c r="E1595" i="6" s="1"/>
  <c r="J1594" i="6"/>
  <c r="I1594" i="6"/>
  <c r="G1594" i="6"/>
  <c r="F1594" i="6"/>
  <c r="C1594" i="6"/>
  <c r="D1594" i="6" s="1"/>
  <c r="E1594" i="6" s="1"/>
  <c r="J1593" i="6"/>
  <c r="I1593" i="6"/>
  <c r="G1593" i="6"/>
  <c r="F1593" i="6"/>
  <c r="C1593" i="6"/>
  <c r="D1593" i="6" s="1"/>
  <c r="E1593" i="6" s="1"/>
  <c r="J1592" i="6"/>
  <c r="I1592" i="6"/>
  <c r="G1592" i="6"/>
  <c r="F1592" i="6"/>
  <c r="C1592" i="6"/>
  <c r="D1592" i="6" s="1"/>
  <c r="E1592" i="6" s="1"/>
  <c r="J1591" i="6"/>
  <c r="I1591" i="6"/>
  <c r="G1591" i="6"/>
  <c r="F1591" i="6"/>
  <c r="C1591" i="6"/>
  <c r="D1591" i="6" s="1"/>
  <c r="E1591" i="6" s="1"/>
  <c r="J1590" i="6"/>
  <c r="I1590" i="6"/>
  <c r="G1590" i="6"/>
  <c r="F1590" i="6"/>
  <c r="C1590" i="6"/>
  <c r="D1590" i="6" s="1"/>
  <c r="E1590" i="6" s="1"/>
  <c r="J1589" i="6"/>
  <c r="I1589" i="6"/>
  <c r="G1589" i="6"/>
  <c r="F1589" i="6"/>
  <c r="C1589" i="6"/>
  <c r="D1589" i="6" s="1"/>
  <c r="E1589" i="6" s="1"/>
  <c r="J1588" i="6"/>
  <c r="I1588" i="6"/>
  <c r="G1588" i="6"/>
  <c r="F1588" i="6"/>
  <c r="C1588" i="6"/>
  <c r="D1588" i="6" s="1"/>
  <c r="E1588" i="6" s="1"/>
  <c r="J1587" i="6"/>
  <c r="I1587" i="6"/>
  <c r="G1587" i="6"/>
  <c r="F1587" i="6"/>
  <c r="C1587" i="6"/>
  <c r="D1587" i="6" s="1"/>
  <c r="E1587" i="6" s="1"/>
  <c r="J1586" i="6"/>
  <c r="I1586" i="6"/>
  <c r="G1586" i="6"/>
  <c r="F1586" i="6"/>
  <c r="C1586" i="6"/>
  <c r="D1586" i="6" s="1"/>
  <c r="E1586" i="6" s="1"/>
  <c r="J1585" i="6"/>
  <c r="I1585" i="6"/>
  <c r="G1585" i="6"/>
  <c r="F1585" i="6"/>
  <c r="C1585" i="6"/>
  <c r="D1585" i="6" s="1"/>
  <c r="E1585" i="6" s="1"/>
  <c r="J1584" i="6"/>
  <c r="I1584" i="6"/>
  <c r="G1584" i="6"/>
  <c r="F1584" i="6"/>
  <c r="C1584" i="6"/>
  <c r="D1584" i="6" s="1"/>
  <c r="E1584" i="6" s="1"/>
  <c r="J1583" i="6"/>
  <c r="I1583" i="6"/>
  <c r="G1583" i="6"/>
  <c r="F1583" i="6"/>
  <c r="C1583" i="6"/>
  <c r="D1583" i="6" s="1"/>
  <c r="E1583" i="6" s="1"/>
  <c r="J1582" i="6"/>
  <c r="I1582" i="6"/>
  <c r="G1582" i="6"/>
  <c r="F1582" i="6"/>
  <c r="C1582" i="6"/>
  <c r="D1582" i="6" s="1"/>
  <c r="E1582" i="6" s="1"/>
  <c r="J1581" i="6"/>
  <c r="I1581" i="6"/>
  <c r="G1581" i="6"/>
  <c r="F1581" i="6"/>
  <c r="C1581" i="6"/>
  <c r="D1581" i="6" s="1"/>
  <c r="E1581" i="6" s="1"/>
  <c r="J1580" i="6"/>
  <c r="I1580" i="6"/>
  <c r="G1580" i="6"/>
  <c r="F1580" i="6"/>
  <c r="C1580" i="6"/>
  <c r="D1580" i="6" s="1"/>
  <c r="E1580" i="6" s="1"/>
  <c r="J1579" i="6"/>
  <c r="I1579" i="6"/>
  <c r="G1579" i="6"/>
  <c r="F1579" i="6"/>
  <c r="C1579" i="6"/>
  <c r="D1579" i="6" s="1"/>
  <c r="E1579" i="6" s="1"/>
  <c r="J1578" i="6"/>
  <c r="I1578" i="6"/>
  <c r="G1578" i="6"/>
  <c r="F1578" i="6"/>
  <c r="C1578" i="6"/>
  <c r="D1578" i="6" s="1"/>
  <c r="E1578" i="6" s="1"/>
  <c r="J1577" i="6"/>
  <c r="I1577" i="6"/>
  <c r="G1577" i="6"/>
  <c r="F1577" i="6"/>
  <c r="C1577" i="6"/>
  <c r="D1577" i="6" s="1"/>
  <c r="E1577" i="6" s="1"/>
  <c r="J1576" i="6"/>
  <c r="I1576" i="6"/>
  <c r="G1576" i="6"/>
  <c r="F1576" i="6"/>
  <c r="C1576" i="6"/>
  <c r="D1576" i="6" s="1"/>
  <c r="E1576" i="6" s="1"/>
  <c r="J1575" i="6"/>
  <c r="I1575" i="6"/>
  <c r="G1575" i="6"/>
  <c r="F1575" i="6"/>
  <c r="C1575" i="6"/>
  <c r="D1575" i="6" s="1"/>
  <c r="E1575" i="6" s="1"/>
  <c r="J1574" i="6"/>
  <c r="I1574" i="6"/>
  <c r="G1574" i="6"/>
  <c r="F1574" i="6"/>
  <c r="C1574" i="6"/>
  <c r="D1574" i="6" s="1"/>
  <c r="E1574" i="6" s="1"/>
  <c r="J1573" i="6"/>
  <c r="I1573" i="6"/>
  <c r="G1573" i="6"/>
  <c r="F1573" i="6"/>
  <c r="C1573" i="6"/>
  <c r="D1573" i="6" s="1"/>
  <c r="E1573" i="6" s="1"/>
  <c r="J1572" i="6"/>
  <c r="I1572" i="6"/>
  <c r="G1572" i="6"/>
  <c r="F1572" i="6"/>
  <c r="C1572" i="6"/>
  <c r="D1572" i="6" s="1"/>
  <c r="E1572" i="6" s="1"/>
  <c r="J1571" i="6"/>
  <c r="I1571" i="6"/>
  <c r="G1571" i="6"/>
  <c r="F1571" i="6"/>
  <c r="C1571" i="6"/>
  <c r="D1571" i="6" s="1"/>
  <c r="E1571" i="6" s="1"/>
  <c r="J1570" i="6"/>
  <c r="I1570" i="6"/>
  <c r="G1570" i="6"/>
  <c r="F1570" i="6"/>
  <c r="C1570" i="6"/>
  <c r="D1570" i="6" s="1"/>
  <c r="E1570" i="6" s="1"/>
  <c r="J1569" i="6"/>
  <c r="I1569" i="6"/>
  <c r="G1569" i="6"/>
  <c r="F1569" i="6"/>
  <c r="C1569" i="6"/>
  <c r="D1569" i="6" s="1"/>
  <c r="E1569" i="6" s="1"/>
  <c r="J1568" i="6"/>
  <c r="I1568" i="6"/>
  <c r="G1568" i="6"/>
  <c r="F1568" i="6"/>
  <c r="C1568" i="6"/>
  <c r="D1568" i="6" s="1"/>
  <c r="E1568" i="6" s="1"/>
  <c r="J1567" i="6"/>
  <c r="I1567" i="6"/>
  <c r="G1567" i="6"/>
  <c r="F1567" i="6"/>
  <c r="C1567" i="6"/>
  <c r="D1567" i="6" s="1"/>
  <c r="E1567" i="6" s="1"/>
  <c r="J1566" i="6"/>
  <c r="I1566" i="6"/>
  <c r="G1566" i="6"/>
  <c r="F1566" i="6"/>
  <c r="C1566" i="6"/>
  <c r="D1566" i="6" s="1"/>
  <c r="E1566" i="6" s="1"/>
  <c r="J1565" i="6"/>
  <c r="I1565" i="6"/>
  <c r="G1565" i="6"/>
  <c r="F1565" i="6"/>
  <c r="C1565" i="6"/>
  <c r="D1565" i="6" s="1"/>
  <c r="E1565" i="6" s="1"/>
  <c r="J1564" i="6"/>
  <c r="I1564" i="6"/>
  <c r="G1564" i="6"/>
  <c r="F1564" i="6"/>
  <c r="C1564" i="6"/>
  <c r="D1564" i="6" s="1"/>
  <c r="E1564" i="6" s="1"/>
  <c r="J1563" i="6"/>
  <c r="I1563" i="6"/>
  <c r="G1563" i="6"/>
  <c r="F1563" i="6"/>
  <c r="C1563" i="6"/>
  <c r="D1563" i="6" s="1"/>
  <c r="E1563" i="6" s="1"/>
  <c r="J1562" i="6"/>
  <c r="I1562" i="6"/>
  <c r="G1562" i="6"/>
  <c r="F1562" i="6"/>
  <c r="C1562" i="6"/>
  <c r="D1562" i="6" s="1"/>
  <c r="E1562" i="6" s="1"/>
  <c r="J1561" i="6"/>
  <c r="I1561" i="6"/>
  <c r="G1561" i="6"/>
  <c r="F1561" i="6"/>
  <c r="C1561" i="6"/>
  <c r="D1561" i="6" s="1"/>
  <c r="E1561" i="6" s="1"/>
  <c r="J1560" i="6"/>
  <c r="I1560" i="6"/>
  <c r="G1560" i="6"/>
  <c r="F1560" i="6"/>
  <c r="C1560" i="6"/>
  <c r="D1560" i="6" s="1"/>
  <c r="E1560" i="6" s="1"/>
  <c r="J1559" i="6"/>
  <c r="I1559" i="6"/>
  <c r="G1559" i="6"/>
  <c r="F1559" i="6"/>
  <c r="C1559" i="6"/>
  <c r="D1559" i="6" s="1"/>
  <c r="E1559" i="6" s="1"/>
  <c r="J1558" i="6"/>
  <c r="I1558" i="6"/>
  <c r="G1558" i="6"/>
  <c r="F1558" i="6"/>
  <c r="C1558" i="6"/>
  <c r="D1558" i="6" s="1"/>
  <c r="E1558" i="6" s="1"/>
  <c r="J1557" i="6"/>
  <c r="I1557" i="6"/>
  <c r="G1557" i="6"/>
  <c r="F1557" i="6"/>
  <c r="C1557" i="6"/>
  <c r="D1557" i="6" s="1"/>
  <c r="E1557" i="6" s="1"/>
  <c r="J1556" i="6"/>
  <c r="I1556" i="6"/>
  <c r="G1556" i="6"/>
  <c r="F1556" i="6"/>
  <c r="C1556" i="6"/>
  <c r="D1556" i="6" s="1"/>
  <c r="E1556" i="6" s="1"/>
  <c r="J1555" i="6"/>
  <c r="I1555" i="6"/>
  <c r="G1555" i="6"/>
  <c r="F1555" i="6"/>
  <c r="C1555" i="6"/>
  <c r="D1555" i="6" s="1"/>
  <c r="E1555" i="6" s="1"/>
  <c r="J1554" i="6"/>
  <c r="I1554" i="6"/>
  <c r="G1554" i="6"/>
  <c r="F1554" i="6"/>
  <c r="C1554" i="6"/>
  <c r="D1554" i="6" s="1"/>
  <c r="E1554" i="6" s="1"/>
  <c r="J1553" i="6"/>
  <c r="I1553" i="6"/>
  <c r="G1553" i="6"/>
  <c r="F1553" i="6"/>
  <c r="C1553" i="6"/>
  <c r="D1553" i="6" s="1"/>
  <c r="E1553" i="6" s="1"/>
  <c r="J1552" i="6"/>
  <c r="I1552" i="6"/>
  <c r="G1552" i="6"/>
  <c r="F1552" i="6"/>
  <c r="C1552" i="6"/>
  <c r="D1552" i="6" s="1"/>
  <c r="E1552" i="6" s="1"/>
  <c r="J1551" i="6"/>
  <c r="I1551" i="6"/>
  <c r="G1551" i="6"/>
  <c r="F1551" i="6"/>
  <c r="C1551" i="6"/>
  <c r="D1551" i="6" s="1"/>
  <c r="E1551" i="6" s="1"/>
  <c r="J1550" i="6"/>
  <c r="I1550" i="6"/>
  <c r="G1550" i="6"/>
  <c r="F1550" i="6"/>
  <c r="C1550" i="6"/>
  <c r="D1550" i="6" s="1"/>
  <c r="E1550" i="6" s="1"/>
  <c r="J1549" i="6"/>
  <c r="I1549" i="6"/>
  <c r="G1549" i="6"/>
  <c r="F1549" i="6"/>
  <c r="C1549" i="6"/>
  <c r="D1549" i="6" s="1"/>
  <c r="E1549" i="6" s="1"/>
  <c r="J1548" i="6"/>
  <c r="I1548" i="6"/>
  <c r="G1548" i="6"/>
  <c r="F1548" i="6"/>
  <c r="C1548" i="6"/>
  <c r="D1548" i="6" s="1"/>
  <c r="E1548" i="6" s="1"/>
  <c r="J1547" i="6"/>
  <c r="I1547" i="6"/>
  <c r="G1547" i="6"/>
  <c r="F1547" i="6"/>
  <c r="C1547" i="6"/>
  <c r="D1547" i="6" s="1"/>
  <c r="E1547" i="6" s="1"/>
  <c r="J1546" i="6"/>
  <c r="I1546" i="6"/>
  <c r="G1546" i="6"/>
  <c r="F1546" i="6"/>
  <c r="C1546" i="6"/>
  <c r="D1546" i="6" s="1"/>
  <c r="E1546" i="6" s="1"/>
  <c r="J1545" i="6"/>
  <c r="I1545" i="6"/>
  <c r="G1545" i="6"/>
  <c r="F1545" i="6"/>
  <c r="C1545" i="6"/>
  <c r="D1545" i="6" s="1"/>
  <c r="E1545" i="6" s="1"/>
  <c r="J1544" i="6"/>
  <c r="I1544" i="6"/>
  <c r="G1544" i="6"/>
  <c r="F1544" i="6"/>
  <c r="C1544" i="6"/>
  <c r="D1544" i="6" s="1"/>
  <c r="E1544" i="6" s="1"/>
  <c r="J1543" i="6"/>
  <c r="I1543" i="6"/>
  <c r="G1543" i="6"/>
  <c r="F1543" i="6"/>
  <c r="C1543" i="6"/>
  <c r="D1543" i="6" s="1"/>
  <c r="E1543" i="6" s="1"/>
  <c r="J1542" i="6"/>
  <c r="I1542" i="6"/>
  <c r="G1542" i="6"/>
  <c r="F1542" i="6"/>
  <c r="C1542" i="6"/>
  <c r="D1542" i="6" s="1"/>
  <c r="E1542" i="6" s="1"/>
  <c r="J1541" i="6"/>
  <c r="I1541" i="6"/>
  <c r="G1541" i="6"/>
  <c r="F1541" i="6"/>
  <c r="C1541" i="6"/>
  <c r="D1541" i="6" s="1"/>
  <c r="E1541" i="6" s="1"/>
  <c r="J1540" i="6"/>
  <c r="I1540" i="6"/>
  <c r="G1540" i="6"/>
  <c r="F1540" i="6"/>
  <c r="C1540" i="6"/>
  <c r="D1540" i="6" s="1"/>
  <c r="E1540" i="6" s="1"/>
  <c r="J1539" i="6"/>
  <c r="I1539" i="6"/>
  <c r="G1539" i="6"/>
  <c r="F1539" i="6"/>
  <c r="C1539" i="6"/>
  <c r="D1539" i="6" s="1"/>
  <c r="E1539" i="6" s="1"/>
  <c r="J1538" i="6"/>
  <c r="I1538" i="6"/>
  <c r="G1538" i="6"/>
  <c r="F1538" i="6"/>
  <c r="C1538" i="6"/>
  <c r="D1538" i="6" s="1"/>
  <c r="E1538" i="6" s="1"/>
  <c r="J1537" i="6"/>
  <c r="I1537" i="6"/>
  <c r="G1537" i="6"/>
  <c r="F1537" i="6"/>
  <c r="C1537" i="6"/>
  <c r="D1537" i="6" s="1"/>
  <c r="E1537" i="6" s="1"/>
  <c r="J1536" i="6"/>
  <c r="I1536" i="6"/>
  <c r="G1536" i="6"/>
  <c r="F1536" i="6"/>
  <c r="C1536" i="6"/>
  <c r="D1536" i="6" s="1"/>
  <c r="E1536" i="6" s="1"/>
  <c r="J1535" i="6"/>
  <c r="I1535" i="6"/>
  <c r="G1535" i="6"/>
  <c r="F1535" i="6"/>
  <c r="C1535" i="6"/>
  <c r="D1535" i="6" s="1"/>
  <c r="E1535" i="6" s="1"/>
  <c r="J1534" i="6"/>
  <c r="I1534" i="6"/>
  <c r="G1534" i="6"/>
  <c r="F1534" i="6"/>
  <c r="C1534" i="6"/>
  <c r="D1534" i="6" s="1"/>
  <c r="E1534" i="6" s="1"/>
  <c r="J1533" i="6"/>
  <c r="I1533" i="6"/>
  <c r="G1533" i="6"/>
  <c r="F1533" i="6"/>
  <c r="C1533" i="6"/>
  <c r="D1533" i="6" s="1"/>
  <c r="E1533" i="6" s="1"/>
  <c r="J1532" i="6"/>
  <c r="I1532" i="6"/>
  <c r="G1532" i="6"/>
  <c r="F1532" i="6"/>
  <c r="C1532" i="6"/>
  <c r="D1532" i="6" s="1"/>
  <c r="E1532" i="6" s="1"/>
  <c r="J1531" i="6"/>
  <c r="I1531" i="6"/>
  <c r="G1531" i="6"/>
  <c r="F1531" i="6"/>
  <c r="C1531" i="6"/>
  <c r="D1531" i="6" s="1"/>
  <c r="E1531" i="6" s="1"/>
  <c r="J1530" i="6"/>
  <c r="I1530" i="6"/>
  <c r="G1530" i="6"/>
  <c r="F1530" i="6"/>
  <c r="C1530" i="6"/>
  <c r="D1530" i="6" s="1"/>
  <c r="E1530" i="6" s="1"/>
  <c r="J1529" i="6"/>
  <c r="I1529" i="6"/>
  <c r="G1529" i="6"/>
  <c r="F1529" i="6"/>
  <c r="C1529" i="6"/>
  <c r="D1529" i="6" s="1"/>
  <c r="E1529" i="6" s="1"/>
  <c r="J1528" i="6"/>
  <c r="I1528" i="6"/>
  <c r="G1528" i="6"/>
  <c r="F1528" i="6"/>
  <c r="C1528" i="6"/>
  <c r="D1528" i="6" s="1"/>
  <c r="E1528" i="6" s="1"/>
  <c r="J1527" i="6"/>
  <c r="I1527" i="6"/>
  <c r="G1527" i="6"/>
  <c r="F1527" i="6"/>
  <c r="C1527" i="6"/>
  <c r="D1527" i="6" s="1"/>
  <c r="E1527" i="6" s="1"/>
  <c r="J1526" i="6"/>
  <c r="I1526" i="6"/>
  <c r="G1526" i="6"/>
  <c r="F1526" i="6"/>
  <c r="C1526" i="6"/>
  <c r="D1526" i="6" s="1"/>
  <c r="E1526" i="6" s="1"/>
  <c r="J1525" i="6"/>
  <c r="I1525" i="6"/>
  <c r="G1525" i="6"/>
  <c r="F1525" i="6"/>
  <c r="C1525" i="6"/>
  <c r="D1525" i="6" s="1"/>
  <c r="E1525" i="6" s="1"/>
  <c r="J1524" i="6"/>
  <c r="I1524" i="6"/>
  <c r="G1524" i="6"/>
  <c r="F1524" i="6"/>
  <c r="C1524" i="6"/>
  <c r="D1524" i="6" s="1"/>
  <c r="E1524" i="6" s="1"/>
  <c r="J1523" i="6"/>
  <c r="I1523" i="6"/>
  <c r="G1523" i="6"/>
  <c r="F1523" i="6"/>
  <c r="C1523" i="6"/>
  <c r="D1523" i="6" s="1"/>
  <c r="E1523" i="6" s="1"/>
  <c r="J1522" i="6"/>
  <c r="I1522" i="6"/>
  <c r="G1522" i="6"/>
  <c r="F1522" i="6"/>
  <c r="C1522" i="6"/>
  <c r="D1522" i="6" s="1"/>
  <c r="E1522" i="6" s="1"/>
  <c r="J1521" i="6"/>
  <c r="I1521" i="6"/>
  <c r="G1521" i="6"/>
  <c r="F1521" i="6"/>
  <c r="C1521" i="6"/>
  <c r="D1521" i="6" s="1"/>
  <c r="E1521" i="6" s="1"/>
  <c r="J1520" i="6"/>
  <c r="I1520" i="6"/>
  <c r="G1520" i="6"/>
  <c r="F1520" i="6"/>
  <c r="C1520" i="6"/>
  <c r="D1520" i="6" s="1"/>
  <c r="E1520" i="6" s="1"/>
  <c r="J1519" i="6"/>
  <c r="I1519" i="6"/>
  <c r="G1519" i="6"/>
  <c r="F1519" i="6"/>
  <c r="C1519" i="6"/>
  <c r="D1519" i="6" s="1"/>
  <c r="E1519" i="6" s="1"/>
  <c r="J1518" i="6"/>
  <c r="I1518" i="6"/>
  <c r="G1518" i="6"/>
  <c r="F1518" i="6"/>
  <c r="C1518" i="6"/>
  <c r="D1518" i="6" s="1"/>
  <c r="E1518" i="6" s="1"/>
  <c r="J1517" i="6"/>
  <c r="I1517" i="6"/>
  <c r="G1517" i="6"/>
  <c r="F1517" i="6"/>
  <c r="C1517" i="6"/>
  <c r="D1517" i="6" s="1"/>
  <c r="E1517" i="6" s="1"/>
  <c r="J1516" i="6"/>
  <c r="I1516" i="6"/>
  <c r="G1516" i="6"/>
  <c r="F1516" i="6"/>
  <c r="C1516" i="6"/>
  <c r="D1516" i="6" s="1"/>
  <c r="E1516" i="6" s="1"/>
  <c r="J1515" i="6"/>
  <c r="I1515" i="6"/>
  <c r="G1515" i="6"/>
  <c r="F1515" i="6"/>
  <c r="C1515" i="6"/>
  <c r="D1515" i="6" s="1"/>
  <c r="E1515" i="6" s="1"/>
  <c r="J1514" i="6"/>
  <c r="I1514" i="6"/>
  <c r="G1514" i="6"/>
  <c r="F1514" i="6"/>
  <c r="C1514" i="6"/>
  <c r="D1514" i="6" s="1"/>
  <c r="E1514" i="6" s="1"/>
  <c r="J1513" i="6"/>
  <c r="I1513" i="6"/>
  <c r="G1513" i="6"/>
  <c r="F1513" i="6"/>
  <c r="C1513" i="6"/>
  <c r="D1513" i="6" s="1"/>
  <c r="E1513" i="6" s="1"/>
  <c r="J1512" i="6"/>
  <c r="I1512" i="6"/>
  <c r="G1512" i="6"/>
  <c r="F1512" i="6"/>
  <c r="C1512" i="6"/>
  <c r="D1512" i="6" s="1"/>
  <c r="E1512" i="6" s="1"/>
  <c r="J1511" i="6"/>
  <c r="I1511" i="6"/>
  <c r="G1511" i="6"/>
  <c r="F1511" i="6"/>
  <c r="C1511" i="6"/>
  <c r="D1511" i="6" s="1"/>
  <c r="E1511" i="6" s="1"/>
  <c r="J1510" i="6"/>
  <c r="I1510" i="6"/>
  <c r="G1510" i="6"/>
  <c r="F1510" i="6"/>
  <c r="C1510" i="6"/>
  <c r="D1510" i="6" s="1"/>
  <c r="E1510" i="6" s="1"/>
  <c r="J1509" i="6"/>
  <c r="I1509" i="6"/>
  <c r="G1509" i="6"/>
  <c r="F1509" i="6"/>
  <c r="C1509" i="6"/>
  <c r="D1509" i="6" s="1"/>
  <c r="E1509" i="6" s="1"/>
  <c r="J1508" i="6"/>
  <c r="I1508" i="6"/>
  <c r="G1508" i="6"/>
  <c r="F1508" i="6"/>
  <c r="C1508" i="6"/>
  <c r="D1508" i="6" s="1"/>
  <c r="E1508" i="6" s="1"/>
  <c r="J1507" i="6"/>
  <c r="I1507" i="6"/>
  <c r="G1507" i="6"/>
  <c r="F1507" i="6"/>
  <c r="C1507" i="6"/>
  <c r="D1507" i="6" s="1"/>
  <c r="E1507" i="6" s="1"/>
  <c r="J1506" i="6"/>
  <c r="I1506" i="6"/>
  <c r="G1506" i="6"/>
  <c r="F1506" i="6"/>
  <c r="C1506" i="6"/>
  <c r="D1506" i="6" s="1"/>
  <c r="E1506" i="6" s="1"/>
  <c r="J1505" i="6"/>
  <c r="I1505" i="6"/>
  <c r="G1505" i="6"/>
  <c r="F1505" i="6"/>
  <c r="C1505" i="6"/>
  <c r="D1505" i="6" s="1"/>
  <c r="E1505" i="6" s="1"/>
  <c r="J1504" i="6"/>
  <c r="I1504" i="6"/>
  <c r="G1504" i="6"/>
  <c r="F1504" i="6"/>
  <c r="C1504" i="6"/>
  <c r="D1504" i="6" s="1"/>
  <c r="E1504" i="6" s="1"/>
  <c r="J1503" i="6"/>
  <c r="I1503" i="6"/>
  <c r="G1503" i="6"/>
  <c r="F1503" i="6"/>
  <c r="C1503" i="6"/>
  <c r="D1503" i="6" s="1"/>
  <c r="E1503" i="6" s="1"/>
  <c r="J1502" i="6"/>
  <c r="I1502" i="6"/>
  <c r="G1502" i="6"/>
  <c r="F1502" i="6"/>
  <c r="C1502" i="6"/>
  <c r="D1502" i="6" s="1"/>
  <c r="E1502" i="6" s="1"/>
  <c r="J1501" i="6"/>
  <c r="I1501" i="6"/>
  <c r="G1501" i="6"/>
  <c r="F1501" i="6"/>
  <c r="C1501" i="6"/>
  <c r="D1501" i="6" s="1"/>
  <c r="E1501" i="6" s="1"/>
  <c r="J1500" i="6"/>
  <c r="I1500" i="6"/>
  <c r="G1500" i="6"/>
  <c r="F1500" i="6"/>
  <c r="C1500" i="6"/>
  <c r="D1500" i="6" s="1"/>
  <c r="E1500" i="6" s="1"/>
  <c r="J1499" i="6"/>
  <c r="I1499" i="6"/>
  <c r="G1499" i="6"/>
  <c r="F1499" i="6"/>
  <c r="C1499" i="6"/>
  <c r="D1499" i="6" s="1"/>
  <c r="E1499" i="6" s="1"/>
  <c r="J1498" i="6"/>
  <c r="I1498" i="6"/>
  <c r="G1498" i="6"/>
  <c r="F1498" i="6"/>
  <c r="C1498" i="6"/>
  <c r="D1498" i="6" s="1"/>
  <c r="E1498" i="6" s="1"/>
  <c r="J1497" i="6"/>
  <c r="I1497" i="6"/>
  <c r="G1497" i="6"/>
  <c r="F1497" i="6"/>
  <c r="C1497" i="6"/>
  <c r="D1497" i="6" s="1"/>
  <c r="E1497" i="6" s="1"/>
  <c r="J1496" i="6"/>
  <c r="I1496" i="6"/>
  <c r="G1496" i="6"/>
  <c r="F1496" i="6"/>
  <c r="C1496" i="6"/>
  <c r="D1496" i="6" s="1"/>
  <c r="E1496" i="6" s="1"/>
  <c r="J1495" i="6"/>
  <c r="I1495" i="6"/>
  <c r="G1495" i="6"/>
  <c r="F1495" i="6"/>
  <c r="C1495" i="6"/>
  <c r="D1495" i="6" s="1"/>
  <c r="E1495" i="6" s="1"/>
  <c r="J1494" i="6"/>
  <c r="I1494" i="6"/>
  <c r="G1494" i="6"/>
  <c r="F1494" i="6"/>
  <c r="C1494" i="6"/>
  <c r="D1494" i="6" s="1"/>
  <c r="E1494" i="6" s="1"/>
  <c r="J1493" i="6"/>
  <c r="I1493" i="6"/>
  <c r="G1493" i="6"/>
  <c r="F1493" i="6"/>
  <c r="C1493" i="6"/>
  <c r="D1493" i="6" s="1"/>
  <c r="E1493" i="6" s="1"/>
  <c r="J1492" i="6"/>
  <c r="I1492" i="6"/>
  <c r="G1492" i="6"/>
  <c r="F1492" i="6"/>
  <c r="C1492" i="6"/>
  <c r="D1492" i="6" s="1"/>
  <c r="E1492" i="6" s="1"/>
  <c r="J1491" i="6"/>
  <c r="I1491" i="6"/>
  <c r="G1491" i="6"/>
  <c r="F1491" i="6"/>
  <c r="C1491" i="6"/>
  <c r="D1491" i="6" s="1"/>
  <c r="E1491" i="6" s="1"/>
  <c r="J1490" i="6"/>
  <c r="I1490" i="6"/>
  <c r="G1490" i="6"/>
  <c r="F1490" i="6"/>
  <c r="C1490" i="6"/>
  <c r="D1490" i="6" s="1"/>
  <c r="E1490" i="6" s="1"/>
  <c r="J1489" i="6"/>
  <c r="I1489" i="6"/>
  <c r="G1489" i="6"/>
  <c r="F1489" i="6"/>
  <c r="C1489" i="6"/>
  <c r="D1489" i="6" s="1"/>
  <c r="E1489" i="6" s="1"/>
  <c r="J1488" i="6"/>
  <c r="I1488" i="6"/>
  <c r="G1488" i="6"/>
  <c r="F1488" i="6"/>
  <c r="C1488" i="6"/>
  <c r="D1488" i="6" s="1"/>
  <c r="E1488" i="6" s="1"/>
  <c r="J1487" i="6"/>
  <c r="I1487" i="6"/>
  <c r="G1487" i="6"/>
  <c r="F1487" i="6"/>
  <c r="C1487" i="6"/>
  <c r="D1487" i="6" s="1"/>
  <c r="E1487" i="6" s="1"/>
  <c r="J1486" i="6"/>
  <c r="I1486" i="6"/>
  <c r="G1486" i="6"/>
  <c r="F1486" i="6"/>
  <c r="C1486" i="6"/>
  <c r="D1486" i="6" s="1"/>
  <c r="E1486" i="6" s="1"/>
  <c r="J1485" i="6"/>
  <c r="I1485" i="6"/>
  <c r="G1485" i="6"/>
  <c r="F1485" i="6"/>
  <c r="C1485" i="6"/>
  <c r="D1485" i="6" s="1"/>
  <c r="E1485" i="6" s="1"/>
  <c r="J1484" i="6"/>
  <c r="I1484" i="6"/>
  <c r="G1484" i="6"/>
  <c r="F1484" i="6"/>
  <c r="C1484" i="6"/>
  <c r="D1484" i="6" s="1"/>
  <c r="E1484" i="6" s="1"/>
  <c r="J1483" i="6"/>
  <c r="I1483" i="6"/>
  <c r="G1483" i="6"/>
  <c r="F1483" i="6"/>
  <c r="C1483" i="6"/>
  <c r="D1483" i="6" s="1"/>
  <c r="E1483" i="6" s="1"/>
  <c r="J1482" i="6"/>
  <c r="I1482" i="6"/>
  <c r="G1482" i="6"/>
  <c r="F1482" i="6"/>
  <c r="C1482" i="6"/>
  <c r="D1482" i="6" s="1"/>
  <c r="E1482" i="6" s="1"/>
  <c r="J1481" i="6"/>
  <c r="I1481" i="6"/>
  <c r="G1481" i="6"/>
  <c r="F1481" i="6"/>
  <c r="C1481" i="6"/>
  <c r="D1481" i="6" s="1"/>
  <c r="E1481" i="6" s="1"/>
  <c r="J1480" i="6"/>
  <c r="I1480" i="6"/>
  <c r="G1480" i="6"/>
  <c r="F1480" i="6"/>
  <c r="C1480" i="6"/>
  <c r="D1480" i="6" s="1"/>
  <c r="E1480" i="6" s="1"/>
  <c r="J1479" i="6"/>
  <c r="I1479" i="6"/>
  <c r="G1479" i="6"/>
  <c r="F1479" i="6"/>
  <c r="C1479" i="6"/>
  <c r="D1479" i="6" s="1"/>
  <c r="E1479" i="6" s="1"/>
  <c r="J1478" i="6"/>
  <c r="I1478" i="6"/>
  <c r="G1478" i="6"/>
  <c r="F1478" i="6"/>
  <c r="C1478" i="6"/>
  <c r="D1478" i="6" s="1"/>
  <c r="E1478" i="6" s="1"/>
  <c r="J1477" i="6"/>
  <c r="I1477" i="6"/>
  <c r="G1477" i="6"/>
  <c r="F1477" i="6"/>
  <c r="C1477" i="6"/>
  <c r="D1477" i="6" s="1"/>
  <c r="E1477" i="6" s="1"/>
  <c r="J1476" i="6"/>
  <c r="I1476" i="6"/>
  <c r="G1476" i="6"/>
  <c r="F1476" i="6"/>
  <c r="C1476" i="6"/>
  <c r="D1476" i="6" s="1"/>
  <c r="E1476" i="6" s="1"/>
  <c r="J1475" i="6"/>
  <c r="I1475" i="6"/>
  <c r="G1475" i="6"/>
  <c r="F1475" i="6"/>
  <c r="C1475" i="6"/>
  <c r="D1475" i="6" s="1"/>
  <c r="E1475" i="6" s="1"/>
  <c r="J1474" i="6"/>
  <c r="I1474" i="6"/>
  <c r="G1474" i="6"/>
  <c r="F1474" i="6"/>
  <c r="C1474" i="6"/>
  <c r="D1474" i="6" s="1"/>
  <c r="E1474" i="6" s="1"/>
  <c r="J1473" i="6"/>
  <c r="I1473" i="6"/>
  <c r="G1473" i="6"/>
  <c r="F1473" i="6"/>
  <c r="C1473" i="6"/>
  <c r="D1473" i="6" s="1"/>
  <c r="E1473" i="6" s="1"/>
  <c r="J1472" i="6"/>
  <c r="I1472" i="6"/>
  <c r="G1472" i="6"/>
  <c r="F1472" i="6"/>
  <c r="C1472" i="6"/>
  <c r="D1472" i="6" s="1"/>
  <c r="E1472" i="6" s="1"/>
  <c r="J1471" i="6"/>
  <c r="I1471" i="6"/>
  <c r="G1471" i="6"/>
  <c r="F1471" i="6"/>
  <c r="C1471" i="6"/>
  <c r="D1471" i="6" s="1"/>
  <c r="E1471" i="6" s="1"/>
  <c r="J1470" i="6"/>
  <c r="I1470" i="6"/>
  <c r="G1470" i="6"/>
  <c r="F1470" i="6"/>
  <c r="C1470" i="6"/>
  <c r="D1470" i="6" s="1"/>
  <c r="E1470" i="6" s="1"/>
  <c r="J1469" i="6"/>
  <c r="I1469" i="6"/>
  <c r="G1469" i="6"/>
  <c r="F1469" i="6"/>
  <c r="C1469" i="6"/>
  <c r="D1469" i="6" s="1"/>
  <c r="E1469" i="6" s="1"/>
  <c r="J1468" i="6"/>
  <c r="I1468" i="6"/>
  <c r="G1468" i="6"/>
  <c r="F1468" i="6"/>
  <c r="C1468" i="6"/>
  <c r="D1468" i="6" s="1"/>
  <c r="E1468" i="6" s="1"/>
  <c r="J1467" i="6"/>
  <c r="I1467" i="6"/>
  <c r="G1467" i="6"/>
  <c r="F1467" i="6"/>
  <c r="C1467" i="6"/>
  <c r="D1467" i="6" s="1"/>
  <c r="E1467" i="6" s="1"/>
  <c r="J1466" i="6"/>
  <c r="I1466" i="6"/>
  <c r="G1466" i="6"/>
  <c r="F1466" i="6"/>
  <c r="C1466" i="6"/>
  <c r="D1466" i="6" s="1"/>
  <c r="E1466" i="6" s="1"/>
  <c r="J1465" i="6"/>
  <c r="I1465" i="6"/>
  <c r="G1465" i="6"/>
  <c r="F1465" i="6"/>
  <c r="C1465" i="6"/>
  <c r="D1465" i="6" s="1"/>
  <c r="E1465" i="6" s="1"/>
  <c r="J1464" i="6"/>
  <c r="I1464" i="6"/>
  <c r="G1464" i="6"/>
  <c r="F1464" i="6"/>
  <c r="C1464" i="6"/>
  <c r="D1464" i="6" s="1"/>
  <c r="E1464" i="6" s="1"/>
  <c r="J1463" i="6"/>
  <c r="I1463" i="6"/>
  <c r="G1463" i="6"/>
  <c r="F1463" i="6"/>
  <c r="C1463" i="6"/>
  <c r="D1463" i="6" s="1"/>
  <c r="E1463" i="6" s="1"/>
  <c r="J1462" i="6"/>
  <c r="I1462" i="6"/>
  <c r="G1462" i="6"/>
  <c r="F1462" i="6"/>
  <c r="C1462" i="6"/>
  <c r="D1462" i="6" s="1"/>
  <c r="E1462" i="6" s="1"/>
  <c r="J1461" i="6"/>
  <c r="I1461" i="6"/>
  <c r="G1461" i="6"/>
  <c r="F1461" i="6"/>
  <c r="C1461" i="6"/>
  <c r="D1461" i="6" s="1"/>
  <c r="E1461" i="6" s="1"/>
  <c r="J1460" i="6"/>
  <c r="I1460" i="6"/>
  <c r="G1460" i="6"/>
  <c r="F1460" i="6"/>
  <c r="C1460" i="6"/>
  <c r="D1460" i="6" s="1"/>
  <c r="E1460" i="6" s="1"/>
  <c r="J1459" i="6"/>
  <c r="I1459" i="6"/>
  <c r="G1459" i="6"/>
  <c r="F1459" i="6"/>
  <c r="C1459" i="6"/>
  <c r="D1459" i="6" s="1"/>
  <c r="E1459" i="6" s="1"/>
  <c r="J1458" i="6"/>
  <c r="I1458" i="6"/>
  <c r="G1458" i="6"/>
  <c r="F1458" i="6"/>
  <c r="C1458" i="6"/>
  <c r="D1458" i="6" s="1"/>
  <c r="E1458" i="6" s="1"/>
  <c r="J1457" i="6"/>
  <c r="I1457" i="6"/>
  <c r="G1457" i="6"/>
  <c r="F1457" i="6"/>
  <c r="C1457" i="6"/>
  <c r="D1457" i="6" s="1"/>
  <c r="E1457" i="6" s="1"/>
  <c r="J1456" i="6"/>
  <c r="I1456" i="6"/>
  <c r="G1456" i="6"/>
  <c r="F1456" i="6"/>
  <c r="C1456" i="6"/>
  <c r="D1456" i="6" s="1"/>
  <c r="E1456" i="6" s="1"/>
  <c r="J1455" i="6"/>
  <c r="I1455" i="6"/>
  <c r="G1455" i="6"/>
  <c r="F1455" i="6"/>
  <c r="C1455" i="6"/>
  <c r="D1455" i="6" s="1"/>
  <c r="E1455" i="6" s="1"/>
  <c r="J1454" i="6"/>
  <c r="I1454" i="6"/>
  <c r="G1454" i="6"/>
  <c r="F1454" i="6"/>
  <c r="C1454" i="6"/>
  <c r="D1454" i="6" s="1"/>
  <c r="E1454" i="6" s="1"/>
  <c r="J1453" i="6"/>
  <c r="I1453" i="6"/>
  <c r="G1453" i="6"/>
  <c r="F1453" i="6"/>
  <c r="C1453" i="6"/>
  <c r="D1453" i="6" s="1"/>
  <c r="E1453" i="6" s="1"/>
  <c r="J1452" i="6"/>
  <c r="I1452" i="6"/>
  <c r="G1452" i="6"/>
  <c r="F1452" i="6"/>
  <c r="C1452" i="6"/>
  <c r="D1452" i="6" s="1"/>
  <c r="E1452" i="6" s="1"/>
  <c r="J1451" i="6"/>
  <c r="I1451" i="6"/>
  <c r="G1451" i="6"/>
  <c r="F1451" i="6"/>
  <c r="C1451" i="6"/>
  <c r="D1451" i="6" s="1"/>
  <c r="E1451" i="6" s="1"/>
  <c r="J1450" i="6"/>
  <c r="I1450" i="6"/>
  <c r="G1450" i="6"/>
  <c r="F1450" i="6"/>
  <c r="C1450" i="6"/>
  <c r="D1450" i="6" s="1"/>
  <c r="E1450" i="6" s="1"/>
  <c r="J1449" i="6"/>
  <c r="I1449" i="6"/>
  <c r="G1449" i="6"/>
  <c r="F1449" i="6"/>
  <c r="C1449" i="6"/>
  <c r="D1449" i="6" s="1"/>
  <c r="E1449" i="6" s="1"/>
  <c r="J1448" i="6"/>
  <c r="I1448" i="6"/>
  <c r="G1448" i="6"/>
  <c r="F1448" i="6"/>
  <c r="C1448" i="6"/>
  <c r="D1448" i="6" s="1"/>
  <c r="E1448" i="6" s="1"/>
  <c r="J1447" i="6"/>
  <c r="I1447" i="6"/>
  <c r="G1447" i="6"/>
  <c r="F1447" i="6"/>
  <c r="C1447" i="6"/>
  <c r="D1447" i="6" s="1"/>
  <c r="E1447" i="6" s="1"/>
  <c r="J1446" i="6"/>
  <c r="I1446" i="6"/>
  <c r="G1446" i="6"/>
  <c r="F1446" i="6"/>
  <c r="C1446" i="6"/>
  <c r="D1446" i="6" s="1"/>
  <c r="E1446" i="6" s="1"/>
  <c r="J1445" i="6"/>
  <c r="I1445" i="6"/>
  <c r="G1445" i="6"/>
  <c r="F1445" i="6"/>
  <c r="C1445" i="6"/>
  <c r="D1445" i="6" s="1"/>
  <c r="E1445" i="6" s="1"/>
  <c r="J1444" i="6"/>
  <c r="I1444" i="6"/>
  <c r="G1444" i="6"/>
  <c r="F1444" i="6"/>
  <c r="C1444" i="6"/>
  <c r="D1444" i="6" s="1"/>
  <c r="E1444" i="6" s="1"/>
  <c r="J1443" i="6"/>
  <c r="I1443" i="6"/>
  <c r="G1443" i="6"/>
  <c r="F1443" i="6"/>
  <c r="C1443" i="6"/>
  <c r="D1443" i="6" s="1"/>
  <c r="E1443" i="6" s="1"/>
  <c r="J1442" i="6"/>
  <c r="I1442" i="6"/>
  <c r="G1442" i="6"/>
  <c r="F1442" i="6"/>
  <c r="C1442" i="6"/>
  <c r="D1442" i="6" s="1"/>
  <c r="E1442" i="6" s="1"/>
  <c r="J1441" i="6"/>
  <c r="I1441" i="6"/>
  <c r="G1441" i="6"/>
  <c r="F1441" i="6"/>
  <c r="C1441" i="6"/>
  <c r="D1441" i="6" s="1"/>
  <c r="E1441" i="6" s="1"/>
  <c r="J1440" i="6"/>
  <c r="I1440" i="6"/>
  <c r="G1440" i="6"/>
  <c r="F1440" i="6"/>
  <c r="C1440" i="6"/>
  <c r="D1440" i="6" s="1"/>
  <c r="E1440" i="6" s="1"/>
  <c r="J1439" i="6"/>
  <c r="I1439" i="6"/>
  <c r="G1439" i="6"/>
  <c r="F1439" i="6"/>
  <c r="C1439" i="6"/>
  <c r="D1439" i="6" s="1"/>
  <c r="E1439" i="6" s="1"/>
  <c r="J1438" i="6"/>
  <c r="I1438" i="6"/>
  <c r="G1438" i="6"/>
  <c r="F1438" i="6"/>
  <c r="C1438" i="6"/>
  <c r="D1438" i="6" s="1"/>
  <c r="E1438" i="6" s="1"/>
  <c r="J1437" i="6"/>
  <c r="I1437" i="6"/>
  <c r="G1437" i="6"/>
  <c r="F1437" i="6"/>
  <c r="C1437" i="6"/>
  <c r="D1437" i="6" s="1"/>
  <c r="E1437" i="6" s="1"/>
  <c r="J1436" i="6"/>
  <c r="I1436" i="6"/>
  <c r="G1436" i="6"/>
  <c r="F1436" i="6"/>
  <c r="C1436" i="6"/>
  <c r="D1436" i="6" s="1"/>
  <c r="E1436" i="6" s="1"/>
  <c r="J1435" i="6"/>
  <c r="I1435" i="6"/>
  <c r="G1435" i="6"/>
  <c r="F1435" i="6"/>
  <c r="C1435" i="6"/>
  <c r="D1435" i="6" s="1"/>
  <c r="E1435" i="6" s="1"/>
  <c r="J1434" i="6"/>
  <c r="I1434" i="6"/>
  <c r="G1434" i="6"/>
  <c r="F1434" i="6"/>
  <c r="C1434" i="6"/>
  <c r="D1434" i="6" s="1"/>
  <c r="E1434" i="6" s="1"/>
  <c r="J1433" i="6"/>
  <c r="I1433" i="6"/>
  <c r="G1433" i="6"/>
  <c r="F1433" i="6"/>
  <c r="C1433" i="6"/>
  <c r="D1433" i="6" s="1"/>
  <c r="E1433" i="6" s="1"/>
  <c r="J1432" i="6"/>
  <c r="I1432" i="6"/>
  <c r="G1432" i="6"/>
  <c r="F1432" i="6"/>
  <c r="C1432" i="6"/>
  <c r="D1432" i="6" s="1"/>
  <c r="E1432" i="6" s="1"/>
  <c r="J1431" i="6"/>
  <c r="I1431" i="6"/>
  <c r="G1431" i="6"/>
  <c r="F1431" i="6"/>
  <c r="C1431" i="6"/>
  <c r="D1431" i="6" s="1"/>
  <c r="E1431" i="6" s="1"/>
  <c r="J1430" i="6"/>
  <c r="I1430" i="6"/>
  <c r="G1430" i="6"/>
  <c r="F1430" i="6"/>
  <c r="C1430" i="6"/>
  <c r="D1430" i="6" s="1"/>
  <c r="E1430" i="6" s="1"/>
  <c r="J1429" i="6"/>
  <c r="I1429" i="6"/>
  <c r="G1429" i="6"/>
  <c r="F1429" i="6"/>
  <c r="C1429" i="6"/>
  <c r="D1429" i="6" s="1"/>
  <c r="E1429" i="6" s="1"/>
  <c r="J1428" i="6"/>
  <c r="I1428" i="6"/>
  <c r="G1428" i="6"/>
  <c r="F1428" i="6"/>
  <c r="C1428" i="6"/>
  <c r="D1428" i="6" s="1"/>
  <c r="E1428" i="6" s="1"/>
  <c r="J1427" i="6"/>
  <c r="I1427" i="6"/>
  <c r="G1427" i="6"/>
  <c r="F1427" i="6"/>
  <c r="C1427" i="6"/>
  <c r="D1427" i="6" s="1"/>
  <c r="E1427" i="6" s="1"/>
  <c r="J1426" i="6"/>
  <c r="I1426" i="6"/>
  <c r="G1426" i="6"/>
  <c r="F1426" i="6"/>
  <c r="C1426" i="6"/>
  <c r="D1426" i="6" s="1"/>
  <c r="E1426" i="6" s="1"/>
  <c r="J1425" i="6"/>
  <c r="I1425" i="6"/>
  <c r="G1425" i="6"/>
  <c r="F1425" i="6"/>
  <c r="C1425" i="6"/>
  <c r="D1425" i="6" s="1"/>
  <c r="E1425" i="6" s="1"/>
  <c r="J1424" i="6"/>
  <c r="I1424" i="6"/>
  <c r="G1424" i="6"/>
  <c r="F1424" i="6"/>
  <c r="C1424" i="6"/>
  <c r="D1424" i="6" s="1"/>
  <c r="E1424" i="6" s="1"/>
  <c r="J1423" i="6"/>
  <c r="I1423" i="6"/>
  <c r="G1423" i="6"/>
  <c r="F1423" i="6"/>
  <c r="C1423" i="6"/>
  <c r="D1423" i="6" s="1"/>
  <c r="E1423" i="6" s="1"/>
  <c r="J1422" i="6"/>
  <c r="I1422" i="6"/>
  <c r="G1422" i="6"/>
  <c r="F1422" i="6"/>
  <c r="C1422" i="6"/>
  <c r="D1422" i="6" s="1"/>
  <c r="E1422" i="6" s="1"/>
  <c r="J1421" i="6"/>
  <c r="I1421" i="6"/>
  <c r="G1421" i="6"/>
  <c r="F1421" i="6"/>
  <c r="C1421" i="6"/>
  <c r="D1421" i="6" s="1"/>
  <c r="E1421" i="6" s="1"/>
  <c r="J1420" i="6"/>
  <c r="I1420" i="6"/>
  <c r="G1420" i="6"/>
  <c r="F1420" i="6"/>
  <c r="C1420" i="6"/>
  <c r="D1420" i="6" s="1"/>
  <c r="E1420" i="6" s="1"/>
  <c r="J1419" i="6"/>
  <c r="I1419" i="6"/>
  <c r="G1419" i="6"/>
  <c r="F1419" i="6"/>
  <c r="C1419" i="6"/>
  <c r="D1419" i="6" s="1"/>
  <c r="E1419" i="6" s="1"/>
  <c r="J1418" i="6"/>
  <c r="I1418" i="6"/>
  <c r="G1418" i="6"/>
  <c r="F1418" i="6"/>
  <c r="C1418" i="6"/>
  <c r="D1418" i="6" s="1"/>
  <c r="E1418" i="6" s="1"/>
  <c r="J1417" i="6"/>
  <c r="I1417" i="6"/>
  <c r="G1417" i="6"/>
  <c r="F1417" i="6"/>
  <c r="C1417" i="6"/>
  <c r="D1417" i="6" s="1"/>
  <c r="E1417" i="6" s="1"/>
  <c r="J1416" i="6"/>
  <c r="I1416" i="6"/>
  <c r="G1416" i="6"/>
  <c r="F1416" i="6"/>
  <c r="C1416" i="6"/>
  <c r="D1416" i="6" s="1"/>
  <c r="E1416" i="6" s="1"/>
  <c r="J1415" i="6"/>
  <c r="I1415" i="6"/>
  <c r="G1415" i="6"/>
  <c r="F1415" i="6"/>
  <c r="C1415" i="6"/>
  <c r="D1415" i="6" s="1"/>
  <c r="E1415" i="6" s="1"/>
  <c r="J1414" i="6"/>
  <c r="I1414" i="6"/>
  <c r="G1414" i="6"/>
  <c r="F1414" i="6"/>
  <c r="C1414" i="6"/>
  <c r="D1414" i="6" s="1"/>
  <c r="E1414" i="6" s="1"/>
  <c r="J1413" i="6"/>
  <c r="I1413" i="6"/>
  <c r="G1413" i="6"/>
  <c r="F1413" i="6"/>
  <c r="C1413" i="6"/>
  <c r="D1413" i="6" s="1"/>
  <c r="E1413" i="6" s="1"/>
  <c r="J1412" i="6"/>
  <c r="I1412" i="6"/>
  <c r="G1412" i="6"/>
  <c r="F1412" i="6"/>
  <c r="C1412" i="6"/>
  <c r="D1412" i="6" s="1"/>
  <c r="E1412" i="6" s="1"/>
  <c r="J1411" i="6"/>
  <c r="I1411" i="6"/>
  <c r="G1411" i="6"/>
  <c r="F1411" i="6"/>
  <c r="C1411" i="6"/>
  <c r="D1411" i="6" s="1"/>
  <c r="E1411" i="6" s="1"/>
  <c r="J1410" i="6"/>
  <c r="I1410" i="6"/>
  <c r="G1410" i="6"/>
  <c r="F1410" i="6"/>
  <c r="C1410" i="6"/>
  <c r="D1410" i="6" s="1"/>
  <c r="E1410" i="6" s="1"/>
  <c r="J1409" i="6"/>
  <c r="I1409" i="6"/>
  <c r="G1409" i="6"/>
  <c r="F1409" i="6"/>
  <c r="C1409" i="6"/>
  <c r="D1409" i="6" s="1"/>
  <c r="E1409" i="6" s="1"/>
  <c r="J1408" i="6"/>
  <c r="I1408" i="6"/>
  <c r="G1408" i="6"/>
  <c r="F1408" i="6"/>
  <c r="C1408" i="6"/>
  <c r="D1408" i="6" s="1"/>
  <c r="E1408" i="6" s="1"/>
  <c r="J1407" i="6"/>
  <c r="I1407" i="6"/>
  <c r="G1407" i="6"/>
  <c r="F1407" i="6"/>
  <c r="C1407" i="6"/>
  <c r="D1407" i="6" s="1"/>
  <c r="E1407" i="6" s="1"/>
  <c r="J1406" i="6"/>
  <c r="I1406" i="6"/>
  <c r="G1406" i="6"/>
  <c r="F1406" i="6"/>
  <c r="C1406" i="6"/>
  <c r="D1406" i="6" s="1"/>
  <c r="E1406" i="6" s="1"/>
  <c r="J1405" i="6"/>
  <c r="I1405" i="6"/>
  <c r="G1405" i="6"/>
  <c r="F1405" i="6"/>
  <c r="C1405" i="6"/>
  <c r="D1405" i="6" s="1"/>
  <c r="E1405" i="6" s="1"/>
  <c r="J1404" i="6"/>
  <c r="I1404" i="6"/>
  <c r="G1404" i="6"/>
  <c r="F1404" i="6"/>
  <c r="C1404" i="6"/>
  <c r="D1404" i="6" s="1"/>
  <c r="E1404" i="6" s="1"/>
  <c r="J1403" i="6"/>
  <c r="I1403" i="6"/>
  <c r="G1403" i="6"/>
  <c r="F1403" i="6"/>
  <c r="C1403" i="6"/>
  <c r="D1403" i="6" s="1"/>
  <c r="E1403" i="6" s="1"/>
  <c r="J1402" i="6"/>
  <c r="I1402" i="6"/>
  <c r="G1402" i="6"/>
  <c r="F1402" i="6"/>
  <c r="C1402" i="6"/>
  <c r="D1402" i="6" s="1"/>
  <c r="E1402" i="6" s="1"/>
  <c r="J1401" i="6"/>
  <c r="I1401" i="6"/>
  <c r="G1401" i="6"/>
  <c r="F1401" i="6"/>
  <c r="C1401" i="6"/>
  <c r="D1401" i="6" s="1"/>
  <c r="E1401" i="6" s="1"/>
  <c r="J1400" i="6"/>
  <c r="I1400" i="6"/>
  <c r="G1400" i="6"/>
  <c r="F1400" i="6"/>
  <c r="C1400" i="6"/>
  <c r="D1400" i="6" s="1"/>
  <c r="E1400" i="6" s="1"/>
  <c r="J1399" i="6"/>
  <c r="I1399" i="6"/>
  <c r="G1399" i="6"/>
  <c r="F1399" i="6"/>
  <c r="C1399" i="6"/>
  <c r="D1399" i="6" s="1"/>
  <c r="E1399" i="6" s="1"/>
  <c r="J1398" i="6"/>
  <c r="I1398" i="6"/>
  <c r="G1398" i="6"/>
  <c r="F1398" i="6"/>
  <c r="C1398" i="6"/>
  <c r="D1398" i="6" s="1"/>
  <c r="E1398" i="6" s="1"/>
  <c r="J1397" i="6"/>
  <c r="I1397" i="6"/>
  <c r="G1397" i="6"/>
  <c r="F1397" i="6"/>
  <c r="C1397" i="6"/>
  <c r="D1397" i="6" s="1"/>
  <c r="E1397" i="6" s="1"/>
  <c r="J1396" i="6"/>
  <c r="I1396" i="6"/>
  <c r="G1396" i="6"/>
  <c r="F1396" i="6"/>
  <c r="C1396" i="6"/>
  <c r="D1396" i="6" s="1"/>
  <c r="E1396" i="6" s="1"/>
  <c r="J1395" i="6"/>
  <c r="I1395" i="6"/>
  <c r="G1395" i="6"/>
  <c r="F1395" i="6"/>
  <c r="C1395" i="6"/>
  <c r="D1395" i="6" s="1"/>
  <c r="E1395" i="6" s="1"/>
  <c r="J1394" i="6"/>
  <c r="I1394" i="6"/>
  <c r="G1394" i="6"/>
  <c r="F1394" i="6"/>
  <c r="C1394" i="6"/>
  <c r="D1394" i="6" s="1"/>
  <c r="E1394" i="6" s="1"/>
  <c r="J1393" i="6"/>
  <c r="I1393" i="6"/>
  <c r="G1393" i="6"/>
  <c r="F1393" i="6"/>
  <c r="C1393" i="6"/>
  <c r="D1393" i="6" s="1"/>
  <c r="E1393" i="6" s="1"/>
  <c r="J1392" i="6"/>
  <c r="I1392" i="6"/>
  <c r="G1392" i="6"/>
  <c r="F1392" i="6"/>
  <c r="C1392" i="6"/>
  <c r="D1392" i="6" s="1"/>
  <c r="E1392" i="6" s="1"/>
  <c r="J1391" i="6"/>
  <c r="I1391" i="6"/>
  <c r="G1391" i="6"/>
  <c r="F1391" i="6"/>
  <c r="C1391" i="6"/>
  <c r="D1391" i="6" s="1"/>
  <c r="E1391" i="6" s="1"/>
  <c r="J1390" i="6"/>
  <c r="I1390" i="6"/>
  <c r="G1390" i="6"/>
  <c r="F1390" i="6"/>
  <c r="C1390" i="6"/>
  <c r="D1390" i="6" s="1"/>
  <c r="E1390" i="6" s="1"/>
  <c r="J1389" i="6"/>
  <c r="I1389" i="6"/>
  <c r="G1389" i="6"/>
  <c r="F1389" i="6"/>
  <c r="C1389" i="6"/>
  <c r="D1389" i="6" s="1"/>
  <c r="E1389" i="6" s="1"/>
  <c r="J1388" i="6"/>
  <c r="I1388" i="6"/>
  <c r="G1388" i="6"/>
  <c r="F1388" i="6"/>
  <c r="C1388" i="6"/>
  <c r="D1388" i="6" s="1"/>
  <c r="E1388" i="6" s="1"/>
  <c r="J1387" i="6"/>
  <c r="I1387" i="6"/>
  <c r="G1387" i="6"/>
  <c r="F1387" i="6"/>
  <c r="C1387" i="6"/>
  <c r="D1387" i="6" s="1"/>
  <c r="E1387" i="6" s="1"/>
  <c r="J1386" i="6"/>
  <c r="I1386" i="6"/>
  <c r="G1386" i="6"/>
  <c r="F1386" i="6"/>
  <c r="C1386" i="6"/>
  <c r="D1386" i="6" s="1"/>
  <c r="E1386" i="6" s="1"/>
  <c r="J1385" i="6"/>
  <c r="I1385" i="6"/>
  <c r="G1385" i="6"/>
  <c r="F1385" i="6"/>
  <c r="C1385" i="6"/>
  <c r="D1385" i="6" s="1"/>
  <c r="E1385" i="6" s="1"/>
  <c r="J1384" i="6"/>
  <c r="I1384" i="6"/>
  <c r="G1384" i="6"/>
  <c r="F1384" i="6"/>
  <c r="C1384" i="6"/>
  <c r="D1384" i="6" s="1"/>
  <c r="E1384" i="6" s="1"/>
  <c r="J1383" i="6"/>
  <c r="I1383" i="6"/>
  <c r="G1383" i="6"/>
  <c r="F1383" i="6"/>
  <c r="C1383" i="6"/>
  <c r="D1383" i="6" s="1"/>
  <c r="E1383" i="6" s="1"/>
  <c r="J1382" i="6"/>
  <c r="I1382" i="6"/>
  <c r="G1382" i="6"/>
  <c r="F1382" i="6"/>
  <c r="C1382" i="6"/>
  <c r="D1382" i="6" s="1"/>
  <c r="E1382" i="6" s="1"/>
  <c r="J1381" i="6"/>
  <c r="I1381" i="6"/>
  <c r="G1381" i="6"/>
  <c r="F1381" i="6"/>
  <c r="C1381" i="6"/>
  <c r="D1381" i="6" s="1"/>
  <c r="E1381" i="6" s="1"/>
  <c r="J1380" i="6"/>
  <c r="I1380" i="6"/>
  <c r="G1380" i="6"/>
  <c r="F1380" i="6"/>
  <c r="C1380" i="6"/>
  <c r="D1380" i="6" s="1"/>
  <c r="E1380" i="6" s="1"/>
  <c r="J1379" i="6"/>
  <c r="I1379" i="6"/>
  <c r="G1379" i="6"/>
  <c r="F1379" i="6"/>
  <c r="C1379" i="6"/>
  <c r="D1379" i="6" s="1"/>
  <c r="E1379" i="6" s="1"/>
  <c r="J1378" i="6"/>
  <c r="I1378" i="6"/>
  <c r="G1378" i="6"/>
  <c r="F1378" i="6"/>
  <c r="C1378" i="6"/>
  <c r="D1378" i="6" s="1"/>
  <c r="E1378" i="6" s="1"/>
  <c r="J1377" i="6"/>
  <c r="I1377" i="6"/>
  <c r="G1377" i="6"/>
  <c r="F1377" i="6"/>
  <c r="C1377" i="6"/>
  <c r="D1377" i="6" s="1"/>
  <c r="E1377" i="6" s="1"/>
  <c r="J1376" i="6"/>
  <c r="I1376" i="6"/>
  <c r="G1376" i="6"/>
  <c r="F1376" i="6"/>
  <c r="C1376" i="6"/>
  <c r="D1376" i="6" s="1"/>
  <c r="E1376" i="6" s="1"/>
  <c r="J1375" i="6"/>
  <c r="I1375" i="6"/>
  <c r="G1375" i="6"/>
  <c r="F1375" i="6"/>
  <c r="C1375" i="6"/>
  <c r="D1375" i="6" s="1"/>
  <c r="E1375" i="6" s="1"/>
  <c r="J1374" i="6"/>
  <c r="I1374" i="6"/>
  <c r="G1374" i="6"/>
  <c r="F1374" i="6"/>
  <c r="C1374" i="6"/>
  <c r="D1374" i="6" s="1"/>
  <c r="E1374" i="6" s="1"/>
  <c r="J1373" i="6"/>
  <c r="I1373" i="6"/>
  <c r="G1373" i="6"/>
  <c r="F1373" i="6"/>
  <c r="C1373" i="6"/>
  <c r="D1373" i="6" s="1"/>
  <c r="E1373" i="6" s="1"/>
  <c r="J1372" i="6"/>
  <c r="I1372" i="6"/>
  <c r="G1372" i="6"/>
  <c r="F1372" i="6"/>
  <c r="C1372" i="6"/>
  <c r="D1372" i="6" s="1"/>
  <c r="E1372" i="6" s="1"/>
  <c r="J1371" i="6"/>
  <c r="I1371" i="6"/>
  <c r="G1371" i="6"/>
  <c r="F1371" i="6"/>
  <c r="C1371" i="6"/>
  <c r="D1371" i="6" s="1"/>
  <c r="E1371" i="6" s="1"/>
  <c r="J1370" i="6"/>
  <c r="I1370" i="6"/>
  <c r="G1370" i="6"/>
  <c r="F1370" i="6"/>
  <c r="C1370" i="6"/>
  <c r="D1370" i="6" s="1"/>
  <c r="E1370" i="6" s="1"/>
  <c r="J1369" i="6"/>
  <c r="I1369" i="6"/>
  <c r="G1369" i="6"/>
  <c r="F1369" i="6"/>
  <c r="C1369" i="6"/>
  <c r="D1369" i="6" s="1"/>
  <c r="E1369" i="6" s="1"/>
  <c r="J1368" i="6"/>
  <c r="I1368" i="6"/>
  <c r="G1368" i="6"/>
  <c r="F1368" i="6"/>
  <c r="C1368" i="6"/>
  <c r="D1368" i="6" s="1"/>
  <c r="E1368" i="6" s="1"/>
  <c r="J1367" i="6"/>
  <c r="I1367" i="6"/>
  <c r="G1367" i="6"/>
  <c r="F1367" i="6"/>
  <c r="C1367" i="6"/>
  <c r="D1367" i="6" s="1"/>
  <c r="E1367" i="6" s="1"/>
  <c r="J1366" i="6"/>
  <c r="I1366" i="6"/>
  <c r="G1366" i="6"/>
  <c r="F1366" i="6"/>
  <c r="C1366" i="6"/>
  <c r="D1366" i="6" s="1"/>
  <c r="E1366" i="6" s="1"/>
  <c r="J1365" i="6"/>
  <c r="I1365" i="6"/>
  <c r="G1365" i="6"/>
  <c r="F1365" i="6"/>
  <c r="C1365" i="6"/>
  <c r="D1365" i="6" s="1"/>
  <c r="E1365" i="6" s="1"/>
  <c r="J1364" i="6"/>
  <c r="I1364" i="6"/>
  <c r="G1364" i="6"/>
  <c r="F1364" i="6"/>
  <c r="C1364" i="6"/>
  <c r="D1364" i="6" s="1"/>
  <c r="E1364" i="6" s="1"/>
  <c r="J1363" i="6"/>
  <c r="I1363" i="6"/>
  <c r="G1363" i="6"/>
  <c r="F1363" i="6"/>
  <c r="C1363" i="6"/>
  <c r="D1363" i="6" s="1"/>
  <c r="E1363" i="6" s="1"/>
  <c r="J1362" i="6"/>
  <c r="I1362" i="6"/>
  <c r="G1362" i="6"/>
  <c r="F1362" i="6"/>
  <c r="C1362" i="6"/>
  <c r="D1362" i="6" s="1"/>
  <c r="E1362" i="6" s="1"/>
  <c r="J1361" i="6"/>
  <c r="I1361" i="6"/>
  <c r="G1361" i="6"/>
  <c r="F1361" i="6"/>
  <c r="C1361" i="6"/>
  <c r="D1361" i="6" s="1"/>
  <c r="E1361" i="6" s="1"/>
  <c r="J1360" i="6"/>
  <c r="I1360" i="6"/>
  <c r="G1360" i="6"/>
  <c r="F1360" i="6"/>
  <c r="C1360" i="6"/>
  <c r="D1360" i="6" s="1"/>
  <c r="E1360" i="6" s="1"/>
  <c r="J1359" i="6"/>
  <c r="I1359" i="6"/>
  <c r="G1359" i="6"/>
  <c r="F1359" i="6"/>
  <c r="C1359" i="6"/>
  <c r="D1359" i="6" s="1"/>
  <c r="E1359" i="6" s="1"/>
  <c r="J1358" i="6"/>
  <c r="I1358" i="6"/>
  <c r="G1358" i="6"/>
  <c r="F1358" i="6"/>
  <c r="C1358" i="6"/>
  <c r="D1358" i="6" s="1"/>
  <c r="E1358" i="6" s="1"/>
  <c r="J1357" i="6"/>
  <c r="I1357" i="6"/>
  <c r="G1357" i="6"/>
  <c r="F1357" i="6"/>
  <c r="C1357" i="6"/>
  <c r="D1357" i="6" s="1"/>
  <c r="E1357" i="6" s="1"/>
  <c r="J1356" i="6"/>
  <c r="I1356" i="6"/>
  <c r="G1356" i="6"/>
  <c r="F1356" i="6"/>
  <c r="C1356" i="6"/>
  <c r="D1356" i="6" s="1"/>
  <c r="E1356" i="6" s="1"/>
  <c r="J1355" i="6"/>
  <c r="I1355" i="6"/>
  <c r="G1355" i="6"/>
  <c r="F1355" i="6"/>
  <c r="C1355" i="6"/>
  <c r="D1355" i="6" s="1"/>
  <c r="E1355" i="6" s="1"/>
  <c r="J1354" i="6"/>
  <c r="I1354" i="6"/>
  <c r="G1354" i="6"/>
  <c r="F1354" i="6"/>
  <c r="C1354" i="6"/>
  <c r="D1354" i="6" s="1"/>
  <c r="E1354" i="6" s="1"/>
  <c r="J1353" i="6"/>
  <c r="I1353" i="6"/>
  <c r="G1353" i="6"/>
  <c r="F1353" i="6"/>
  <c r="C1353" i="6"/>
  <c r="D1353" i="6" s="1"/>
  <c r="E1353" i="6" s="1"/>
  <c r="J1352" i="6"/>
  <c r="I1352" i="6"/>
  <c r="G1352" i="6"/>
  <c r="F1352" i="6"/>
  <c r="C1352" i="6"/>
  <c r="D1352" i="6" s="1"/>
  <c r="E1352" i="6" s="1"/>
  <c r="J1351" i="6"/>
  <c r="I1351" i="6"/>
  <c r="G1351" i="6"/>
  <c r="F1351" i="6"/>
  <c r="C1351" i="6"/>
  <c r="D1351" i="6" s="1"/>
  <c r="E1351" i="6" s="1"/>
  <c r="J1350" i="6"/>
  <c r="I1350" i="6"/>
  <c r="G1350" i="6"/>
  <c r="F1350" i="6"/>
  <c r="C1350" i="6"/>
  <c r="D1350" i="6" s="1"/>
  <c r="E1350" i="6" s="1"/>
  <c r="J1349" i="6"/>
  <c r="I1349" i="6"/>
  <c r="G1349" i="6"/>
  <c r="F1349" i="6"/>
  <c r="C1349" i="6"/>
  <c r="D1349" i="6" s="1"/>
  <c r="E1349" i="6" s="1"/>
  <c r="J1348" i="6"/>
  <c r="I1348" i="6"/>
  <c r="G1348" i="6"/>
  <c r="F1348" i="6"/>
  <c r="C1348" i="6"/>
  <c r="D1348" i="6" s="1"/>
  <c r="E1348" i="6" s="1"/>
  <c r="J1347" i="6"/>
  <c r="I1347" i="6"/>
  <c r="G1347" i="6"/>
  <c r="F1347" i="6"/>
  <c r="C1347" i="6"/>
  <c r="D1347" i="6" s="1"/>
  <c r="E1347" i="6" s="1"/>
  <c r="J1346" i="6"/>
  <c r="I1346" i="6"/>
  <c r="G1346" i="6"/>
  <c r="F1346" i="6"/>
  <c r="C1346" i="6"/>
  <c r="D1346" i="6" s="1"/>
  <c r="E1346" i="6" s="1"/>
  <c r="J1345" i="6"/>
  <c r="I1345" i="6"/>
  <c r="G1345" i="6"/>
  <c r="F1345" i="6"/>
  <c r="C1345" i="6"/>
  <c r="D1345" i="6" s="1"/>
  <c r="E1345" i="6" s="1"/>
  <c r="J1344" i="6"/>
  <c r="I1344" i="6"/>
  <c r="G1344" i="6"/>
  <c r="F1344" i="6"/>
  <c r="C1344" i="6"/>
  <c r="D1344" i="6" s="1"/>
  <c r="E1344" i="6" s="1"/>
  <c r="J1343" i="6"/>
  <c r="I1343" i="6"/>
  <c r="G1343" i="6"/>
  <c r="F1343" i="6"/>
  <c r="C1343" i="6"/>
  <c r="D1343" i="6" s="1"/>
  <c r="E1343" i="6" s="1"/>
  <c r="J1342" i="6"/>
  <c r="I1342" i="6"/>
  <c r="G1342" i="6"/>
  <c r="F1342" i="6"/>
  <c r="C1342" i="6"/>
  <c r="D1342" i="6" s="1"/>
  <c r="E1342" i="6" s="1"/>
  <c r="J1341" i="6"/>
  <c r="I1341" i="6"/>
  <c r="G1341" i="6"/>
  <c r="F1341" i="6"/>
  <c r="C1341" i="6"/>
  <c r="D1341" i="6" s="1"/>
  <c r="E1341" i="6" s="1"/>
  <c r="J1340" i="6"/>
  <c r="I1340" i="6"/>
  <c r="G1340" i="6"/>
  <c r="F1340" i="6"/>
  <c r="C1340" i="6"/>
  <c r="D1340" i="6" s="1"/>
  <c r="E1340" i="6" s="1"/>
  <c r="J1339" i="6"/>
  <c r="I1339" i="6"/>
  <c r="G1339" i="6"/>
  <c r="F1339" i="6"/>
  <c r="C1339" i="6"/>
  <c r="D1339" i="6" s="1"/>
  <c r="E1339" i="6" s="1"/>
  <c r="J1338" i="6"/>
  <c r="I1338" i="6"/>
  <c r="G1338" i="6"/>
  <c r="F1338" i="6"/>
  <c r="C1338" i="6"/>
  <c r="D1338" i="6" s="1"/>
  <c r="E1338" i="6" s="1"/>
  <c r="J1337" i="6"/>
  <c r="I1337" i="6"/>
  <c r="G1337" i="6"/>
  <c r="F1337" i="6"/>
  <c r="C1337" i="6"/>
  <c r="D1337" i="6" s="1"/>
  <c r="E1337" i="6" s="1"/>
  <c r="J1336" i="6"/>
  <c r="I1336" i="6"/>
  <c r="G1336" i="6"/>
  <c r="F1336" i="6"/>
  <c r="C1336" i="6"/>
  <c r="D1336" i="6" s="1"/>
  <c r="E1336" i="6" s="1"/>
  <c r="J1335" i="6"/>
  <c r="I1335" i="6"/>
  <c r="G1335" i="6"/>
  <c r="F1335" i="6"/>
  <c r="C1335" i="6"/>
  <c r="D1335" i="6" s="1"/>
  <c r="E1335" i="6" s="1"/>
  <c r="J1334" i="6"/>
  <c r="I1334" i="6"/>
  <c r="G1334" i="6"/>
  <c r="F1334" i="6"/>
  <c r="C1334" i="6"/>
  <c r="D1334" i="6" s="1"/>
  <c r="E1334" i="6" s="1"/>
  <c r="J1333" i="6"/>
  <c r="I1333" i="6"/>
  <c r="G1333" i="6"/>
  <c r="F1333" i="6"/>
  <c r="C1333" i="6"/>
  <c r="D1333" i="6" s="1"/>
  <c r="E1333" i="6" s="1"/>
  <c r="J1332" i="6"/>
  <c r="I1332" i="6"/>
  <c r="G1332" i="6"/>
  <c r="F1332" i="6"/>
  <c r="C1332" i="6"/>
  <c r="D1332" i="6" s="1"/>
  <c r="E1332" i="6" s="1"/>
  <c r="J1331" i="6"/>
  <c r="I1331" i="6"/>
  <c r="G1331" i="6"/>
  <c r="F1331" i="6"/>
  <c r="C1331" i="6"/>
  <c r="D1331" i="6" s="1"/>
  <c r="E1331" i="6" s="1"/>
  <c r="J1330" i="6"/>
  <c r="I1330" i="6"/>
  <c r="G1330" i="6"/>
  <c r="F1330" i="6"/>
  <c r="C1330" i="6"/>
  <c r="D1330" i="6" s="1"/>
  <c r="E1330" i="6" s="1"/>
  <c r="J1329" i="6"/>
  <c r="I1329" i="6"/>
  <c r="G1329" i="6"/>
  <c r="F1329" i="6"/>
  <c r="C1329" i="6"/>
  <c r="D1329" i="6" s="1"/>
  <c r="E1329" i="6" s="1"/>
  <c r="J1328" i="6"/>
  <c r="I1328" i="6"/>
  <c r="G1328" i="6"/>
  <c r="F1328" i="6"/>
  <c r="C1328" i="6"/>
  <c r="D1328" i="6" s="1"/>
  <c r="E1328" i="6" s="1"/>
  <c r="J1327" i="6"/>
  <c r="I1327" i="6"/>
  <c r="G1327" i="6"/>
  <c r="F1327" i="6"/>
  <c r="C1327" i="6"/>
  <c r="D1327" i="6" s="1"/>
  <c r="E1327" i="6" s="1"/>
  <c r="J1326" i="6"/>
  <c r="I1326" i="6"/>
  <c r="G1326" i="6"/>
  <c r="F1326" i="6"/>
  <c r="C1326" i="6"/>
  <c r="D1326" i="6" s="1"/>
  <c r="E1326" i="6" s="1"/>
  <c r="J1325" i="6"/>
  <c r="I1325" i="6"/>
  <c r="G1325" i="6"/>
  <c r="F1325" i="6"/>
  <c r="C1325" i="6"/>
  <c r="D1325" i="6" s="1"/>
  <c r="E1325" i="6" s="1"/>
  <c r="J1324" i="6"/>
  <c r="I1324" i="6"/>
  <c r="G1324" i="6"/>
  <c r="F1324" i="6"/>
  <c r="C1324" i="6"/>
  <c r="D1324" i="6" s="1"/>
  <c r="E1324" i="6" s="1"/>
  <c r="J1323" i="6"/>
  <c r="I1323" i="6"/>
  <c r="G1323" i="6"/>
  <c r="F1323" i="6"/>
  <c r="C1323" i="6"/>
  <c r="D1323" i="6" s="1"/>
  <c r="E1323" i="6" s="1"/>
  <c r="J1322" i="6"/>
  <c r="I1322" i="6"/>
  <c r="G1322" i="6"/>
  <c r="F1322" i="6"/>
  <c r="C1322" i="6"/>
  <c r="D1322" i="6" s="1"/>
  <c r="E1322" i="6" s="1"/>
  <c r="J1321" i="6"/>
  <c r="I1321" i="6"/>
  <c r="G1321" i="6"/>
  <c r="F1321" i="6"/>
  <c r="C1321" i="6"/>
  <c r="D1321" i="6" s="1"/>
  <c r="E1321" i="6" s="1"/>
  <c r="J1320" i="6"/>
  <c r="I1320" i="6"/>
  <c r="G1320" i="6"/>
  <c r="F1320" i="6"/>
  <c r="C1320" i="6"/>
  <c r="D1320" i="6" s="1"/>
  <c r="E1320" i="6" s="1"/>
  <c r="J1319" i="6"/>
  <c r="I1319" i="6"/>
  <c r="G1319" i="6"/>
  <c r="F1319" i="6"/>
  <c r="C1319" i="6"/>
  <c r="D1319" i="6" s="1"/>
  <c r="E1319" i="6" s="1"/>
  <c r="J1318" i="6"/>
  <c r="I1318" i="6"/>
  <c r="G1318" i="6"/>
  <c r="F1318" i="6"/>
  <c r="C1318" i="6"/>
  <c r="D1318" i="6" s="1"/>
  <c r="E1318" i="6" s="1"/>
  <c r="J1317" i="6"/>
  <c r="I1317" i="6"/>
  <c r="G1317" i="6"/>
  <c r="F1317" i="6"/>
  <c r="C1317" i="6"/>
  <c r="D1317" i="6" s="1"/>
  <c r="E1317" i="6" s="1"/>
  <c r="J1316" i="6"/>
  <c r="I1316" i="6"/>
  <c r="G1316" i="6"/>
  <c r="F1316" i="6"/>
  <c r="C1316" i="6"/>
  <c r="D1316" i="6" s="1"/>
  <c r="E1316" i="6" s="1"/>
  <c r="J1315" i="6"/>
  <c r="I1315" i="6"/>
  <c r="G1315" i="6"/>
  <c r="F1315" i="6"/>
  <c r="C1315" i="6"/>
  <c r="D1315" i="6" s="1"/>
  <c r="E1315" i="6" s="1"/>
  <c r="J1314" i="6"/>
  <c r="I1314" i="6"/>
  <c r="G1314" i="6"/>
  <c r="F1314" i="6"/>
  <c r="C1314" i="6"/>
  <c r="D1314" i="6" s="1"/>
  <c r="E1314" i="6" s="1"/>
  <c r="J1313" i="6"/>
  <c r="I1313" i="6"/>
  <c r="G1313" i="6"/>
  <c r="F1313" i="6"/>
  <c r="C1313" i="6"/>
  <c r="D1313" i="6" s="1"/>
  <c r="E1313" i="6" s="1"/>
  <c r="J1312" i="6"/>
  <c r="I1312" i="6"/>
  <c r="G1312" i="6"/>
  <c r="F1312" i="6"/>
  <c r="C1312" i="6"/>
  <c r="D1312" i="6" s="1"/>
  <c r="E1312" i="6" s="1"/>
  <c r="J1311" i="6"/>
  <c r="I1311" i="6"/>
  <c r="G1311" i="6"/>
  <c r="F1311" i="6"/>
  <c r="C1311" i="6"/>
  <c r="D1311" i="6" s="1"/>
  <c r="E1311" i="6" s="1"/>
  <c r="J1310" i="6"/>
  <c r="I1310" i="6"/>
  <c r="G1310" i="6"/>
  <c r="F1310" i="6"/>
  <c r="C1310" i="6"/>
  <c r="D1310" i="6" s="1"/>
  <c r="E1310" i="6" s="1"/>
  <c r="J1309" i="6"/>
  <c r="I1309" i="6"/>
  <c r="G1309" i="6"/>
  <c r="F1309" i="6"/>
  <c r="C1309" i="6"/>
  <c r="D1309" i="6" s="1"/>
  <c r="E1309" i="6" s="1"/>
  <c r="J1308" i="6"/>
  <c r="I1308" i="6"/>
  <c r="G1308" i="6"/>
  <c r="F1308" i="6"/>
  <c r="C1308" i="6"/>
  <c r="D1308" i="6" s="1"/>
  <c r="E1308" i="6" s="1"/>
  <c r="J1307" i="6"/>
  <c r="I1307" i="6"/>
  <c r="G1307" i="6"/>
  <c r="F1307" i="6"/>
  <c r="C1307" i="6"/>
  <c r="D1307" i="6" s="1"/>
  <c r="E1307" i="6" s="1"/>
  <c r="J1306" i="6"/>
  <c r="I1306" i="6"/>
  <c r="G1306" i="6"/>
  <c r="F1306" i="6"/>
  <c r="C1306" i="6"/>
  <c r="D1306" i="6" s="1"/>
  <c r="E1306" i="6" s="1"/>
  <c r="J1305" i="6"/>
  <c r="I1305" i="6"/>
  <c r="G1305" i="6"/>
  <c r="F1305" i="6"/>
  <c r="C1305" i="6"/>
  <c r="D1305" i="6" s="1"/>
  <c r="E1305" i="6" s="1"/>
  <c r="J1304" i="6"/>
  <c r="I1304" i="6"/>
  <c r="G1304" i="6"/>
  <c r="F1304" i="6"/>
  <c r="C1304" i="6"/>
  <c r="D1304" i="6" s="1"/>
  <c r="E1304" i="6" s="1"/>
  <c r="J1303" i="6"/>
  <c r="I1303" i="6"/>
  <c r="G1303" i="6"/>
  <c r="F1303" i="6"/>
  <c r="C1303" i="6"/>
  <c r="D1303" i="6" s="1"/>
  <c r="E1303" i="6" s="1"/>
  <c r="J1302" i="6"/>
  <c r="I1302" i="6"/>
  <c r="G1302" i="6"/>
  <c r="F1302" i="6"/>
  <c r="C1302" i="6"/>
  <c r="D1302" i="6" s="1"/>
  <c r="E1302" i="6" s="1"/>
  <c r="J1301" i="6"/>
  <c r="I1301" i="6"/>
  <c r="G1301" i="6"/>
  <c r="F1301" i="6"/>
  <c r="C1301" i="6"/>
  <c r="D1301" i="6" s="1"/>
  <c r="E1301" i="6" s="1"/>
  <c r="J1300" i="6"/>
  <c r="I1300" i="6"/>
  <c r="G1300" i="6"/>
  <c r="F1300" i="6"/>
  <c r="C1300" i="6"/>
  <c r="D1300" i="6" s="1"/>
  <c r="E1300" i="6" s="1"/>
  <c r="J1299" i="6"/>
  <c r="I1299" i="6"/>
  <c r="G1299" i="6"/>
  <c r="F1299" i="6"/>
  <c r="C1299" i="6"/>
  <c r="D1299" i="6" s="1"/>
  <c r="E1299" i="6" s="1"/>
  <c r="J1298" i="6"/>
  <c r="I1298" i="6"/>
  <c r="G1298" i="6"/>
  <c r="F1298" i="6"/>
  <c r="C1298" i="6"/>
  <c r="D1298" i="6" s="1"/>
  <c r="E1298" i="6" s="1"/>
  <c r="J1297" i="6"/>
  <c r="I1297" i="6"/>
  <c r="G1297" i="6"/>
  <c r="F1297" i="6"/>
  <c r="C1297" i="6"/>
  <c r="D1297" i="6" s="1"/>
  <c r="E1297" i="6" s="1"/>
  <c r="J1296" i="6"/>
  <c r="I1296" i="6"/>
  <c r="G1296" i="6"/>
  <c r="F1296" i="6"/>
  <c r="C1296" i="6"/>
  <c r="D1296" i="6" s="1"/>
  <c r="E1296" i="6" s="1"/>
  <c r="J1295" i="6"/>
  <c r="I1295" i="6"/>
  <c r="G1295" i="6"/>
  <c r="F1295" i="6"/>
  <c r="C1295" i="6"/>
  <c r="D1295" i="6" s="1"/>
  <c r="E1295" i="6" s="1"/>
  <c r="J1294" i="6"/>
  <c r="I1294" i="6"/>
  <c r="G1294" i="6"/>
  <c r="F1294" i="6"/>
  <c r="C1294" i="6"/>
  <c r="D1294" i="6" s="1"/>
  <c r="E1294" i="6" s="1"/>
  <c r="J1293" i="6"/>
  <c r="I1293" i="6"/>
  <c r="G1293" i="6"/>
  <c r="F1293" i="6"/>
  <c r="C1293" i="6"/>
  <c r="D1293" i="6" s="1"/>
  <c r="E1293" i="6" s="1"/>
  <c r="J1292" i="6"/>
  <c r="I1292" i="6"/>
  <c r="G1292" i="6"/>
  <c r="F1292" i="6"/>
  <c r="C1292" i="6"/>
  <c r="D1292" i="6" s="1"/>
  <c r="E1292" i="6" s="1"/>
  <c r="J1291" i="6"/>
  <c r="I1291" i="6"/>
  <c r="G1291" i="6"/>
  <c r="F1291" i="6"/>
  <c r="C1291" i="6"/>
  <c r="D1291" i="6" s="1"/>
  <c r="E1291" i="6" s="1"/>
  <c r="J1290" i="6"/>
  <c r="I1290" i="6"/>
  <c r="G1290" i="6"/>
  <c r="F1290" i="6"/>
  <c r="C1290" i="6"/>
  <c r="D1290" i="6" s="1"/>
  <c r="E1290" i="6" s="1"/>
  <c r="J1289" i="6"/>
  <c r="I1289" i="6"/>
  <c r="G1289" i="6"/>
  <c r="F1289" i="6"/>
  <c r="C1289" i="6"/>
  <c r="D1289" i="6" s="1"/>
  <c r="E1289" i="6" s="1"/>
  <c r="J1288" i="6"/>
  <c r="I1288" i="6"/>
  <c r="G1288" i="6"/>
  <c r="F1288" i="6"/>
  <c r="C1288" i="6"/>
  <c r="D1288" i="6" s="1"/>
  <c r="E1288" i="6" s="1"/>
  <c r="J1287" i="6"/>
  <c r="I1287" i="6"/>
  <c r="G1287" i="6"/>
  <c r="F1287" i="6"/>
  <c r="C1287" i="6"/>
  <c r="D1287" i="6" s="1"/>
  <c r="E1287" i="6" s="1"/>
  <c r="J1286" i="6"/>
  <c r="I1286" i="6"/>
  <c r="G1286" i="6"/>
  <c r="F1286" i="6"/>
  <c r="C1286" i="6"/>
  <c r="D1286" i="6" s="1"/>
  <c r="E1286" i="6" s="1"/>
  <c r="J1285" i="6"/>
  <c r="I1285" i="6"/>
  <c r="G1285" i="6"/>
  <c r="F1285" i="6"/>
  <c r="C1285" i="6"/>
  <c r="D1285" i="6" s="1"/>
  <c r="E1285" i="6" s="1"/>
  <c r="J1284" i="6"/>
  <c r="I1284" i="6"/>
  <c r="G1284" i="6"/>
  <c r="F1284" i="6"/>
  <c r="C1284" i="6"/>
  <c r="D1284" i="6" s="1"/>
  <c r="E1284" i="6" s="1"/>
  <c r="J1283" i="6"/>
  <c r="I1283" i="6"/>
  <c r="G1283" i="6"/>
  <c r="F1283" i="6"/>
  <c r="C1283" i="6"/>
  <c r="D1283" i="6" s="1"/>
  <c r="E1283" i="6" s="1"/>
  <c r="J1282" i="6"/>
  <c r="I1282" i="6"/>
  <c r="G1282" i="6"/>
  <c r="F1282" i="6"/>
  <c r="C1282" i="6"/>
  <c r="D1282" i="6" s="1"/>
  <c r="E1282" i="6" s="1"/>
  <c r="J1281" i="6"/>
  <c r="I1281" i="6"/>
  <c r="G1281" i="6"/>
  <c r="F1281" i="6"/>
  <c r="C1281" i="6"/>
  <c r="D1281" i="6" s="1"/>
  <c r="E1281" i="6" s="1"/>
  <c r="J1280" i="6"/>
  <c r="I1280" i="6"/>
  <c r="G1280" i="6"/>
  <c r="F1280" i="6"/>
  <c r="C1280" i="6"/>
  <c r="D1280" i="6" s="1"/>
  <c r="E1280" i="6" s="1"/>
  <c r="J1279" i="6"/>
  <c r="I1279" i="6"/>
  <c r="G1279" i="6"/>
  <c r="F1279" i="6"/>
  <c r="C1279" i="6"/>
  <c r="D1279" i="6" s="1"/>
  <c r="E1279" i="6" s="1"/>
  <c r="J1278" i="6"/>
  <c r="I1278" i="6"/>
  <c r="G1278" i="6"/>
  <c r="F1278" i="6"/>
  <c r="C1278" i="6"/>
  <c r="D1278" i="6" s="1"/>
  <c r="E1278" i="6" s="1"/>
  <c r="J1277" i="6"/>
  <c r="I1277" i="6"/>
  <c r="G1277" i="6"/>
  <c r="F1277" i="6"/>
  <c r="C1277" i="6"/>
  <c r="D1277" i="6" s="1"/>
  <c r="E1277" i="6" s="1"/>
  <c r="J1276" i="6"/>
  <c r="I1276" i="6"/>
  <c r="G1276" i="6"/>
  <c r="F1276" i="6"/>
  <c r="C1276" i="6"/>
  <c r="D1276" i="6" s="1"/>
  <c r="E1276" i="6" s="1"/>
  <c r="J1275" i="6"/>
  <c r="I1275" i="6"/>
  <c r="G1275" i="6"/>
  <c r="F1275" i="6"/>
  <c r="C1275" i="6"/>
  <c r="D1275" i="6" s="1"/>
  <c r="E1275" i="6" s="1"/>
  <c r="J1274" i="6"/>
  <c r="I1274" i="6"/>
  <c r="G1274" i="6"/>
  <c r="F1274" i="6"/>
  <c r="C1274" i="6"/>
  <c r="D1274" i="6" s="1"/>
  <c r="E1274" i="6" s="1"/>
  <c r="J1273" i="6"/>
  <c r="I1273" i="6"/>
  <c r="G1273" i="6"/>
  <c r="F1273" i="6"/>
  <c r="C1273" i="6"/>
  <c r="D1273" i="6" s="1"/>
  <c r="E1273" i="6" s="1"/>
  <c r="J1272" i="6"/>
  <c r="I1272" i="6"/>
  <c r="G1272" i="6"/>
  <c r="F1272" i="6"/>
  <c r="C1272" i="6"/>
  <c r="D1272" i="6" s="1"/>
  <c r="E1272" i="6" s="1"/>
  <c r="J1271" i="6"/>
  <c r="I1271" i="6"/>
  <c r="G1271" i="6"/>
  <c r="F1271" i="6"/>
  <c r="C1271" i="6"/>
  <c r="D1271" i="6" s="1"/>
  <c r="E1271" i="6" s="1"/>
  <c r="J1270" i="6"/>
  <c r="I1270" i="6"/>
  <c r="G1270" i="6"/>
  <c r="F1270" i="6"/>
  <c r="C1270" i="6"/>
  <c r="D1270" i="6" s="1"/>
  <c r="E1270" i="6" s="1"/>
  <c r="J1269" i="6"/>
  <c r="I1269" i="6"/>
  <c r="G1269" i="6"/>
  <c r="F1269" i="6"/>
  <c r="C1269" i="6"/>
  <c r="D1269" i="6" s="1"/>
  <c r="E1269" i="6" s="1"/>
  <c r="J1268" i="6"/>
  <c r="I1268" i="6"/>
  <c r="G1268" i="6"/>
  <c r="F1268" i="6"/>
  <c r="C1268" i="6"/>
  <c r="D1268" i="6" s="1"/>
  <c r="E1268" i="6" s="1"/>
  <c r="J1267" i="6"/>
  <c r="I1267" i="6"/>
  <c r="G1267" i="6"/>
  <c r="F1267" i="6"/>
  <c r="C1267" i="6"/>
  <c r="D1267" i="6" s="1"/>
  <c r="E1267" i="6" s="1"/>
  <c r="J1266" i="6"/>
  <c r="I1266" i="6"/>
  <c r="G1266" i="6"/>
  <c r="F1266" i="6"/>
  <c r="C1266" i="6"/>
  <c r="D1266" i="6" s="1"/>
  <c r="E1266" i="6" s="1"/>
  <c r="J1265" i="6"/>
  <c r="I1265" i="6"/>
  <c r="G1265" i="6"/>
  <c r="F1265" i="6"/>
  <c r="C1265" i="6"/>
  <c r="D1265" i="6" s="1"/>
  <c r="E1265" i="6" s="1"/>
  <c r="J1264" i="6"/>
  <c r="I1264" i="6"/>
  <c r="G1264" i="6"/>
  <c r="F1264" i="6"/>
  <c r="C1264" i="6"/>
  <c r="D1264" i="6" s="1"/>
  <c r="E1264" i="6" s="1"/>
  <c r="J1263" i="6"/>
  <c r="I1263" i="6"/>
  <c r="G1263" i="6"/>
  <c r="F1263" i="6"/>
  <c r="C1263" i="6"/>
  <c r="D1263" i="6" s="1"/>
  <c r="E1263" i="6" s="1"/>
  <c r="J1262" i="6"/>
  <c r="I1262" i="6"/>
  <c r="G1262" i="6"/>
  <c r="F1262" i="6"/>
  <c r="C1262" i="6"/>
  <c r="D1262" i="6" s="1"/>
  <c r="E1262" i="6" s="1"/>
  <c r="J1261" i="6"/>
  <c r="I1261" i="6"/>
  <c r="G1261" i="6"/>
  <c r="F1261" i="6"/>
  <c r="C1261" i="6"/>
  <c r="D1261" i="6" s="1"/>
  <c r="E1261" i="6" s="1"/>
  <c r="J1260" i="6"/>
  <c r="I1260" i="6"/>
  <c r="G1260" i="6"/>
  <c r="F1260" i="6"/>
  <c r="C1260" i="6"/>
  <c r="D1260" i="6" s="1"/>
  <c r="E1260" i="6" s="1"/>
  <c r="J1259" i="6"/>
  <c r="I1259" i="6"/>
  <c r="G1259" i="6"/>
  <c r="F1259" i="6"/>
  <c r="C1259" i="6"/>
  <c r="D1259" i="6" s="1"/>
  <c r="E1259" i="6" s="1"/>
  <c r="J1258" i="6"/>
  <c r="I1258" i="6"/>
  <c r="G1258" i="6"/>
  <c r="F1258" i="6"/>
  <c r="C1258" i="6"/>
  <c r="D1258" i="6" s="1"/>
  <c r="E1258" i="6" s="1"/>
  <c r="J1257" i="6"/>
  <c r="I1257" i="6"/>
  <c r="G1257" i="6"/>
  <c r="F1257" i="6"/>
  <c r="C1257" i="6"/>
  <c r="D1257" i="6" s="1"/>
  <c r="E1257" i="6" s="1"/>
  <c r="J1256" i="6"/>
  <c r="I1256" i="6"/>
  <c r="G1256" i="6"/>
  <c r="F1256" i="6"/>
  <c r="C1256" i="6"/>
  <c r="D1256" i="6" s="1"/>
  <c r="E1256" i="6" s="1"/>
  <c r="J1255" i="6"/>
  <c r="I1255" i="6"/>
  <c r="G1255" i="6"/>
  <c r="F1255" i="6"/>
  <c r="C1255" i="6"/>
  <c r="D1255" i="6" s="1"/>
  <c r="E1255" i="6" s="1"/>
  <c r="J1254" i="6"/>
  <c r="I1254" i="6"/>
  <c r="G1254" i="6"/>
  <c r="F1254" i="6"/>
  <c r="C1254" i="6"/>
  <c r="D1254" i="6" s="1"/>
  <c r="E1254" i="6" s="1"/>
  <c r="J1253" i="6"/>
  <c r="I1253" i="6"/>
  <c r="G1253" i="6"/>
  <c r="F1253" i="6"/>
  <c r="C1253" i="6"/>
  <c r="D1253" i="6" s="1"/>
  <c r="E1253" i="6" s="1"/>
  <c r="J1252" i="6"/>
  <c r="I1252" i="6"/>
  <c r="G1252" i="6"/>
  <c r="F1252" i="6"/>
  <c r="C1252" i="6"/>
  <c r="D1252" i="6" s="1"/>
  <c r="E1252" i="6" s="1"/>
  <c r="J1251" i="6"/>
  <c r="I1251" i="6"/>
  <c r="G1251" i="6"/>
  <c r="F1251" i="6"/>
  <c r="C1251" i="6"/>
  <c r="D1251" i="6" s="1"/>
  <c r="E1251" i="6" s="1"/>
  <c r="J1250" i="6"/>
  <c r="I1250" i="6"/>
  <c r="G1250" i="6"/>
  <c r="F1250" i="6"/>
  <c r="C1250" i="6"/>
  <c r="D1250" i="6" s="1"/>
  <c r="E1250" i="6" s="1"/>
  <c r="J1249" i="6"/>
  <c r="I1249" i="6"/>
  <c r="G1249" i="6"/>
  <c r="F1249" i="6"/>
  <c r="C1249" i="6"/>
  <c r="D1249" i="6" s="1"/>
  <c r="E1249" i="6" s="1"/>
  <c r="J1248" i="6"/>
  <c r="I1248" i="6"/>
  <c r="G1248" i="6"/>
  <c r="F1248" i="6"/>
  <c r="C1248" i="6"/>
  <c r="D1248" i="6" s="1"/>
  <c r="E1248" i="6" s="1"/>
  <c r="J1247" i="6"/>
  <c r="I1247" i="6"/>
  <c r="G1247" i="6"/>
  <c r="F1247" i="6"/>
  <c r="C1247" i="6"/>
  <c r="D1247" i="6" s="1"/>
  <c r="E1247" i="6" s="1"/>
  <c r="J1246" i="6"/>
  <c r="I1246" i="6"/>
  <c r="G1246" i="6"/>
  <c r="F1246" i="6"/>
  <c r="C1246" i="6"/>
  <c r="D1246" i="6" s="1"/>
  <c r="E1246" i="6" s="1"/>
  <c r="J1245" i="6"/>
  <c r="I1245" i="6"/>
  <c r="G1245" i="6"/>
  <c r="F1245" i="6"/>
  <c r="C1245" i="6"/>
  <c r="D1245" i="6" s="1"/>
  <c r="E1245" i="6" s="1"/>
  <c r="J1244" i="6"/>
  <c r="I1244" i="6"/>
  <c r="G1244" i="6"/>
  <c r="F1244" i="6"/>
  <c r="C1244" i="6"/>
  <c r="D1244" i="6" s="1"/>
  <c r="E1244" i="6" s="1"/>
  <c r="J1243" i="6"/>
  <c r="I1243" i="6"/>
  <c r="G1243" i="6"/>
  <c r="F1243" i="6"/>
  <c r="C1243" i="6"/>
  <c r="D1243" i="6" s="1"/>
  <c r="E1243" i="6" s="1"/>
  <c r="J1242" i="6"/>
  <c r="I1242" i="6"/>
  <c r="G1242" i="6"/>
  <c r="F1242" i="6"/>
  <c r="C1242" i="6"/>
  <c r="D1242" i="6" s="1"/>
  <c r="E1242" i="6" s="1"/>
  <c r="J1241" i="6"/>
  <c r="I1241" i="6"/>
  <c r="G1241" i="6"/>
  <c r="F1241" i="6"/>
  <c r="C1241" i="6"/>
  <c r="D1241" i="6" s="1"/>
  <c r="E1241" i="6" s="1"/>
  <c r="J1240" i="6"/>
  <c r="I1240" i="6"/>
  <c r="G1240" i="6"/>
  <c r="F1240" i="6"/>
  <c r="C1240" i="6"/>
  <c r="D1240" i="6" s="1"/>
  <c r="E1240" i="6" s="1"/>
  <c r="J1239" i="6"/>
  <c r="I1239" i="6"/>
  <c r="G1239" i="6"/>
  <c r="F1239" i="6"/>
  <c r="C1239" i="6"/>
  <c r="D1239" i="6" s="1"/>
  <c r="E1239" i="6" s="1"/>
  <c r="J1238" i="6"/>
  <c r="I1238" i="6"/>
  <c r="G1238" i="6"/>
  <c r="F1238" i="6"/>
  <c r="C1238" i="6"/>
  <c r="D1238" i="6" s="1"/>
  <c r="E1238" i="6" s="1"/>
  <c r="J1237" i="6"/>
  <c r="I1237" i="6"/>
  <c r="G1237" i="6"/>
  <c r="F1237" i="6"/>
  <c r="C1237" i="6"/>
  <c r="D1237" i="6" s="1"/>
  <c r="E1237" i="6" s="1"/>
  <c r="J1236" i="6"/>
  <c r="I1236" i="6"/>
  <c r="G1236" i="6"/>
  <c r="F1236" i="6"/>
  <c r="C1236" i="6"/>
  <c r="D1236" i="6" s="1"/>
  <c r="E1236" i="6" s="1"/>
  <c r="J1235" i="6"/>
  <c r="I1235" i="6"/>
  <c r="G1235" i="6"/>
  <c r="F1235" i="6"/>
  <c r="C1235" i="6"/>
  <c r="D1235" i="6" s="1"/>
  <c r="E1235" i="6" s="1"/>
  <c r="J1234" i="6"/>
  <c r="I1234" i="6"/>
  <c r="G1234" i="6"/>
  <c r="F1234" i="6"/>
  <c r="C1234" i="6"/>
  <c r="D1234" i="6" s="1"/>
  <c r="E1234" i="6" s="1"/>
  <c r="J1233" i="6"/>
  <c r="I1233" i="6"/>
  <c r="G1233" i="6"/>
  <c r="F1233" i="6"/>
  <c r="C1233" i="6"/>
  <c r="D1233" i="6" s="1"/>
  <c r="E1233" i="6" s="1"/>
  <c r="J1232" i="6"/>
  <c r="I1232" i="6"/>
  <c r="G1232" i="6"/>
  <c r="F1232" i="6"/>
  <c r="C1232" i="6"/>
  <c r="D1232" i="6" s="1"/>
  <c r="E1232" i="6" s="1"/>
  <c r="J1231" i="6"/>
  <c r="I1231" i="6"/>
  <c r="G1231" i="6"/>
  <c r="F1231" i="6"/>
  <c r="C1231" i="6"/>
  <c r="D1231" i="6" s="1"/>
  <c r="E1231" i="6" s="1"/>
  <c r="J1230" i="6"/>
  <c r="I1230" i="6"/>
  <c r="G1230" i="6"/>
  <c r="F1230" i="6"/>
  <c r="C1230" i="6"/>
  <c r="D1230" i="6" s="1"/>
  <c r="E1230" i="6" s="1"/>
  <c r="J1229" i="6"/>
  <c r="I1229" i="6"/>
  <c r="G1229" i="6"/>
  <c r="F1229" i="6"/>
  <c r="C1229" i="6"/>
  <c r="D1229" i="6" s="1"/>
  <c r="E1229" i="6" s="1"/>
  <c r="J1228" i="6"/>
  <c r="I1228" i="6"/>
  <c r="G1228" i="6"/>
  <c r="F1228" i="6"/>
  <c r="C1228" i="6"/>
  <c r="D1228" i="6" s="1"/>
  <c r="E1228" i="6" s="1"/>
  <c r="J1227" i="6"/>
  <c r="I1227" i="6"/>
  <c r="G1227" i="6"/>
  <c r="F1227" i="6"/>
  <c r="C1227" i="6"/>
  <c r="D1227" i="6" s="1"/>
  <c r="E1227" i="6" s="1"/>
  <c r="J1226" i="6"/>
  <c r="I1226" i="6"/>
  <c r="G1226" i="6"/>
  <c r="F1226" i="6"/>
  <c r="C1226" i="6"/>
  <c r="D1226" i="6" s="1"/>
  <c r="E1226" i="6" s="1"/>
  <c r="J1225" i="6"/>
  <c r="I1225" i="6"/>
  <c r="G1225" i="6"/>
  <c r="F1225" i="6"/>
  <c r="C1225" i="6"/>
  <c r="D1225" i="6" s="1"/>
  <c r="E1225" i="6" s="1"/>
  <c r="J1224" i="6"/>
  <c r="I1224" i="6"/>
  <c r="G1224" i="6"/>
  <c r="F1224" i="6"/>
  <c r="C1224" i="6"/>
  <c r="D1224" i="6" s="1"/>
  <c r="E1224" i="6" s="1"/>
  <c r="J1223" i="6"/>
  <c r="I1223" i="6"/>
  <c r="G1223" i="6"/>
  <c r="F1223" i="6"/>
  <c r="C1223" i="6"/>
  <c r="D1223" i="6" s="1"/>
  <c r="E1223" i="6" s="1"/>
  <c r="J1222" i="6"/>
  <c r="I1222" i="6"/>
  <c r="G1222" i="6"/>
  <c r="F1222" i="6"/>
  <c r="C1222" i="6"/>
  <c r="D1222" i="6" s="1"/>
  <c r="E1222" i="6" s="1"/>
  <c r="J1221" i="6"/>
  <c r="I1221" i="6"/>
  <c r="G1221" i="6"/>
  <c r="F1221" i="6"/>
  <c r="C1221" i="6"/>
  <c r="D1221" i="6" s="1"/>
  <c r="E1221" i="6" s="1"/>
  <c r="J1220" i="6"/>
  <c r="I1220" i="6"/>
  <c r="G1220" i="6"/>
  <c r="F1220" i="6"/>
  <c r="C1220" i="6"/>
  <c r="D1220" i="6" s="1"/>
  <c r="E1220" i="6" s="1"/>
  <c r="J1219" i="6"/>
  <c r="I1219" i="6"/>
  <c r="G1219" i="6"/>
  <c r="F1219" i="6"/>
  <c r="C1219" i="6"/>
  <c r="D1219" i="6" s="1"/>
  <c r="E1219" i="6" s="1"/>
  <c r="J1218" i="6"/>
  <c r="I1218" i="6"/>
  <c r="G1218" i="6"/>
  <c r="F1218" i="6"/>
  <c r="C1218" i="6"/>
  <c r="D1218" i="6" s="1"/>
  <c r="E1218" i="6" s="1"/>
  <c r="J1217" i="6"/>
  <c r="I1217" i="6"/>
  <c r="G1217" i="6"/>
  <c r="F1217" i="6"/>
  <c r="C1217" i="6"/>
  <c r="D1217" i="6" s="1"/>
  <c r="E1217" i="6" s="1"/>
  <c r="J1216" i="6"/>
  <c r="I1216" i="6"/>
  <c r="G1216" i="6"/>
  <c r="F1216" i="6"/>
  <c r="C1216" i="6"/>
  <c r="D1216" i="6" s="1"/>
  <c r="E1216" i="6" s="1"/>
  <c r="J1215" i="6"/>
  <c r="I1215" i="6"/>
  <c r="G1215" i="6"/>
  <c r="F1215" i="6"/>
  <c r="C1215" i="6"/>
  <c r="D1215" i="6" s="1"/>
  <c r="E1215" i="6" s="1"/>
  <c r="J1214" i="6"/>
  <c r="I1214" i="6"/>
  <c r="G1214" i="6"/>
  <c r="F1214" i="6"/>
  <c r="C1214" i="6"/>
  <c r="D1214" i="6" s="1"/>
  <c r="E1214" i="6" s="1"/>
  <c r="J1213" i="6"/>
  <c r="I1213" i="6"/>
  <c r="G1213" i="6"/>
  <c r="F1213" i="6"/>
  <c r="C1213" i="6"/>
  <c r="D1213" i="6" s="1"/>
  <c r="E1213" i="6" s="1"/>
  <c r="J1212" i="6"/>
  <c r="I1212" i="6"/>
  <c r="G1212" i="6"/>
  <c r="F1212" i="6"/>
  <c r="C1212" i="6"/>
  <c r="D1212" i="6" s="1"/>
  <c r="E1212" i="6" s="1"/>
  <c r="J1211" i="6"/>
  <c r="I1211" i="6"/>
  <c r="G1211" i="6"/>
  <c r="F1211" i="6"/>
  <c r="C1211" i="6"/>
  <c r="D1211" i="6" s="1"/>
  <c r="E1211" i="6" s="1"/>
  <c r="J1210" i="6"/>
  <c r="I1210" i="6"/>
  <c r="G1210" i="6"/>
  <c r="F1210" i="6"/>
  <c r="C1210" i="6"/>
  <c r="D1210" i="6" s="1"/>
  <c r="E1210" i="6" s="1"/>
  <c r="J1209" i="6"/>
  <c r="I1209" i="6"/>
  <c r="G1209" i="6"/>
  <c r="F1209" i="6"/>
  <c r="C1209" i="6"/>
  <c r="D1209" i="6" s="1"/>
  <c r="E1209" i="6" s="1"/>
  <c r="J1208" i="6"/>
  <c r="I1208" i="6"/>
  <c r="G1208" i="6"/>
  <c r="F1208" i="6"/>
  <c r="C1208" i="6"/>
  <c r="D1208" i="6" s="1"/>
  <c r="E1208" i="6" s="1"/>
  <c r="J1207" i="6"/>
  <c r="I1207" i="6"/>
  <c r="G1207" i="6"/>
  <c r="F1207" i="6"/>
  <c r="C1207" i="6"/>
  <c r="D1207" i="6" s="1"/>
  <c r="E1207" i="6" s="1"/>
  <c r="J1206" i="6"/>
  <c r="I1206" i="6"/>
  <c r="G1206" i="6"/>
  <c r="F1206" i="6"/>
  <c r="C1206" i="6"/>
  <c r="D1206" i="6" s="1"/>
  <c r="E1206" i="6" s="1"/>
  <c r="J1205" i="6"/>
  <c r="I1205" i="6"/>
  <c r="G1205" i="6"/>
  <c r="F1205" i="6"/>
  <c r="C1205" i="6"/>
  <c r="D1205" i="6" s="1"/>
  <c r="E1205" i="6" s="1"/>
  <c r="J1204" i="6"/>
  <c r="I1204" i="6"/>
  <c r="G1204" i="6"/>
  <c r="F1204" i="6"/>
  <c r="C1204" i="6"/>
  <c r="D1204" i="6" s="1"/>
  <c r="E1204" i="6" s="1"/>
  <c r="J1203" i="6"/>
  <c r="I1203" i="6"/>
  <c r="G1203" i="6"/>
  <c r="F1203" i="6"/>
  <c r="C1203" i="6"/>
  <c r="D1203" i="6" s="1"/>
  <c r="E1203" i="6" s="1"/>
  <c r="J1202" i="6"/>
  <c r="I1202" i="6"/>
  <c r="G1202" i="6"/>
  <c r="F1202" i="6"/>
  <c r="C1202" i="6"/>
  <c r="D1202" i="6" s="1"/>
  <c r="E1202" i="6" s="1"/>
  <c r="J1201" i="6"/>
  <c r="I1201" i="6"/>
  <c r="G1201" i="6"/>
  <c r="F1201" i="6"/>
  <c r="C1201" i="6"/>
  <c r="D1201" i="6" s="1"/>
  <c r="E1201" i="6" s="1"/>
  <c r="J1200" i="6"/>
  <c r="I1200" i="6"/>
  <c r="G1200" i="6"/>
  <c r="F1200" i="6"/>
  <c r="C1200" i="6"/>
  <c r="D1200" i="6" s="1"/>
  <c r="E1200" i="6" s="1"/>
  <c r="J1199" i="6"/>
  <c r="I1199" i="6"/>
  <c r="G1199" i="6"/>
  <c r="F1199" i="6"/>
  <c r="C1199" i="6"/>
  <c r="D1199" i="6" s="1"/>
  <c r="E1199" i="6" s="1"/>
  <c r="J1198" i="6"/>
  <c r="I1198" i="6"/>
  <c r="G1198" i="6"/>
  <c r="F1198" i="6"/>
  <c r="C1198" i="6"/>
  <c r="D1198" i="6" s="1"/>
  <c r="E1198" i="6" s="1"/>
  <c r="J1197" i="6"/>
  <c r="I1197" i="6"/>
  <c r="G1197" i="6"/>
  <c r="F1197" i="6"/>
  <c r="C1197" i="6"/>
  <c r="D1197" i="6" s="1"/>
  <c r="E1197" i="6" s="1"/>
  <c r="J1196" i="6"/>
  <c r="I1196" i="6"/>
  <c r="G1196" i="6"/>
  <c r="F1196" i="6"/>
  <c r="C1196" i="6"/>
  <c r="D1196" i="6" s="1"/>
  <c r="E1196" i="6" s="1"/>
  <c r="J1195" i="6"/>
  <c r="I1195" i="6"/>
  <c r="G1195" i="6"/>
  <c r="F1195" i="6"/>
  <c r="C1195" i="6"/>
  <c r="D1195" i="6" s="1"/>
  <c r="E1195" i="6" s="1"/>
  <c r="J1194" i="6"/>
  <c r="I1194" i="6"/>
  <c r="G1194" i="6"/>
  <c r="F1194" i="6"/>
  <c r="C1194" i="6"/>
  <c r="D1194" i="6" s="1"/>
  <c r="E1194" i="6" s="1"/>
  <c r="J1193" i="6"/>
  <c r="I1193" i="6"/>
  <c r="G1193" i="6"/>
  <c r="F1193" i="6"/>
  <c r="C1193" i="6"/>
  <c r="D1193" i="6" s="1"/>
  <c r="E1193" i="6" s="1"/>
  <c r="J1192" i="6"/>
  <c r="I1192" i="6"/>
  <c r="G1192" i="6"/>
  <c r="F1192" i="6"/>
  <c r="C1192" i="6"/>
  <c r="D1192" i="6" s="1"/>
  <c r="E1192" i="6" s="1"/>
  <c r="J1191" i="6"/>
  <c r="I1191" i="6"/>
  <c r="G1191" i="6"/>
  <c r="F1191" i="6"/>
  <c r="C1191" i="6"/>
  <c r="D1191" i="6" s="1"/>
  <c r="E1191" i="6" s="1"/>
  <c r="J1190" i="6"/>
  <c r="I1190" i="6"/>
  <c r="G1190" i="6"/>
  <c r="F1190" i="6"/>
  <c r="C1190" i="6"/>
  <c r="D1190" i="6" s="1"/>
  <c r="E1190" i="6" s="1"/>
  <c r="J1189" i="6"/>
  <c r="I1189" i="6"/>
  <c r="G1189" i="6"/>
  <c r="F1189" i="6"/>
  <c r="C1189" i="6"/>
  <c r="D1189" i="6" s="1"/>
  <c r="E1189" i="6" s="1"/>
  <c r="J1188" i="6"/>
  <c r="I1188" i="6"/>
  <c r="G1188" i="6"/>
  <c r="F1188" i="6"/>
  <c r="C1188" i="6"/>
  <c r="D1188" i="6" s="1"/>
  <c r="E1188" i="6" s="1"/>
  <c r="J1187" i="6"/>
  <c r="I1187" i="6"/>
  <c r="G1187" i="6"/>
  <c r="F1187" i="6"/>
  <c r="C1187" i="6"/>
  <c r="D1187" i="6" s="1"/>
  <c r="E1187" i="6" s="1"/>
  <c r="J1186" i="6"/>
  <c r="I1186" i="6"/>
  <c r="G1186" i="6"/>
  <c r="F1186" i="6"/>
  <c r="C1186" i="6"/>
  <c r="D1186" i="6" s="1"/>
  <c r="E1186" i="6" s="1"/>
  <c r="J1185" i="6"/>
  <c r="I1185" i="6"/>
  <c r="G1185" i="6"/>
  <c r="F1185" i="6"/>
  <c r="C1185" i="6"/>
  <c r="D1185" i="6" s="1"/>
  <c r="E1185" i="6" s="1"/>
  <c r="J1184" i="6"/>
  <c r="I1184" i="6"/>
  <c r="G1184" i="6"/>
  <c r="F1184" i="6"/>
  <c r="C1184" i="6"/>
  <c r="D1184" i="6" s="1"/>
  <c r="E1184" i="6" s="1"/>
  <c r="J1183" i="6"/>
  <c r="I1183" i="6"/>
  <c r="G1183" i="6"/>
  <c r="F1183" i="6"/>
  <c r="C1183" i="6"/>
  <c r="D1183" i="6" s="1"/>
  <c r="E1183" i="6" s="1"/>
  <c r="J1182" i="6"/>
  <c r="I1182" i="6"/>
  <c r="G1182" i="6"/>
  <c r="F1182" i="6"/>
  <c r="C1182" i="6"/>
  <c r="D1182" i="6" s="1"/>
  <c r="E1182" i="6" s="1"/>
  <c r="J1181" i="6"/>
  <c r="I1181" i="6"/>
  <c r="G1181" i="6"/>
  <c r="F1181" i="6"/>
  <c r="C1181" i="6"/>
  <c r="D1181" i="6" s="1"/>
  <c r="E1181" i="6" s="1"/>
  <c r="J1180" i="6"/>
  <c r="I1180" i="6"/>
  <c r="G1180" i="6"/>
  <c r="F1180" i="6"/>
  <c r="C1180" i="6"/>
  <c r="D1180" i="6" s="1"/>
  <c r="E1180" i="6" s="1"/>
  <c r="J1179" i="6"/>
  <c r="I1179" i="6"/>
  <c r="G1179" i="6"/>
  <c r="F1179" i="6"/>
  <c r="C1179" i="6"/>
  <c r="D1179" i="6" s="1"/>
  <c r="E1179" i="6" s="1"/>
  <c r="J1178" i="6"/>
  <c r="I1178" i="6"/>
  <c r="G1178" i="6"/>
  <c r="F1178" i="6"/>
  <c r="C1178" i="6"/>
  <c r="D1178" i="6" s="1"/>
  <c r="E1178" i="6" s="1"/>
  <c r="J1177" i="6"/>
  <c r="I1177" i="6"/>
  <c r="G1177" i="6"/>
  <c r="F1177" i="6"/>
  <c r="C1177" i="6"/>
  <c r="D1177" i="6" s="1"/>
  <c r="E1177" i="6" s="1"/>
  <c r="J1176" i="6"/>
  <c r="I1176" i="6"/>
  <c r="G1176" i="6"/>
  <c r="F1176" i="6"/>
  <c r="C1176" i="6"/>
  <c r="D1176" i="6" s="1"/>
  <c r="E1176" i="6" s="1"/>
  <c r="J1175" i="6"/>
  <c r="I1175" i="6"/>
  <c r="G1175" i="6"/>
  <c r="F1175" i="6"/>
  <c r="C1175" i="6"/>
  <c r="D1175" i="6" s="1"/>
  <c r="E1175" i="6" s="1"/>
  <c r="J1174" i="6"/>
  <c r="I1174" i="6"/>
  <c r="G1174" i="6"/>
  <c r="F1174" i="6"/>
  <c r="C1174" i="6"/>
  <c r="D1174" i="6" s="1"/>
  <c r="E1174" i="6" s="1"/>
  <c r="J1173" i="6"/>
  <c r="I1173" i="6"/>
  <c r="G1173" i="6"/>
  <c r="F1173" i="6"/>
  <c r="C1173" i="6"/>
  <c r="D1173" i="6" s="1"/>
  <c r="E1173" i="6" s="1"/>
  <c r="J1172" i="6"/>
  <c r="I1172" i="6"/>
  <c r="G1172" i="6"/>
  <c r="F1172" i="6"/>
  <c r="C1172" i="6"/>
  <c r="D1172" i="6" s="1"/>
  <c r="E1172" i="6" s="1"/>
  <c r="J1171" i="6"/>
  <c r="I1171" i="6"/>
  <c r="G1171" i="6"/>
  <c r="F1171" i="6"/>
  <c r="C1171" i="6"/>
  <c r="D1171" i="6" s="1"/>
  <c r="E1171" i="6" s="1"/>
  <c r="J1170" i="6"/>
  <c r="I1170" i="6"/>
  <c r="G1170" i="6"/>
  <c r="F1170" i="6"/>
  <c r="C1170" i="6"/>
  <c r="D1170" i="6" s="1"/>
  <c r="E1170" i="6" s="1"/>
  <c r="J1169" i="6"/>
  <c r="I1169" i="6"/>
  <c r="G1169" i="6"/>
  <c r="F1169" i="6"/>
  <c r="C1169" i="6"/>
  <c r="D1169" i="6" s="1"/>
  <c r="E1169" i="6" s="1"/>
  <c r="J1168" i="6"/>
  <c r="I1168" i="6"/>
  <c r="G1168" i="6"/>
  <c r="F1168" i="6"/>
  <c r="C1168" i="6"/>
  <c r="D1168" i="6" s="1"/>
  <c r="E1168" i="6" s="1"/>
  <c r="J1167" i="6"/>
  <c r="I1167" i="6"/>
  <c r="G1167" i="6"/>
  <c r="F1167" i="6"/>
  <c r="C1167" i="6"/>
  <c r="D1167" i="6" s="1"/>
  <c r="E1167" i="6" s="1"/>
  <c r="J1166" i="6"/>
  <c r="I1166" i="6"/>
  <c r="G1166" i="6"/>
  <c r="F1166" i="6"/>
  <c r="C1166" i="6"/>
  <c r="D1166" i="6" s="1"/>
  <c r="E1166" i="6" s="1"/>
  <c r="J1165" i="6"/>
  <c r="I1165" i="6"/>
  <c r="G1165" i="6"/>
  <c r="F1165" i="6"/>
  <c r="C1165" i="6"/>
  <c r="D1165" i="6" s="1"/>
  <c r="E1165" i="6" s="1"/>
  <c r="J1164" i="6"/>
  <c r="I1164" i="6"/>
  <c r="G1164" i="6"/>
  <c r="F1164" i="6"/>
  <c r="C1164" i="6"/>
  <c r="D1164" i="6" s="1"/>
  <c r="E1164" i="6" s="1"/>
  <c r="J1163" i="6"/>
  <c r="I1163" i="6"/>
  <c r="G1163" i="6"/>
  <c r="F1163" i="6"/>
  <c r="C1163" i="6"/>
  <c r="D1163" i="6" s="1"/>
  <c r="E1163" i="6" s="1"/>
  <c r="J1162" i="6"/>
  <c r="I1162" i="6"/>
  <c r="G1162" i="6"/>
  <c r="F1162" i="6"/>
  <c r="C1162" i="6"/>
  <c r="D1162" i="6" s="1"/>
  <c r="E1162" i="6" s="1"/>
  <c r="J1161" i="6"/>
  <c r="I1161" i="6"/>
  <c r="G1161" i="6"/>
  <c r="F1161" i="6"/>
  <c r="C1161" i="6"/>
  <c r="D1161" i="6" s="1"/>
  <c r="E1161" i="6" s="1"/>
  <c r="J1160" i="6"/>
  <c r="I1160" i="6"/>
  <c r="G1160" i="6"/>
  <c r="F1160" i="6"/>
  <c r="C1160" i="6"/>
  <c r="D1160" i="6" s="1"/>
  <c r="E1160" i="6" s="1"/>
  <c r="J1159" i="6"/>
  <c r="I1159" i="6"/>
  <c r="G1159" i="6"/>
  <c r="F1159" i="6"/>
  <c r="C1159" i="6"/>
  <c r="D1159" i="6" s="1"/>
  <c r="E1159" i="6" s="1"/>
  <c r="J1158" i="6"/>
  <c r="I1158" i="6"/>
  <c r="G1158" i="6"/>
  <c r="F1158" i="6"/>
  <c r="C1158" i="6"/>
  <c r="D1158" i="6" s="1"/>
  <c r="E1158" i="6" s="1"/>
  <c r="J1157" i="6"/>
  <c r="I1157" i="6"/>
  <c r="G1157" i="6"/>
  <c r="F1157" i="6"/>
  <c r="C1157" i="6"/>
  <c r="D1157" i="6" s="1"/>
  <c r="E1157" i="6" s="1"/>
  <c r="J1156" i="6"/>
  <c r="I1156" i="6"/>
  <c r="G1156" i="6"/>
  <c r="F1156" i="6"/>
  <c r="C1156" i="6"/>
  <c r="D1156" i="6" s="1"/>
  <c r="E1156" i="6" s="1"/>
  <c r="J1155" i="6"/>
  <c r="I1155" i="6"/>
  <c r="G1155" i="6"/>
  <c r="F1155" i="6"/>
  <c r="C1155" i="6"/>
  <c r="D1155" i="6" s="1"/>
  <c r="E1155" i="6" s="1"/>
  <c r="J1154" i="6"/>
  <c r="I1154" i="6"/>
  <c r="G1154" i="6"/>
  <c r="F1154" i="6"/>
  <c r="C1154" i="6"/>
  <c r="D1154" i="6" s="1"/>
  <c r="E1154" i="6" s="1"/>
  <c r="J1153" i="6"/>
  <c r="I1153" i="6"/>
  <c r="G1153" i="6"/>
  <c r="F1153" i="6"/>
  <c r="C1153" i="6"/>
  <c r="D1153" i="6" s="1"/>
  <c r="E1153" i="6" s="1"/>
  <c r="J1152" i="6"/>
  <c r="I1152" i="6"/>
  <c r="G1152" i="6"/>
  <c r="F1152" i="6"/>
  <c r="C1152" i="6"/>
  <c r="D1152" i="6" s="1"/>
  <c r="E1152" i="6" s="1"/>
  <c r="J1151" i="6"/>
  <c r="I1151" i="6"/>
  <c r="G1151" i="6"/>
  <c r="F1151" i="6"/>
  <c r="C1151" i="6"/>
  <c r="D1151" i="6" s="1"/>
  <c r="E1151" i="6" s="1"/>
  <c r="J1150" i="6"/>
  <c r="I1150" i="6"/>
  <c r="G1150" i="6"/>
  <c r="F1150" i="6"/>
  <c r="C1150" i="6"/>
  <c r="D1150" i="6" s="1"/>
  <c r="E1150" i="6" s="1"/>
  <c r="J1149" i="6"/>
  <c r="I1149" i="6"/>
  <c r="G1149" i="6"/>
  <c r="F1149" i="6"/>
  <c r="C1149" i="6"/>
  <c r="D1149" i="6" s="1"/>
  <c r="E1149" i="6" s="1"/>
  <c r="J1148" i="6"/>
  <c r="I1148" i="6"/>
  <c r="G1148" i="6"/>
  <c r="F1148" i="6"/>
  <c r="C1148" i="6"/>
  <c r="D1148" i="6" s="1"/>
  <c r="E1148" i="6" s="1"/>
  <c r="J1147" i="6"/>
  <c r="I1147" i="6"/>
  <c r="G1147" i="6"/>
  <c r="F1147" i="6"/>
  <c r="C1147" i="6"/>
  <c r="D1147" i="6" s="1"/>
  <c r="E1147" i="6" s="1"/>
  <c r="J1146" i="6"/>
  <c r="I1146" i="6"/>
  <c r="G1146" i="6"/>
  <c r="F1146" i="6"/>
  <c r="C1146" i="6"/>
  <c r="D1146" i="6" s="1"/>
  <c r="E1146" i="6" s="1"/>
  <c r="J1145" i="6"/>
  <c r="I1145" i="6"/>
  <c r="G1145" i="6"/>
  <c r="F1145" i="6"/>
  <c r="C1145" i="6"/>
  <c r="D1145" i="6" s="1"/>
  <c r="E1145" i="6" s="1"/>
  <c r="J1144" i="6"/>
  <c r="I1144" i="6"/>
  <c r="G1144" i="6"/>
  <c r="F1144" i="6"/>
  <c r="C1144" i="6"/>
  <c r="D1144" i="6" s="1"/>
  <c r="E1144" i="6" s="1"/>
  <c r="J1143" i="6"/>
  <c r="I1143" i="6"/>
  <c r="G1143" i="6"/>
  <c r="F1143" i="6"/>
  <c r="C1143" i="6"/>
  <c r="D1143" i="6" s="1"/>
  <c r="E1143" i="6" s="1"/>
  <c r="J1142" i="6"/>
  <c r="I1142" i="6"/>
  <c r="G1142" i="6"/>
  <c r="F1142" i="6"/>
  <c r="C1142" i="6"/>
  <c r="D1142" i="6" s="1"/>
  <c r="E1142" i="6" s="1"/>
  <c r="J1141" i="6"/>
  <c r="I1141" i="6"/>
  <c r="G1141" i="6"/>
  <c r="F1141" i="6"/>
  <c r="C1141" i="6"/>
  <c r="D1141" i="6" s="1"/>
  <c r="E1141" i="6" s="1"/>
  <c r="J1140" i="6"/>
  <c r="I1140" i="6"/>
  <c r="G1140" i="6"/>
  <c r="F1140" i="6"/>
  <c r="C1140" i="6"/>
  <c r="D1140" i="6" s="1"/>
  <c r="E1140" i="6" s="1"/>
  <c r="J1139" i="6"/>
  <c r="I1139" i="6"/>
  <c r="G1139" i="6"/>
  <c r="F1139" i="6"/>
  <c r="C1139" i="6"/>
  <c r="D1139" i="6" s="1"/>
  <c r="E1139" i="6" s="1"/>
  <c r="J1138" i="6"/>
  <c r="I1138" i="6"/>
  <c r="G1138" i="6"/>
  <c r="F1138" i="6"/>
  <c r="C1138" i="6"/>
  <c r="D1138" i="6" s="1"/>
  <c r="E1138" i="6" s="1"/>
  <c r="J1137" i="6"/>
  <c r="I1137" i="6"/>
  <c r="G1137" i="6"/>
  <c r="F1137" i="6"/>
  <c r="C1137" i="6"/>
  <c r="D1137" i="6" s="1"/>
  <c r="E1137" i="6" s="1"/>
  <c r="J1136" i="6"/>
  <c r="I1136" i="6"/>
  <c r="G1136" i="6"/>
  <c r="F1136" i="6"/>
  <c r="C1136" i="6"/>
  <c r="D1136" i="6" s="1"/>
  <c r="E1136" i="6" s="1"/>
  <c r="J1135" i="6"/>
  <c r="I1135" i="6"/>
  <c r="G1135" i="6"/>
  <c r="F1135" i="6"/>
  <c r="C1135" i="6"/>
  <c r="D1135" i="6" s="1"/>
  <c r="E1135" i="6" s="1"/>
  <c r="J1134" i="6"/>
  <c r="I1134" i="6"/>
  <c r="G1134" i="6"/>
  <c r="F1134" i="6"/>
  <c r="C1134" i="6"/>
  <c r="D1134" i="6" s="1"/>
  <c r="E1134" i="6" s="1"/>
  <c r="J1133" i="6"/>
  <c r="I1133" i="6"/>
  <c r="G1133" i="6"/>
  <c r="F1133" i="6"/>
  <c r="C1133" i="6"/>
  <c r="D1133" i="6" s="1"/>
  <c r="E1133" i="6" s="1"/>
  <c r="J1132" i="6"/>
  <c r="I1132" i="6"/>
  <c r="G1132" i="6"/>
  <c r="F1132" i="6"/>
  <c r="C1132" i="6"/>
  <c r="D1132" i="6" s="1"/>
  <c r="E1132" i="6" s="1"/>
  <c r="J1131" i="6"/>
  <c r="I1131" i="6"/>
  <c r="G1131" i="6"/>
  <c r="F1131" i="6"/>
  <c r="C1131" i="6"/>
  <c r="D1131" i="6" s="1"/>
  <c r="E1131" i="6" s="1"/>
  <c r="J1130" i="6"/>
  <c r="I1130" i="6"/>
  <c r="G1130" i="6"/>
  <c r="F1130" i="6"/>
  <c r="C1130" i="6"/>
  <c r="D1130" i="6" s="1"/>
  <c r="E1130" i="6" s="1"/>
  <c r="J1129" i="6"/>
  <c r="I1129" i="6"/>
  <c r="G1129" i="6"/>
  <c r="F1129" i="6"/>
  <c r="C1129" i="6"/>
  <c r="D1129" i="6" s="1"/>
  <c r="E1129" i="6" s="1"/>
  <c r="J1128" i="6"/>
  <c r="I1128" i="6"/>
  <c r="G1128" i="6"/>
  <c r="F1128" i="6"/>
  <c r="C1128" i="6"/>
  <c r="D1128" i="6" s="1"/>
  <c r="E1128" i="6" s="1"/>
  <c r="J1127" i="6"/>
  <c r="I1127" i="6"/>
  <c r="G1127" i="6"/>
  <c r="F1127" i="6"/>
  <c r="C1127" i="6"/>
  <c r="D1127" i="6" s="1"/>
  <c r="E1127" i="6" s="1"/>
  <c r="J1126" i="6"/>
  <c r="I1126" i="6"/>
  <c r="G1126" i="6"/>
  <c r="F1126" i="6"/>
  <c r="C1126" i="6"/>
  <c r="D1126" i="6" s="1"/>
  <c r="E1126" i="6" s="1"/>
  <c r="J1125" i="6"/>
  <c r="I1125" i="6"/>
  <c r="G1125" i="6"/>
  <c r="F1125" i="6"/>
  <c r="C1125" i="6"/>
  <c r="D1125" i="6" s="1"/>
  <c r="E1125" i="6" s="1"/>
  <c r="J1124" i="6"/>
  <c r="I1124" i="6"/>
  <c r="G1124" i="6"/>
  <c r="F1124" i="6"/>
  <c r="C1124" i="6"/>
  <c r="D1124" i="6" s="1"/>
  <c r="E1124" i="6" s="1"/>
  <c r="J1123" i="6"/>
  <c r="I1123" i="6"/>
  <c r="G1123" i="6"/>
  <c r="F1123" i="6"/>
  <c r="C1123" i="6"/>
  <c r="D1123" i="6" s="1"/>
  <c r="E1123" i="6" s="1"/>
  <c r="J1122" i="6"/>
  <c r="I1122" i="6"/>
  <c r="G1122" i="6"/>
  <c r="F1122" i="6"/>
  <c r="C1122" i="6"/>
  <c r="D1122" i="6" s="1"/>
  <c r="E1122" i="6" s="1"/>
  <c r="J1121" i="6"/>
  <c r="I1121" i="6"/>
  <c r="G1121" i="6"/>
  <c r="F1121" i="6"/>
  <c r="C1121" i="6"/>
  <c r="D1121" i="6" s="1"/>
  <c r="E1121" i="6" s="1"/>
  <c r="J1120" i="6"/>
  <c r="I1120" i="6"/>
  <c r="G1120" i="6"/>
  <c r="F1120" i="6"/>
  <c r="C1120" i="6"/>
  <c r="D1120" i="6" s="1"/>
  <c r="E1120" i="6" s="1"/>
  <c r="J1119" i="6"/>
  <c r="I1119" i="6"/>
  <c r="G1119" i="6"/>
  <c r="F1119" i="6"/>
  <c r="C1119" i="6"/>
  <c r="D1119" i="6" s="1"/>
  <c r="E1119" i="6" s="1"/>
  <c r="J1118" i="6"/>
  <c r="I1118" i="6"/>
  <c r="G1118" i="6"/>
  <c r="F1118" i="6"/>
  <c r="C1118" i="6"/>
  <c r="D1118" i="6" s="1"/>
  <c r="E1118" i="6" s="1"/>
  <c r="J1117" i="6"/>
  <c r="I1117" i="6"/>
  <c r="G1117" i="6"/>
  <c r="F1117" i="6"/>
  <c r="C1117" i="6"/>
  <c r="D1117" i="6" s="1"/>
  <c r="E1117" i="6" s="1"/>
  <c r="J1116" i="6"/>
  <c r="I1116" i="6"/>
  <c r="G1116" i="6"/>
  <c r="F1116" i="6"/>
  <c r="C1116" i="6"/>
  <c r="D1116" i="6" s="1"/>
  <c r="E1116" i="6" s="1"/>
  <c r="J1115" i="6"/>
  <c r="I1115" i="6"/>
  <c r="G1115" i="6"/>
  <c r="F1115" i="6"/>
  <c r="C1115" i="6"/>
  <c r="D1115" i="6" s="1"/>
  <c r="E1115" i="6" s="1"/>
  <c r="J1114" i="6"/>
  <c r="I1114" i="6"/>
  <c r="G1114" i="6"/>
  <c r="F1114" i="6"/>
  <c r="C1114" i="6"/>
  <c r="D1114" i="6" s="1"/>
  <c r="E1114" i="6" s="1"/>
  <c r="J1113" i="6"/>
  <c r="I1113" i="6"/>
  <c r="G1113" i="6"/>
  <c r="F1113" i="6"/>
  <c r="C1113" i="6"/>
  <c r="D1113" i="6" s="1"/>
  <c r="E1113" i="6" s="1"/>
  <c r="J1112" i="6"/>
  <c r="I1112" i="6"/>
  <c r="G1112" i="6"/>
  <c r="F1112" i="6"/>
  <c r="C1112" i="6"/>
  <c r="D1112" i="6" s="1"/>
  <c r="E1112" i="6" s="1"/>
  <c r="J1111" i="6"/>
  <c r="I1111" i="6"/>
  <c r="G1111" i="6"/>
  <c r="F1111" i="6"/>
  <c r="C1111" i="6"/>
  <c r="D1111" i="6" s="1"/>
  <c r="E1111" i="6" s="1"/>
  <c r="J1110" i="6"/>
  <c r="I1110" i="6"/>
  <c r="G1110" i="6"/>
  <c r="F1110" i="6"/>
  <c r="C1110" i="6"/>
  <c r="D1110" i="6" s="1"/>
  <c r="E1110" i="6" s="1"/>
  <c r="J1109" i="6"/>
  <c r="I1109" i="6"/>
  <c r="G1109" i="6"/>
  <c r="F1109" i="6"/>
  <c r="C1109" i="6"/>
  <c r="D1109" i="6" s="1"/>
  <c r="E1109" i="6" s="1"/>
  <c r="J1108" i="6"/>
  <c r="I1108" i="6"/>
  <c r="G1108" i="6"/>
  <c r="F1108" i="6"/>
  <c r="C1108" i="6"/>
  <c r="D1108" i="6" s="1"/>
  <c r="E1108" i="6" s="1"/>
  <c r="J1107" i="6"/>
  <c r="I1107" i="6"/>
  <c r="G1107" i="6"/>
  <c r="F1107" i="6"/>
  <c r="C1107" i="6"/>
  <c r="D1107" i="6" s="1"/>
  <c r="E1107" i="6" s="1"/>
  <c r="J1106" i="6"/>
  <c r="I1106" i="6"/>
  <c r="G1106" i="6"/>
  <c r="F1106" i="6"/>
  <c r="C1106" i="6"/>
  <c r="D1106" i="6" s="1"/>
  <c r="E1106" i="6" s="1"/>
  <c r="J1105" i="6"/>
  <c r="I1105" i="6"/>
  <c r="G1105" i="6"/>
  <c r="F1105" i="6"/>
  <c r="C1105" i="6"/>
  <c r="D1105" i="6" s="1"/>
  <c r="E1105" i="6" s="1"/>
  <c r="J1104" i="6"/>
  <c r="I1104" i="6"/>
  <c r="G1104" i="6"/>
  <c r="F1104" i="6"/>
  <c r="C1104" i="6"/>
  <c r="D1104" i="6" s="1"/>
  <c r="E1104" i="6" s="1"/>
  <c r="J1103" i="6"/>
  <c r="I1103" i="6"/>
  <c r="G1103" i="6"/>
  <c r="F1103" i="6"/>
  <c r="C1103" i="6"/>
  <c r="D1103" i="6" s="1"/>
  <c r="E1103" i="6" s="1"/>
  <c r="J1102" i="6"/>
  <c r="I1102" i="6"/>
  <c r="G1102" i="6"/>
  <c r="F1102" i="6"/>
  <c r="C1102" i="6"/>
  <c r="D1102" i="6" s="1"/>
  <c r="E1102" i="6" s="1"/>
  <c r="J1101" i="6"/>
  <c r="I1101" i="6"/>
  <c r="G1101" i="6"/>
  <c r="F1101" i="6"/>
  <c r="C1101" i="6"/>
  <c r="D1101" i="6" s="1"/>
  <c r="E1101" i="6" s="1"/>
  <c r="J1100" i="6"/>
  <c r="I1100" i="6"/>
  <c r="G1100" i="6"/>
  <c r="F1100" i="6"/>
  <c r="C1100" i="6"/>
  <c r="D1100" i="6" s="1"/>
  <c r="E1100" i="6" s="1"/>
  <c r="J1099" i="6"/>
  <c r="I1099" i="6"/>
  <c r="G1099" i="6"/>
  <c r="F1099" i="6"/>
  <c r="C1099" i="6"/>
  <c r="D1099" i="6" s="1"/>
  <c r="E1099" i="6" s="1"/>
  <c r="J1098" i="6"/>
  <c r="I1098" i="6"/>
  <c r="G1098" i="6"/>
  <c r="F1098" i="6"/>
  <c r="C1098" i="6"/>
  <c r="D1098" i="6" s="1"/>
  <c r="E1098" i="6" s="1"/>
  <c r="J1097" i="6"/>
  <c r="I1097" i="6"/>
  <c r="G1097" i="6"/>
  <c r="F1097" i="6"/>
  <c r="C1097" i="6"/>
  <c r="D1097" i="6" s="1"/>
  <c r="E1097" i="6" s="1"/>
  <c r="J1096" i="6"/>
  <c r="I1096" i="6"/>
  <c r="G1096" i="6"/>
  <c r="F1096" i="6"/>
  <c r="C1096" i="6"/>
  <c r="D1096" i="6" s="1"/>
  <c r="E1096" i="6" s="1"/>
  <c r="J1095" i="6"/>
  <c r="I1095" i="6"/>
  <c r="G1095" i="6"/>
  <c r="F1095" i="6"/>
  <c r="C1095" i="6"/>
  <c r="D1095" i="6" s="1"/>
  <c r="E1095" i="6" s="1"/>
  <c r="J1094" i="6"/>
  <c r="I1094" i="6"/>
  <c r="G1094" i="6"/>
  <c r="F1094" i="6"/>
  <c r="C1094" i="6"/>
  <c r="D1094" i="6" s="1"/>
  <c r="E1094" i="6" s="1"/>
  <c r="J1093" i="6"/>
  <c r="I1093" i="6"/>
  <c r="G1093" i="6"/>
  <c r="F1093" i="6"/>
  <c r="C1093" i="6"/>
  <c r="D1093" i="6" s="1"/>
  <c r="E1093" i="6" s="1"/>
  <c r="J1092" i="6"/>
  <c r="I1092" i="6"/>
  <c r="G1092" i="6"/>
  <c r="F1092" i="6"/>
  <c r="C1092" i="6"/>
  <c r="D1092" i="6" s="1"/>
  <c r="E1092" i="6" s="1"/>
  <c r="J1091" i="6"/>
  <c r="I1091" i="6"/>
  <c r="G1091" i="6"/>
  <c r="F1091" i="6"/>
  <c r="C1091" i="6"/>
  <c r="D1091" i="6" s="1"/>
  <c r="E1091" i="6" s="1"/>
  <c r="J1090" i="6"/>
  <c r="I1090" i="6"/>
  <c r="G1090" i="6"/>
  <c r="F1090" i="6"/>
  <c r="C1090" i="6"/>
  <c r="D1090" i="6" s="1"/>
  <c r="E1090" i="6" s="1"/>
  <c r="J1089" i="6"/>
  <c r="I1089" i="6"/>
  <c r="G1089" i="6"/>
  <c r="F1089" i="6"/>
  <c r="C1089" i="6"/>
  <c r="D1089" i="6" s="1"/>
  <c r="E1089" i="6" s="1"/>
  <c r="J1088" i="6"/>
  <c r="I1088" i="6"/>
  <c r="G1088" i="6"/>
  <c r="F1088" i="6"/>
  <c r="C1088" i="6"/>
  <c r="D1088" i="6" s="1"/>
  <c r="E1088" i="6" s="1"/>
  <c r="J1087" i="6"/>
  <c r="I1087" i="6"/>
  <c r="G1087" i="6"/>
  <c r="F1087" i="6"/>
  <c r="C1087" i="6"/>
  <c r="D1087" i="6" s="1"/>
  <c r="E1087" i="6" s="1"/>
  <c r="J1086" i="6"/>
  <c r="I1086" i="6"/>
  <c r="G1086" i="6"/>
  <c r="F1086" i="6"/>
  <c r="C1086" i="6"/>
  <c r="D1086" i="6" s="1"/>
  <c r="E1086" i="6" s="1"/>
  <c r="J1085" i="6"/>
  <c r="I1085" i="6"/>
  <c r="G1085" i="6"/>
  <c r="F1085" i="6"/>
  <c r="C1085" i="6"/>
  <c r="D1085" i="6" s="1"/>
  <c r="E1085" i="6" s="1"/>
  <c r="J1084" i="6"/>
  <c r="I1084" i="6"/>
  <c r="G1084" i="6"/>
  <c r="F1084" i="6"/>
  <c r="C1084" i="6"/>
  <c r="D1084" i="6" s="1"/>
  <c r="E1084" i="6" s="1"/>
  <c r="J1083" i="6"/>
  <c r="I1083" i="6"/>
  <c r="G1083" i="6"/>
  <c r="F1083" i="6"/>
  <c r="C1083" i="6"/>
  <c r="D1083" i="6" s="1"/>
  <c r="E1083" i="6" s="1"/>
  <c r="J1082" i="6"/>
  <c r="I1082" i="6"/>
  <c r="G1082" i="6"/>
  <c r="F1082" i="6"/>
  <c r="C1082" i="6"/>
  <c r="D1082" i="6" s="1"/>
  <c r="E1082" i="6" s="1"/>
  <c r="J1081" i="6"/>
  <c r="I1081" i="6"/>
  <c r="G1081" i="6"/>
  <c r="F1081" i="6"/>
  <c r="C1081" i="6"/>
  <c r="D1081" i="6" s="1"/>
  <c r="E1081" i="6" s="1"/>
  <c r="J1080" i="6"/>
  <c r="I1080" i="6"/>
  <c r="G1080" i="6"/>
  <c r="F1080" i="6"/>
  <c r="C1080" i="6"/>
  <c r="D1080" i="6" s="1"/>
  <c r="E1080" i="6" s="1"/>
  <c r="J1079" i="6"/>
  <c r="I1079" i="6"/>
  <c r="G1079" i="6"/>
  <c r="F1079" i="6"/>
  <c r="C1079" i="6"/>
  <c r="D1079" i="6" s="1"/>
  <c r="E1079" i="6" s="1"/>
  <c r="J1078" i="6"/>
  <c r="I1078" i="6"/>
  <c r="G1078" i="6"/>
  <c r="F1078" i="6"/>
  <c r="C1078" i="6"/>
  <c r="D1078" i="6" s="1"/>
  <c r="E1078" i="6" s="1"/>
  <c r="J1077" i="6"/>
  <c r="I1077" i="6"/>
  <c r="G1077" i="6"/>
  <c r="F1077" i="6"/>
  <c r="C1077" i="6"/>
  <c r="D1077" i="6" s="1"/>
  <c r="E1077" i="6" s="1"/>
  <c r="J1076" i="6"/>
  <c r="I1076" i="6"/>
  <c r="G1076" i="6"/>
  <c r="F1076" i="6"/>
  <c r="C1076" i="6"/>
  <c r="D1076" i="6" s="1"/>
  <c r="E1076" i="6" s="1"/>
  <c r="J1075" i="6"/>
  <c r="I1075" i="6"/>
  <c r="G1075" i="6"/>
  <c r="F1075" i="6"/>
  <c r="C1075" i="6"/>
  <c r="D1075" i="6" s="1"/>
  <c r="E1075" i="6" s="1"/>
  <c r="J1074" i="6"/>
  <c r="I1074" i="6"/>
  <c r="G1074" i="6"/>
  <c r="F1074" i="6"/>
  <c r="C1074" i="6"/>
  <c r="D1074" i="6" s="1"/>
  <c r="E1074" i="6" s="1"/>
  <c r="J1073" i="6"/>
  <c r="I1073" i="6"/>
  <c r="G1073" i="6"/>
  <c r="F1073" i="6"/>
  <c r="C1073" i="6"/>
  <c r="D1073" i="6" s="1"/>
  <c r="E1073" i="6" s="1"/>
  <c r="J1072" i="6"/>
  <c r="I1072" i="6"/>
  <c r="G1072" i="6"/>
  <c r="F1072" i="6"/>
  <c r="C1072" i="6"/>
  <c r="D1072" i="6" s="1"/>
  <c r="E1072" i="6" s="1"/>
  <c r="J1071" i="6"/>
  <c r="I1071" i="6"/>
  <c r="G1071" i="6"/>
  <c r="F1071" i="6"/>
  <c r="C1071" i="6"/>
  <c r="D1071" i="6" s="1"/>
  <c r="E1071" i="6" s="1"/>
  <c r="J1070" i="6"/>
  <c r="I1070" i="6"/>
  <c r="G1070" i="6"/>
  <c r="F1070" i="6"/>
  <c r="C1070" i="6"/>
  <c r="D1070" i="6" s="1"/>
  <c r="E1070" i="6" s="1"/>
  <c r="J1069" i="6"/>
  <c r="I1069" i="6"/>
  <c r="G1069" i="6"/>
  <c r="F1069" i="6"/>
  <c r="C1069" i="6"/>
  <c r="D1069" i="6" s="1"/>
  <c r="E1069" i="6" s="1"/>
  <c r="J1068" i="6"/>
  <c r="I1068" i="6"/>
  <c r="G1068" i="6"/>
  <c r="F1068" i="6"/>
  <c r="C1068" i="6"/>
  <c r="D1068" i="6" s="1"/>
  <c r="E1068" i="6" s="1"/>
  <c r="J1067" i="6"/>
  <c r="I1067" i="6"/>
  <c r="G1067" i="6"/>
  <c r="F1067" i="6"/>
  <c r="C1067" i="6"/>
  <c r="D1067" i="6" s="1"/>
  <c r="E1067" i="6" s="1"/>
  <c r="J1066" i="6"/>
  <c r="I1066" i="6"/>
  <c r="G1066" i="6"/>
  <c r="F1066" i="6"/>
  <c r="C1066" i="6"/>
  <c r="D1066" i="6" s="1"/>
  <c r="E1066" i="6" s="1"/>
  <c r="J1065" i="6"/>
  <c r="I1065" i="6"/>
  <c r="G1065" i="6"/>
  <c r="F1065" i="6"/>
  <c r="C1065" i="6"/>
  <c r="D1065" i="6" s="1"/>
  <c r="E1065" i="6" s="1"/>
  <c r="J1064" i="6"/>
  <c r="I1064" i="6"/>
  <c r="G1064" i="6"/>
  <c r="F1064" i="6"/>
  <c r="C1064" i="6"/>
  <c r="D1064" i="6" s="1"/>
  <c r="E1064" i="6" s="1"/>
  <c r="J1063" i="6"/>
  <c r="I1063" i="6"/>
  <c r="G1063" i="6"/>
  <c r="F1063" i="6"/>
  <c r="C1063" i="6"/>
  <c r="D1063" i="6" s="1"/>
  <c r="E1063" i="6" s="1"/>
  <c r="J1062" i="6"/>
  <c r="I1062" i="6"/>
  <c r="G1062" i="6"/>
  <c r="F1062" i="6"/>
  <c r="C1062" i="6"/>
  <c r="D1062" i="6" s="1"/>
  <c r="E1062" i="6" s="1"/>
  <c r="J1061" i="6"/>
  <c r="I1061" i="6"/>
  <c r="G1061" i="6"/>
  <c r="F1061" i="6"/>
  <c r="C1061" i="6"/>
  <c r="D1061" i="6" s="1"/>
  <c r="E1061" i="6" s="1"/>
  <c r="J1060" i="6"/>
  <c r="I1060" i="6"/>
  <c r="G1060" i="6"/>
  <c r="F1060" i="6"/>
  <c r="C1060" i="6"/>
  <c r="D1060" i="6" s="1"/>
  <c r="E1060" i="6" s="1"/>
  <c r="J1059" i="6"/>
  <c r="I1059" i="6"/>
  <c r="G1059" i="6"/>
  <c r="F1059" i="6"/>
  <c r="C1059" i="6"/>
  <c r="D1059" i="6" s="1"/>
  <c r="E1059" i="6" s="1"/>
  <c r="J1058" i="6"/>
  <c r="I1058" i="6"/>
  <c r="G1058" i="6"/>
  <c r="F1058" i="6"/>
  <c r="C1058" i="6"/>
  <c r="D1058" i="6" s="1"/>
  <c r="E1058" i="6" s="1"/>
  <c r="J1057" i="6"/>
  <c r="I1057" i="6"/>
  <c r="G1057" i="6"/>
  <c r="F1057" i="6"/>
  <c r="C1057" i="6"/>
  <c r="D1057" i="6" s="1"/>
  <c r="E1057" i="6" s="1"/>
  <c r="J1056" i="6"/>
  <c r="I1056" i="6"/>
  <c r="G1056" i="6"/>
  <c r="F1056" i="6"/>
  <c r="C1056" i="6"/>
  <c r="D1056" i="6" s="1"/>
  <c r="E1056" i="6" s="1"/>
  <c r="J1055" i="6"/>
  <c r="I1055" i="6"/>
  <c r="G1055" i="6"/>
  <c r="F1055" i="6"/>
  <c r="C1055" i="6"/>
  <c r="D1055" i="6" s="1"/>
  <c r="E1055" i="6" s="1"/>
  <c r="J1054" i="6"/>
  <c r="I1054" i="6"/>
  <c r="G1054" i="6"/>
  <c r="F1054" i="6"/>
  <c r="C1054" i="6"/>
  <c r="D1054" i="6" s="1"/>
  <c r="E1054" i="6" s="1"/>
  <c r="J1053" i="6"/>
  <c r="I1053" i="6"/>
  <c r="G1053" i="6"/>
  <c r="F1053" i="6"/>
  <c r="C1053" i="6"/>
  <c r="D1053" i="6" s="1"/>
  <c r="E1053" i="6" s="1"/>
  <c r="J1052" i="6"/>
  <c r="I1052" i="6"/>
  <c r="G1052" i="6"/>
  <c r="F1052" i="6"/>
  <c r="C1052" i="6"/>
  <c r="D1052" i="6" s="1"/>
  <c r="E1052" i="6" s="1"/>
  <c r="J1051" i="6"/>
  <c r="I1051" i="6"/>
  <c r="G1051" i="6"/>
  <c r="F1051" i="6"/>
  <c r="C1051" i="6"/>
  <c r="D1051" i="6" s="1"/>
  <c r="E1051" i="6" s="1"/>
  <c r="J1050" i="6"/>
  <c r="I1050" i="6"/>
  <c r="G1050" i="6"/>
  <c r="F1050" i="6"/>
  <c r="C1050" i="6"/>
  <c r="D1050" i="6" s="1"/>
  <c r="E1050" i="6" s="1"/>
  <c r="J1049" i="6"/>
  <c r="I1049" i="6"/>
  <c r="G1049" i="6"/>
  <c r="F1049" i="6"/>
  <c r="C1049" i="6"/>
  <c r="D1049" i="6" s="1"/>
  <c r="E1049" i="6" s="1"/>
  <c r="J1048" i="6"/>
  <c r="I1048" i="6"/>
  <c r="G1048" i="6"/>
  <c r="F1048" i="6"/>
  <c r="C1048" i="6"/>
  <c r="D1048" i="6" s="1"/>
  <c r="E1048" i="6" s="1"/>
  <c r="J1047" i="6"/>
  <c r="I1047" i="6"/>
  <c r="G1047" i="6"/>
  <c r="F1047" i="6"/>
  <c r="C1047" i="6"/>
  <c r="D1047" i="6" s="1"/>
  <c r="E1047" i="6" s="1"/>
  <c r="J1046" i="6"/>
  <c r="I1046" i="6"/>
  <c r="G1046" i="6"/>
  <c r="F1046" i="6"/>
  <c r="C1046" i="6"/>
  <c r="D1046" i="6" s="1"/>
  <c r="E1046" i="6" s="1"/>
  <c r="J1045" i="6"/>
  <c r="I1045" i="6"/>
  <c r="G1045" i="6"/>
  <c r="F1045" i="6"/>
  <c r="C1045" i="6"/>
  <c r="D1045" i="6" s="1"/>
  <c r="E1045" i="6" s="1"/>
  <c r="J1044" i="6"/>
  <c r="I1044" i="6"/>
  <c r="G1044" i="6"/>
  <c r="F1044" i="6"/>
  <c r="C1044" i="6"/>
  <c r="D1044" i="6" s="1"/>
  <c r="E1044" i="6" s="1"/>
  <c r="J1043" i="6"/>
  <c r="I1043" i="6"/>
  <c r="G1043" i="6"/>
  <c r="F1043" i="6"/>
  <c r="C1043" i="6"/>
  <c r="D1043" i="6" s="1"/>
  <c r="E1043" i="6" s="1"/>
  <c r="J1042" i="6"/>
  <c r="I1042" i="6"/>
  <c r="G1042" i="6"/>
  <c r="F1042" i="6"/>
  <c r="C1042" i="6"/>
  <c r="D1042" i="6" s="1"/>
  <c r="E1042" i="6" s="1"/>
  <c r="J1041" i="6"/>
  <c r="I1041" i="6"/>
  <c r="G1041" i="6"/>
  <c r="F1041" i="6"/>
  <c r="C1041" i="6"/>
  <c r="D1041" i="6" s="1"/>
  <c r="E1041" i="6" s="1"/>
  <c r="J1040" i="6"/>
  <c r="I1040" i="6"/>
  <c r="G1040" i="6"/>
  <c r="F1040" i="6"/>
  <c r="C1040" i="6"/>
  <c r="D1040" i="6" s="1"/>
  <c r="E1040" i="6" s="1"/>
  <c r="J1039" i="6"/>
  <c r="I1039" i="6"/>
  <c r="G1039" i="6"/>
  <c r="F1039" i="6"/>
  <c r="C1039" i="6"/>
  <c r="D1039" i="6" s="1"/>
  <c r="E1039" i="6" s="1"/>
  <c r="J1038" i="6"/>
  <c r="I1038" i="6"/>
  <c r="G1038" i="6"/>
  <c r="F1038" i="6"/>
  <c r="C1038" i="6"/>
  <c r="D1038" i="6" s="1"/>
  <c r="E1038" i="6" s="1"/>
  <c r="J1037" i="6"/>
  <c r="I1037" i="6"/>
  <c r="G1037" i="6"/>
  <c r="F1037" i="6"/>
  <c r="C1037" i="6"/>
  <c r="D1037" i="6" s="1"/>
  <c r="E1037" i="6" s="1"/>
  <c r="J1036" i="6"/>
  <c r="I1036" i="6"/>
  <c r="G1036" i="6"/>
  <c r="F1036" i="6"/>
  <c r="C1036" i="6"/>
  <c r="D1036" i="6" s="1"/>
  <c r="E1036" i="6" s="1"/>
  <c r="J1035" i="6"/>
  <c r="I1035" i="6"/>
  <c r="G1035" i="6"/>
  <c r="F1035" i="6"/>
  <c r="C1035" i="6"/>
  <c r="D1035" i="6" s="1"/>
  <c r="E1035" i="6" s="1"/>
  <c r="J1034" i="6"/>
  <c r="I1034" i="6"/>
  <c r="G1034" i="6"/>
  <c r="F1034" i="6"/>
  <c r="C1034" i="6"/>
  <c r="D1034" i="6" s="1"/>
  <c r="E1034" i="6" s="1"/>
  <c r="J1033" i="6"/>
  <c r="I1033" i="6"/>
  <c r="G1033" i="6"/>
  <c r="F1033" i="6"/>
  <c r="C1033" i="6"/>
  <c r="D1033" i="6" s="1"/>
  <c r="E1033" i="6" s="1"/>
  <c r="J1032" i="6"/>
  <c r="I1032" i="6"/>
  <c r="G1032" i="6"/>
  <c r="F1032" i="6"/>
  <c r="C1032" i="6"/>
  <c r="D1032" i="6" s="1"/>
  <c r="E1032" i="6" s="1"/>
  <c r="J1031" i="6"/>
  <c r="I1031" i="6"/>
  <c r="G1031" i="6"/>
  <c r="F1031" i="6"/>
  <c r="C1031" i="6"/>
  <c r="D1031" i="6" s="1"/>
  <c r="E1031" i="6" s="1"/>
  <c r="J1030" i="6"/>
  <c r="I1030" i="6"/>
  <c r="G1030" i="6"/>
  <c r="F1030" i="6"/>
  <c r="C1030" i="6"/>
  <c r="D1030" i="6" s="1"/>
  <c r="E1030" i="6" s="1"/>
  <c r="J1029" i="6"/>
  <c r="I1029" i="6"/>
  <c r="G1029" i="6"/>
  <c r="F1029" i="6"/>
  <c r="C1029" i="6"/>
  <c r="D1029" i="6" s="1"/>
  <c r="E1029" i="6" s="1"/>
  <c r="J1028" i="6"/>
  <c r="I1028" i="6"/>
  <c r="G1028" i="6"/>
  <c r="F1028" i="6"/>
  <c r="C1028" i="6"/>
  <c r="D1028" i="6" s="1"/>
  <c r="E1028" i="6" s="1"/>
  <c r="J1027" i="6"/>
  <c r="I1027" i="6"/>
  <c r="G1027" i="6"/>
  <c r="F1027" i="6"/>
  <c r="C1027" i="6"/>
  <c r="D1027" i="6" s="1"/>
  <c r="E1027" i="6" s="1"/>
  <c r="J1026" i="6"/>
  <c r="I1026" i="6"/>
  <c r="G1026" i="6"/>
  <c r="F1026" i="6"/>
  <c r="C1026" i="6"/>
  <c r="D1026" i="6" s="1"/>
  <c r="E1026" i="6" s="1"/>
  <c r="J1025" i="6"/>
  <c r="I1025" i="6"/>
  <c r="G1025" i="6"/>
  <c r="F1025" i="6"/>
  <c r="C1025" i="6"/>
  <c r="D1025" i="6" s="1"/>
  <c r="E1025" i="6" s="1"/>
  <c r="J1024" i="6"/>
  <c r="I1024" i="6"/>
  <c r="G1024" i="6"/>
  <c r="F1024" i="6"/>
  <c r="C1024" i="6"/>
  <c r="D1024" i="6" s="1"/>
  <c r="E1024" i="6" s="1"/>
  <c r="J1023" i="6"/>
  <c r="I1023" i="6"/>
  <c r="G1023" i="6"/>
  <c r="F1023" i="6"/>
  <c r="C1023" i="6"/>
  <c r="D1023" i="6" s="1"/>
  <c r="E1023" i="6" s="1"/>
  <c r="J1022" i="6"/>
  <c r="I1022" i="6"/>
  <c r="G1022" i="6"/>
  <c r="F1022" i="6"/>
  <c r="C1022" i="6"/>
  <c r="D1022" i="6" s="1"/>
  <c r="E1022" i="6" s="1"/>
  <c r="J1021" i="6"/>
  <c r="I1021" i="6"/>
  <c r="G1021" i="6"/>
  <c r="F1021" i="6"/>
  <c r="C1021" i="6"/>
  <c r="D1021" i="6" s="1"/>
  <c r="E1021" i="6" s="1"/>
  <c r="J1020" i="6"/>
  <c r="I1020" i="6"/>
  <c r="G1020" i="6"/>
  <c r="F1020" i="6"/>
  <c r="C1020" i="6"/>
  <c r="D1020" i="6" s="1"/>
  <c r="E1020" i="6" s="1"/>
  <c r="J1019" i="6"/>
  <c r="I1019" i="6"/>
  <c r="G1019" i="6"/>
  <c r="F1019" i="6"/>
  <c r="C1019" i="6"/>
  <c r="D1019" i="6" s="1"/>
  <c r="E1019" i="6" s="1"/>
  <c r="J1018" i="6"/>
  <c r="I1018" i="6"/>
  <c r="G1018" i="6"/>
  <c r="F1018" i="6"/>
  <c r="C1018" i="6"/>
  <c r="D1018" i="6" s="1"/>
  <c r="E1018" i="6" s="1"/>
  <c r="J1017" i="6"/>
  <c r="I1017" i="6"/>
  <c r="G1017" i="6"/>
  <c r="F1017" i="6"/>
  <c r="C1017" i="6"/>
  <c r="D1017" i="6" s="1"/>
  <c r="E1017" i="6" s="1"/>
  <c r="J1016" i="6"/>
  <c r="I1016" i="6"/>
  <c r="G1016" i="6"/>
  <c r="F1016" i="6"/>
  <c r="C1016" i="6"/>
  <c r="D1016" i="6" s="1"/>
  <c r="E1016" i="6" s="1"/>
  <c r="J1015" i="6"/>
  <c r="I1015" i="6"/>
  <c r="G1015" i="6"/>
  <c r="F1015" i="6"/>
  <c r="C1015" i="6"/>
  <c r="D1015" i="6" s="1"/>
  <c r="E1015" i="6" s="1"/>
  <c r="J1014" i="6"/>
  <c r="I1014" i="6"/>
  <c r="G1014" i="6"/>
  <c r="F1014" i="6"/>
  <c r="C1014" i="6"/>
  <c r="D1014" i="6" s="1"/>
  <c r="E1014" i="6" s="1"/>
  <c r="J1013" i="6"/>
  <c r="I1013" i="6"/>
  <c r="G1013" i="6"/>
  <c r="F1013" i="6"/>
  <c r="C1013" i="6"/>
  <c r="D1013" i="6" s="1"/>
  <c r="E1013" i="6" s="1"/>
  <c r="J1012" i="6"/>
  <c r="I1012" i="6"/>
  <c r="G1012" i="6"/>
  <c r="F1012" i="6"/>
  <c r="C1012" i="6"/>
  <c r="D1012" i="6" s="1"/>
  <c r="E1012" i="6" s="1"/>
  <c r="J1011" i="6"/>
  <c r="I1011" i="6"/>
  <c r="G1011" i="6"/>
  <c r="F1011" i="6"/>
  <c r="C1011" i="6"/>
  <c r="D1011" i="6" s="1"/>
  <c r="E1011" i="6" s="1"/>
  <c r="J1010" i="6"/>
  <c r="I1010" i="6"/>
  <c r="G1010" i="6"/>
  <c r="F1010" i="6"/>
  <c r="C1010" i="6"/>
  <c r="D1010" i="6" s="1"/>
  <c r="E1010" i="6" s="1"/>
  <c r="J1009" i="6"/>
  <c r="I1009" i="6"/>
  <c r="G1009" i="6"/>
  <c r="F1009" i="6"/>
  <c r="C1009" i="6"/>
  <c r="D1009" i="6" s="1"/>
  <c r="E1009" i="6" s="1"/>
  <c r="J1008" i="6"/>
  <c r="I1008" i="6"/>
  <c r="G1008" i="6"/>
  <c r="F1008" i="6"/>
  <c r="C1008" i="6"/>
  <c r="D1008" i="6" s="1"/>
  <c r="E1008" i="6" s="1"/>
  <c r="J1007" i="6"/>
  <c r="I1007" i="6"/>
  <c r="G1007" i="6"/>
  <c r="F1007" i="6"/>
  <c r="C1007" i="6"/>
  <c r="D1007" i="6" s="1"/>
  <c r="E1007" i="6" s="1"/>
  <c r="J1006" i="6"/>
  <c r="I1006" i="6"/>
  <c r="G1006" i="6"/>
  <c r="F1006" i="6"/>
  <c r="C1006" i="6"/>
  <c r="D1006" i="6" s="1"/>
  <c r="E1006" i="6" s="1"/>
  <c r="J1005" i="6"/>
  <c r="I1005" i="6"/>
  <c r="G1005" i="6"/>
  <c r="F1005" i="6"/>
  <c r="C1005" i="6"/>
  <c r="D1005" i="6" s="1"/>
  <c r="E1005" i="6" s="1"/>
  <c r="J1004" i="6"/>
  <c r="I1004" i="6"/>
  <c r="G1004" i="6"/>
  <c r="F1004" i="6"/>
  <c r="C1004" i="6"/>
  <c r="D1004" i="6" s="1"/>
  <c r="E1004" i="6" s="1"/>
  <c r="J1003" i="6"/>
  <c r="I1003" i="6"/>
  <c r="G1003" i="6"/>
  <c r="F1003" i="6"/>
  <c r="C1003" i="6"/>
  <c r="D1003" i="6" s="1"/>
  <c r="E1003" i="6" s="1"/>
  <c r="J1002" i="6"/>
  <c r="I1002" i="6"/>
  <c r="G1002" i="6"/>
  <c r="F1002" i="6"/>
  <c r="C1002" i="6"/>
  <c r="D1002" i="6" s="1"/>
  <c r="E1002" i="6" s="1"/>
  <c r="J1001" i="6"/>
  <c r="I1001" i="6"/>
  <c r="G1001" i="6"/>
  <c r="F1001" i="6"/>
  <c r="C1001" i="6"/>
  <c r="D1001" i="6" s="1"/>
  <c r="E1001" i="6" s="1"/>
  <c r="J1000" i="6"/>
  <c r="I1000" i="6"/>
  <c r="G1000" i="6"/>
  <c r="F1000" i="6"/>
  <c r="C1000" i="6"/>
  <c r="D1000" i="6" s="1"/>
  <c r="E1000" i="6" s="1"/>
  <c r="J999" i="6"/>
  <c r="I999" i="6"/>
  <c r="G999" i="6"/>
  <c r="F999" i="6"/>
  <c r="C999" i="6"/>
  <c r="D999" i="6" s="1"/>
  <c r="E999" i="6" s="1"/>
  <c r="J998" i="6"/>
  <c r="I998" i="6"/>
  <c r="G998" i="6"/>
  <c r="F998" i="6"/>
  <c r="C998" i="6"/>
  <c r="D998" i="6" s="1"/>
  <c r="E998" i="6" s="1"/>
  <c r="J997" i="6"/>
  <c r="I997" i="6"/>
  <c r="G997" i="6"/>
  <c r="F997" i="6"/>
  <c r="C997" i="6"/>
  <c r="D997" i="6" s="1"/>
  <c r="E997" i="6" s="1"/>
  <c r="J996" i="6"/>
  <c r="I996" i="6"/>
  <c r="G996" i="6"/>
  <c r="F996" i="6"/>
  <c r="C996" i="6"/>
  <c r="D996" i="6" s="1"/>
  <c r="E996" i="6" s="1"/>
  <c r="J995" i="6"/>
  <c r="I995" i="6"/>
  <c r="G995" i="6"/>
  <c r="F995" i="6"/>
  <c r="C995" i="6"/>
  <c r="D995" i="6" s="1"/>
  <c r="E995" i="6" s="1"/>
  <c r="J994" i="6"/>
  <c r="I994" i="6"/>
  <c r="G994" i="6"/>
  <c r="F994" i="6"/>
  <c r="C994" i="6"/>
  <c r="D994" i="6" s="1"/>
  <c r="E994" i="6" s="1"/>
  <c r="J993" i="6"/>
  <c r="I993" i="6"/>
  <c r="G993" i="6"/>
  <c r="F993" i="6"/>
  <c r="C993" i="6"/>
  <c r="D993" i="6" s="1"/>
  <c r="E993" i="6" s="1"/>
  <c r="J992" i="6"/>
  <c r="I992" i="6"/>
  <c r="G992" i="6"/>
  <c r="F992" i="6"/>
  <c r="C992" i="6"/>
  <c r="D992" i="6" s="1"/>
  <c r="E992" i="6" s="1"/>
  <c r="J991" i="6"/>
  <c r="I991" i="6"/>
  <c r="G991" i="6"/>
  <c r="F991" i="6"/>
  <c r="C991" i="6"/>
  <c r="D991" i="6" s="1"/>
  <c r="E991" i="6" s="1"/>
  <c r="J990" i="6"/>
  <c r="I990" i="6"/>
  <c r="G990" i="6"/>
  <c r="F990" i="6"/>
  <c r="C990" i="6"/>
  <c r="D990" i="6" s="1"/>
  <c r="E990" i="6" s="1"/>
  <c r="J989" i="6"/>
  <c r="I989" i="6"/>
  <c r="G989" i="6"/>
  <c r="F989" i="6"/>
  <c r="C989" i="6"/>
  <c r="D989" i="6" s="1"/>
  <c r="E989" i="6" s="1"/>
  <c r="J988" i="6"/>
  <c r="I988" i="6"/>
  <c r="G988" i="6"/>
  <c r="F988" i="6"/>
  <c r="C988" i="6"/>
  <c r="D988" i="6" s="1"/>
  <c r="E988" i="6" s="1"/>
  <c r="J987" i="6"/>
  <c r="I987" i="6"/>
  <c r="G987" i="6"/>
  <c r="F987" i="6"/>
  <c r="C987" i="6"/>
  <c r="D987" i="6" s="1"/>
  <c r="E987" i="6" s="1"/>
  <c r="J986" i="6"/>
  <c r="I986" i="6"/>
  <c r="G986" i="6"/>
  <c r="F986" i="6"/>
  <c r="C986" i="6"/>
  <c r="D986" i="6" s="1"/>
  <c r="E986" i="6" s="1"/>
  <c r="J985" i="6"/>
  <c r="I985" i="6"/>
  <c r="G985" i="6"/>
  <c r="F985" i="6"/>
  <c r="C985" i="6"/>
  <c r="D985" i="6" s="1"/>
  <c r="E985" i="6" s="1"/>
  <c r="J984" i="6"/>
  <c r="I984" i="6"/>
  <c r="G984" i="6"/>
  <c r="F984" i="6"/>
  <c r="C984" i="6"/>
  <c r="D984" i="6" s="1"/>
  <c r="E984" i="6" s="1"/>
  <c r="J983" i="6"/>
  <c r="I983" i="6"/>
  <c r="G983" i="6"/>
  <c r="F983" i="6"/>
  <c r="C983" i="6"/>
  <c r="D983" i="6" s="1"/>
  <c r="E983" i="6" s="1"/>
  <c r="J982" i="6"/>
  <c r="I982" i="6"/>
  <c r="G982" i="6"/>
  <c r="F982" i="6"/>
  <c r="C982" i="6"/>
  <c r="D982" i="6" s="1"/>
  <c r="E982" i="6" s="1"/>
  <c r="J981" i="6"/>
  <c r="I981" i="6"/>
  <c r="G981" i="6"/>
  <c r="F981" i="6"/>
  <c r="C981" i="6"/>
  <c r="D981" i="6" s="1"/>
  <c r="E981" i="6" s="1"/>
  <c r="J980" i="6"/>
  <c r="I980" i="6"/>
  <c r="G980" i="6"/>
  <c r="F980" i="6"/>
  <c r="C980" i="6"/>
  <c r="D980" i="6" s="1"/>
  <c r="E980" i="6" s="1"/>
  <c r="J979" i="6"/>
  <c r="I979" i="6"/>
  <c r="G979" i="6"/>
  <c r="F979" i="6"/>
  <c r="C979" i="6"/>
  <c r="D979" i="6" s="1"/>
  <c r="E979" i="6" s="1"/>
  <c r="J978" i="6"/>
  <c r="I978" i="6"/>
  <c r="G978" i="6"/>
  <c r="F978" i="6"/>
  <c r="C978" i="6"/>
  <c r="D978" i="6" s="1"/>
  <c r="E978" i="6" s="1"/>
  <c r="J977" i="6"/>
  <c r="I977" i="6"/>
  <c r="G977" i="6"/>
  <c r="F977" i="6"/>
  <c r="C977" i="6"/>
  <c r="D977" i="6" s="1"/>
  <c r="E977" i="6" s="1"/>
  <c r="J976" i="6"/>
  <c r="I976" i="6"/>
  <c r="G976" i="6"/>
  <c r="F976" i="6"/>
  <c r="C976" i="6"/>
  <c r="D976" i="6" s="1"/>
  <c r="E976" i="6" s="1"/>
  <c r="J975" i="6"/>
  <c r="I975" i="6"/>
  <c r="G975" i="6"/>
  <c r="F975" i="6"/>
  <c r="C975" i="6"/>
  <c r="D975" i="6" s="1"/>
  <c r="E975" i="6" s="1"/>
  <c r="J974" i="6"/>
  <c r="I974" i="6"/>
  <c r="G974" i="6"/>
  <c r="F974" i="6"/>
  <c r="C974" i="6"/>
  <c r="D974" i="6" s="1"/>
  <c r="E974" i="6" s="1"/>
  <c r="J973" i="6"/>
  <c r="I973" i="6"/>
  <c r="G973" i="6"/>
  <c r="F973" i="6"/>
  <c r="C973" i="6"/>
  <c r="D973" i="6" s="1"/>
  <c r="E973" i="6" s="1"/>
  <c r="J972" i="6"/>
  <c r="I972" i="6"/>
  <c r="G972" i="6"/>
  <c r="F972" i="6"/>
  <c r="C972" i="6"/>
  <c r="D972" i="6" s="1"/>
  <c r="E972" i="6" s="1"/>
  <c r="J971" i="6"/>
  <c r="I971" i="6"/>
  <c r="G971" i="6"/>
  <c r="F971" i="6"/>
  <c r="C971" i="6"/>
  <c r="D971" i="6" s="1"/>
  <c r="E971" i="6" s="1"/>
  <c r="J970" i="6"/>
  <c r="I970" i="6"/>
  <c r="G970" i="6"/>
  <c r="F970" i="6"/>
  <c r="C970" i="6"/>
  <c r="D970" i="6" s="1"/>
  <c r="E970" i="6" s="1"/>
  <c r="J969" i="6"/>
  <c r="I969" i="6"/>
  <c r="G969" i="6"/>
  <c r="F969" i="6"/>
  <c r="C969" i="6"/>
  <c r="D969" i="6" s="1"/>
  <c r="E969" i="6" s="1"/>
  <c r="J968" i="6"/>
  <c r="I968" i="6"/>
  <c r="G968" i="6"/>
  <c r="F968" i="6"/>
  <c r="C968" i="6"/>
  <c r="D968" i="6" s="1"/>
  <c r="E968" i="6" s="1"/>
  <c r="J967" i="6"/>
  <c r="I967" i="6"/>
  <c r="G967" i="6"/>
  <c r="F967" i="6"/>
  <c r="C967" i="6"/>
  <c r="D967" i="6" s="1"/>
  <c r="E967" i="6" s="1"/>
  <c r="J966" i="6"/>
  <c r="I966" i="6"/>
  <c r="G966" i="6"/>
  <c r="F966" i="6"/>
  <c r="C966" i="6"/>
  <c r="D966" i="6" s="1"/>
  <c r="E966" i="6" s="1"/>
  <c r="J965" i="6"/>
  <c r="I965" i="6"/>
  <c r="G965" i="6"/>
  <c r="F965" i="6"/>
  <c r="C965" i="6"/>
  <c r="D965" i="6" s="1"/>
  <c r="E965" i="6" s="1"/>
  <c r="J964" i="6"/>
  <c r="I964" i="6"/>
  <c r="G964" i="6"/>
  <c r="F964" i="6"/>
  <c r="C964" i="6"/>
  <c r="D964" i="6" s="1"/>
  <c r="E964" i="6" s="1"/>
  <c r="J963" i="6"/>
  <c r="I963" i="6"/>
  <c r="G963" i="6"/>
  <c r="F963" i="6"/>
  <c r="C963" i="6"/>
  <c r="D963" i="6" s="1"/>
  <c r="E963" i="6" s="1"/>
  <c r="J962" i="6"/>
  <c r="I962" i="6"/>
  <c r="G962" i="6"/>
  <c r="F962" i="6"/>
  <c r="C962" i="6"/>
  <c r="D962" i="6" s="1"/>
  <c r="E962" i="6" s="1"/>
  <c r="J961" i="6"/>
  <c r="I961" i="6"/>
  <c r="G961" i="6"/>
  <c r="F961" i="6"/>
  <c r="C961" i="6"/>
  <c r="D961" i="6" s="1"/>
  <c r="E961" i="6" s="1"/>
  <c r="J960" i="6"/>
  <c r="I960" i="6"/>
  <c r="G960" i="6"/>
  <c r="F960" i="6"/>
  <c r="C960" i="6"/>
  <c r="D960" i="6" s="1"/>
  <c r="E960" i="6" s="1"/>
  <c r="J959" i="6"/>
  <c r="I959" i="6"/>
  <c r="G959" i="6"/>
  <c r="F959" i="6"/>
  <c r="C959" i="6"/>
  <c r="D959" i="6" s="1"/>
  <c r="E959" i="6" s="1"/>
  <c r="J958" i="6"/>
  <c r="I958" i="6"/>
  <c r="G958" i="6"/>
  <c r="F958" i="6"/>
  <c r="C958" i="6"/>
  <c r="D958" i="6" s="1"/>
  <c r="E958" i="6" s="1"/>
  <c r="J957" i="6"/>
  <c r="I957" i="6"/>
  <c r="G957" i="6"/>
  <c r="F957" i="6"/>
  <c r="C957" i="6"/>
  <c r="D957" i="6" s="1"/>
  <c r="E957" i="6" s="1"/>
  <c r="J956" i="6"/>
  <c r="I956" i="6"/>
  <c r="G956" i="6"/>
  <c r="F956" i="6"/>
  <c r="C956" i="6"/>
  <c r="D956" i="6" s="1"/>
  <c r="E956" i="6" s="1"/>
  <c r="J955" i="6"/>
  <c r="I955" i="6"/>
  <c r="G955" i="6"/>
  <c r="F955" i="6"/>
  <c r="C955" i="6"/>
  <c r="D955" i="6" s="1"/>
  <c r="E955" i="6" s="1"/>
  <c r="J954" i="6"/>
  <c r="I954" i="6"/>
  <c r="G954" i="6"/>
  <c r="F954" i="6"/>
  <c r="C954" i="6"/>
  <c r="D954" i="6" s="1"/>
  <c r="E954" i="6" s="1"/>
  <c r="J953" i="6"/>
  <c r="I953" i="6"/>
  <c r="G953" i="6"/>
  <c r="F953" i="6"/>
  <c r="C953" i="6"/>
  <c r="D953" i="6" s="1"/>
  <c r="E953" i="6" s="1"/>
  <c r="J952" i="6"/>
  <c r="I952" i="6"/>
  <c r="G952" i="6"/>
  <c r="F952" i="6"/>
  <c r="C952" i="6"/>
  <c r="D952" i="6" s="1"/>
  <c r="E952" i="6" s="1"/>
  <c r="J951" i="6"/>
  <c r="I951" i="6"/>
  <c r="G951" i="6"/>
  <c r="F951" i="6"/>
  <c r="C951" i="6"/>
  <c r="D951" i="6" s="1"/>
  <c r="E951" i="6" s="1"/>
  <c r="J950" i="6"/>
  <c r="I950" i="6"/>
  <c r="G950" i="6"/>
  <c r="F950" i="6"/>
  <c r="C950" i="6"/>
  <c r="D950" i="6" s="1"/>
  <c r="E950" i="6" s="1"/>
  <c r="J949" i="6"/>
  <c r="I949" i="6"/>
  <c r="G949" i="6"/>
  <c r="F949" i="6"/>
  <c r="C949" i="6"/>
  <c r="D949" i="6" s="1"/>
  <c r="E949" i="6" s="1"/>
  <c r="J948" i="6"/>
  <c r="I948" i="6"/>
  <c r="G948" i="6"/>
  <c r="F948" i="6"/>
  <c r="C948" i="6"/>
  <c r="D948" i="6" s="1"/>
  <c r="E948" i="6" s="1"/>
  <c r="J947" i="6"/>
  <c r="I947" i="6"/>
  <c r="G947" i="6"/>
  <c r="F947" i="6"/>
  <c r="C947" i="6"/>
  <c r="D947" i="6" s="1"/>
  <c r="E947" i="6" s="1"/>
  <c r="J946" i="6"/>
  <c r="I946" i="6"/>
  <c r="G946" i="6"/>
  <c r="F946" i="6"/>
  <c r="C946" i="6"/>
  <c r="D946" i="6" s="1"/>
  <c r="E946" i="6" s="1"/>
  <c r="J945" i="6"/>
  <c r="I945" i="6"/>
  <c r="G945" i="6"/>
  <c r="F945" i="6"/>
  <c r="C945" i="6"/>
  <c r="D945" i="6" s="1"/>
  <c r="E945" i="6" s="1"/>
  <c r="J944" i="6"/>
  <c r="I944" i="6"/>
  <c r="G944" i="6"/>
  <c r="F944" i="6"/>
  <c r="C944" i="6"/>
  <c r="D944" i="6" s="1"/>
  <c r="E944" i="6" s="1"/>
  <c r="J943" i="6"/>
  <c r="I943" i="6"/>
  <c r="G943" i="6"/>
  <c r="F943" i="6"/>
  <c r="C943" i="6"/>
  <c r="D943" i="6" s="1"/>
  <c r="E943" i="6" s="1"/>
  <c r="J942" i="6"/>
  <c r="I942" i="6"/>
  <c r="G942" i="6"/>
  <c r="F942" i="6"/>
  <c r="C942" i="6"/>
  <c r="D942" i="6" s="1"/>
  <c r="E942" i="6" s="1"/>
  <c r="J941" i="6"/>
  <c r="I941" i="6"/>
  <c r="G941" i="6"/>
  <c r="F941" i="6"/>
  <c r="C941" i="6"/>
  <c r="D941" i="6" s="1"/>
  <c r="E941" i="6" s="1"/>
  <c r="J940" i="6"/>
  <c r="I940" i="6"/>
  <c r="G940" i="6"/>
  <c r="F940" i="6"/>
  <c r="C940" i="6"/>
  <c r="D940" i="6" s="1"/>
  <c r="E940" i="6" s="1"/>
  <c r="J939" i="6"/>
  <c r="I939" i="6"/>
  <c r="G939" i="6"/>
  <c r="F939" i="6"/>
  <c r="C939" i="6"/>
  <c r="D939" i="6" s="1"/>
  <c r="E939" i="6" s="1"/>
  <c r="J938" i="6"/>
  <c r="I938" i="6"/>
  <c r="G938" i="6"/>
  <c r="F938" i="6"/>
  <c r="C938" i="6"/>
  <c r="D938" i="6" s="1"/>
  <c r="E938" i="6" s="1"/>
  <c r="J937" i="6"/>
  <c r="I937" i="6"/>
  <c r="G937" i="6"/>
  <c r="F937" i="6"/>
  <c r="C937" i="6"/>
  <c r="D937" i="6" s="1"/>
  <c r="E937" i="6" s="1"/>
  <c r="J936" i="6"/>
  <c r="I936" i="6"/>
  <c r="G936" i="6"/>
  <c r="F936" i="6"/>
  <c r="C936" i="6"/>
  <c r="D936" i="6" s="1"/>
  <c r="E936" i="6" s="1"/>
  <c r="J935" i="6"/>
  <c r="I935" i="6"/>
  <c r="G935" i="6"/>
  <c r="F935" i="6"/>
  <c r="C935" i="6"/>
  <c r="D935" i="6" s="1"/>
  <c r="E935" i="6" s="1"/>
  <c r="J934" i="6"/>
  <c r="I934" i="6"/>
  <c r="G934" i="6"/>
  <c r="F934" i="6"/>
  <c r="C934" i="6"/>
  <c r="D934" i="6" s="1"/>
  <c r="E934" i="6" s="1"/>
  <c r="J933" i="6"/>
  <c r="I933" i="6"/>
  <c r="G933" i="6"/>
  <c r="F933" i="6"/>
  <c r="C933" i="6"/>
  <c r="D933" i="6" s="1"/>
  <c r="E933" i="6" s="1"/>
  <c r="J932" i="6"/>
  <c r="I932" i="6"/>
  <c r="G932" i="6"/>
  <c r="F932" i="6"/>
  <c r="C932" i="6"/>
  <c r="D932" i="6" s="1"/>
  <c r="E932" i="6" s="1"/>
  <c r="J931" i="6"/>
  <c r="I931" i="6"/>
  <c r="G931" i="6"/>
  <c r="F931" i="6"/>
  <c r="C931" i="6"/>
  <c r="D931" i="6" s="1"/>
  <c r="E931" i="6" s="1"/>
  <c r="J930" i="6"/>
  <c r="I930" i="6"/>
  <c r="G930" i="6"/>
  <c r="F930" i="6"/>
  <c r="C930" i="6"/>
  <c r="D930" i="6" s="1"/>
  <c r="E930" i="6" s="1"/>
  <c r="J929" i="6"/>
  <c r="I929" i="6"/>
  <c r="G929" i="6"/>
  <c r="F929" i="6"/>
  <c r="C929" i="6"/>
  <c r="D929" i="6" s="1"/>
  <c r="E929" i="6" s="1"/>
  <c r="J928" i="6"/>
  <c r="I928" i="6"/>
  <c r="G928" i="6"/>
  <c r="F928" i="6"/>
  <c r="C928" i="6"/>
  <c r="D928" i="6" s="1"/>
  <c r="E928" i="6" s="1"/>
  <c r="J927" i="6"/>
  <c r="I927" i="6"/>
  <c r="G927" i="6"/>
  <c r="F927" i="6"/>
  <c r="C927" i="6"/>
  <c r="D927" i="6" s="1"/>
  <c r="E927" i="6" s="1"/>
  <c r="J926" i="6"/>
  <c r="I926" i="6"/>
  <c r="G926" i="6"/>
  <c r="F926" i="6"/>
  <c r="C926" i="6"/>
  <c r="D926" i="6" s="1"/>
  <c r="E926" i="6" s="1"/>
  <c r="J925" i="6"/>
  <c r="I925" i="6"/>
  <c r="G925" i="6"/>
  <c r="F925" i="6"/>
  <c r="C925" i="6"/>
  <c r="D925" i="6" s="1"/>
  <c r="E925" i="6" s="1"/>
  <c r="J924" i="6"/>
  <c r="I924" i="6"/>
  <c r="G924" i="6"/>
  <c r="F924" i="6"/>
  <c r="C924" i="6"/>
  <c r="D924" i="6" s="1"/>
  <c r="E924" i="6" s="1"/>
  <c r="J923" i="6"/>
  <c r="I923" i="6"/>
  <c r="G923" i="6"/>
  <c r="F923" i="6"/>
  <c r="C923" i="6"/>
  <c r="D923" i="6" s="1"/>
  <c r="E923" i="6" s="1"/>
  <c r="J922" i="6"/>
  <c r="I922" i="6"/>
  <c r="G922" i="6"/>
  <c r="F922" i="6"/>
  <c r="C922" i="6"/>
  <c r="D922" i="6" s="1"/>
  <c r="E922" i="6" s="1"/>
  <c r="J921" i="6"/>
  <c r="I921" i="6"/>
  <c r="G921" i="6"/>
  <c r="F921" i="6"/>
  <c r="C921" i="6"/>
  <c r="D921" i="6" s="1"/>
  <c r="E921" i="6" s="1"/>
  <c r="J920" i="6"/>
  <c r="I920" i="6"/>
  <c r="G920" i="6"/>
  <c r="F920" i="6"/>
  <c r="C920" i="6"/>
  <c r="D920" i="6" s="1"/>
  <c r="E920" i="6" s="1"/>
  <c r="J919" i="6"/>
  <c r="I919" i="6"/>
  <c r="G919" i="6"/>
  <c r="F919" i="6"/>
  <c r="C919" i="6"/>
  <c r="D919" i="6" s="1"/>
  <c r="E919" i="6" s="1"/>
  <c r="J918" i="6"/>
  <c r="I918" i="6"/>
  <c r="G918" i="6"/>
  <c r="F918" i="6"/>
  <c r="C918" i="6"/>
  <c r="D918" i="6" s="1"/>
  <c r="E918" i="6" s="1"/>
  <c r="J917" i="6"/>
  <c r="I917" i="6"/>
  <c r="G917" i="6"/>
  <c r="F917" i="6"/>
  <c r="C917" i="6"/>
  <c r="D917" i="6" s="1"/>
  <c r="E917" i="6" s="1"/>
  <c r="J916" i="6"/>
  <c r="I916" i="6"/>
  <c r="G916" i="6"/>
  <c r="F916" i="6"/>
  <c r="C916" i="6"/>
  <c r="D916" i="6" s="1"/>
  <c r="E916" i="6" s="1"/>
  <c r="J915" i="6"/>
  <c r="I915" i="6"/>
  <c r="G915" i="6"/>
  <c r="F915" i="6"/>
  <c r="C915" i="6"/>
  <c r="D915" i="6" s="1"/>
  <c r="E915" i="6" s="1"/>
  <c r="J914" i="6"/>
  <c r="I914" i="6"/>
  <c r="G914" i="6"/>
  <c r="F914" i="6"/>
  <c r="C914" i="6"/>
  <c r="D914" i="6" s="1"/>
  <c r="E914" i="6" s="1"/>
  <c r="J913" i="6"/>
  <c r="I913" i="6"/>
  <c r="G913" i="6"/>
  <c r="F913" i="6"/>
  <c r="C913" i="6"/>
  <c r="D913" i="6" s="1"/>
  <c r="E913" i="6" s="1"/>
  <c r="J912" i="6"/>
  <c r="I912" i="6"/>
  <c r="G912" i="6"/>
  <c r="F912" i="6"/>
  <c r="C912" i="6"/>
  <c r="D912" i="6" s="1"/>
  <c r="E912" i="6" s="1"/>
  <c r="J911" i="6"/>
  <c r="I911" i="6"/>
  <c r="G911" i="6"/>
  <c r="F911" i="6"/>
  <c r="C911" i="6"/>
  <c r="D911" i="6" s="1"/>
  <c r="E911" i="6" s="1"/>
  <c r="J910" i="6"/>
  <c r="I910" i="6"/>
  <c r="G910" i="6"/>
  <c r="F910" i="6"/>
  <c r="C910" i="6"/>
  <c r="D910" i="6" s="1"/>
  <c r="E910" i="6" s="1"/>
  <c r="J909" i="6"/>
  <c r="I909" i="6"/>
  <c r="G909" i="6"/>
  <c r="F909" i="6"/>
  <c r="C909" i="6"/>
  <c r="D909" i="6" s="1"/>
  <c r="E909" i="6" s="1"/>
  <c r="J908" i="6"/>
  <c r="I908" i="6"/>
  <c r="G908" i="6"/>
  <c r="F908" i="6"/>
  <c r="C908" i="6"/>
  <c r="D908" i="6" s="1"/>
  <c r="E908" i="6" s="1"/>
  <c r="J907" i="6"/>
  <c r="I907" i="6"/>
  <c r="G907" i="6"/>
  <c r="F907" i="6"/>
  <c r="C907" i="6"/>
  <c r="D907" i="6" s="1"/>
  <c r="E907" i="6" s="1"/>
  <c r="J906" i="6"/>
  <c r="I906" i="6"/>
  <c r="G906" i="6"/>
  <c r="F906" i="6"/>
  <c r="C906" i="6"/>
  <c r="D906" i="6" s="1"/>
  <c r="E906" i="6" s="1"/>
  <c r="J905" i="6"/>
  <c r="I905" i="6"/>
  <c r="G905" i="6"/>
  <c r="F905" i="6"/>
  <c r="C905" i="6"/>
  <c r="D905" i="6" s="1"/>
  <c r="E905" i="6" s="1"/>
  <c r="J904" i="6"/>
  <c r="I904" i="6"/>
  <c r="G904" i="6"/>
  <c r="F904" i="6"/>
  <c r="C904" i="6"/>
  <c r="D904" i="6" s="1"/>
  <c r="E904" i="6" s="1"/>
  <c r="J903" i="6"/>
  <c r="I903" i="6"/>
  <c r="G903" i="6"/>
  <c r="F903" i="6"/>
  <c r="C903" i="6"/>
  <c r="D903" i="6" s="1"/>
  <c r="E903" i="6" s="1"/>
  <c r="J902" i="6"/>
  <c r="I902" i="6"/>
  <c r="G902" i="6"/>
  <c r="F902" i="6"/>
  <c r="C902" i="6"/>
  <c r="D902" i="6" s="1"/>
  <c r="E902" i="6" s="1"/>
  <c r="J901" i="6"/>
  <c r="I901" i="6"/>
  <c r="G901" i="6"/>
  <c r="F901" i="6"/>
  <c r="C901" i="6"/>
  <c r="D901" i="6" s="1"/>
  <c r="E901" i="6" s="1"/>
  <c r="J900" i="6"/>
  <c r="I900" i="6"/>
  <c r="G900" i="6"/>
  <c r="F900" i="6"/>
  <c r="C900" i="6"/>
  <c r="D900" i="6" s="1"/>
  <c r="E900" i="6" s="1"/>
  <c r="J899" i="6"/>
  <c r="I899" i="6"/>
  <c r="G899" i="6"/>
  <c r="F899" i="6"/>
  <c r="C899" i="6"/>
  <c r="D899" i="6" s="1"/>
  <c r="E899" i="6" s="1"/>
  <c r="J898" i="6"/>
  <c r="I898" i="6"/>
  <c r="G898" i="6"/>
  <c r="F898" i="6"/>
  <c r="C898" i="6"/>
  <c r="D898" i="6" s="1"/>
  <c r="E898" i="6" s="1"/>
  <c r="J897" i="6"/>
  <c r="I897" i="6"/>
  <c r="G897" i="6"/>
  <c r="F897" i="6"/>
  <c r="C897" i="6"/>
  <c r="D897" i="6" s="1"/>
  <c r="E897" i="6" s="1"/>
  <c r="J896" i="6"/>
  <c r="I896" i="6"/>
  <c r="G896" i="6"/>
  <c r="F896" i="6"/>
  <c r="C896" i="6"/>
  <c r="D896" i="6" s="1"/>
  <c r="E896" i="6" s="1"/>
  <c r="J895" i="6"/>
  <c r="I895" i="6"/>
  <c r="G895" i="6"/>
  <c r="F895" i="6"/>
  <c r="C895" i="6"/>
  <c r="D895" i="6" s="1"/>
  <c r="E895" i="6" s="1"/>
  <c r="J894" i="6"/>
  <c r="I894" i="6"/>
  <c r="G894" i="6"/>
  <c r="F894" i="6"/>
  <c r="C894" i="6"/>
  <c r="D894" i="6" s="1"/>
  <c r="E894" i="6" s="1"/>
  <c r="J893" i="6"/>
  <c r="I893" i="6"/>
  <c r="G893" i="6"/>
  <c r="F893" i="6"/>
  <c r="C893" i="6"/>
  <c r="D893" i="6" s="1"/>
  <c r="E893" i="6" s="1"/>
  <c r="J892" i="6"/>
  <c r="I892" i="6"/>
  <c r="G892" i="6"/>
  <c r="F892" i="6"/>
  <c r="C892" i="6"/>
  <c r="D892" i="6" s="1"/>
  <c r="E892" i="6" s="1"/>
  <c r="J891" i="6"/>
  <c r="I891" i="6"/>
  <c r="G891" i="6"/>
  <c r="F891" i="6"/>
  <c r="C891" i="6"/>
  <c r="D891" i="6" s="1"/>
  <c r="E891" i="6" s="1"/>
  <c r="J890" i="6"/>
  <c r="I890" i="6"/>
  <c r="G890" i="6"/>
  <c r="F890" i="6"/>
  <c r="C890" i="6"/>
  <c r="D890" i="6" s="1"/>
  <c r="E890" i="6" s="1"/>
  <c r="J889" i="6"/>
  <c r="I889" i="6"/>
  <c r="G889" i="6"/>
  <c r="F889" i="6"/>
  <c r="C889" i="6"/>
  <c r="D889" i="6" s="1"/>
  <c r="E889" i="6" s="1"/>
  <c r="J888" i="6"/>
  <c r="I888" i="6"/>
  <c r="G888" i="6"/>
  <c r="F888" i="6"/>
  <c r="C888" i="6"/>
  <c r="D888" i="6" s="1"/>
  <c r="E888" i="6" s="1"/>
  <c r="J887" i="6"/>
  <c r="I887" i="6"/>
  <c r="G887" i="6"/>
  <c r="F887" i="6"/>
  <c r="C887" i="6"/>
  <c r="D887" i="6" s="1"/>
  <c r="E887" i="6" s="1"/>
  <c r="J886" i="6"/>
  <c r="I886" i="6"/>
  <c r="G886" i="6"/>
  <c r="F886" i="6"/>
  <c r="C886" i="6"/>
  <c r="D886" i="6" s="1"/>
  <c r="E886" i="6" s="1"/>
  <c r="J885" i="6"/>
  <c r="I885" i="6"/>
  <c r="G885" i="6"/>
  <c r="F885" i="6"/>
  <c r="C885" i="6"/>
  <c r="D885" i="6" s="1"/>
  <c r="E885" i="6" s="1"/>
  <c r="J884" i="6"/>
  <c r="I884" i="6"/>
  <c r="G884" i="6"/>
  <c r="F884" i="6"/>
  <c r="C884" i="6"/>
  <c r="D884" i="6" s="1"/>
  <c r="E884" i="6" s="1"/>
  <c r="J883" i="6"/>
  <c r="I883" i="6"/>
  <c r="G883" i="6"/>
  <c r="F883" i="6"/>
  <c r="C883" i="6"/>
  <c r="D883" i="6" s="1"/>
  <c r="E883" i="6" s="1"/>
  <c r="J882" i="6"/>
  <c r="I882" i="6"/>
  <c r="G882" i="6"/>
  <c r="F882" i="6"/>
  <c r="C882" i="6"/>
  <c r="D882" i="6" s="1"/>
  <c r="E882" i="6" s="1"/>
  <c r="J881" i="6"/>
  <c r="I881" i="6"/>
  <c r="G881" i="6"/>
  <c r="F881" i="6"/>
  <c r="C881" i="6"/>
  <c r="D881" i="6" s="1"/>
  <c r="E881" i="6" s="1"/>
  <c r="J880" i="6"/>
  <c r="I880" i="6"/>
  <c r="G880" i="6"/>
  <c r="F880" i="6"/>
  <c r="C880" i="6"/>
  <c r="D880" i="6" s="1"/>
  <c r="E880" i="6" s="1"/>
  <c r="J879" i="6"/>
  <c r="I879" i="6"/>
  <c r="G879" i="6"/>
  <c r="F879" i="6"/>
  <c r="C879" i="6"/>
  <c r="D879" i="6" s="1"/>
  <c r="E879" i="6" s="1"/>
  <c r="J878" i="6"/>
  <c r="I878" i="6"/>
  <c r="G878" i="6"/>
  <c r="F878" i="6"/>
  <c r="C878" i="6"/>
  <c r="D878" i="6" s="1"/>
  <c r="E878" i="6" s="1"/>
  <c r="J877" i="6"/>
  <c r="I877" i="6"/>
  <c r="G877" i="6"/>
  <c r="F877" i="6"/>
  <c r="C877" i="6"/>
  <c r="D877" i="6" s="1"/>
  <c r="E877" i="6" s="1"/>
  <c r="J876" i="6"/>
  <c r="I876" i="6"/>
  <c r="G876" i="6"/>
  <c r="F876" i="6"/>
  <c r="C876" i="6"/>
  <c r="D876" i="6" s="1"/>
  <c r="E876" i="6" s="1"/>
  <c r="J875" i="6"/>
  <c r="I875" i="6"/>
  <c r="G875" i="6"/>
  <c r="F875" i="6"/>
  <c r="C875" i="6"/>
  <c r="D875" i="6" s="1"/>
  <c r="E875" i="6" s="1"/>
  <c r="J874" i="6"/>
  <c r="I874" i="6"/>
  <c r="G874" i="6"/>
  <c r="F874" i="6"/>
  <c r="C874" i="6"/>
  <c r="D874" i="6" s="1"/>
  <c r="E874" i="6" s="1"/>
  <c r="J873" i="6"/>
  <c r="I873" i="6"/>
  <c r="G873" i="6"/>
  <c r="F873" i="6"/>
  <c r="C873" i="6"/>
  <c r="D873" i="6" s="1"/>
  <c r="E873" i="6" s="1"/>
  <c r="J872" i="6"/>
  <c r="I872" i="6"/>
  <c r="G872" i="6"/>
  <c r="F872" i="6"/>
  <c r="C872" i="6"/>
  <c r="D872" i="6" s="1"/>
  <c r="E872" i="6" s="1"/>
  <c r="J871" i="6"/>
  <c r="I871" i="6"/>
  <c r="G871" i="6"/>
  <c r="F871" i="6"/>
  <c r="C871" i="6"/>
  <c r="D871" i="6" s="1"/>
  <c r="E871" i="6" s="1"/>
  <c r="J870" i="6"/>
  <c r="I870" i="6"/>
  <c r="G870" i="6"/>
  <c r="F870" i="6"/>
  <c r="C870" i="6"/>
  <c r="D870" i="6" s="1"/>
  <c r="E870" i="6" s="1"/>
  <c r="J869" i="6"/>
  <c r="I869" i="6"/>
  <c r="G869" i="6"/>
  <c r="F869" i="6"/>
  <c r="C869" i="6"/>
  <c r="D869" i="6" s="1"/>
  <c r="E869" i="6" s="1"/>
  <c r="J868" i="6"/>
  <c r="I868" i="6"/>
  <c r="G868" i="6"/>
  <c r="F868" i="6"/>
  <c r="C868" i="6"/>
  <c r="D868" i="6" s="1"/>
  <c r="E868" i="6" s="1"/>
  <c r="J867" i="6"/>
  <c r="I867" i="6"/>
  <c r="G867" i="6"/>
  <c r="F867" i="6"/>
  <c r="C867" i="6"/>
  <c r="D867" i="6" s="1"/>
  <c r="E867" i="6" s="1"/>
  <c r="J866" i="6"/>
  <c r="I866" i="6"/>
  <c r="G866" i="6"/>
  <c r="F866" i="6"/>
  <c r="C866" i="6"/>
  <c r="D866" i="6" s="1"/>
  <c r="E866" i="6" s="1"/>
  <c r="J865" i="6"/>
  <c r="I865" i="6"/>
  <c r="G865" i="6"/>
  <c r="F865" i="6"/>
  <c r="C865" i="6"/>
  <c r="D865" i="6" s="1"/>
  <c r="E865" i="6" s="1"/>
  <c r="J864" i="6"/>
  <c r="I864" i="6"/>
  <c r="G864" i="6"/>
  <c r="F864" i="6"/>
  <c r="C864" i="6"/>
  <c r="D864" i="6" s="1"/>
  <c r="E864" i="6" s="1"/>
  <c r="J863" i="6"/>
  <c r="I863" i="6"/>
  <c r="G863" i="6"/>
  <c r="F863" i="6"/>
  <c r="C863" i="6"/>
  <c r="D863" i="6" s="1"/>
  <c r="E863" i="6" s="1"/>
  <c r="J862" i="6"/>
  <c r="I862" i="6"/>
  <c r="G862" i="6"/>
  <c r="F862" i="6"/>
  <c r="C862" i="6"/>
  <c r="D862" i="6" s="1"/>
  <c r="E862" i="6" s="1"/>
  <c r="J861" i="6"/>
  <c r="I861" i="6"/>
  <c r="G861" i="6"/>
  <c r="F861" i="6"/>
  <c r="C861" i="6"/>
  <c r="D861" i="6" s="1"/>
  <c r="E861" i="6" s="1"/>
  <c r="J860" i="6"/>
  <c r="I860" i="6"/>
  <c r="G860" i="6"/>
  <c r="F860" i="6"/>
  <c r="C860" i="6"/>
  <c r="D860" i="6" s="1"/>
  <c r="E860" i="6" s="1"/>
  <c r="J859" i="6"/>
  <c r="I859" i="6"/>
  <c r="G859" i="6"/>
  <c r="F859" i="6"/>
  <c r="C859" i="6"/>
  <c r="D859" i="6" s="1"/>
  <c r="E859" i="6" s="1"/>
  <c r="J858" i="6"/>
  <c r="I858" i="6"/>
  <c r="G858" i="6"/>
  <c r="F858" i="6"/>
  <c r="C858" i="6"/>
  <c r="D858" i="6" s="1"/>
  <c r="E858" i="6" s="1"/>
  <c r="J857" i="6"/>
  <c r="I857" i="6"/>
  <c r="G857" i="6"/>
  <c r="F857" i="6"/>
  <c r="C857" i="6"/>
  <c r="D857" i="6" s="1"/>
  <c r="E857" i="6" s="1"/>
  <c r="J856" i="6"/>
  <c r="I856" i="6"/>
  <c r="G856" i="6"/>
  <c r="F856" i="6"/>
  <c r="C856" i="6"/>
  <c r="D856" i="6" s="1"/>
  <c r="E856" i="6" s="1"/>
  <c r="J855" i="6"/>
  <c r="I855" i="6"/>
  <c r="G855" i="6"/>
  <c r="F855" i="6"/>
  <c r="C855" i="6"/>
  <c r="D855" i="6" s="1"/>
  <c r="E855" i="6" s="1"/>
  <c r="J854" i="6"/>
  <c r="I854" i="6"/>
  <c r="G854" i="6"/>
  <c r="F854" i="6"/>
  <c r="C854" i="6"/>
  <c r="D854" i="6" s="1"/>
  <c r="E854" i="6" s="1"/>
  <c r="J853" i="6"/>
  <c r="I853" i="6"/>
  <c r="G853" i="6"/>
  <c r="F853" i="6"/>
  <c r="C853" i="6"/>
  <c r="D853" i="6" s="1"/>
  <c r="E853" i="6" s="1"/>
  <c r="J852" i="6"/>
  <c r="I852" i="6"/>
  <c r="G852" i="6"/>
  <c r="F852" i="6"/>
  <c r="C852" i="6"/>
  <c r="D852" i="6" s="1"/>
  <c r="E852" i="6" s="1"/>
  <c r="J851" i="6"/>
  <c r="I851" i="6"/>
  <c r="G851" i="6"/>
  <c r="F851" i="6"/>
  <c r="C851" i="6"/>
  <c r="D851" i="6" s="1"/>
  <c r="E851" i="6" s="1"/>
  <c r="J850" i="6"/>
  <c r="I850" i="6"/>
  <c r="G850" i="6"/>
  <c r="F850" i="6"/>
  <c r="C850" i="6"/>
  <c r="D850" i="6" s="1"/>
  <c r="E850" i="6" s="1"/>
  <c r="J849" i="6"/>
  <c r="I849" i="6"/>
  <c r="G849" i="6"/>
  <c r="F849" i="6"/>
  <c r="C849" i="6"/>
  <c r="D849" i="6" s="1"/>
  <c r="E849" i="6" s="1"/>
  <c r="J848" i="6"/>
  <c r="I848" i="6"/>
  <c r="G848" i="6"/>
  <c r="F848" i="6"/>
  <c r="C848" i="6"/>
  <c r="D848" i="6" s="1"/>
  <c r="E848" i="6" s="1"/>
  <c r="J847" i="6"/>
  <c r="I847" i="6"/>
  <c r="G847" i="6"/>
  <c r="F847" i="6"/>
  <c r="C847" i="6"/>
  <c r="D847" i="6" s="1"/>
  <c r="E847" i="6" s="1"/>
  <c r="J846" i="6"/>
  <c r="I846" i="6"/>
  <c r="G846" i="6"/>
  <c r="F846" i="6"/>
  <c r="C846" i="6"/>
  <c r="D846" i="6" s="1"/>
  <c r="E846" i="6" s="1"/>
  <c r="J845" i="6"/>
  <c r="I845" i="6"/>
  <c r="G845" i="6"/>
  <c r="F845" i="6"/>
  <c r="C845" i="6"/>
  <c r="D845" i="6" s="1"/>
  <c r="E845" i="6" s="1"/>
  <c r="J844" i="6"/>
  <c r="I844" i="6"/>
  <c r="G844" i="6"/>
  <c r="F844" i="6"/>
  <c r="C844" i="6"/>
  <c r="D844" i="6" s="1"/>
  <c r="E844" i="6" s="1"/>
  <c r="J843" i="6"/>
  <c r="I843" i="6"/>
  <c r="G843" i="6"/>
  <c r="F843" i="6"/>
  <c r="C843" i="6"/>
  <c r="D843" i="6" s="1"/>
  <c r="E843" i="6" s="1"/>
  <c r="J842" i="6"/>
  <c r="I842" i="6"/>
  <c r="G842" i="6"/>
  <c r="F842" i="6"/>
  <c r="C842" i="6"/>
  <c r="D842" i="6" s="1"/>
  <c r="E842" i="6" s="1"/>
  <c r="J841" i="6"/>
  <c r="I841" i="6"/>
  <c r="G841" i="6"/>
  <c r="F841" i="6"/>
  <c r="C841" i="6"/>
  <c r="D841" i="6" s="1"/>
  <c r="E841" i="6" s="1"/>
  <c r="J840" i="6"/>
  <c r="I840" i="6"/>
  <c r="G840" i="6"/>
  <c r="F840" i="6"/>
  <c r="C840" i="6"/>
  <c r="D840" i="6" s="1"/>
  <c r="E840" i="6" s="1"/>
  <c r="J839" i="6"/>
  <c r="I839" i="6"/>
  <c r="G839" i="6"/>
  <c r="F839" i="6"/>
  <c r="C839" i="6"/>
  <c r="D839" i="6" s="1"/>
  <c r="E839" i="6" s="1"/>
  <c r="J838" i="6"/>
  <c r="I838" i="6"/>
  <c r="G838" i="6"/>
  <c r="F838" i="6"/>
  <c r="C838" i="6"/>
  <c r="D838" i="6" s="1"/>
  <c r="E838" i="6" s="1"/>
  <c r="J837" i="6"/>
  <c r="I837" i="6"/>
  <c r="G837" i="6"/>
  <c r="F837" i="6"/>
  <c r="C837" i="6"/>
  <c r="D837" i="6" s="1"/>
  <c r="E837" i="6" s="1"/>
  <c r="J836" i="6"/>
  <c r="I836" i="6"/>
  <c r="G836" i="6"/>
  <c r="F836" i="6"/>
  <c r="C836" i="6"/>
  <c r="D836" i="6" s="1"/>
  <c r="E836" i="6" s="1"/>
  <c r="J835" i="6"/>
  <c r="I835" i="6"/>
  <c r="G835" i="6"/>
  <c r="F835" i="6"/>
  <c r="C835" i="6"/>
  <c r="D835" i="6" s="1"/>
  <c r="E835" i="6" s="1"/>
  <c r="J834" i="6"/>
  <c r="I834" i="6"/>
  <c r="G834" i="6"/>
  <c r="F834" i="6"/>
  <c r="C834" i="6"/>
  <c r="D834" i="6" s="1"/>
  <c r="E834" i="6" s="1"/>
  <c r="J833" i="6"/>
  <c r="I833" i="6"/>
  <c r="G833" i="6"/>
  <c r="F833" i="6"/>
  <c r="C833" i="6"/>
  <c r="D833" i="6" s="1"/>
  <c r="E833" i="6" s="1"/>
  <c r="J832" i="6"/>
  <c r="I832" i="6"/>
  <c r="G832" i="6"/>
  <c r="F832" i="6"/>
  <c r="C832" i="6"/>
  <c r="D832" i="6" s="1"/>
  <c r="E832" i="6" s="1"/>
  <c r="J831" i="6"/>
  <c r="I831" i="6"/>
  <c r="G831" i="6"/>
  <c r="F831" i="6"/>
  <c r="C831" i="6"/>
  <c r="D831" i="6" s="1"/>
  <c r="E831" i="6" s="1"/>
  <c r="J830" i="6"/>
  <c r="I830" i="6"/>
  <c r="G830" i="6"/>
  <c r="F830" i="6"/>
  <c r="C830" i="6"/>
  <c r="D830" i="6" s="1"/>
  <c r="E830" i="6" s="1"/>
  <c r="J829" i="6"/>
  <c r="I829" i="6"/>
  <c r="G829" i="6"/>
  <c r="F829" i="6"/>
  <c r="C829" i="6"/>
  <c r="D829" i="6" s="1"/>
  <c r="E829" i="6" s="1"/>
  <c r="J828" i="6"/>
  <c r="I828" i="6"/>
  <c r="G828" i="6"/>
  <c r="F828" i="6"/>
  <c r="C828" i="6"/>
  <c r="D828" i="6" s="1"/>
  <c r="E828" i="6" s="1"/>
  <c r="J827" i="6"/>
  <c r="I827" i="6"/>
  <c r="G827" i="6"/>
  <c r="F827" i="6"/>
  <c r="C827" i="6"/>
  <c r="D827" i="6" s="1"/>
  <c r="E827" i="6" s="1"/>
  <c r="J826" i="6"/>
  <c r="I826" i="6"/>
  <c r="G826" i="6"/>
  <c r="F826" i="6"/>
  <c r="C826" i="6"/>
  <c r="D826" i="6" s="1"/>
  <c r="E826" i="6" s="1"/>
  <c r="J825" i="6"/>
  <c r="I825" i="6"/>
  <c r="G825" i="6"/>
  <c r="F825" i="6"/>
  <c r="C825" i="6"/>
  <c r="D825" i="6" s="1"/>
  <c r="E825" i="6" s="1"/>
  <c r="J824" i="6"/>
  <c r="I824" i="6"/>
  <c r="G824" i="6"/>
  <c r="F824" i="6"/>
  <c r="C824" i="6"/>
  <c r="D824" i="6" s="1"/>
  <c r="E824" i="6" s="1"/>
  <c r="J823" i="6"/>
  <c r="I823" i="6"/>
  <c r="G823" i="6"/>
  <c r="F823" i="6"/>
  <c r="C823" i="6"/>
  <c r="D823" i="6" s="1"/>
  <c r="E823" i="6" s="1"/>
  <c r="J822" i="6"/>
  <c r="I822" i="6"/>
  <c r="G822" i="6"/>
  <c r="F822" i="6"/>
  <c r="C822" i="6"/>
  <c r="D822" i="6" s="1"/>
  <c r="E822" i="6" s="1"/>
  <c r="J821" i="6"/>
  <c r="I821" i="6"/>
  <c r="G821" i="6"/>
  <c r="F821" i="6"/>
  <c r="C821" i="6"/>
  <c r="D821" i="6" s="1"/>
  <c r="E821" i="6" s="1"/>
  <c r="J820" i="6"/>
  <c r="I820" i="6"/>
  <c r="G820" i="6"/>
  <c r="F820" i="6"/>
  <c r="C820" i="6"/>
  <c r="D820" i="6" s="1"/>
  <c r="E820" i="6" s="1"/>
  <c r="J819" i="6"/>
  <c r="I819" i="6"/>
  <c r="G819" i="6"/>
  <c r="F819" i="6"/>
  <c r="C819" i="6"/>
  <c r="D819" i="6" s="1"/>
  <c r="E819" i="6" s="1"/>
  <c r="J818" i="6"/>
  <c r="I818" i="6"/>
  <c r="G818" i="6"/>
  <c r="F818" i="6"/>
  <c r="C818" i="6"/>
  <c r="D818" i="6" s="1"/>
  <c r="E818" i="6" s="1"/>
  <c r="J817" i="6"/>
  <c r="I817" i="6"/>
  <c r="G817" i="6"/>
  <c r="F817" i="6"/>
  <c r="C817" i="6"/>
  <c r="D817" i="6" s="1"/>
  <c r="E817" i="6" s="1"/>
  <c r="J816" i="6"/>
  <c r="I816" i="6"/>
  <c r="G816" i="6"/>
  <c r="F816" i="6"/>
  <c r="C816" i="6"/>
  <c r="D816" i="6" s="1"/>
  <c r="E816" i="6" s="1"/>
  <c r="J815" i="6"/>
  <c r="I815" i="6"/>
  <c r="G815" i="6"/>
  <c r="F815" i="6"/>
  <c r="C815" i="6"/>
  <c r="D815" i="6" s="1"/>
  <c r="E815" i="6" s="1"/>
  <c r="J814" i="6"/>
  <c r="I814" i="6"/>
  <c r="G814" i="6"/>
  <c r="F814" i="6"/>
  <c r="C814" i="6"/>
  <c r="D814" i="6" s="1"/>
  <c r="E814" i="6" s="1"/>
  <c r="J813" i="6"/>
  <c r="I813" i="6"/>
  <c r="G813" i="6"/>
  <c r="F813" i="6"/>
  <c r="C813" i="6"/>
  <c r="D813" i="6" s="1"/>
  <c r="E813" i="6" s="1"/>
  <c r="J812" i="6"/>
  <c r="I812" i="6"/>
  <c r="G812" i="6"/>
  <c r="F812" i="6"/>
  <c r="C812" i="6"/>
  <c r="D812" i="6" s="1"/>
  <c r="E812" i="6" s="1"/>
  <c r="J811" i="6"/>
  <c r="I811" i="6"/>
  <c r="G811" i="6"/>
  <c r="F811" i="6"/>
  <c r="C811" i="6"/>
  <c r="D811" i="6" s="1"/>
  <c r="E811" i="6" s="1"/>
  <c r="J810" i="6"/>
  <c r="I810" i="6"/>
  <c r="G810" i="6"/>
  <c r="F810" i="6"/>
  <c r="C810" i="6"/>
  <c r="D810" i="6" s="1"/>
  <c r="E810" i="6" s="1"/>
  <c r="J809" i="6"/>
  <c r="I809" i="6"/>
  <c r="G809" i="6"/>
  <c r="F809" i="6"/>
  <c r="C809" i="6"/>
  <c r="D809" i="6" s="1"/>
  <c r="E809" i="6" s="1"/>
  <c r="J808" i="6"/>
  <c r="I808" i="6"/>
  <c r="G808" i="6"/>
  <c r="F808" i="6"/>
  <c r="C808" i="6"/>
  <c r="D808" i="6" s="1"/>
  <c r="E808" i="6" s="1"/>
  <c r="J807" i="6"/>
  <c r="I807" i="6"/>
  <c r="G807" i="6"/>
  <c r="F807" i="6"/>
  <c r="C807" i="6"/>
  <c r="D807" i="6" s="1"/>
  <c r="E807" i="6" s="1"/>
  <c r="J806" i="6"/>
  <c r="I806" i="6"/>
  <c r="G806" i="6"/>
  <c r="F806" i="6"/>
  <c r="C806" i="6"/>
  <c r="D806" i="6" s="1"/>
  <c r="E806" i="6" s="1"/>
  <c r="J805" i="6"/>
  <c r="I805" i="6"/>
  <c r="G805" i="6"/>
  <c r="F805" i="6"/>
  <c r="C805" i="6"/>
  <c r="D805" i="6" s="1"/>
  <c r="E805" i="6" s="1"/>
  <c r="J804" i="6"/>
  <c r="I804" i="6"/>
  <c r="G804" i="6"/>
  <c r="F804" i="6"/>
  <c r="C804" i="6"/>
  <c r="D804" i="6" s="1"/>
  <c r="E804" i="6" s="1"/>
  <c r="J803" i="6"/>
  <c r="I803" i="6"/>
  <c r="G803" i="6"/>
  <c r="F803" i="6"/>
  <c r="C803" i="6"/>
  <c r="D803" i="6" s="1"/>
  <c r="E803" i="6" s="1"/>
  <c r="J802" i="6"/>
  <c r="I802" i="6"/>
  <c r="G802" i="6"/>
  <c r="F802" i="6"/>
  <c r="C802" i="6"/>
  <c r="D802" i="6" s="1"/>
  <c r="E802" i="6" s="1"/>
  <c r="J801" i="6"/>
  <c r="I801" i="6"/>
  <c r="G801" i="6"/>
  <c r="F801" i="6"/>
  <c r="C801" i="6"/>
  <c r="D801" i="6" s="1"/>
  <c r="E801" i="6" s="1"/>
  <c r="J800" i="6"/>
  <c r="I800" i="6"/>
  <c r="G800" i="6"/>
  <c r="F800" i="6"/>
  <c r="C800" i="6"/>
  <c r="D800" i="6" s="1"/>
  <c r="E800" i="6" s="1"/>
  <c r="J799" i="6"/>
  <c r="I799" i="6"/>
  <c r="G799" i="6"/>
  <c r="F799" i="6"/>
  <c r="C799" i="6"/>
  <c r="D799" i="6" s="1"/>
  <c r="E799" i="6" s="1"/>
  <c r="J798" i="6"/>
  <c r="I798" i="6"/>
  <c r="G798" i="6"/>
  <c r="F798" i="6"/>
  <c r="C798" i="6"/>
  <c r="D798" i="6" s="1"/>
  <c r="E798" i="6" s="1"/>
  <c r="J797" i="6"/>
  <c r="I797" i="6"/>
  <c r="G797" i="6"/>
  <c r="F797" i="6"/>
  <c r="C797" i="6"/>
  <c r="D797" i="6" s="1"/>
  <c r="E797" i="6" s="1"/>
  <c r="J796" i="6"/>
  <c r="I796" i="6"/>
  <c r="G796" i="6"/>
  <c r="F796" i="6"/>
  <c r="C796" i="6"/>
  <c r="D796" i="6" s="1"/>
  <c r="E796" i="6" s="1"/>
  <c r="J795" i="6"/>
  <c r="I795" i="6"/>
  <c r="G795" i="6"/>
  <c r="F795" i="6"/>
  <c r="C795" i="6"/>
  <c r="D795" i="6" s="1"/>
  <c r="E795" i="6" s="1"/>
  <c r="J794" i="6"/>
  <c r="I794" i="6"/>
  <c r="G794" i="6"/>
  <c r="F794" i="6"/>
  <c r="C794" i="6"/>
  <c r="D794" i="6" s="1"/>
  <c r="E794" i="6" s="1"/>
  <c r="J793" i="6"/>
  <c r="I793" i="6"/>
  <c r="G793" i="6"/>
  <c r="F793" i="6"/>
  <c r="C793" i="6"/>
  <c r="D793" i="6" s="1"/>
  <c r="E793" i="6" s="1"/>
  <c r="J792" i="6"/>
  <c r="I792" i="6"/>
  <c r="G792" i="6"/>
  <c r="F792" i="6"/>
  <c r="C792" i="6"/>
  <c r="D792" i="6" s="1"/>
  <c r="E792" i="6" s="1"/>
  <c r="J791" i="6"/>
  <c r="I791" i="6"/>
  <c r="G791" i="6"/>
  <c r="F791" i="6"/>
  <c r="C791" i="6"/>
  <c r="D791" i="6" s="1"/>
  <c r="E791" i="6" s="1"/>
  <c r="J790" i="6"/>
  <c r="I790" i="6"/>
  <c r="G790" i="6"/>
  <c r="F790" i="6"/>
  <c r="C790" i="6"/>
  <c r="D790" i="6" s="1"/>
  <c r="E790" i="6" s="1"/>
  <c r="J789" i="6"/>
  <c r="I789" i="6"/>
  <c r="G789" i="6"/>
  <c r="F789" i="6"/>
  <c r="C789" i="6"/>
  <c r="D789" i="6" s="1"/>
  <c r="E789" i="6" s="1"/>
  <c r="J788" i="6"/>
  <c r="I788" i="6"/>
  <c r="G788" i="6"/>
  <c r="F788" i="6"/>
  <c r="C788" i="6"/>
  <c r="D788" i="6" s="1"/>
  <c r="E788" i="6" s="1"/>
  <c r="J787" i="6"/>
  <c r="I787" i="6"/>
  <c r="G787" i="6"/>
  <c r="F787" i="6"/>
  <c r="C787" i="6"/>
  <c r="D787" i="6" s="1"/>
  <c r="E787" i="6" s="1"/>
  <c r="J786" i="6"/>
  <c r="I786" i="6"/>
  <c r="G786" i="6"/>
  <c r="F786" i="6"/>
  <c r="C786" i="6"/>
  <c r="D786" i="6" s="1"/>
  <c r="E786" i="6" s="1"/>
  <c r="J785" i="6"/>
  <c r="I785" i="6"/>
  <c r="G785" i="6"/>
  <c r="F785" i="6"/>
  <c r="C785" i="6"/>
  <c r="D785" i="6" s="1"/>
  <c r="E785" i="6" s="1"/>
  <c r="J784" i="6"/>
  <c r="I784" i="6"/>
  <c r="G784" i="6"/>
  <c r="F784" i="6"/>
  <c r="C784" i="6"/>
  <c r="D784" i="6" s="1"/>
  <c r="E784" i="6" s="1"/>
  <c r="J783" i="6"/>
  <c r="I783" i="6"/>
  <c r="G783" i="6"/>
  <c r="F783" i="6"/>
  <c r="C783" i="6"/>
  <c r="D783" i="6" s="1"/>
  <c r="E783" i="6" s="1"/>
  <c r="J782" i="6"/>
  <c r="I782" i="6"/>
  <c r="G782" i="6"/>
  <c r="F782" i="6"/>
  <c r="C782" i="6"/>
  <c r="D782" i="6" s="1"/>
  <c r="E782" i="6" s="1"/>
  <c r="J781" i="6"/>
  <c r="I781" i="6"/>
  <c r="G781" i="6"/>
  <c r="F781" i="6"/>
  <c r="C781" i="6"/>
  <c r="D781" i="6" s="1"/>
  <c r="E781" i="6" s="1"/>
  <c r="J780" i="6"/>
  <c r="I780" i="6"/>
  <c r="G780" i="6"/>
  <c r="F780" i="6"/>
  <c r="C780" i="6"/>
  <c r="D780" i="6" s="1"/>
  <c r="E780" i="6" s="1"/>
  <c r="J779" i="6"/>
  <c r="I779" i="6"/>
  <c r="G779" i="6"/>
  <c r="F779" i="6"/>
  <c r="C779" i="6"/>
  <c r="D779" i="6" s="1"/>
  <c r="E779" i="6" s="1"/>
  <c r="J778" i="6"/>
  <c r="I778" i="6"/>
  <c r="G778" i="6"/>
  <c r="F778" i="6"/>
  <c r="C778" i="6"/>
  <c r="D778" i="6" s="1"/>
  <c r="E778" i="6" s="1"/>
  <c r="J777" i="6"/>
  <c r="I777" i="6"/>
  <c r="G777" i="6"/>
  <c r="F777" i="6"/>
  <c r="C777" i="6"/>
  <c r="D777" i="6" s="1"/>
  <c r="E777" i="6" s="1"/>
  <c r="J776" i="6"/>
  <c r="I776" i="6"/>
  <c r="G776" i="6"/>
  <c r="F776" i="6"/>
  <c r="C776" i="6"/>
  <c r="D776" i="6" s="1"/>
  <c r="E776" i="6" s="1"/>
  <c r="J775" i="6"/>
  <c r="I775" i="6"/>
  <c r="G775" i="6"/>
  <c r="F775" i="6"/>
  <c r="C775" i="6"/>
  <c r="D775" i="6" s="1"/>
  <c r="E775" i="6" s="1"/>
  <c r="J774" i="6"/>
  <c r="I774" i="6"/>
  <c r="G774" i="6"/>
  <c r="F774" i="6"/>
  <c r="C774" i="6"/>
  <c r="D774" i="6" s="1"/>
  <c r="E774" i="6" s="1"/>
  <c r="J773" i="6"/>
  <c r="I773" i="6"/>
  <c r="G773" i="6"/>
  <c r="F773" i="6"/>
  <c r="C773" i="6"/>
  <c r="D773" i="6" s="1"/>
  <c r="E773" i="6" s="1"/>
  <c r="J772" i="6"/>
  <c r="I772" i="6"/>
  <c r="G772" i="6"/>
  <c r="F772" i="6"/>
  <c r="C772" i="6"/>
  <c r="D772" i="6" s="1"/>
  <c r="E772" i="6" s="1"/>
  <c r="J771" i="6"/>
  <c r="I771" i="6"/>
  <c r="G771" i="6"/>
  <c r="F771" i="6"/>
  <c r="C771" i="6"/>
  <c r="D771" i="6" s="1"/>
  <c r="E771" i="6" s="1"/>
  <c r="J770" i="6"/>
  <c r="I770" i="6"/>
  <c r="G770" i="6"/>
  <c r="F770" i="6"/>
  <c r="C770" i="6"/>
  <c r="D770" i="6" s="1"/>
  <c r="E770" i="6" s="1"/>
  <c r="J769" i="6"/>
  <c r="I769" i="6"/>
  <c r="G769" i="6"/>
  <c r="F769" i="6"/>
  <c r="C769" i="6"/>
  <c r="D769" i="6" s="1"/>
  <c r="E769" i="6" s="1"/>
  <c r="J768" i="6"/>
  <c r="I768" i="6"/>
  <c r="G768" i="6"/>
  <c r="F768" i="6"/>
  <c r="C768" i="6"/>
  <c r="D768" i="6" s="1"/>
  <c r="E768" i="6" s="1"/>
  <c r="J767" i="6"/>
  <c r="I767" i="6"/>
  <c r="G767" i="6"/>
  <c r="F767" i="6"/>
  <c r="C767" i="6"/>
  <c r="D767" i="6" s="1"/>
  <c r="E767" i="6" s="1"/>
  <c r="J766" i="6"/>
  <c r="I766" i="6"/>
  <c r="G766" i="6"/>
  <c r="F766" i="6"/>
  <c r="C766" i="6"/>
  <c r="D766" i="6" s="1"/>
  <c r="E766" i="6" s="1"/>
  <c r="J765" i="6"/>
  <c r="I765" i="6"/>
  <c r="G765" i="6"/>
  <c r="F765" i="6"/>
  <c r="C765" i="6"/>
  <c r="D765" i="6" s="1"/>
  <c r="E765" i="6" s="1"/>
  <c r="J764" i="6"/>
  <c r="I764" i="6"/>
  <c r="G764" i="6"/>
  <c r="F764" i="6"/>
  <c r="C764" i="6"/>
  <c r="D764" i="6" s="1"/>
  <c r="E764" i="6" s="1"/>
  <c r="J763" i="6"/>
  <c r="I763" i="6"/>
  <c r="G763" i="6"/>
  <c r="F763" i="6"/>
  <c r="C763" i="6"/>
  <c r="D763" i="6" s="1"/>
  <c r="E763" i="6" s="1"/>
  <c r="J762" i="6"/>
  <c r="I762" i="6"/>
  <c r="G762" i="6"/>
  <c r="F762" i="6"/>
  <c r="C762" i="6"/>
  <c r="D762" i="6" s="1"/>
  <c r="E762" i="6" s="1"/>
  <c r="J761" i="6"/>
  <c r="I761" i="6"/>
  <c r="G761" i="6"/>
  <c r="F761" i="6"/>
  <c r="C761" i="6"/>
  <c r="D761" i="6" s="1"/>
  <c r="E761" i="6" s="1"/>
  <c r="J760" i="6"/>
  <c r="I760" i="6"/>
  <c r="G760" i="6"/>
  <c r="F760" i="6"/>
  <c r="C760" i="6"/>
  <c r="D760" i="6" s="1"/>
  <c r="E760" i="6" s="1"/>
  <c r="J759" i="6"/>
  <c r="I759" i="6"/>
  <c r="G759" i="6"/>
  <c r="F759" i="6"/>
  <c r="C759" i="6"/>
  <c r="D759" i="6" s="1"/>
  <c r="E759" i="6" s="1"/>
  <c r="J758" i="6"/>
  <c r="I758" i="6"/>
  <c r="G758" i="6"/>
  <c r="F758" i="6"/>
  <c r="C758" i="6"/>
  <c r="D758" i="6" s="1"/>
  <c r="E758" i="6" s="1"/>
  <c r="J757" i="6"/>
  <c r="I757" i="6"/>
  <c r="G757" i="6"/>
  <c r="F757" i="6"/>
  <c r="C757" i="6"/>
  <c r="D757" i="6" s="1"/>
  <c r="E757" i="6" s="1"/>
  <c r="J756" i="6"/>
  <c r="I756" i="6"/>
  <c r="G756" i="6"/>
  <c r="F756" i="6"/>
  <c r="C756" i="6"/>
  <c r="D756" i="6" s="1"/>
  <c r="E756" i="6" s="1"/>
  <c r="J755" i="6"/>
  <c r="I755" i="6"/>
  <c r="G755" i="6"/>
  <c r="F755" i="6"/>
  <c r="C755" i="6"/>
  <c r="D755" i="6" s="1"/>
  <c r="E755" i="6" s="1"/>
  <c r="J754" i="6"/>
  <c r="I754" i="6"/>
  <c r="G754" i="6"/>
  <c r="F754" i="6"/>
  <c r="C754" i="6"/>
  <c r="D754" i="6" s="1"/>
  <c r="E754" i="6" s="1"/>
  <c r="J753" i="6"/>
  <c r="I753" i="6"/>
  <c r="G753" i="6"/>
  <c r="F753" i="6"/>
  <c r="C753" i="6"/>
  <c r="D753" i="6" s="1"/>
  <c r="E753" i="6" s="1"/>
  <c r="J752" i="6"/>
  <c r="I752" i="6"/>
  <c r="G752" i="6"/>
  <c r="F752" i="6"/>
  <c r="C752" i="6"/>
  <c r="D752" i="6" s="1"/>
  <c r="E752" i="6" s="1"/>
  <c r="J751" i="6"/>
  <c r="I751" i="6"/>
  <c r="G751" i="6"/>
  <c r="F751" i="6"/>
  <c r="C751" i="6"/>
  <c r="D751" i="6" s="1"/>
  <c r="E751" i="6" s="1"/>
  <c r="J750" i="6"/>
  <c r="I750" i="6"/>
  <c r="G750" i="6"/>
  <c r="F750" i="6"/>
  <c r="C750" i="6"/>
  <c r="D750" i="6" s="1"/>
  <c r="E750" i="6" s="1"/>
  <c r="J749" i="6"/>
  <c r="I749" i="6"/>
  <c r="G749" i="6"/>
  <c r="F749" i="6"/>
  <c r="C749" i="6"/>
  <c r="D749" i="6" s="1"/>
  <c r="E749" i="6" s="1"/>
  <c r="J748" i="6"/>
  <c r="I748" i="6"/>
  <c r="G748" i="6"/>
  <c r="F748" i="6"/>
  <c r="C748" i="6"/>
  <c r="D748" i="6" s="1"/>
  <c r="E748" i="6" s="1"/>
  <c r="J747" i="6"/>
  <c r="I747" i="6"/>
  <c r="G747" i="6"/>
  <c r="F747" i="6"/>
  <c r="C747" i="6"/>
  <c r="D747" i="6" s="1"/>
  <c r="E747" i="6" s="1"/>
  <c r="J746" i="6"/>
  <c r="I746" i="6"/>
  <c r="G746" i="6"/>
  <c r="F746" i="6"/>
  <c r="C746" i="6"/>
  <c r="D746" i="6" s="1"/>
  <c r="E746" i="6" s="1"/>
  <c r="J745" i="6"/>
  <c r="I745" i="6"/>
  <c r="G745" i="6"/>
  <c r="F745" i="6"/>
  <c r="C745" i="6"/>
  <c r="D745" i="6" s="1"/>
  <c r="E745" i="6" s="1"/>
  <c r="J744" i="6"/>
  <c r="I744" i="6"/>
  <c r="G744" i="6"/>
  <c r="F744" i="6"/>
  <c r="C744" i="6"/>
  <c r="D744" i="6" s="1"/>
  <c r="E744" i="6" s="1"/>
  <c r="J743" i="6"/>
  <c r="I743" i="6"/>
  <c r="G743" i="6"/>
  <c r="F743" i="6"/>
  <c r="C743" i="6"/>
  <c r="D743" i="6" s="1"/>
  <c r="E743" i="6" s="1"/>
  <c r="J742" i="6"/>
  <c r="I742" i="6"/>
  <c r="G742" i="6"/>
  <c r="F742" i="6"/>
  <c r="C742" i="6"/>
  <c r="D742" i="6" s="1"/>
  <c r="E742" i="6" s="1"/>
  <c r="J741" i="6"/>
  <c r="I741" i="6"/>
  <c r="G741" i="6"/>
  <c r="F741" i="6"/>
  <c r="C741" i="6"/>
  <c r="D741" i="6" s="1"/>
  <c r="E741" i="6" s="1"/>
  <c r="J740" i="6"/>
  <c r="I740" i="6"/>
  <c r="G740" i="6"/>
  <c r="F740" i="6"/>
  <c r="C740" i="6"/>
  <c r="D740" i="6" s="1"/>
  <c r="E740" i="6" s="1"/>
  <c r="J739" i="6"/>
  <c r="I739" i="6"/>
  <c r="G739" i="6"/>
  <c r="F739" i="6"/>
  <c r="C739" i="6"/>
  <c r="D739" i="6" s="1"/>
  <c r="E739" i="6" s="1"/>
  <c r="J738" i="6"/>
  <c r="I738" i="6"/>
  <c r="G738" i="6"/>
  <c r="F738" i="6"/>
  <c r="C738" i="6"/>
  <c r="D738" i="6" s="1"/>
  <c r="E738" i="6" s="1"/>
  <c r="J737" i="6"/>
  <c r="I737" i="6"/>
  <c r="G737" i="6"/>
  <c r="F737" i="6"/>
  <c r="C737" i="6"/>
  <c r="D737" i="6" s="1"/>
  <c r="E737" i="6" s="1"/>
  <c r="J736" i="6"/>
  <c r="I736" i="6"/>
  <c r="G736" i="6"/>
  <c r="F736" i="6"/>
  <c r="C736" i="6"/>
  <c r="D736" i="6" s="1"/>
  <c r="E736" i="6" s="1"/>
  <c r="J735" i="6"/>
  <c r="I735" i="6"/>
  <c r="G735" i="6"/>
  <c r="F735" i="6"/>
  <c r="C735" i="6"/>
  <c r="D735" i="6" s="1"/>
  <c r="E735" i="6" s="1"/>
  <c r="J734" i="6"/>
  <c r="I734" i="6"/>
  <c r="G734" i="6"/>
  <c r="F734" i="6"/>
  <c r="C734" i="6"/>
  <c r="D734" i="6" s="1"/>
  <c r="E734" i="6" s="1"/>
  <c r="J733" i="6"/>
  <c r="I733" i="6"/>
  <c r="G733" i="6"/>
  <c r="F733" i="6"/>
  <c r="C733" i="6"/>
  <c r="D733" i="6" s="1"/>
  <c r="E733" i="6" s="1"/>
  <c r="J732" i="6"/>
  <c r="I732" i="6"/>
  <c r="G732" i="6"/>
  <c r="F732" i="6"/>
  <c r="C732" i="6"/>
  <c r="D732" i="6" s="1"/>
  <c r="E732" i="6" s="1"/>
  <c r="J731" i="6"/>
  <c r="I731" i="6"/>
  <c r="G731" i="6"/>
  <c r="F731" i="6"/>
  <c r="C731" i="6"/>
  <c r="D731" i="6" s="1"/>
  <c r="E731" i="6" s="1"/>
  <c r="J730" i="6"/>
  <c r="I730" i="6"/>
  <c r="G730" i="6"/>
  <c r="F730" i="6"/>
  <c r="C730" i="6"/>
  <c r="D730" i="6" s="1"/>
  <c r="E730" i="6" s="1"/>
  <c r="J729" i="6"/>
  <c r="I729" i="6"/>
  <c r="G729" i="6"/>
  <c r="F729" i="6"/>
  <c r="C729" i="6"/>
  <c r="D729" i="6" s="1"/>
  <c r="E729" i="6" s="1"/>
  <c r="J728" i="6"/>
  <c r="I728" i="6"/>
  <c r="G728" i="6"/>
  <c r="F728" i="6"/>
  <c r="C728" i="6"/>
  <c r="D728" i="6" s="1"/>
  <c r="E728" i="6" s="1"/>
  <c r="J727" i="6"/>
  <c r="I727" i="6"/>
  <c r="G727" i="6"/>
  <c r="F727" i="6"/>
  <c r="C727" i="6"/>
  <c r="D727" i="6" s="1"/>
  <c r="E727" i="6" s="1"/>
  <c r="J726" i="6"/>
  <c r="I726" i="6"/>
  <c r="G726" i="6"/>
  <c r="F726" i="6"/>
  <c r="C726" i="6"/>
  <c r="D726" i="6" s="1"/>
  <c r="E726" i="6" s="1"/>
  <c r="J725" i="6"/>
  <c r="I725" i="6"/>
  <c r="G725" i="6"/>
  <c r="F725" i="6"/>
  <c r="C725" i="6"/>
  <c r="D725" i="6" s="1"/>
  <c r="E725" i="6" s="1"/>
  <c r="J724" i="6"/>
  <c r="I724" i="6"/>
  <c r="G724" i="6"/>
  <c r="F724" i="6"/>
  <c r="C724" i="6"/>
  <c r="D724" i="6" s="1"/>
  <c r="E724" i="6" s="1"/>
  <c r="J723" i="6"/>
  <c r="I723" i="6"/>
  <c r="G723" i="6"/>
  <c r="F723" i="6"/>
  <c r="C723" i="6"/>
  <c r="D723" i="6" s="1"/>
  <c r="E723" i="6" s="1"/>
  <c r="J722" i="6"/>
  <c r="I722" i="6"/>
  <c r="G722" i="6"/>
  <c r="F722" i="6"/>
  <c r="C722" i="6"/>
  <c r="D722" i="6" s="1"/>
  <c r="E722" i="6" s="1"/>
  <c r="J721" i="6"/>
  <c r="I721" i="6"/>
  <c r="G721" i="6"/>
  <c r="F721" i="6"/>
  <c r="C721" i="6"/>
  <c r="D721" i="6" s="1"/>
  <c r="E721" i="6" s="1"/>
  <c r="J720" i="6"/>
  <c r="I720" i="6"/>
  <c r="G720" i="6"/>
  <c r="F720" i="6"/>
  <c r="C720" i="6"/>
  <c r="D720" i="6" s="1"/>
  <c r="E720" i="6" s="1"/>
  <c r="J719" i="6"/>
  <c r="I719" i="6"/>
  <c r="G719" i="6"/>
  <c r="F719" i="6"/>
  <c r="C719" i="6"/>
  <c r="D719" i="6" s="1"/>
  <c r="E719" i="6" s="1"/>
  <c r="J718" i="6"/>
  <c r="I718" i="6"/>
  <c r="G718" i="6"/>
  <c r="F718" i="6"/>
  <c r="C718" i="6"/>
  <c r="D718" i="6" s="1"/>
  <c r="E718" i="6" s="1"/>
  <c r="J717" i="6"/>
  <c r="I717" i="6"/>
  <c r="G717" i="6"/>
  <c r="F717" i="6"/>
  <c r="C717" i="6"/>
  <c r="D717" i="6" s="1"/>
  <c r="E717" i="6" s="1"/>
  <c r="J716" i="6"/>
  <c r="I716" i="6"/>
  <c r="G716" i="6"/>
  <c r="F716" i="6"/>
  <c r="C716" i="6"/>
  <c r="D716" i="6" s="1"/>
  <c r="E716" i="6" s="1"/>
  <c r="J715" i="6"/>
  <c r="I715" i="6"/>
  <c r="G715" i="6"/>
  <c r="F715" i="6"/>
  <c r="C715" i="6"/>
  <c r="D715" i="6" s="1"/>
  <c r="E715" i="6" s="1"/>
  <c r="J714" i="6"/>
  <c r="I714" i="6"/>
  <c r="G714" i="6"/>
  <c r="F714" i="6"/>
  <c r="C714" i="6"/>
  <c r="D714" i="6" s="1"/>
  <c r="E714" i="6" s="1"/>
  <c r="J713" i="6"/>
  <c r="I713" i="6"/>
  <c r="G713" i="6"/>
  <c r="F713" i="6"/>
  <c r="C713" i="6"/>
  <c r="D713" i="6" s="1"/>
  <c r="E713" i="6" s="1"/>
  <c r="J712" i="6"/>
  <c r="I712" i="6"/>
  <c r="G712" i="6"/>
  <c r="F712" i="6"/>
  <c r="C712" i="6"/>
  <c r="D712" i="6" s="1"/>
  <c r="E712" i="6" s="1"/>
  <c r="J711" i="6"/>
  <c r="I711" i="6"/>
  <c r="G711" i="6"/>
  <c r="F711" i="6"/>
  <c r="C711" i="6"/>
  <c r="D711" i="6" s="1"/>
  <c r="E711" i="6" s="1"/>
  <c r="J710" i="6"/>
  <c r="I710" i="6"/>
  <c r="G710" i="6"/>
  <c r="F710" i="6"/>
  <c r="C710" i="6"/>
  <c r="D710" i="6" s="1"/>
  <c r="E710" i="6" s="1"/>
  <c r="J709" i="6"/>
  <c r="I709" i="6"/>
  <c r="G709" i="6"/>
  <c r="F709" i="6"/>
  <c r="C709" i="6"/>
  <c r="D709" i="6" s="1"/>
  <c r="E709" i="6" s="1"/>
  <c r="J708" i="6"/>
  <c r="I708" i="6"/>
  <c r="G708" i="6"/>
  <c r="F708" i="6"/>
  <c r="C708" i="6"/>
  <c r="D708" i="6" s="1"/>
  <c r="E708" i="6" s="1"/>
  <c r="J707" i="6"/>
  <c r="I707" i="6"/>
  <c r="G707" i="6"/>
  <c r="F707" i="6"/>
  <c r="C707" i="6"/>
  <c r="D707" i="6" s="1"/>
  <c r="E707" i="6" s="1"/>
  <c r="J706" i="6"/>
  <c r="I706" i="6"/>
  <c r="G706" i="6"/>
  <c r="F706" i="6"/>
  <c r="C706" i="6"/>
  <c r="D706" i="6" s="1"/>
  <c r="E706" i="6" s="1"/>
  <c r="J705" i="6"/>
  <c r="I705" i="6"/>
  <c r="G705" i="6"/>
  <c r="F705" i="6"/>
  <c r="C705" i="6"/>
  <c r="D705" i="6" s="1"/>
  <c r="E705" i="6" s="1"/>
  <c r="J704" i="6"/>
  <c r="I704" i="6"/>
  <c r="G704" i="6"/>
  <c r="F704" i="6"/>
  <c r="C704" i="6"/>
  <c r="D704" i="6" s="1"/>
  <c r="E704" i="6" s="1"/>
  <c r="J703" i="6"/>
  <c r="I703" i="6"/>
  <c r="G703" i="6"/>
  <c r="F703" i="6"/>
  <c r="C703" i="6"/>
  <c r="D703" i="6" s="1"/>
  <c r="E703" i="6" s="1"/>
  <c r="J702" i="6"/>
  <c r="I702" i="6"/>
  <c r="G702" i="6"/>
  <c r="F702" i="6"/>
  <c r="C702" i="6"/>
  <c r="D702" i="6" s="1"/>
  <c r="E702" i="6" s="1"/>
  <c r="J701" i="6"/>
  <c r="I701" i="6"/>
  <c r="G701" i="6"/>
  <c r="F701" i="6"/>
  <c r="C701" i="6"/>
  <c r="D701" i="6" s="1"/>
  <c r="E701" i="6" s="1"/>
  <c r="J700" i="6"/>
  <c r="I700" i="6"/>
  <c r="G700" i="6"/>
  <c r="F700" i="6"/>
  <c r="C700" i="6"/>
  <c r="D700" i="6" s="1"/>
  <c r="E700" i="6" s="1"/>
  <c r="J699" i="6"/>
  <c r="I699" i="6"/>
  <c r="G699" i="6"/>
  <c r="F699" i="6"/>
  <c r="C699" i="6"/>
  <c r="D699" i="6" s="1"/>
  <c r="E699" i="6" s="1"/>
  <c r="J698" i="6"/>
  <c r="I698" i="6"/>
  <c r="G698" i="6"/>
  <c r="F698" i="6"/>
  <c r="C698" i="6"/>
  <c r="D698" i="6" s="1"/>
  <c r="E698" i="6" s="1"/>
  <c r="J697" i="6"/>
  <c r="I697" i="6"/>
  <c r="G697" i="6"/>
  <c r="F697" i="6"/>
  <c r="C697" i="6"/>
  <c r="D697" i="6" s="1"/>
  <c r="E697" i="6" s="1"/>
  <c r="J696" i="6"/>
  <c r="I696" i="6"/>
  <c r="G696" i="6"/>
  <c r="F696" i="6"/>
  <c r="C696" i="6"/>
  <c r="D696" i="6" s="1"/>
  <c r="E696" i="6" s="1"/>
  <c r="J695" i="6"/>
  <c r="I695" i="6"/>
  <c r="G695" i="6"/>
  <c r="F695" i="6"/>
  <c r="C695" i="6"/>
  <c r="D695" i="6" s="1"/>
  <c r="E695" i="6" s="1"/>
  <c r="J694" i="6"/>
  <c r="I694" i="6"/>
  <c r="G694" i="6"/>
  <c r="F694" i="6"/>
  <c r="C694" i="6"/>
  <c r="D694" i="6" s="1"/>
  <c r="E694" i="6" s="1"/>
  <c r="J693" i="6"/>
  <c r="I693" i="6"/>
  <c r="G693" i="6"/>
  <c r="F693" i="6"/>
  <c r="C693" i="6"/>
  <c r="D693" i="6" s="1"/>
  <c r="E693" i="6" s="1"/>
  <c r="J692" i="6"/>
  <c r="I692" i="6"/>
  <c r="G692" i="6"/>
  <c r="F692" i="6"/>
  <c r="C692" i="6"/>
  <c r="D692" i="6" s="1"/>
  <c r="E692" i="6" s="1"/>
  <c r="J691" i="6"/>
  <c r="I691" i="6"/>
  <c r="G691" i="6"/>
  <c r="F691" i="6"/>
  <c r="C691" i="6"/>
  <c r="D691" i="6" s="1"/>
  <c r="E691" i="6" s="1"/>
  <c r="J690" i="6"/>
  <c r="I690" i="6"/>
  <c r="G690" i="6"/>
  <c r="F690" i="6"/>
  <c r="C690" i="6"/>
  <c r="D690" i="6" s="1"/>
  <c r="E690" i="6" s="1"/>
  <c r="J689" i="6"/>
  <c r="I689" i="6"/>
  <c r="G689" i="6"/>
  <c r="F689" i="6"/>
  <c r="C689" i="6"/>
  <c r="D689" i="6" s="1"/>
  <c r="E689" i="6" s="1"/>
  <c r="J688" i="6"/>
  <c r="I688" i="6"/>
  <c r="G688" i="6"/>
  <c r="F688" i="6"/>
  <c r="C688" i="6"/>
  <c r="D688" i="6" s="1"/>
  <c r="E688" i="6" s="1"/>
  <c r="J687" i="6"/>
  <c r="I687" i="6"/>
  <c r="G687" i="6"/>
  <c r="F687" i="6"/>
  <c r="C687" i="6"/>
  <c r="D687" i="6" s="1"/>
  <c r="E687" i="6" s="1"/>
  <c r="J686" i="6"/>
  <c r="I686" i="6"/>
  <c r="G686" i="6"/>
  <c r="F686" i="6"/>
  <c r="C686" i="6"/>
  <c r="D686" i="6" s="1"/>
  <c r="E686" i="6" s="1"/>
  <c r="J685" i="6"/>
  <c r="I685" i="6"/>
  <c r="G685" i="6"/>
  <c r="F685" i="6"/>
  <c r="C685" i="6"/>
  <c r="D685" i="6" s="1"/>
  <c r="E685" i="6" s="1"/>
  <c r="J684" i="6"/>
  <c r="I684" i="6"/>
  <c r="G684" i="6"/>
  <c r="F684" i="6"/>
  <c r="C684" i="6"/>
  <c r="D684" i="6" s="1"/>
  <c r="E684" i="6" s="1"/>
  <c r="J683" i="6"/>
  <c r="I683" i="6"/>
  <c r="G683" i="6"/>
  <c r="F683" i="6"/>
  <c r="C683" i="6"/>
  <c r="D683" i="6" s="1"/>
  <c r="E683" i="6" s="1"/>
  <c r="J682" i="6"/>
  <c r="I682" i="6"/>
  <c r="G682" i="6"/>
  <c r="F682" i="6"/>
  <c r="C682" i="6"/>
  <c r="D682" i="6" s="1"/>
  <c r="E682" i="6" s="1"/>
  <c r="J681" i="6"/>
  <c r="I681" i="6"/>
  <c r="G681" i="6"/>
  <c r="F681" i="6"/>
  <c r="C681" i="6"/>
  <c r="D681" i="6" s="1"/>
  <c r="E681" i="6" s="1"/>
  <c r="J680" i="6"/>
  <c r="I680" i="6"/>
  <c r="G680" i="6"/>
  <c r="F680" i="6"/>
  <c r="C680" i="6"/>
  <c r="D680" i="6" s="1"/>
  <c r="E680" i="6" s="1"/>
  <c r="J679" i="6"/>
  <c r="I679" i="6"/>
  <c r="G679" i="6"/>
  <c r="F679" i="6"/>
  <c r="C679" i="6"/>
  <c r="D679" i="6" s="1"/>
  <c r="E679" i="6" s="1"/>
  <c r="J678" i="6"/>
  <c r="I678" i="6"/>
  <c r="G678" i="6"/>
  <c r="F678" i="6"/>
  <c r="C678" i="6"/>
  <c r="D678" i="6" s="1"/>
  <c r="E678" i="6" s="1"/>
  <c r="J677" i="6"/>
  <c r="I677" i="6"/>
  <c r="G677" i="6"/>
  <c r="F677" i="6"/>
  <c r="C677" i="6"/>
  <c r="D677" i="6" s="1"/>
  <c r="E677" i="6" s="1"/>
  <c r="J676" i="6"/>
  <c r="I676" i="6"/>
  <c r="G676" i="6"/>
  <c r="F676" i="6"/>
  <c r="C676" i="6"/>
  <c r="D676" i="6" s="1"/>
  <c r="E676" i="6" s="1"/>
  <c r="J675" i="6"/>
  <c r="I675" i="6"/>
  <c r="G675" i="6"/>
  <c r="F675" i="6"/>
  <c r="C675" i="6"/>
  <c r="D675" i="6" s="1"/>
  <c r="E675" i="6" s="1"/>
  <c r="J674" i="6"/>
  <c r="I674" i="6"/>
  <c r="G674" i="6"/>
  <c r="F674" i="6"/>
  <c r="C674" i="6"/>
  <c r="D674" i="6" s="1"/>
  <c r="E674" i="6" s="1"/>
  <c r="J673" i="6"/>
  <c r="I673" i="6"/>
  <c r="G673" i="6"/>
  <c r="F673" i="6"/>
  <c r="C673" i="6"/>
  <c r="D673" i="6" s="1"/>
  <c r="E673" i="6" s="1"/>
  <c r="J672" i="6"/>
  <c r="I672" i="6"/>
  <c r="G672" i="6"/>
  <c r="F672" i="6"/>
  <c r="C672" i="6"/>
  <c r="D672" i="6" s="1"/>
  <c r="E672" i="6" s="1"/>
  <c r="J671" i="6"/>
  <c r="I671" i="6"/>
  <c r="G671" i="6"/>
  <c r="F671" i="6"/>
  <c r="C671" i="6"/>
  <c r="D671" i="6" s="1"/>
  <c r="E671" i="6" s="1"/>
  <c r="J670" i="6"/>
  <c r="I670" i="6"/>
  <c r="G670" i="6"/>
  <c r="F670" i="6"/>
  <c r="C670" i="6"/>
  <c r="D670" i="6" s="1"/>
  <c r="E670" i="6" s="1"/>
  <c r="J669" i="6"/>
  <c r="I669" i="6"/>
  <c r="G669" i="6"/>
  <c r="F669" i="6"/>
  <c r="C669" i="6"/>
  <c r="D669" i="6" s="1"/>
  <c r="E669" i="6" s="1"/>
  <c r="J668" i="6"/>
  <c r="I668" i="6"/>
  <c r="G668" i="6"/>
  <c r="F668" i="6"/>
  <c r="C668" i="6"/>
  <c r="D668" i="6" s="1"/>
  <c r="E668" i="6" s="1"/>
  <c r="J667" i="6"/>
  <c r="I667" i="6"/>
  <c r="G667" i="6"/>
  <c r="F667" i="6"/>
  <c r="C667" i="6"/>
  <c r="D667" i="6" s="1"/>
  <c r="E667" i="6" s="1"/>
  <c r="J666" i="6"/>
  <c r="I666" i="6"/>
  <c r="G666" i="6"/>
  <c r="F666" i="6"/>
  <c r="C666" i="6"/>
  <c r="D666" i="6" s="1"/>
  <c r="E666" i="6" s="1"/>
  <c r="J665" i="6"/>
  <c r="I665" i="6"/>
  <c r="G665" i="6"/>
  <c r="F665" i="6"/>
  <c r="C665" i="6"/>
  <c r="D665" i="6" s="1"/>
  <c r="E665" i="6" s="1"/>
  <c r="J664" i="6"/>
  <c r="I664" i="6"/>
  <c r="G664" i="6"/>
  <c r="F664" i="6"/>
  <c r="C664" i="6"/>
  <c r="D664" i="6" s="1"/>
  <c r="E664" i="6" s="1"/>
  <c r="J663" i="6"/>
  <c r="I663" i="6"/>
  <c r="G663" i="6"/>
  <c r="F663" i="6"/>
  <c r="C663" i="6"/>
  <c r="D663" i="6" s="1"/>
  <c r="E663" i="6" s="1"/>
  <c r="J662" i="6"/>
  <c r="I662" i="6"/>
  <c r="G662" i="6"/>
  <c r="F662" i="6"/>
  <c r="C662" i="6"/>
  <c r="D662" i="6" s="1"/>
  <c r="E662" i="6" s="1"/>
  <c r="J661" i="6"/>
  <c r="I661" i="6"/>
  <c r="G661" i="6"/>
  <c r="F661" i="6"/>
  <c r="C661" i="6"/>
  <c r="D661" i="6" s="1"/>
  <c r="E661" i="6" s="1"/>
  <c r="J660" i="6"/>
  <c r="I660" i="6"/>
  <c r="G660" i="6"/>
  <c r="F660" i="6"/>
  <c r="C660" i="6"/>
  <c r="D660" i="6" s="1"/>
  <c r="E660" i="6" s="1"/>
  <c r="J659" i="6"/>
  <c r="I659" i="6"/>
  <c r="G659" i="6"/>
  <c r="F659" i="6"/>
  <c r="C659" i="6"/>
  <c r="D659" i="6" s="1"/>
  <c r="E659" i="6" s="1"/>
  <c r="J658" i="6"/>
  <c r="I658" i="6"/>
  <c r="G658" i="6"/>
  <c r="F658" i="6"/>
  <c r="C658" i="6"/>
  <c r="D658" i="6" s="1"/>
  <c r="E658" i="6" s="1"/>
  <c r="J657" i="6"/>
  <c r="I657" i="6"/>
  <c r="G657" i="6"/>
  <c r="F657" i="6"/>
  <c r="C657" i="6"/>
  <c r="D657" i="6" s="1"/>
  <c r="E657" i="6" s="1"/>
  <c r="J656" i="6"/>
  <c r="I656" i="6"/>
  <c r="G656" i="6"/>
  <c r="F656" i="6"/>
  <c r="C656" i="6"/>
  <c r="D656" i="6" s="1"/>
  <c r="E656" i="6" s="1"/>
  <c r="J655" i="6"/>
  <c r="I655" i="6"/>
  <c r="G655" i="6"/>
  <c r="F655" i="6"/>
  <c r="C655" i="6"/>
  <c r="D655" i="6" s="1"/>
  <c r="E655" i="6" s="1"/>
  <c r="J654" i="6"/>
  <c r="I654" i="6"/>
  <c r="G654" i="6"/>
  <c r="F654" i="6"/>
  <c r="C654" i="6"/>
  <c r="D654" i="6" s="1"/>
  <c r="E654" i="6" s="1"/>
  <c r="J653" i="6"/>
  <c r="I653" i="6"/>
  <c r="G653" i="6"/>
  <c r="F653" i="6"/>
  <c r="C653" i="6"/>
  <c r="D653" i="6" s="1"/>
  <c r="E653" i="6" s="1"/>
  <c r="J652" i="6"/>
  <c r="I652" i="6"/>
  <c r="G652" i="6"/>
  <c r="F652" i="6"/>
  <c r="C652" i="6"/>
  <c r="D652" i="6" s="1"/>
  <c r="E652" i="6" s="1"/>
  <c r="J651" i="6"/>
  <c r="I651" i="6"/>
  <c r="G651" i="6"/>
  <c r="F651" i="6"/>
  <c r="C651" i="6"/>
  <c r="D651" i="6" s="1"/>
  <c r="E651" i="6" s="1"/>
  <c r="J650" i="6"/>
  <c r="I650" i="6"/>
  <c r="G650" i="6"/>
  <c r="F650" i="6"/>
  <c r="C650" i="6"/>
  <c r="D650" i="6" s="1"/>
  <c r="E650" i="6" s="1"/>
  <c r="J649" i="6"/>
  <c r="I649" i="6"/>
  <c r="G649" i="6"/>
  <c r="F649" i="6"/>
  <c r="C649" i="6"/>
  <c r="D649" i="6" s="1"/>
  <c r="E649" i="6" s="1"/>
  <c r="J648" i="6"/>
  <c r="I648" i="6"/>
  <c r="G648" i="6"/>
  <c r="F648" i="6"/>
  <c r="C648" i="6"/>
  <c r="D648" i="6" s="1"/>
  <c r="E648" i="6" s="1"/>
  <c r="J647" i="6"/>
  <c r="I647" i="6"/>
  <c r="G647" i="6"/>
  <c r="F647" i="6"/>
  <c r="C647" i="6"/>
  <c r="D647" i="6" s="1"/>
  <c r="E647" i="6" s="1"/>
  <c r="J646" i="6"/>
  <c r="I646" i="6"/>
  <c r="G646" i="6"/>
  <c r="F646" i="6"/>
  <c r="C646" i="6"/>
  <c r="D646" i="6" s="1"/>
  <c r="E646" i="6" s="1"/>
  <c r="J645" i="6"/>
  <c r="I645" i="6"/>
  <c r="G645" i="6"/>
  <c r="F645" i="6"/>
  <c r="C645" i="6"/>
  <c r="D645" i="6" s="1"/>
  <c r="E645" i="6" s="1"/>
  <c r="J644" i="6"/>
  <c r="I644" i="6"/>
  <c r="G644" i="6"/>
  <c r="F644" i="6"/>
  <c r="C644" i="6"/>
  <c r="D644" i="6" s="1"/>
  <c r="E644" i="6" s="1"/>
  <c r="J643" i="6"/>
  <c r="I643" i="6"/>
  <c r="G643" i="6"/>
  <c r="F643" i="6"/>
  <c r="C643" i="6"/>
  <c r="D643" i="6" s="1"/>
  <c r="E643" i="6" s="1"/>
  <c r="J642" i="6"/>
  <c r="I642" i="6"/>
  <c r="G642" i="6"/>
  <c r="F642" i="6"/>
  <c r="C642" i="6"/>
  <c r="D642" i="6" s="1"/>
  <c r="E642" i="6" s="1"/>
  <c r="J641" i="6"/>
  <c r="I641" i="6"/>
  <c r="G641" i="6"/>
  <c r="F641" i="6"/>
  <c r="C641" i="6"/>
  <c r="D641" i="6" s="1"/>
  <c r="E641" i="6" s="1"/>
  <c r="J640" i="6"/>
  <c r="I640" i="6"/>
  <c r="G640" i="6"/>
  <c r="F640" i="6"/>
  <c r="C640" i="6"/>
  <c r="D640" i="6" s="1"/>
  <c r="E640" i="6" s="1"/>
  <c r="J639" i="6"/>
  <c r="I639" i="6"/>
  <c r="G639" i="6"/>
  <c r="F639" i="6"/>
  <c r="C639" i="6"/>
  <c r="D639" i="6" s="1"/>
  <c r="E639" i="6" s="1"/>
  <c r="J638" i="6"/>
  <c r="I638" i="6"/>
  <c r="G638" i="6"/>
  <c r="F638" i="6"/>
  <c r="C638" i="6"/>
  <c r="D638" i="6" s="1"/>
  <c r="E638" i="6" s="1"/>
  <c r="J637" i="6"/>
  <c r="I637" i="6"/>
  <c r="G637" i="6"/>
  <c r="F637" i="6"/>
  <c r="C637" i="6"/>
  <c r="D637" i="6" s="1"/>
  <c r="E637" i="6" s="1"/>
  <c r="J636" i="6"/>
  <c r="I636" i="6"/>
  <c r="G636" i="6"/>
  <c r="F636" i="6"/>
  <c r="C636" i="6"/>
  <c r="D636" i="6" s="1"/>
  <c r="E636" i="6" s="1"/>
  <c r="J635" i="6"/>
  <c r="I635" i="6"/>
  <c r="G635" i="6"/>
  <c r="F635" i="6"/>
  <c r="C635" i="6"/>
  <c r="D635" i="6" s="1"/>
  <c r="E635" i="6" s="1"/>
  <c r="J634" i="6"/>
  <c r="I634" i="6"/>
  <c r="G634" i="6"/>
  <c r="F634" i="6"/>
  <c r="C634" i="6"/>
  <c r="D634" i="6" s="1"/>
  <c r="E634" i="6" s="1"/>
  <c r="J633" i="6"/>
  <c r="I633" i="6"/>
  <c r="G633" i="6"/>
  <c r="F633" i="6"/>
  <c r="C633" i="6"/>
  <c r="D633" i="6" s="1"/>
  <c r="E633" i="6" s="1"/>
  <c r="J632" i="6"/>
  <c r="I632" i="6"/>
  <c r="G632" i="6"/>
  <c r="F632" i="6"/>
  <c r="C632" i="6"/>
  <c r="D632" i="6" s="1"/>
  <c r="E632" i="6" s="1"/>
  <c r="J631" i="6"/>
  <c r="I631" i="6"/>
  <c r="G631" i="6"/>
  <c r="F631" i="6"/>
  <c r="C631" i="6"/>
  <c r="D631" i="6" s="1"/>
  <c r="E631" i="6" s="1"/>
  <c r="J630" i="6"/>
  <c r="I630" i="6"/>
  <c r="G630" i="6"/>
  <c r="F630" i="6"/>
  <c r="C630" i="6"/>
  <c r="D630" i="6" s="1"/>
  <c r="E630" i="6" s="1"/>
  <c r="J629" i="6"/>
  <c r="I629" i="6"/>
  <c r="G629" i="6"/>
  <c r="F629" i="6"/>
  <c r="C629" i="6"/>
  <c r="D629" i="6" s="1"/>
  <c r="E629" i="6" s="1"/>
  <c r="J628" i="6"/>
  <c r="I628" i="6"/>
  <c r="G628" i="6"/>
  <c r="F628" i="6"/>
  <c r="C628" i="6"/>
  <c r="D628" i="6" s="1"/>
  <c r="E628" i="6" s="1"/>
  <c r="J627" i="6"/>
  <c r="I627" i="6"/>
  <c r="G627" i="6"/>
  <c r="F627" i="6"/>
  <c r="C627" i="6"/>
  <c r="D627" i="6" s="1"/>
  <c r="E627" i="6" s="1"/>
  <c r="J626" i="6"/>
  <c r="I626" i="6"/>
  <c r="G626" i="6"/>
  <c r="F626" i="6"/>
  <c r="C626" i="6"/>
  <c r="D626" i="6" s="1"/>
  <c r="E626" i="6" s="1"/>
  <c r="J625" i="6"/>
  <c r="I625" i="6"/>
  <c r="G625" i="6"/>
  <c r="F625" i="6"/>
  <c r="C625" i="6"/>
  <c r="D625" i="6" s="1"/>
  <c r="E625" i="6" s="1"/>
  <c r="J624" i="6"/>
  <c r="I624" i="6"/>
  <c r="G624" i="6"/>
  <c r="F624" i="6"/>
  <c r="C624" i="6"/>
  <c r="D624" i="6" s="1"/>
  <c r="E624" i="6" s="1"/>
  <c r="J623" i="6"/>
  <c r="I623" i="6"/>
  <c r="G623" i="6"/>
  <c r="F623" i="6"/>
  <c r="C623" i="6"/>
  <c r="D623" i="6" s="1"/>
  <c r="E623" i="6" s="1"/>
  <c r="J622" i="6"/>
  <c r="I622" i="6"/>
  <c r="G622" i="6"/>
  <c r="F622" i="6"/>
  <c r="C622" i="6"/>
  <c r="D622" i="6" s="1"/>
  <c r="E622" i="6" s="1"/>
  <c r="J621" i="6"/>
  <c r="I621" i="6"/>
  <c r="G621" i="6"/>
  <c r="F621" i="6"/>
  <c r="C621" i="6"/>
  <c r="D621" i="6" s="1"/>
  <c r="E621" i="6" s="1"/>
  <c r="J620" i="6"/>
  <c r="I620" i="6"/>
  <c r="G620" i="6"/>
  <c r="F620" i="6"/>
  <c r="C620" i="6"/>
  <c r="D620" i="6" s="1"/>
  <c r="E620" i="6" s="1"/>
  <c r="J619" i="6"/>
  <c r="I619" i="6"/>
  <c r="G619" i="6"/>
  <c r="F619" i="6"/>
  <c r="C619" i="6"/>
  <c r="D619" i="6" s="1"/>
  <c r="E619" i="6" s="1"/>
  <c r="J618" i="6"/>
  <c r="I618" i="6"/>
  <c r="G618" i="6"/>
  <c r="F618" i="6"/>
  <c r="C618" i="6"/>
  <c r="D618" i="6" s="1"/>
  <c r="E618" i="6" s="1"/>
  <c r="J617" i="6"/>
  <c r="I617" i="6"/>
  <c r="G617" i="6"/>
  <c r="F617" i="6"/>
  <c r="C617" i="6"/>
  <c r="D617" i="6" s="1"/>
  <c r="E617" i="6" s="1"/>
  <c r="J616" i="6"/>
  <c r="I616" i="6"/>
  <c r="G616" i="6"/>
  <c r="F616" i="6"/>
  <c r="C616" i="6"/>
  <c r="D616" i="6" s="1"/>
  <c r="E616" i="6" s="1"/>
  <c r="J615" i="6"/>
  <c r="I615" i="6"/>
  <c r="G615" i="6"/>
  <c r="F615" i="6"/>
  <c r="C615" i="6"/>
  <c r="D615" i="6" s="1"/>
  <c r="E615" i="6" s="1"/>
  <c r="J614" i="6"/>
  <c r="I614" i="6"/>
  <c r="G614" i="6"/>
  <c r="F614" i="6"/>
  <c r="C614" i="6"/>
  <c r="D614" i="6" s="1"/>
  <c r="E614" i="6" s="1"/>
  <c r="J613" i="6"/>
  <c r="I613" i="6"/>
  <c r="G613" i="6"/>
  <c r="F613" i="6"/>
  <c r="C613" i="6"/>
  <c r="D613" i="6" s="1"/>
  <c r="E613" i="6" s="1"/>
  <c r="J612" i="6"/>
  <c r="I612" i="6"/>
  <c r="G612" i="6"/>
  <c r="F612" i="6"/>
  <c r="C612" i="6"/>
  <c r="D612" i="6" s="1"/>
  <c r="E612" i="6" s="1"/>
  <c r="J611" i="6"/>
  <c r="I611" i="6"/>
  <c r="G611" i="6"/>
  <c r="F611" i="6"/>
  <c r="C611" i="6"/>
  <c r="D611" i="6" s="1"/>
  <c r="E611" i="6" s="1"/>
  <c r="J610" i="6"/>
  <c r="I610" i="6"/>
  <c r="G610" i="6"/>
  <c r="F610" i="6"/>
  <c r="C610" i="6"/>
  <c r="D610" i="6" s="1"/>
  <c r="E610" i="6" s="1"/>
  <c r="J609" i="6"/>
  <c r="I609" i="6"/>
  <c r="G609" i="6"/>
  <c r="F609" i="6"/>
  <c r="C609" i="6"/>
  <c r="D609" i="6" s="1"/>
  <c r="E609" i="6" s="1"/>
  <c r="J608" i="6"/>
  <c r="I608" i="6"/>
  <c r="G608" i="6"/>
  <c r="F608" i="6"/>
  <c r="C608" i="6"/>
  <c r="D608" i="6" s="1"/>
  <c r="E608" i="6" s="1"/>
  <c r="J607" i="6"/>
  <c r="I607" i="6"/>
  <c r="G607" i="6"/>
  <c r="F607" i="6"/>
  <c r="C607" i="6"/>
  <c r="D607" i="6" s="1"/>
  <c r="E607" i="6" s="1"/>
  <c r="J606" i="6"/>
  <c r="I606" i="6"/>
  <c r="G606" i="6"/>
  <c r="F606" i="6"/>
  <c r="C606" i="6"/>
  <c r="D606" i="6" s="1"/>
  <c r="E606" i="6" s="1"/>
  <c r="J605" i="6"/>
  <c r="I605" i="6"/>
  <c r="G605" i="6"/>
  <c r="F605" i="6"/>
  <c r="C605" i="6"/>
  <c r="D605" i="6" s="1"/>
  <c r="E605" i="6" s="1"/>
  <c r="J604" i="6"/>
  <c r="I604" i="6"/>
  <c r="G604" i="6"/>
  <c r="F604" i="6"/>
  <c r="C604" i="6"/>
  <c r="D604" i="6" s="1"/>
  <c r="E604" i="6" s="1"/>
  <c r="J603" i="6"/>
  <c r="I603" i="6"/>
  <c r="G603" i="6"/>
  <c r="F603" i="6"/>
  <c r="C603" i="6"/>
  <c r="D603" i="6" s="1"/>
  <c r="E603" i="6" s="1"/>
  <c r="J602" i="6"/>
  <c r="I602" i="6"/>
  <c r="G602" i="6"/>
  <c r="F602" i="6"/>
  <c r="C602" i="6"/>
  <c r="D602" i="6" s="1"/>
  <c r="E602" i="6" s="1"/>
  <c r="J601" i="6"/>
  <c r="I601" i="6"/>
  <c r="G601" i="6"/>
  <c r="F601" i="6"/>
  <c r="C601" i="6"/>
  <c r="D601" i="6" s="1"/>
  <c r="E601" i="6" s="1"/>
  <c r="J600" i="6"/>
  <c r="I600" i="6"/>
  <c r="G600" i="6"/>
  <c r="F600" i="6"/>
  <c r="C600" i="6"/>
  <c r="D600" i="6" s="1"/>
  <c r="E600" i="6" s="1"/>
  <c r="J599" i="6"/>
  <c r="I599" i="6"/>
  <c r="G599" i="6"/>
  <c r="F599" i="6"/>
  <c r="C599" i="6"/>
  <c r="D599" i="6" s="1"/>
  <c r="E599" i="6" s="1"/>
  <c r="J598" i="6"/>
  <c r="I598" i="6"/>
  <c r="G598" i="6"/>
  <c r="F598" i="6"/>
  <c r="C598" i="6"/>
  <c r="D598" i="6" s="1"/>
  <c r="E598" i="6" s="1"/>
  <c r="J597" i="6"/>
  <c r="I597" i="6"/>
  <c r="G597" i="6"/>
  <c r="F597" i="6"/>
  <c r="C597" i="6"/>
  <c r="D597" i="6" s="1"/>
  <c r="E597" i="6" s="1"/>
  <c r="J596" i="6"/>
  <c r="I596" i="6"/>
  <c r="G596" i="6"/>
  <c r="F596" i="6"/>
  <c r="C596" i="6"/>
  <c r="D596" i="6" s="1"/>
  <c r="E596" i="6" s="1"/>
  <c r="J595" i="6"/>
  <c r="I595" i="6"/>
  <c r="G595" i="6"/>
  <c r="F595" i="6"/>
  <c r="C595" i="6"/>
  <c r="D595" i="6" s="1"/>
  <c r="E595" i="6" s="1"/>
  <c r="J594" i="6"/>
  <c r="I594" i="6"/>
  <c r="G594" i="6"/>
  <c r="F594" i="6"/>
  <c r="C594" i="6"/>
  <c r="D594" i="6" s="1"/>
  <c r="E594" i="6" s="1"/>
  <c r="J593" i="6"/>
  <c r="I593" i="6"/>
  <c r="G593" i="6"/>
  <c r="F593" i="6"/>
  <c r="C593" i="6"/>
  <c r="D593" i="6" s="1"/>
  <c r="E593" i="6" s="1"/>
  <c r="J592" i="6"/>
  <c r="I592" i="6"/>
  <c r="G592" i="6"/>
  <c r="F592" i="6"/>
  <c r="C592" i="6"/>
  <c r="D592" i="6" s="1"/>
  <c r="E592" i="6" s="1"/>
  <c r="J591" i="6"/>
  <c r="I591" i="6"/>
  <c r="G591" i="6"/>
  <c r="F591" i="6"/>
  <c r="C591" i="6"/>
  <c r="D591" i="6" s="1"/>
  <c r="E591" i="6" s="1"/>
  <c r="J590" i="6"/>
  <c r="I590" i="6"/>
  <c r="G590" i="6"/>
  <c r="F590" i="6"/>
  <c r="C590" i="6"/>
  <c r="D590" i="6" s="1"/>
  <c r="E590" i="6" s="1"/>
  <c r="J589" i="6"/>
  <c r="I589" i="6"/>
  <c r="G589" i="6"/>
  <c r="F589" i="6"/>
  <c r="C589" i="6"/>
  <c r="D589" i="6" s="1"/>
  <c r="E589" i="6" s="1"/>
  <c r="J588" i="6"/>
  <c r="I588" i="6"/>
  <c r="G588" i="6"/>
  <c r="F588" i="6"/>
  <c r="C588" i="6"/>
  <c r="D588" i="6" s="1"/>
  <c r="E588" i="6" s="1"/>
  <c r="J587" i="6"/>
  <c r="I587" i="6"/>
  <c r="G587" i="6"/>
  <c r="F587" i="6"/>
  <c r="C587" i="6"/>
  <c r="D587" i="6" s="1"/>
  <c r="E587" i="6" s="1"/>
  <c r="J586" i="6"/>
  <c r="I586" i="6"/>
  <c r="G586" i="6"/>
  <c r="F586" i="6"/>
  <c r="C586" i="6"/>
  <c r="D586" i="6" s="1"/>
  <c r="E586" i="6" s="1"/>
  <c r="J585" i="6"/>
  <c r="I585" i="6"/>
  <c r="G585" i="6"/>
  <c r="F585" i="6"/>
  <c r="C585" i="6"/>
  <c r="D585" i="6" s="1"/>
  <c r="E585" i="6" s="1"/>
  <c r="J584" i="6"/>
  <c r="I584" i="6"/>
  <c r="G584" i="6"/>
  <c r="F584" i="6"/>
  <c r="C584" i="6"/>
  <c r="D584" i="6" s="1"/>
  <c r="E584" i="6" s="1"/>
  <c r="J583" i="6"/>
  <c r="I583" i="6"/>
  <c r="G583" i="6"/>
  <c r="F583" i="6"/>
  <c r="C583" i="6"/>
  <c r="D583" i="6" s="1"/>
  <c r="E583" i="6" s="1"/>
  <c r="J582" i="6"/>
  <c r="I582" i="6"/>
  <c r="G582" i="6"/>
  <c r="F582" i="6"/>
  <c r="C582" i="6"/>
  <c r="D582" i="6" s="1"/>
  <c r="E582" i="6" s="1"/>
  <c r="J581" i="6"/>
  <c r="I581" i="6"/>
  <c r="G581" i="6"/>
  <c r="F581" i="6"/>
  <c r="C581" i="6"/>
  <c r="D581" i="6" s="1"/>
  <c r="E581" i="6" s="1"/>
  <c r="J580" i="6"/>
  <c r="I580" i="6"/>
  <c r="G580" i="6"/>
  <c r="F580" i="6"/>
  <c r="C580" i="6"/>
  <c r="D580" i="6" s="1"/>
  <c r="E580" i="6" s="1"/>
  <c r="J579" i="6"/>
  <c r="I579" i="6"/>
  <c r="G579" i="6"/>
  <c r="F579" i="6"/>
  <c r="C579" i="6"/>
  <c r="D579" i="6" s="1"/>
  <c r="E579" i="6" s="1"/>
  <c r="J578" i="6"/>
  <c r="I578" i="6"/>
  <c r="G578" i="6"/>
  <c r="F578" i="6"/>
  <c r="C578" i="6"/>
  <c r="D578" i="6" s="1"/>
  <c r="E578" i="6" s="1"/>
  <c r="J577" i="6"/>
  <c r="I577" i="6"/>
  <c r="G577" i="6"/>
  <c r="F577" i="6"/>
  <c r="C577" i="6"/>
  <c r="D577" i="6" s="1"/>
  <c r="E577" i="6" s="1"/>
  <c r="J576" i="6"/>
  <c r="I576" i="6"/>
  <c r="G576" i="6"/>
  <c r="F576" i="6"/>
  <c r="C576" i="6"/>
  <c r="D576" i="6" s="1"/>
  <c r="E576" i="6" s="1"/>
  <c r="J575" i="6"/>
  <c r="I575" i="6"/>
  <c r="G575" i="6"/>
  <c r="F575" i="6"/>
  <c r="C575" i="6"/>
  <c r="D575" i="6" s="1"/>
  <c r="E575" i="6" s="1"/>
  <c r="J574" i="6"/>
  <c r="I574" i="6"/>
  <c r="G574" i="6"/>
  <c r="F574" i="6"/>
  <c r="C574" i="6"/>
  <c r="D574" i="6" s="1"/>
  <c r="E574" i="6" s="1"/>
  <c r="J573" i="6"/>
  <c r="I573" i="6"/>
  <c r="G573" i="6"/>
  <c r="F573" i="6"/>
  <c r="C573" i="6"/>
  <c r="D573" i="6" s="1"/>
  <c r="E573" i="6" s="1"/>
  <c r="J572" i="6"/>
  <c r="I572" i="6"/>
  <c r="G572" i="6"/>
  <c r="F572" i="6"/>
  <c r="C572" i="6"/>
  <c r="D572" i="6" s="1"/>
  <c r="E572" i="6" s="1"/>
  <c r="J571" i="6"/>
  <c r="I571" i="6"/>
  <c r="G571" i="6"/>
  <c r="F571" i="6"/>
  <c r="C571" i="6"/>
  <c r="D571" i="6" s="1"/>
  <c r="E571" i="6" s="1"/>
  <c r="J570" i="6"/>
  <c r="I570" i="6"/>
  <c r="G570" i="6"/>
  <c r="F570" i="6"/>
  <c r="C570" i="6"/>
  <c r="D570" i="6" s="1"/>
  <c r="E570" i="6" s="1"/>
  <c r="J569" i="6"/>
  <c r="I569" i="6"/>
  <c r="G569" i="6"/>
  <c r="F569" i="6"/>
  <c r="C569" i="6"/>
  <c r="D569" i="6" s="1"/>
  <c r="E569" i="6" s="1"/>
  <c r="J568" i="6"/>
  <c r="I568" i="6"/>
  <c r="G568" i="6"/>
  <c r="F568" i="6"/>
  <c r="C568" i="6"/>
  <c r="D568" i="6" s="1"/>
  <c r="E568" i="6" s="1"/>
  <c r="J567" i="6"/>
  <c r="I567" i="6"/>
  <c r="G567" i="6"/>
  <c r="F567" i="6"/>
  <c r="C567" i="6"/>
  <c r="D567" i="6" s="1"/>
  <c r="E567" i="6" s="1"/>
  <c r="J566" i="6"/>
  <c r="I566" i="6"/>
  <c r="G566" i="6"/>
  <c r="F566" i="6"/>
  <c r="C566" i="6"/>
  <c r="D566" i="6" s="1"/>
  <c r="E566" i="6" s="1"/>
  <c r="J565" i="6"/>
  <c r="I565" i="6"/>
  <c r="G565" i="6"/>
  <c r="F565" i="6"/>
  <c r="C565" i="6"/>
  <c r="D565" i="6" s="1"/>
  <c r="E565" i="6" s="1"/>
  <c r="J564" i="6"/>
  <c r="I564" i="6"/>
  <c r="G564" i="6"/>
  <c r="F564" i="6"/>
  <c r="C564" i="6"/>
  <c r="D564" i="6" s="1"/>
  <c r="E564" i="6" s="1"/>
  <c r="J563" i="6"/>
  <c r="I563" i="6"/>
  <c r="G563" i="6"/>
  <c r="F563" i="6"/>
  <c r="C563" i="6"/>
  <c r="D563" i="6" s="1"/>
  <c r="E563" i="6" s="1"/>
  <c r="J562" i="6"/>
  <c r="I562" i="6"/>
  <c r="G562" i="6"/>
  <c r="F562" i="6"/>
  <c r="C562" i="6"/>
  <c r="D562" i="6" s="1"/>
  <c r="E562" i="6" s="1"/>
  <c r="J561" i="6"/>
  <c r="I561" i="6"/>
  <c r="G561" i="6"/>
  <c r="F561" i="6"/>
  <c r="C561" i="6"/>
  <c r="D561" i="6" s="1"/>
  <c r="E561" i="6" s="1"/>
  <c r="J560" i="6"/>
  <c r="I560" i="6"/>
  <c r="G560" i="6"/>
  <c r="F560" i="6"/>
  <c r="C560" i="6"/>
  <c r="D560" i="6" s="1"/>
  <c r="E560" i="6" s="1"/>
  <c r="J559" i="6"/>
  <c r="I559" i="6"/>
  <c r="G559" i="6"/>
  <c r="F559" i="6"/>
  <c r="C559" i="6"/>
  <c r="D559" i="6" s="1"/>
  <c r="E559" i="6" s="1"/>
  <c r="J558" i="6"/>
  <c r="I558" i="6"/>
  <c r="G558" i="6"/>
  <c r="F558" i="6"/>
  <c r="C558" i="6"/>
  <c r="D558" i="6" s="1"/>
  <c r="E558" i="6" s="1"/>
  <c r="J557" i="6"/>
  <c r="I557" i="6"/>
  <c r="G557" i="6"/>
  <c r="F557" i="6"/>
  <c r="C557" i="6"/>
  <c r="D557" i="6" s="1"/>
  <c r="E557" i="6" s="1"/>
  <c r="J556" i="6"/>
  <c r="I556" i="6"/>
  <c r="G556" i="6"/>
  <c r="F556" i="6"/>
  <c r="C556" i="6"/>
  <c r="D556" i="6" s="1"/>
  <c r="E556" i="6" s="1"/>
  <c r="J555" i="6"/>
  <c r="I555" i="6"/>
  <c r="G555" i="6"/>
  <c r="F555" i="6"/>
  <c r="C555" i="6"/>
  <c r="D555" i="6" s="1"/>
  <c r="E555" i="6" s="1"/>
  <c r="J554" i="6"/>
  <c r="I554" i="6"/>
  <c r="G554" i="6"/>
  <c r="F554" i="6"/>
  <c r="C554" i="6"/>
  <c r="D554" i="6" s="1"/>
  <c r="E554" i="6" s="1"/>
  <c r="J553" i="6"/>
  <c r="I553" i="6"/>
  <c r="G553" i="6"/>
  <c r="F553" i="6"/>
  <c r="C553" i="6"/>
  <c r="D553" i="6" s="1"/>
  <c r="E553" i="6" s="1"/>
  <c r="J552" i="6"/>
  <c r="I552" i="6"/>
  <c r="G552" i="6"/>
  <c r="F552" i="6"/>
  <c r="C552" i="6"/>
  <c r="D552" i="6" s="1"/>
  <c r="E552" i="6" s="1"/>
  <c r="J551" i="6"/>
  <c r="I551" i="6"/>
  <c r="G551" i="6"/>
  <c r="F551" i="6"/>
  <c r="C551" i="6"/>
  <c r="D551" i="6" s="1"/>
  <c r="E551" i="6" s="1"/>
  <c r="J550" i="6"/>
  <c r="I550" i="6"/>
  <c r="G550" i="6"/>
  <c r="F550" i="6"/>
  <c r="C550" i="6"/>
  <c r="D550" i="6" s="1"/>
  <c r="E550" i="6" s="1"/>
  <c r="J549" i="6"/>
  <c r="I549" i="6"/>
  <c r="G549" i="6"/>
  <c r="F549" i="6"/>
  <c r="C549" i="6"/>
  <c r="D549" i="6" s="1"/>
  <c r="E549" i="6" s="1"/>
  <c r="J548" i="6"/>
  <c r="I548" i="6"/>
  <c r="G548" i="6"/>
  <c r="F548" i="6"/>
  <c r="C548" i="6"/>
  <c r="D548" i="6" s="1"/>
  <c r="E548" i="6" s="1"/>
  <c r="J547" i="6"/>
  <c r="I547" i="6"/>
  <c r="G547" i="6"/>
  <c r="F547" i="6"/>
  <c r="C547" i="6"/>
  <c r="D547" i="6" s="1"/>
  <c r="E547" i="6" s="1"/>
  <c r="J546" i="6"/>
  <c r="I546" i="6"/>
  <c r="G546" i="6"/>
  <c r="F546" i="6"/>
  <c r="C546" i="6"/>
  <c r="D546" i="6" s="1"/>
  <c r="E546" i="6" s="1"/>
  <c r="J545" i="6"/>
  <c r="I545" i="6"/>
  <c r="G545" i="6"/>
  <c r="F545" i="6"/>
  <c r="C545" i="6"/>
  <c r="D545" i="6" s="1"/>
  <c r="E545" i="6" s="1"/>
  <c r="J544" i="6"/>
  <c r="I544" i="6"/>
  <c r="G544" i="6"/>
  <c r="F544" i="6"/>
  <c r="C544" i="6"/>
  <c r="D544" i="6" s="1"/>
  <c r="E544" i="6" s="1"/>
  <c r="J543" i="6"/>
  <c r="I543" i="6"/>
  <c r="G543" i="6"/>
  <c r="F543" i="6"/>
  <c r="C543" i="6"/>
  <c r="D543" i="6" s="1"/>
  <c r="E543" i="6" s="1"/>
  <c r="J542" i="6"/>
  <c r="I542" i="6"/>
  <c r="G542" i="6"/>
  <c r="F542" i="6"/>
  <c r="C542" i="6"/>
  <c r="D542" i="6" s="1"/>
  <c r="E542" i="6" s="1"/>
  <c r="J541" i="6"/>
  <c r="I541" i="6"/>
  <c r="G541" i="6"/>
  <c r="F541" i="6"/>
  <c r="C541" i="6"/>
  <c r="D541" i="6" s="1"/>
  <c r="E541" i="6" s="1"/>
  <c r="J540" i="6"/>
  <c r="I540" i="6"/>
  <c r="G540" i="6"/>
  <c r="F540" i="6"/>
  <c r="C540" i="6"/>
  <c r="D540" i="6" s="1"/>
  <c r="E540" i="6" s="1"/>
  <c r="J539" i="6"/>
  <c r="I539" i="6"/>
  <c r="G539" i="6"/>
  <c r="F539" i="6"/>
  <c r="C539" i="6"/>
  <c r="D539" i="6" s="1"/>
  <c r="E539" i="6" s="1"/>
  <c r="J538" i="6"/>
  <c r="I538" i="6"/>
  <c r="G538" i="6"/>
  <c r="F538" i="6"/>
  <c r="C538" i="6"/>
  <c r="D538" i="6" s="1"/>
  <c r="E538" i="6" s="1"/>
  <c r="J537" i="6"/>
  <c r="I537" i="6"/>
  <c r="G537" i="6"/>
  <c r="F537" i="6"/>
  <c r="C537" i="6"/>
  <c r="D537" i="6" s="1"/>
  <c r="E537" i="6" s="1"/>
  <c r="J536" i="6"/>
  <c r="I536" i="6"/>
  <c r="G536" i="6"/>
  <c r="F536" i="6"/>
  <c r="C536" i="6"/>
  <c r="D536" i="6" s="1"/>
  <c r="E536" i="6" s="1"/>
  <c r="J535" i="6"/>
  <c r="I535" i="6"/>
  <c r="G535" i="6"/>
  <c r="F535" i="6"/>
  <c r="C535" i="6"/>
  <c r="D535" i="6" s="1"/>
  <c r="E535" i="6" s="1"/>
  <c r="J534" i="6"/>
  <c r="I534" i="6"/>
  <c r="G534" i="6"/>
  <c r="F534" i="6"/>
  <c r="C534" i="6"/>
  <c r="D534" i="6" s="1"/>
  <c r="E534" i="6" s="1"/>
  <c r="J533" i="6"/>
  <c r="I533" i="6"/>
  <c r="G533" i="6"/>
  <c r="F533" i="6"/>
  <c r="C533" i="6"/>
  <c r="D533" i="6" s="1"/>
  <c r="E533" i="6" s="1"/>
  <c r="J532" i="6"/>
  <c r="I532" i="6"/>
  <c r="G532" i="6"/>
  <c r="F532" i="6"/>
  <c r="C532" i="6"/>
  <c r="D532" i="6" s="1"/>
  <c r="E532" i="6" s="1"/>
  <c r="J531" i="6"/>
  <c r="I531" i="6"/>
  <c r="G531" i="6"/>
  <c r="F531" i="6"/>
  <c r="C531" i="6"/>
  <c r="D531" i="6" s="1"/>
  <c r="E531" i="6" s="1"/>
  <c r="J530" i="6"/>
  <c r="I530" i="6"/>
  <c r="G530" i="6"/>
  <c r="F530" i="6"/>
  <c r="C530" i="6"/>
  <c r="D530" i="6" s="1"/>
  <c r="E530" i="6" s="1"/>
  <c r="J529" i="6"/>
  <c r="I529" i="6"/>
  <c r="G529" i="6"/>
  <c r="F529" i="6"/>
  <c r="C529" i="6"/>
  <c r="D529" i="6" s="1"/>
  <c r="E529" i="6" s="1"/>
  <c r="J528" i="6"/>
  <c r="I528" i="6"/>
  <c r="G528" i="6"/>
  <c r="F528" i="6"/>
  <c r="C528" i="6"/>
  <c r="D528" i="6" s="1"/>
  <c r="E528" i="6" s="1"/>
  <c r="J527" i="6"/>
  <c r="I527" i="6"/>
  <c r="G527" i="6"/>
  <c r="F527" i="6"/>
  <c r="C527" i="6"/>
  <c r="D527" i="6" s="1"/>
  <c r="E527" i="6" s="1"/>
  <c r="J526" i="6"/>
  <c r="I526" i="6"/>
  <c r="G526" i="6"/>
  <c r="F526" i="6"/>
  <c r="C526" i="6"/>
  <c r="D526" i="6" s="1"/>
  <c r="E526" i="6" s="1"/>
  <c r="J525" i="6"/>
  <c r="I525" i="6"/>
  <c r="G525" i="6"/>
  <c r="F525" i="6"/>
  <c r="C525" i="6"/>
  <c r="D525" i="6" s="1"/>
  <c r="E525" i="6" s="1"/>
  <c r="J524" i="6"/>
  <c r="I524" i="6"/>
  <c r="G524" i="6"/>
  <c r="F524" i="6"/>
  <c r="C524" i="6"/>
  <c r="D524" i="6" s="1"/>
  <c r="E524" i="6" s="1"/>
  <c r="J523" i="6"/>
  <c r="I523" i="6"/>
  <c r="G523" i="6"/>
  <c r="F523" i="6"/>
  <c r="C523" i="6"/>
  <c r="D523" i="6" s="1"/>
  <c r="E523" i="6" s="1"/>
  <c r="J522" i="6"/>
  <c r="I522" i="6"/>
  <c r="G522" i="6"/>
  <c r="F522" i="6"/>
  <c r="C522" i="6"/>
  <c r="D522" i="6" s="1"/>
  <c r="E522" i="6" s="1"/>
  <c r="J521" i="6"/>
  <c r="I521" i="6"/>
  <c r="G521" i="6"/>
  <c r="F521" i="6"/>
  <c r="C521" i="6"/>
  <c r="D521" i="6" s="1"/>
  <c r="E521" i="6" s="1"/>
  <c r="J520" i="6"/>
  <c r="I520" i="6"/>
  <c r="G520" i="6"/>
  <c r="F520" i="6"/>
  <c r="C520" i="6"/>
  <c r="D520" i="6" s="1"/>
  <c r="E520" i="6" s="1"/>
  <c r="J519" i="6"/>
  <c r="I519" i="6"/>
  <c r="G519" i="6"/>
  <c r="F519" i="6"/>
  <c r="C519" i="6"/>
  <c r="D519" i="6" s="1"/>
  <c r="E519" i="6" s="1"/>
  <c r="J518" i="6"/>
  <c r="I518" i="6"/>
  <c r="G518" i="6"/>
  <c r="F518" i="6"/>
  <c r="C518" i="6"/>
  <c r="D518" i="6" s="1"/>
  <c r="E518" i="6" s="1"/>
  <c r="J517" i="6"/>
  <c r="I517" i="6"/>
  <c r="G517" i="6"/>
  <c r="F517" i="6"/>
  <c r="C517" i="6"/>
  <c r="D517" i="6" s="1"/>
  <c r="E517" i="6" s="1"/>
  <c r="J516" i="6"/>
  <c r="I516" i="6"/>
  <c r="G516" i="6"/>
  <c r="F516" i="6"/>
  <c r="C516" i="6"/>
  <c r="D516" i="6" s="1"/>
  <c r="E516" i="6" s="1"/>
  <c r="J515" i="6"/>
  <c r="I515" i="6"/>
  <c r="G515" i="6"/>
  <c r="F515" i="6"/>
  <c r="C515" i="6"/>
  <c r="D515" i="6" s="1"/>
  <c r="E515" i="6" s="1"/>
  <c r="J514" i="6"/>
  <c r="I514" i="6"/>
  <c r="G514" i="6"/>
  <c r="F514" i="6"/>
  <c r="C514" i="6"/>
  <c r="D514" i="6" s="1"/>
  <c r="E514" i="6" s="1"/>
  <c r="J513" i="6"/>
  <c r="I513" i="6"/>
  <c r="G513" i="6"/>
  <c r="F513" i="6"/>
  <c r="C513" i="6"/>
  <c r="D513" i="6" s="1"/>
  <c r="E513" i="6" s="1"/>
  <c r="J512" i="6"/>
  <c r="I512" i="6"/>
  <c r="G512" i="6"/>
  <c r="F512" i="6"/>
  <c r="C512" i="6"/>
  <c r="D512" i="6" s="1"/>
  <c r="E512" i="6" s="1"/>
  <c r="J511" i="6"/>
  <c r="I511" i="6"/>
  <c r="G511" i="6"/>
  <c r="F511" i="6"/>
  <c r="C511" i="6"/>
  <c r="D511" i="6" s="1"/>
  <c r="E511" i="6" s="1"/>
  <c r="J510" i="6"/>
  <c r="I510" i="6"/>
  <c r="G510" i="6"/>
  <c r="F510" i="6"/>
  <c r="C510" i="6"/>
  <c r="D510" i="6" s="1"/>
  <c r="E510" i="6" s="1"/>
  <c r="J509" i="6"/>
  <c r="I509" i="6"/>
  <c r="G509" i="6"/>
  <c r="F509" i="6"/>
  <c r="C509" i="6"/>
  <c r="D509" i="6" s="1"/>
  <c r="E509" i="6" s="1"/>
  <c r="J508" i="6"/>
  <c r="I508" i="6"/>
  <c r="G508" i="6"/>
  <c r="F508" i="6"/>
  <c r="C508" i="6"/>
  <c r="D508" i="6" s="1"/>
  <c r="E508" i="6" s="1"/>
  <c r="J507" i="6"/>
  <c r="I507" i="6"/>
  <c r="G507" i="6"/>
  <c r="F507" i="6"/>
  <c r="C507" i="6"/>
  <c r="D507" i="6" s="1"/>
  <c r="E507" i="6" s="1"/>
  <c r="J506" i="6"/>
  <c r="I506" i="6"/>
  <c r="G506" i="6"/>
  <c r="F506" i="6"/>
  <c r="C506" i="6"/>
  <c r="D506" i="6" s="1"/>
  <c r="E506" i="6" s="1"/>
  <c r="J505" i="6"/>
  <c r="I505" i="6"/>
  <c r="G505" i="6"/>
  <c r="F505" i="6"/>
  <c r="C505" i="6"/>
  <c r="D505" i="6" s="1"/>
  <c r="E505" i="6" s="1"/>
  <c r="J504" i="6"/>
  <c r="I504" i="6"/>
  <c r="G504" i="6"/>
  <c r="F504" i="6"/>
  <c r="C504" i="6"/>
  <c r="D504" i="6" s="1"/>
  <c r="E504" i="6" s="1"/>
  <c r="J503" i="6"/>
  <c r="I503" i="6"/>
  <c r="G503" i="6"/>
  <c r="F503" i="6"/>
  <c r="C503" i="6"/>
  <c r="D503" i="6" s="1"/>
  <c r="E503" i="6" s="1"/>
  <c r="J502" i="6"/>
  <c r="I502" i="6"/>
  <c r="G502" i="6"/>
  <c r="F502" i="6"/>
  <c r="C502" i="6"/>
  <c r="D502" i="6" s="1"/>
  <c r="E502" i="6" s="1"/>
  <c r="J501" i="6"/>
  <c r="I501" i="6"/>
  <c r="G501" i="6"/>
  <c r="F501" i="6"/>
  <c r="C501" i="6"/>
  <c r="D501" i="6" s="1"/>
  <c r="E501" i="6" s="1"/>
  <c r="J500" i="6"/>
  <c r="I500" i="6"/>
  <c r="G500" i="6"/>
  <c r="F500" i="6"/>
  <c r="C500" i="6"/>
  <c r="D500" i="6" s="1"/>
  <c r="E500" i="6" s="1"/>
  <c r="J499" i="6"/>
  <c r="I499" i="6"/>
  <c r="G499" i="6"/>
  <c r="F499" i="6"/>
  <c r="C499" i="6"/>
  <c r="D499" i="6" s="1"/>
  <c r="E499" i="6" s="1"/>
  <c r="J498" i="6"/>
  <c r="I498" i="6"/>
  <c r="G498" i="6"/>
  <c r="F498" i="6"/>
  <c r="C498" i="6"/>
  <c r="D498" i="6" s="1"/>
  <c r="E498" i="6" s="1"/>
  <c r="J497" i="6"/>
  <c r="I497" i="6"/>
  <c r="G497" i="6"/>
  <c r="F497" i="6"/>
  <c r="C497" i="6"/>
  <c r="D497" i="6" s="1"/>
  <c r="E497" i="6" s="1"/>
  <c r="J496" i="6"/>
  <c r="I496" i="6"/>
  <c r="G496" i="6"/>
  <c r="F496" i="6"/>
  <c r="C496" i="6"/>
  <c r="D496" i="6" s="1"/>
  <c r="E496" i="6" s="1"/>
  <c r="J495" i="6"/>
  <c r="I495" i="6"/>
  <c r="G495" i="6"/>
  <c r="F495" i="6"/>
  <c r="C495" i="6"/>
  <c r="D495" i="6" s="1"/>
  <c r="E495" i="6" s="1"/>
  <c r="J494" i="6"/>
  <c r="I494" i="6"/>
  <c r="G494" i="6"/>
  <c r="F494" i="6"/>
  <c r="C494" i="6"/>
  <c r="D494" i="6" s="1"/>
  <c r="E494" i="6" s="1"/>
  <c r="J493" i="6"/>
  <c r="I493" i="6"/>
  <c r="G493" i="6"/>
  <c r="F493" i="6"/>
  <c r="C493" i="6"/>
  <c r="D493" i="6" s="1"/>
  <c r="E493" i="6" s="1"/>
  <c r="J492" i="6"/>
  <c r="I492" i="6"/>
  <c r="G492" i="6"/>
  <c r="F492" i="6"/>
  <c r="C492" i="6"/>
  <c r="D492" i="6" s="1"/>
  <c r="E492" i="6" s="1"/>
  <c r="J491" i="6"/>
  <c r="I491" i="6"/>
  <c r="G491" i="6"/>
  <c r="F491" i="6"/>
  <c r="C491" i="6"/>
  <c r="D491" i="6" s="1"/>
  <c r="E491" i="6" s="1"/>
  <c r="J490" i="6"/>
  <c r="I490" i="6"/>
  <c r="G490" i="6"/>
  <c r="F490" i="6"/>
  <c r="C490" i="6"/>
  <c r="D490" i="6" s="1"/>
  <c r="E490" i="6" s="1"/>
  <c r="J489" i="6"/>
  <c r="I489" i="6"/>
  <c r="G489" i="6"/>
  <c r="F489" i="6"/>
  <c r="C489" i="6"/>
  <c r="D489" i="6" s="1"/>
  <c r="E489" i="6" s="1"/>
  <c r="J488" i="6"/>
  <c r="I488" i="6"/>
  <c r="G488" i="6"/>
  <c r="F488" i="6"/>
  <c r="C488" i="6"/>
  <c r="D488" i="6" s="1"/>
  <c r="E488" i="6" s="1"/>
  <c r="J487" i="6"/>
  <c r="I487" i="6"/>
  <c r="G487" i="6"/>
  <c r="F487" i="6"/>
  <c r="C487" i="6"/>
  <c r="D487" i="6" s="1"/>
  <c r="E487" i="6" s="1"/>
  <c r="J486" i="6"/>
  <c r="I486" i="6"/>
  <c r="G486" i="6"/>
  <c r="F486" i="6"/>
  <c r="C486" i="6"/>
  <c r="D486" i="6" s="1"/>
  <c r="E486" i="6" s="1"/>
  <c r="J485" i="6"/>
  <c r="I485" i="6"/>
  <c r="G485" i="6"/>
  <c r="F485" i="6"/>
  <c r="C485" i="6"/>
  <c r="D485" i="6" s="1"/>
  <c r="E485" i="6" s="1"/>
  <c r="J484" i="6"/>
  <c r="I484" i="6"/>
  <c r="G484" i="6"/>
  <c r="F484" i="6"/>
  <c r="C484" i="6"/>
  <c r="D484" i="6" s="1"/>
  <c r="E484" i="6" s="1"/>
  <c r="J483" i="6"/>
  <c r="I483" i="6"/>
  <c r="G483" i="6"/>
  <c r="F483" i="6"/>
  <c r="C483" i="6"/>
  <c r="D483" i="6" s="1"/>
  <c r="E483" i="6" s="1"/>
  <c r="J482" i="6"/>
  <c r="I482" i="6"/>
  <c r="G482" i="6"/>
  <c r="F482" i="6"/>
  <c r="C482" i="6"/>
  <c r="D482" i="6" s="1"/>
  <c r="E482" i="6" s="1"/>
  <c r="J481" i="6"/>
  <c r="I481" i="6"/>
  <c r="G481" i="6"/>
  <c r="F481" i="6"/>
  <c r="C481" i="6"/>
  <c r="D481" i="6" s="1"/>
  <c r="E481" i="6" s="1"/>
  <c r="J480" i="6"/>
  <c r="I480" i="6"/>
  <c r="G480" i="6"/>
  <c r="F480" i="6"/>
  <c r="C480" i="6"/>
  <c r="D480" i="6" s="1"/>
  <c r="E480" i="6" s="1"/>
  <c r="J479" i="6"/>
  <c r="I479" i="6"/>
  <c r="G479" i="6"/>
  <c r="F479" i="6"/>
  <c r="C479" i="6"/>
  <c r="D479" i="6" s="1"/>
  <c r="E479" i="6" s="1"/>
  <c r="J478" i="6"/>
  <c r="I478" i="6"/>
  <c r="G478" i="6"/>
  <c r="F478" i="6"/>
  <c r="C478" i="6"/>
  <c r="D478" i="6" s="1"/>
  <c r="E478" i="6" s="1"/>
  <c r="J477" i="6"/>
  <c r="I477" i="6"/>
  <c r="G477" i="6"/>
  <c r="F477" i="6"/>
  <c r="C477" i="6"/>
  <c r="D477" i="6" s="1"/>
  <c r="E477" i="6" s="1"/>
  <c r="J476" i="6"/>
  <c r="I476" i="6"/>
  <c r="G476" i="6"/>
  <c r="F476" i="6"/>
  <c r="C476" i="6"/>
  <c r="D476" i="6" s="1"/>
  <c r="E476" i="6" s="1"/>
  <c r="J475" i="6"/>
  <c r="I475" i="6"/>
  <c r="G475" i="6"/>
  <c r="F475" i="6"/>
  <c r="C475" i="6"/>
  <c r="D475" i="6" s="1"/>
  <c r="E475" i="6" s="1"/>
  <c r="J474" i="6"/>
  <c r="I474" i="6"/>
  <c r="G474" i="6"/>
  <c r="F474" i="6"/>
  <c r="C474" i="6"/>
  <c r="D474" i="6" s="1"/>
  <c r="E474" i="6" s="1"/>
  <c r="J473" i="6"/>
  <c r="I473" i="6"/>
  <c r="G473" i="6"/>
  <c r="F473" i="6"/>
  <c r="C473" i="6"/>
  <c r="D473" i="6" s="1"/>
  <c r="E473" i="6" s="1"/>
  <c r="J472" i="6"/>
  <c r="I472" i="6"/>
  <c r="G472" i="6"/>
  <c r="F472" i="6"/>
  <c r="C472" i="6"/>
  <c r="D472" i="6" s="1"/>
  <c r="E472" i="6" s="1"/>
  <c r="J471" i="6"/>
  <c r="I471" i="6"/>
  <c r="G471" i="6"/>
  <c r="F471" i="6"/>
  <c r="C471" i="6"/>
  <c r="D471" i="6" s="1"/>
  <c r="E471" i="6" s="1"/>
  <c r="J470" i="6"/>
  <c r="I470" i="6"/>
  <c r="G470" i="6"/>
  <c r="F470" i="6"/>
  <c r="C470" i="6"/>
  <c r="D470" i="6" s="1"/>
  <c r="E470" i="6" s="1"/>
  <c r="J469" i="6"/>
  <c r="I469" i="6"/>
  <c r="G469" i="6"/>
  <c r="F469" i="6"/>
  <c r="C469" i="6"/>
  <c r="D469" i="6" s="1"/>
  <c r="E469" i="6" s="1"/>
  <c r="J468" i="6"/>
  <c r="I468" i="6"/>
  <c r="G468" i="6"/>
  <c r="F468" i="6"/>
  <c r="C468" i="6"/>
  <c r="D468" i="6" s="1"/>
  <c r="E468" i="6" s="1"/>
  <c r="J467" i="6"/>
  <c r="I467" i="6"/>
  <c r="G467" i="6"/>
  <c r="F467" i="6"/>
  <c r="C467" i="6"/>
  <c r="D467" i="6" s="1"/>
  <c r="E467" i="6" s="1"/>
  <c r="J466" i="6"/>
  <c r="I466" i="6"/>
  <c r="G466" i="6"/>
  <c r="F466" i="6"/>
  <c r="C466" i="6"/>
  <c r="D466" i="6" s="1"/>
  <c r="E466" i="6" s="1"/>
  <c r="J465" i="6"/>
  <c r="I465" i="6"/>
  <c r="G465" i="6"/>
  <c r="F465" i="6"/>
  <c r="C465" i="6"/>
  <c r="D465" i="6" s="1"/>
  <c r="E465" i="6" s="1"/>
  <c r="J464" i="6"/>
  <c r="I464" i="6"/>
  <c r="G464" i="6"/>
  <c r="F464" i="6"/>
  <c r="C464" i="6"/>
  <c r="D464" i="6" s="1"/>
  <c r="E464" i="6" s="1"/>
  <c r="J463" i="6"/>
  <c r="I463" i="6"/>
  <c r="G463" i="6"/>
  <c r="F463" i="6"/>
  <c r="C463" i="6"/>
  <c r="D463" i="6" s="1"/>
  <c r="E463" i="6" s="1"/>
  <c r="J462" i="6"/>
  <c r="I462" i="6"/>
  <c r="G462" i="6"/>
  <c r="F462" i="6"/>
  <c r="C462" i="6"/>
  <c r="D462" i="6" s="1"/>
  <c r="E462" i="6" s="1"/>
  <c r="J461" i="6"/>
  <c r="I461" i="6"/>
  <c r="G461" i="6"/>
  <c r="F461" i="6"/>
  <c r="C461" i="6"/>
  <c r="D461" i="6" s="1"/>
  <c r="E461" i="6" s="1"/>
  <c r="J460" i="6"/>
  <c r="I460" i="6"/>
  <c r="G460" i="6"/>
  <c r="F460" i="6"/>
  <c r="C460" i="6"/>
  <c r="D460" i="6" s="1"/>
  <c r="E460" i="6" s="1"/>
  <c r="J459" i="6"/>
  <c r="I459" i="6"/>
  <c r="G459" i="6"/>
  <c r="F459" i="6"/>
  <c r="C459" i="6"/>
  <c r="D459" i="6" s="1"/>
  <c r="E459" i="6" s="1"/>
  <c r="J458" i="6"/>
  <c r="I458" i="6"/>
  <c r="G458" i="6"/>
  <c r="F458" i="6"/>
  <c r="C458" i="6"/>
  <c r="D458" i="6" s="1"/>
  <c r="E458" i="6" s="1"/>
  <c r="J457" i="6"/>
  <c r="I457" i="6"/>
  <c r="G457" i="6"/>
  <c r="F457" i="6"/>
  <c r="C457" i="6"/>
  <c r="D457" i="6" s="1"/>
  <c r="E457" i="6" s="1"/>
  <c r="J456" i="6"/>
  <c r="I456" i="6"/>
  <c r="G456" i="6"/>
  <c r="F456" i="6"/>
  <c r="C456" i="6"/>
  <c r="D456" i="6" s="1"/>
  <c r="E456" i="6" s="1"/>
  <c r="J455" i="6"/>
  <c r="I455" i="6"/>
  <c r="G455" i="6"/>
  <c r="F455" i="6"/>
  <c r="C455" i="6"/>
  <c r="D455" i="6" s="1"/>
  <c r="E455" i="6" s="1"/>
  <c r="J454" i="6"/>
  <c r="I454" i="6"/>
  <c r="G454" i="6"/>
  <c r="F454" i="6"/>
  <c r="C454" i="6"/>
  <c r="D454" i="6" s="1"/>
  <c r="E454" i="6" s="1"/>
  <c r="J453" i="6"/>
  <c r="I453" i="6"/>
  <c r="G453" i="6"/>
  <c r="F453" i="6"/>
  <c r="C453" i="6"/>
  <c r="D453" i="6" s="1"/>
  <c r="E453" i="6" s="1"/>
  <c r="J452" i="6"/>
  <c r="I452" i="6"/>
  <c r="G452" i="6"/>
  <c r="F452" i="6"/>
  <c r="C452" i="6"/>
  <c r="D452" i="6" s="1"/>
  <c r="E452" i="6" s="1"/>
  <c r="J451" i="6"/>
  <c r="I451" i="6"/>
  <c r="G451" i="6"/>
  <c r="F451" i="6"/>
  <c r="C451" i="6"/>
  <c r="D451" i="6" s="1"/>
  <c r="E451" i="6" s="1"/>
  <c r="J450" i="6"/>
  <c r="I450" i="6"/>
  <c r="G450" i="6"/>
  <c r="F450" i="6"/>
  <c r="C450" i="6"/>
  <c r="D450" i="6" s="1"/>
  <c r="E450" i="6" s="1"/>
  <c r="J449" i="6"/>
  <c r="I449" i="6"/>
  <c r="G449" i="6"/>
  <c r="F449" i="6"/>
  <c r="C449" i="6"/>
  <c r="D449" i="6" s="1"/>
  <c r="E449" i="6" s="1"/>
  <c r="J448" i="6"/>
  <c r="I448" i="6"/>
  <c r="G448" i="6"/>
  <c r="F448" i="6"/>
  <c r="C448" i="6"/>
  <c r="D448" i="6" s="1"/>
  <c r="E448" i="6" s="1"/>
  <c r="J447" i="6"/>
  <c r="I447" i="6"/>
  <c r="G447" i="6"/>
  <c r="F447" i="6"/>
  <c r="C447" i="6"/>
  <c r="D447" i="6" s="1"/>
  <c r="E447" i="6" s="1"/>
  <c r="J446" i="6"/>
  <c r="I446" i="6"/>
  <c r="G446" i="6"/>
  <c r="F446" i="6"/>
  <c r="C446" i="6"/>
  <c r="D446" i="6" s="1"/>
  <c r="E446" i="6" s="1"/>
  <c r="J445" i="6"/>
  <c r="I445" i="6"/>
  <c r="G445" i="6"/>
  <c r="F445" i="6"/>
  <c r="C445" i="6"/>
  <c r="D445" i="6" s="1"/>
  <c r="E445" i="6" s="1"/>
  <c r="J444" i="6"/>
  <c r="I444" i="6"/>
  <c r="G444" i="6"/>
  <c r="F444" i="6"/>
  <c r="C444" i="6"/>
  <c r="D444" i="6" s="1"/>
  <c r="E444" i="6" s="1"/>
  <c r="J443" i="6"/>
  <c r="I443" i="6"/>
  <c r="G443" i="6"/>
  <c r="F443" i="6"/>
  <c r="C443" i="6"/>
  <c r="D443" i="6" s="1"/>
  <c r="E443" i="6" s="1"/>
  <c r="J442" i="6"/>
  <c r="I442" i="6"/>
  <c r="G442" i="6"/>
  <c r="F442" i="6"/>
  <c r="C442" i="6"/>
  <c r="D442" i="6" s="1"/>
  <c r="E442" i="6" s="1"/>
  <c r="J441" i="6"/>
  <c r="I441" i="6"/>
  <c r="G441" i="6"/>
  <c r="F441" i="6"/>
  <c r="C441" i="6"/>
  <c r="D441" i="6" s="1"/>
  <c r="E441" i="6" s="1"/>
  <c r="J440" i="6"/>
  <c r="I440" i="6"/>
  <c r="G440" i="6"/>
  <c r="F440" i="6"/>
  <c r="C440" i="6"/>
  <c r="D440" i="6" s="1"/>
  <c r="E440" i="6" s="1"/>
  <c r="J439" i="6"/>
  <c r="I439" i="6"/>
  <c r="G439" i="6"/>
  <c r="F439" i="6"/>
  <c r="C439" i="6"/>
  <c r="D439" i="6" s="1"/>
  <c r="E439" i="6" s="1"/>
  <c r="J438" i="6"/>
  <c r="I438" i="6"/>
  <c r="G438" i="6"/>
  <c r="F438" i="6"/>
  <c r="C438" i="6"/>
  <c r="D438" i="6" s="1"/>
  <c r="E438" i="6" s="1"/>
  <c r="J437" i="6"/>
  <c r="I437" i="6"/>
  <c r="G437" i="6"/>
  <c r="F437" i="6"/>
  <c r="C437" i="6"/>
  <c r="D437" i="6" s="1"/>
  <c r="E437" i="6" s="1"/>
  <c r="J436" i="6"/>
  <c r="I436" i="6"/>
  <c r="G436" i="6"/>
  <c r="F436" i="6"/>
  <c r="C436" i="6"/>
  <c r="D436" i="6" s="1"/>
  <c r="E436" i="6" s="1"/>
  <c r="J435" i="6"/>
  <c r="I435" i="6"/>
  <c r="G435" i="6"/>
  <c r="F435" i="6"/>
  <c r="C435" i="6"/>
  <c r="D435" i="6" s="1"/>
  <c r="E435" i="6" s="1"/>
  <c r="J434" i="6"/>
  <c r="I434" i="6"/>
  <c r="G434" i="6"/>
  <c r="F434" i="6"/>
  <c r="C434" i="6"/>
  <c r="D434" i="6" s="1"/>
  <c r="E434" i="6" s="1"/>
  <c r="J433" i="6"/>
  <c r="I433" i="6"/>
  <c r="G433" i="6"/>
  <c r="F433" i="6"/>
  <c r="C433" i="6"/>
  <c r="D433" i="6" s="1"/>
  <c r="E433" i="6" s="1"/>
  <c r="J432" i="6"/>
  <c r="I432" i="6"/>
  <c r="G432" i="6"/>
  <c r="F432" i="6"/>
  <c r="C432" i="6"/>
  <c r="D432" i="6" s="1"/>
  <c r="E432" i="6" s="1"/>
  <c r="J431" i="6"/>
  <c r="I431" i="6"/>
  <c r="G431" i="6"/>
  <c r="F431" i="6"/>
  <c r="C431" i="6"/>
  <c r="D431" i="6" s="1"/>
  <c r="E431" i="6" s="1"/>
  <c r="J430" i="6"/>
  <c r="I430" i="6"/>
  <c r="G430" i="6"/>
  <c r="F430" i="6"/>
  <c r="C430" i="6"/>
  <c r="D430" i="6" s="1"/>
  <c r="E430" i="6" s="1"/>
  <c r="J429" i="6"/>
  <c r="I429" i="6"/>
  <c r="G429" i="6"/>
  <c r="F429" i="6"/>
  <c r="C429" i="6"/>
  <c r="D429" i="6" s="1"/>
  <c r="E429" i="6" s="1"/>
  <c r="J428" i="6"/>
  <c r="I428" i="6"/>
  <c r="G428" i="6"/>
  <c r="F428" i="6"/>
  <c r="C428" i="6"/>
  <c r="D428" i="6" s="1"/>
  <c r="E428" i="6" s="1"/>
  <c r="J427" i="6"/>
  <c r="I427" i="6"/>
  <c r="G427" i="6"/>
  <c r="F427" i="6"/>
  <c r="C427" i="6"/>
  <c r="D427" i="6" s="1"/>
  <c r="E427" i="6" s="1"/>
  <c r="J426" i="6"/>
  <c r="I426" i="6"/>
  <c r="G426" i="6"/>
  <c r="F426" i="6"/>
  <c r="C426" i="6"/>
  <c r="D426" i="6" s="1"/>
  <c r="E426" i="6" s="1"/>
  <c r="J425" i="6"/>
  <c r="I425" i="6"/>
  <c r="G425" i="6"/>
  <c r="F425" i="6"/>
  <c r="C425" i="6"/>
  <c r="D425" i="6" s="1"/>
  <c r="E425" i="6" s="1"/>
  <c r="J424" i="6"/>
  <c r="I424" i="6"/>
  <c r="G424" i="6"/>
  <c r="F424" i="6"/>
  <c r="C424" i="6"/>
  <c r="D424" i="6" s="1"/>
  <c r="E424" i="6" s="1"/>
  <c r="J423" i="6"/>
  <c r="I423" i="6"/>
  <c r="G423" i="6"/>
  <c r="F423" i="6"/>
  <c r="C423" i="6"/>
  <c r="D423" i="6" s="1"/>
  <c r="E423" i="6" s="1"/>
  <c r="J422" i="6"/>
  <c r="I422" i="6"/>
  <c r="G422" i="6"/>
  <c r="F422" i="6"/>
  <c r="C422" i="6"/>
  <c r="D422" i="6" s="1"/>
  <c r="E422" i="6" s="1"/>
  <c r="J421" i="6"/>
  <c r="I421" i="6"/>
  <c r="G421" i="6"/>
  <c r="F421" i="6"/>
  <c r="C421" i="6"/>
  <c r="D421" i="6" s="1"/>
  <c r="E421" i="6" s="1"/>
  <c r="J420" i="6"/>
  <c r="I420" i="6"/>
  <c r="G420" i="6"/>
  <c r="F420" i="6"/>
  <c r="C420" i="6"/>
  <c r="D420" i="6" s="1"/>
  <c r="E420" i="6" s="1"/>
  <c r="J419" i="6"/>
  <c r="I419" i="6"/>
  <c r="G419" i="6"/>
  <c r="F419" i="6"/>
  <c r="C419" i="6"/>
  <c r="D419" i="6" s="1"/>
  <c r="E419" i="6" s="1"/>
  <c r="J418" i="6"/>
  <c r="I418" i="6"/>
  <c r="G418" i="6"/>
  <c r="F418" i="6"/>
  <c r="C418" i="6"/>
  <c r="D418" i="6" s="1"/>
  <c r="E418" i="6" s="1"/>
  <c r="J417" i="6"/>
  <c r="I417" i="6"/>
  <c r="G417" i="6"/>
  <c r="F417" i="6"/>
  <c r="C417" i="6"/>
  <c r="D417" i="6" s="1"/>
  <c r="E417" i="6" s="1"/>
  <c r="J416" i="6"/>
  <c r="I416" i="6"/>
  <c r="G416" i="6"/>
  <c r="F416" i="6"/>
  <c r="C416" i="6"/>
  <c r="D416" i="6" s="1"/>
  <c r="E416" i="6" s="1"/>
  <c r="J415" i="6"/>
  <c r="I415" i="6"/>
  <c r="G415" i="6"/>
  <c r="F415" i="6"/>
  <c r="C415" i="6"/>
  <c r="D415" i="6" s="1"/>
  <c r="E415" i="6" s="1"/>
  <c r="J414" i="6"/>
  <c r="I414" i="6"/>
  <c r="G414" i="6"/>
  <c r="F414" i="6"/>
  <c r="C414" i="6"/>
  <c r="D414" i="6" s="1"/>
  <c r="E414" i="6" s="1"/>
  <c r="J413" i="6"/>
  <c r="I413" i="6"/>
  <c r="G413" i="6"/>
  <c r="F413" i="6"/>
  <c r="C413" i="6"/>
  <c r="D413" i="6" s="1"/>
  <c r="E413" i="6" s="1"/>
  <c r="J412" i="6"/>
  <c r="I412" i="6"/>
  <c r="G412" i="6"/>
  <c r="F412" i="6"/>
  <c r="C412" i="6"/>
  <c r="D412" i="6" s="1"/>
  <c r="E412" i="6" s="1"/>
  <c r="J411" i="6"/>
  <c r="I411" i="6"/>
  <c r="G411" i="6"/>
  <c r="F411" i="6"/>
  <c r="C411" i="6"/>
  <c r="D411" i="6" s="1"/>
  <c r="E411" i="6" s="1"/>
  <c r="J410" i="6"/>
  <c r="I410" i="6"/>
  <c r="G410" i="6"/>
  <c r="F410" i="6"/>
  <c r="C410" i="6"/>
  <c r="D410" i="6" s="1"/>
  <c r="E410" i="6" s="1"/>
  <c r="J409" i="6"/>
  <c r="I409" i="6"/>
  <c r="G409" i="6"/>
  <c r="F409" i="6"/>
  <c r="C409" i="6"/>
  <c r="D409" i="6" s="1"/>
  <c r="E409" i="6" s="1"/>
  <c r="J408" i="6"/>
  <c r="I408" i="6"/>
  <c r="G408" i="6"/>
  <c r="F408" i="6"/>
  <c r="C408" i="6"/>
  <c r="D408" i="6" s="1"/>
  <c r="E408" i="6" s="1"/>
  <c r="J407" i="6"/>
  <c r="I407" i="6"/>
  <c r="G407" i="6"/>
  <c r="F407" i="6"/>
  <c r="C407" i="6"/>
  <c r="D407" i="6" s="1"/>
  <c r="E407" i="6" s="1"/>
  <c r="J406" i="6"/>
  <c r="I406" i="6"/>
  <c r="G406" i="6"/>
  <c r="F406" i="6"/>
  <c r="C406" i="6"/>
  <c r="D406" i="6" s="1"/>
  <c r="E406" i="6" s="1"/>
  <c r="J405" i="6"/>
  <c r="I405" i="6"/>
  <c r="G405" i="6"/>
  <c r="F405" i="6"/>
  <c r="C405" i="6"/>
  <c r="D405" i="6" s="1"/>
  <c r="E405" i="6" s="1"/>
  <c r="J404" i="6"/>
  <c r="I404" i="6"/>
  <c r="G404" i="6"/>
  <c r="F404" i="6"/>
  <c r="C404" i="6"/>
  <c r="D404" i="6" s="1"/>
  <c r="E404" i="6" s="1"/>
  <c r="J403" i="6"/>
  <c r="I403" i="6"/>
  <c r="G403" i="6"/>
  <c r="F403" i="6"/>
  <c r="C403" i="6"/>
  <c r="D403" i="6" s="1"/>
  <c r="E403" i="6" s="1"/>
  <c r="J402" i="6"/>
  <c r="I402" i="6"/>
  <c r="G402" i="6"/>
  <c r="F402" i="6"/>
  <c r="C402" i="6"/>
  <c r="D402" i="6" s="1"/>
  <c r="E402" i="6" s="1"/>
  <c r="J401" i="6"/>
  <c r="I401" i="6"/>
  <c r="G401" i="6"/>
  <c r="F401" i="6"/>
  <c r="C401" i="6"/>
  <c r="D401" i="6" s="1"/>
  <c r="E401" i="6" s="1"/>
  <c r="J400" i="6"/>
  <c r="I400" i="6"/>
  <c r="G400" i="6"/>
  <c r="F400" i="6"/>
  <c r="C400" i="6"/>
  <c r="D400" i="6" s="1"/>
  <c r="E400" i="6" s="1"/>
  <c r="J399" i="6"/>
  <c r="I399" i="6"/>
  <c r="G399" i="6"/>
  <c r="F399" i="6"/>
  <c r="C399" i="6"/>
  <c r="D399" i="6" s="1"/>
  <c r="E399" i="6" s="1"/>
  <c r="J398" i="6"/>
  <c r="I398" i="6"/>
  <c r="G398" i="6"/>
  <c r="F398" i="6"/>
  <c r="C398" i="6"/>
  <c r="D398" i="6" s="1"/>
  <c r="E398" i="6" s="1"/>
  <c r="J397" i="6"/>
  <c r="I397" i="6"/>
  <c r="G397" i="6"/>
  <c r="F397" i="6"/>
  <c r="C397" i="6"/>
  <c r="D397" i="6" s="1"/>
  <c r="E397" i="6" s="1"/>
  <c r="J396" i="6"/>
  <c r="I396" i="6"/>
  <c r="G396" i="6"/>
  <c r="F396" i="6"/>
  <c r="C396" i="6"/>
  <c r="D396" i="6" s="1"/>
  <c r="E396" i="6" s="1"/>
  <c r="J395" i="6"/>
  <c r="I395" i="6"/>
  <c r="G395" i="6"/>
  <c r="F395" i="6"/>
  <c r="C395" i="6"/>
  <c r="D395" i="6" s="1"/>
  <c r="E395" i="6" s="1"/>
  <c r="J394" i="6"/>
  <c r="I394" i="6"/>
  <c r="G394" i="6"/>
  <c r="F394" i="6"/>
  <c r="C394" i="6"/>
  <c r="D394" i="6" s="1"/>
  <c r="E394" i="6" s="1"/>
  <c r="J393" i="6"/>
  <c r="I393" i="6"/>
  <c r="G393" i="6"/>
  <c r="F393" i="6"/>
  <c r="C393" i="6"/>
  <c r="D393" i="6" s="1"/>
  <c r="E393" i="6" s="1"/>
  <c r="J392" i="6"/>
  <c r="I392" i="6"/>
  <c r="G392" i="6"/>
  <c r="F392" i="6"/>
  <c r="C392" i="6"/>
  <c r="D392" i="6" s="1"/>
  <c r="E392" i="6" s="1"/>
  <c r="J391" i="6"/>
  <c r="I391" i="6"/>
  <c r="G391" i="6"/>
  <c r="F391" i="6"/>
  <c r="C391" i="6"/>
  <c r="D391" i="6" s="1"/>
  <c r="E391" i="6" s="1"/>
  <c r="J390" i="6"/>
  <c r="I390" i="6"/>
  <c r="G390" i="6"/>
  <c r="F390" i="6"/>
  <c r="C390" i="6"/>
  <c r="D390" i="6" s="1"/>
  <c r="E390" i="6" s="1"/>
  <c r="J389" i="6"/>
  <c r="I389" i="6"/>
  <c r="G389" i="6"/>
  <c r="F389" i="6"/>
  <c r="C389" i="6"/>
  <c r="D389" i="6" s="1"/>
  <c r="E389" i="6" s="1"/>
  <c r="J388" i="6"/>
  <c r="I388" i="6"/>
  <c r="G388" i="6"/>
  <c r="F388" i="6"/>
  <c r="C388" i="6"/>
  <c r="D388" i="6" s="1"/>
  <c r="E388" i="6" s="1"/>
  <c r="J387" i="6"/>
  <c r="I387" i="6"/>
  <c r="G387" i="6"/>
  <c r="F387" i="6"/>
  <c r="C387" i="6"/>
  <c r="D387" i="6" s="1"/>
  <c r="E387" i="6" s="1"/>
  <c r="J386" i="6"/>
  <c r="I386" i="6"/>
  <c r="G386" i="6"/>
  <c r="F386" i="6"/>
  <c r="C386" i="6"/>
  <c r="D386" i="6" s="1"/>
  <c r="E386" i="6" s="1"/>
  <c r="J385" i="6"/>
  <c r="I385" i="6"/>
  <c r="G385" i="6"/>
  <c r="F385" i="6"/>
  <c r="C385" i="6"/>
  <c r="D385" i="6" s="1"/>
  <c r="E385" i="6" s="1"/>
  <c r="J384" i="6"/>
  <c r="I384" i="6"/>
  <c r="G384" i="6"/>
  <c r="F384" i="6"/>
  <c r="C384" i="6"/>
  <c r="D384" i="6" s="1"/>
  <c r="E384" i="6" s="1"/>
  <c r="J383" i="6"/>
  <c r="I383" i="6"/>
  <c r="G383" i="6"/>
  <c r="F383" i="6"/>
  <c r="C383" i="6"/>
  <c r="D383" i="6" s="1"/>
  <c r="E383" i="6" s="1"/>
  <c r="J382" i="6"/>
  <c r="I382" i="6"/>
  <c r="G382" i="6"/>
  <c r="F382" i="6"/>
  <c r="C382" i="6"/>
  <c r="D382" i="6" s="1"/>
  <c r="E382" i="6" s="1"/>
  <c r="J381" i="6"/>
  <c r="I381" i="6"/>
  <c r="G381" i="6"/>
  <c r="F381" i="6"/>
  <c r="C381" i="6"/>
  <c r="D381" i="6" s="1"/>
  <c r="E381" i="6" s="1"/>
  <c r="J380" i="6"/>
  <c r="I380" i="6"/>
  <c r="G380" i="6"/>
  <c r="F380" i="6"/>
  <c r="C380" i="6"/>
  <c r="D380" i="6" s="1"/>
  <c r="E380" i="6" s="1"/>
  <c r="J379" i="6"/>
  <c r="I379" i="6"/>
  <c r="G379" i="6"/>
  <c r="F379" i="6"/>
  <c r="C379" i="6"/>
  <c r="D379" i="6" s="1"/>
  <c r="E379" i="6" s="1"/>
  <c r="J378" i="6"/>
  <c r="I378" i="6"/>
  <c r="G378" i="6"/>
  <c r="F378" i="6"/>
  <c r="C378" i="6"/>
  <c r="D378" i="6" s="1"/>
  <c r="E378" i="6" s="1"/>
  <c r="J377" i="6"/>
  <c r="I377" i="6"/>
  <c r="G377" i="6"/>
  <c r="F377" i="6"/>
  <c r="C377" i="6"/>
  <c r="D377" i="6" s="1"/>
  <c r="E377" i="6" s="1"/>
  <c r="J376" i="6"/>
  <c r="I376" i="6"/>
  <c r="G376" i="6"/>
  <c r="F376" i="6"/>
  <c r="C376" i="6"/>
  <c r="D376" i="6" s="1"/>
  <c r="E376" i="6" s="1"/>
  <c r="J375" i="6"/>
  <c r="I375" i="6"/>
  <c r="G375" i="6"/>
  <c r="F375" i="6"/>
  <c r="C375" i="6"/>
  <c r="D375" i="6" s="1"/>
  <c r="E375" i="6" s="1"/>
  <c r="J374" i="6"/>
  <c r="I374" i="6"/>
  <c r="G374" i="6"/>
  <c r="F374" i="6"/>
  <c r="C374" i="6"/>
  <c r="D374" i="6" s="1"/>
  <c r="E374" i="6" s="1"/>
  <c r="J373" i="6"/>
  <c r="I373" i="6"/>
  <c r="G373" i="6"/>
  <c r="F373" i="6"/>
  <c r="C373" i="6"/>
  <c r="D373" i="6" s="1"/>
  <c r="E373" i="6" s="1"/>
  <c r="J372" i="6"/>
  <c r="I372" i="6"/>
  <c r="G372" i="6"/>
  <c r="F372" i="6"/>
  <c r="C372" i="6"/>
  <c r="D372" i="6" s="1"/>
  <c r="E372" i="6" s="1"/>
  <c r="J371" i="6"/>
  <c r="I371" i="6"/>
  <c r="G371" i="6"/>
  <c r="F371" i="6"/>
  <c r="C371" i="6"/>
  <c r="D371" i="6" s="1"/>
  <c r="E371" i="6" s="1"/>
  <c r="J370" i="6"/>
  <c r="I370" i="6"/>
  <c r="G370" i="6"/>
  <c r="F370" i="6"/>
  <c r="C370" i="6"/>
  <c r="D370" i="6" s="1"/>
  <c r="E370" i="6" s="1"/>
  <c r="J369" i="6"/>
  <c r="I369" i="6"/>
  <c r="G369" i="6"/>
  <c r="F369" i="6"/>
  <c r="C369" i="6"/>
  <c r="D369" i="6" s="1"/>
  <c r="E369" i="6" s="1"/>
  <c r="J368" i="6"/>
  <c r="I368" i="6"/>
  <c r="G368" i="6"/>
  <c r="F368" i="6"/>
  <c r="C368" i="6"/>
  <c r="D368" i="6" s="1"/>
  <c r="E368" i="6" s="1"/>
  <c r="J367" i="6"/>
  <c r="I367" i="6"/>
  <c r="G367" i="6"/>
  <c r="F367" i="6"/>
  <c r="C367" i="6"/>
  <c r="D367" i="6" s="1"/>
  <c r="E367" i="6" s="1"/>
  <c r="J366" i="6"/>
  <c r="I366" i="6"/>
  <c r="G366" i="6"/>
  <c r="F366" i="6"/>
  <c r="C366" i="6"/>
  <c r="D366" i="6" s="1"/>
  <c r="E366" i="6" s="1"/>
  <c r="J365" i="6"/>
  <c r="I365" i="6"/>
  <c r="G365" i="6"/>
  <c r="F365" i="6"/>
  <c r="C365" i="6"/>
  <c r="D365" i="6" s="1"/>
  <c r="E365" i="6" s="1"/>
  <c r="J364" i="6"/>
  <c r="I364" i="6"/>
  <c r="G364" i="6"/>
  <c r="F364" i="6"/>
  <c r="C364" i="6"/>
  <c r="D364" i="6" s="1"/>
  <c r="E364" i="6" s="1"/>
  <c r="J363" i="6"/>
  <c r="I363" i="6"/>
  <c r="G363" i="6"/>
  <c r="F363" i="6"/>
  <c r="C363" i="6"/>
  <c r="D363" i="6" s="1"/>
  <c r="E363" i="6" s="1"/>
  <c r="J362" i="6"/>
  <c r="I362" i="6"/>
  <c r="G362" i="6"/>
  <c r="F362" i="6"/>
  <c r="C362" i="6"/>
  <c r="D362" i="6" s="1"/>
  <c r="E362" i="6" s="1"/>
  <c r="J361" i="6"/>
  <c r="I361" i="6"/>
  <c r="G361" i="6"/>
  <c r="F361" i="6"/>
  <c r="C361" i="6"/>
  <c r="D361" i="6" s="1"/>
  <c r="E361" i="6" s="1"/>
  <c r="J360" i="6"/>
  <c r="I360" i="6"/>
  <c r="G360" i="6"/>
  <c r="F360" i="6"/>
  <c r="C360" i="6"/>
  <c r="D360" i="6" s="1"/>
  <c r="E360" i="6" s="1"/>
  <c r="J359" i="6"/>
  <c r="I359" i="6"/>
  <c r="G359" i="6"/>
  <c r="F359" i="6"/>
  <c r="C359" i="6"/>
  <c r="D359" i="6" s="1"/>
  <c r="E359" i="6" s="1"/>
  <c r="J358" i="6"/>
  <c r="I358" i="6"/>
  <c r="G358" i="6"/>
  <c r="F358" i="6"/>
  <c r="C358" i="6"/>
  <c r="D358" i="6" s="1"/>
  <c r="E358" i="6" s="1"/>
  <c r="J357" i="6"/>
  <c r="I357" i="6"/>
  <c r="G357" i="6"/>
  <c r="F357" i="6"/>
  <c r="C357" i="6"/>
  <c r="D357" i="6" s="1"/>
  <c r="E357" i="6" s="1"/>
  <c r="J356" i="6"/>
  <c r="I356" i="6"/>
  <c r="G356" i="6"/>
  <c r="F356" i="6"/>
  <c r="C356" i="6"/>
  <c r="D356" i="6" s="1"/>
  <c r="E356" i="6" s="1"/>
  <c r="J355" i="6"/>
  <c r="I355" i="6"/>
  <c r="G355" i="6"/>
  <c r="F355" i="6"/>
  <c r="C355" i="6"/>
  <c r="D355" i="6" s="1"/>
  <c r="E355" i="6" s="1"/>
  <c r="J354" i="6"/>
  <c r="I354" i="6"/>
  <c r="G354" i="6"/>
  <c r="F354" i="6"/>
  <c r="C354" i="6"/>
  <c r="D354" i="6" s="1"/>
  <c r="E354" i="6" s="1"/>
  <c r="J353" i="6"/>
  <c r="I353" i="6"/>
  <c r="G353" i="6"/>
  <c r="F353" i="6"/>
  <c r="C353" i="6"/>
  <c r="D353" i="6" s="1"/>
  <c r="E353" i="6" s="1"/>
  <c r="J352" i="6"/>
  <c r="I352" i="6"/>
  <c r="G352" i="6"/>
  <c r="F352" i="6"/>
  <c r="C352" i="6"/>
  <c r="D352" i="6" s="1"/>
  <c r="E352" i="6" s="1"/>
  <c r="J351" i="6"/>
  <c r="I351" i="6"/>
  <c r="G351" i="6"/>
  <c r="F351" i="6"/>
  <c r="C351" i="6"/>
  <c r="D351" i="6" s="1"/>
  <c r="E351" i="6" s="1"/>
  <c r="J350" i="6"/>
  <c r="I350" i="6"/>
  <c r="G350" i="6"/>
  <c r="F350" i="6"/>
  <c r="C350" i="6"/>
  <c r="D350" i="6" s="1"/>
  <c r="E350" i="6" s="1"/>
  <c r="J349" i="6"/>
  <c r="I349" i="6"/>
  <c r="G349" i="6"/>
  <c r="F349" i="6"/>
  <c r="C349" i="6"/>
  <c r="D349" i="6" s="1"/>
  <c r="E349" i="6" s="1"/>
  <c r="J348" i="6"/>
  <c r="I348" i="6"/>
  <c r="G348" i="6"/>
  <c r="F348" i="6"/>
  <c r="C348" i="6"/>
  <c r="D348" i="6" s="1"/>
  <c r="E348" i="6" s="1"/>
  <c r="J347" i="6"/>
  <c r="I347" i="6"/>
  <c r="G347" i="6"/>
  <c r="F347" i="6"/>
  <c r="C347" i="6"/>
  <c r="D347" i="6" s="1"/>
  <c r="E347" i="6" s="1"/>
  <c r="J346" i="6"/>
  <c r="I346" i="6"/>
  <c r="G346" i="6"/>
  <c r="F346" i="6"/>
  <c r="C346" i="6"/>
  <c r="D346" i="6" s="1"/>
  <c r="E346" i="6" s="1"/>
  <c r="J345" i="6"/>
  <c r="I345" i="6"/>
  <c r="G345" i="6"/>
  <c r="F345" i="6"/>
  <c r="C345" i="6"/>
  <c r="D345" i="6" s="1"/>
  <c r="E345" i="6" s="1"/>
  <c r="J344" i="6"/>
  <c r="I344" i="6"/>
  <c r="G344" i="6"/>
  <c r="F344" i="6"/>
  <c r="C344" i="6"/>
  <c r="D344" i="6" s="1"/>
  <c r="E344" i="6" s="1"/>
  <c r="J343" i="6"/>
  <c r="I343" i="6"/>
  <c r="G343" i="6"/>
  <c r="F343" i="6"/>
  <c r="C343" i="6"/>
  <c r="D343" i="6" s="1"/>
  <c r="E343" i="6" s="1"/>
  <c r="J342" i="6"/>
  <c r="I342" i="6"/>
  <c r="G342" i="6"/>
  <c r="F342" i="6"/>
  <c r="C342" i="6"/>
  <c r="D342" i="6" s="1"/>
  <c r="E342" i="6" s="1"/>
  <c r="J341" i="6"/>
  <c r="I341" i="6"/>
  <c r="G341" i="6"/>
  <c r="F341" i="6"/>
  <c r="C341" i="6"/>
  <c r="D341" i="6" s="1"/>
  <c r="E341" i="6" s="1"/>
  <c r="J340" i="6"/>
  <c r="I340" i="6"/>
  <c r="G340" i="6"/>
  <c r="F340" i="6"/>
  <c r="C340" i="6"/>
  <c r="D340" i="6" s="1"/>
  <c r="E340" i="6" s="1"/>
  <c r="J339" i="6"/>
  <c r="I339" i="6"/>
  <c r="G339" i="6"/>
  <c r="F339" i="6"/>
  <c r="C339" i="6"/>
  <c r="D339" i="6" s="1"/>
  <c r="E339" i="6" s="1"/>
  <c r="J338" i="6"/>
  <c r="I338" i="6"/>
  <c r="G338" i="6"/>
  <c r="F338" i="6"/>
  <c r="C338" i="6"/>
  <c r="D338" i="6" s="1"/>
  <c r="E338" i="6" s="1"/>
  <c r="J337" i="6"/>
  <c r="I337" i="6"/>
  <c r="G337" i="6"/>
  <c r="F337" i="6"/>
  <c r="C337" i="6"/>
  <c r="D337" i="6" s="1"/>
  <c r="E337" i="6" s="1"/>
  <c r="J336" i="6"/>
  <c r="I336" i="6"/>
  <c r="G336" i="6"/>
  <c r="F336" i="6"/>
  <c r="C336" i="6"/>
  <c r="D336" i="6" s="1"/>
  <c r="E336" i="6" s="1"/>
  <c r="J335" i="6"/>
  <c r="I335" i="6"/>
  <c r="G335" i="6"/>
  <c r="F335" i="6"/>
  <c r="C335" i="6"/>
  <c r="D335" i="6" s="1"/>
  <c r="E335" i="6" s="1"/>
  <c r="J334" i="6"/>
  <c r="I334" i="6"/>
  <c r="G334" i="6"/>
  <c r="F334" i="6"/>
  <c r="C334" i="6"/>
  <c r="D334" i="6" s="1"/>
  <c r="E334" i="6" s="1"/>
  <c r="J333" i="6"/>
  <c r="I333" i="6"/>
  <c r="G333" i="6"/>
  <c r="F333" i="6"/>
  <c r="C333" i="6"/>
  <c r="D333" i="6" s="1"/>
  <c r="E333" i="6" s="1"/>
  <c r="J332" i="6"/>
  <c r="I332" i="6"/>
  <c r="G332" i="6"/>
  <c r="F332" i="6"/>
  <c r="C332" i="6"/>
  <c r="D332" i="6" s="1"/>
  <c r="E332" i="6" s="1"/>
  <c r="J331" i="6"/>
  <c r="I331" i="6"/>
  <c r="G331" i="6"/>
  <c r="F331" i="6"/>
  <c r="C331" i="6"/>
  <c r="D331" i="6" s="1"/>
  <c r="E331" i="6" s="1"/>
  <c r="J330" i="6"/>
  <c r="I330" i="6"/>
  <c r="G330" i="6"/>
  <c r="F330" i="6"/>
  <c r="C330" i="6"/>
  <c r="D330" i="6" s="1"/>
  <c r="E330" i="6" s="1"/>
  <c r="J329" i="6"/>
  <c r="I329" i="6"/>
  <c r="G329" i="6"/>
  <c r="F329" i="6"/>
  <c r="C329" i="6"/>
  <c r="D329" i="6" s="1"/>
  <c r="E329" i="6" s="1"/>
  <c r="J328" i="6"/>
  <c r="I328" i="6"/>
  <c r="G328" i="6"/>
  <c r="F328" i="6"/>
  <c r="C328" i="6"/>
  <c r="D328" i="6" s="1"/>
  <c r="E328" i="6" s="1"/>
  <c r="J327" i="6"/>
  <c r="I327" i="6"/>
  <c r="G327" i="6"/>
  <c r="F327" i="6"/>
  <c r="C327" i="6"/>
  <c r="D327" i="6" s="1"/>
  <c r="E327" i="6" s="1"/>
  <c r="J326" i="6"/>
  <c r="I326" i="6"/>
  <c r="G326" i="6"/>
  <c r="F326" i="6"/>
  <c r="C326" i="6"/>
  <c r="D326" i="6" s="1"/>
  <c r="E326" i="6" s="1"/>
  <c r="J325" i="6"/>
  <c r="I325" i="6"/>
  <c r="G325" i="6"/>
  <c r="F325" i="6"/>
  <c r="C325" i="6"/>
  <c r="D325" i="6" s="1"/>
  <c r="E325" i="6" s="1"/>
  <c r="J324" i="6"/>
  <c r="I324" i="6"/>
  <c r="G324" i="6"/>
  <c r="F324" i="6"/>
  <c r="C324" i="6"/>
  <c r="D324" i="6" s="1"/>
  <c r="E324" i="6" s="1"/>
  <c r="J323" i="6"/>
  <c r="I323" i="6"/>
  <c r="G323" i="6"/>
  <c r="F323" i="6"/>
  <c r="C323" i="6"/>
  <c r="D323" i="6" s="1"/>
  <c r="E323" i="6" s="1"/>
  <c r="J322" i="6"/>
  <c r="I322" i="6"/>
  <c r="G322" i="6"/>
  <c r="F322" i="6"/>
  <c r="C322" i="6"/>
  <c r="D322" i="6" s="1"/>
  <c r="E322" i="6" s="1"/>
  <c r="J321" i="6"/>
  <c r="I321" i="6"/>
  <c r="G321" i="6"/>
  <c r="F321" i="6"/>
  <c r="C321" i="6"/>
  <c r="D321" i="6" s="1"/>
  <c r="E321" i="6" s="1"/>
  <c r="J320" i="6"/>
  <c r="I320" i="6"/>
  <c r="G320" i="6"/>
  <c r="F320" i="6"/>
  <c r="C320" i="6"/>
  <c r="D320" i="6" s="1"/>
  <c r="E320" i="6" s="1"/>
  <c r="J319" i="6"/>
  <c r="I319" i="6"/>
  <c r="G319" i="6"/>
  <c r="F319" i="6"/>
  <c r="C319" i="6"/>
  <c r="D319" i="6" s="1"/>
  <c r="E319" i="6" s="1"/>
  <c r="J318" i="6"/>
  <c r="I318" i="6"/>
  <c r="G318" i="6"/>
  <c r="F318" i="6"/>
  <c r="C318" i="6"/>
  <c r="D318" i="6" s="1"/>
  <c r="E318" i="6" s="1"/>
  <c r="J317" i="6"/>
  <c r="I317" i="6"/>
  <c r="G317" i="6"/>
  <c r="F317" i="6"/>
  <c r="C317" i="6"/>
  <c r="D317" i="6" s="1"/>
  <c r="E317" i="6" s="1"/>
  <c r="J316" i="6"/>
  <c r="I316" i="6"/>
  <c r="G316" i="6"/>
  <c r="F316" i="6"/>
  <c r="C316" i="6"/>
  <c r="D316" i="6" s="1"/>
  <c r="E316" i="6" s="1"/>
  <c r="J315" i="6"/>
  <c r="I315" i="6"/>
  <c r="G315" i="6"/>
  <c r="F315" i="6"/>
  <c r="C315" i="6"/>
  <c r="D315" i="6" s="1"/>
  <c r="E315" i="6" s="1"/>
  <c r="J314" i="6"/>
  <c r="I314" i="6"/>
  <c r="G314" i="6"/>
  <c r="F314" i="6"/>
  <c r="C314" i="6"/>
  <c r="D314" i="6" s="1"/>
  <c r="E314" i="6" s="1"/>
  <c r="J313" i="6"/>
  <c r="I313" i="6"/>
  <c r="G313" i="6"/>
  <c r="F313" i="6"/>
  <c r="C313" i="6"/>
  <c r="D313" i="6" s="1"/>
  <c r="E313" i="6" s="1"/>
  <c r="J312" i="6"/>
  <c r="I312" i="6"/>
  <c r="G312" i="6"/>
  <c r="F312" i="6"/>
  <c r="C312" i="6"/>
  <c r="D312" i="6" s="1"/>
  <c r="E312" i="6" s="1"/>
  <c r="J311" i="6"/>
  <c r="I311" i="6"/>
  <c r="G311" i="6"/>
  <c r="F311" i="6"/>
  <c r="C311" i="6"/>
  <c r="D311" i="6" s="1"/>
  <c r="E311" i="6" s="1"/>
  <c r="J310" i="6"/>
  <c r="I310" i="6"/>
  <c r="G310" i="6"/>
  <c r="F310" i="6"/>
  <c r="C310" i="6"/>
  <c r="D310" i="6" s="1"/>
  <c r="E310" i="6" s="1"/>
  <c r="J309" i="6"/>
  <c r="I309" i="6"/>
  <c r="G309" i="6"/>
  <c r="F309" i="6"/>
  <c r="C309" i="6"/>
  <c r="D309" i="6" s="1"/>
  <c r="E309" i="6" s="1"/>
  <c r="J308" i="6"/>
  <c r="I308" i="6"/>
  <c r="G308" i="6"/>
  <c r="F308" i="6"/>
  <c r="C308" i="6"/>
  <c r="D308" i="6" s="1"/>
  <c r="E308" i="6" s="1"/>
  <c r="J307" i="6"/>
  <c r="I307" i="6"/>
  <c r="G307" i="6"/>
  <c r="F307" i="6"/>
  <c r="C307" i="6"/>
  <c r="D307" i="6" s="1"/>
  <c r="E307" i="6" s="1"/>
  <c r="J306" i="6"/>
  <c r="I306" i="6"/>
  <c r="G306" i="6"/>
  <c r="F306" i="6"/>
  <c r="C306" i="6"/>
  <c r="D306" i="6" s="1"/>
  <c r="E306" i="6" s="1"/>
  <c r="J305" i="6"/>
  <c r="I305" i="6"/>
  <c r="G305" i="6"/>
  <c r="F305" i="6"/>
  <c r="C305" i="6"/>
  <c r="D305" i="6" s="1"/>
  <c r="E305" i="6" s="1"/>
  <c r="J304" i="6"/>
  <c r="I304" i="6"/>
  <c r="G304" i="6"/>
  <c r="F304" i="6"/>
  <c r="C304" i="6"/>
  <c r="D304" i="6" s="1"/>
  <c r="E304" i="6" s="1"/>
  <c r="J303" i="6"/>
  <c r="I303" i="6"/>
  <c r="G303" i="6"/>
  <c r="F303" i="6"/>
  <c r="C303" i="6"/>
  <c r="D303" i="6" s="1"/>
  <c r="E303" i="6" s="1"/>
  <c r="J302" i="6"/>
  <c r="I302" i="6"/>
  <c r="G302" i="6"/>
  <c r="F302" i="6"/>
  <c r="C302" i="6"/>
  <c r="D302" i="6" s="1"/>
  <c r="E302" i="6" s="1"/>
  <c r="J301" i="6"/>
  <c r="I301" i="6"/>
  <c r="G301" i="6"/>
  <c r="F301" i="6"/>
  <c r="C301" i="6"/>
  <c r="D301" i="6" s="1"/>
  <c r="E301" i="6" s="1"/>
  <c r="J300" i="6"/>
  <c r="I300" i="6"/>
  <c r="G300" i="6"/>
  <c r="F300" i="6"/>
  <c r="C300" i="6"/>
  <c r="D300" i="6" s="1"/>
  <c r="E300" i="6" s="1"/>
  <c r="J299" i="6"/>
  <c r="I299" i="6"/>
  <c r="G299" i="6"/>
  <c r="F299" i="6"/>
  <c r="C299" i="6"/>
  <c r="D299" i="6" s="1"/>
  <c r="E299" i="6" s="1"/>
  <c r="J298" i="6"/>
  <c r="I298" i="6"/>
  <c r="G298" i="6"/>
  <c r="F298" i="6"/>
  <c r="C298" i="6"/>
  <c r="D298" i="6" s="1"/>
  <c r="E298" i="6" s="1"/>
  <c r="J297" i="6"/>
  <c r="I297" i="6"/>
  <c r="G297" i="6"/>
  <c r="F297" i="6"/>
  <c r="C297" i="6"/>
  <c r="D297" i="6" s="1"/>
  <c r="E297" i="6" s="1"/>
  <c r="J296" i="6"/>
  <c r="I296" i="6"/>
  <c r="G296" i="6"/>
  <c r="F296" i="6"/>
  <c r="C296" i="6"/>
  <c r="D296" i="6" s="1"/>
  <c r="E296" i="6" s="1"/>
  <c r="J295" i="6"/>
  <c r="I295" i="6"/>
  <c r="G295" i="6"/>
  <c r="F295" i="6"/>
  <c r="C295" i="6"/>
  <c r="D295" i="6" s="1"/>
  <c r="E295" i="6" s="1"/>
  <c r="J294" i="6"/>
  <c r="I294" i="6"/>
  <c r="G294" i="6"/>
  <c r="F294" i="6"/>
  <c r="C294" i="6"/>
  <c r="D294" i="6" s="1"/>
  <c r="E294" i="6" s="1"/>
  <c r="J293" i="6"/>
  <c r="I293" i="6"/>
  <c r="G293" i="6"/>
  <c r="F293" i="6"/>
  <c r="C293" i="6"/>
  <c r="D293" i="6" s="1"/>
  <c r="E293" i="6" s="1"/>
  <c r="J292" i="6"/>
  <c r="I292" i="6"/>
  <c r="G292" i="6"/>
  <c r="F292" i="6"/>
  <c r="C292" i="6"/>
  <c r="D292" i="6" s="1"/>
  <c r="E292" i="6" s="1"/>
  <c r="J291" i="6"/>
  <c r="I291" i="6"/>
  <c r="G291" i="6"/>
  <c r="F291" i="6"/>
  <c r="C291" i="6"/>
  <c r="D291" i="6" s="1"/>
  <c r="E291" i="6" s="1"/>
  <c r="J290" i="6"/>
  <c r="I290" i="6"/>
  <c r="G290" i="6"/>
  <c r="F290" i="6"/>
  <c r="C290" i="6"/>
  <c r="D290" i="6" s="1"/>
  <c r="E290" i="6" s="1"/>
  <c r="J289" i="6"/>
  <c r="I289" i="6"/>
  <c r="G289" i="6"/>
  <c r="F289" i="6"/>
  <c r="C289" i="6"/>
  <c r="D289" i="6" s="1"/>
  <c r="E289" i="6" s="1"/>
  <c r="J288" i="6"/>
  <c r="I288" i="6"/>
  <c r="G288" i="6"/>
  <c r="F288" i="6"/>
  <c r="C288" i="6"/>
  <c r="D288" i="6" s="1"/>
  <c r="E288" i="6" s="1"/>
  <c r="J287" i="6"/>
  <c r="I287" i="6"/>
  <c r="G287" i="6"/>
  <c r="F287" i="6"/>
  <c r="C287" i="6"/>
  <c r="D287" i="6" s="1"/>
  <c r="E287" i="6" s="1"/>
  <c r="J286" i="6"/>
  <c r="I286" i="6"/>
  <c r="G286" i="6"/>
  <c r="F286" i="6"/>
  <c r="C286" i="6"/>
  <c r="D286" i="6" s="1"/>
  <c r="E286" i="6" s="1"/>
  <c r="J285" i="6"/>
  <c r="I285" i="6"/>
  <c r="G285" i="6"/>
  <c r="F285" i="6"/>
  <c r="C285" i="6"/>
  <c r="D285" i="6" s="1"/>
  <c r="E285" i="6" s="1"/>
  <c r="J284" i="6"/>
  <c r="I284" i="6"/>
  <c r="G284" i="6"/>
  <c r="F284" i="6"/>
  <c r="C284" i="6"/>
  <c r="D284" i="6" s="1"/>
  <c r="E284" i="6" s="1"/>
  <c r="J283" i="6"/>
  <c r="I283" i="6"/>
  <c r="G283" i="6"/>
  <c r="F283" i="6"/>
  <c r="C283" i="6"/>
  <c r="D283" i="6" s="1"/>
  <c r="E283" i="6" s="1"/>
  <c r="J282" i="6"/>
  <c r="I282" i="6"/>
  <c r="G282" i="6"/>
  <c r="F282" i="6"/>
  <c r="C282" i="6"/>
  <c r="D282" i="6" s="1"/>
  <c r="E282" i="6" s="1"/>
  <c r="J281" i="6"/>
  <c r="I281" i="6"/>
  <c r="G281" i="6"/>
  <c r="F281" i="6"/>
  <c r="C281" i="6"/>
  <c r="D281" i="6" s="1"/>
  <c r="E281" i="6" s="1"/>
  <c r="J280" i="6"/>
  <c r="I280" i="6"/>
  <c r="G280" i="6"/>
  <c r="F280" i="6"/>
  <c r="C280" i="6"/>
  <c r="D280" i="6" s="1"/>
  <c r="E280" i="6" s="1"/>
  <c r="J279" i="6"/>
  <c r="I279" i="6"/>
  <c r="G279" i="6"/>
  <c r="F279" i="6"/>
  <c r="C279" i="6"/>
  <c r="D279" i="6" s="1"/>
  <c r="E279" i="6" s="1"/>
  <c r="J278" i="6"/>
  <c r="I278" i="6"/>
  <c r="G278" i="6"/>
  <c r="F278" i="6"/>
  <c r="C278" i="6"/>
  <c r="D278" i="6" s="1"/>
  <c r="E278" i="6" s="1"/>
  <c r="J277" i="6"/>
  <c r="I277" i="6"/>
  <c r="G277" i="6"/>
  <c r="F277" i="6"/>
  <c r="C277" i="6"/>
  <c r="D277" i="6" s="1"/>
  <c r="E277" i="6" s="1"/>
  <c r="J276" i="6"/>
  <c r="I276" i="6"/>
  <c r="G276" i="6"/>
  <c r="F276" i="6"/>
  <c r="C276" i="6"/>
  <c r="D276" i="6" s="1"/>
  <c r="E276" i="6" s="1"/>
  <c r="J275" i="6"/>
  <c r="I275" i="6"/>
  <c r="G275" i="6"/>
  <c r="F275" i="6"/>
  <c r="C275" i="6"/>
  <c r="D275" i="6" s="1"/>
  <c r="E275" i="6" s="1"/>
  <c r="J274" i="6"/>
  <c r="I274" i="6"/>
  <c r="G274" i="6"/>
  <c r="F274" i="6"/>
  <c r="C274" i="6"/>
  <c r="D274" i="6" s="1"/>
  <c r="E274" i="6" s="1"/>
  <c r="J273" i="6"/>
  <c r="I273" i="6"/>
  <c r="G273" i="6"/>
  <c r="F273" i="6"/>
  <c r="C273" i="6"/>
  <c r="D273" i="6" s="1"/>
  <c r="E273" i="6" s="1"/>
  <c r="J272" i="6"/>
  <c r="I272" i="6"/>
  <c r="G272" i="6"/>
  <c r="F272" i="6"/>
  <c r="C272" i="6"/>
  <c r="D272" i="6" s="1"/>
  <c r="E272" i="6" s="1"/>
  <c r="J271" i="6"/>
  <c r="I271" i="6"/>
  <c r="G271" i="6"/>
  <c r="F271" i="6"/>
  <c r="C271" i="6"/>
  <c r="D271" i="6" s="1"/>
  <c r="E271" i="6" s="1"/>
  <c r="J270" i="6"/>
  <c r="I270" i="6"/>
  <c r="G270" i="6"/>
  <c r="F270" i="6"/>
  <c r="C270" i="6"/>
  <c r="D270" i="6" s="1"/>
  <c r="E270" i="6" s="1"/>
  <c r="J269" i="6"/>
  <c r="I269" i="6"/>
  <c r="G269" i="6"/>
  <c r="F269" i="6"/>
  <c r="C269" i="6"/>
  <c r="D269" i="6" s="1"/>
  <c r="E269" i="6" s="1"/>
  <c r="J268" i="6"/>
  <c r="I268" i="6"/>
  <c r="G268" i="6"/>
  <c r="F268" i="6"/>
  <c r="C268" i="6"/>
  <c r="D268" i="6" s="1"/>
  <c r="E268" i="6" s="1"/>
  <c r="J267" i="6"/>
  <c r="I267" i="6"/>
  <c r="G267" i="6"/>
  <c r="F267" i="6"/>
  <c r="C267" i="6"/>
  <c r="D267" i="6" s="1"/>
  <c r="E267" i="6" s="1"/>
  <c r="J266" i="6"/>
  <c r="I266" i="6"/>
  <c r="G266" i="6"/>
  <c r="F266" i="6"/>
  <c r="C266" i="6"/>
  <c r="D266" i="6" s="1"/>
  <c r="E266" i="6" s="1"/>
  <c r="J265" i="6"/>
  <c r="I265" i="6"/>
  <c r="G265" i="6"/>
  <c r="F265" i="6"/>
  <c r="C265" i="6"/>
  <c r="D265" i="6" s="1"/>
  <c r="E265" i="6" s="1"/>
  <c r="J264" i="6"/>
  <c r="I264" i="6"/>
  <c r="G264" i="6"/>
  <c r="F264" i="6"/>
  <c r="C264" i="6"/>
  <c r="D264" i="6" s="1"/>
  <c r="E264" i="6" s="1"/>
  <c r="J263" i="6"/>
  <c r="I263" i="6"/>
  <c r="G263" i="6"/>
  <c r="F263" i="6"/>
  <c r="C263" i="6"/>
  <c r="D263" i="6" s="1"/>
  <c r="E263" i="6" s="1"/>
  <c r="J262" i="6"/>
  <c r="I262" i="6"/>
  <c r="G262" i="6"/>
  <c r="F262" i="6"/>
  <c r="C262" i="6"/>
  <c r="D262" i="6" s="1"/>
  <c r="E262" i="6" s="1"/>
  <c r="J261" i="6"/>
  <c r="I261" i="6"/>
  <c r="G261" i="6"/>
  <c r="F261" i="6"/>
  <c r="C261" i="6"/>
  <c r="D261" i="6" s="1"/>
  <c r="E261" i="6" s="1"/>
  <c r="J260" i="6"/>
  <c r="I260" i="6"/>
  <c r="G260" i="6"/>
  <c r="F260" i="6"/>
  <c r="C260" i="6"/>
  <c r="D260" i="6" s="1"/>
  <c r="E260" i="6" s="1"/>
  <c r="J259" i="6"/>
  <c r="I259" i="6"/>
  <c r="G259" i="6"/>
  <c r="F259" i="6"/>
  <c r="C259" i="6"/>
  <c r="D259" i="6" s="1"/>
  <c r="E259" i="6" s="1"/>
  <c r="J258" i="6"/>
  <c r="I258" i="6"/>
  <c r="G258" i="6"/>
  <c r="F258" i="6"/>
  <c r="C258" i="6"/>
  <c r="D258" i="6" s="1"/>
  <c r="E258" i="6" s="1"/>
  <c r="J257" i="6"/>
  <c r="I257" i="6"/>
  <c r="G257" i="6"/>
  <c r="F257" i="6"/>
  <c r="C257" i="6"/>
  <c r="D257" i="6" s="1"/>
  <c r="E257" i="6" s="1"/>
  <c r="J256" i="6"/>
  <c r="I256" i="6"/>
  <c r="G256" i="6"/>
  <c r="F256" i="6"/>
  <c r="C256" i="6"/>
  <c r="D256" i="6" s="1"/>
  <c r="E256" i="6" s="1"/>
  <c r="J255" i="6"/>
  <c r="I255" i="6"/>
  <c r="G255" i="6"/>
  <c r="F255" i="6"/>
  <c r="C255" i="6"/>
  <c r="D255" i="6" s="1"/>
  <c r="E255" i="6" s="1"/>
  <c r="J254" i="6"/>
  <c r="I254" i="6"/>
  <c r="G254" i="6"/>
  <c r="F254" i="6"/>
  <c r="C254" i="6"/>
  <c r="D254" i="6" s="1"/>
  <c r="E254" i="6" s="1"/>
  <c r="J253" i="6"/>
  <c r="I253" i="6"/>
  <c r="G253" i="6"/>
  <c r="F253" i="6"/>
  <c r="C253" i="6"/>
  <c r="D253" i="6" s="1"/>
  <c r="E253" i="6" s="1"/>
  <c r="J252" i="6"/>
  <c r="I252" i="6"/>
  <c r="G252" i="6"/>
  <c r="F252" i="6"/>
  <c r="C252" i="6"/>
  <c r="D252" i="6" s="1"/>
  <c r="E252" i="6" s="1"/>
  <c r="J251" i="6"/>
  <c r="I251" i="6"/>
  <c r="G251" i="6"/>
  <c r="F251" i="6"/>
  <c r="C251" i="6"/>
  <c r="D251" i="6" s="1"/>
  <c r="E251" i="6" s="1"/>
  <c r="J250" i="6"/>
  <c r="I250" i="6"/>
  <c r="G250" i="6"/>
  <c r="F250" i="6"/>
  <c r="C250" i="6"/>
  <c r="D250" i="6" s="1"/>
  <c r="E250" i="6" s="1"/>
  <c r="J249" i="6"/>
  <c r="I249" i="6"/>
  <c r="G249" i="6"/>
  <c r="F249" i="6"/>
  <c r="C249" i="6"/>
  <c r="D249" i="6" s="1"/>
  <c r="E249" i="6" s="1"/>
  <c r="J248" i="6"/>
  <c r="I248" i="6"/>
  <c r="G248" i="6"/>
  <c r="F248" i="6"/>
  <c r="C248" i="6"/>
  <c r="D248" i="6" s="1"/>
  <c r="E248" i="6" s="1"/>
  <c r="J247" i="6"/>
  <c r="I247" i="6"/>
  <c r="G247" i="6"/>
  <c r="F247" i="6"/>
  <c r="C247" i="6"/>
  <c r="D247" i="6" s="1"/>
  <c r="E247" i="6" s="1"/>
  <c r="J246" i="6"/>
  <c r="I246" i="6"/>
  <c r="G246" i="6"/>
  <c r="F246" i="6"/>
  <c r="C246" i="6"/>
  <c r="D246" i="6" s="1"/>
  <c r="E246" i="6" s="1"/>
  <c r="J245" i="6"/>
  <c r="I245" i="6"/>
  <c r="G245" i="6"/>
  <c r="F245" i="6"/>
  <c r="C245" i="6"/>
  <c r="D245" i="6" s="1"/>
  <c r="E245" i="6" s="1"/>
  <c r="J244" i="6"/>
  <c r="I244" i="6"/>
  <c r="G244" i="6"/>
  <c r="F244" i="6"/>
  <c r="C244" i="6"/>
  <c r="D244" i="6" s="1"/>
  <c r="E244" i="6" s="1"/>
  <c r="J243" i="6"/>
  <c r="I243" i="6"/>
  <c r="G243" i="6"/>
  <c r="F243" i="6"/>
  <c r="C243" i="6"/>
  <c r="D243" i="6" s="1"/>
  <c r="E243" i="6" s="1"/>
  <c r="J242" i="6"/>
  <c r="I242" i="6"/>
  <c r="G242" i="6"/>
  <c r="F242" i="6"/>
  <c r="C242" i="6"/>
  <c r="D242" i="6" s="1"/>
  <c r="E242" i="6" s="1"/>
  <c r="J241" i="6"/>
  <c r="I241" i="6"/>
  <c r="G241" i="6"/>
  <c r="F241" i="6"/>
  <c r="C241" i="6"/>
  <c r="D241" i="6" s="1"/>
  <c r="E241" i="6" s="1"/>
  <c r="J240" i="6"/>
  <c r="I240" i="6"/>
  <c r="G240" i="6"/>
  <c r="F240" i="6"/>
  <c r="C240" i="6"/>
  <c r="D240" i="6" s="1"/>
  <c r="E240" i="6" s="1"/>
  <c r="J239" i="6"/>
  <c r="I239" i="6"/>
  <c r="G239" i="6"/>
  <c r="F239" i="6"/>
  <c r="C239" i="6"/>
  <c r="D239" i="6" s="1"/>
  <c r="E239" i="6" s="1"/>
  <c r="J238" i="6"/>
  <c r="I238" i="6"/>
  <c r="G238" i="6"/>
  <c r="F238" i="6"/>
  <c r="C238" i="6"/>
  <c r="D238" i="6" s="1"/>
  <c r="E238" i="6" s="1"/>
  <c r="J237" i="6"/>
  <c r="I237" i="6"/>
  <c r="G237" i="6"/>
  <c r="F237" i="6"/>
  <c r="C237" i="6"/>
  <c r="D237" i="6" s="1"/>
  <c r="E237" i="6" s="1"/>
  <c r="J236" i="6"/>
  <c r="I236" i="6"/>
  <c r="G236" i="6"/>
  <c r="F236" i="6"/>
  <c r="C236" i="6"/>
  <c r="D236" i="6" s="1"/>
  <c r="E236" i="6" s="1"/>
  <c r="J235" i="6"/>
  <c r="I235" i="6"/>
  <c r="G235" i="6"/>
  <c r="F235" i="6"/>
  <c r="C235" i="6"/>
  <c r="D235" i="6" s="1"/>
  <c r="E235" i="6" s="1"/>
  <c r="J234" i="6"/>
  <c r="I234" i="6"/>
  <c r="G234" i="6"/>
  <c r="F234" i="6"/>
  <c r="C234" i="6"/>
  <c r="D234" i="6" s="1"/>
  <c r="E234" i="6" s="1"/>
  <c r="J233" i="6"/>
  <c r="I233" i="6"/>
  <c r="G233" i="6"/>
  <c r="F233" i="6"/>
  <c r="C233" i="6"/>
  <c r="D233" i="6" s="1"/>
  <c r="E233" i="6" s="1"/>
  <c r="J232" i="6"/>
  <c r="I232" i="6"/>
  <c r="G232" i="6"/>
  <c r="F232" i="6"/>
  <c r="C232" i="6"/>
  <c r="D232" i="6" s="1"/>
  <c r="E232" i="6" s="1"/>
  <c r="J231" i="6"/>
  <c r="I231" i="6"/>
  <c r="G231" i="6"/>
  <c r="F231" i="6"/>
  <c r="C231" i="6"/>
  <c r="D231" i="6" s="1"/>
  <c r="E231" i="6" s="1"/>
  <c r="J230" i="6"/>
  <c r="I230" i="6"/>
  <c r="G230" i="6"/>
  <c r="F230" i="6"/>
  <c r="C230" i="6"/>
  <c r="D230" i="6" s="1"/>
  <c r="E230" i="6" s="1"/>
  <c r="J229" i="6"/>
  <c r="I229" i="6"/>
  <c r="G229" i="6"/>
  <c r="F229" i="6"/>
  <c r="C229" i="6"/>
  <c r="D229" i="6" s="1"/>
  <c r="E229" i="6" s="1"/>
  <c r="J228" i="6"/>
  <c r="I228" i="6"/>
  <c r="G228" i="6"/>
  <c r="F228" i="6"/>
  <c r="C228" i="6"/>
  <c r="D228" i="6" s="1"/>
  <c r="E228" i="6" s="1"/>
  <c r="J227" i="6"/>
  <c r="I227" i="6"/>
  <c r="G227" i="6"/>
  <c r="F227" i="6"/>
  <c r="C227" i="6"/>
  <c r="D227" i="6" s="1"/>
  <c r="E227" i="6" s="1"/>
  <c r="J226" i="6"/>
  <c r="I226" i="6"/>
  <c r="G226" i="6"/>
  <c r="F226" i="6"/>
  <c r="C226" i="6"/>
  <c r="D226" i="6" s="1"/>
  <c r="E226" i="6" s="1"/>
  <c r="J225" i="6"/>
  <c r="I225" i="6"/>
  <c r="G225" i="6"/>
  <c r="F225" i="6"/>
  <c r="C225" i="6"/>
  <c r="D225" i="6" s="1"/>
  <c r="E225" i="6" s="1"/>
  <c r="J224" i="6"/>
  <c r="I224" i="6"/>
  <c r="G224" i="6"/>
  <c r="F224" i="6"/>
  <c r="C224" i="6"/>
  <c r="D224" i="6" s="1"/>
  <c r="E224" i="6" s="1"/>
  <c r="J223" i="6"/>
  <c r="I223" i="6"/>
  <c r="G223" i="6"/>
  <c r="F223" i="6"/>
  <c r="C223" i="6"/>
  <c r="D223" i="6" s="1"/>
  <c r="E223" i="6" s="1"/>
  <c r="J222" i="6"/>
  <c r="I222" i="6"/>
  <c r="G222" i="6"/>
  <c r="F222" i="6"/>
  <c r="C222" i="6"/>
  <c r="D222" i="6" s="1"/>
  <c r="E222" i="6" s="1"/>
  <c r="J221" i="6"/>
  <c r="I221" i="6"/>
  <c r="G221" i="6"/>
  <c r="F221" i="6"/>
  <c r="C221" i="6"/>
  <c r="D221" i="6" s="1"/>
  <c r="E221" i="6" s="1"/>
  <c r="J220" i="6"/>
  <c r="I220" i="6"/>
  <c r="G220" i="6"/>
  <c r="F220" i="6"/>
  <c r="C220" i="6"/>
  <c r="D220" i="6" s="1"/>
  <c r="E220" i="6" s="1"/>
  <c r="J219" i="6"/>
  <c r="I219" i="6"/>
  <c r="G219" i="6"/>
  <c r="F219" i="6"/>
  <c r="C219" i="6"/>
  <c r="D219" i="6" s="1"/>
  <c r="E219" i="6" s="1"/>
  <c r="J218" i="6"/>
  <c r="I218" i="6"/>
  <c r="G218" i="6"/>
  <c r="F218" i="6"/>
  <c r="C218" i="6"/>
  <c r="D218" i="6" s="1"/>
  <c r="E218" i="6" s="1"/>
  <c r="J217" i="6"/>
  <c r="I217" i="6"/>
  <c r="G217" i="6"/>
  <c r="F217" i="6"/>
  <c r="C217" i="6"/>
  <c r="D217" i="6" s="1"/>
  <c r="E217" i="6" s="1"/>
  <c r="J216" i="6"/>
  <c r="I216" i="6"/>
  <c r="G216" i="6"/>
  <c r="F216" i="6"/>
  <c r="C216" i="6"/>
  <c r="D216" i="6" s="1"/>
  <c r="E216" i="6" s="1"/>
  <c r="J215" i="6"/>
  <c r="I215" i="6"/>
  <c r="G215" i="6"/>
  <c r="F215" i="6"/>
  <c r="C215" i="6"/>
  <c r="D215" i="6" s="1"/>
  <c r="E215" i="6" s="1"/>
  <c r="J214" i="6"/>
  <c r="I214" i="6"/>
  <c r="G214" i="6"/>
  <c r="F214" i="6"/>
  <c r="C214" i="6"/>
  <c r="D214" i="6" s="1"/>
  <c r="E214" i="6" s="1"/>
  <c r="J213" i="6"/>
  <c r="I213" i="6"/>
  <c r="G213" i="6"/>
  <c r="F213" i="6"/>
  <c r="C213" i="6"/>
  <c r="D213" i="6" s="1"/>
  <c r="E213" i="6" s="1"/>
  <c r="J212" i="6"/>
  <c r="I212" i="6"/>
  <c r="G212" i="6"/>
  <c r="F212" i="6"/>
  <c r="C212" i="6"/>
  <c r="D212" i="6" s="1"/>
  <c r="E212" i="6" s="1"/>
  <c r="J211" i="6"/>
  <c r="I211" i="6"/>
  <c r="G211" i="6"/>
  <c r="F211" i="6"/>
  <c r="C211" i="6"/>
  <c r="D211" i="6" s="1"/>
  <c r="E211" i="6" s="1"/>
  <c r="J210" i="6"/>
  <c r="I210" i="6"/>
  <c r="G210" i="6"/>
  <c r="F210" i="6"/>
  <c r="C210" i="6"/>
  <c r="D210" i="6" s="1"/>
  <c r="E210" i="6" s="1"/>
  <c r="J209" i="6"/>
  <c r="I209" i="6"/>
  <c r="G209" i="6"/>
  <c r="F209" i="6"/>
  <c r="C209" i="6"/>
  <c r="D209" i="6" s="1"/>
  <c r="E209" i="6" s="1"/>
  <c r="J208" i="6"/>
  <c r="I208" i="6"/>
  <c r="G208" i="6"/>
  <c r="F208" i="6"/>
  <c r="C208" i="6"/>
  <c r="D208" i="6" s="1"/>
  <c r="E208" i="6" s="1"/>
  <c r="J207" i="6"/>
  <c r="I207" i="6"/>
  <c r="G207" i="6"/>
  <c r="F207" i="6"/>
  <c r="C207" i="6"/>
  <c r="D207" i="6" s="1"/>
  <c r="E207" i="6" s="1"/>
  <c r="J206" i="6"/>
  <c r="I206" i="6"/>
  <c r="G206" i="6"/>
  <c r="F206" i="6"/>
  <c r="C206" i="6"/>
  <c r="D206" i="6" s="1"/>
  <c r="E206" i="6" s="1"/>
  <c r="J205" i="6"/>
  <c r="I205" i="6"/>
  <c r="G205" i="6"/>
  <c r="F205" i="6"/>
  <c r="C205" i="6"/>
  <c r="D205" i="6" s="1"/>
  <c r="E205" i="6" s="1"/>
  <c r="J204" i="6"/>
  <c r="I204" i="6"/>
  <c r="G204" i="6"/>
  <c r="F204" i="6"/>
  <c r="C204" i="6"/>
  <c r="D204" i="6" s="1"/>
  <c r="E204" i="6" s="1"/>
  <c r="J203" i="6"/>
  <c r="I203" i="6"/>
  <c r="G203" i="6"/>
  <c r="F203" i="6"/>
  <c r="C203" i="6"/>
  <c r="D203" i="6" s="1"/>
  <c r="E203" i="6" s="1"/>
  <c r="J202" i="6"/>
  <c r="I202" i="6"/>
  <c r="G202" i="6"/>
  <c r="F202" i="6"/>
  <c r="C202" i="6"/>
  <c r="D202" i="6" s="1"/>
  <c r="E202" i="6" s="1"/>
  <c r="J201" i="6"/>
  <c r="I201" i="6"/>
  <c r="G201" i="6"/>
  <c r="F201" i="6"/>
  <c r="C201" i="6"/>
  <c r="D201" i="6" s="1"/>
  <c r="E201" i="6" s="1"/>
  <c r="J200" i="6"/>
  <c r="I200" i="6"/>
  <c r="G200" i="6"/>
  <c r="F200" i="6"/>
  <c r="C200" i="6"/>
  <c r="D200" i="6" s="1"/>
  <c r="E200" i="6" s="1"/>
  <c r="J199" i="6"/>
  <c r="I199" i="6"/>
  <c r="G199" i="6"/>
  <c r="F199" i="6"/>
  <c r="C199" i="6"/>
  <c r="D199" i="6" s="1"/>
  <c r="E199" i="6" s="1"/>
  <c r="J198" i="6"/>
  <c r="I198" i="6"/>
  <c r="G198" i="6"/>
  <c r="F198" i="6"/>
  <c r="C198" i="6"/>
  <c r="D198" i="6" s="1"/>
  <c r="E198" i="6" s="1"/>
  <c r="J197" i="6"/>
  <c r="I197" i="6"/>
  <c r="G197" i="6"/>
  <c r="F197" i="6"/>
  <c r="C197" i="6"/>
  <c r="D197" i="6" s="1"/>
  <c r="E197" i="6" s="1"/>
  <c r="J196" i="6"/>
  <c r="I196" i="6"/>
  <c r="G196" i="6"/>
  <c r="F196" i="6"/>
  <c r="C196" i="6"/>
  <c r="D196" i="6" s="1"/>
  <c r="E196" i="6" s="1"/>
  <c r="J195" i="6"/>
  <c r="I195" i="6"/>
  <c r="G195" i="6"/>
  <c r="F195" i="6"/>
  <c r="C195" i="6"/>
  <c r="D195" i="6" s="1"/>
  <c r="E195" i="6" s="1"/>
  <c r="J194" i="6"/>
  <c r="I194" i="6"/>
  <c r="G194" i="6"/>
  <c r="F194" i="6"/>
  <c r="C194" i="6"/>
  <c r="D194" i="6" s="1"/>
  <c r="E194" i="6" s="1"/>
  <c r="J193" i="6"/>
  <c r="I193" i="6"/>
  <c r="G193" i="6"/>
  <c r="F193" i="6"/>
  <c r="C193" i="6"/>
  <c r="D193" i="6" s="1"/>
  <c r="E193" i="6" s="1"/>
  <c r="J192" i="6"/>
  <c r="I192" i="6"/>
  <c r="G192" i="6"/>
  <c r="F192" i="6"/>
  <c r="C192" i="6"/>
  <c r="D192" i="6" s="1"/>
  <c r="E192" i="6" s="1"/>
  <c r="J191" i="6"/>
  <c r="I191" i="6"/>
  <c r="G191" i="6"/>
  <c r="F191" i="6"/>
  <c r="C191" i="6"/>
  <c r="D191" i="6" s="1"/>
  <c r="E191" i="6" s="1"/>
  <c r="J190" i="6"/>
  <c r="I190" i="6"/>
  <c r="G190" i="6"/>
  <c r="F190" i="6"/>
  <c r="C190" i="6"/>
  <c r="D190" i="6" s="1"/>
  <c r="E190" i="6" s="1"/>
  <c r="J189" i="6"/>
  <c r="I189" i="6"/>
  <c r="G189" i="6"/>
  <c r="F189" i="6"/>
  <c r="C189" i="6"/>
  <c r="D189" i="6" s="1"/>
  <c r="E189" i="6" s="1"/>
  <c r="J188" i="6"/>
  <c r="I188" i="6"/>
  <c r="G188" i="6"/>
  <c r="F188" i="6"/>
  <c r="C188" i="6"/>
  <c r="D188" i="6" s="1"/>
  <c r="E188" i="6" s="1"/>
  <c r="J187" i="6"/>
  <c r="I187" i="6"/>
  <c r="G187" i="6"/>
  <c r="F187" i="6"/>
  <c r="C187" i="6"/>
  <c r="D187" i="6" s="1"/>
  <c r="E187" i="6" s="1"/>
  <c r="J186" i="6"/>
  <c r="I186" i="6"/>
  <c r="G186" i="6"/>
  <c r="F186" i="6"/>
  <c r="C186" i="6"/>
  <c r="D186" i="6" s="1"/>
  <c r="E186" i="6" s="1"/>
  <c r="J185" i="6"/>
  <c r="I185" i="6"/>
  <c r="G185" i="6"/>
  <c r="F185" i="6"/>
  <c r="C185" i="6"/>
  <c r="D185" i="6" s="1"/>
  <c r="E185" i="6" s="1"/>
  <c r="J184" i="6"/>
  <c r="I184" i="6"/>
  <c r="G184" i="6"/>
  <c r="F184" i="6"/>
  <c r="C184" i="6"/>
  <c r="D184" i="6" s="1"/>
  <c r="E184" i="6" s="1"/>
  <c r="J183" i="6"/>
  <c r="I183" i="6"/>
  <c r="G183" i="6"/>
  <c r="F183" i="6"/>
  <c r="C183" i="6"/>
  <c r="D183" i="6" s="1"/>
  <c r="E183" i="6" s="1"/>
  <c r="J182" i="6"/>
  <c r="I182" i="6"/>
  <c r="G182" i="6"/>
  <c r="F182" i="6"/>
  <c r="C182" i="6"/>
  <c r="D182" i="6" s="1"/>
  <c r="E182" i="6" s="1"/>
  <c r="J181" i="6"/>
  <c r="I181" i="6"/>
  <c r="G181" i="6"/>
  <c r="F181" i="6"/>
  <c r="C181" i="6"/>
  <c r="D181" i="6" s="1"/>
  <c r="E181" i="6" s="1"/>
  <c r="J180" i="6"/>
  <c r="I180" i="6"/>
  <c r="G180" i="6"/>
  <c r="F180" i="6"/>
  <c r="C180" i="6"/>
  <c r="D180" i="6" s="1"/>
  <c r="E180" i="6" s="1"/>
  <c r="J179" i="6"/>
  <c r="I179" i="6"/>
  <c r="G179" i="6"/>
  <c r="F179" i="6"/>
  <c r="C179" i="6"/>
  <c r="D179" i="6" s="1"/>
  <c r="E179" i="6" s="1"/>
  <c r="J178" i="6"/>
  <c r="I178" i="6"/>
  <c r="G178" i="6"/>
  <c r="F178" i="6"/>
  <c r="C178" i="6"/>
  <c r="D178" i="6" s="1"/>
  <c r="E178" i="6" s="1"/>
  <c r="J177" i="6"/>
  <c r="I177" i="6"/>
  <c r="G177" i="6"/>
  <c r="F177" i="6"/>
  <c r="C177" i="6"/>
  <c r="D177" i="6" s="1"/>
  <c r="E177" i="6" s="1"/>
  <c r="J176" i="6"/>
  <c r="I176" i="6"/>
  <c r="G176" i="6"/>
  <c r="F176" i="6"/>
  <c r="C176" i="6"/>
  <c r="D176" i="6" s="1"/>
  <c r="E176" i="6" s="1"/>
  <c r="J175" i="6"/>
  <c r="I175" i="6"/>
  <c r="G175" i="6"/>
  <c r="F175" i="6"/>
  <c r="C175" i="6"/>
  <c r="D175" i="6" s="1"/>
  <c r="E175" i="6" s="1"/>
  <c r="J174" i="6"/>
  <c r="I174" i="6"/>
  <c r="G174" i="6"/>
  <c r="F174" i="6"/>
  <c r="C174" i="6"/>
  <c r="D174" i="6" s="1"/>
  <c r="E174" i="6" s="1"/>
  <c r="J173" i="6"/>
  <c r="I173" i="6"/>
  <c r="G173" i="6"/>
  <c r="F173" i="6"/>
  <c r="C173" i="6"/>
  <c r="D173" i="6" s="1"/>
  <c r="E173" i="6" s="1"/>
  <c r="J172" i="6"/>
  <c r="I172" i="6"/>
  <c r="G172" i="6"/>
  <c r="F172" i="6"/>
  <c r="C172" i="6"/>
  <c r="D172" i="6" s="1"/>
  <c r="E172" i="6" s="1"/>
  <c r="J171" i="6"/>
  <c r="I171" i="6"/>
  <c r="G171" i="6"/>
  <c r="F171" i="6"/>
  <c r="C171" i="6"/>
  <c r="D171" i="6" s="1"/>
  <c r="E171" i="6" s="1"/>
  <c r="J170" i="6"/>
  <c r="I170" i="6"/>
  <c r="G170" i="6"/>
  <c r="F170" i="6"/>
  <c r="C170" i="6"/>
  <c r="D170" i="6" s="1"/>
  <c r="E170" i="6" s="1"/>
  <c r="J169" i="6"/>
  <c r="I169" i="6"/>
  <c r="G169" i="6"/>
  <c r="F169" i="6"/>
  <c r="C169" i="6"/>
  <c r="D169" i="6" s="1"/>
  <c r="E169" i="6" s="1"/>
  <c r="J168" i="6"/>
  <c r="I168" i="6"/>
  <c r="G168" i="6"/>
  <c r="F168" i="6"/>
  <c r="C168" i="6"/>
  <c r="D168" i="6" s="1"/>
  <c r="E168" i="6" s="1"/>
  <c r="J167" i="6"/>
  <c r="I167" i="6"/>
  <c r="G167" i="6"/>
  <c r="F167" i="6"/>
  <c r="C167" i="6"/>
  <c r="D167" i="6" s="1"/>
  <c r="E167" i="6" s="1"/>
  <c r="J166" i="6"/>
  <c r="I166" i="6"/>
  <c r="G166" i="6"/>
  <c r="F166" i="6"/>
  <c r="C166" i="6"/>
  <c r="D166" i="6" s="1"/>
  <c r="E166" i="6" s="1"/>
  <c r="J165" i="6"/>
  <c r="I165" i="6"/>
  <c r="G165" i="6"/>
  <c r="F165" i="6"/>
  <c r="C165" i="6"/>
  <c r="D165" i="6" s="1"/>
  <c r="E165" i="6" s="1"/>
  <c r="J164" i="6"/>
  <c r="I164" i="6"/>
  <c r="G164" i="6"/>
  <c r="F164" i="6"/>
  <c r="C164" i="6"/>
  <c r="D164" i="6" s="1"/>
  <c r="E164" i="6" s="1"/>
  <c r="J163" i="6"/>
  <c r="I163" i="6"/>
  <c r="G163" i="6"/>
  <c r="F163" i="6"/>
  <c r="C163" i="6"/>
  <c r="D163" i="6" s="1"/>
  <c r="E163" i="6" s="1"/>
  <c r="J162" i="6"/>
  <c r="I162" i="6"/>
  <c r="G162" i="6"/>
  <c r="F162" i="6"/>
  <c r="C162" i="6"/>
  <c r="D162" i="6" s="1"/>
  <c r="E162" i="6" s="1"/>
  <c r="J161" i="6"/>
  <c r="I161" i="6"/>
  <c r="G161" i="6"/>
  <c r="F161" i="6"/>
  <c r="C161" i="6"/>
  <c r="D161" i="6" s="1"/>
  <c r="E161" i="6" s="1"/>
  <c r="J160" i="6"/>
  <c r="I160" i="6"/>
  <c r="G160" i="6"/>
  <c r="F160" i="6"/>
  <c r="C160" i="6"/>
  <c r="D160" i="6" s="1"/>
  <c r="E160" i="6" s="1"/>
  <c r="J159" i="6"/>
  <c r="I159" i="6"/>
  <c r="G159" i="6"/>
  <c r="F159" i="6"/>
  <c r="C159" i="6"/>
  <c r="D159" i="6" s="1"/>
  <c r="E159" i="6" s="1"/>
  <c r="J158" i="6"/>
  <c r="I158" i="6"/>
  <c r="G158" i="6"/>
  <c r="F158" i="6"/>
  <c r="C158" i="6"/>
  <c r="D158" i="6" s="1"/>
  <c r="E158" i="6" s="1"/>
  <c r="J157" i="6"/>
  <c r="I157" i="6"/>
  <c r="G157" i="6"/>
  <c r="F157" i="6"/>
  <c r="C157" i="6"/>
  <c r="D157" i="6" s="1"/>
  <c r="E157" i="6" s="1"/>
  <c r="J156" i="6"/>
  <c r="I156" i="6"/>
  <c r="G156" i="6"/>
  <c r="F156" i="6"/>
  <c r="C156" i="6"/>
  <c r="D156" i="6" s="1"/>
  <c r="E156" i="6" s="1"/>
  <c r="J155" i="6"/>
  <c r="I155" i="6"/>
  <c r="G155" i="6"/>
  <c r="F155" i="6"/>
  <c r="C155" i="6"/>
  <c r="D155" i="6" s="1"/>
  <c r="E155" i="6" s="1"/>
  <c r="J154" i="6"/>
  <c r="I154" i="6"/>
  <c r="G154" i="6"/>
  <c r="F154" i="6"/>
  <c r="C154" i="6"/>
  <c r="D154" i="6" s="1"/>
  <c r="E154" i="6" s="1"/>
  <c r="J153" i="6"/>
  <c r="I153" i="6"/>
  <c r="G153" i="6"/>
  <c r="F153" i="6"/>
  <c r="C153" i="6"/>
  <c r="D153" i="6" s="1"/>
  <c r="E153" i="6" s="1"/>
  <c r="J152" i="6"/>
  <c r="I152" i="6"/>
  <c r="G152" i="6"/>
  <c r="F152" i="6"/>
  <c r="C152" i="6"/>
  <c r="D152" i="6" s="1"/>
  <c r="E152" i="6" s="1"/>
  <c r="J151" i="6"/>
  <c r="I151" i="6"/>
  <c r="G151" i="6"/>
  <c r="F151" i="6"/>
  <c r="C151" i="6"/>
  <c r="D151" i="6" s="1"/>
  <c r="E151" i="6" s="1"/>
  <c r="J150" i="6"/>
  <c r="I150" i="6"/>
  <c r="G150" i="6"/>
  <c r="F150" i="6"/>
  <c r="C150" i="6"/>
  <c r="D150" i="6" s="1"/>
  <c r="E150" i="6" s="1"/>
  <c r="J149" i="6"/>
  <c r="I149" i="6"/>
  <c r="G149" i="6"/>
  <c r="F149" i="6"/>
  <c r="C149" i="6"/>
  <c r="D149" i="6" s="1"/>
  <c r="E149" i="6" s="1"/>
  <c r="J148" i="6"/>
  <c r="I148" i="6"/>
  <c r="G148" i="6"/>
  <c r="F148" i="6"/>
  <c r="C148" i="6"/>
  <c r="D148" i="6" s="1"/>
  <c r="E148" i="6" s="1"/>
  <c r="J147" i="6"/>
  <c r="I147" i="6"/>
  <c r="G147" i="6"/>
  <c r="F147" i="6"/>
  <c r="C147" i="6"/>
  <c r="D147" i="6" s="1"/>
  <c r="E147" i="6" s="1"/>
  <c r="J146" i="6"/>
  <c r="I146" i="6"/>
  <c r="G146" i="6"/>
  <c r="F146" i="6"/>
  <c r="C146" i="6"/>
  <c r="D146" i="6" s="1"/>
  <c r="E146" i="6" s="1"/>
  <c r="J145" i="6"/>
  <c r="I145" i="6"/>
  <c r="G145" i="6"/>
  <c r="F145" i="6"/>
  <c r="C145" i="6"/>
  <c r="D145" i="6" s="1"/>
  <c r="E145" i="6" s="1"/>
  <c r="J144" i="6"/>
  <c r="I144" i="6"/>
  <c r="G144" i="6"/>
  <c r="F144" i="6"/>
  <c r="C144" i="6"/>
  <c r="D144" i="6" s="1"/>
  <c r="E144" i="6" s="1"/>
  <c r="J143" i="6"/>
  <c r="I143" i="6"/>
  <c r="G143" i="6"/>
  <c r="F143" i="6"/>
  <c r="C143" i="6"/>
  <c r="D143" i="6" s="1"/>
  <c r="E143" i="6" s="1"/>
  <c r="J142" i="6"/>
  <c r="I142" i="6"/>
  <c r="G142" i="6"/>
  <c r="F142" i="6"/>
  <c r="C142" i="6"/>
  <c r="D142" i="6" s="1"/>
  <c r="E142" i="6" s="1"/>
  <c r="J141" i="6"/>
  <c r="I141" i="6"/>
  <c r="G141" i="6"/>
  <c r="F141" i="6"/>
  <c r="C141" i="6"/>
  <c r="D141" i="6" s="1"/>
  <c r="E141" i="6" s="1"/>
  <c r="J140" i="6"/>
  <c r="I140" i="6"/>
  <c r="G140" i="6"/>
  <c r="F140" i="6"/>
  <c r="C140" i="6"/>
  <c r="D140" i="6" s="1"/>
  <c r="E140" i="6" s="1"/>
  <c r="J139" i="6"/>
  <c r="I139" i="6"/>
  <c r="G139" i="6"/>
  <c r="F139" i="6"/>
  <c r="C139" i="6"/>
  <c r="D139" i="6" s="1"/>
  <c r="E139" i="6" s="1"/>
  <c r="J138" i="6"/>
  <c r="I138" i="6"/>
  <c r="G138" i="6"/>
  <c r="F138" i="6"/>
  <c r="C138" i="6"/>
  <c r="D138" i="6" s="1"/>
  <c r="E138" i="6" s="1"/>
  <c r="J137" i="6"/>
  <c r="I137" i="6"/>
  <c r="G137" i="6"/>
  <c r="F137" i="6"/>
  <c r="C137" i="6"/>
  <c r="D137" i="6" s="1"/>
  <c r="E137" i="6" s="1"/>
  <c r="J136" i="6"/>
  <c r="I136" i="6"/>
  <c r="G136" i="6"/>
  <c r="F136" i="6"/>
  <c r="C136" i="6"/>
  <c r="D136" i="6" s="1"/>
  <c r="E136" i="6" s="1"/>
  <c r="J135" i="6"/>
  <c r="I135" i="6"/>
  <c r="G135" i="6"/>
  <c r="F135" i="6"/>
  <c r="C135" i="6"/>
  <c r="D135" i="6" s="1"/>
  <c r="E135" i="6" s="1"/>
  <c r="J134" i="6"/>
  <c r="I134" i="6"/>
  <c r="G134" i="6"/>
  <c r="F134" i="6"/>
  <c r="C134" i="6"/>
  <c r="D134" i="6" s="1"/>
  <c r="E134" i="6" s="1"/>
  <c r="J133" i="6"/>
  <c r="I133" i="6"/>
  <c r="G133" i="6"/>
  <c r="F133" i="6"/>
  <c r="C133" i="6"/>
  <c r="D133" i="6" s="1"/>
  <c r="E133" i="6" s="1"/>
  <c r="J132" i="6"/>
  <c r="I132" i="6"/>
  <c r="G132" i="6"/>
  <c r="F132" i="6"/>
  <c r="C132" i="6"/>
  <c r="D132" i="6" s="1"/>
  <c r="E132" i="6" s="1"/>
  <c r="J131" i="6"/>
  <c r="I131" i="6"/>
  <c r="G131" i="6"/>
  <c r="F131" i="6"/>
  <c r="C131" i="6"/>
  <c r="D131" i="6" s="1"/>
  <c r="E131" i="6" s="1"/>
  <c r="J130" i="6"/>
  <c r="I130" i="6"/>
  <c r="G130" i="6"/>
  <c r="F130" i="6"/>
  <c r="C130" i="6"/>
  <c r="D130" i="6" s="1"/>
  <c r="E130" i="6" s="1"/>
  <c r="J129" i="6"/>
  <c r="I129" i="6"/>
  <c r="G129" i="6"/>
  <c r="F129" i="6"/>
  <c r="C129" i="6"/>
  <c r="D129" i="6" s="1"/>
  <c r="E129" i="6" s="1"/>
  <c r="J128" i="6"/>
  <c r="I128" i="6"/>
  <c r="G128" i="6"/>
  <c r="F128" i="6"/>
  <c r="C128" i="6"/>
  <c r="D128" i="6" s="1"/>
  <c r="E128" i="6" s="1"/>
  <c r="J127" i="6"/>
  <c r="I127" i="6"/>
  <c r="G127" i="6"/>
  <c r="F127" i="6"/>
  <c r="C127" i="6"/>
  <c r="D127" i="6" s="1"/>
  <c r="E127" i="6" s="1"/>
  <c r="J126" i="6"/>
  <c r="I126" i="6"/>
  <c r="G126" i="6"/>
  <c r="F126" i="6"/>
  <c r="C126" i="6"/>
  <c r="D126" i="6" s="1"/>
  <c r="E126" i="6" s="1"/>
  <c r="J125" i="6"/>
  <c r="I125" i="6"/>
  <c r="G125" i="6"/>
  <c r="F125" i="6"/>
  <c r="C125" i="6"/>
  <c r="D125" i="6" s="1"/>
  <c r="E125" i="6" s="1"/>
  <c r="J124" i="6"/>
  <c r="I124" i="6"/>
  <c r="G124" i="6"/>
  <c r="F124" i="6"/>
  <c r="C124" i="6"/>
  <c r="D124" i="6" s="1"/>
  <c r="E124" i="6" s="1"/>
  <c r="J123" i="6"/>
  <c r="I123" i="6"/>
  <c r="G123" i="6"/>
  <c r="F123" i="6"/>
  <c r="C123" i="6"/>
  <c r="D123" i="6" s="1"/>
  <c r="E123" i="6" s="1"/>
  <c r="J122" i="6"/>
  <c r="I122" i="6"/>
  <c r="G122" i="6"/>
  <c r="F122" i="6"/>
  <c r="C122" i="6"/>
  <c r="D122" i="6" s="1"/>
  <c r="E122" i="6" s="1"/>
  <c r="J121" i="6"/>
  <c r="I121" i="6"/>
  <c r="G121" i="6"/>
  <c r="F121" i="6"/>
  <c r="C121" i="6"/>
  <c r="D121" i="6" s="1"/>
  <c r="E121" i="6" s="1"/>
  <c r="J120" i="6"/>
  <c r="I120" i="6"/>
  <c r="G120" i="6"/>
  <c r="F120" i="6"/>
  <c r="C120" i="6"/>
  <c r="D120" i="6" s="1"/>
  <c r="E120" i="6" s="1"/>
  <c r="J119" i="6"/>
  <c r="I119" i="6"/>
  <c r="G119" i="6"/>
  <c r="F119" i="6"/>
  <c r="C119" i="6"/>
  <c r="D119" i="6" s="1"/>
  <c r="E119" i="6" s="1"/>
  <c r="J118" i="6"/>
  <c r="I118" i="6"/>
  <c r="G118" i="6"/>
  <c r="F118" i="6"/>
  <c r="C118" i="6"/>
  <c r="D118" i="6" s="1"/>
  <c r="E118" i="6" s="1"/>
  <c r="J117" i="6"/>
  <c r="I117" i="6"/>
  <c r="G117" i="6"/>
  <c r="F117" i="6"/>
  <c r="C117" i="6"/>
  <c r="D117" i="6" s="1"/>
  <c r="E117" i="6" s="1"/>
  <c r="J116" i="6"/>
  <c r="I116" i="6"/>
  <c r="G116" i="6"/>
  <c r="F116" i="6"/>
  <c r="C116" i="6"/>
  <c r="D116" i="6" s="1"/>
  <c r="E116" i="6" s="1"/>
  <c r="J115" i="6"/>
  <c r="I115" i="6"/>
  <c r="G115" i="6"/>
  <c r="F115" i="6"/>
  <c r="C115" i="6"/>
  <c r="D115" i="6" s="1"/>
  <c r="E115" i="6" s="1"/>
  <c r="J114" i="6"/>
  <c r="I114" i="6"/>
  <c r="G114" i="6"/>
  <c r="F114" i="6"/>
  <c r="C114" i="6"/>
  <c r="D114" i="6" s="1"/>
  <c r="E114" i="6" s="1"/>
  <c r="J113" i="6"/>
  <c r="I113" i="6"/>
  <c r="G113" i="6"/>
  <c r="F113" i="6"/>
  <c r="C113" i="6"/>
  <c r="D113" i="6" s="1"/>
  <c r="E113" i="6" s="1"/>
  <c r="J112" i="6"/>
  <c r="I112" i="6"/>
  <c r="G112" i="6"/>
  <c r="F112" i="6"/>
  <c r="C112" i="6"/>
  <c r="D112" i="6" s="1"/>
  <c r="E112" i="6" s="1"/>
  <c r="J111" i="6"/>
  <c r="I111" i="6"/>
  <c r="G111" i="6"/>
  <c r="F111" i="6"/>
  <c r="C111" i="6"/>
  <c r="D111" i="6" s="1"/>
  <c r="E111" i="6" s="1"/>
  <c r="J110" i="6"/>
  <c r="I110" i="6"/>
  <c r="G110" i="6"/>
  <c r="F110" i="6"/>
  <c r="C110" i="6"/>
  <c r="D110" i="6" s="1"/>
  <c r="E110" i="6" s="1"/>
  <c r="J109" i="6"/>
  <c r="I109" i="6"/>
  <c r="G109" i="6"/>
  <c r="F109" i="6"/>
  <c r="C109" i="6"/>
  <c r="D109" i="6" s="1"/>
  <c r="E109" i="6" s="1"/>
  <c r="J108" i="6"/>
  <c r="I108" i="6"/>
  <c r="G108" i="6"/>
  <c r="F108" i="6"/>
  <c r="C108" i="6"/>
  <c r="D108" i="6" s="1"/>
  <c r="E108" i="6" s="1"/>
  <c r="J107" i="6"/>
  <c r="I107" i="6"/>
  <c r="G107" i="6"/>
  <c r="F107" i="6"/>
  <c r="C107" i="6"/>
  <c r="D107" i="6" s="1"/>
  <c r="E107" i="6" s="1"/>
  <c r="J106" i="6"/>
  <c r="I106" i="6"/>
  <c r="G106" i="6"/>
  <c r="F106" i="6"/>
  <c r="C106" i="6"/>
  <c r="D106" i="6" s="1"/>
  <c r="E106" i="6" s="1"/>
  <c r="J105" i="6"/>
  <c r="I105" i="6"/>
  <c r="G105" i="6"/>
  <c r="F105" i="6"/>
  <c r="C105" i="6"/>
  <c r="D105" i="6" s="1"/>
  <c r="E105" i="6" s="1"/>
  <c r="J104" i="6"/>
  <c r="I104" i="6"/>
  <c r="G104" i="6"/>
  <c r="F104" i="6"/>
  <c r="C104" i="6"/>
  <c r="D104" i="6" s="1"/>
  <c r="E104" i="6" s="1"/>
  <c r="J103" i="6"/>
  <c r="I103" i="6"/>
  <c r="G103" i="6"/>
  <c r="F103" i="6"/>
  <c r="C103" i="6"/>
  <c r="D103" i="6" s="1"/>
  <c r="E103" i="6" s="1"/>
  <c r="J102" i="6"/>
  <c r="I102" i="6"/>
  <c r="G102" i="6"/>
  <c r="F102" i="6"/>
  <c r="C102" i="6"/>
  <c r="D102" i="6" s="1"/>
  <c r="E102" i="6" s="1"/>
  <c r="J101" i="6"/>
  <c r="I101" i="6"/>
  <c r="G101" i="6"/>
  <c r="F101" i="6"/>
  <c r="C101" i="6"/>
  <c r="D101" i="6" s="1"/>
  <c r="E101" i="6" s="1"/>
  <c r="J100" i="6"/>
  <c r="I100" i="6"/>
  <c r="G100" i="6"/>
  <c r="F100" i="6"/>
  <c r="C100" i="6"/>
  <c r="D100" i="6" s="1"/>
  <c r="E100" i="6" s="1"/>
  <c r="J99" i="6"/>
  <c r="I99" i="6"/>
  <c r="G99" i="6"/>
  <c r="F99" i="6"/>
  <c r="C99" i="6"/>
  <c r="D99" i="6" s="1"/>
  <c r="E99" i="6" s="1"/>
  <c r="J98" i="6"/>
  <c r="I98" i="6"/>
  <c r="G98" i="6"/>
  <c r="F98" i="6"/>
  <c r="C98" i="6"/>
  <c r="D98" i="6" s="1"/>
  <c r="E98" i="6" s="1"/>
  <c r="J97" i="6"/>
  <c r="I97" i="6"/>
  <c r="G97" i="6"/>
  <c r="F97" i="6"/>
  <c r="C97" i="6"/>
  <c r="D97" i="6" s="1"/>
  <c r="E97" i="6" s="1"/>
  <c r="J96" i="6"/>
  <c r="I96" i="6"/>
  <c r="G96" i="6"/>
  <c r="F96" i="6"/>
  <c r="C96" i="6"/>
  <c r="D96" i="6" s="1"/>
  <c r="E96" i="6" s="1"/>
  <c r="J95" i="6"/>
  <c r="I95" i="6"/>
  <c r="G95" i="6"/>
  <c r="F95" i="6"/>
  <c r="C95" i="6"/>
  <c r="D95" i="6" s="1"/>
  <c r="E95" i="6" s="1"/>
  <c r="J94" i="6"/>
  <c r="I94" i="6"/>
  <c r="G94" i="6"/>
  <c r="F94" i="6"/>
  <c r="C94" i="6"/>
  <c r="D94" i="6" s="1"/>
  <c r="E94" i="6" s="1"/>
  <c r="J93" i="6"/>
  <c r="I93" i="6"/>
  <c r="G93" i="6"/>
  <c r="F93" i="6"/>
  <c r="C93" i="6"/>
  <c r="D93" i="6" s="1"/>
  <c r="E93" i="6" s="1"/>
  <c r="J92" i="6"/>
  <c r="I92" i="6"/>
  <c r="G92" i="6"/>
  <c r="F92" i="6"/>
  <c r="C92" i="6"/>
  <c r="D92" i="6" s="1"/>
  <c r="E92" i="6" s="1"/>
  <c r="J91" i="6"/>
  <c r="I91" i="6"/>
  <c r="G91" i="6"/>
  <c r="F91" i="6"/>
  <c r="C91" i="6"/>
  <c r="D91" i="6" s="1"/>
  <c r="E91" i="6" s="1"/>
  <c r="J90" i="6"/>
  <c r="I90" i="6"/>
  <c r="G90" i="6"/>
  <c r="F90" i="6"/>
  <c r="C90" i="6"/>
  <c r="D90" i="6" s="1"/>
  <c r="E90" i="6" s="1"/>
  <c r="J89" i="6"/>
  <c r="I89" i="6"/>
  <c r="G89" i="6"/>
  <c r="F89" i="6"/>
  <c r="C89" i="6"/>
  <c r="D89" i="6" s="1"/>
  <c r="E89" i="6" s="1"/>
  <c r="J88" i="6"/>
  <c r="I88" i="6"/>
  <c r="G88" i="6"/>
  <c r="F88" i="6"/>
  <c r="C88" i="6"/>
  <c r="D88" i="6" s="1"/>
  <c r="E88" i="6" s="1"/>
  <c r="J87" i="6"/>
  <c r="I87" i="6"/>
  <c r="G87" i="6"/>
  <c r="F87" i="6"/>
  <c r="C87" i="6"/>
  <c r="D87" i="6" s="1"/>
  <c r="E87" i="6" s="1"/>
  <c r="J86" i="6"/>
  <c r="I86" i="6"/>
  <c r="G86" i="6"/>
  <c r="F86" i="6"/>
  <c r="C86" i="6"/>
  <c r="D86" i="6" s="1"/>
  <c r="E86" i="6" s="1"/>
  <c r="J85" i="6"/>
  <c r="I85" i="6"/>
  <c r="G85" i="6"/>
  <c r="F85" i="6"/>
  <c r="C85" i="6"/>
  <c r="D85" i="6" s="1"/>
  <c r="E85" i="6" s="1"/>
  <c r="J84" i="6"/>
  <c r="I84" i="6"/>
  <c r="G84" i="6"/>
  <c r="F84" i="6"/>
  <c r="C84" i="6"/>
  <c r="D84" i="6" s="1"/>
  <c r="E84" i="6" s="1"/>
  <c r="J83" i="6"/>
  <c r="I83" i="6"/>
  <c r="G83" i="6"/>
  <c r="F83" i="6"/>
  <c r="C83" i="6"/>
  <c r="D83" i="6" s="1"/>
  <c r="E83" i="6" s="1"/>
  <c r="J82" i="6"/>
  <c r="I82" i="6"/>
  <c r="G82" i="6"/>
  <c r="F82" i="6"/>
  <c r="C82" i="6"/>
  <c r="D82" i="6" s="1"/>
  <c r="E82" i="6" s="1"/>
  <c r="J81" i="6"/>
  <c r="I81" i="6"/>
  <c r="G81" i="6"/>
  <c r="F81" i="6"/>
  <c r="C81" i="6"/>
  <c r="D81" i="6" s="1"/>
  <c r="E81" i="6" s="1"/>
  <c r="J80" i="6"/>
  <c r="I80" i="6"/>
  <c r="G80" i="6"/>
  <c r="F80" i="6"/>
  <c r="C80" i="6"/>
  <c r="D80" i="6" s="1"/>
  <c r="E80" i="6" s="1"/>
  <c r="J79" i="6"/>
  <c r="I79" i="6"/>
  <c r="G79" i="6"/>
  <c r="F79" i="6"/>
  <c r="C79" i="6"/>
  <c r="D79" i="6" s="1"/>
  <c r="E79" i="6" s="1"/>
  <c r="J78" i="6"/>
  <c r="I78" i="6"/>
  <c r="G78" i="6"/>
  <c r="F78" i="6"/>
  <c r="C78" i="6"/>
  <c r="D78" i="6" s="1"/>
  <c r="E78" i="6" s="1"/>
  <c r="J77" i="6"/>
  <c r="I77" i="6"/>
  <c r="G77" i="6"/>
  <c r="F77" i="6"/>
  <c r="C77" i="6"/>
  <c r="D77" i="6" s="1"/>
  <c r="E77" i="6" s="1"/>
  <c r="J76" i="6"/>
  <c r="I76" i="6"/>
  <c r="G76" i="6"/>
  <c r="F76" i="6"/>
  <c r="C76" i="6"/>
  <c r="D76" i="6" s="1"/>
  <c r="E76" i="6" s="1"/>
  <c r="J75" i="6"/>
  <c r="I75" i="6"/>
  <c r="G75" i="6"/>
  <c r="F75" i="6"/>
  <c r="C75" i="6"/>
  <c r="D75" i="6" s="1"/>
  <c r="E75" i="6" s="1"/>
  <c r="J74" i="6"/>
  <c r="I74" i="6"/>
  <c r="G74" i="6"/>
  <c r="F74" i="6"/>
  <c r="C74" i="6"/>
  <c r="D74" i="6" s="1"/>
  <c r="E74" i="6" s="1"/>
  <c r="J73" i="6"/>
  <c r="I73" i="6"/>
  <c r="G73" i="6"/>
  <c r="F73" i="6"/>
  <c r="C73" i="6"/>
  <c r="D73" i="6" s="1"/>
  <c r="E73" i="6" s="1"/>
  <c r="J72" i="6"/>
  <c r="I72" i="6"/>
  <c r="G72" i="6"/>
  <c r="F72" i="6"/>
  <c r="C72" i="6"/>
  <c r="D72" i="6" s="1"/>
  <c r="E72" i="6" s="1"/>
  <c r="J71" i="6"/>
  <c r="I71" i="6"/>
  <c r="G71" i="6"/>
  <c r="F71" i="6"/>
  <c r="C71" i="6"/>
  <c r="D71" i="6" s="1"/>
  <c r="E71" i="6" s="1"/>
  <c r="J70" i="6"/>
  <c r="I70" i="6"/>
  <c r="G70" i="6"/>
  <c r="F70" i="6"/>
  <c r="C70" i="6"/>
  <c r="D70" i="6" s="1"/>
  <c r="E70" i="6" s="1"/>
  <c r="J69" i="6"/>
  <c r="I69" i="6"/>
  <c r="G69" i="6"/>
  <c r="F69" i="6"/>
  <c r="C69" i="6"/>
  <c r="D69" i="6" s="1"/>
  <c r="E69" i="6" s="1"/>
  <c r="J68" i="6"/>
  <c r="I68" i="6"/>
  <c r="G68" i="6"/>
  <c r="F68" i="6"/>
  <c r="C68" i="6"/>
  <c r="D68" i="6" s="1"/>
  <c r="E68" i="6" s="1"/>
  <c r="J67" i="6"/>
  <c r="I67" i="6"/>
  <c r="G67" i="6"/>
  <c r="F67" i="6"/>
  <c r="C67" i="6"/>
  <c r="D67" i="6" s="1"/>
  <c r="E67" i="6" s="1"/>
  <c r="J66" i="6"/>
  <c r="I66" i="6"/>
  <c r="G66" i="6"/>
  <c r="F66" i="6"/>
  <c r="C66" i="6"/>
  <c r="D66" i="6" s="1"/>
  <c r="E66" i="6" s="1"/>
  <c r="J65" i="6"/>
  <c r="I65" i="6"/>
  <c r="G65" i="6"/>
  <c r="F65" i="6"/>
  <c r="C65" i="6"/>
  <c r="D65" i="6" s="1"/>
  <c r="E65" i="6" s="1"/>
  <c r="J64" i="6"/>
  <c r="I64" i="6"/>
  <c r="G64" i="6"/>
  <c r="F64" i="6"/>
  <c r="C64" i="6"/>
  <c r="D64" i="6" s="1"/>
  <c r="E64" i="6" s="1"/>
  <c r="J63" i="6"/>
  <c r="I63" i="6"/>
  <c r="G63" i="6"/>
  <c r="F63" i="6"/>
  <c r="C63" i="6"/>
  <c r="D63" i="6" s="1"/>
  <c r="E63" i="6" s="1"/>
  <c r="J62" i="6"/>
  <c r="I62" i="6"/>
  <c r="G62" i="6"/>
  <c r="F62" i="6"/>
  <c r="C62" i="6"/>
  <c r="D62" i="6" s="1"/>
  <c r="E62" i="6" s="1"/>
  <c r="J61" i="6"/>
  <c r="I61" i="6"/>
  <c r="G61" i="6"/>
  <c r="F61" i="6"/>
  <c r="C61" i="6"/>
  <c r="D61" i="6" s="1"/>
  <c r="E61" i="6" s="1"/>
  <c r="J60" i="6"/>
  <c r="I60" i="6"/>
  <c r="G60" i="6"/>
  <c r="F60" i="6"/>
  <c r="C60" i="6"/>
  <c r="D60" i="6" s="1"/>
  <c r="E60" i="6" s="1"/>
  <c r="J59" i="6"/>
  <c r="I59" i="6"/>
  <c r="G59" i="6"/>
  <c r="F59" i="6"/>
  <c r="C59" i="6"/>
  <c r="D59" i="6" s="1"/>
  <c r="E59" i="6" s="1"/>
  <c r="J58" i="6"/>
  <c r="I58" i="6"/>
  <c r="G58" i="6"/>
  <c r="F58" i="6"/>
  <c r="C58" i="6"/>
  <c r="D58" i="6" s="1"/>
  <c r="E58" i="6" s="1"/>
  <c r="J57" i="6"/>
  <c r="I57" i="6"/>
  <c r="G57" i="6"/>
  <c r="F57" i="6"/>
  <c r="C57" i="6"/>
  <c r="D57" i="6" s="1"/>
  <c r="E57" i="6" s="1"/>
  <c r="J56" i="6"/>
  <c r="I56" i="6"/>
  <c r="G56" i="6"/>
  <c r="F56" i="6"/>
  <c r="C56" i="6"/>
  <c r="D56" i="6" s="1"/>
  <c r="E56" i="6" s="1"/>
  <c r="J55" i="6"/>
  <c r="I55" i="6"/>
  <c r="G55" i="6"/>
  <c r="F55" i="6"/>
  <c r="C55" i="6"/>
  <c r="D55" i="6" s="1"/>
  <c r="E55" i="6" s="1"/>
  <c r="J54" i="6"/>
  <c r="I54" i="6"/>
  <c r="G54" i="6"/>
  <c r="F54" i="6"/>
  <c r="C54" i="6"/>
  <c r="D54" i="6" s="1"/>
  <c r="E54" i="6" s="1"/>
  <c r="J53" i="6"/>
  <c r="I53" i="6"/>
  <c r="G53" i="6"/>
  <c r="F53" i="6"/>
  <c r="C53" i="6"/>
  <c r="D53" i="6" s="1"/>
  <c r="E53" i="6" s="1"/>
  <c r="J52" i="6"/>
  <c r="I52" i="6"/>
  <c r="G52" i="6"/>
  <c r="F52" i="6"/>
  <c r="C52" i="6"/>
  <c r="D52" i="6" s="1"/>
  <c r="E52" i="6" s="1"/>
  <c r="J51" i="6"/>
  <c r="I51" i="6"/>
  <c r="G51" i="6"/>
  <c r="F51" i="6"/>
  <c r="C51" i="6"/>
  <c r="D51" i="6" s="1"/>
  <c r="E51" i="6" s="1"/>
  <c r="J50" i="6"/>
  <c r="I50" i="6"/>
  <c r="G50" i="6"/>
  <c r="F50" i="6"/>
  <c r="C50" i="6"/>
  <c r="D50" i="6" s="1"/>
  <c r="E50" i="6" s="1"/>
  <c r="J49" i="6"/>
  <c r="I49" i="6"/>
  <c r="G49" i="6"/>
  <c r="F49" i="6"/>
  <c r="C49" i="6"/>
  <c r="D49" i="6" s="1"/>
  <c r="E49" i="6" s="1"/>
  <c r="J48" i="6"/>
  <c r="I48" i="6"/>
  <c r="G48" i="6"/>
  <c r="F48" i="6"/>
  <c r="C48" i="6"/>
  <c r="D48" i="6" s="1"/>
  <c r="E48" i="6" s="1"/>
  <c r="J47" i="6"/>
  <c r="I47" i="6"/>
  <c r="G47" i="6"/>
  <c r="F47" i="6"/>
  <c r="C47" i="6"/>
  <c r="D47" i="6" s="1"/>
  <c r="E47" i="6" s="1"/>
  <c r="J46" i="6"/>
  <c r="I46" i="6"/>
  <c r="G46" i="6"/>
  <c r="F46" i="6"/>
  <c r="C46" i="6"/>
  <c r="D46" i="6" s="1"/>
  <c r="E46" i="6" s="1"/>
  <c r="J45" i="6"/>
  <c r="I45" i="6"/>
  <c r="G45" i="6"/>
  <c r="F45" i="6"/>
  <c r="C45" i="6"/>
  <c r="D45" i="6" s="1"/>
  <c r="E45" i="6" s="1"/>
  <c r="J44" i="6"/>
  <c r="I44" i="6"/>
  <c r="G44" i="6"/>
  <c r="F44" i="6"/>
  <c r="C44" i="6"/>
  <c r="D44" i="6" s="1"/>
  <c r="E44" i="6" s="1"/>
  <c r="J43" i="6"/>
  <c r="I43" i="6"/>
  <c r="G43" i="6"/>
  <c r="F43" i="6"/>
  <c r="C43" i="6"/>
  <c r="D43" i="6" s="1"/>
  <c r="E43" i="6" s="1"/>
  <c r="J42" i="6"/>
  <c r="I42" i="6"/>
  <c r="G42" i="6"/>
  <c r="F42" i="6"/>
  <c r="C42" i="6"/>
  <c r="D42" i="6" s="1"/>
  <c r="E42" i="6" s="1"/>
  <c r="J41" i="6"/>
  <c r="I41" i="6"/>
  <c r="G41" i="6"/>
  <c r="F41" i="6"/>
  <c r="C41" i="6"/>
  <c r="D41" i="6" s="1"/>
  <c r="E41" i="6" s="1"/>
  <c r="J40" i="6"/>
  <c r="I40" i="6"/>
  <c r="G40" i="6"/>
  <c r="F40" i="6"/>
  <c r="C40" i="6"/>
  <c r="D40" i="6" s="1"/>
  <c r="E40" i="6" s="1"/>
  <c r="J39" i="6"/>
  <c r="I39" i="6"/>
  <c r="G39" i="6"/>
  <c r="F39" i="6"/>
  <c r="C39" i="6"/>
  <c r="D39" i="6" s="1"/>
  <c r="E39" i="6" s="1"/>
  <c r="J38" i="6"/>
  <c r="I38" i="6"/>
  <c r="G38" i="6"/>
  <c r="F38" i="6"/>
  <c r="C38" i="6"/>
  <c r="D38" i="6" s="1"/>
  <c r="E38" i="6" s="1"/>
  <c r="J37" i="6"/>
  <c r="I37" i="6"/>
  <c r="G37" i="6"/>
  <c r="F37" i="6"/>
  <c r="C37" i="6"/>
  <c r="D37" i="6" s="1"/>
  <c r="E37" i="6" s="1"/>
  <c r="J36" i="6"/>
  <c r="I36" i="6"/>
  <c r="G36" i="6"/>
  <c r="F36" i="6"/>
  <c r="C36" i="6"/>
  <c r="D36" i="6" s="1"/>
  <c r="E36" i="6" s="1"/>
  <c r="J35" i="6"/>
  <c r="I35" i="6"/>
  <c r="G35" i="6"/>
  <c r="F35" i="6"/>
  <c r="C35" i="6"/>
  <c r="D35" i="6" s="1"/>
  <c r="E35" i="6" s="1"/>
  <c r="J34" i="6"/>
  <c r="I34" i="6"/>
  <c r="G34" i="6"/>
  <c r="F34" i="6"/>
  <c r="C34" i="6"/>
  <c r="D34" i="6" s="1"/>
  <c r="E34" i="6" s="1"/>
  <c r="J33" i="6"/>
  <c r="I33" i="6"/>
  <c r="G33" i="6"/>
  <c r="F33" i="6"/>
  <c r="C33" i="6"/>
  <c r="D33" i="6" s="1"/>
  <c r="E33" i="6" s="1"/>
  <c r="J32" i="6"/>
  <c r="I32" i="6"/>
  <c r="G32" i="6"/>
  <c r="F32" i="6"/>
  <c r="C32" i="6"/>
  <c r="D32" i="6" s="1"/>
  <c r="E32" i="6" s="1"/>
  <c r="J31" i="6"/>
  <c r="I31" i="6"/>
  <c r="G31" i="6"/>
  <c r="F31" i="6"/>
  <c r="C31" i="6"/>
  <c r="D31" i="6" s="1"/>
  <c r="E31" i="6" s="1"/>
  <c r="J30" i="6"/>
  <c r="I30" i="6"/>
  <c r="G30" i="6"/>
  <c r="F30" i="6"/>
  <c r="C30" i="6"/>
  <c r="D30" i="6" s="1"/>
  <c r="E30" i="6" s="1"/>
  <c r="J29" i="6"/>
  <c r="I29" i="6"/>
  <c r="G29" i="6"/>
  <c r="F29" i="6"/>
  <c r="C29" i="6"/>
  <c r="D29" i="6" s="1"/>
  <c r="E29" i="6" s="1"/>
  <c r="J28" i="6"/>
  <c r="I28" i="6"/>
  <c r="G28" i="6"/>
  <c r="F28" i="6"/>
  <c r="C28" i="6"/>
  <c r="D28" i="6" s="1"/>
  <c r="E28" i="6" s="1"/>
  <c r="J27" i="6"/>
  <c r="I27" i="6"/>
  <c r="G27" i="6"/>
  <c r="F27" i="6"/>
  <c r="C27" i="6"/>
  <c r="D27" i="6" s="1"/>
  <c r="E27" i="6" s="1"/>
  <c r="J26" i="6"/>
  <c r="I26" i="6"/>
  <c r="G26" i="6"/>
  <c r="F26" i="6"/>
  <c r="C26" i="6"/>
  <c r="D26" i="6" s="1"/>
  <c r="E26" i="6" s="1"/>
  <c r="J25" i="6"/>
  <c r="I25" i="6"/>
  <c r="G25" i="6"/>
  <c r="F25" i="6"/>
  <c r="C25" i="6"/>
  <c r="D25" i="6" s="1"/>
  <c r="E25" i="6" s="1"/>
  <c r="J24" i="6"/>
  <c r="I24" i="6"/>
  <c r="G24" i="6"/>
  <c r="F24" i="6"/>
  <c r="C24" i="6"/>
  <c r="D24" i="6" s="1"/>
  <c r="E24" i="6" s="1"/>
  <c r="J23" i="6"/>
  <c r="I23" i="6"/>
  <c r="G23" i="6"/>
  <c r="F23" i="6"/>
  <c r="C23" i="6"/>
  <c r="D23" i="6" s="1"/>
  <c r="E23" i="6" s="1"/>
  <c r="J22" i="6"/>
  <c r="I22" i="6"/>
  <c r="G22" i="6"/>
  <c r="F22" i="6"/>
  <c r="C22" i="6"/>
  <c r="D22" i="6" s="1"/>
  <c r="E22" i="6" s="1"/>
  <c r="J18" i="6"/>
  <c r="J17" i="6"/>
  <c r="J16" i="6"/>
  <c r="J15" i="6"/>
  <c r="J14" i="6"/>
  <c r="J13" i="6"/>
  <c r="J12" i="6"/>
  <c r="J11" i="6"/>
  <c r="J10" i="6"/>
  <c r="J8" i="6"/>
  <c r="J7" i="6"/>
  <c r="C18" i="5"/>
  <c r="C14" i="5"/>
  <c r="C15" i="5" s="1"/>
  <c r="C13" i="5"/>
  <c r="C9" i="5"/>
  <c r="C10" i="5" s="1"/>
  <c r="C6" i="5"/>
  <c r="C28" i="4"/>
  <c r="C25" i="4"/>
  <c r="C24" i="4"/>
  <c r="C22" i="4"/>
  <c r="C23" i="4" s="1"/>
  <c r="C20" i="4"/>
  <c r="C19" i="4"/>
  <c r="C15" i="4"/>
  <c r="C12" i="4"/>
  <c r="C11" i="4"/>
  <c r="C6" i="4"/>
  <c r="C7" i="4" s="1"/>
  <c r="C8" i="4" s="1"/>
  <c r="C15" i="3"/>
  <c r="C16" i="3" s="1"/>
  <c r="C17" i="3" s="1"/>
  <c r="C18" i="3" s="1"/>
  <c r="C12" i="3"/>
  <c r="C16" i="4" s="1"/>
  <c r="C11" i="3"/>
  <c r="C10" i="3"/>
  <c r="C7" i="3"/>
  <c r="C6" i="3"/>
  <c r="S7" i="6" l="1"/>
  <c r="S9" i="6"/>
  <c r="S8" i="6"/>
  <c r="H1010" i="6"/>
  <c r="H354" i="6"/>
  <c r="H770" i="6"/>
  <c r="H1106" i="6"/>
  <c r="H1713" i="6"/>
  <c r="H1310" i="6"/>
  <c r="H670" i="6"/>
  <c r="H478" i="6"/>
  <c r="H1281" i="6"/>
  <c r="H1300" i="6"/>
  <c r="H53" i="6"/>
  <c r="H398" i="6"/>
  <c r="H609" i="6"/>
  <c r="H1811" i="6"/>
  <c r="H1630" i="6"/>
  <c r="K1831" i="6"/>
  <c r="H1838" i="6"/>
  <c r="K1879" i="6"/>
  <c r="H2014" i="6"/>
  <c r="H1658" i="6"/>
  <c r="H1762" i="6"/>
  <c r="H943" i="6"/>
  <c r="H1290" i="6"/>
  <c r="H1370" i="6"/>
  <c r="H1141" i="6"/>
  <c r="H1498" i="6"/>
  <c r="H664" i="6"/>
  <c r="H1653" i="6"/>
  <c r="K1806" i="6"/>
  <c r="H1813" i="6"/>
  <c r="H1058" i="6"/>
  <c r="H1298" i="6"/>
  <c r="H1970" i="6"/>
  <c r="H2002" i="6"/>
  <c r="H34" i="6"/>
  <c r="K872" i="6"/>
  <c r="K936" i="6"/>
  <c r="K1032" i="6"/>
  <c r="K1544" i="6"/>
  <c r="K1592" i="6"/>
  <c r="H1711" i="6"/>
  <c r="K1816" i="6"/>
  <c r="H612" i="6"/>
  <c r="H171" i="6"/>
  <c r="K596" i="6"/>
  <c r="H699" i="6"/>
  <c r="H782" i="6"/>
  <c r="H795" i="6"/>
  <c r="K852" i="6"/>
  <c r="K884" i="6"/>
  <c r="H396" i="6"/>
  <c r="H105" i="6"/>
  <c r="H249" i="6"/>
  <c r="H969" i="6"/>
  <c r="H182" i="6"/>
  <c r="H1533" i="6"/>
  <c r="H1237" i="6"/>
  <c r="K808" i="6"/>
  <c r="H780" i="6"/>
  <c r="H160" i="6"/>
  <c r="H1424" i="6"/>
  <c r="H1736" i="6"/>
  <c r="H366" i="6"/>
  <c r="H1615" i="6"/>
  <c r="H252" i="6"/>
  <c r="H668" i="6"/>
  <c r="H700" i="6"/>
  <c r="H732" i="6"/>
  <c r="H2018" i="6"/>
  <c r="K892" i="6"/>
  <c r="H1098" i="6"/>
  <c r="H1258" i="6"/>
  <c r="H744" i="6"/>
  <c r="H1288" i="6"/>
  <c r="H1145" i="6"/>
  <c r="H838" i="6"/>
  <c r="H349" i="6"/>
  <c r="H576" i="6"/>
  <c r="H1021" i="6"/>
  <c r="H1389" i="6"/>
  <c r="H122" i="6"/>
  <c r="K611" i="6"/>
  <c r="H698" i="6"/>
  <c r="K803" i="6"/>
  <c r="H1002" i="6"/>
  <c r="H1130" i="6"/>
  <c r="H1680" i="6"/>
  <c r="K704" i="6"/>
  <c r="H919" i="6"/>
  <c r="K1088" i="6"/>
  <c r="H1255" i="6"/>
  <c r="H1559" i="6"/>
  <c r="H1930" i="6"/>
  <c r="H1172" i="6"/>
  <c r="H468" i="6"/>
  <c r="H945" i="6"/>
  <c r="H1051" i="6"/>
  <c r="K1124" i="6"/>
  <c r="H1454" i="6"/>
  <c r="H459" i="6"/>
  <c r="H811" i="6"/>
  <c r="H891" i="6"/>
  <c r="H1029" i="6"/>
  <c r="H371" i="6"/>
  <c r="H387" i="6"/>
  <c r="H112" i="6"/>
  <c r="K441" i="6"/>
  <c r="H464" i="6"/>
  <c r="K502" i="6"/>
  <c r="H813" i="6"/>
  <c r="K493" i="6"/>
  <c r="K525" i="6"/>
  <c r="H647" i="6"/>
  <c r="H1316" i="6"/>
  <c r="H1332" i="6"/>
  <c r="H1940" i="6"/>
  <c r="H977" i="6"/>
  <c r="H328" i="6"/>
  <c r="H536" i="6"/>
  <c r="H728" i="6"/>
  <c r="H681" i="6"/>
  <c r="K690" i="6"/>
  <c r="H1161" i="6"/>
  <c r="H1865" i="6"/>
  <c r="H1929" i="6"/>
  <c r="H1977" i="6"/>
  <c r="K255" i="6"/>
  <c r="K511" i="6"/>
  <c r="K73" i="6"/>
  <c r="K137" i="6"/>
  <c r="K2000" i="6"/>
  <c r="H2007" i="6"/>
  <c r="H480" i="6"/>
  <c r="H532" i="6"/>
  <c r="H596" i="6"/>
  <c r="K110" i="6"/>
  <c r="H309" i="6"/>
  <c r="H501" i="6"/>
  <c r="K510" i="6"/>
  <c r="K574" i="6"/>
  <c r="H584" i="6"/>
  <c r="H872" i="6"/>
  <c r="H1227" i="6"/>
  <c r="H1560" i="6"/>
  <c r="K34" i="6"/>
  <c r="K66" i="6"/>
  <c r="K98" i="6"/>
  <c r="K146" i="6"/>
  <c r="H268" i="6"/>
  <c r="H332" i="6"/>
  <c r="K613" i="6"/>
  <c r="H1420" i="6"/>
  <c r="H1532" i="6"/>
  <c r="H1996" i="6"/>
  <c r="K2021" i="6"/>
  <c r="K236" i="6"/>
  <c r="H243" i="6"/>
  <c r="K380" i="6"/>
  <c r="H403" i="6"/>
  <c r="K444" i="6"/>
  <c r="K540" i="6"/>
  <c r="H902" i="6"/>
  <c r="H966" i="6"/>
  <c r="K1775" i="6"/>
  <c r="K1900" i="6"/>
  <c r="H384" i="6"/>
  <c r="H896" i="6"/>
  <c r="H1133" i="6"/>
  <c r="H1837" i="6"/>
  <c r="H830" i="6"/>
  <c r="H1365" i="6"/>
  <c r="H1618" i="6"/>
  <c r="H500" i="6"/>
  <c r="H506" i="6"/>
  <c r="H564" i="6"/>
  <c r="H855" i="6"/>
  <c r="K976" i="6"/>
  <c r="H598" i="6"/>
  <c r="H33" i="6"/>
  <c r="H36" i="6"/>
  <c r="H49" i="6"/>
  <c r="H52" i="6"/>
  <c r="H145" i="6"/>
  <c r="K234" i="6"/>
  <c r="K250" i="6"/>
  <c r="K298" i="6"/>
  <c r="H369" i="6"/>
  <c r="H417" i="6"/>
  <c r="H433" i="6"/>
  <c r="K685" i="6"/>
  <c r="K701" i="6"/>
  <c r="H756" i="6"/>
  <c r="K813" i="6"/>
  <c r="H820" i="6"/>
  <c r="H871" i="6"/>
  <c r="H1140" i="6"/>
  <c r="K1149" i="6"/>
  <c r="H1303" i="6"/>
  <c r="K1421" i="6"/>
  <c r="H1511" i="6"/>
  <c r="H1604" i="6"/>
  <c r="H1137" i="6"/>
  <c r="H1169" i="6"/>
  <c r="H1201" i="6"/>
  <c r="K1290" i="6"/>
  <c r="H1329" i="6"/>
  <c r="H1659" i="6"/>
  <c r="H1995" i="6"/>
  <c r="H504" i="6"/>
  <c r="K43" i="6"/>
  <c r="H98" i="6"/>
  <c r="H130" i="6"/>
  <c r="K171" i="6"/>
  <c r="K187" i="6"/>
  <c r="K267" i="6"/>
  <c r="K475" i="6"/>
  <c r="H1381" i="6"/>
  <c r="H1528" i="6"/>
  <c r="H1643" i="6"/>
  <c r="H1848" i="6"/>
  <c r="H1896" i="6"/>
  <c r="K1937" i="6"/>
  <c r="H1740" i="6"/>
  <c r="K1842" i="6"/>
  <c r="K1938" i="6"/>
  <c r="H1993" i="6"/>
  <c r="H1676" i="6"/>
  <c r="H1913" i="6"/>
  <c r="H1976" i="6"/>
  <c r="K211" i="6"/>
  <c r="H237" i="6"/>
  <c r="H298" i="6"/>
  <c r="K451" i="6"/>
  <c r="K467" i="6"/>
  <c r="H749" i="6"/>
  <c r="H797" i="6"/>
  <c r="H1357" i="6"/>
  <c r="K1513" i="6"/>
  <c r="K1529" i="6"/>
  <c r="H1648" i="6"/>
  <c r="H1795" i="6"/>
  <c r="H1856" i="6"/>
  <c r="H1939" i="6"/>
  <c r="H2000" i="6"/>
  <c r="K1155" i="6"/>
  <c r="H906" i="6"/>
  <c r="H1178" i="6"/>
  <c r="H1517" i="6"/>
  <c r="K1971" i="6"/>
  <c r="H1997" i="6"/>
  <c r="H1359" i="6"/>
  <c r="H1455" i="6"/>
  <c r="H430" i="6"/>
  <c r="K487" i="6"/>
  <c r="K567" i="6"/>
  <c r="H574" i="6"/>
  <c r="H577" i="6"/>
  <c r="H641" i="6"/>
  <c r="H673" i="6"/>
  <c r="H1025" i="6"/>
  <c r="H1524" i="6"/>
  <c r="H1959" i="6"/>
  <c r="H741" i="6"/>
  <c r="H1138" i="6"/>
  <c r="H793" i="6"/>
  <c r="H487" i="6"/>
  <c r="K84" i="6"/>
  <c r="K212" i="6"/>
  <c r="K228" i="6"/>
  <c r="K244" i="6"/>
  <c r="H267" i="6"/>
  <c r="K276" i="6"/>
  <c r="H315" i="6"/>
  <c r="K356" i="6"/>
  <c r="K452" i="6"/>
  <c r="K615" i="6"/>
  <c r="K631" i="6"/>
  <c r="H638" i="6"/>
  <c r="H686" i="6"/>
  <c r="H734" i="6"/>
  <c r="H785" i="6"/>
  <c r="H862" i="6"/>
  <c r="K871" i="6"/>
  <c r="K903" i="6"/>
  <c r="H996" i="6"/>
  <c r="K1031" i="6"/>
  <c r="H1038" i="6"/>
  <c r="K1063" i="6"/>
  <c r="H1198" i="6"/>
  <c r="K1271" i="6"/>
  <c r="H1652" i="6"/>
  <c r="H1745" i="6"/>
  <c r="H1761" i="6"/>
  <c r="H1908" i="6"/>
  <c r="H1292" i="6"/>
  <c r="H1912" i="6"/>
  <c r="H103" i="6"/>
  <c r="K237" i="6"/>
  <c r="K269" i="6"/>
  <c r="K333" i="6"/>
  <c r="H343" i="6"/>
  <c r="H372" i="6"/>
  <c r="H378" i="6"/>
  <c r="K461" i="6"/>
  <c r="K477" i="6"/>
  <c r="K480" i="6"/>
  <c r="H672" i="6"/>
  <c r="H720" i="6"/>
  <c r="H768" i="6"/>
  <c r="H944" i="6"/>
  <c r="H979" i="6"/>
  <c r="K1148" i="6"/>
  <c r="K1196" i="6"/>
  <c r="H1219" i="6"/>
  <c r="H1238" i="6"/>
  <c r="H1299" i="6"/>
  <c r="H1641" i="6"/>
  <c r="H1768" i="6"/>
  <c r="H1794" i="6"/>
  <c r="H1880" i="6"/>
  <c r="H1402" i="6"/>
  <c r="K1411" i="6"/>
  <c r="H1469" i="6"/>
  <c r="H1549" i="6"/>
  <c r="K1571" i="6"/>
  <c r="K1635" i="6"/>
  <c r="H1696" i="6"/>
  <c r="H1715" i="6"/>
  <c r="K1756" i="6"/>
  <c r="K1919" i="6"/>
  <c r="H1283" i="6"/>
  <c r="H1980" i="6"/>
  <c r="H251" i="6"/>
  <c r="H1306" i="6"/>
  <c r="H1418" i="6"/>
  <c r="H801" i="6"/>
  <c r="H955" i="6"/>
  <c r="H1875" i="6"/>
  <c r="H168" i="6"/>
  <c r="K117" i="6"/>
  <c r="H124" i="6"/>
  <c r="H204" i="6"/>
  <c r="H460" i="6"/>
  <c r="H479" i="6"/>
  <c r="K670" i="6"/>
  <c r="H792" i="6"/>
  <c r="H856" i="6"/>
  <c r="H859" i="6"/>
  <c r="H1016" i="6"/>
  <c r="H1035" i="6"/>
  <c r="K1380" i="6"/>
  <c r="K1415" i="6"/>
  <c r="H1457" i="6"/>
  <c r="K1530" i="6"/>
  <c r="H1556" i="6"/>
  <c r="H1601" i="6"/>
  <c r="H1649" i="6"/>
  <c r="H1684" i="6"/>
  <c r="K1693" i="6"/>
  <c r="H1213" i="6"/>
  <c r="H297" i="6"/>
  <c r="K370" i="6"/>
  <c r="K418" i="6"/>
  <c r="H425" i="6"/>
  <c r="H457" i="6"/>
  <c r="K501" i="6"/>
  <c r="K517" i="6"/>
  <c r="K718" i="6"/>
  <c r="K1313" i="6"/>
  <c r="K1345" i="6"/>
  <c r="K1377" i="6"/>
  <c r="H1467" i="6"/>
  <c r="H1879" i="6"/>
  <c r="H505" i="6"/>
  <c r="H834" i="6"/>
  <c r="H978" i="6"/>
  <c r="K1019" i="6"/>
  <c r="K1409" i="6"/>
  <c r="K1457" i="6"/>
  <c r="K1652" i="6"/>
  <c r="H1697" i="6"/>
  <c r="K1631" i="6"/>
  <c r="H1660" i="6"/>
  <c r="K554" i="6"/>
  <c r="H893" i="6"/>
  <c r="H1261" i="6"/>
  <c r="H526" i="6"/>
  <c r="H265" i="6"/>
  <c r="H240" i="6"/>
  <c r="H1301" i="6"/>
  <c r="H1927" i="6"/>
  <c r="H390" i="6"/>
  <c r="H96" i="6"/>
  <c r="H176" i="6"/>
  <c r="H109" i="6"/>
  <c r="K214" i="6"/>
  <c r="H285" i="6"/>
  <c r="H477" i="6"/>
  <c r="H985" i="6"/>
  <c r="H1605" i="6"/>
  <c r="H1902" i="6"/>
  <c r="H1111" i="6"/>
  <c r="H1226" i="6"/>
  <c r="H213" i="6"/>
  <c r="H549" i="6"/>
  <c r="H769" i="6"/>
  <c r="H66" i="6"/>
  <c r="H223" i="6"/>
  <c r="H229" i="6"/>
  <c r="H261" i="6"/>
  <c r="H335" i="6"/>
  <c r="K360" i="6"/>
  <c r="H415" i="6"/>
  <c r="H498" i="6"/>
  <c r="K555" i="6"/>
  <c r="H562" i="6"/>
  <c r="H581" i="6"/>
  <c r="H616" i="6"/>
  <c r="H766" i="6"/>
  <c r="H833" i="6"/>
  <c r="K842" i="6"/>
  <c r="H964" i="6"/>
  <c r="K1021" i="6"/>
  <c r="H1034" i="6"/>
  <c r="K1101" i="6"/>
  <c r="H1124" i="6"/>
  <c r="H1271" i="6"/>
  <c r="K1280" i="6"/>
  <c r="H1319" i="6"/>
  <c r="K1542" i="6"/>
  <c r="K1574" i="6"/>
  <c r="H1645" i="6"/>
  <c r="H1769" i="6"/>
  <c r="K1794" i="6"/>
  <c r="K1864" i="6"/>
  <c r="H1906" i="6"/>
  <c r="H1960" i="6"/>
  <c r="K1575" i="6"/>
  <c r="H1633" i="6"/>
  <c r="H1776" i="6"/>
  <c r="K1862" i="6"/>
  <c r="H1945" i="6"/>
  <c r="H901" i="6"/>
  <c r="H1617" i="6"/>
  <c r="H23" i="6"/>
  <c r="H39" i="6"/>
  <c r="K115" i="6"/>
  <c r="H170" i="6"/>
  <c r="H445" i="6"/>
  <c r="H458" i="6"/>
  <c r="H1077" i="6"/>
  <c r="K1166" i="6"/>
  <c r="H1189" i="6"/>
  <c r="H1833" i="6"/>
  <c r="H377" i="6"/>
  <c r="H1131" i="6"/>
  <c r="K1239" i="6"/>
  <c r="H1846" i="6"/>
  <c r="K61" i="6"/>
  <c r="K96" i="6"/>
  <c r="K112" i="6"/>
  <c r="H135" i="6"/>
  <c r="K176" i="6"/>
  <c r="K192" i="6"/>
  <c r="K336" i="6"/>
  <c r="K352" i="6"/>
  <c r="H391" i="6"/>
  <c r="H439" i="6"/>
  <c r="H442" i="6"/>
  <c r="K448" i="6"/>
  <c r="K464" i="6"/>
  <c r="H474" i="6"/>
  <c r="K483" i="6"/>
  <c r="H490" i="6"/>
  <c r="K515" i="6"/>
  <c r="H522" i="6"/>
  <c r="H570" i="6"/>
  <c r="K751" i="6"/>
  <c r="H758" i="6"/>
  <c r="K767" i="6"/>
  <c r="K799" i="6"/>
  <c r="H857" i="6"/>
  <c r="H873" i="6"/>
  <c r="K898" i="6"/>
  <c r="K901" i="6"/>
  <c r="K1093" i="6"/>
  <c r="K1160" i="6"/>
  <c r="H1218" i="6"/>
  <c r="H1263" i="6"/>
  <c r="H1279" i="6"/>
  <c r="H1330" i="6"/>
  <c r="H1637" i="6"/>
  <c r="H1694" i="6"/>
  <c r="K1955" i="6"/>
  <c r="H1744" i="6"/>
  <c r="H878" i="6"/>
  <c r="H1814" i="6"/>
  <c r="H1830" i="6"/>
  <c r="H637" i="6"/>
  <c r="H653" i="6"/>
  <c r="K847" i="6"/>
  <c r="K879" i="6"/>
  <c r="K895" i="6"/>
  <c r="H988" i="6"/>
  <c r="K1007" i="6"/>
  <c r="K1074" i="6"/>
  <c r="K1301" i="6"/>
  <c r="H1372" i="6"/>
  <c r="H1471" i="6"/>
  <c r="K1745" i="6"/>
  <c r="K1351" i="6"/>
  <c r="H68" i="6"/>
  <c r="K103" i="6"/>
  <c r="H190" i="6"/>
  <c r="H206" i="6"/>
  <c r="H238" i="6"/>
  <c r="K375" i="6"/>
  <c r="H382" i="6"/>
  <c r="H503" i="6"/>
  <c r="H516" i="6"/>
  <c r="H669" i="6"/>
  <c r="K937" i="6"/>
  <c r="K1100" i="6"/>
  <c r="H1158" i="6"/>
  <c r="K1199" i="6"/>
  <c r="K1263" i="6"/>
  <c r="K1704" i="6"/>
  <c r="K1828" i="6"/>
  <c r="K1949" i="6"/>
  <c r="H2013" i="6"/>
  <c r="K354" i="6"/>
  <c r="H283" i="6"/>
  <c r="H331" i="6"/>
  <c r="H363" i="6"/>
  <c r="H746" i="6"/>
  <c r="H957" i="6"/>
  <c r="H1011" i="6"/>
  <c r="H1139" i="6"/>
  <c r="H1251" i="6"/>
  <c r="H1513" i="6"/>
  <c r="H1956" i="6"/>
  <c r="H1991" i="6"/>
  <c r="H1083" i="6"/>
  <c r="H1476" i="6"/>
  <c r="H1492" i="6"/>
  <c r="H1572" i="6"/>
  <c r="H147" i="6"/>
  <c r="H144" i="6"/>
  <c r="K65" i="6"/>
  <c r="K97" i="6"/>
  <c r="K113" i="6"/>
  <c r="K129" i="6"/>
  <c r="K193" i="6"/>
  <c r="K209" i="6"/>
  <c r="K257" i="6"/>
  <c r="K337" i="6"/>
  <c r="K634" i="6"/>
  <c r="K682" i="6"/>
  <c r="H689" i="6"/>
  <c r="H1056" i="6"/>
  <c r="K1062" i="6"/>
  <c r="K1308" i="6"/>
  <c r="H1446" i="6"/>
  <c r="K1538" i="6"/>
  <c r="H1574" i="6"/>
  <c r="K1886" i="6"/>
  <c r="H1893" i="6"/>
  <c r="H1934" i="6"/>
  <c r="H1947" i="6"/>
  <c r="H1603" i="6"/>
  <c r="H1729" i="6"/>
  <c r="K1757" i="6"/>
  <c r="H1998" i="6"/>
  <c r="K2004" i="6"/>
  <c r="K2020" i="6"/>
  <c r="H779" i="6"/>
  <c r="H1015" i="6"/>
  <c r="H1167" i="6"/>
  <c r="H1345" i="6"/>
  <c r="H1485" i="6"/>
  <c r="K109" i="6"/>
  <c r="H164" i="6"/>
  <c r="H256" i="6"/>
  <c r="K259" i="6"/>
  <c r="H266" i="6"/>
  <c r="K275" i="6"/>
  <c r="H282" i="6"/>
  <c r="K291" i="6"/>
  <c r="H346" i="6"/>
  <c r="H416" i="6"/>
  <c r="K422" i="6"/>
  <c r="H528" i="6"/>
  <c r="H709" i="6"/>
  <c r="H776" i="6"/>
  <c r="K861" i="6"/>
  <c r="K874" i="6"/>
  <c r="H916" i="6"/>
  <c r="H1082" i="6"/>
  <c r="H1091" i="6"/>
  <c r="H1101" i="6"/>
  <c r="H1107" i="6"/>
  <c r="H1154" i="6"/>
  <c r="H1186" i="6"/>
  <c r="K1233" i="6"/>
  <c r="H1256" i="6"/>
  <c r="H1390" i="6"/>
  <c r="H1393" i="6"/>
  <c r="H1425" i="6"/>
  <c r="K1577" i="6"/>
  <c r="K1694" i="6"/>
  <c r="K1754" i="6"/>
  <c r="K1792" i="6"/>
  <c r="K1795" i="6"/>
  <c r="H1805" i="6"/>
  <c r="H1859" i="6"/>
  <c r="K1884" i="6"/>
  <c r="H1916" i="6"/>
  <c r="H1951" i="6"/>
  <c r="H1973" i="6"/>
  <c r="H666" i="6"/>
  <c r="H675" i="6"/>
  <c r="K754" i="6"/>
  <c r="H761" i="6"/>
  <c r="K859" i="6"/>
  <c r="H866" i="6"/>
  <c r="K875" i="6"/>
  <c r="H882" i="6"/>
  <c r="H885" i="6"/>
  <c r="H968" i="6"/>
  <c r="H981" i="6"/>
  <c r="K1006" i="6"/>
  <c r="H1013" i="6"/>
  <c r="K1095" i="6"/>
  <c r="K1174" i="6"/>
  <c r="H1181" i="6"/>
  <c r="H1222" i="6"/>
  <c r="H1273" i="6"/>
  <c r="H1289" i="6"/>
  <c r="H1327" i="6"/>
  <c r="H1553" i="6"/>
  <c r="K1578" i="6"/>
  <c r="H1629" i="6"/>
  <c r="K1632" i="6"/>
  <c r="H1686" i="6"/>
  <c r="H1834" i="6"/>
  <c r="K2002" i="6"/>
  <c r="H1872" i="6"/>
  <c r="H1060" i="6"/>
  <c r="K1390" i="6"/>
  <c r="H1885" i="6"/>
  <c r="H302" i="6"/>
  <c r="H497" i="6"/>
  <c r="H1987" i="6"/>
  <c r="H180" i="6"/>
  <c r="H974" i="6"/>
  <c r="H1932" i="6"/>
  <c r="H1371" i="6"/>
  <c r="H1470" i="6"/>
  <c r="H44" i="6"/>
  <c r="H50" i="6"/>
  <c r="H60" i="6"/>
  <c r="K104" i="6"/>
  <c r="K120" i="6"/>
  <c r="H127" i="6"/>
  <c r="K168" i="6"/>
  <c r="K184" i="6"/>
  <c r="K235" i="6"/>
  <c r="H325" i="6"/>
  <c r="H414" i="6"/>
  <c r="K417" i="6"/>
  <c r="H443" i="6"/>
  <c r="H558" i="6"/>
  <c r="H723" i="6"/>
  <c r="K726" i="6"/>
  <c r="K821" i="6"/>
  <c r="H841" i="6"/>
  <c r="H924" i="6"/>
  <c r="H1026" i="6"/>
  <c r="K1038" i="6"/>
  <c r="H1042" i="6"/>
  <c r="H1118" i="6"/>
  <c r="H1159" i="6"/>
  <c r="H1162" i="6"/>
  <c r="H1216" i="6"/>
  <c r="H1232" i="6"/>
  <c r="H1267" i="6"/>
  <c r="H1426" i="6"/>
  <c r="K1464" i="6"/>
  <c r="H1582" i="6"/>
  <c r="K1588" i="6"/>
  <c r="K1591" i="6"/>
  <c r="H1611" i="6"/>
  <c r="H1639" i="6"/>
  <c r="K1642" i="6"/>
  <c r="K1645" i="6"/>
  <c r="K1673" i="6"/>
  <c r="K1708" i="6"/>
  <c r="H1388" i="6"/>
  <c r="H940" i="6"/>
  <c r="H1156" i="6"/>
  <c r="K1216" i="6"/>
  <c r="K1270" i="6"/>
  <c r="K1273" i="6"/>
  <c r="H1280" i="6"/>
  <c r="H1395" i="6"/>
  <c r="H1525" i="6"/>
  <c r="H1547" i="6"/>
  <c r="H1646" i="6"/>
  <c r="K1661" i="6"/>
  <c r="H1709" i="6"/>
  <c r="K1718" i="6"/>
  <c r="K1762" i="6"/>
  <c r="H1851" i="6"/>
  <c r="K1930" i="6"/>
  <c r="H1417" i="6"/>
  <c r="H1576" i="6"/>
  <c r="H154" i="6"/>
  <c r="H1840" i="6"/>
  <c r="H1727" i="6"/>
  <c r="H663" i="6"/>
  <c r="K736" i="6"/>
  <c r="H195" i="6"/>
  <c r="K223" i="6"/>
  <c r="K242" i="6"/>
  <c r="K258" i="6"/>
  <c r="H284" i="6"/>
  <c r="K290" i="6"/>
  <c r="K373" i="6"/>
  <c r="K389" i="6"/>
  <c r="K437" i="6"/>
  <c r="K587" i="6"/>
  <c r="K733" i="6"/>
  <c r="K752" i="6"/>
  <c r="H778" i="6"/>
  <c r="K889" i="6"/>
  <c r="H998" i="6"/>
  <c r="H1033" i="6"/>
  <c r="H1344" i="6"/>
  <c r="K1452" i="6"/>
  <c r="H1465" i="6"/>
  <c r="H1570" i="6"/>
  <c r="K1854" i="6"/>
  <c r="H1874" i="6"/>
  <c r="H840" i="6"/>
  <c r="K1625" i="6"/>
  <c r="K1957" i="6"/>
  <c r="H321" i="6"/>
  <c r="H107" i="6"/>
  <c r="H64" i="6"/>
  <c r="H227" i="6"/>
  <c r="H762" i="6"/>
  <c r="H772" i="6"/>
  <c r="H842" i="6"/>
  <c r="K985" i="6"/>
  <c r="K1090" i="6"/>
  <c r="H1274" i="6"/>
  <c r="K1296" i="6"/>
  <c r="K1331" i="6"/>
  <c r="H1551" i="6"/>
  <c r="K1605" i="6"/>
  <c r="H1656" i="6"/>
  <c r="H1706" i="6"/>
  <c r="K1750" i="6"/>
  <c r="K1994" i="6"/>
  <c r="H636" i="6"/>
  <c r="K39" i="6"/>
  <c r="K55" i="6"/>
  <c r="K1789" i="6"/>
  <c r="K932" i="6"/>
  <c r="H1387" i="6"/>
  <c r="K1555" i="6"/>
  <c r="K1830" i="6"/>
  <c r="H624" i="6"/>
  <c r="H1397" i="6"/>
  <c r="H517" i="6"/>
  <c r="H937" i="6"/>
  <c r="K35" i="6"/>
  <c r="H157" i="6"/>
  <c r="H189" i="6"/>
  <c r="K217" i="6"/>
  <c r="H224" i="6"/>
  <c r="H259" i="6"/>
  <c r="K268" i="6"/>
  <c r="H278" i="6"/>
  <c r="H291" i="6"/>
  <c r="H307" i="6"/>
  <c r="K351" i="6"/>
  <c r="K367" i="6"/>
  <c r="H393" i="6"/>
  <c r="K431" i="6"/>
  <c r="H441" i="6"/>
  <c r="H454" i="6"/>
  <c r="K482" i="6"/>
  <c r="H495" i="6"/>
  <c r="K514" i="6"/>
  <c r="H597" i="6"/>
  <c r="K600" i="6"/>
  <c r="K619" i="6"/>
  <c r="H658" i="6"/>
  <c r="K689" i="6"/>
  <c r="K708" i="6"/>
  <c r="H753" i="6"/>
  <c r="K794" i="6"/>
  <c r="H804" i="6"/>
  <c r="H810" i="6"/>
  <c r="H839" i="6"/>
  <c r="H858" i="6"/>
  <c r="H909" i="6"/>
  <c r="H1040" i="6"/>
  <c r="H1214" i="6"/>
  <c r="K1312" i="6"/>
  <c r="H1405" i="6"/>
  <c r="H1440" i="6"/>
  <c r="H1459" i="6"/>
  <c r="H1545" i="6"/>
  <c r="K1570" i="6"/>
  <c r="H1577" i="6"/>
  <c r="K1624" i="6"/>
  <c r="K1665" i="6"/>
  <c r="K1722" i="6"/>
  <c r="H1738" i="6"/>
  <c r="K1766" i="6"/>
  <c r="H1773" i="6"/>
  <c r="H1852" i="6"/>
  <c r="H1868" i="6"/>
  <c r="K1956" i="6"/>
  <c r="H548" i="6"/>
  <c r="K1011" i="6"/>
  <c r="K1030" i="6"/>
  <c r="K1175" i="6"/>
  <c r="H1404" i="6"/>
  <c r="H373" i="6"/>
  <c r="H392" i="6"/>
  <c r="H561" i="6"/>
  <c r="H618" i="6"/>
  <c r="K735" i="6"/>
  <c r="H745" i="6"/>
  <c r="H980" i="6"/>
  <c r="H1347" i="6"/>
  <c r="H1366" i="6"/>
  <c r="K1369" i="6"/>
  <c r="H1679" i="6"/>
  <c r="H1685" i="6"/>
  <c r="H1742" i="6"/>
  <c r="K450" i="6"/>
  <c r="K485" i="6"/>
  <c r="H809" i="6"/>
  <c r="K891" i="6"/>
  <c r="H898" i="6"/>
  <c r="H1914" i="6"/>
  <c r="K1923" i="6"/>
  <c r="K472" i="6"/>
  <c r="H939" i="6"/>
  <c r="K131" i="6"/>
  <c r="K415" i="6"/>
  <c r="H65" i="6"/>
  <c r="K74" i="6"/>
  <c r="K77" i="6"/>
  <c r="K90" i="6"/>
  <c r="K141" i="6"/>
  <c r="H199" i="6"/>
  <c r="H202" i="6"/>
  <c r="K205" i="6"/>
  <c r="H269" i="6"/>
  <c r="K297" i="6"/>
  <c r="K326" i="6"/>
  <c r="K863" i="6"/>
  <c r="H870" i="6"/>
  <c r="K885" i="6"/>
  <c r="K1240" i="6"/>
  <c r="H1571" i="6"/>
  <c r="H1899" i="6"/>
  <c r="K1080" i="6"/>
  <c r="H1093" i="6"/>
  <c r="K1212" i="6"/>
  <c r="H1241" i="6"/>
  <c r="H1508" i="6"/>
  <c r="K1517" i="6"/>
  <c r="K1558" i="6"/>
  <c r="H1562" i="6"/>
  <c r="H1565" i="6"/>
  <c r="K1838" i="6"/>
  <c r="H1845" i="6"/>
  <c r="H717" i="6"/>
  <c r="H93" i="6"/>
  <c r="H262" i="6"/>
  <c r="H87" i="6"/>
  <c r="K797" i="6"/>
  <c r="H829" i="6"/>
  <c r="H1146" i="6"/>
  <c r="K1209" i="6"/>
  <c r="H1225" i="6"/>
  <c r="K564" i="6"/>
  <c r="H1309" i="6"/>
  <c r="H1416" i="6"/>
  <c r="H1464" i="6"/>
  <c r="H1757" i="6"/>
  <c r="H1763" i="6"/>
  <c r="K440" i="6"/>
  <c r="H192" i="6"/>
  <c r="H1661" i="6"/>
  <c r="K1989" i="6"/>
  <c r="H125" i="6"/>
  <c r="K119" i="6"/>
  <c r="K998" i="6"/>
  <c r="H1043" i="6"/>
  <c r="K1760" i="6"/>
  <c r="H627" i="6"/>
  <c r="K787" i="6"/>
  <c r="H888" i="6"/>
  <c r="H926" i="6"/>
  <c r="K960" i="6"/>
  <c r="K1159" i="6"/>
  <c r="H1166" i="6"/>
  <c r="H1191" i="6"/>
  <c r="H1501" i="6"/>
  <c r="K1579" i="6"/>
  <c r="H1583" i="6"/>
  <c r="H1719" i="6"/>
  <c r="H1816" i="6"/>
  <c r="K1853" i="6"/>
  <c r="H1857" i="6"/>
  <c r="K1869" i="6"/>
  <c r="H310" i="6"/>
  <c r="K338" i="6"/>
  <c r="K357" i="6"/>
  <c r="H364" i="6"/>
  <c r="K376" i="6"/>
  <c r="H386" i="6"/>
  <c r="H453" i="6"/>
  <c r="K516" i="6"/>
  <c r="H567" i="6"/>
  <c r="K573" i="6"/>
  <c r="K592" i="6"/>
  <c r="K598" i="6"/>
  <c r="H605" i="6"/>
  <c r="K633" i="6"/>
  <c r="K687" i="6"/>
  <c r="H729" i="6"/>
  <c r="K747" i="6"/>
  <c r="H763" i="6"/>
  <c r="H904" i="6"/>
  <c r="H910" i="6"/>
  <c r="K916" i="6"/>
  <c r="H923" i="6"/>
  <c r="H942" i="6"/>
  <c r="K973" i="6"/>
  <c r="K1001" i="6"/>
  <c r="H1036" i="6"/>
  <c r="H1055" i="6"/>
  <c r="H1160" i="6"/>
  <c r="H1163" i="6"/>
  <c r="K1246" i="6"/>
  <c r="H1334" i="6"/>
  <c r="H1363" i="6"/>
  <c r="H1369" i="6"/>
  <c r="K1375" i="6"/>
  <c r="K1406" i="6"/>
  <c r="H1432" i="6"/>
  <c r="K1545" i="6"/>
  <c r="H1620" i="6"/>
  <c r="K1663" i="6"/>
  <c r="H1716" i="6"/>
  <c r="K1735" i="6"/>
  <c r="K1744" i="6"/>
  <c r="K1822" i="6"/>
  <c r="K1882" i="6"/>
  <c r="K1898" i="6"/>
  <c r="K1904" i="6"/>
  <c r="K1960" i="6"/>
  <c r="H1986" i="6"/>
  <c r="H2021" i="6"/>
  <c r="K1549" i="6"/>
  <c r="H1587" i="6"/>
  <c r="H1640" i="6"/>
  <c r="K1773" i="6"/>
  <c r="K1798" i="6"/>
  <c r="K1917" i="6"/>
  <c r="H1943" i="6"/>
  <c r="H1946" i="6"/>
  <c r="H1965" i="6"/>
  <c r="H1971" i="6"/>
  <c r="K1983" i="6"/>
  <c r="H1990" i="6"/>
  <c r="K2018" i="6"/>
  <c r="H56" i="6"/>
  <c r="H158" i="6"/>
  <c r="H203" i="6"/>
  <c r="H219" i="6"/>
  <c r="H365" i="6"/>
  <c r="H435" i="6"/>
  <c r="H521" i="6"/>
  <c r="H635" i="6"/>
  <c r="H667" i="6"/>
  <c r="K720" i="6"/>
  <c r="H724" i="6"/>
  <c r="H727" i="6"/>
  <c r="H817" i="6"/>
  <c r="H886" i="6"/>
  <c r="H899" i="6"/>
  <c r="H921" i="6"/>
  <c r="K968" i="6"/>
  <c r="K999" i="6"/>
  <c r="H1075" i="6"/>
  <c r="H1110" i="6"/>
  <c r="H1113" i="6"/>
  <c r="H1180" i="6"/>
  <c r="K1210" i="6"/>
  <c r="H1364" i="6"/>
  <c r="H1484" i="6"/>
  <c r="K1502" i="6"/>
  <c r="H1509" i="6"/>
  <c r="K1562" i="6"/>
  <c r="K1615" i="6"/>
  <c r="K1695" i="6"/>
  <c r="H1699" i="6"/>
  <c r="H1708" i="6"/>
  <c r="H1780" i="6"/>
  <c r="K1877" i="6"/>
  <c r="H1968" i="6"/>
  <c r="H845" i="6"/>
  <c r="H911" i="6"/>
  <c r="H1621" i="6"/>
  <c r="K393" i="6"/>
  <c r="H492" i="6"/>
  <c r="K1068" i="6"/>
  <c r="H1143" i="6"/>
  <c r="K1179" i="6"/>
  <c r="H1304" i="6"/>
  <c r="H1313" i="6"/>
  <c r="H1452" i="6"/>
  <c r="K1483" i="6"/>
  <c r="H117" i="6"/>
  <c r="H136" i="6"/>
  <c r="H37" i="6"/>
  <c r="K75" i="6"/>
  <c r="H82" i="6"/>
  <c r="K107" i="6"/>
  <c r="H149" i="6"/>
  <c r="H187" i="6"/>
  <c r="K206" i="6"/>
  <c r="K225" i="6"/>
  <c r="H254" i="6"/>
  <c r="H292" i="6"/>
  <c r="K349" i="6"/>
  <c r="K384" i="6"/>
  <c r="K400" i="6"/>
  <c r="H410" i="6"/>
  <c r="K470" i="6"/>
  <c r="H496" i="6"/>
  <c r="H502" i="6"/>
  <c r="H572" i="6"/>
  <c r="H600" i="6"/>
  <c r="H613" i="6"/>
  <c r="H622" i="6"/>
  <c r="K625" i="6"/>
  <c r="K676" i="6"/>
  <c r="H708" i="6"/>
  <c r="H721" i="6"/>
  <c r="K730" i="6"/>
  <c r="K789" i="6"/>
  <c r="H849" i="6"/>
  <c r="K908" i="6"/>
  <c r="K946" i="6"/>
  <c r="H1000" i="6"/>
  <c r="H1041" i="6"/>
  <c r="K1078" i="6"/>
  <c r="H1088" i="6"/>
  <c r="H1177" i="6"/>
  <c r="K1192" i="6"/>
  <c r="K1198" i="6"/>
  <c r="H1217" i="6"/>
  <c r="H1242" i="6"/>
  <c r="K1304" i="6"/>
  <c r="K1307" i="6"/>
  <c r="K1310" i="6"/>
  <c r="K1474" i="6"/>
  <c r="K1537" i="6"/>
  <c r="K1553" i="6"/>
  <c r="H1566" i="6"/>
  <c r="K1581" i="6"/>
  <c r="H1588" i="6"/>
  <c r="K1609" i="6"/>
  <c r="H1628" i="6"/>
  <c r="H1662" i="6"/>
  <c r="H1718" i="6"/>
  <c r="K1727" i="6"/>
  <c r="H1884" i="6"/>
  <c r="H1918" i="6"/>
  <c r="K1094" i="6"/>
  <c r="H1129" i="6"/>
  <c r="K1962" i="6"/>
  <c r="K1984" i="6"/>
  <c r="H2010" i="6"/>
  <c r="H1396" i="6"/>
  <c r="H1475" i="6"/>
  <c r="H1491" i="6"/>
  <c r="K1509" i="6"/>
  <c r="K1650" i="6"/>
  <c r="H1693" i="6"/>
  <c r="H1728" i="6"/>
  <c r="K1758" i="6"/>
  <c r="K1774" i="6"/>
  <c r="H1793" i="6"/>
  <c r="K1852" i="6"/>
  <c r="H356" i="6"/>
  <c r="K1047" i="6"/>
  <c r="H108" i="6"/>
  <c r="H388" i="6"/>
  <c r="H1450" i="6"/>
  <c r="H1950" i="6"/>
  <c r="H648" i="6"/>
  <c r="H143" i="6"/>
  <c r="H683" i="6"/>
  <c r="H928" i="6"/>
  <c r="K1267" i="6"/>
  <c r="K60" i="6"/>
  <c r="K95" i="6"/>
  <c r="K143" i="6"/>
  <c r="H156" i="6"/>
  <c r="K232" i="6"/>
  <c r="H236" i="6"/>
  <c r="K286" i="6"/>
  <c r="K458" i="6"/>
  <c r="K512" i="6"/>
  <c r="H547" i="6"/>
  <c r="K661" i="6"/>
  <c r="H737" i="6"/>
  <c r="K749" i="6"/>
  <c r="H781" i="6"/>
  <c r="K893" i="6"/>
  <c r="K969" i="6"/>
  <c r="K1000" i="6"/>
  <c r="K1041" i="6"/>
  <c r="H1045" i="6"/>
  <c r="H1054" i="6"/>
  <c r="K1277" i="6"/>
  <c r="K1371" i="6"/>
  <c r="H1431" i="6"/>
  <c r="K1456" i="6"/>
  <c r="K1481" i="6"/>
  <c r="H1535" i="6"/>
  <c r="H1557" i="6"/>
  <c r="K1560" i="6"/>
  <c r="K1563" i="6"/>
  <c r="H1592" i="6"/>
  <c r="H1595" i="6"/>
  <c r="K1613" i="6"/>
  <c r="H1635" i="6"/>
  <c r="H1657" i="6"/>
  <c r="K1768" i="6"/>
  <c r="H1775" i="6"/>
  <c r="H1781" i="6"/>
  <c r="H1784" i="6"/>
  <c r="H1806" i="6"/>
  <c r="H1825" i="6"/>
  <c r="H1850" i="6"/>
  <c r="H1866" i="6"/>
  <c r="H1988" i="6"/>
  <c r="H930" i="6"/>
  <c r="K1008" i="6"/>
  <c r="H126" i="6"/>
  <c r="H473" i="6"/>
  <c r="H146" i="6"/>
  <c r="K883" i="6"/>
  <c r="H588" i="6"/>
  <c r="K814" i="6"/>
  <c r="H846" i="6"/>
  <c r="H887" i="6"/>
  <c r="K896" i="6"/>
  <c r="K1107" i="6"/>
  <c r="H83" i="6"/>
  <c r="K124" i="6"/>
  <c r="H134" i="6"/>
  <c r="K140" i="6"/>
  <c r="H201" i="6"/>
  <c r="K207" i="6"/>
  <c r="H233" i="6"/>
  <c r="K248" i="6"/>
  <c r="H255" i="6"/>
  <c r="H271" i="6"/>
  <c r="K347" i="6"/>
  <c r="H557" i="6"/>
  <c r="K569" i="6"/>
  <c r="K585" i="6"/>
  <c r="H592" i="6"/>
  <c r="H831" i="6"/>
  <c r="H869" i="6"/>
  <c r="H884" i="6"/>
  <c r="H903" i="6"/>
  <c r="K944" i="6"/>
  <c r="K966" i="6"/>
  <c r="H1067" i="6"/>
  <c r="H1089" i="6"/>
  <c r="H1108" i="6"/>
  <c r="K1126" i="6"/>
  <c r="H1151" i="6"/>
  <c r="H1243" i="6"/>
  <c r="H1246" i="6"/>
  <c r="H1321" i="6"/>
  <c r="K1327" i="6"/>
  <c r="H1337" i="6"/>
  <c r="K1387" i="6"/>
  <c r="H1460" i="6"/>
  <c r="K1582" i="6"/>
  <c r="K1610" i="6"/>
  <c r="K1638" i="6"/>
  <c r="H1651" i="6"/>
  <c r="K1687" i="6"/>
  <c r="K1712" i="6"/>
  <c r="H1725" i="6"/>
  <c r="H1747" i="6"/>
  <c r="H1822" i="6"/>
  <c r="H1863" i="6"/>
  <c r="H1882" i="6"/>
  <c r="K1891" i="6"/>
  <c r="H1935" i="6"/>
  <c r="K1988" i="6"/>
  <c r="K2007" i="6"/>
  <c r="K447" i="6"/>
  <c r="H451" i="6"/>
  <c r="K463" i="6"/>
  <c r="H470" i="6"/>
  <c r="H486" i="6"/>
  <c r="K520" i="6"/>
  <c r="H685" i="6"/>
  <c r="K734" i="6"/>
  <c r="K930" i="6"/>
  <c r="H1046" i="6"/>
  <c r="K200" i="6"/>
  <c r="H58" i="6"/>
  <c r="K210" i="6"/>
  <c r="H226" i="6"/>
  <c r="K254" i="6"/>
  <c r="H426" i="6"/>
  <c r="K460" i="6"/>
  <c r="H483" i="6"/>
  <c r="K530" i="6"/>
  <c r="K637" i="6"/>
  <c r="H735" i="6"/>
  <c r="K899" i="6"/>
  <c r="K1171" i="6"/>
  <c r="K1565" i="6"/>
  <c r="H1575" i="6"/>
  <c r="H1578" i="6"/>
  <c r="H1600" i="6"/>
  <c r="H1612" i="6"/>
  <c r="K1630" i="6"/>
  <c r="H1890" i="6"/>
  <c r="K128" i="6"/>
  <c r="K144" i="6"/>
  <c r="K163" i="6"/>
  <c r="H173" i="6"/>
  <c r="K179" i="6"/>
  <c r="H186" i="6"/>
  <c r="K385" i="6"/>
  <c r="K401" i="6"/>
  <c r="H411" i="6"/>
  <c r="H629" i="6"/>
  <c r="K844" i="6"/>
  <c r="K866" i="6"/>
  <c r="K878" i="6"/>
  <c r="H1094" i="6"/>
  <c r="H1100" i="6"/>
  <c r="K1106" i="6"/>
  <c r="K1318" i="6"/>
  <c r="H1331" i="6"/>
  <c r="K1459" i="6"/>
  <c r="K1874" i="6"/>
  <c r="H1921" i="6"/>
  <c r="K229" i="6"/>
  <c r="H293" i="6"/>
  <c r="K890" i="6"/>
  <c r="H1883" i="6"/>
  <c r="H1905" i="6"/>
  <c r="K1015" i="6"/>
  <c r="K1368" i="6"/>
  <c r="K828" i="6"/>
  <c r="K1142" i="6"/>
  <c r="H1843" i="6"/>
  <c r="H132" i="6"/>
  <c r="K1843" i="6"/>
  <c r="H1881" i="6"/>
  <c r="H342" i="6"/>
  <c r="K411" i="6"/>
  <c r="K798" i="6"/>
  <c r="H1778" i="6"/>
  <c r="K47" i="6"/>
  <c r="K69" i="6"/>
  <c r="K101" i="6"/>
  <c r="K126" i="6"/>
  <c r="H320" i="6"/>
  <c r="K323" i="6"/>
  <c r="H361" i="6"/>
  <c r="H367" i="6"/>
  <c r="K764" i="6"/>
  <c r="H777" i="6"/>
  <c r="K1048" i="6"/>
  <c r="K1809" i="6"/>
  <c r="H660" i="6"/>
  <c r="K1127" i="6"/>
  <c r="H1487" i="6"/>
  <c r="H1999" i="6"/>
  <c r="K172" i="6"/>
  <c r="H825" i="6"/>
  <c r="K856" i="6"/>
  <c r="K915" i="6"/>
  <c r="K644" i="6"/>
  <c r="K1118" i="6"/>
  <c r="H1407" i="6"/>
  <c r="H1669" i="6"/>
  <c r="K1759" i="6"/>
  <c r="H1142" i="6"/>
  <c r="H461" i="6"/>
  <c r="K647" i="6"/>
  <c r="H822" i="6"/>
  <c r="K887" i="6"/>
  <c r="K1151" i="6"/>
  <c r="H1468" i="6"/>
  <c r="K1908" i="6"/>
  <c r="K835" i="6"/>
  <c r="K332" i="6"/>
  <c r="H1438" i="6"/>
  <c r="H101" i="6"/>
  <c r="H336" i="6"/>
  <c r="H405" i="6"/>
  <c r="K595" i="6"/>
  <c r="H958" i="6"/>
  <c r="H29" i="6"/>
  <c r="H533" i="6"/>
  <c r="K545" i="6"/>
  <c r="K583" i="6"/>
  <c r="H952" i="6"/>
  <c r="K1039" i="6"/>
  <c r="K1042" i="6"/>
  <c r="H1236" i="6"/>
  <c r="H1248" i="6"/>
  <c r="K1392" i="6"/>
  <c r="H148" i="6"/>
  <c r="H389" i="6"/>
  <c r="H399" i="6"/>
  <c r="K76" i="6"/>
  <c r="H286" i="6"/>
  <c r="H324" i="6"/>
  <c r="K466" i="6"/>
  <c r="K504" i="6"/>
  <c r="K542" i="6"/>
  <c r="H555" i="6"/>
  <c r="H971" i="6"/>
  <c r="K1036" i="6"/>
  <c r="K1580" i="6"/>
  <c r="K1608" i="6"/>
  <c r="H1624" i="6"/>
  <c r="H1655" i="6"/>
  <c r="H1688" i="6"/>
  <c r="H2005" i="6"/>
  <c r="H2008" i="6"/>
  <c r="K2014" i="6"/>
  <c r="H1445" i="6"/>
  <c r="H1473" i="6"/>
  <c r="K1488" i="6"/>
  <c r="K1594" i="6"/>
  <c r="K1600" i="6"/>
  <c r="K1713" i="6"/>
  <c r="H1723" i="6"/>
  <c r="H1807" i="6"/>
  <c r="H1835" i="6"/>
  <c r="K1987" i="6"/>
  <c r="H1079" i="6"/>
  <c r="H1134" i="6"/>
  <c r="H1569" i="6"/>
  <c r="K1603" i="6"/>
  <c r="K405" i="6"/>
  <c r="K826" i="6"/>
  <c r="K1034" i="6"/>
  <c r="K1070" i="6"/>
  <c r="H790" i="6"/>
  <c r="H796" i="6"/>
  <c r="K1046" i="6"/>
  <c r="K1064" i="6"/>
  <c r="H1228" i="6"/>
  <c r="K1378" i="6"/>
  <c r="K1402" i="6"/>
  <c r="H1801" i="6"/>
  <c r="K30" i="6"/>
  <c r="K58" i="6"/>
  <c r="H90" i="6"/>
  <c r="K118" i="6"/>
  <c r="K161" i="6"/>
  <c r="H174" i="6"/>
  <c r="K177" i="6"/>
  <c r="H184" i="6"/>
  <c r="H209" i="6"/>
  <c r="H288" i="6"/>
  <c r="H294" i="6"/>
  <c r="K303" i="6"/>
  <c r="K306" i="6"/>
  <c r="H347" i="6"/>
  <c r="K377" i="6"/>
  <c r="H400" i="6"/>
  <c r="H409" i="6"/>
  <c r="H431" i="6"/>
  <c r="H434" i="6"/>
  <c r="H633" i="6"/>
  <c r="K683" i="6"/>
  <c r="H687" i="6"/>
  <c r="H932" i="6"/>
  <c r="K995" i="6"/>
  <c r="H1050" i="6"/>
  <c r="H1250" i="6"/>
  <c r="H1287" i="6"/>
  <c r="K1319" i="6"/>
  <c r="K1959" i="6"/>
  <c r="K580" i="6"/>
  <c r="K1258" i="6"/>
  <c r="K1741" i="6"/>
  <c r="H45" i="6"/>
  <c r="H1268" i="6"/>
  <c r="H733" i="6"/>
  <c r="K851" i="6"/>
  <c r="K894" i="6"/>
  <c r="K1055" i="6"/>
  <c r="H1338" i="6"/>
  <c r="H1984" i="6"/>
  <c r="H99" i="6"/>
  <c r="H118" i="6"/>
  <c r="H340" i="6"/>
  <c r="K346" i="6"/>
  <c r="K325" i="6"/>
  <c r="H344" i="6"/>
  <c r="K359" i="6"/>
  <c r="K368" i="6"/>
  <c r="K371" i="6"/>
  <c r="K390" i="6"/>
  <c r="K446" i="6"/>
  <c r="K468" i="6"/>
  <c r="H475" i="6"/>
  <c r="H535" i="6"/>
  <c r="H563" i="6"/>
  <c r="K739" i="6"/>
  <c r="K742" i="6"/>
  <c r="K745" i="6"/>
  <c r="H827" i="6"/>
  <c r="H837" i="6"/>
  <c r="K904" i="6"/>
  <c r="H917" i="6"/>
  <c r="H935" i="6"/>
  <c r="H938" i="6"/>
  <c r="K983" i="6"/>
  <c r="H999" i="6"/>
  <c r="H1153" i="6"/>
  <c r="K1158" i="6"/>
  <c r="K1164" i="6"/>
  <c r="K1176" i="6"/>
  <c r="H1210" i="6"/>
  <c r="K1222" i="6"/>
  <c r="K1225" i="6"/>
  <c r="K1259" i="6"/>
  <c r="H1269" i="6"/>
  <c r="K1329" i="6"/>
  <c r="H1358" i="6"/>
  <c r="K1467" i="6"/>
  <c r="H1495" i="6"/>
  <c r="H1539" i="6"/>
  <c r="H1564" i="6"/>
  <c r="K1644" i="6"/>
  <c r="K1656" i="6"/>
  <c r="H1674" i="6"/>
  <c r="K1736" i="6"/>
  <c r="H1798" i="6"/>
  <c r="K1826" i="6"/>
  <c r="K1618" i="6"/>
  <c r="K51" i="6"/>
  <c r="H711" i="6"/>
  <c r="K399" i="6"/>
  <c r="H702" i="6"/>
  <c r="K152" i="6"/>
  <c r="K627" i="6"/>
  <c r="H1361" i="6"/>
  <c r="H1963" i="6"/>
  <c r="H1360" i="6"/>
  <c r="K23" i="6"/>
  <c r="H161" i="6"/>
  <c r="K943" i="6"/>
  <c r="H1526" i="6"/>
  <c r="K383" i="6"/>
  <c r="H639" i="6"/>
  <c r="H131" i="6"/>
  <c r="H1014" i="6"/>
  <c r="H1020" i="6"/>
  <c r="K1167" i="6"/>
  <c r="H1260" i="6"/>
  <c r="H1266" i="6"/>
  <c r="H1305" i="6"/>
  <c r="K1458" i="6"/>
  <c r="H1623" i="6"/>
  <c r="H1702" i="6"/>
  <c r="K1714" i="6"/>
  <c r="H287" i="6"/>
  <c r="K319" i="6"/>
  <c r="H444" i="6"/>
  <c r="K456" i="6"/>
  <c r="K500" i="6"/>
  <c r="H691" i="6"/>
  <c r="K709" i="6"/>
  <c r="H752" i="6"/>
  <c r="H755" i="6"/>
  <c r="K837" i="6"/>
  <c r="H853" i="6"/>
  <c r="H865" i="6"/>
  <c r="K880" i="6"/>
  <c r="K886" i="6"/>
  <c r="H890" i="6"/>
  <c r="K972" i="6"/>
  <c r="K1065" i="6"/>
  <c r="H1069" i="6"/>
  <c r="K1099" i="6"/>
  <c r="K1105" i="6"/>
  <c r="K1135" i="6"/>
  <c r="K1138" i="6"/>
  <c r="K1150" i="6"/>
  <c r="H1171" i="6"/>
  <c r="K1180" i="6"/>
  <c r="K1186" i="6"/>
  <c r="K1207" i="6"/>
  <c r="H1254" i="6"/>
  <c r="K1623" i="6"/>
  <c r="K1696" i="6"/>
  <c r="K1876" i="6"/>
  <c r="H1886" i="6"/>
  <c r="K1901" i="6"/>
  <c r="H1926" i="6"/>
  <c r="H218" i="6"/>
  <c r="H43" i="6"/>
  <c r="H84" i="6"/>
  <c r="H119" i="6"/>
  <c r="H137" i="6"/>
  <c r="H394" i="6"/>
  <c r="K618" i="6"/>
  <c r="H643" i="6"/>
  <c r="K858" i="6"/>
  <c r="H880" i="6"/>
  <c r="K31" i="6"/>
  <c r="H91" i="6"/>
  <c r="K100" i="6"/>
  <c r="H113" i="6"/>
  <c r="K122" i="6"/>
  <c r="K125" i="6"/>
  <c r="H169" i="6"/>
  <c r="H175" i="6"/>
  <c r="K222" i="6"/>
  <c r="K266" i="6"/>
  <c r="H276" i="6"/>
  <c r="K304" i="6"/>
  <c r="K307" i="6"/>
  <c r="K313" i="6"/>
  <c r="H348" i="6"/>
  <c r="K363" i="6"/>
  <c r="H375" i="6"/>
  <c r="K378" i="6"/>
  <c r="H401" i="6"/>
  <c r="K416" i="6"/>
  <c r="H429" i="6"/>
  <c r="H438" i="6"/>
  <c r="K513" i="6"/>
  <c r="H523" i="6"/>
  <c r="K582" i="6"/>
  <c r="K588" i="6"/>
  <c r="K681" i="6"/>
  <c r="H694" i="6"/>
  <c r="K840" i="6"/>
  <c r="K843" i="6"/>
  <c r="K865" i="6"/>
  <c r="H875" i="6"/>
  <c r="H936" i="6"/>
  <c r="H948" i="6"/>
  <c r="K993" i="6"/>
  <c r="H1005" i="6"/>
  <c r="H1027" i="6"/>
  <c r="H1112" i="6"/>
  <c r="K1141" i="6"/>
  <c r="H1165" i="6"/>
  <c r="H1196" i="6"/>
  <c r="K1238" i="6"/>
  <c r="H1401" i="6"/>
  <c r="H1493" i="6"/>
  <c r="H1499" i="6"/>
  <c r="H1681" i="6"/>
  <c r="H1752" i="6"/>
  <c r="K1892" i="6"/>
  <c r="H1933" i="6"/>
  <c r="H1964" i="6"/>
  <c r="K1432" i="6"/>
  <c r="K1435" i="6"/>
  <c r="K1441" i="6"/>
  <c r="H1448" i="6"/>
  <c r="K1465" i="6"/>
  <c r="H1477" i="6"/>
  <c r="K1480" i="6"/>
  <c r="H1502" i="6"/>
  <c r="H1542" i="6"/>
  <c r="H1567" i="6"/>
  <c r="H1594" i="6"/>
  <c r="K1621" i="6"/>
  <c r="K1636" i="6"/>
  <c r="K1654" i="6"/>
  <c r="H1678" i="6"/>
  <c r="H1691" i="6"/>
  <c r="K1782" i="6"/>
  <c r="H1823" i="6"/>
  <c r="H1847" i="6"/>
  <c r="K1859" i="6"/>
  <c r="K1933" i="6"/>
  <c r="H1936" i="6"/>
  <c r="K1978" i="6"/>
  <c r="K2012" i="6"/>
  <c r="K524" i="6"/>
  <c r="K546" i="6"/>
  <c r="K565" i="6"/>
  <c r="H575" i="6"/>
  <c r="H578" i="6"/>
  <c r="H587" i="6"/>
  <c r="H593" i="6"/>
  <c r="K664" i="6"/>
  <c r="K717" i="6"/>
  <c r="K738" i="6"/>
  <c r="K741" i="6"/>
  <c r="K774" i="6"/>
  <c r="K777" i="6"/>
  <c r="H805" i="6"/>
  <c r="K829" i="6"/>
  <c r="H836" i="6"/>
  <c r="H867" i="6"/>
  <c r="H931" i="6"/>
  <c r="H1047" i="6"/>
  <c r="H1065" i="6"/>
  <c r="K1110" i="6"/>
  <c r="K1251" i="6"/>
  <c r="K1254" i="6"/>
  <c r="K1260" i="6"/>
  <c r="K1302" i="6"/>
  <c r="K1305" i="6"/>
  <c r="K1320" i="6"/>
  <c r="H1336" i="6"/>
  <c r="K1339" i="6"/>
  <c r="H1382" i="6"/>
  <c r="H1403" i="6"/>
  <c r="K1405" i="6"/>
  <c r="H1412" i="6"/>
  <c r="H1421" i="6"/>
  <c r="K1490" i="6"/>
  <c r="K1493" i="6"/>
  <c r="H1506" i="6"/>
  <c r="H1531" i="6"/>
  <c r="H1555" i="6"/>
  <c r="K1564" i="6"/>
  <c r="H1650" i="6"/>
  <c r="H1664" i="6"/>
  <c r="K1688" i="6"/>
  <c r="K1700" i="6"/>
  <c r="K1752" i="6"/>
  <c r="K1767" i="6"/>
  <c r="K1863" i="6"/>
  <c r="K1872" i="6"/>
  <c r="K1878" i="6"/>
  <c r="H1888" i="6"/>
  <c r="H1894" i="6"/>
  <c r="H1900" i="6"/>
  <c r="K1909" i="6"/>
  <c r="K1912" i="6"/>
  <c r="H1928" i="6"/>
  <c r="H1955" i="6"/>
  <c r="K1964" i="6"/>
  <c r="K1967" i="6"/>
  <c r="K1979" i="6"/>
  <c r="H1117" i="6"/>
  <c r="H1155" i="6"/>
  <c r="H1179" i="6"/>
  <c r="H1282" i="6"/>
  <c r="H1346" i="6"/>
  <c r="K1382" i="6"/>
  <c r="K1442" i="6"/>
  <c r="H1449" i="6"/>
  <c r="H1461" i="6"/>
  <c r="K1466" i="6"/>
  <c r="K1472" i="6"/>
  <c r="H1478" i="6"/>
  <c r="K1512" i="6"/>
  <c r="H1546" i="6"/>
  <c r="H1589" i="6"/>
  <c r="K1670" i="6"/>
  <c r="K1783" i="6"/>
  <c r="H1802" i="6"/>
  <c r="K1857" i="6"/>
  <c r="K1860" i="6"/>
  <c r="K1875" i="6"/>
  <c r="H1891" i="6"/>
  <c r="H1983" i="6"/>
  <c r="H1989" i="6"/>
  <c r="K2019" i="6"/>
  <c r="K1188" i="6"/>
  <c r="K1376" i="6"/>
  <c r="K1728" i="6"/>
  <c r="H1756" i="6"/>
  <c r="H1815" i="6"/>
  <c r="K1848" i="6"/>
  <c r="H1907" i="6"/>
  <c r="K1940" i="6"/>
  <c r="H1249" i="6"/>
  <c r="H1383" i="6"/>
  <c r="H1497" i="6"/>
  <c r="H1671" i="6"/>
  <c r="H1855" i="6"/>
  <c r="H1904" i="6"/>
  <c r="H1944" i="6"/>
  <c r="H1974" i="6"/>
  <c r="H2020" i="6"/>
  <c r="K578" i="6"/>
  <c r="H591" i="6"/>
  <c r="H603" i="6"/>
  <c r="H630" i="6"/>
  <c r="K652" i="6"/>
  <c r="K677" i="6"/>
  <c r="K769" i="6"/>
  <c r="H775" i="6"/>
  <c r="K790" i="6"/>
  <c r="K833" i="6"/>
  <c r="H852" i="6"/>
  <c r="K867" i="6"/>
  <c r="H994" i="6"/>
  <c r="H1003" i="6"/>
  <c r="H1039" i="6"/>
  <c r="H1164" i="6"/>
  <c r="H1173" i="6"/>
  <c r="K1215" i="6"/>
  <c r="K1218" i="6"/>
  <c r="H1231" i="6"/>
  <c r="K1282" i="6"/>
  <c r="H1353" i="6"/>
  <c r="H1386" i="6"/>
  <c r="K1449" i="6"/>
  <c r="H1479" i="6"/>
  <c r="H1482" i="6"/>
  <c r="K1506" i="6"/>
  <c r="K1568" i="6"/>
  <c r="K1583" i="6"/>
  <c r="K1586" i="6"/>
  <c r="K1589" i="6"/>
  <c r="K1647" i="6"/>
  <c r="K1676" i="6"/>
  <c r="H1683" i="6"/>
  <c r="K1692" i="6"/>
  <c r="K1716" i="6"/>
  <c r="H1726" i="6"/>
  <c r="K1765" i="6"/>
  <c r="H1787" i="6"/>
  <c r="H1803" i="6"/>
  <c r="H1849" i="6"/>
  <c r="H1898" i="6"/>
  <c r="H1919" i="6"/>
  <c r="K1998" i="6"/>
  <c r="H2017" i="6"/>
  <c r="K88" i="6"/>
  <c r="K581" i="6"/>
  <c r="H693" i="6"/>
  <c r="K1152" i="6"/>
  <c r="H1429" i="6"/>
  <c r="K335" i="6"/>
  <c r="H40" i="6"/>
  <c r="K155" i="6"/>
  <c r="K164" i="6"/>
  <c r="H200" i="6"/>
  <c r="H244" i="6"/>
  <c r="H247" i="6"/>
  <c r="H290" i="6"/>
  <c r="K388" i="6"/>
  <c r="H395" i="6"/>
  <c r="H32" i="6"/>
  <c r="K40" i="6"/>
  <c r="K46" i="6"/>
  <c r="K49" i="6"/>
  <c r="H61" i="6"/>
  <c r="H79" i="6"/>
  <c r="H88" i="6"/>
  <c r="K158" i="6"/>
  <c r="K262" i="6"/>
  <c r="K265" i="6"/>
  <c r="K271" i="6"/>
  <c r="H275" i="6"/>
  <c r="H311" i="6"/>
  <c r="K382" i="6"/>
  <c r="H419" i="6"/>
  <c r="K428" i="6"/>
  <c r="K434" i="6"/>
  <c r="H437" i="6"/>
  <c r="H455" i="6"/>
  <c r="K566" i="6"/>
  <c r="H579" i="6"/>
  <c r="H582" i="6"/>
  <c r="K599" i="6"/>
  <c r="H696" i="6"/>
  <c r="K830" i="6"/>
  <c r="K888" i="6"/>
  <c r="H927" i="6"/>
  <c r="H941" i="6"/>
  <c r="K1132" i="6"/>
  <c r="K1143" i="6"/>
  <c r="K1146" i="6"/>
  <c r="K1245" i="6"/>
  <c r="K1453" i="6"/>
  <c r="H1480" i="6"/>
  <c r="H1486" i="6"/>
  <c r="H1489" i="6"/>
  <c r="H239" i="6"/>
  <c r="H110" i="6"/>
  <c r="K142" i="6"/>
  <c r="K145" i="6"/>
  <c r="H151" i="6"/>
  <c r="H318" i="6"/>
  <c r="K330" i="6"/>
  <c r="H333" i="6"/>
  <c r="H351" i="6"/>
  <c r="K386" i="6"/>
  <c r="K507" i="6"/>
  <c r="K537" i="6"/>
  <c r="K552" i="6"/>
  <c r="K570" i="6"/>
  <c r="H646" i="6"/>
  <c r="H718" i="6"/>
  <c r="H786" i="6"/>
  <c r="K862" i="6"/>
  <c r="H1037" i="6"/>
  <c r="K1116" i="6"/>
  <c r="H1119" i="6"/>
  <c r="H1122" i="6"/>
  <c r="K91" i="6"/>
  <c r="K350" i="6"/>
  <c r="H1062" i="6"/>
  <c r="H35" i="6"/>
  <c r="K132" i="6"/>
  <c r="H525" i="6"/>
  <c r="K531" i="6"/>
  <c r="H537" i="6"/>
  <c r="K744" i="6"/>
  <c r="H747" i="6"/>
  <c r="H843" i="6"/>
  <c r="K156" i="6"/>
  <c r="H1116" i="6"/>
  <c r="K29" i="6"/>
  <c r="K38" i="6"/>
  <c r="H221" i="6"/>
  <c r="H585" i="6"/>
  <c r="H159" i="6"/>
  <c r="K543" i="6"/>
  <c r="H912" i="6"/>
  <c r="H71" i="6"/>
  <c r="H462" i="6"/>
  <c r="H104" i="6"/>
  <c r="K139" i="6"/>
  <c r="K227" i="6"/>
  <c r="K324" i="6"/>
  <c r="H339" i="6"/>
  <c r="K348" i="6"/>
  <c r="H511" i="6"/>
  <c r="K715" i="6"/>
  <c r="K1394" i="6"/>
  <c r="H1832" i="6"/>
  <c r="H24" i="6"/>
  <c r="H30" i="6"/>
  <c r="H42" i="6"/>
  <c r="H51" i="6"/>
  <c r="H57" i="6"/>
  <c r="H63" i="6"/>
  <c r="K71" i="6"/>
  <c r="K89" i="6"/>
  <c r="K130" i="6"/>
  <c r="K136" i="6"/>
  <c r="H181" i="6"/>
  <c r="H196" i="6"/>
  <c r="H207" i="6"/>
  <c r="K245" i="6"/>
  <c r="H264" i="6"/>
  <c r="K282" i="6"/>
  <c r="K285" i="6"/>
  <c r="K294" i="6"/>
  <c r="H300" i="6"/>
  <c r="K312" i="6"/>
  <c r="K339" i="6"/>
  <c r="H381" i="6"/>
  <c r="K465" i="6"/>
  <c r="H514" i="6"/>
  <c r="H544" i="6"/>
  <c r="H625" i="6"/>
  <c r="H634" i="6"/>
  <c r="H640" i="6"/>
  <c r="K649" i="6"/>
  <c r="K655" i="6"/>
  <c r="H1078" i="6"/>
  <c r="H1081" i="6"/>
  <c r="H1211" i="6"/>
  <c r="H1368" i="6"/>
  <c r="H1808" i="6"/>
  <c r="H1967" i="6"/>
  <c r="H115" i="6"/>
  <c r="H427" i="6"/>
  <c r="K430" i="6"/>
  <c r="H481" i="6"/>
  <c r="H484" i="6"/>
  <c r="K496" i="6"/>
  <c r="K523" i="6"/>
  <c r="K541" i="6"/>
  <c r="K547" i="6"/>
  <c r="K601" i="6"/>
  <c r="K640" i="6"/>
  <c r="H851" i="6"/>
  <c r="K967" i="6"/>
  <c r="K978" i="6"/>
  <c r="K984" i="6"/>
  <c r="K987" i="6"/>
  <c r="K990" i="6"/>
  <c r="H1202" i="6"/>
  <c r="K1389" i="6"/>
  <c r="H76" i="6"/>
  <c r="K22" i="6"/>
  <c r="K169" i="6"/>
  <c r="K216" i="6"/>
  <c r="K328" i="6"/>
  <c r="H337" i="6"/>
  <c r="K284" i="6"/>
  <c r="K308" i="6"/>
  <c r="H81" i="6"/>
  <c r="K213" i="6"/>
  <c r="K264" i="6"/>
  <c r="K270" i="6"/>
  <c r="H319" i="6"/>
  <c r="K427" i="6"/>
  <c r="H590" i="6"/>
  <c r="K628" i="6"/>
  <c r="H710" i="6"/>
  <c r="H976" i="6"/>
  <c r="H446" i="6"/>
  <c r="H263" i="6"/>
  <c r="K392" i="6"/>
  <c r="K154" i="6"/>
  <c r="H102" i="6"/>
  <c r="K181" i="6"/>
  <c r="H78" i="6"/>
  <c r="H114" i="6"/>
  <c r="H155" i="6"/>
  <c r="K196" i="6"/>
  <c r="H235" i="6"/>
  <c r="H313" i="6"/>
  <c r="H466" i="6"/>
  <c r="K484" i="6"/>
  <c r="H28" i="6"/>
  <c r="K72" i="6"/>
  <c r="K78" i="6"/>
  <c r="K81" i="6"/>
  <c r="K87" i="6"/>
  <c r="K102" i="6"/>
  <c r="K108" i="6"/>
  <c r="K111" i="6"/>
  <c r="K114" i="6"/>
  <c r="H123" i="6"/>
  <c r="K134" i="6"/>
  <c r="K149" i="6"/>
  <c r="H205" i="6"/>
  <c r="K240" i="6"/>
  <c r="K243" i="6"/>
  <c r="K246" i="6"/>
  <c r="K249" i="6"/>
  <c r="K340" i="6"/>
  <c r="K355" i="6"/>
  <c r="H362" i="6"/>
  <c r="K406" i="6"/>
  <c r="K424" i="6"/>
  <c r="H485" i="6"/>
  <c r="H491" i="6"/>
  <c r="H515" i="6"/>
  <c r="H527" i="6"/>
  <c r="K590" i="6"/>
  <c r="K593" i="6"/>
  <c r="H611" i="6"/>
  <c r="K686" i="6"/>
  <c r="K707" i="6"/>
  <c r="H894" i="6"/>
  <c r="H997" i="6"/>
  <c r="K1052" i="6"/>
  <c r="H1233" i="6"/>
  <c r="H1284" i="6"/>
  <c r="K560" i="6"/>
  <c r="K604" i="6"/>
  <c r="K607" i="6"/>
  <c r="K636" i="6"/>
  <c r="K639" i="6"/>
  <c r="K648" i="6"/>
  <c r="K651" i="6"/>
  <c r="K654" i="6"/>
  <c r="K657" i="6"/>
  <c r="H678" i="6"/>
  <c r="K694" i="6"/>
  <c r="H701" i="6"/>
  <c r="H712" i="6"/>
  <c r="H789" i="6"/>
  <c r="K815" i="6"/>
  <c r="K818" i="6"/>
  <c r="K841" i="6"/>
  <c r="K926" i="6"/>
  <c r="K1003" i="6"/>
  <c r="K1012" i="6"/>
  <c r="K1035" i="6"/>
  <c r="K1097" i="6"/>
  <c r="K1154" i="6"/>
  <c r="K1183" i="6"/>
  <c r="K1227" i="6"/>
  <c r="H1245" i="6"/>
  <c r="K1336" i="6"/>
  <c r="H1391" i="6"/>
  <c r="K1494" i="6"/>
  <c r="H1731" i="6"/>
  <c r="K1880" i="6"/>
  <c r="K660" i="6"/>
  <c r="H692" i="6"/>
  <c r="H764" i="6"/>
  <c r="H970" i="6"/>
  <c r="H990" i="6"/>
  <c r="H993" i="6"/>
  <c r="H1024" i="6"/>
  <c r="K1066" i="6"/>
  <c r="H1121" i="6"/>
  <c r="K1230" i="6"/>
  <c r="H1239" i="6"/>
  <c r="K1286" i="6"/>
  <c r="K1315" i="6"/>
  <c r="K1414" i="6"/>
  <c r="H1510" i="6"/>
  <c r="K1516" i="6"/>
  <c r="H1820" i="6"/>
  <c r="H713" i="6"/>
  <c r="K750" i="6"/>
  <c r="H765" i="6"/>
  <c r="K816" i="6"/>
  <c r="H883" i="6"/>
  <c r="K927" i="6"/>
  <c r="K935" i="6"/>
  <c r="K938" i="6"/>
  <c r="H947" i="6"/>
  <c r="K1004" i="6"/>
  <c r="K1010" i="6"/>
  <c r="H1028" i="6"/>
  <c r="K1033" i="6"/>
  <c r="H1070" i="6"/>
  <c r="H1073" i="6"/>
  <c r="K1081" i="6"/>
  <c r="K1098" i="6"/>
  <c r="K1231" i="6"/>
  <c r="H1276" i="6"/>
  <c r="K1281" i="6"/>
  <c r="H1293" i="6"/>
  <c r="K1334" i="6"/>
  <c r="H1377" i="6"/>
  <c r="K1492" i="6"/>
  <c r="H1842" i="6"/>
  <c r="H1982" i="6"/>
  <c r="H2003" i="6"/>
  <c r="H89" i="6"/>
  <c r="K150" i="6"/>
  <c r="H153" i="6"/>
  <c r="K188" i="6"/>
  <c r="K208" i="6"/>
  <c r="H253" i="6"/>
  <c r="K289" i="6"/>
  <c r="K387" i="6"/>
  <c r="K423" i="6"/>
  <c r="H545" i="6"/>
  <c r="K553" i="6"/>
  <c r="H571" i="6"/>
  <c r="K591" i="6"/>
  <c r="H615" i="6"/>
  <c r="K623" i="6"/>
  <c r="H632" i="6"/>
  <c r="H665" i="6"/>
  <c r="K679" i="6"/>
  <c r="K693" i="6"/>
  <c r="K696" i="6"/>
  <c r="K699" i="6"/>
  <c r="H705" i="6"/>
  <c r="K716" i="6"/>
  <c r="H722" i="6"/>
  <c r="H743" i="6"/>
  <c r="K762" i="6"/>
  <c r="K765" i="6"/>
  <c r="H823" i="6"/>
  <c r="K831" i="6"/>
  <c r="K869" i="6"/>
  <c r="H907" i="6"/>
  <c r="H925" i="6"/>
  <c r="K950" i="6"/>
  <c r="H963" i="6"/>
  <c r="K988" i="6"/>
  <c r="K991" i="6"/>
  <c r="K1073" i="6"/>
  <c r="H1102" i="6"/>
  <c r="H1105" i="6"/>
  <c r="K1119" i="6"/>
  <c r="K1122" i="6"/>
  <c r="K1170" i="6"/>
  <c r="H1182" i="6"/>
  <c r="K1185" i="6"/>
  <c r="K1205" i="6"/>
  <c r="K1323" i="6"/>
  <c r="K1326" i="6"/>
  <c r="K1360" i="6"/>
  <c r="K1374" i="6"/>
  <c r="H1585" i="6"/>
  <c r="K1662" i="6"/>
  <c r="H1772" i="6"/>
  <c r="K1888" i="6"/>
  <c r="H897" i="6"/>
  <c r="H1194" i="6"/>
  <c r="K408" i="6"/>
  <c r="H412" i="6"/>
  <c r="K420" i="6"/>
  <c r="K432" i="6"/>
  <c r="K438" i="6"/>
  <c r="H456" i="6"/>
  <c r="K479" i="6"/>
  <c r="K488" i="6"/>
  <c r="K494" i="6"/>
  <c r="K506" i="6"/>
  <c r="K518" i="6"/>
  <c r="K527" i="6"/>
  <c r="K533" i="6"/>
  <c r="H551" i="6"/>
  <c r="K571" i="6"/>
  <c r="K577" i="6"/>
  <c r="H586" i="6"/>
  <c r="K612" i="6"/>
  <c r="K629" i="6"/>
  <c r="K632" i="6"/>
  <c r="K653" i="6"/>
  <c r="K662" i="6"/>
  <c r="K665" i="6"/>
  <c r="K668" i="6"/>
  <c r="H674" i="6"/>
  <c r="H697" i="6"/>
  <c r="K748" i="6"/>
  <c r="H751" i="6"/>
  <c r="H754" i="6"/>
  <c r="H760" i="6"/>
  <c r="K771" i="6"/>
  <c r="H791" i="6"/>
  <c r="H806" i="6"/>
  <c r="H889" i="6"/>
  <c r="K913" i="6"/>
  <c r="K925" i="6"/>
  <c r="H934" i="6"/>
  <c r="K939" i="6"/>
  <c r="H995" i="6"/>
  <c r="K1014" i="6"/>
  <c r="K1017" i="6"/>
  <c r="H1023" i="6"/>
  <c r="K1059" i="6"/>
  <c r="H1068" i="6"/>
  <c r="K1096" i="6"/>
  <c r="H1114" i="6"/>
  <c r="H1148" i="6"/>
  <c r="K1191" i="6"/>
  <c r="K1217" i="6"/>
  <c r="H1253" i="6"/>
  <c r="K1264" i="6"/>
  <c r="K1279" i="6"/>
  <c r="H1324" i="6"/>
  <c r="K1363" i="6"/>
  <c r="K1366" i="6"/>
  <c r="H864" i="6"/>
  <c r="K957" i="6"/>
  <c r="K977" i="6"/>
  <c r="K1020" i="6"/>
  <c r="H1074" i="6"/>
  <c r="K1114" i="6"/>
  <c r="H1168" i="6"/>
  <c r="K1197" i="6"/>
  <c r="H1259" i="6"/>
  <c r="K1294" i="6"/>
  <c r="K1314" i="6"/>
  <c r="K1567" i="6"/>
  <c r="K1657" i="6"/>
  <c r="H1871" i="6"/>
  <c r="H436" i="6"/>
  <c r="H757" i="6"/>
  <c r="K782" i="6"/>
  <c r="H800" i="6"/>
  <c r="H812" i="6"/>
  <c r="H821" i="6"/>
  <c r="H1018" i="6"/>
  <c r="H1085" i="6"/>
  <c r="H1537" i="6"/>
  <c r="H519" i="6"/>
  <c r="K24" i="6"/>
  <c r="K45" i="6"/>
  <c r="H72" i="6"/>
  <c r="K148" i="6"/>
  <c r="K180" i="6"/>
  <c r="K186" i="6"/>
  <c r="K189" i="6"/>
  <c r="H198" i="6"/>
  <c r="K224" i="6"/>
  <c r="K239" i="6"/>
  <c r="H248" i="6"/>
  <c r="H260" i="6"/>
  <c r="K287" i="6"/>
  <c r="K293" i="6"/>
  <c r="K296" i="6"/>
  <c r="H314" i="6"/>
  <c r="K320" i="6"/>
  <c r="K329" i="6"/>
  <c r="K362" i="6"/>
  <c r="H406" i="6"/>
  <c r="H471" i="6"/>
  <c r="H510" i="6"/>
  <c r="H513" i="6"/>
  <c r="H543" i="6"/>
  <c r="K548" i="6"/>
  <c r="K551" i="6"/>
  <c r="H569" i="6"/>
  <c r="K586" i="6"/>
  <c r="K589" i="6"/>
  <c r="H601" i="6"/>
  <c r="H607" i="6"/>
  <c r="K621" i="6"/>
  <c r="H651" i="6"/>
  <c r="H657" i="6"/>
  <c r="K680" i="6"/>
  <c r="K691" i="6"/>
  <c r="K700" i="6"/>
  <c r="H703" i="6"/>
  <c r="K766" i="6"/>
  <c r="H844" i="6"/>
  <c r="K870" i="6"/>
  <c r="H905" i="6"/>
  <c r="H929" i="6"/>
  <c r="H983" i="6"/>
  <c r="H986" i="6"/>
  <c r="K989" i="6"/>
  <c r="K992" i="6"/>
  <c r="H1012" i="6"/>
  <c r="K1023" i="6"/>
  <c r="K1026" i="6"/>
  <c r="K1051" i="6"/>
  <c r="H1071" i="6"/>
  <c r="H1115" i="6"/>
  <c r="H1126" i="6"/>
  <c r="H1157" i="6"/>
  <c r="K1162" i="6"/>
  <c r="K1200" i="6"/>
  <c r="K1250" i="6"/>
  <c r="K1300" i="6"/>
  <c r="K1342" i="6"/>
  <c r="K1440" i="6"/>
  <c r="K1443" i="6"/>
  <c r="K1455" i="6"/>
  <c r="K1742" i="6"/>
  <c r="K1916" i="6"/>
  <c r="K1322" i="6"/>
  <c r="H1325" i="6"/>
  <c r="K1344" i="6"/>
  <c r="K1379" i="6"/>
  <c r="H1408" i="6"/>
  <c r="K1471" i="6"/>
  <c r="H1581" i="6"/>
  <c r="K1595" i="6"/>
  <c r="K1691" i="6"/>
  <c r="K1272" i="6"/>
  <c r="K1275" i="6"/>
  <c r="K1283" i="6"/>
  <c r="K1311" i="6"/>
  <c r="K1325" i="6"/>
  <c r="K1333" i="6"/>
  <c r="H1339" i="6"/>
  <c r="K1391" i="6"/>
  <c r="K1416" i="6"/>
  <c r="K1425" i="6"/>
  <c r="K1437" i="6"/>
  <c r="H1472" i="6"/>
  <c r="K1477" i="6"/>
  <c r="K1518" i="6"/>
  <c r="K1533" i="6"/>
  <c r="H1590" i="6"/>
  <c r="H1599" i="6"/>
  <c r="K1651" i="6"/>
  <c r="K1730" i="6"/>
  <c r="K1733" i="6"/>
  <c r="K1810" i="6"/>
  <c r="K1858" i="6"/>
  <c r="K1969" i="6"/>
  <c r="K1972" i="6"/>
  <c r="K1981" i="6"/>
  <c r="H1203" i="6"/>
  <c r="K1211" i="6"/>
  <c r="K1261" i="6"/>
  <c r="K1295" i="6"/>
  <c r="K1303" i="6"/>
  <c r="H1315" i="6"/>
  <c r="H1406" i="6"/>
  <c r="K1420" i="6"/>
  <c r="K1426" i="6"/>
  <c r="K1429" i="6"/>
  <c r="H1441" i="6"/>
  <c r="H1519" i="6"/>
  <c r="K1528" i="6"/>
  <c r="H1573" i="6"/>
  <c r="K1814" i="6"/>
  <c r="K1844" i="6"/>
  <c r="K1850" i="6"/>
  <c r="H1895" i="6"/>
  <c r="K1928" i="6"/>
  <c r="K1946" i="6"/>
  <c r="H1961" i="6"/>
  <c r="K1997" i="6"/>
  <c r="K807" i="6"/>
  <c r="H819" i="6"/>
  <c r="K850" i="6"/>
  <c r="H874" i="6"/>
  <c r="K876" i="6"/>
  <c r="K902" i="6"/>
  <c r="K933" i="6"/>
  <c r="H982" i="6"/>
  <c r="H991" i="6"/>
  <c r="H1019" i="6"/>
  <c r="K1027" i="6"/>
  <c r="H1044" i="6"/>
  <c r="H1049" i="6"/>
  <c r="H1052" i="6"/>
  <c r="K1057" i="6"/>
  <c r="H1080" i="6"/>
  <c r="K1085" i="6"/>
  <c r="H1097" i="6"/>
  <c r="H1120" i="6"/>
  <c r="K1130" i="6"/>
  <c r="H1136" i="6"/>
  <c r="K1144" i="6"/>
  <c r="H1147" i="6"/>
  <c r="H1184" i="6"/>
  <c r="K1206" i="6"/>
  <c r="H1223" i="6"/>
  <c r="H1265" i="6"/>
  <c r="K1337" i="6"/>
  <c r="K1349" i="6"/>
  <c r="K1361" i="6"/>
  <c r="H1398" i="6"/>
  <c r="H1430" i="6"/>
  <c r="K1484" i="6"/>
  <c r="K1487" i="6"/>
  <c r="K1501" i="6"/>
  <c r="H1568" i="6"/>
  <c r="K1617" i="6"/>
  <c r="K1710" i="6"/>
  <c r="H1839" i="6"/>
  <c r="H1626" i="6"/>
  <c r="H1632" i="6"/>
  <c r="K1681" i="6"/>
  <c r="H1809" i="6"/>
  <c r="H1854" i="6"/>
  <c r="H1917" i="6"/>
  <c r="K1147" i="6"/>
  <c r="K1178" i="6"/>
  <c r="K1223" i="6"/>
  <c r="H1235" i="6"/>
  <c r="K1243" i="6"/>
  <c r="H1285" i="6"/>
  <c r="H1385" i="6"/>
  <c r="K1559" i="6"/>
  <c r="H1638" i="6"/>
  <c r="K1690" i="6"/>
  <c r="K1839" i="6"/>
  <c r="H1887" i="6"/>
  <c r="K1911" i="6"/>
  <c r="H1962" i="6"/>
  <c r="K1992" i="6"/>
  <c r="H1170" i="6"/>
  <c r="K1181" i="6"/>
  <c r="K1190" i="6"/>
  <c r="H1257" i="6"/>
  <c r="K1262" i="6"/>
  <c r="H1350" i="6"/>
  <c r="H1356" i="6"/>
  <c r="K1401" i="6"/>
  <c r="K1424" i="6"/>
  <c r="K1433" i="6"/>
  <c r="H1610" i="6"/>
  <c r="H1188" i="6"/>
  <c r="H1311" i="6"/>
  <c r="H1399" i="6"/>
  <c r="H1419" i="6"/>
  <c r="H1607" i="6"/>
  <c r="H1792" i="6"/>
  <c r="H1981" i="6"/>
  <c r="K802" i="6"/>
  <c r="K845" i="6"/>
  <c r="K848" i="6"/>
  <c r="K877" i="6"/>
  <c r="H915" i="6"/>
  <c r="K920" i="6"/>
  <c r="K934" i="6"/>
  <c r="K942" i="6"/>
  <c r="K945" i="6"/>
  <c r="K971" i="6"/>
  <c r="K974" i="6"/>
  <c r="H989" i="6"/>
  <c r="K994" i="6"/>
  <c r="K1058" i="6"/>
  <c r="K1072" i="6"/>
  <c r="K1075" i="6"/>
  <c r="K1086" i="6"/>
  <c r="K1131" i="6"/>
  <c r="K1134" i="6"/>
  <c r="K1161" i="6"/>
  <c r="H1297" i="6"/>
  <c r="H1308" i="6"/>
  <c r="K1341" i="6"/>
  <c r="K1350" i="6"/>
  <c r="K1353" i="6"/>
  <c r="K1365" i="6"/>
  <c r="K1373" i="6"/>
  <c r="H1379" i="6"/>
  <c r="K1385" i="6"/>
  <c r="K1396" i="6"/>
  <c r="H1434" i="6"/>
  <c r="H1437" i="6"/>
  <c r="K1463" i="6"/>
  <c r="K1485" i="6"/>
  <c r="H1554" i="6"/>
  <c r="H1682" i="6"/>
  <c r="K1738" i="6"/>
  <c r="H1750" i="6"/>
  <c r="H1873" i="6"/>
  <c r="H1903" i="6"/>
  <c r="H1942" i="6"/>
  <c r="K1777" i="6"/>
  <c r="K1791" i="6"/>
  <c r="K1825" i="6"/>
  <c r="K1847" i="6"/>
  <c r="H1858" i="6"/>
  <c r="H1870" i="6"/>
  <c r="H1897" i="6"/>
  <c r="H1992" i="6"/>
  <c r="K1719" i="6"/>
  <c r="K1731" i="6"/>
  <c r="H1759" i="6"/>
  <c r="H1786" i="6"/>
  <c r="H1812" i="6"/>
  <c r="H1829" i="6"/>
  <c r="K1845" i="6"/>
  <c r="K1906" i="6"/>
  <c r="H1923" i="6"/>
  <c r="H1931" i="6"/>
  <c r="K1939" i="6"/>
  <c r="H1953" i="6"/>
  <c r="H2016" i="6"/>
  <c r="H2019" i="6"/>
  <c r="K1522" i="6"/>
  <c r="H1563" i="6"/>
  <c r="H1608" i="6"/>
  <c r="K1711" i="6"/>
  <c r="H1737" i="6"/>
  <c r="H1743" i="6"/>
  <c r="K1786" i="6"/>
  <c r="K1800" i="6"/>
  <c r="K1803" i="6"/>
  <c r="K1067" i="6"/>
  <c r="H1076" i="6"/>
  <c r="H1095" i="6"/>
  <c r="K1137" i="6"/>
  <c r="H1185" i="6"/>
  <c r="H1207" i="6"/>
  <c r="H1224" i="6"/>
  <c r="K1232" i="6"/>
  <c r="H1244" i="6"/>
  <c r="K1257" i="6"/>
  <c r="K1291" i="6"/>
  <c r="H1322" i="6"/>
  <c r="K1343" i="6"/>
  <c r="K1346" i="6"/>
  <c r="K1367" i="6"/>
  <c r="K1381" i="6"/>
  <c r="K1395" i="6"/>
  <c r="K1412" i="6"/>
  <c r="H1415" i="6"/>
  <c r="K1444" i="6"/>
  <c r="K1447" i="6"/>
  <c r="H1453" i="6"/>
  <c r="H1456" i="6"/>
  <c r="K1469" i="6"/>
  <c r="K1491" i="6"/>
  <c r="K1508" i="6"/>
  <c r="K1534" i="6"/>
  <c r="K1548" i="6"/>
  <c r="K1551" i="6"/>
  <c r="K1585" i="6"/>
  <c r="K1599" i="6"/>
  <c r="H1622" i="6"/>
  <c r="K1660" i="6"/>
  <c r="K1680" i="6"/>
  <c r="K1683" i="6"/>
  <c r="H1692" i="6"/>
  <c r="H1717" i="6"/>
  <c r="K1740" i="6"/>
  <c r="K1743" i="6"/>
  <c r="H1746" i="6"/>
  <c r="K1748" i="6"/>
  <c r="H1765" i="6"/>
  <c r="H1770" i="6"/>
  <c r="K1818" i="6"/>
  <c r="K1829" i="6"/>
  <c r="K1837" i="6"/>
  <c r="K1868" i="6"/>
  <c r="K1890" i="6"/>
  <c r="K1895" i="6"/>
  <c r="K1970" i="6"/>
  <c r="K1976" i="6"/>
  <c r="K1996" i="6"/>
  <c r="K1999" i="6"/>
  <c r="H1614" i="6"/>
  <c r="H1619" i="6"/>
  <c r="K1674" i="6"/>
  <c r="K1677" i="6"/>
  <c r="K1821" i="6"/>
  <c r="K1965" i="6"/>
  <c r="H1994" i="6"/>
  <c r="K1478" i="6"/>
  <c r="K1486" i="6"/>
  <c r="K1497" i="6"/>
  <c r="K1514" i="6"/>
  <c r="K1520" i="6"/>
  <c r="K1526" i="6"/>
  <c r="H1625" i="6"/>
  <c r="K1633" i="6"/>
  <c r="K1720" i="6"/>
  <c r="K1729" i="6"/>
  <c r="K1732" i="6"/>
  <c r="K1770" i="6"/>
  <c r="K1824" i="6"/>
  <c r="H1841" i="6"/>
  <c r="H1954" i="6"/>
  <c r="H1481" i="6"/>
  <c r="H1512" i="6"/>
  <c r="K1569" i="6"/>
  <c r="H1597" i="6"/>
  <c r="K1648" i="6"/>
  <c r="H1690" i="6"/>
  <c r="H1749" i="6"/>
  <c r="H1760" i="6"/>
  <c r="H1779" i="6"/>
  <c r="K1790" i="6"/>
  <c r="K1827" i="6"/>
  <c r="K1835" i="6"/>
  <c r="H1869" i="6"/>
  <c r="H1957" i="6"/>
  <c r="K1451" i="6"/>
  <c r="H1527" i="6"/>
  <c r="K1552" i="6"/>
  <c r="K1597" i="6"/>
  <c r="H1634" i="6"/>
  <c r="H1704" i="6"/>
  <c r="H1733" i="6"/>
  <c r="H1785" i="6"/>
  <c r="K1807" i="6"/>
  <c r="H1810" i="6"/>
  <c r="K1813" i="6"/>
  <c r="K1841" i="6"/>
  <c r="K1866" i="6"/>
  <c r="K1896" i="6"/>
  <c r="K1918" i="6"/>
  <c r="H1922" i="6"/>
  <c r="K1924" i="6"/>
  <c r="H1966" i="6"/>
  <c r="K1980" i="6"/>
  <c r="K2008" i="6"/>
  <c r="K26" i="6"/>
  <c r="K42" i="6"/>
  <c r="N8" i="6"/>
  <c r="K56" i="6"/>
  <c r="K92" i="6"/>
  <c r="H106" i="6"/>
  <c r="H120" i="6"/>
  <c r="H352" i="6"/>
  <c r="K403" i="6"/>
  <c r="K449" i="6"/>
  <c r="H493" i="6"/>
  <c r="H520" i="6"/>
  <c r="K528" i="6"/>
  <c r="K534" i="6"/>
  <c r="K579" i="6"/>
  <c r="H619" i="6"/>
  <c r="K656" i="6"/>
  <c r="H659" i="6"/>
  <c r="H662" i="6"/>
  <c r="K795" i="6"/>
  <c r="H142" i="6"/>
  <c r="H217" i="6"/>
  <c r="H355" i="6"/>
  <c r="H876" i="6"/>
  <c r="H27" i="6"/>
  <c r="K32" i="6"/>
  <c r="K37" i="6"/>
  <c r="H73" i="6"/>
  <c r="K106" i="6"/>
  <c r="K147" i="6"/>
  <c r="H358" i="6"/>
  <c r="K395" i="6"/>
  <c r="K398" i="6"/>
  <c r="K481" i="6"/>
  <c r="H565" i="6"/>
  <c r="K70" i="6"/>
  <c r="H512" i="6"/>
  <c r="K344" i="6"/>
  <c r="H529" i="6"/>
  <c r="H214" i="6"/>
  <c r="H879" i="6"/>
  <c r="H257" i="6"/>
  <c r="K476" i="6"/>
  <c r="H482" i="6"/>
  <c r="K614" i="6"/>
  <c r="K776" i="6"/>
  <c r="H1205" i="6"/>
  <c r="H774" i="6"/>
  <c r="K341" i="6"/>
  <c r="O8" i="6"/>
  <c r="H55" i="6"/>
  <c r="K195" i="6"/>
  <c r="K755" i="6"/>
  <c r="H1494" i="6"/>
  <c r="K93" i="6"/>
  <c r="H350" i="6"/>
  <c r="K643" i="6"/>
  <c r="H140" i="6"/>
  <c r="H232" i="6"/>
  <c r="K252" i="6"/>
  <c r="H301" i="6"/>
  <c r="H327" i="6"/>
  <c r="K688" i="6"/>
  <c r="H788" i="6"/>
  <c r="K79" i="6"/>
  <c r="H463" i="6"/>
  <c r="K28" i="6"/>
  <c r="K36" i="6"/>
  <c r="H41" i="6"/>
  <c r="K52" i="6"/>
  <c r="K63" i="6"/>
  <c r="K68" i="6"/>
  <c r="H74" i="6"/>
  <c r="H94" i="6"/>
  <c r="H179" i="6"/>
  <c r="K190" i="6"/>
  <c r="K238" i="6"/>
  <c r="K301" i="6"/>
  <c r="K419" i="6"/>
  <c r="K425" i="6"/>
  <c r="K563" i="6"/>
  <c r="K672" i="6"/>
  <c r="H1066" i="6"/>
  <c r="K44" i="6"/>
  <c r="H77" i="6"/>
  <c r="H304" i="6"/>
  <c r="K498" i="6"/>
  <c r="K544" i="6"/>
  <c r="H550" i="6"/>
  <c r="K675" i="6"/>
  <c r="H740" i="6"/>
  <c r="K157" i="6"/>
  <c r="K273" i="6"/>
  <c r="K495" i="6"/>
  <c r="H69" i="6"/>
  <c r="H75" i="6"/>
  <c r="K127" i="6"/>
  <c r="H152" i="6"/>
  <c r="H334" i="6"/>
  <c r="H368" i="6"/>
  <c r="H534" i="6"/>
  <c r="K650" i="6"/>
  <c r="K723" i="6"/>
  <c r="K1002" i="6"/>
  <c r="H1149" i="6"/>
  <c r="K25" i="6"/>
  <c r="H26" i="6"/>
  <c r="K50" i="6"/>
  <c r="H95" i="6"/>
  <c r="H452" i="6"/>
  <c r="H807" i="6"/>
  <c r="K165" i="6"/>
  <c r="K170" i="6"/>
  <c r="K173" i="6"/>
  <c r="K178" i="6"/>
  <c r="K226" i="6"/>
  <c r="H303" i="6"/>
  <c r="K311" i="6"/>
  <c r="K394" i="6"/>
  <c r="K402" i="6"/>
  <c r="K413" i="6"/>
  <c r="K421" i="6"/>
  <c r="K505" i="6"/>
  <c r="H539" i="6"/>
  <c r="K549" i="6"/>
  <c r="H552" i="6"/>
  <c r="K605" i="6"/>
  <c r="K608" i="6"/>
  <c r="K626" i="6"/>
  <c r="H650" i="6"/>
  <c r="K666" i="6"/>
  <c r="K698" i="6"/>
  <c r="H704" i="6"/>
  <c r="K706" i="6"/>
  <c r="K778" i="6"/>
  <c r="K951" i="6"/>
  <c r="K1024" i="6"/>
  <c r="K1269" i="6"/>
  <c r="H166" i="6"/>
  <c r="K197" i="6"/>
  <c r="K278" i="6"/>
  <c r="K281" i="6"/>
  <c r="K292" i="6"/>
  <c r="H295" i="6"/>
  <c r="K322" i="6"/>
  <c r="H422" i="6"/>
  <c r="H449" i="6"/>
  <c r="K454" i="6"/>
  <c r="K457" i="6"/>
  <c r="K489" i="6"/>
  <c r="K492" i="6"/>
  <c r="K508" i="6"/>
  <c r="K522" i="6"/>
  <c r="H560" i="6"/>
  <c r="K576" i="6"/>
  <c r="K584" i="6"/>
  <c r="K757" i="6"/>
  <c r="K760" i="6"/>
  <c r="K773" i="6"/>
  <c r="K806" i="6"/>
  <c r="K817" i="6"/>
  <c r="H933" i="6"/>
  <c r="K1121" i="6"/>
  <c r="K1278" i="6"/>
  <c r="H46" i="6"/>
  <c r="K153" i="6"/>
  <c r="K334" i="6"/>
  <c r="H379" i="6"/>
  <c r="K474" i="6"/>
  <c r="H488" i="6"/>
  <c r="H423" i="6"/>
  <c r="H617" i="6"/>
  <c r="K659" i="6"/>
  <c r="H679" i="6"/>
  <c r="H832" i="6"/>
  <c r="K48" i="6"/>
  <c r="H54" i="6"/>
  <c r="K82" i="6"/>
  <c r="K85" i="6"/>
  <c r="K201" i="6"/>
  <c r="H220" i="6"/>
  <c r="H329" i="6"/>
  <c r="H469" i="6"/>
  <c r="K622" i="6"/>
  <c r="H654" i="6"/>
  <c r="H25" i="6"/>
  <c r="K59" i="6"/>
  <c r="K64" i="6"/>
  <c r="K123" i="6"/>
  <c r="H128" i="6"/>
  <c r="K135" i="6"/>
  <c r="H138" i="6"/>
  <c r="H167" i="6"/>
  <c r="K185" i="6"/>
  <c r="H188" i="6"/>
  <c r="H193" i="6"/>
  <c r="H212" i="6"/>
  <c r="H215" i="6"/>
  <c r="K220" i="6"/>
  <c r="H250" i="6"/>
  <c r="K274" i="6"/>
  <c r="K299" i="6"/>
  <c r="K302" i="6"/>
  <c r="K318" i="6"/>
  <c r="H345" i="6"/>
  <c r="H353" i="6"/>
  <c r="K358" i="6"/>
  <c r="K366" i="6"/>
  <c r="K396" i="6"/>
  <c r="H407" i="6"/>
  <c r="H420" i="6"/>
  <c r="K439" i="6"/>
  <c r="H546" i="6"/>
  <c r="H599" i="6"/>
  <c r="H604" i="6"/>
  <c r="K635" i="6"/>
  <c r="K638" i="6"/>
  <c r="K646" i="6"/>
  <c r="K684" i="6"/>
  <c r="K710" i="6"/>
  <c r="K713" i="6"/>
  <c r="K724" i="6"/>
  <c r="K743" i="6"/>
  <c r="K827" i="6"/>
  <c r="K832" i="6"/>
  <c r="H918" i="6"/>
  <c r="H1195" i="6"/>
  <c r="K1355" i="6"/>
  <c r="K1358" i="6"/>
  <c r="H133" i="6"/>
  <c r="H308" i="6"/>
  <c r="H404" i="6"/>
  <c r="H530" i="6"/>
  <c r="H538" i="6"/>
  <c r="H962" i="6"/>
  <c r="K33" i="6"/>
  <c r="K54" i="6"/>
  <c r="K67" i="6"/>
  <c r="K80" i="6"/>
  <c r="H86" i="6"/>
  <c r="K99" i="6"/>
  <c r="H121" i="6"/>
  <c r="K133" i="6"/>
  <c r="K138" i="6"/>
  <c r="K151" i="6"/>
  <c r="H162" i="6"/>
  <c r="K167" i="6"/>
  <c r="K199" i="6"/>
  <c r="K204" i="6"/>
  <c r="H228" i="6"/>
  <c r="K233" i="6"/>
  <c r="H272" i="6"/>
  <c r="H305" i="6"/>
  <c r="K321" i="6"/>
  <c r="H330" i="6"/>
  <c r="K342" i="6"/>
  <c r="K345" i="6"/>
  <c r="K353" i="6"/>
  <c r="H359" i="6"/>
  <c r="K361" i="6"/>
  <c r="K374" i="6"/>
  <c r="K379" i="6"/>
  <c r="K442" i="6"/>
  <c r="K459" i="6"/>
  <c r="H499" i="6"/>
  <c r="K521" i="6"/>
  <c r="H559" i="6"/>
  <c r="K572" i="6"/>
  <c r="K575" i="6"/>
  <c r="K594" i="6"/>
  <c r="K630" i="6"/>
  <c r="H690" i="6"/>
  <c r="K692" i="6"/>
  <c r="H725" i="6"/>
  <c r="K727" i="6"/>
  <c r="K819" i="6"/>
  <c r="K838" i="6"/>
  <c r="K855" i="6"/>
  <c r="H913" i="6"/>
  <c r="K959" i="6"/>
  <c r="H965" i="6"/>
  <c r="K1195" i="6"/>
  <c r="K1352" i="6"/>
  <c r="H191" i="6"/>
  <c r="H1584" i="6"/>
  <c r="K41" i="6"/>
  <c r="K57" i="6"/>
  <c r="K62" i="6"/>
  <c r="K83" i="6"/>
  <c r="K86" i="6"/>
  <c r="H92" i="6"/>
  <c r="K94" i="6"/>
  <c r="H100" i="6"/>
  <c r="K159" i="6"/>
  <c r="K162" i="6"/>
  <c r="K175" i="6"/>
  <c r="H178" i="6"/>
  <c r="H194" i="6"/>
  <c r="H234" i="6"/>
  <c r="K283" i="6"/>
  <c r="K316" i="6"/>
  <c r="K364" i="6"/>
  <c r="K369" i="6"/>
  <c r="K410" i="6"/>
  <c r="H413" i="6"/>
  <c r="H421" i="6"/>
  <c r="H448" i="6"/>
  <c r="H465" i="6"/>
  <c r="K491" i="6"/>
  <c r="H494" i="6"/>
  <c r="K538" i="6"/>
  <c r="H541" i="6"/>
  <c r="H554" i="6"/>
  <c r="K556" i="6"/>
  <c r="H573" i="6"/>
  <c r="H680" i="6"/>
  <c r="K703" i="6"/>
  <c r="H706" i="6"/>
  <c r="H714" i="6"/>
  <c r="K775" i="6"/>
  <c r="K780" i="6"/>
  <c r="K788" i="6"/>
  <c r="H794" i="6"/>
  <c r="K822" i="6"/>
  <c r="H1275" i="6"/>
  <c r="K1316" i="6"/>
  <c r="K105" i="6"/>
  <c r="K116" i="6"/>
  <c r="K121" i="6"/>
  <c r="H139" i="6"/>
  <c r="K191" i="6"/>
  <c r="K202" i="6"/>
  <c r="K231" i="6"/>
  <c r="H245" i="6"/>
  <c r="K300" i="6"/>
  <c r="K305" i="6"/>
  <c r="H432" i="6"/>
  <c r="K559" i="6"/>
  <c r="H621" i="6"/>
  <c r="K711" i="6"/>
  <c r="K714" i="6"/>
  <c r="K719" i="6"/>
  <c r="K722" i="6"/>
  <c r="K725" i="6"/>
  <c r="H736" i="6"/>
  <c r="H783" i="6"/>
  <c r="H1030" i="6"/>
  <c r="K1184" i="6"/>
  <c r="H1278" i="6"/>
  <c r="H1286" i="6"/>
  <c r="K800" i="6"/>
  <c r="H803" i="6"/>
  <c r="H956" i="6"/>
  <c r="K961" i="6"/>
  <c r="H972" i="6"/>
  <c r="K979" i="6"/>
  <c r="K1247" i="6"/>
  <c r="K1252" i="6"/>
  <c r="H1340" i="6"/>
  <c r="H1558" i="6"/>
  <c r="H967" i="6"/>
  <c r="H1004" i="6"/>
  <c r="K1009" i="6"/>
  <c r="H1550" i="6"/>
  <c r="H1586" i="6"/>
  <c r="K854" i="6"/>
  <c r="H920" i="6"/>
  <c r="K956" i="6"/>
  <c r="K982" i="6"/>
  <c r="K1169" i="6"/>
  <c r="K1242" i="6"/>
  <c r="K1288" i="6"/>
  <c r="K1321" i="6"/>
  <c r="H1380" i="6"/>
  <c r="K1399" i="6"/>
  <c r="K1410" i="6"/>
  <c r="K1450" i="6"/>
  <c r="K1461" i="6"/>
  <c r="H246" i="6"/>
  <c r="H270" i="6"/>
  <c r="K277" i="6"/>
  <c r="K280" i="6"/>
  <c r="H323" i="6"/>
  <c r="H360" i="6"/>
  <c r="H383" i="6"/>
  <c r="K412" i="6"/>
  <c r="K436" i="6"/>
  <c r="H518" i="6"/>
  <c r="H540" i="6"/>
  <c r="H614" i="6"/>
  <c r="H631" i="6"/>
  <c r="H642" i="6"/>
  <c r="H707" i="6"/>
  <c r="H715" i="6"/>
  <c r="K758" i="6"/>
  <c r="H1059" i="6"/>
  <c r="H1086" i="6"/>
  <c r="H1314" i="6"/>
  <c r="K203" i="6"/>
  <c r="H211" i="6"/>
  <c r="K251" i="6"/>
  <c r="K256" i="6"/>
  <c r="K272" i="6"/>
  <c r="H281" i="6"/>
  <c r="K288" i="6"/>
  <c r="K309" i="6"/>
  <c r="K314" i="6"/>
  <c r="H326" i="6"/>
  <c r="H341" i="6"/>
  <c r="K397" i="6"/>
  <c r="H402" i="6"/>
  <c r="K404" i="6"/>
  <c r="H418" i="6"/>
  <c r="K426" i="6"/>
  <c r="K473" i="6"/>
  <c r="H476" i="6"/>
  <c r="K478" i="6"/>
  <c r="K486" i="6"/>
  <c r="K526" i="6"/>
  <c r="K529" i="6"/>
  <c r="K558" i="6"/>
  <c r="K561" i="6"/>
  <c r="H580" i="6"/>
  <c r="K606" i="6"/>
  <c r="K616" i="6"/>
  <c r="K642" i="6"/>
  <c r="H645" i="6"/>
  <c r="H655" i="6"/>
  <c r="K663" i="6"/>
  <c r="K712" i="6"/>
  <c r="K731" i="6"/>
  <c r="K746" i="6"/>
  <c r="K753" i="6"/>
  <c r="H759" i="6"/>
  <c r="H802" i="6"/>
  <c r="K812" i="6"/>
  <c r="K823" i="6"/>
  <c r="H877" i="6"/>
  <c r="K905" i="6"/>
  <c r="H908" i="6"/>
  <c r="K1108" i="6"/>
  <c r="H1230" i="6"/>
  <c r="K1384" i="6"/>
  <c r="H1529" i="6"/>
  <c r="K1701" i="6"/>
  <c r="K779" i="6"/>
  <c r="H815" i="6"/>
  <c r="H1017" i="6"/>
  <c r="K1022" i="6"/>
  <c r="K1083" i="6"/>
  <c r="K1298" i="6"/>
  <c r="K1347" i="6"/>
  <c r="H1209" i="6"/>
  <c r="H1220" i="6"/>
  <c r="H1376" i="6"/>
  <c r="K1489" i="6"/>
  <c r="K674" i="6"/>
  <c r="H695" i="6"/>
  <c r="K702" i="6"/>
  <c r="K759" i="6"/>
  <c r="H808" i="6"/>
  <c r="K810" i="6"/>
  <c r="K853" i="6"/>
  <c r="K924" i="6"/>
  <c r="H961" i="6"/>
  <c r="H1109" i="6"/>
  <c r="K1111" i="6"/>
  <c r="K1136" i="6"/>
  <c r="H1174" i="6"/>
  <c r="K1182" i="6"/>
  <c r="K1417" i="6"/>
  <c r="K1476" i="6"/>
  <c r="H950" i="6"/>
  <c r="H1212" i="6"/>
  <c r="K772" i="6"/>
  <c r="K805" i="6"/>
  <c r="K824" i="6"/>
  <c r="H848" i="6"/>
  <c r="K864" i="6"/>
  <c r="K911" i="6"/>
  <c r="H922" i="6"/>
  <c r="K947" i="6"/>
  <c r="K1128" i="6"/>
  <c r="K1139" i="6"/>
  <c r="K1220" i="6"/>
  <c r="K1423" i="6"/>
  <c r="H1409" i="6"/>
  <c r="H1867" i="6"/>
  <c r="H1090" i="6"/>
  <c r="K1120" i="6"/>
  <c r="K1229" i="6"/>
  <c r="H1234" i="6"/>
  <c r="K1287" i="6"/>
  <c r="H1458" i="6"/>
  <c r="K1473" i="6"/>
  <c r="H1800" i="6"/>
  <c r="K918" i="6"/>
  <c r="K928" i="6"/>
  <c r="K954" i="6"/>
  <c r="H987" i="6"/>
  <c r="H1009" i="6"/>
  <c r="K1043" i="6"/>
  <c r="H1048" i="6"/>
  <c r="K1053" i="6"/>
  <c r="K1123" i="6"/>
  <c r="K1168" i="6"/>
  <c r="K1187" i="6"/>
  <c r="H1190" i="6"/>
  <c r="H1192" i="6"/>
  <c r="K1194" i="6"/>
  <c r="H1197" i="6"/>
  <c r="K1219" i="6"/>
  <c r="H1247" i="6"/>
  <c r="K1249" i="6"/>
  <c r="K1256" i="6"/>
  <c r="K1285" i="6"/>
  <c r="K1293" i="6"/>
  <c r="H1352" i="6"/>
  <c r="H1355" i="6"/>
  <c r="H1394" i="6"/>
  <c r="K1436" i="6"/>
  <c r="K1637" i="6"/>
  <c r="K1797" i="6"/>
  <c r="K1820" i="6"/>
  <c r="H1826" i="6"/>
  <c r="H649" i="6"/>
  <c r="H738" i="6"/>
  <c r="H750" i="6"/>
  <c r="H828" i="6"/>
  <c r="H868" i="6"/>
  <c r="K940" i="6"/>
  <c r="H1084" i="6"/>
  <c r="H1132" i="6"/>
  <c r="H1193" i="6"/>
  <c r="K1413" i="6"/>
  <c r="H1534" i="6"/>
  <c r="H1616" i="6"/>
  <c r="K1679" i="6"/>
  <c r="H197" i="6"/>
  <c r="H216" i="6"/>
  <c r="K218" i="6"/>
  <c r="H242" i="6"/>
  <c r="K247" i="6"/>
  <c r="K260" i="6"/>
  <c r="K263" i="6"/>
  <c r="K310" i="6"/>
  <c r="K331" i="6"/>
  <c r="H357" i="6"/>
  <c r="K372" i="6"/>
  <c r="H397" i="6"/>
  <c r="K409" i="6"/>
  <c r="K414" i="6"/>
  <c r="H428" i="6"/>
  <c r="K443" i="6"/>
  <c r="K453" i="6"/>
  <c r="K462" i="6"/>
  <c r="H467" i="6"/>
  <c r="K469" i="6"/>
  <c r="K490" i="6"/>
  <c r="K503" i="6"/>
  <c r="H508" i="6"/>
  <c r="K532" i="6"/>
  <c r="K535" i="6"/>
  <c r="H595" i="6"/>
  <c r="K597" i="6"/>
  <c r="K602" i="6"/>
  <c r="K610" i="6"/>
  <c r="K617" i="6"/>
  <c r="K673" i="6"/>
  <c r="K678" i="6"/>
  <c r="H726" i="6"/>
  <c r="H731" i="6"/>
  <c r="H767" i="6"/>
  <c r="K781" i="6"/>
  <c r="H824" i="6"/>
  <c r="K846" i="6"/>
  <c r="K882" i="6"/>
  <c r="K919" i="6"/>
  <c r="K922" i="6"/>
  <c r="K1037" i="6"/>
  <c r="H1057" i="6"/>
  <c r="K1071" i="6"/>
  <c r="H1099" i="6"/>
  <c r="K1104" i="6"/>
  <c r="K1129" i="6"/>
  <c r="K1157" i="6"/>
  <c r="H1262" i="6"/>
  <c r="K1289" i="6"/>
  <c r="H1312" i="6"/>
  <c r="K1317" i="6"/>
  <c r="H1348" i="6"/>
  <c r="K1359" i="6"/>
  <c r="K1400" i="6"/>
  <c r="H1427" i="6"/>
  <c r="H1443" i="6"/>
  <c r="K1448" i="6"/>
  <c r="K1462" i="6"/>
  <c r="K1531" i="6"/>
  <c r="H1435" i="6"/>
  <c r="K912" i="6"/>
  <c r="K953" i="6"/>
  <c r="K963" i="6"/>
  <c r="K975" i="6"/>
  <c r="K1069" i="6"/>
  <c r="K1079" i="6"/>
  <c r="K1089" i="6"/>
  <c r="K1117" i="6"/>
  <c r="H1221" i="6"/>
  <c r="K1228" i="6"/>
  <c r="K1276" i="6"/>
  <c r="H1333" i="6"/>
  <c r="H1354" i="6"/>
  <c r="K1408" i="6"/>
  <c r="K1005" i="6"/>
  <c r="H1031" i="6"/>
  <c r="H1087" i="6"/>
  <c r="K1112" i="6"/>
  <c r="K1165" i="6"/>
  <c r="H1175" i="6"/>
  <c r="K1213" i="6"/>
  <c r="K1265" i="6"/>
  <c r="H1318" i="6"/>
  <c r="K1362" i="6"/>
  <c r="K1393" i="6"/>
  <c r="K1398" i="6"/>
  <c r="H1463" i="6"/>
  <c r="H1515" i="6"/>
  <c r="H1518" i="6"/>
  <c r="H1598" i="6"/>
  <c r="H1606" i="6"/>
  <c r="H1199" i="6"/>
  <c r="H1204" i="6"/>
  <c r="H1229" i="6"/>
  <c r="K645" i="6"/>
  <c r="K658" i="6"/>
  <c r="H661" i="6"/>
  <c r="K763" i="6"/>
  <c r="K770" i="6"/>
  <c r="H773" i="6"/>
  <c r="K784" i="6"/>
  <c r="H799" i="6"/>
  <c r="K811" i="6"/>
  <c r="K834" i="6"/>
  <c r="K839" i="6"/>
  <c r="K860" i="6"/>
  <c r="K873" i="6"/>
  <c r="K910" i="6"/>
  <c r="K958" i="6"/>
  <c r="K996" i="6"/>
  <c r="H1006" i="6"/>
  <c r="K1013" i="6"/>
  <c r="K1040" i="6"/>
  <c r="K1045" i="6"/>
  <c r="K1082" i="6"/>
  <c r="K1087" i="6"/>
  <c r="K1102" i="6"/>
  <c r="K1163" i="6"/>
  <c r="H1187" i="6"/>
  <c r="K1201" i="6"/>
  <c r="K1208" i="6"/>
  <c r="K1226" i="6"/>
  <c r="K1236" i="6"/>
  <c r="H1349" i="6"/>
  <c r="K1370" i="6"/>
  <c r="H1373" i="6"/>
  <c r="K1383" i="6"/>
  <c r="K1403" i="6"/>
  <c r="K1460" i="6"/>
  <c r="H1488" i="6"/>
  <c r="H1496" i="6"/>
  <c r="K1515" i="6"/>
  <c r="K1572" i="6"/>
  <c r="H1580" i="6"/>
  <c r="K1887" i="6"/>
  <c r="K1664" i="6"/>
  <c r="H1758" i="6"/>
  <c r="K1498" i="6"/>
  <c r="H1523" i="6"/>
  <c r="H1536" i="6"/>
  <c r="H1591" i="6"/>
  <c r="K1626" i="6"/>
  <c r="K1629" i="6"/>
  <c r="K1706" i="6"/>
  <c r="K1709" i="6"/>
  <c r="K1950" i="6"/>
  <c r="K1214" i="6"/>
  <c r="K1224" i="6"/>
  <c r="K1234" i="6"/>
  <c r="K1244" i="6"/>
  <c r="H1326" i="6"/>
  <c r="K1386" i="6"/>
  <c r="K1422" i="6"/>
  <c r="K1430" i="6"/>
  <c r="K1438" i="6"/>
  <c r="K1499" i="6"/>
  <c r="K1510" i="6"/>
  <c r="H1548" i="6"/>
  <c r="K1550" i="6"/>
  <c r="K1584" i="6"/>
  <c r="K1601" i="6"/>
  <c r="K1604" i="6"/>
  <c r="H1741" i="6"/>
  <c r="H1862" i="6"/>
  <c r="H1428" i="6"/>
  <c r="H1436" i="6"/>
  <c r="H1444" i="6"/>
  <c r="K1446" i="6"/>
  <c r="H1602" i="6"/>
  <c r="H1790" i="6"/>
  <c r="K1922" i="6"/>
  <c r="K1500" i="6"/>
  <c r="K1590" i="6"/>
  <c r="K1602" i="6"/>
  <c r="K1628" i="6"/>
  <c r="K1669" i="6"/>
  <c r="H1672" i="6"/>
  <c r="K1686" i="6"/>
  <c r="H1714" i="6"/>
  <c r="K1049" i="6"/>
  <c r="K1054" i="6"/>
  <c r="K1076" i="6"/>
  <c r="K1103" i="6"/>
  <c r="H1128" i="6"/>
  <c r="K1133" i="6"/>
  <c r="K1203" i="6"/>
  <c r="H1208" i="6"/>
  <c r="K1235" i="6"/>
  <c r="H1240" i="6"/>
  <c r="K1266" i="6"/>
  <c r="K1309" i="6"/>
  <c r="K1324" i="6"/>
  <c r="H1362" i="6"/>
  <c r="H1400" i="6"/>
  <c r="K1407" i="6"/>
  <c r="H1410" i="6"/>
  <c r="H1413" i="6"/>
  <c r="K1431" i="6"/>
  <c r="K1439" i="6"/>
  <c r="K1470" i="6"/>
  <c r="K1503" i="6"/>
  <c r="H1514" i="6"/>
  <c r="K1525" i="6"/>
  <c r="H1530" i="6"/>
  <c r="H1541" i="6"/>
  <c r="H1544" i="6"/>
  <c r="K1659" i="6"/>
  <c r="K1958" i="6"/>
  <c r="K1641" i="6"/>
  <c r="H1666" i="6"/>
  <c r="K1685" i="6"/>
  <c r="K1697" i="6"/>
  <c r="K1973" i="6"/>
  <c r="H2006" i="6"/>
  <c r="H1703" i="6"/>
  <c r="K1799" i="6"/>
  <c r="H1910" i="6"/>
  <c r="K2003" i="6"/>
  <c r="H1627" i="6"/>
  <c r="K1671" i="6"/>
  <c r="K1678" i="6"/>
  <c r="H1698" i="6"/>
  <c r="K1703" i="6"/>
  <c r="K1755" i="6"/>
  <c r="K1802" i="6"/>
  <c r="K1805" i="6"/>
  <c r="H1828" i="6"/>
  <c r="K1889" i="6"/>
  <c r="K1902" i="6"/>
  <c r="K1907" i="6"/>
  <c r="K1936" i="6"/>
  <c r="K1968" i="6"/>
  <c r="H1294" i="6"/>
  <c r="H1384" i="6"/>
  <c r="K1434" i="6"/>
  <c r="K1507" i="6"/>
  <c r="H1520" i="6"/>
  <c r="K1535" i="6"/>
  <c r="K1543" i="6"/>
  <c r="K1598" i="6"/>
  <c r="K1620" i="6"/>
  <c r="K1640" i="6"/>
  <c r="H1665" i="6"/>
  <c r="H1670" i="6"/>
  <c r="K1725" i="6"/>
  <c r="K1784" i="6"/>
  <c r="K1812" i="6"/>
  <c r="K1953" i="6"/>
  <c r="K1991" i="6"/>
  <c r="K2013" i="6"/>
  <c r="K2016" i="6"/>
  <c r="H1777" i="6"/>
  <c r="K1914" i="6"/>
  <c r="H1948" i="6"/>
  <c r="K1707" i="6"/>
  <c r="H1720" i="6"/>
  <c r="K1885" i="6"/>
  <c r="K1596" i="6"/>
  <c r="K1653" i="6"/>
  <c r="H1675" i="6"/>
  <c r="K1682" i="6"/>
  <c r="K1702" i="6"/>
  <c r="K1815" i="6"/>
  <c r="H1853" i="6"/>
  <c r="K1873" i="6"/>
  <c r="K1943" i="6"/>
  <c r="K1948" i="6"/>
  <c r="H1979" i="6"/>
  <c r="K1986" i="6"/>
  <c r="K2005" i="6"/>
  <c r="K2011" i="6"/>
  <c r="H1705" i="6"/>
  <c r="K1253" i="6"/>
  <c r="K1255" i="6"/>
  <c r="K1292" i="6"/>
  <c r="H1302" i="6"/>
  <c r="K1328" i="6"/>
  <c r="K1335" i="6"/>
  <c r="K1354" i="6"/>
  <c r="K1357" i="6"/>
  <c r="K1372" i="6"/>
  <c r="H1375" i="6"/>
  <c r="K1404" i="6"/>
  <c r="K1427" i="6"/>
  <c r="K1445" i="6"/>
  <c r="K1468" i="6"/>
  <c r="H1483" i="6"/>
  <c r="H1490" i="6"/>
  <c r="K1523" i="6"/>
  <c r="K1536" i="6"/>
  <c r="K1541" i="6"/>
  <c r="K1546" i="6"/>
  <c r="K1606" i="6"/>
  <c r="H1609" i="6"/>
  <c r="K1611" i="6"/>
  <c r="H1644" i="6"/>
  <c r="K1646" i="6"/>
  <c r="K1832" i="6"/>
  <c r="K1871" i="6"/>
  <c r="H1915" i="6"/>
  <c r="H1949" i="6"/>
  <c r="H1673" i="6"/>
  <c r="H1941" i="6"/>
  <c r="K1749" i="6"/>
  <c r="H1789" i="6"/>
  <c r="K1819" i="6"/>
  <c r="H1952" i="6"/>
  <c r="K1985" i="6"/>
  <c r="H1730" i="6"/>
  <c r="K1776" i="6"/>
  <c r="K1781" i="6"/>
  <c r="K1801" i="6"/>
  <c r="K1861" i="6"/>
  <c r="K1935" i="6"/>
  <c r="H1938" i="6"/>
  <c r="K1952" i="6"/>
  <c r="K1975" i="6"/>
  <c r="K1990" i="6"/>
  <c r="K2015" i="6"/>
  <c r="K1764" i="6"/>
  <c r="K1796" i="6"/>
  <c r="H1799" i="6"/>
  <c r="K1804" i="6"/>
  <c r="H1864" i="6"/>
  <c r="H1889" i="6"/>
  <c r="H1909" i="6"/>
  <c r="K1921" i="6"/>
  <c r="K2010" i="6"/>
  <c r="K1475" i="6"/>
  <c r="K1504" i="6"/>
  <c r="H1507" i="6"/>
  <c r="K1524" i="6"/>
  <c r="K1573" i="6"/>
  <c r="H1596" i="6"/>
  <c r="K1612" i="6"/>
  <c r="K1655" i="6"/>
  <c r="K1667" i="6"/>
  <c r="K1698" i="6"/>
  <c r="H1701" i="6"/>
  <c r="K1723" i="6"/>
  <c r="K1753" i="6"/>
  <c r="K1780" i="6"/>
  <c r="K1808" i="6"/>
  <c r="H1821" i="6"/>
  <c r="K1823" i="6"/>
  <c r="K1833" i="6"/>
  <c r="H1836" i="6"/>
  <c r="H1876" i="6"/>
  <c r="H1920" i="6"/>
  <c r="K1927" i="6"/>
  <c r="K1951" i="6"/>
  <c r="H2009" i="6"/>
  <c r="H2012" i="6"/>
  <c r="K1726" i="6"/>
  <c r="H1734" i="6"/>
  <c r="H1824" i="6"/>
  <c r="H1831" i="6"/>
  <c r="K1920" i="6"/>
  <c r="K2009" i="6"/>
  <c r="K1746" i="6"/>
  <c r="H1751" i="6"/>
  <c r="K1763" i="6"/>
  <c r="H1783" i="6"/>
  <c r="H1788" i="6"/>
  <c r="H1791" i="6"/>
  <c r="K1793" i="6"/>
  <c r="K1836" i="6"/>
  <c r="H1911" i="6"/>
  <c r="K1944" i="6"/>
  <c r="K1977" i="6"/>
  <c r="H1975" i="6"/>
  <c r="H1447" i="6"/>
  <c r="H1500" i="6"/>
  <c r="K1532" i="6"/>
  <c r="H1552" i="6"/>
  <c r="K1557" i="6"/>
  <c r="K1587" i="6"/>
  <c r="K1622" i="6"/>
  <c r="K1658" i="6"/>
  <c r="H1663" i="6"/>
  <c r="K1672" i="6"/>
  <c r="K1684" i="6"/>
  <c r="H1687" i="6"/>
  <c r="H1707" i="6"/>
  <c r="H1712" i="6"/>
  <c r="H1724" i="6"/>
  <c r="K1734" i="6"/>
  <c r="K1751" i="6"/>
  <c r="K1761" i="6"/>
  <c r="K1778" i="6"/>
  <c r="K1788" i="6"/>
  <c r="K1851" i="6"/>
  <c r="K1870" i="6"/>
  <c r="H1901" i="6"/>
  <c r="K1903" i="6"/>
  <c r="K1932" i="6"/>
  <c r="K1954" i="6"/>
  <c r="H1978" i="6"/>
  <c r="K1639" i="6"/>
  <c r="K1649" i="6"/>
  <c r="K1668" i="6"/>
  <c r="H1710" i="6"/>
  <c r="K1724" i="6"/>
  <c r="H1732" i="6"/>
  <c r="K1739" i="6"/>
  <c r="H1764" i="6"/>
  <c r="H1861" i="6"/>
  <c r="Q7" i="6"/>
  <c r="P7" i="6"/>
  <c r="O7" i="6"/>
  <c r="N7" i="6"/>
  <c r="R7" i="6"/>
  <c r="H85" i="6"/>
  <c r="H222" i="6"/>
  <c r="H509" i="6"/>
  <c r="R8" i="6"/>
  <c r="H59" i="6"/>
  <c r="H185" i="6"/>
  <c r="H172" i="6"/>
  <c r="R9" i="6"/>
  <c r="H150" i="6"/>
  <c r="H67" i="6"/>
  <c r="H62" i="6"/>
  <c r="H183" i="6"/>
  <c r="H141" i="6"/>
  <c r="H299" i="6"/>
  <c r="P8" i="6"/>
  <c r="H116" i="6"/>
  <c r="H230" i="6"/>
  <c r="H317" i="6"/>
  <c r="H111" i="6"/>
  <c r="K27" i="6"/>
  <c r="H97" i="6"/>
  <c r="K160" i="6"/>
  <c r="K219" i="6"/>
  <c r="H289" i="6"/>
  <c r="K315" i="6"/>
  <c r="K365" i="6"/>
  <c r="K497" i="6"/>
  <c r="H507" i="6"/>
  <c r="K620" i="6"/>
  <c r="H31" i="6"/>
  <c r="H70" i="6"/>
  <c r="K261" i="6"/>
  <c r="H274" i="6"/>
  <c r="H472" i="6"/>
  <c r="K568" i="6"/>
  <c r="K667" i="6"/>
  <c r="H47" i="6"/>
  <c r="H854" i="6"/>
  <c r="Q8" i="6"/>
  <c r="H165" i="6"/>
  <c r="H1307" i="6"/>
  <c r="H489" i="6"/>
  <c r="H787" i="6"/>
  <c r="K53" i="6"/>
  <c r="H258" i="6"/>
  <c r="H277" i="6"/>
  <c r="K435" i="6"/>
  <c r="H610" i="6"/>
  <c r="H447" i="6"/>
  <c r="N9" i="6"/>
  <c r="H208" i="6"/>
  <c r="H241" i="6"/>
  <c r="O9" i="6"/>
  <c r="H231" i="6"/>
  <c r="K241" i="6"/>
  <c r="H306" i="6"/>
  <c r="H374" i="6"/>
  <c r="H408" i="6"/>
  <c r="K433" i="6"/>
  <c r="K562" i="6"/>
  <c r="H177" i="6"/>
  <c r="Q9" i="6"/>
  <c r="H677" i="6"/>
  <c r="H338" i="6"/>
  <c r="H1206" i="6"/>
  <c r="H279" i="6"/>
  <c r="H380" i="6"/>
  <c r="H542" i="6"/>
  <c r="H38" i="6"/>
  <c r="P9" i="6"/>
  <c r="H280" i="6"/>
  <c r="H48" i="6"/>
  <c r="K174" i="6"/>
  <c r="K182" i="6"/>
  <c r="K194" i="6"/>
  <c r="K295" i="6"/>
  <c r="K499" i="6"/>
  <c r="K603" i="6"/>
  <c r="H620" i="6"/>
  <c r="H129" i="6"/>
  <c r="H296" i="6"/>
  <c r="H316" i="6"/>
  <c r="H22" i="6"/>
  <c r="H80" i="6"/>
  <c r="H163" i="6"/>
  <c r="K221" i="6"/>
  <c r="H322" i="6"/>
  <c r="K429" i="6"/>
  <c r="K536" i="6"/>
  <c r="H676" i="6"/>
  <c r="H450" i="6"/>
  <c r="H524" i="6"/>
  <c r="K609" i="6"/>
  <c r="H826" i="6"/>
  <c r="H566" i="6"/>
  <c r="H568" i="6"/>
  <c r="K809" i="6"/>
  <c r="K166" i="6"/>
  <c r="K183" i="6"/>
  <c r="K198" i="6"/>
  <c r="K215" i="6"/>
  <c r="K230" i="6"/>
  <c r="K253" i="6"/>
  <c r="K317" i="6"/>
  <c r="K381" i="6"/>
  <c r="H385" i="6"/>
  <c r="H424" i="6"/>
  <c r="K445" i="6"/>
  <c r="K509" i="6"/>
  <c r="K550" i="6"/>
  <c r="K695" i="6"/>
  <c r="K768" i="6"/>
  <c r="K793" i="6"/>
  <c r="H608" i="6"/>
  <c r="H623" i="6"/>
  <c r="H730" i="6"/>
  <c r="H798" i="6"/>
  <c r="H531" i="6"/>
  <c r="H583" i="6"/>
  <c r="H589" i="6"/>
  <c r="H652" i="6"/>
  <c r="H684" i="6"/>
  <c r="H895" i="6"/>
  <c r="H975" i="6"/>
  <c r="K327" i="6"/>
  <c r="K391" i="6"/>
  <c r="K455" i="6"/>
  <c r="K519" i="6"/>
  <c r="H606" i="6"/>
  <c r="H628" i="6"/>
  <c r="H671" i="6"/>
  <c r="H682" i="6"/>
  <c r="H440" i="6"/>
  <c r="H602" i="6"/>
  <c r="H626" i="6"/>
  <c r="H742" i="6"/>
  <c r="H973" i="6"/>
  <c r="H210" i="6"/>
  <c r="H225" i="6"/>
  <c r="H273" i="6"/>
  <c r="H312" i="6"/>
  <c r="H370" i="6"/>
  <c r="H376" i="6"/>
  <c r="H553" i="6"/>
  <c r="H719" i="6"/>
  <c r="H949" i="6"/>
  <c r="H954" i="6"/>
  <c r="K279" i="6"/>
  <c r="K343" i="6"/>
  <c r="K407" i="6"/>
  <c r="K471" i="6"/>
  <c r="K539" i="6"/>
  <c r="K557" i="6"/>
  <c r="K669" i="6"/>
  <c r="H688" i="6"/>
  <c r="K737" i="6"/>
  <c r="K786" i="6"/>
  <c r="H914" i="6"/>
  <c r="K921" i="6"/>
  <c r="K825" i="6"/>
  <c r="K836" i="6"/>
  <c r="H850" i="6"/>
  <c r="H861" i="6"/>
  <c r="K907" i="6"/>
  <c r="K1029" i="6"/>
  <c r="H556" i="6"/>
  <c r="H594" i="6"/>
  <c r="K641" i="6"/>
  <c r="K705" i="6"/>
  <c r="K732" i="6"/>
  <c r="K756" i="6"/>
  <c r="K791" i="6"/>
  <c r="K857" i="6"/>
  <c r="H1150" i="6"/>
  <c r="H814" i="6"/>
  <c r="H818" i="6"/>
  <c r="H860" i="6"/>
  <c r="H656" i="6"/>
  <c r="K697" i="6"/>
  <c r="K728" i="6"/>
  <c r="H771" i="6"/>
  <c r="K785" i="6"/>
  <c r="K820" i="6"/>
  <c r="H644" i="6"/>
  <c r="H716" i="6"/>
  <c r="K783" i="6"/>
  <c r="K796" i="6"/>
  <c r="K804" i="6"/>
  <c r="K868" i="6"/>
  <c r="H892" i="6"/>
  <c r="H900" i="6"/>
  <c r="K986" i="6"/>
  <c r="H1001" i="6"/>
  <c r="K1145" i="6"/>
  <c r="K792" i="6"/>
  <c r="H881" i="6"/>
  <c r="K624" i="6"/>
  <c r="K671" i="6"/>
  <c r="H739" i="6"/>
  <c r="K761" i="6"/>
  <c r="H784" i="6"/>
  <c r="H847" i="6"/>
  <c r="K909" i="6"/>
  <c r="H960" i="6"/>
  <c r="K981" i="6"/>
  <c r="K1056" i="6"/>
  <c r="K1140" i="6"/>
  <c r="H1064" i="6"/>
  <c r="H1264" i="6"/>
  <c r="H1451" i="6"/>
  <c r="K740" i="6"/>
  <c r="H748" i="6"/>
  <c r="K801" i="6"/>
  <c r="H835" i="6"/>
  <c r="K897" i="6"/>
  <c r="K914" i="6"/>
  <c r="K931" i="6"/>
  <c r="K1025" i="6"/>
  <c r="K929" i="6"/>
  <c r="H1053" i="6"/>
  <c r="K923" i="6"/>
  <c r="H946" i="6"/>
  <c r="K965" i="6"/>
  <c r="K1016" i="6"/>
  <c r="K1060" i="6"/>
  <c r="K721" i="6"/>
  <c r="K729" i="6"/>
  <c r="H816" i="6"/>
  <c r="K900" i="6"/>
  <c r="K906" i="6"/>
  <c r="K917" i="6"/>
  <c r="H951" i="6"/>
  <c r="K955" i="6"/>
  <c r="K1091" i="6"/>
  <c r="H1103" i="6"/>
  <c r="H1323" i="6"/>
  <c r="H1342" i="6"/>
  <c r="K1109" i="6"/>
  <c r="K1306" i="6"/>
  <c r="K1356" i="6"/>
  <c r="K849" i="6"/>
  <c r="K881" i="6"/>
  <c r="K941" i="6"/>
  <c r="H984" i="6"/>
  <c r="H1092" i="6"/>
  <c r="K1177" i="6"/>
  <c r="H1252" i="6"/>
  <c r="K1274" i="6"/>
  <c r="H1291" i="6"/>
  <c r="K1340" i="6"/>
  <c r="H1414" i="6"/>
  <c r="H1125" i="6"/>
  <c r="H1061" i="6"/>
  <c r="K1241" i="6"/>
  <c r="H1296" i="6"/>
  <c r="H1270" i="6"/>
  <c r="H1317" i="6"/>
  <c r="H1123" i="6"/>
  <c r="H863" i="6"/>
  <c r="H1022" i="6"/>
  <c r="K948" i="6"/>
  <c r="K952" i="6"/>
  <c r="K962" i="6"/>
  <c r="K970" i="6"/>
  <c r="K1050" i="6"/>
  <c r="H1351" i="6"/>
  <c r="K1153" i="6"/>
  <c r="H1439" i="6"/>
  <c r="H1096" i="6"/>
  <c r="H1127" i="6"/>
  <c r="H1152" i="6"/>
  <c r="K964" i="6"/>
  <c r="K1044" i="6"/>
  <c r="H1063" i="6"/>
  <c r="K1077" i="6"/>
  <c r="K1189" i="6"/>
  <c r="K1193" i="6"/>
  <c r="K1204" i="6"/>
  <c r="K1237" i="6"/>
  <c r="K1248" i="6"/>
  <c r="K1332" i="6"/>
  <c r="K1338" i="6"/>
  <c r="H1341" i="6"/>
  <c r="H1277" i="6"/>
  <c r="H992" i="6"/>
  <c r="H1200" i="6"/>
  <c r="K980" i="6"/>
  <c r="H1008" i="6"/>
  <c r="K1018" i="6"/>
  <c r="K1084" i="6"/>
  <c r="K1115" i="6"/>
  <c r="H1144" i="6"/>
  <c r="K1202" i="6"/>
  <c r="H1328" i="6"/>
  <c r="K1330" i="6"/>
  <c r="K1364" i="6"/>
  <c r="H1183" i="6"/>
  <c r="K949" i="6"/>
  <c r="H953" i="6"/>
  <c r="H959" i="6"/>
  <c r="H1295" i="6"/>
  <c r="K1299" i="6"/>
  <c r="H1320" i="6"/>
  <c r="H1374" i="6"/>
  <c r="K1113" i="6"/>
  <c r="K1284" i="6"/>
  <c r="K1297" i="6"/>
  <c r="K1348" i="6"/>
  <c r="K1428" i="6"/>
  <c r="H1503" i="6"/>
  <c r="K1388" i="6"/>
  <c r="K1418" i="6"/>
  <c r="K1519" i="6"/>
  <c r="H1667" i="6"/>
  <c r="K1554" i="6"/>
  <c r="H1072" i="6"/>
  <c r="K1173" i="6"/>
  <c r="K1419" i="6"/>
  <c r="H1422" i="6"/>
  <c r="H1433" i="6"/>
  <c r="H1442" i="6"/>
  <c r="K1482" i="6"/>
  <c r="K1496" i="6"/>
  <c r="H1540" i="6"/>
  <c r="H1668" i="6"/>
  <c r="H1677" i="6"/>
  <c r="H1689" i="6"/>
  <c r="H1367" i="6"/>
  <c r="H1466" i="6"/>
  <c r="H1378" i="6"/>
  <c r="H1335" i="6"/>
  <c r="H1343" i="6"/>
  <c r="K1454" i="6"/>
  <c r="H1504" i="6"/>
  <c r="H1521" i="6"/>
  <c r="H1538" i="6"/>
  <c r="K997" i="6"/>
  <c r="K1028" i="6"/>
  <c r="H1032" i="6"/>
  <c r="K1061" i="6"/>
  <c r="K1092" i="6"/>
  <c r="K1125" i="6"/>
  <c r="K1156" i="6"/>
  <c r="H1215" i="6"/>
  <c r="H1392" i="6"/>
  <c r="H1462" i="6"/>
  <c r="H1819" i="6"/>
  <c r="K1221" i="6"/>
  <c r="K1268" i="6"/>
  <c r="H1272" i="6"/>
  <c r="H1411" i="6"/>
  <c r="H1007" i="6"/>
  <c r="H1104" i="6"/>
  <c r="H1135" i="6"/>
  <c r="K1172" i="6"/>
  <c r="H1176" i="6"/>
  <c r="K1397" i="6"/>
  <c r="H1423" i="6"/>
  <c r="H1505" i="6"/>
  <c r="K1561" i="6"/>
  <c r="K1495" i="6"/>
  <c r="K1717" i="6"/>
  <c r="H1774" i="6"/>
  <c r="H1613" i="6"/>
  <c r="K1505" i="6"/>
  <c r="K1511" i="6"/>
  <c r="H1695" i="6"/>
  <c r="K1715" i="6"/>
  <c r="H1739" i="6"/>
  <c r="K1479" i="6"/>
  <c r="K1566" i="6"/>
  <c r="K1576" i="6"/>
  <c r="H1700" i="6"/>
  <c r="K1787" i="6"/>
  <c r="H1827" i="6"/>
  <c r="K1521" i="6"/>
  <c r="K1527" i="6"/>
  <c r="K1556" i="6"/>
  <c r="K1607" i="6"/>
  <c r="H1636" i="6"/>
  <c r="H1543" i="6"/>
  <c r="H1721" i="6"/>
  <c r="H1474" i="6"/>
  <c r="H1593" i="6"/>
  <c r="K1539" i="6"/>
  <c r="K1547" i="6"/>
  <c r="H1579" i="6"/>
  <c r="K1593" i="6"/>
  <c r="K1616" i="6"/>
  <c r="K1634" i="6"/>
  <c r="K1747" i="6"/>
  <c r="H1516" i="6"/>
  <c r="H1522" i="6"/>
  <c r="H1561" i="6"/>
  <c r="K1614" i="6"/>
  <c r="H1766" i="6"/>
  <c r="K1772" i="6"/>
  <c r="H1796" i="6"/>
  <c r="H1817" i="6"/>
  <c r="K1849" i="6"/>
  <c r="H1642" i="6"/>
  <c r="H1654" i="6"/>
  <c r="K1834" i="6"/>
  <c r="K1942" i="6"/>
  <c r="H1797" i="6"/>
  <c r="K1721" i="6"/>
  <c r="H1771" i="6"/>
  <c r="H1735" i="6"/>
  <c r="K1737" i="6"/>
  <c r="H1782" i="6"/>
  <c r="K1619" i="6"/>
  <c r="K1666" i="6"/>
  <c r="H1722" i="6"/>
  <c r="K1855" i="6"/>
  <c r="K1905" i="6"/>
  <c r="K1540" i="6"/>
  <c r="K1627" i="6"/>
  <c r="H1631" i="6"/>
  <c r="H1753" i="6"/>
  <c r="H1892" i="6"/>
  <c r="K1894" i="6"/>
  <c r="H2004" i="6"/>
  <c r="H1748" i="6"/>
  <c r="H1754" i="6"/>
  <c r="H1860" i="6"/>
  <c r="H1925" i="6"/>
  <c r="H1972" i="6"/>
  <c r="K1643" i="6"/>
  <c r="H1647" i="6"/>
  <c r="K1675" i="6"/>
  <c r="H1844" i="6"/>
  <c r="K1925" i="6"/>
  <c r="K1982" i="6"/>
  <c r="K1811" i="6"/>
  <c r="K1817" i="6"/>
  <c r="K1840" i="6"/>
  <c r="K1846" i="6"/>
  <c r="K1856" i="6"/>
  <c r="K1893" i="6"/>
  <c r="K1934" i="6"/>
  <c r="H1877" i="6"/>
  <c r="K1910" i="6"/>
  <c r="H1985" i="6"/>
  <c r="K1689" i="6"/>
  <c r="H1755" i="6"/>
  <c r="H1767" i="6"/>
  <c r="K1771" i="6"/>
  <c r="K1779" i="6"/>
  <c r="K1785" i="6"/>
  <c r="H1818" i="6"/>
  <c r="K1926" i="6"/>
  <c r="H1937" i="6"/>
  <c r="K1941" i="6"/>
  <c r="K1699" i="6"/>
  <c r="K1769" i="6"/>
  <c r="H1804" i="6"/>
  <c r="K1966" i="6"/>
  <c r="K2001" i="6"/>
  <c r="K1881" i="6"/>
  <c r="K1883" i="6"/>
  <c r="K1913" i="6"/>
  <c r="K1915" i="6"/>
  <c r="K1945" i="6"/>
  <c r="K1947" i="6"/>
  <c r="K1974" i="6"/>
  <c r="H1969" i="6"/>
  <c r="K1705" i="6"/>
  <c r="H1878" i="6"/>
  <c r="K1961" i="6"/>
  <c r="K1963" i="6"/>
  <c r="K1865" i="6"/>
  <c r="K1867" i="6"/>
  <c r="K1897" i="6"/>
  <c r="K1899" i="6"/>
  <c r="K1929" i="6"/>
  <c r="K1931" i="6"/>
  <c r="K2006" i="6"/>
  <c r="H2015" i="6"/>
  <c r="K2017" i="6"/>
  <c r="H1958" i="6"/>
  <c r="H1924" i="6"/>
  <c r="K1993" i="6"/>
  <c r="K1995" i="6"/>
  <c r="H2001" i="6"/>
  <c r="H2011" i="6"/>
  <c r="S10" i="6" l="1"/>
  <c r="N18" i="6"/>
  <c r="N13" i="6"/>
  <c r="N10" i="6"/>
  <c r="N19" i="6"/>
  <c r="N15" i="6"/>
  <c r="N14" i="6"/>
  <c r="R10" i="6"/>
  <c r="O10" i="6"/>
  <c r="Q10" i="6"/>
  <c r="P1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F6" authorId="0" shapeId="0" xr:uid="{00000000-0006-0000-0500-000002000000}">
      <text>
        <r>
          <rPr>
            <sz val="10"/>
            <rFont val="Arial"/>
            <family val="2"/>
          </rPr>
          <t>For LOGNORMAL rows, p1/p2 are in log-space. Use column G for the value in real units (dollars, tokens, etc.).</t>
        </r>
      </text>
    </comment>
    <comment ref="C9" authorId="0" shapeId="0" xr:uid="{00000000-0006-0000-0500-000001000000}">
      <text>
        <r>
          <rPr>
            <sz val="10"/>
            <rFont val="Arial"/>
            <family val="2"/>
          </rPr>
          <t>p1 is the mean of the natural log. Median = EXP(9.76) = $17,300, not $9,000. See column F/G.</t>
        </r>
      </text>
    </comment>
  </commentList>
</comments>
</file>

<file path=xl/sharedStrings.xml><?xml version="1.0" encoding="utf-8"?>
<sst xmlns="http://schemas.openxmlformats.org/spreadsheetml/2006/main" count="365" uniqueCount="311">
  <si>
    <t>The Economics of Transformative AI</t>
  </si>
  <si>
    <t>Reproducible model of the "Back-of-napkin" AI compute &amp; revenue calculations</t>
  </si>
  <si>
    <t>Companion workbook to the Part 1+2 report. Prepared for Justin (Arcadia Impact). Build date 2026-06-14.</t>
  </si>
  <si>
    <t xml:space="preserve">  Purpose</t>
  </si>
  <si>
    <t>Faithfully reproduces every figure in the source Google Doc, documents and sources all inputs, runs the</t>
  </si>
  <si>
    <t>logic three independent ways for 2031, and stress-tests the tenuous parameters with a live Monte Carlo.</t>
  </si>
  <si>
    <t xml:space="preserve">  Sheet guide</t>
  </si>
  <si>
    <t>Inputs &amp; Sources</t>
  </si>
  <si>
    <t>Every hardcoded input, its value, units, source link and a confidence flag. Single source of truth.</t>
  </si>
  <si>
    <t>2026 Baseline</t>
  </si>
  <si>
    <t>Concurrent copies, revenue-per-chip, and the Anthropic &amp; DeepSeek per-model case studies.</t>
  </si>
  <si>
    <t>2031 Projection</t>
  </si>
  <si>
    <t>Compute stock, copies, and the three revenue estimates (GPU/chip, model-based, token-based).</t>
  </si>
  <si>
    <t>Scale &amp; Human</t>
  </si>
  <si>
    <t>Internet-equivalent output and the LLM-vs-human-cognition comparison.</t>
  </si>
  <si>
    <t>Monte Carlo</t>
  </si>
  <si>
    <t>Live 2,000-trial in-sheet simulation of 2031 revenue + human-parity, with percentiles &amp; sensitivity.</t>
  </si>
  <si>
    <t>Scenario L/B/H</t>
  </si>
  <si>
    <t>Deterministic low / base / high tornado on each uncertain driver.</t>
  </si>
  <si>
    <t xml:space="preserve">  Colour legend (financial-model convention)</t>
  </si>
  <si>
    <t>Blue text</t>
  </si>
  <si>
    <t>Hardcoded input / assumption you can change</t>
  </si>
  <si>
    <t>Black text</t>
  </si>
  <si>
    <t>Formula / calculation</t>
  </si>
  <si>
    <t>Green text</t>
  </si>
  <si>
    <t>Link to another sheet in this workbook</t>
  </si>
  <si>
    <t>Yellow fill</t>
  </si>
  <si>
    <t>Key assumption that most needs scrutiny</t>
  </si>
  <si>
    <t>NOTE: Headline figures (e.g. $2T) reproduce the doc exactly. Cells flagged purple carry an analyst note (hover).</t>
  </si>
  <si>
    <t>All hardcoded inputs. Blue = change these. Sources are live links; confidence: [E]stablished / [C]ontested / [S]peculative.</t>
  </si>
  <si>
    <t>Parameter</t>
  </si>
  <si>
    <t>Value</t>
  </si>
  <si>
    <t>Unit</t>
  </si>
  <si>
    <t>Source</t>
  </si>
  <si>
    <t>Conf.</t>
  </si>
  <si>
    <t>Analyst note</t>
  </si>
  <si>
    <t xml:space="preserve">  2026 BASELINE</t>
  </si>
  <si>
    <t>Global AI compute stock, 2026</t>
  </si>
  <si>
    <t>H100e</t>
  </si>
  <si>
    <t>Epoch AI (2025 report: ~16.5M end-2025)</t>
  </si>
  <si>
    <t>C</t>
  </si>
  <si>
    <t>Doc uses 20M. Epoch published ~16.5M at end-2025; 20M is plausible/slightly conservative for mid-2026 at 3.3x/yr.</t>
  </si>
  <si>
    <t>H100e to run one frontier copy (1.6T params)</t>
  </si>
  <si>
    <t>DeepSeek V4 (1.6T MoE) deploy footprint</t>
  </si>
  <si>
    <t>~1.6TB FP8 weights / 80GB = 20 GPUs + KV/overhead ~ 24. Order-of-magnitude.</t>
  </si>
  <si>
    <t>Industry LLM-serving revenue, 2026</t>
  </si>
  <si>
    <t>USD/yr</t>
  </si>
  <si>
    <t>Anthropic ~$45B + OpenAI ~$25B + others</t>
  </si>
  <si>
    <t>OpenAI+Anthropic alone ~$70B (doc said $80B). $100B incl. Google/MSFT/xAI/DeepSeek is reasonable.</t>
  </si>
  <si>
    <t>Anthropic ARR, 2026</t>
  </si>
  <si>
    <t>SemiAnalysis / Simon Willison (run-rate ~$45-47B)</t>
  </si>
  <si>
    <t>E</t>
  </si>
  <si>
    <t>Matches doc.</t>
  </si>
  <si>
    <t>Anthropic inference fleet</t>
  </si>
  <si>
    <t>Inferred; total fleet ~2M H100e (1.3M Trn2 + 1M TPUv7 + ~220k GPU)</t>
  </si>
  <si>
    <t>Doc treats 1M as inference-only. Total fleet ~2M, so rev/TOTAL-chip ~$22k.</t>
  </si>
  <si>
    <t>DeepSeek output throughput</t>
  </si>
  <si>
    <t>tok/s/GPU</t>
  </si>
  <si>
    <t>Doc (FP4/8 batch inference)</t>
  </si>
  <si>
    <t>Aggregate batched throughput; per-user is far lower.</t>
  </si>
  <si>
    <t>DeepSeek blended price (doc)</t>
  </si>
  <si>
    <t>$/Mtok</t>
  </si>
  <si>
    <t>Doc figure</t>
  </si>
  <si>
    <t>PROBLEM: equals pre-discount OUTPUT price ($3.48). Current V4 output ~$0.87, blended ~$2.17.</t>
  </si>
  <si>
    <t>DeepSeek utilisation (doc)</t>
  </si>
  <si>
    <t>frac</t>
  </si>
  <si>
    <t>Doc "realistic" figure</t>
  </si>
  <si>
    <t>Epoch assumes 5-30% inference utilisation; 40% is optimistic.</t>
  </si>
  <si>
    <t>Seconds per year</t>
  </si>
  <si>
    <t>s</t>
  </si>
  <si>
    <t>365*24*3600</t>
  </si>
  <si>
    <t xml:space="preserve">  2031 PROJECTION</t>
  </si>
  <si>
    <t>Compute growth rate</t>
  </si>
  <si>
    <t>x/yr</t>
  </si>
  <si>
    <t>Epoch 3.3x/yr; Dario (Dwarkesh) ~3x/yr</t>
  </si>
  <si>
    <t>Doc 3x is slightly below Epoch 3.3x. Conservative.</t>
  </si>
  <si>
    <t>Projection horizon</t>
  </si>
  <si>
    <t>yr</t>
  </si>
  <si>
    <t>2026 -&gt; 2031</t>
  </si>
  <si>
    <t>H100e per frontier copy, 2031</t>
  </si>
  <si>
    <t>Doc (8x the 2026 footprint)</t>
  </si>
  <si>
    <t>S</t>
  </si>
  <si>
    <t>Assumes models get ~8x more compute-hungry per copy.</t>
  </si>
  <si>
    <t>GPU serving frontier models, 2031</t>
  </si>
  <si>
    <t>Doc assumption (~40% of 4.86B fleet)</t>
  </si>
  <si>
    <t>Rev/chip HIGH (DeepSeek-derived)</t>
  </si>
  <si>
    <t>Doc DeepSeek case (held flat to 2031)</t>
  </si>
  <si>
    <t>Held constant to 2031 despite falling token prices -&gt; overstates.</t>
  </si>
  <si>
    <t>Rev/chip LOW (macro avg)</t>
  </si>
  <si>
    <t>Doc macro case ($100B/20M)</t>
  </si>
  <si>
    <t>Concurrent copies, model method</t>
  </si>
  <si>
    <t>copies</t>
  </si>
  <si>
    <t>Doc assumption</t>
  </si>
  <si>
    <t>Revenue per copy, 2031</t>
  </si>
  <si>
    <t>Doc "same as today"</t>
  </si>
  <si>
    <t>INCONSISTENT: 2026 case studies were $1.07M &amp; $2.16M/model, not $200k.</t>
  </si>
  <si>
    <t>Token capacity, 2031</t>
  </si>
  <si>
    <t>tok/s</t>
  </si>
  <si>
    <t>Doc attributes to Epoch</t>
  </si>
  <si>
    <t>Epoch states Q4-2025 capacity 0.5-20B tok/s &amp; 3x/yr; 1T/s by 2031 is consistent but not a direct Epoch quote.</t>
  </si>
  <si>
    <t>Utilisation, token method</t>
  </si>
  <si>
    <t>Doc</t>
  </si>
  <si>
    <t>Internet size</t>
  </si>
  <si>
    <t>tokens</t>
  </si>
  <si>
    <t>EducatingSilicon / chat-log estimates</t>
  </si>
  <si>
    <t>Order-of-magnitude.</t>
  </si>
  <si>
    <t>White-collar workers, 2031</t>
  </si>
  <si>
    <t>workers</t>
  </si>
  <si>
    <t>Forrester ~1.25B info workers (2018)</t>
  </si>
  <si>
    <t>Doc 1.5B; current estimates ~1-1.25B.</t>
  </si>
  <si>
    <t>Human cognition rate (doc)</t>
  </si>
  <si>
    <t>tok/min</t>
  </si>
  <si>
    <t>Epoch uses 380 wpm thinking ~500 tok/min, 240k tok/day.</t>
  </si>
  <si>
    <t>Human cognition rate (Epoch)</t>
  </si>
  <si>
    <t>tok/day</t>
  </si>
  <si>
    <t>Epoch digital-workers piece</t>
  </si>
  <si>
    <t>Alternative basis for cross-check.</t>
  </si>
  <si>
    <t>Global human wages</t>
  </si>
  <si>
    <t>Dario Amodei (Dwarkesh, 2026)</t>
  </si>
  <si>
    <t>For "% of wages" comparison.</t>
  </si>
  <si>
    <t>Green = links to Inputs sheet. "Doc" column = the figure stated in the source Google Doc.</t>
  </si>
  <si>
    <t>Result</t>
  </si>
  <si>
    <t>Doc says</t>
  </si>
  <si>
    <t>Note</t>
  </si>
  <si>
    <t xml:space="preserve">  Compute capacity</t>
  </si>
  <si>
    <t>Concurrent frontier copies</t>
  </si>
  <si>
    <t>830,000</t>
  </si>
  <si>
    <t>20M / 24. Reproduces (rounded).</t>
  </si>
  <si>
    <t>Macro revenue per H100e</t>
  </si>
  <si>
    <t>$5,000</t>
  </si>
  <si>
    <t>$100B / 20M chips.</t>
  </si>
  <si>
    <t xml:space="preserve">  Case study 1: Anthropic (empirical)</t>
  </si>
  <si>
    <t>Revenue per chip</t>
  </si>
  <si>
    <t>$45,000</t>
  </si>
  <si>
    <t>$45B / 1M inference chips.</t>
  </si>
  <si>
    <t>Number of model copies hosted</t>
  </si>
  <si>
    <t>42,000</t>
  </si>
  <si>
    <t>1M / 24.</t>
  </si>
  <si>
    <t>Revenue per model copy / yr</t>
  </si>
  <si>
    <t>$1.07M</t>
  </si>
  <si>
    <t>$45B / 41,667.</t>
  </si>
  <si>
    <t xml:space="preserve">  Case study 2: DeepSeek V4 (bottom-up)</t>
  </si>
  <si>
    <t>Output tokens per GPU / yr</t>
  </si>
  <si>
    <t>66.2B</t>
  </si>
  <si>
    <t>2,100 tok/s * 31.5M s.</t>
  </si>
  <si>
    <t>Revenue per GPU / yr @ 100% util</t>
  </si>
  <si>
    <t>$230k</t>
  </si>
  <si>
    <t>tokens/1e6 * $3.5/Mtok.</t>
  </si>
  <si>
    <t>Revenue per GPU / yr @ 40% util</t>
  </si>
  <si>
    <t>$90k</t>
  </si>
  <si>
    <t>* 40% utilisation.</t>
  </si>
  <si>
    <t>$2.16M</t>
  </si>
  <si>
    <t>$90k * 24 GPUs.</t>
  </si>
  <si>
    <t>Reconciliation: all figures reproduce the doc within rounding. See Note column for the two embedded pricing/fleet caveats (flagged on Inputs sheet).</t>
  </si>
  <si>
    <t>Three independent revenue estimates. The doc adopts the model-based ~$2T figure as its headline.</t>
  </si>
  <si>
    <t xml:space="preserve">  Compute scale</t>
  </si>
  <si>
    <t>Global compute stock, 2031</t>
  </si>
  <si>
    <t>4.8B</t>
  </si>
  <si>
    <t>20M * 3^5.</t>
  </si>
  <si>
    <t>Concurrent frontier copies, 2031</t>
  </si>
  <si>
    <t>24.3M</t>
  </si>
  <si>
    <t>4.86B / 200.</t>
  </si>
  <si>
    <t xml:space="preserve">  ...ratio vs 2026</t>
  </si>
  <si>
    <t>29x</t>
  </si>
  <si>
    <t xml:space="preserve">  Method 1 - GPU / revenue-per-chip</t>
  </si>
  <si>
    <t>Revenue @ $90k/chip (high)</t>
  </si>
  <si>
    <t>$180T</t>
  </si>
  <si>
    <t>2B chips * $90k. = 1.6x world GDP -&gt; not credible; method breaks down.</t>
  </si>
  <si>
    <t>Revenue @ $5k/chip (low)</t>
  </si>
  <si>
    <t>$10T</t>
  </si>
  <si>
    <t>2B chips * $5k.</t>
  </si>
  <si>
    <t xml:space="preserve">  Method 2 - Model-based (doc headline)</t>
  </si>
  <si>
    <t>Revenue (10M copies * $200k)</t>
  </si>
  <si>
    <t>$2T</t>
  </si>
  <si>
    <t>INCONSISTENCY: $200k/copy contradicts the 2026 $1.07M-$2.16M/model case studies.</t>
  </si>
  <si>
    <t xml:space="preserve">  ...if per-copy = $1.07M (2026 Anthropic)</t>
  </si>
  <si>
    <t>-</t>
  </si>
  <si>
    <t>Shows headline depends entirely on the low $200k figure.</t>
  </si>
  <si>
    <t xml:space="preserve">  Method 3 - Token-based</t>
  </si>
  <si>
    <t>Effective tokens/sec @10% util</t>
  </si>
  <si>
    <t>100B</t>
  </si>
  <si>
    <t>Tokens per minute</t>
  </si>
  <si>
    <t>6T</t>
  </si>
  <si>
    <t>Price assumed (implied by doc $5M/min)</t>
  </si>
  <si>
    <t>$0.83/Mtok</t>
  </si>
  <si>
    <t>INCONSISTENT with $3.5/Mtok used in DeepSeek calc. Cross-checks below.</t>
  </si>
  <si>
    <t>Revenue per minute</t>
  </si>
  <si>
    <t>$5M</t>
  </si>
  <si>
    <t>Revenue per year</t>
  </si>
  <si>
    <t>$2.6T</t>
  </si>
  <si>
    <t>Annualised. Matches doc.</t>
  </si>
  <si>
    <t xml:space="preserve">  cross-check @ $3.5/Mtok</t>
  </si>
  <si>
    <t>If DeepSeek price used -&gt; $11T.</t>
  </si>
  <si>
    <t xml:space="preserve">  cross-check @ $0.50/Mtok</t>
  </si>
  <si>
    <t>If current DeepSeek output price -&gt; $1.6T.</t>
  </si>
  <si>
    <t xml:space="preserve">  Trajectory check</t>
  </si>
  <si>
    <t>Implied 2026-&gt;2031 revenue CAGR</t>
  </si>
  <si>
    <t>~82%</t>
  </si>
  <si>
    <t>Compute grows 243x but revenue only ~20x -&gt; revenue per unit compute falls ~12x (price deflation). Coherent but implicit.</t>
  </si>
  <si>
    <t>Cross-source: Dario Amodei (Dwarkesh 2026) expects "multiple trillions/yr by 2028-29" -&gt; the doc's $2T-by-2031 is conservative vs frontier-lab guidance.</t>
  </si>
  <si>
    <t>Scale &amp; Human comparison</t>
  </si>
  <si>
    <t>Putting 2031 token volumes in human terms.</t>
  </si>
  <si>
    <t xml:space="preserve">  Internet-scale output</t>
  </si>
  <si>
    <t>Hours to emit one "whole internet"</t>
  </si>
  <si>
    <t>few hours</t>
  </si>
  <si>
    <t>500T / (6T/min) / 60.</t>
  </si>
  <si>
    <t xml:space="preserve">  vs human cognition (doc basis: 1000 tok/min)</t>
  </si>
  <si>
    <t>Human token-equiv / min</t>
  </si>
  <si>
    <t>1.5T</t>
  </si>
  <si>
    <t>1.5B workers * 1000 tok/min.</t>
  </si>
  <si>
    <t>LLM : human token ratio</t>
  </si>
  <si>
    <t>4x</t>
  </si>
  <si>
    <t>LLM 6T/min vs human 1.5T/min.</t>
  </si>
  <si>
    <t xml:space="preserve">  vs human cognition (Epoch basis: 240k tok/day)</t>
  </si>
  <si>
    <t>Human token-equiv / day</t>
  </si>
  <si>
    <t>1.5B * 240k.</t>
  </si>
  <si>
    <t>LLM tokens / day</t>
  </si>
  <si>
    <t>6T/min * 1440.</t>
  </si>
  <si>
    <t>LLM : human ratio (Epoch basis)</t>
  </si>
  <si>
    <t>~24x, not 4x: conclusion is sensitive to the human-cognition assumption.</t>
  </si>
  <si>
    <t xml:space="preserve">  Revenue vs global wages</t>
  </si>
  <si>
    <t>Model-based revenue as % of wages</t>
  </si>
  <si>
    <t>&gt;5%</t>
  </si>
  <si>
    <t>$2T / $50T wages = 4%. Doc says "&gt;5% of wages".</t>
  </si>
  <si>
    <t>Monte Carlo - 2031 revenue &amp; human parity</t>
  </si>
  <si>
    <t>LIVE 2,000-trial simulation (recalculates on open / F9). Authoritative 300k-trial run is in reproduce.py.</t>
  </si>
  <si>
    <t xml:space="preserve">  Distribution parameters (blue = editable)</t>
  </si>
  <si>
    <t>SUMMARY (recalculates live)</t>
  </si>
  <si>
    <t>p1</t>
  </si>
  <si>
    <t>p2</t>
  </si>
  <si>
    <t>Distribution</t>
  </si>
  <si>
    <t>What this parameter is  —  and how to read p1 / p2</t>
  </si>
  <si>
    <t>Implied median (real units)</t>
  </si>
  <si>
    <t>Estimate</t>
  </si>
  <si>
    <t>P5</t>
  </si>
  <si>
    <t>P25</t>
  </si>
  <si>
    <t>P50</t>
  </si>
  <si>
    <t>P75</t>
  </si>
  <si>
    <t>P95</t>
  </si>
  <si>
    <t>growth mean / sd</t>
  </si>
  <si>
    <t>Normal, clipped [1.8,4.5]</t>
  </si>
  <si>
    <t>Annual growth of the global compute stock. p1 = mean (3x/yr), p2 = std dev (0.45). Drawn from a normal curve, then capped to the [1.8x, 4.5x] range so no absurd values appear.</t>
  </si>
  <si>
    <t>M1 GPU</t>
  </si>
  <si>
    <t>h100_2026 lo / hi</t>
  </si>
  <si>
    <t>Uniform</t>
  </si>
  <si>
    <t>Starting global compute stock in 2026, in H100-equivalents. UNIFORM: every value between p1 (16M) and p2 (24M) is equally likely. Spans Epoch's ~16.5M up to the doc's 20M+.</t>
  </si>
  <si>
    <t>M2 model</t>
  </si>
  <si>
    <t>M1 rev/chip mu / sigma</t>
  </si>
  <si>
    <t>Lognormal (90% CI $5k-$60k)</t>
  </si>
  <si>
    <t>METHOD 1 - 2026 revenue per inference chip (US$). LOGNORMAL: p1/p2 are the mean &amp; std dev of the natural LOG, NOT dollars - this is why you see 9.76, not $9k. Median = e^9.76. 90% of draws fall in $5k-$60k (spans the $5k macro average and Anthropic's empirical ~$45k).</t>
  </si>
  <si>
    <t>M3 token</t>
  </si>
  <si>
    <t>M1 serving-share lo/hi</t>
  </si>
  <si>
    <t>METHOD 1 - share of the 2031 fleet actually serving frontier models. UNIFORM 25%-55% (the rest is training, experiments, smaller models, idle capacity).</t>
  </si>
  <si>
    <t>POOLED</t>
  </si>
  <si>
    <t>M1 price-decline lo/hi</t>
  </si>
  <si>
    <t>Uniform (rev/chip multiplier to 2031)</t>
  </si>
  <si>
    <t>METHOD 1 - how much of 2026 revenue-per-chip survives to 2031, as a multiplier. UNIFORM 0.25-0.9 = a 10%-75% fall, reflecting falling token prices over 5 years.</t>
  </si>
  <si>
    <t>M2 copies mu / sigma</t>
  </si>
  <si>
    <t>Lognormal (90% CI 3M-30M)</t>
  </si>
  <si>
    <t>METHOD 2 - number of concurrent frontier model copies served in 2031. LOGNORMAL (log-space). Median = e^16.07 ~ 9.5M; 90% CI 3M-30M (brackets the doc's 10M).</t>
  </si>
  <si>
    <t>Probabilities (pooled)</t>
  </si>
  <si>
    <t>M2 rev/copy mu / sigma</t>
  </si>
  <si>
    <t>Lognormal (90% CI $80k-$1.2M)</t>
  </si>
  <si>
    <t>METHOD 2 - annual revenue per model copy (US$). LOGNORMAL (log-space). Median = e^12.64 ~ $310k; 90% CI $80k-$1.2M (spans the doc's $200k and the 2026 case-study $1.07M).</t>
  </si>
  <si>
    <t>P(revenue &gt; $2T)</t>
  </si>
  <si>
    <t>M3 tok/s mu / sigma</t>
  </si>
  <si>
    <t>Lognormal (80% CI 0.2T-5T)</t>
  </si>
  <si>
    <t>METHOD 3 - total inference throughput in 2031 (tokens/second). LOGNORMAL (log-space). Median = e^27.63 ~ 1.0e12 (1 trillion tok/s); 80% CI 0.2T-5T (Epoch's late-2025 0.5-20B/s grown ~3x/yr).</t>
  </si>
  <si>
    <t>P(revenue &gt; $1T)</t>
  </si>
  <si>
    <t>M3 util lo / hi</t>
  </si>
  <si>
    <t>Uniform (Epoch range)</t>
  </si>
  <si>
    <t>METHOD 3 - average utilisation of that capacity. UNIFORM 5%-30% (Epoch's realistic inference-utilisation range).</t>
  </si>
  <si>
    <t>P(revenue &gt; $10T)</t>
  </si>
  <si>
    <t>M3 price mu / sigma</t>
  </si>
  <si>
    <t>Lognormal (90% CI $0.4-$3.5/Mtok)</t>
  </si>
  <si>
    <t>METHOD 3 - blended price per MILLION tokens (US$). LOGNORMAL (log-space). Median = e^0.168 ~ $1.18/Mtok; 90% CI $0.40-$3.50 (current DeepSeek output ~$0.87 up to the doc's $3.5).</t>
  </si>
  <si>
    <t>human workers lo/hi</t>
  </si>
  <si>
    <t>HUMAN-PARITY - number of white-collar workers in 2031. UNIFORM 1.0B-1.6B (current ~1.25B up to the doc's 1.5B).</t>
  </si>
  <si>
    <t>Human-parity ratio</t>
  </si>
  <si>
    <t>human tok/min lo/hi</t>
  </si>
  <si>
    <t>HUMAN-PARITY - tokens of cognition per worker per minute. UNIFORM 400-1200 (Epoch's ~500 from 380 wpm thinking, up to the doc's 1,000).</t>
  </si>
  <si>
    <t>P50 ratio</t>
  </si>
  <si>
    <t>P(LLM &gt; human-equiv)</t>
  </si>
  <si>
    <t xml:space="preserve">  Trials (2,000)  -  columns C..G are the three method revenues + pooled draw + human-parity ratio</t>
  </si>
  <si>
    <t>Trial</t>
  </si>
  <si>
    <t>growth</t>
  </si>
  <si>
    <t>H_2031</t>
  </si>
  <si>
    <t>M1 GPU ($)</t>
  </si>
  <si>
    <t>M2 model ($)</t>
  </si>
  <si>
    <t>M3 token ($)</t>
  </si>
  <si>
    <t>Pooled ($)</t>
  </si>
  <si>
    <t>LLM tok/min</t>
  </si>
  <si>
    <t>Human/min</t>
  </si>
  <si>
    <t>Parity x</t>
  </si>
  <si>
    <t>Doc headline = $2T sits near the 25th percentile of the pooled distribution (i.e. conservative).</t>
  </si>
  <si>
    <t>Deterministic scenario / tornado</t>
  </si>
  <si>
    <t>Token-method revenue ($/yr), one driver at a time low/high, others at base. Shows what moves the answer.</t>
  </si>
  <si>
    <t xml:space="preserve">  Base case (token method)</t>
  </si>
  <si>
    <t>tok/s capacity</t>
  </si>
  <si>
    <t>utilisation</t>
  </si>
  <si>
    <t>price $/Mtok</t>
  </si>
  <si>
    <t>Base revenue/yr</t>
  </si>
  <si>
    <t xml:space="preserve">  Tornado (hold others at base)</t>
  </si>
  <si>
    <t>Driver</t>
  </si>
  <si>
    <t>Low</t>
  </si>
  <si>
    <t>High</t>
  </si>
  <si>
    <t>Rev @ Low</t>
  </si>
  <si>
    <t>Rev @ High</t>
  </si>
  <si>
    <t>Swing</t>
  </si>
  <si>
    <t>Capacity and price dominate the spread; utilisation matters least. Mirrors the Spearman ranks in reproduce.py.</t>
  </si>
  <si>
    <t>Mean (trillions)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</si>
</sst>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0.0\x"/>
    <numFmt numFmtId="166" formatCode="0.0%"/>
    <numFmt numFmtId="167" formatCode="#,##0.0"/>
    <numFmt numFmtId="168" formatCode="0.00\x"/>
    <numFmt numFmtId="169" formatCode="\$#,##0.00"/>
    <numFmt numFmtId="170" formatCode="0.0"/>
  </numFmts>
  <fonts count="19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9"/>
      <color rgb="FF7030A0"/>
      <name val="Arial"/>
      <charset val="1"/>
    </font>
    <font>
      <b/>
      <sz val="15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0000FF"/>
      <name val="Arial"/>
      <charset val="1"/>
    </font>
    <font>
      <u/>
      <sz val="9"/>
      <color rgb="FF0563C1"/>
      <name val="Arial"/>
      <charset val="1"/>
    </font>
    <font>
      <i/>
      <sz val="8"/>
      <color rgb="FF808080"/>
      <name val="Arial"/>
      <charset val="1"/>
    </font>
    <font>
      <b/>
      <sz val="10"/>
      <color rgb="FFFFFFFF"/>
      <name val="Arial"/>
      <charset val="1"/>
    </font>
    <font>
      <b/>
      <sz val="12"/>
      <color rgb="FF1F3864"/>
      <name val="Arial"/>
      <charset val="1"/>
    </font>
    <font>
      <sz val="9"/>
      <color rgb="FF000000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3" borderId="0" xfId="0" applyFont="1" applyFill="1"/>
    <xf numFmtId="0" fontId="8" fillId="0" borderId="0" xfId="0" applyFont="1"/>
    <xf numFmtId="0" fontId="9" fillId="0" borderId="0" xfId="0" applyFont="1"/>
    <xf numFmtId="0" fontId="0" fillId="0" borderId="1" xfId="0" applyBorder="1"/>
    <xf numFmtId="0" fontId="10" fillId="4" borderId="0" xfId="0" applyFont="1" applyFill="1" applyAlignment="1">
      <alignment horizontal="center" vertical="center"/>
    </xf>
    <xf numFmtId="0" fontId="4" fillId="0" borderId="2" xfId="0" applyFont="1" applyBorder="1"/>
    <xf numFmtId="3" fontId="11" fillId="3" borderId="2" xfId="0" applyNumberFormat="1" applyFont="1" applyFill="1" applyBorder="1"/>
    <xf numFmtId="0" fontId="12" fillId="0" borderId="2" xfId="0" applyFont="1" applyBorder="1"/>
    <xf numFmtId="0" fontId="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top" wrapText="1"/>
    </xf>
    <xf numFmtId="3" fontId="11" fillId="0" borderId="2" xfId="0" applyNumberFormat="1" applyFont="1" applyBorder="1"/>
    <xf numFmtId="2" fontId="11" fillId="3" borderId="2" xfId="0" applyNumberFormat="1" applyFont="1" applyFill="1" applyBorder="1"/>
    <xf numFmtId="2" fontId="11" fillId="0" borderId="2" xfId="0" applyNumberFormat="1" applyFont="1" applyBorder="1"/>
    <xf numFmtId="0" fontId="14" fillId="4" borderId="0" xfId="0" applyFont="1" applyFill="1"/>
    <xf numFmtId="3" fontId="7" fillId="0" borderId="0" xfId="0" applyNumberFormat="1" applyFont="1"/>
    <xf numFmtId="0" fontId="13" fillId="0" borderId="0" xfId="0" applyFont="1"/>
    <xf numFmtId="0" fontId="13" fillId="0" borderId="0" xfId="0" applyFont="1" applyAlignment="1">
      <alignment vertical="top" wrapText="1"/>
    </xf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65" fontId="7" fillId="0" borderId="0" xfId="0" applyNumberFormat="1" applyFont="1"/>
    <xf numFmtId="2" fontId="11" fillId="3" borderId="0" xfId="0" applyNumberFormat="1" applyFont="1" applyFill="1"/>
    <xf numFmtId="166" fontId="7" fillId="0" borderId="0" xfId="0" applyNumberFormat="1" applyFont="1"/>
    <xf numFmtId="167" fontId="7" fillId="0" borderId="0" xfId="0" applyNumberFormat="1" applyFont="1"/>
    <xf numFmtId="0" fontId="15" fillId="0" borderId="0" xfId="0" applyFont="1"/>
    <xf numFmtId="0" fontId="14" fillId="4" borderId="0" xfId="0" applyFont="1" applyFill="1" applyAlignment="1">
      <alignment vertical="center" wrapText="1"/>
    </xf>
    <xf numFmtId="0" fontId="11" fillId="3" borderId="0" xfId="0" applyFont="1" applyFill="1"/>
    <xf numFmtId="168" fontId="17" fillId="0" borderId="0" xfId="0" applyNumberFormat="1" applyFont="1"/>
    <xf numFmtId="164" fontId="4" fillId="0" borderId="0" xfId="0" applyNumberFormat="1" applyFont="1"/>
    <xf numFmtId="3" fontId="17" fillId="0" borderId="0" xfId="0" applyNumberFormat="1" applyFont="1"/>
    <xf numFmtId="164" fontId="17" fillId="0" borderId="0" xfId="0" applyNumberFormat="1" applyFont="1"/>
    <xf numFmtId="166" fontId="17" fillId="0" borderId="0" xfId="0" applyNumberFormat="1" applyFont="1"/>
    <xf numFmtId="2" fontId="17" fillId="0" borderId="0" xfId="0" applyNumberFormat="1" applyFont="1"/>
    <xf numFmtId="0" fontId="3" fillId="0" borderId="0" xfId="0" applyFont="1"/>
    <xf numFmtId="166" fontId="4" fillId="0" borderId="0" xfId="0" applyNumberFormat="1" applyFont="1"/>
    <xf numFmtId="169" fontId="17" fillId="0" borderId="0" xfId="0" applyNumberFormat="1" applyFont="1"/>
    <xf numFmtId="170" fontId="4" fillId="0" borderId="0" xfId="0" applyNumberFormat="1" applyFont="1"/>
    <xf numFmtId="0" fontId="14" fillId="4" borderId="0" xfId="0" applyFon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170" fontId="0" fillId="0" borderId="0" xfId="0" applyNumberFormat="1"/>
    <xf numFmtId="3" fontId="11" fillId="3" borderId="0" xfId="0" applyNumberFormat="1" applyFont="1" applyFill="1"/>
    <xf numFmtId="166" fontId="11" fillId="3" borderId="0" xfId="0" applyNumberFormat="1" applyFont="1" applyFill="1"/>
    <xf numFmtId="3" fontId="6" fillId="0" borderId="0" xfId="0" applyNumberFormat="1" applyFont="1"/>
    <xf numFmtId="164" fontId="0" fillId="0" borderId="0" xfId="0" applyNumberFormat="1"/>
    <xf numFmtId="166" fontId="6" fillId="0" borderId="0" xfId="0" applyNumberFormat="1" applyFont="1"/>
    <xf numFmtId="2" fontId="6" fillId="0" borderId="0" xfId="0" applyNumberFormat="1" applyFont="1"/>
    <xf numFmtId="0" fontId="16" fillId="0" borderId="0" xfId="0" applyFont="1" applyAlignment="1">
      <alignment horizontal="left" vertical="center" wrapText="1"/>
    </xf>
    <xf numFmtId="0" fontId="14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Pooled 2031 revenue - percentiles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'Monte Carlo'!$N$6:$R$6</c:f>
              <c:strCache>
                <c:ptCount val="5"/>
                <c:pt idx="0">
                  <c:v>P5</c:v>
                </c:pt>
                <c:pt idx="1">
                  <c:v>P25</c:v>
                </c:pt>
                <c:pt idx="2">
                  <c:v>P50</c:v>
                </c:pt>
                <c:pt idx="3">
                  <c:v>P75</c:v>
                </c:pt>
                <c:pt idx="4">
                  <c:v>P95</c:v>
                </c:pt>
              </c:strCache>
            </c:strRef>
          </c:cat>
          <c:val>
            <c:numRef>
              <c:f>'Monte Carlo'!$N$9:$R$9</c:f>
              <c:numCache>
                <c:formatCode>\$#,##0</c:formatCode>
                <c:ptCount val="5"/>
                <c:pt idx="0">
                  <c:v>423923016706.76746</c:v>
                </c:pt>
                <c:pt idx="1">
                  <c:v>1963562246818.1067</c:v>
                </c:pt>
                <c:pt idx="2">
                  <c:v>5327791329161.6592</c:v>
                </c:pt>
                <c:pt idx="3">
                  <c:v>15982294467856.705</c:v>
                </c:pt>
                <c:pt idx="4">
                  <c:v>70604342329116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7-4140-BEE8-2A658A05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326633"/>
        <c:axId val="14721636"/>
      </c:barChart>
      <c:catAx>
        <c:axId val="823266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4721636"/>
        <c:crosses val="autoZero"/>
        <c:auto val="1"/>
        <c:lblAlgn val="ctr"/>
        <c:lblOffset val="100"/>
        <c:noMultiLvlLbl val="0"/>
      </c:catAx>
      <c:valAx>
        <c:axId val="147216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23266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Token-method revenue swing by driver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'Scenario L-B-H'!$B$14:$B$16</c:f>
              <c:strCache>
                <c:ptCount val="2"/>
                <c:pt idx="0">
                  <c:v>utilisation</c:v>
                </c:pt>
                <c:pt idx="1">
                  <c:v>price $/Mtok</c:v>
                </c:pt>
              </c:strCache>
            </c:strRef>
          </c:cat>
          <c:val>
            <c:numRef>
              <c:f>'Scenario L-B-H'!$G$14:$G$16</c:f>
              <c:numCache>
                <c:formatCode>\$#,##0</c:formatCode>
                <c:ptCount val="3"/>
                <c:pt idx="0">
                  <c:v>6543720000000</c:v>
                </c:pt>
                <c:pt idx="1">
                  <c:v>9776160000000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0-4D03-A6C8-8C9DB138B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653055"/>
        <c:axId val="97432092"/>
      </c:barChart>
      <c:catAx>
        <c:axId val="6965305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7432092"/>
        <c:crosses val="autoZero"/>
        <c:auto val="1"/>
        <c:lblAlgn val="ctr"/>
        <c:lblOffset val="100"/>
        <c:noMultiLvlLbl val="0"/>
      </c:catAx>
      <c:valAx>
        <c:axId val="9743209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96530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24</xdr:row>
      <xdr:rowOff>0</xdr:rowOff>
    </xdr:from>
    <xdr:to>
      <xdr:col>15</xdr:col>
      <xdr:colOff>1302940</xdr:colOff>
      <xdr:row>37</xdr:row>
      <xdr:rowOff>42840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4</xdr:col>
      <xdr:colOff>873360</xdr:colOff>
      <xdr:row>30</xdr:row>
      <xdr:rowOff>63720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poch.ai/gradient-updates/how-many-digital-workers-could-openai-deploy" TargetMode="External"/><Relationship Id="rId13" Type="http://schemas.openxmlformats.org/officeDocument/2006/relationships/hyperlink" Target="https://epoch.ai/gradient-updates/how-many-digital-workers-could-openai-deploy" TargetMode="External"/><Relationship Id="rId3" Type="http://schemas.openxmlformats.org/officeDocument/2006/relationships/hyperlink" Target="https://sacra.com/c/anthropic/" TargetMode="External"/><Relationship Id="rId7" Type="http://schemas.openxmlformats.org/officeDocument/2006/relationships/hyperlink" Target="https://www.morphllm.com/deepseek-v4" TargetMode="External"/><Relationship Id="rId12" Type="http://schemas.openxmlformats.org/officeDocument/2006/relationships/hyperlink" Target="https://www.forrester.com/blogs/the-global-information-worker-population-swells-to-1-25-billion-in-2018" TargetMode="External"/><Relationship Id="rId2" Type="http://schemas.openxmlformats.org/officeDocument/2006/relationships/hyperlink" Target="https://www.morphllm.com/deepseek-v4" TargetMode="External"/><Relationship Id="rId1" Type="http://schemas.openxmlformats.org/officeDocument/2006/relationships/hyperlink" Target="https://epoch.ai/data/ai-chip-sales" TargetMode="External"/><Relationship Id="rId6" Type="http://schemas.openxmlformats.org/officeDocument/2006/relationships/hyperlink" Target="https://developer.nvidia.com/blog/nvidia-blackwell-delivers-world-record-deepseek-r1-inference-performance/" TargetMode="External"/><Relationship Id="rId11" Type="http://schemas.openxmlformats.org/officeDocument/2006/relationships/hyperlink" Target="https://www.educatingsilicon.com/2024/05/09/how-much-llm-training-data-is-there-in-the-limit/" TargetMode="External"/><Relationship Id="rId5" Type="http://schemas.openxmlformats.org/officeDocument/2006/relationships/hyperlink" Target="https://epoch.ai/data/ai-chip-owners" TargetMode="External"/><Relationship Id="rId10" Type="http://schemas.openxmlformats.org/officeDocument/2006/relationships/hyperlink" Target="https://epoch.ai/gradient-updates/is-a-compute-crunch-coming" TargetMode="External"/><Relationship Id="rId4" Type="http://schemas.openxmlformats.org/officeDocument/2006/relationships/hyperlink" Target="https://simonwillison.net/2026/May/29/anthropic/" TargetMode="External"/><Relationship Id="rId9" Type="http://schemas.openxmlformats.org/officeDocument/2006/relationships/hyperlink" Target="https://epoch.ai/data-insights/ai-chip-production" TargetMode="External"/><Relationship Id="rId14" Type="http://schemas.openxmlformats.org/officeDocument/2006/relationships/hyperlink" Target="https://www.dwarkesh.com/p/dario-amodei-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4"/>
  <sheetViews>
    <sheetView zoomScaleNormal="100" workbookViewId="0"/>
  </sheetViews>
  <sheetFormatPr defaultColWidth="8.6328125" defaultRowHeight="14.5" x14ac:dyDescent="0.35"/>
  <cols>
    <col min="1" max="1" width="3" customWidth="1"/>
    <col min="2" max="2" width="20" customWidth="1"/>
    <col min="3" max="3" width="16" customWidth="1"/>
    <col min="4" max="7" width="14" customWidth="1"/>
    <col min="8" max="8" width="20" customWidth="1"/>
  </cols>
  <sheetData>
    <row r="2" spans="1:8" ht="21.75" customHeight="1" x14ac:dyDescent="0.5">
      <c r="B2" s="1" t="s">
        <v>0</v>
      </c>
    </row>
    <row r="3" spans="1:8" ht="15" customHeight="1" x14ac:dyDescent="0.35">
      <c r="B3" s="2" t="s">
        <v>1</v>
      </c>
    </row>
    <row r="4" spans="1:8" ht="15" customHeight="1" x14ac:dyDescent="0.35">
      <c r="B4" s="2" t="s">
        <v>2</v>
      </c>
    </row>
    <row r="6" spans="1:8" ht="15" customHeight="1" x14ac:dyDescent="0.35">
      <c r="A6" s="3" t="s">
        <v>3</v>
      </c>
      <c r="B6" s="4"/>
      <c r="C6" s="4"/>
      <c r="D6" s="4"/>
      <c r="E6" s="4"/>
      <c r="F6" s="4"/>
      <c r="G6" s="4"/>
      <c r="H6" s="4"/>
    </row>
    <row r="7" spans="1:8" ht="15" customHeight="1" x14ac:dyDescent="0.35">
      <c r="B7" s="5" t="s">
        <v>4</v>
      </c>
    </row>
    <row r="8" spans="1:8" ht="15" customHeight="1" x14ac:dyDescent="0.35">
      <c r="B8" s="5" t="s">
        <v>5</v>
      </c>
    </row>
    <row r="10" spans="1:8" ht="15" customHeight="1" x14ac:dyDescent="0.35">
      <c r="A10" s="3" t="s">
        <v>6</v>
      </c>
      <c r="B10" s="4"/>
      <c r="C10" s="4"/>
      <c r="D10" s="4"/>
      <c r="E10" s="4"/>
      <c r="F10" s="4"/>
      <c r="G10" s="4"/>
      <c r="H10" s="4"/>
    </row>
    <row r="11" spans="1:8" ht="15" customHeight="1" x14ac:dyDescent="0.35">
      <c r="B11" s="6" t="s">
        <v>7</v>
      </c>
      <c r="C11" s="5" t="s">
        <v>8</v>
      </c>
    </row>
    <row r="12" spans="1:8" ht="15" customHeight="1" x14ac:dyDescent="0.35">
      <c r="B12" s="6" t="s">
        <v>9</v>
      </c>
      <c r="C12" s="5" t="s">
        <v>10</v>
      </c>
    </row>
    <row r="13" spans="1:8" ht="15" customHeight="1" x14ac:dyDescent="0.35">
      <c r="B13" s="6" t="s">
        <v>11</v>
      </c>
      <c r="C13" s="5" t="s">
        <v>12</v>
      </c>
    </row>
    <row r="14" spans="1:8" ht="15" customHeight="1" x14ac:dyDescent="0.35">
      <c r="B14" s="6" t="s">
        <v>13</v>
      </c>
      <c r="C14" s="5" t="s">
        <v>14</v>
      </c>
    </row>
    <row r="15" spans="1:8" ht="15" customHeight="1" x14ac:dyDescent="0.35">
      <c r="B15" s="6" t="s">
        <v>15</v>
      </c>
      <c r="C15" s="5" t="s">
        <v>16</v>
      </c>
    </row>
    <row r="16" spans="1:8" ht="15" customHeight="1" x14ac:dyDescent="0.35">
      <c r="B16" s="6" t="s">
        <v>17</v>
      </c>
      <c r="C16" s="5" t="s">
        <v>18</v>
      </c>
    </row>
    <row r="18" spans="1:8" ht="15" customHeight="1" x14ac:dyDescent="0.35">
      <c r="A18" s="3" t="s">
        <v>19</v>
      </c>
      <c r="B18" s="4"/>
      <c r="C18" s="4"/>
      <c r="D18" s="4"/>
      <c r="E18" s="4"/>
      <c r="F18" s="4"/>
      <c r="G18" s="4"/>
      <c r="H18" s="4"/>
    </row>
    <row r="19" spans="1:8" ht="15" customHeight="1" x14ac:dyDescent="0.35">
      <c r="B19" s="7" t="s">
        <v>20</v>
      </c>
      <c r="C19" s="5" t="s">
        <v>21</v>
      </c>
    </row>
    <row r="20" spans="1:8" ht="15" customHeight="1" x14ac:dyDescent="0.35">
      <c r="B20" s="5" t="s">
        <v>22</v>
      </c>
      <c r="C20" s="5" t="s">
        <v>23</v>
      </c>
    </row>
    <row r="21" spans="1:8" ht="15" customHeight="1" x14ac:dyDescent="0.35">
      <c r="B21" s="8" t="s">
        <v>24</v>
      </c>
      <c r="C21" s="5" t="s">
        <v>25</v>
      </c>
    </row>
    <row r="22" spans="1:8" ht="15" customHeight="1" x14ac:dyDescent="0.35">
      <c r="B22" s="9" t="s">
        <v>26</v>
      </c>
      <c r="C22" s="5" t="s">
        <v>27</v>
      </c>
    </row>
    <row r="24" spans="1:8" ht="15" customHeight="1" x14ac:dyDescent="0.35">
      <c r="B24" s="10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" customWidth="1"/>
    <col min="2" max="2" width="40" customWidth="1"/>
    <col min="3" max="3" width="16" customWidth="1"/>
    <col min="4" max="4" width="12" customWidth="1"/>
    <col min="5" max="5" width="46" customWidth="1"/>
    <col min="6" max="6" width="8" customWidth="1"/>
    <col min="7" max="7" width="34" customWidth="1"/>
  </cols>
  <sheetData>
    <row r="1" spans="1:8" ht="18" customHeight="1" x14ac:dyDescent="0.4">
      <c r="A1" s="11" t="s">
        <v>7</v>
      </c>
    </row>
    <row r="2" spans="1:8" ht="15" customHeight="1" x14ac:dyDescent="0.35">
      <c r="A2" s="2" t="s">
        <v>29</v>
      </c>
    </row>
    <row r="3" spans="1:8" ht="1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5">
      <c r="A4" s="13"/>
      <c r="B4" s="13" t="s">
        <v>30</v>
      </c>
      <c r="C4" s="13" t="s">
        <v>31</v>
      </c>
      <c r="D4" s="13" t="s">
        <v>32</v>
      </c>
      <c r="E4" s="13" t="s">
        <v>33</v>
      </c>
      <c r="F4" s="13" t="s">
        <v>34</v>
      </c>
      <c r="G4" s="13" t="s">
        <v>35</v>
      </c>
    </row>
    <row r="5" spans="1:8" ht="15" customHeight="1" x14ac:dyDescent="0.35">
      <c r="A5" s="3" t="s">
        <v>36</v>
      </c>
      <c r="B5" s="4"/>
      <c r="C5" s="4"/>
      <c r="D5" s="4"/>
      <c r="E5" s="4"/>
      <c r="F5" s="4"/>
      <c r="G5" s="4"/>
      <c r="H5" s="4"/>
    </row>
    <row r="6" spans="1:8" ht="27.75" customHeight="1" x14ac:dyDescent="0.35">
      <c r="B6" s="14" t="s">
        <v>37</v>
      </c>
      <c r="C6" s="15">
        <v>20000000</v>
      </c>
      <c r="D6" s="14" t="s">
        <v>38</v>
      </c>
      <c r="E6" s="16" t="s">
        <v>39</v>
      </c>
      <c r="F6" s="17" t="s">
        <v>40</v>
      </c>
      <c r="G6" s="18" t="s">
        <v>41</v>
      </c>
    </row>
    <row r="7" spans="1:8" ht="18.75" customHeight="1" x14ac:dyDescent="0.35">
      <c r="B7" s="14" t="s">
        <v>42</v>
      </c>
      <c r="C7" s="19">
        <v>24</v>
      </c>
      <c r="D7" s="14" t="s">
        <v>38</v>
      </c>
      <c r="E7" s="16" t="s">
        <v>43</v>
      </c>
      <c r="F7" s="17" t="s">
        <v>40</v>
      </c>
      <c r="G7" s="18" t="s">
        <v>44</v>
      </c>
    </row>
    <row r="8" spans="1:8" ht="27.75" customHeight="1" x14ac:dyDescent="0.35">
      <c r="B8" s="14" t="s">
        <v>45</v>
      </c>
      <c r="C8" s="15">
        <v>100000000000</v>
      </c>
      <c r="D8" s="14" t="s">
        <v>46</v>
      </c>
      <c r="E8" s="16" t="s">
        <v>47</v>
      </c>
      <c r="F8" s="17" t="s">
        <v>40</v>
      </c>
      <c r="G8" s="18" t="s">
        <v>48</v>
      </c>
    </row>
    <row r="9" spans="1:8" ht="15" customHeight="1" x14ac:dyDescent="0.35">
      <c r="B9" s="14" t="s">
        <v>49</v>
      </c>
      <c r="C9" s="19">
        <v>45000000000</v>
      </c>
      <c r="D9" s="14" t="s">
        <v>46</v>
      </c>
      <c r="E9" s="16" t="s">
        <v>50</v>
      </c>
      <c r="F9" s="17" t="s">
        <v>51</v>
      </c>
      <c r="G9" s="18" t="s">
        <v>52</v>
      </c>
    </row>
    <row r="10" spans="1:8" ht="18.75" customHeight="1" x14ac:dyDescent="0.35">
      <c r="B10" s="14" t="s">
        <v>53</v>
      </c>
      <c r="C10" s="15">
        <v>1000000</v>
      </c>
      <c r="D10" s="14" t="s">
        <v>38</v>
      </c>
      <c r="E10" s="16" t="s">
        <v>54</v>
      </c>
      <c r="F10" s="17" t="s">
        <v>40</v>
      </c>
      <c r="G10" s="18" t="s">
        <v>55</v>
      </c>
    </row>
    <row r="11" spans="1:8" ht="18.75" customHeight="1" x14ac:dyDescent="0.35">
      <c r="B11" s="14" t="s">
        <v>56</v>
      </c>
      <c r="C11" s="19">
        <v>2100</v>
      </c>
      <c r="D11" s="14" t="s">
        <v>57</v>
      </c>
      <c r="E11" s="16" t="s">
        <v>58</v>
      </c>
      <c r="F11" s="17" t="s">
        <v>40</v>
      </c>
      <c r="G11" s="18" t="s">
        <v>59</v>
      </c>
    </row>
    <row r="12" spans="1:8" ht="27.75" customHeight="1" x14ac:dyDescent="0.35">
      <c r="B12" s="14" t="s">
        <v>60</v>
      </c>
      <c r="C12" s="20">
        <v>3.5</v>
      </c>
      <c r="D12" s="14" t="s">
        <v>61</v>
      </c>
      <c r="E12" s="16" t="s">
        <v>62</v>
      </c>
      <c r="F12" s="17" t="s">
        <v>40</v>
      </c>
      <c r="G12" s="18" t="s">
        <v>63</v>
      </c>
    </row>
    <row r="13" spans="1:8" ht="18.75" customHeight="1" x14ac:dyDescent="0.35">
      <c r="B13" s="14" t="s">
        <v>64</v>
      </c>
      <c r="C13" s="20">
        <v>0.4</v>
      </c>
      <c r="D13" s="14" t="s">
        <v>65</v>
      </c>
      <c r="E13" s="16" t="s">
        <v>66</v>
      </c>
      <c r="F13" s="17" t="s">
        <v>40</v>
      </c>
      <c r="G13" s="18" t="s">
        <v>67</v>
      </c>
    </row>
    <row r="14" spans="1:8" ht="15" customHeight="1" x14ac:dyDescent="0.35">
      <c r="B14" s="14" t="s">
        <v>68</v>
      </c>
      <c r="C14" s="19">
        <v>31536000</v>
      </c>
      <c r="D14" s="14" t="s">
        <v>69</v>
      </c>
      <c r="E14" s="14" t="s">
        <v>70</v>
      </c>
      <c r="F14" s="17" t="s">
        <v>51</v>
      </c>
      <c r="G14" s="18"/>
    </row>
    <row r="15" spans="1:8" ht="15" customHeight="1" x14ac:dyDescent="0.35">
      <c r="A15" s="3" t="s">
        <v>71</v>
      </c>
      <c r="B15" s="4"/>
      <c r="C15" s="4"/>
      <c r="D15" s="4"/>
      <c r="E15" s="4"/>
      <c r="F15" s="4"/>
      <c r="G15" s="4"/>
      <c r="H15" s="4"/>
    </row>
    <row r="16" spans="1:8" ht="18.75" customHeight="1" x14ac:dyDescent="0.35">
      <c r="B16" s="14" t="s">
        <v>72</v>
      </c>
      <c r="C16" s="21">
        <v>3</v>
      </c>
      <c r="D16" s="14" t="s">
        <v>73</v>
      </c>
      <c r="E16" s="16" t="s">
        <v>74</v>
      </c>
      <c r="F16" s="17" t="s">
        <v>51</v>
      </c>
      <c r="G16" s="18" t="s">
        <v>75</v>
      </c>
    </row>
    <row r="17" spans="2:7" ht="15" customHeight="1" x14ac:dyDescent="0.35">
      <c r="B17" s="14" t="s">
        <v>76</v>
      </c>
      <c r="C17" s="19">
        <v>5</v>
      </c>
      <c r="D17" s="14" t="s">
        <v>77</v>
      </c>
      <c r="E17" s="14" t="s">
        <v>78</v>
      </c>
      <c r="F17" s="17" t="s">
        <v>51</v>
      </c>
      <c r="G17" s="18"/>
    </row>
    <row r="18" spans="2:7" ht="18.75" customHeight="1" x14ac:dyDescent="0.35">
      <c r="B18" s="14" t="s">
        <v>79</v>
      </c>
      <c r="C18" s="15">
        <v>200</v>
      </c>
      <c r="D18" s="14" t="s">
        <v>38</v>
      </c>
      <c r="E18" s="14" t="s">
        <v>80</v>
      </c>
      <c r="F18" s="17" t="s">
        <v>81</v>
      </c>
      <c r="G18" s="18" t="s">
        <v>82</v>
      </c>
    </row>
    <row r="19" spans="2:7" ht="15" customHeight="1" x14ac:dyDescent="0.35">
      <c r="B19" s="14" t="s">
        <v>83</v>
      </c>
      <c r="C19" s="15">
        <v>2000000000</v>
      </c>
      <c r="D19" s="14" t="s">
        <v>38</v>
      </c>
      <c r="E19" s="14" t="s">
        <v>84</v>
      </c>
      <c r="F19" s="17" t="s">
        <v>81</v>
      </c>
      <c r="G19" s="18"/>
    </row>
    <row r="20" spans="2:7" ht="18.75" customHeight="1" x14ac:dyDescent="0.35">
      <c r="B20" s="14" t="s">
        <v>85</v>
      </c>
      <c r="C20" s="15">
        <v>90000</v>
      </c>
      <c r="D20" s="14" t="s">
        <v>46</v>
      </c>
      <c r="E20" s="14" t="s">
        <v>86</v>
      </c>
      <c r="F20" s="17" t="s">
        <v>81</v>
      </c>
      <c r="G20" s="18" t="s">
        <v>87</v>
      </c>
    </row>
    <row r="21" spans="2:7" ht="15" customHeight="1" x14ac:dyDescent="0.35">
      <c r="B21" s="14" t="s">
        <v>88</v>
      </c>
      <c r="C21" s="19">
        <v>5000</v>
      </c>
      <c r="D21" s="14" t="s">
        <v>46</v>
      </c>
      <c r="E21" s="14" t="s">
        <v>89</v>
      </c>
      <c r="F21" s="17" t="s">
        <v>40</v>
      </c>
      <c r="G21" s="18"/>
    </row>
    <row r="22" spans="2:7" ht="15" customHeight="1" x14ac:dyDescent="0.35">
      <c r="B22" s="14" t="s">
        <v>90</v>
      </c>
      <c r="C22" s="15">
        <v>10000000</v>
      </c>
      <c r="D22" s="14" t="s">
        <v>91</v>
      </c>
      <c r="E22" s="14" t="s">
        <v>92</v>
      </c>
      <c r="F22" s="17" t="s">
        <v>81</v>
      </c>
      <c r="G22" s="18"/>
    </row>
    <row r="23" spans="2:7" ht="18.75" customHeight="1" x14ac:dyDescent="0.35">
      <c r="B23" s="14" t="s">
        <v>93</v>
      </c>
      <c r="C23" s="15">
        <v>200000</v>
      </c>
      <c r="D23" s="14" t="s">
        <v>46</v>
      </c>
      <c r="E23" s="14" t="s">
        <v>94</v>
      </c>
      <c r="F23" s="17" t="s">
        <v>81</v>
      </c>
      <c r="G23" s="18" t="s">
        <v>95</v>
      </c>
    </row>
    <row r="24" spans="2:7" ht="27.75" customHeight="1" x14ac:dyDescent="0.35">
      <c r="B24" s="14" t="s">
        <v>96</v>
      </c>
      <c r="C24" s="15">
        <v>1000000000000</v>
      </c>
      <c r="D24" s="14" t="s">
        <v>97</v>
      </c>
      <c r="E24" s="16" t="s">
        <v>98</v>
      </c>
      <c r="F24" s="17" t="s">
        <v>81</v>
      </c>
      <c r="G24" s="18" t="s">
        <v>99</v>
      </c>
    </row>
    <row r="25" spans="2:7" ht="15" customHeight="1" x14ac:dyDescent="0.35">
      <c r="B25" s="14" t="s">
        <v>100</v>
      </c>
      <c r="C25" s="20">
        <v>0.1</v>
      </c>
      <c r="D25" s="14" t="s">
        <v>65</v>
      </c>
      <c r="E25" s="14" t="s">
        <v>101</v>
      </c>
      <c r="F25" s="17" t="s">
        <v>40</v>
      </c>
      <c r="G25" s="18"/>
    </row>
    <row r="26" spans="2:7" ht="15" customHeight="1" x14ac:dyDescent="0.35">
      <c r="B26" s="14" t="s">
        <v>102</v>
      </c>
      <c r="C26" s="19">
        <v>500000000000000</v>
      </c>
      <c r="D26" s="14" t="s">
        <v>103</v>
      </c>
      <c r="E26" s="16" t="s">
        <v>104</v>
      </c>
      <c r="F26" s="17" t="s">
        <v>40</v>
      </c>
      <c r="G26" s="18" t="s">
        <v>105</v>
      </c>
    </row>
    <row r="27" spans="2:7" ht="15" customHeight="1" x14ac:dyDescent="0.35">
      <c r="B27" s="14" t="s">
        <v>106</v>
      </c>
      <c r="C27" s="15">
        <v>1500000000</v>
      </c>
      <c r="D27" s="14" t="s">
        <v>107</v>
      </c>
      <c r="E27" s="16" t="s">
        <v>108</v>
      </c>
      <c r="F27" s="17" t="s">
        <v>40</v>
      </c>
      <c r="G27" s="18" t="s">
        <v>109</v>
      </c>
    </row>
    <row r="28" spans="2:7" ht="18.75" customHeight="1" x14ac:dyDescent="0.35">
      <c r="B28" s="14" t="s">
        <v>110</v>
      </c>
      <c r="C28" s="15">
        <v>1000</v>
      </c>
      <c r="D28" s="14" t="s">
        <v>111</v>
      </c>
      <c r="E28" s="14" t="s">
        <v>101</v>
      </c>
      <c r="F28" s="17" t="s">
        <v>81</v>
      </c>
      <c r="G28" s="18" t="s">
        <v>112</v>
      </c>
    </row>
    <row r="29" spans="2:7" ht="15" customHeight="1" x14ac:dyDescent="0.35">
      <c r="B29" s="14" t="s">
        <v>113</v>
      </c>
      <c r="C29" s="19">
        <v>240000</v>
      </c>
      <c r="D29" s="14" t="s">
        <v>114</v>
      </c>
      <c r="E29" s="16" t="s">
        <v>115</v>
      </c>
      <c r="F29" s="17" t="s">
        <v>40</v>
      </c>
      <c r="G29" s="18" t="s">
        <v>116</v>
      </c>
    </row>
    <row r="30" spans="2:7" ht="15" customHeight="1" x14ac:dyDescent="0.35">
      <c r="B30" s="14" t="s">
        <v>117</v>
      </c>
      <c r="C30" s="19">
        <v>50000000000000</v>
      </c>
      <c r="D30" s="14" t="s">
        <v>46</v>
      </c>
      <c r="E30" s="16" t="s">
        <v>118</v>
      </c>
      <c r="F30" s="17" t="s">
        <v>51</v>
      </c>
      <c r="G30" s="18" t="s">
        <v>119</v>
      </c>
    </row>
  </sheetData>
  <hyperlinks>
    <hyperlink ref="E6" r:id="rId1" xr:uid="{00000000-0004-0000-0100-000000000000}"/>
    <hyperlink ref="E7" r:id="rId2" xr:uid="{00000000-0004-0000-0100-000001000000}"/>
    <hyperlink ref="E8" r:id="rId3" xr:uid="{00000000-0004-0000-0100-000002000000}"/>
    <hyperlink ref="E9" r:id="rId4" xr:uid="{00000000-0004-0000-0100-000003000000}"/>
    <hyperlink ref="E10" r:id="rId5" xr:uid="{00000000-0004-0000-0100-000004000000}"/>
    <hyperlink ref="E11" r:id="rId6" xr:uid="{00000000-0004-0000-0100-000005000000}"/>
    <hyperlink ref="E12" r:id="rId7" xr:uid="{00000000-0004-0000-0100-000006000000}"/>
    <hyperlink ref="E13" r:id="rId8" xr:uid="{00000000-0004-0000-0100-000007000000}"/>
    <hyperlink ref="E16" r:id="rId9" xr:uid="{00000000-0004-0000-0100-000008000000}"/>
    <hyperlink ref="E24" r:id="rId10" xr:uid="{00000000-0004-0000-0100-000009000000}"/>
    <hyperlink ref="E26" r:id="rId11" xr:uid="{00000000-0004-0000-0100-00000A000000}"/>
    <hyperlink ref="E27" r:id="rId12" xr:uid="{00000000-0004-0000-0100-00000B000000}"/>
    <hyperlink ref="E29" r:id="rId13" xr:uid="{00000000-0004-0000-0100-00000C000000}"/>
    <hyperlink ref="E30" r:id="rId14" xr:uid="{00000000-0004-0000-0100-00000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40" customWidth="1"/>
    <col min="3" max="3" width="18" customWidth="1"/>
    <col min="4" max="4" width="4" customWidth="1"/>
    <col min="5" max="5" width="16" customWidth="1"/>
    <col min="6" max="6" width="40" customWidth="1"/>
  </cols>
  <sheetData>
    <row r="1" spans="1:8" ht="18" customHeight="1" x14ac:dyDescent="0.4">
      <c r="A1" s="11" t="s">
        <v>9</v>
      </c>
    </row>
    <row r="2" spans="1:8" ht="15" customHeight="1" x14ac:dyDescent="0.35">
      <c r="A2" s="2" t="s">
        <v>120</v>
      </c>
    </row>
    <row r="3" spans="1:8" ht="1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5">
      <c r="C4" s="22" t="s">
        <v>121</v>
      </c>
      <c r="E4" s="22" t="s">
        <v>122</v>
      </c>
      <c r="F4" s="22" t="s">
        <v>123</v>
      </c>
    </row>
    <row r="5" spans="1:8" ht="15" customHeight="1" x14ac:dyDescent="0.35">
      <c r="A5" s="3" t="s">
        <v>124</v>
      </c>
      <c r="B5" s="4"/>
      <c r="C5" s="4"/>
      <c r="D5" s="4"/>
      <c r="E5" s="4"/>
      <c r="F5" s="4"/>
      <c r="G5" s="4"/>
      <c r="H5" s="4"/>
    </row>
    <row r="6" spans="1:8" ht="15" customHeight="1" x14ac:dyDescent="0.35">
      <c r="B6" s="5" t="s">
        <v>125</v>
      </c>
      <c r="C6" s="23">
        <f>'Inputs &amp; Sources'!$C$6/'Inputs &amp; Sources'!$C$7</f>
        <v>833333.33333333337</v>
      </c>
      <c r="E6" s="24" t="s">
        <v>126</v>
      </c>
      <c r="F6" s="25" t="s">
        <v>127</v>
      </c>
    </row>
    <row r="7" spans="1:8" ht="15" customHeight="1" x14ac:dyDescent="0.35">
      <c r="B7" s="5" t="s">
        <v>128</v>
      </c>
      <c r="C7" s="26">
        <f>'Inputs &amp; Sources'!$C$8/'Inputs &amp; Sources'!$C$6</f>
        <v>5000</v>
      </c>
      <c r="E7" s="24" t="s">
        <v>129</v>
      </c>
      <c r="F7" s="25" t="s">
        <v>130</v>
      </c>
    </row>
    <row r="9" spans="1:8" ht="15" customHeight="1" x14ac:dyDescent="0.35">
      <c r="A9" s="3" t="s">
        <v>131</v>
      </c>
      <c r="B9" s="4"/>
      <c r="C9" s="4"/>
      <c r="D9" s="4"/>
      <c r="E9" s="4"/>
      <c r="F9" s="4"/>
      <c r="G9" s="4"/>
      <c r="H9" s="4"/>
    </row>
    <row r="10" spans="1:8" ht="15" customHeight="1" x14ac:dyDescent="0.35">
      <c r="B10" s="5" t="s">
        <v>132</v>
      </c>
      <c r="C10" s="26">
        <f>'Inputs &amp; Sources'!$C$9/'Inputs &amp; Sources'!$C$10</f>
        <v>45000</v>
      </c>
      <c r="E10" s="24" t="s">
        <v>133</v>
      </c>
      <c r="F10" s="25" t="s">
        <v>134</v>
      </c>
    </row>
    <row r="11" spans="1:8" ht="15" customHeight="1" x14ac:dyDescent="0.35">
      <c r="B11" s="5" t="s">
        <v>135</v>
      </c>
      <c r="C11" s="23">
        <f>'Inputs &amp; Sources'!$C$10/'Inputs &amp; Sources'!$C$7</f>
        <v>41666.666666666664</v>
      </c>
      <c r="E11" s="24" t="s">
        <v>136</v>
      </c>
      <c r="F11" s="25" t="s">
        <v>137</v>
      </c>
    </row>
    <row r="12" spans="1:8" ht="15" customHeight="1" x14ac:dyDescent="0.35">
      <c r="B12" s="5" t="s">
        <v>138</v>
      </c>
      <c r="C12" s="26">
        <f>'Inputs &amp; Sources'!$C$9/C11</f>
        <v>1080000</v>
      </c>
      <c r="E12" s="24" t="s">
        <v>139</v>
      </c>
      <c r="F12" s="25" t="s">
        <v>140</v>
      </c>
    </row>
    <row r="14" spans="1:8" ht="15" customHeight="1" x14ac:dyDescent="0.35">
      <c r="A14" s="3" t="s">
        <v>141</v>
      </c>
      <c r="B14" s="4"/>
      <c r="C14" s="4"/>
      <c r="D14" s="4"/>
      <c r="E14" s="4"/>
      <c r="F14" s="4"/>
      <c r="G14" s="4"/>
      <c r="H14" s="4"/>
    </row>
    <row r="15" spans="1:8" ht="15" customHeight="1" x14ac:dyDescent="0.35">
      <c r="B15" s="5" t="s">
        <v>142</v>
      </c>
      <c r="C15" s="23">
        <f>'Inputs &amp; Sources'!$C$11*'Inputs &amp; Sources'!$C$14</f>
        <v>66225600000</v>
      </c>
      <c r="E15" s="24" t="s">
        <v>143</v>
      </c>
      <c r="F15" s="25" t="s">
        <v>144</v>
      </c>
    </row>
    <row r="16" spans="1:8" ht="15" customHeight="1" x14ac:dyDescent="0.35">
      <c r="B16" s="5" t="s">
        <v>145</v>
      </c>
      <c r="C16" s="26">
        <f>C15/1000000*'Inputs &amp; Sources'!$C$12</f>
        <v>231789.60000000003</v>
      </c>
      <c r="E16" s="24" t="s">
        <v>146</v>
      </c>
      <c r="F16" s="25" t="s">
        <v>147</v>
      </c>
    </row>
    <row r="17" spans="2:6" ht="15" customHeight="1" x14ac:dyDescent="0.35">
      <c r="B17" s="5" t="s">
        <v>148</v>
      </c>
      <c r="C17" s="26">
        <f>C16*'Inputs &amp; Sources'!$C$13</f>
        <v>92715.840000000026</v>
      </c>
      <c r="E17" s="24" t="s">
        <v>149</v>
      </c>
      <c r="F17" s="25" t="s">
        <v>150</v>
      </c>
    </row>
    <row r="18" spans="2:6" ht="15" customHeight="1" x14ac:dyDescent="0.35">
      <c r="B18" s="5" t="s">
        <v>138</v>
      </c>
      <c r="C18" s="26">
        <f>C17*'Inputs &amp; Sources'!$C$7</f>
        <v>2225180.1600000006</v>
      </c>
      <c r="E18" s="24" t="s">
        <v>151</v>
      </c>
      <c r="F18" s="25" t="s">
        <v>152</v>
      </c>
    </row>
    <row r="20" spans="2:6" ht="32.25" customHeight="1" x14ac:dyDescent="0.35">
      <c r="B20" s="27" t="s">
        <v>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topLeftCell="A15" zoomScaleNormal="100" workbookViewId="0">
      <selection activeCell="C14" sqref="C14"/>
    </sheetView>
  </sheetViews>
  <sheetFormatPr defaultColWidth="8.6328125" defaultRowHeight="14.5" x14ac:dyDescent="0.35"/>
  <cols>
    <col min="1" max="1" width="2" customWidth="1"/>
    <col min="2" max="2" width="42" customWidth="1"/>
    <col min="3" max="3" width="18" customWidth="1"/>
    <col min="4" max="4" width="4" customWidth="1"/>
    <col min="5" max="5" width="16" customWidth="1"/>
    <col min="6" max="6" width="42" customWidth="1"/>
  </cols>
  <sheetData>
    <row r="1" spans="1:8" ht="18" customHeight="1" x14ac:dyDescent="0.4">
      <c r="A1" s="11" t="s">
        <v>11</v>
      </c>
    </row>
    <row r="2" spans="1:8" ht="15" customHeight="1" x14ac:dyDescent="0.35">
      <c r="A2" s="2" t="s">
        <v>154</v>
      </c>
    </row>
    <row r="3" spans="1:8" ht="1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5">
      <c r="C4" s="22" t="s">
        <v>121</v>
      </c>
      <c r="E4" s="22" t="s">
        <v>122</v>
      </c>
      <c r="F4" s="22" t="s">
        <v>123</v>
      </c>
    </row>
    <row r="5" spans="1:8" ht="15" customHeight="1" x14ac:dyDescent="0.35">
      <c r="A5" s="3" t="s">
        <v>155</v>
      </c>
      <c r="B5" s="4"/>
      <c r="C5" s="4"/>
      <c r="D5" s="4"/>
      <c r="E5" s="4"/>
      <c r="F5" s="4"/>
      <c r="G5" s="4"/>
      <c r="H5" s="4"/>
    </row>
    <row r="6" spans="1:8" ht="15" customHeight="1" x14ac:dyDescent="0.35">
      <c r="B6" s="5" t="s">
        <v>156</v>
      </c>
      <c r="C6" s="23">
        <f>'Inputs &amp; Sources'!$C$6*'Inputs &amp; Sources'!$C$16^'Inputs &amp; Sources'!$C$17</f>
        <v>4860000000</v>
      </c>
      <c r="E6" s="24" t="s">
        <v>157</v>
      </c>
      <c r="F6" s="25" t="s">
        <v>158</v>
      </c>
    </row>
    <row r="7" spans="1:8" ht="15" customHeight="1" x14ac:dyDescent="0.35">
      <c r="B7" s="5" t="s">
        <v>159</v>
      </c>
      <c r="C7" s="23">
        <f>C6/'Inputs &amp; Sources'!$C$18</f>
        <v>24300000</v>
      </c>
      <c r="E7" s="24" t="s">
        <v>160</v>
      </c>
      <c r="F7" s="25" t="s">
        <v>161</v>
      </c>
    </row>
    <row r="8" spans="1:8" ht="15" customHeight="1" x14ac:dyDescent="0.35">
      <c r="B8" s="5" t="s">
        <v>162</v>
      </c>
      <c r="C8" s="28">
        <f>C7/'2026 Baseline'!C6</f>
        <v>29.16</v>
      </c>
      <c r="E8" s="24" t="s">
        <v>163</v>
      </c>
    </row>
    <row r="10" spans="1:8" ht="15" customHeight="1" x14ac:dyDescent="0.35">
      <c r="A10" s="3" t="s">
        <v>164</v>
      </c>
      <c r="B10" s="4"/>
      <c r="C10" s="4"/>
      <c r="D10" s="4"/>
      <c r="E10" s="4"/>
      <c r="F10" s="4"/>
      <c r="G10" s="4"/>
      <c r="H10" s="4"/>
    </row>
    <row r="11" spans="1:8" ht="18.75" customHeight="1" x14ac:dyDescent="0.35">
      <c r="B11" s="5" t="s">
        <v>165</v>
      </c>
      <c r="C11" s="26">
        <f>'Inputs &amp; Sources'!$C$19*'Inputs &amp; Sources'!$C$20</f>
        <v>180000000000000</v>
      </c>
      <c r="E11" s="24" t="s">
        <v>166</v>
      </c>
      <c r="F11" s="25" t="s">
        <v>167</v>
      </c>
    </row>
    <row r="12" spans="1:8" ht="15" customHeight="1" x14ac:dyDescent="0.35">
      <c r="B12" s="5" t="s">
        <v>168</v>
      </c>
      <c r="C12" s="26">
        <f>'Inputs &amp; Sources'!$C$19*'Inputs &amp; Sources'!$C$21</f>
        <v>10000000000000</v>
      </c>
      <c r="E12" s="24" t="s">
        <v>169</v>
      </c>
      <c r="F12" s="25" t="s">
        <v>170</v>
      </c>
    </row>
    <row r="14" spans="1:8" ht="15" customHeight="1" x14ac:dyDescent="0.35">
      <c r="A14" s="3" t="s">
        <v>171</v>
      </c>
      <c r="B14" s="4"/>
      <c r="C14" s="4"/>
      <c r="D14" s="4"/>
      <c r="E14" s="4"/>
      <c r="F14" s="4"/>
      <c r="G14" s="4"/>
      <c r="H14" s="4"/>
    </row>
    <row r="15" spans="1:8" ht="18.75" customHeight="1" x14ac:dyDescent="0.35">
      <c r="B15" s="5" t="s">
        <v>172</v>
      </c>
      <c r="C15" s="26">
        <f>'Inputs &amp; Sources'!$C$22*'Inputs &amp; Sources'!$C$23</f>
        <v>2000000000000</v>
      </c>
      <c r="E15" s="24" t="s">
        <v>173</v>
      </c>
      <c r="F15" s="25" t="s">
        <v>174</v>
      </c>
    </row>
    <row r="16" spans="1:8" ht="15" customHeight="1" x14ac:dyDescent="0.35">
      <c r="B16" s="5" t="s">
        <v>175</v>
      </c>
      <c r="C16" s="26">
        <f>'Inputs &amp; Sources'!$C$22*'2026 Baseline'!C12</f>
        <v>10800000000000</v>
      </c>
      <c r="E16" s="24" t="s">
        <v>176</v>
      </c>
      <c r="F16" s="25" t="s">
        <v>177</v>
      </c>
    </row>
    <row r="18" spans="1:8" ht="15" customHeight="1" x14ac:dyDescent="0.35">
      <c r="A18" s="3" t="s">
        <v>178</v>
      </c>
      <c r="B18" s="4"/>
      <c r="C18" s="4"/>
      <c r="D18" s="4"/>
      <c r="E18" s="4"/>
      <c r="F18" s="4"/>
      <c r="G18" s="4"/>
      <c r="H18" s="4"/>
    </row>
    <row r="19" spans="1:8" ht="15" customHeight="1" x14ac:dyDescent="0.35">
      <c r="B19" s="5" t="s">
        <v>179</v>
      </c>
      <c r="C19" s="23">
        <f>'Inputs &amp; Sources'!$C$24*'Inputs &amp; Sources'!$C$25</f>
        <v>100000000000</v>
      </c>
      <c r="E19" s="24" t="s">
        <v>180</v>
      </c>
    </row>
    <row r="20" spans="1:8" ht="15" customHeight="1" x14ac:dyDescent="0.35">
      <c r="B20" s="5" t="s">
        <v>181</v>
      </c>
      <c r="C20" s="23">
        <f>C19*60</f>
        <v>6000000000000</v>
      </c>
      <c r="E20" s="24" t="s">
        <v>182</v>
      </c>
    </row>
    <row r="21" spans="1:8" ht="18.75" customHeight="1" x14ac:dyDescent="0.35">
      <c r="B21" s="5" t="s">
        <v>183</v>
      </c>
      <c r="C21" s="29">
        <v>0.83</v>
      </c>
      <c r="E21" s="24" t="s">
        <v>184</v>
      </c>
      <c r="F21" s="25" t="s">
        <v>185</v>
      </c>
    </row>
    <row r="22" spans="1:8" ht="15" customHeight="1" x14ac:dyDescent="0.35">
      <c r="B22" s="5" t="s">
        <v>186</v>
      </c>
      <c r="C22" s="26">
        <f>C20/1000000*C21</f>
        <v>4980000</v>
      </c>
      <c r="E22" s="24" t="s">
        <v>187</v>
      </c>
    </row>
    <row r="23" spans="1:8" ht="15" customHeight="1" x14ac:dyDescent="0.35">
      <c r="B23" s="5" t="s">
        <v>188</v>
      </c>
      <c r="C23" s="26">
        <f>C22*60*24*365</f>
        <v>2617488000000</v>
      </c>
      <c r="E23" s="24" t="s">
        <v>189</v>
      </c>
      <c r="F23" s="25" t="s">
        <v>190</v>
      </c>
    </row>
    <row r="24" spans="1:8" ht="15" customHeight="1" x14ac:dyDescent="0.35">
      <c r="B24" s="5" t="s">
        <v>191</v>
      </c>
      <c r="C24" s="26">
        <f>C20/1000000*3.5*60*24*365</f>
        <v>11037600000000</v>
      </c>
      <c r="E24" s="24" t="s">
        <v>176</v>
      </c>
      <c r="F24" s="25" t="s">
        <v>192</v>
      </c>
    </row>
    <row r="25" spans="1:8" ht="15" customHeight="1" x14ac:dyDescent="0.35">
      <c r="B25" s="5" t="s">
        <v>193</v>
      </c>
      <c r="C25" s="26">
        <f>C20/1000000*0.5*60*24*365</f>
        <v>1576800000000</v>
      </c>
      <c r="E25" s="24" t="s">
        <v>176</v>
      </c>
      <c r="F25" s="25" t="s">
        <v>194</v>
      </c>
    </row>
    <row r="27" spans="1:8" ht="15" customHeight="1" x14ac:dyDescent="0.35">
      <c r="A27" s="3" t="s">
        <v>195</v>
      </c>
      <c r="B27" s="4"/>
      <c r="C27" s="4"/>
      <c r="D27" s="4"/>
      <c r="E27" s="4"/>
      <c r="F27" s="4"/>
      <c r="G27" s="4"/>
      <c r="H27" s="4"/>
    </row>
    <row r="28" spans="1:8" ht="27.75" customHeight="1" x14ac:dyDescent="0.35">
      <c r="B28" s="5" t="s">
        <v>196</v>
      </c>
      <c r="C28" s="30">
        <f>(C15/'Inputs &amp; Sources'!$C$8)^(1/'Inputs &amp; Sources'!$C$17)-1</f>
        <v>0.82056420302608024</v>
      </c>
      <c r="E28" s="24" t="s">
        <v>197</v>
      </c>
      <c r="F28" s="25" t="s">
        <v>198</v>
      </c>
    </row>
    <row r="29" spans="1:8" ht="32.25" customHeight="1" x14ac:dyDescent="0.35">
      <c r="B29" s="27" t="s">
        <v>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44" customWidth="1"/>
    <col min="3" max="3" width="18" customWidth="1"/>
    <col min="4" max="4" width="4" customWidth="1"/>
    <col min="5" max="5" width="16" customWidth="1"/>
    <col min="6" max="6" width="42" customWidth="1"/>
  </cols>
  <sheetData>
    <row r="1" spans="1:8" ht="18" customHeight="1" x14ac:dyDescent="0.4">
      <c r="A1" s="11" t="s">
        <v>200</v>
      </c>
    </row>
    <row r="2" spans="1:8" ht="15" customHeight="1" x14ac:dyDescent="0.35">
      <c r="A2" s="2" t="s">
        <v>201</v>
      </c>
    </row>
    <row r="3" spans="1:8" ht="15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35">
      <c r="C4" s="22" t="s">
        <v>121</v>
      </c>
      <c r="E4" s="22" t="s">
        <v>122</v>
      </c>
      <c r="F4" s="22" t="s">
        <v>123</v>
      </c>
    </row>
    <row r="5" spans="1:8" ht="15" customHeight="1" x14ac:dyDescent="0.35">
      <c r="A5" s="3" t="s">
        <v>202</v>
      </c>
      <c r="B5" s="4"/>
      <c r="C5" s="4"/>
      <c r="D5" s="4"/>
      <c r="E5" s="4"/>
      <c r="F5" s="4"/>
      <c r="G5" s="4"/>
      <c r="H5" s="4"/>
    </row>
    <row r="6" spans="1:8" ht="15" customHeight="1" x14ac:dyDescent="0.35">
      <c r="B6" s="5" t="s">
        <v>203</v>
      </c>
      <c r="C6" s="31">
        <f>'Inputs &amp; Sources'!$C$26/'2031 Projection'!C20/60</f>
        <v>1.3888888888888888</v>
      </c>
      <c r="E6" s="24" t="s">
        <v>204</v>
      </c>
      <c r="F6" s="25" t="s">
        <v>205</v>
      </c>
    </row>
    <row r="8" spans="1:8" ht="15" customHeight="1" x14ac:dyDescent="0.35">
      <c r="A8" s="3" t="s">
        <v>206</v>
      </c>
      <c r="B8" s="4"/>
      <c r="C8" s="4"/>
      <c r="D8" s="4"/>
      <c r="E8" s="4"/>
      <c r="F8" s="4"/>
      <c r="G8" s="4"/>
      <c r="H8" s="4"/>
    </row>
    <row r="9" spans="1:8" ht="15" customHeight="1" x14ac:dyDescent="0.35">
      <c r="B9" s="5" t="s">
        <v>207</v>
      </c>
      <c r="C9" s="23">
        <f>'Inputs &amp; Sources'!$C$27*'Inputs &amp; Sources'!$C$28</f>
        <v>1500000000000</v>
      </c>
      <c r="E9" s="24" t="s">
        <v>208</v>
      </c>
      <c r="F9" s="25" t="s">
        <v>209</v>
      </c>
    </row>
    <row r="10" spans="1:8" ht="15" customHeight="1" x14ac:dyDescent="0.35">
      <c r="B10" s="5" t="s">
        <v>210</v>
      </c>
      <c r="C10" s="28">
        <f>'2031 Projection'!C20/C9</f>
        <v>4</v>
      </c>
      <c r="E10" s="24" t="s">
        <v>211</v>
      </c>
      <c r="F10" s="25" t="s">
        <v>212</v>
      </c>
    </row>
    <row r="12" spans="1:8" ht="15" customHeight="1" x14ac:dyDescent="0.35">
      <c r="A12" s="3" t="s">
        <v>213</v>
      </c>
      <c r="B12" s="4"/>
      <c r="C12" s="4"/>
      <c r="D12" s="4"/>
      <c r="E12" s="4"/>
      <c r="F12" s="4"/>
      <c r="G12" s="4"/>
      <c r="H12" s="4"/>
    </row>
    <row r="13" spans="1:8" ht="15" customHeight="1" x14ac:dyDescent="0.35">
      <c r="B13" s="5" t="s">
        <v>214</v>
      </c>
      <c r="C13" s="23">
        <f>'Inputs &amp; Sources'!$C$27*'Inputs &amp; Sources'!$C$29</f>
        <v>360000000000000</v>
      </c>
      <c r="E13" s="24" t="s">
        <v>176</v>
      </c>
      <c r="F13" s="25" t="s">
        <v>215</v>
      </c>
    </row>
    <row r="14" spans="1:8" ht="15" customHeight="1" x14ac:dyDescent="0.35">
      <c r="B14" s="5" t="s">
        <v>216</v>
      </c>
      <c r="C14" s="23">
        <f>'2031 Projection'!C20*1440</f>
        <v>8640000000000000</v>
      </c>
      <c r="E14" s="24" t="s">
        <v>176</v>
      </c>
      <c r="F14" s="25" t="s">
        <v>217</v>
      </c>
    </row>
    <row r="15" spans="1:8" ht="18.75" customHeight="1" x14ac:dyDescent="0.35">
      <c r="B15" s="5" t="s">
        <v>218</v>
      </c>
      <c r="C15" s="28">
        <f>C14/C13</f>
        <v>24</v>
      </c>
      <c r="E15" s="24" t="s">
        <v>176</v>
      </c>
      <c r="F15" s="25" t="s">
        <v>219</v>
      </c>
    </row>
    <row r="17" spans="1:8" ht="15" customHeight="1" x14ac:dyDescent="0.35">
      <c r="A17" s="3" t="s">
        <v>220</v>
      </c>
      <c r="B17" s="4"/>
      <c r="C17" s="4"/>
      <c r="D17" s="4"/>
      <c r="E17" s="4"/>
      <c r="F17" s="4"/>
      <c r="G17" s="4"/>
      <c r="H17" s="4"/>
    </row>
    <row r="18" spans="1:8" ht="15" customHeight="1" x14ac:dyDescent="0.35">
      <c r="B18" s="5" t="s">
        <v>221</v>
      </c>
      <c r="C18" s="30">
        <f>'2031 Projection'!C15/'Inputs &amp; Sources'!$C$30</f>
        <v>0.04</v>
      </c>
      <c r="E18" s="24" t="s">
        <v>222</v>
      </c>
      <c r="F18" s="25" t="s">
        <v>223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021"/>
  <sheetViews>
    <sheetView tabSelected="1" zoomScaleNormal="100" workbookViewId="0">
      <pane ySplit="21" topLeftCell="A50" activePane="bottomLeft" state="frozen"/>
      <selection pane="bottomLeft" activeCell="K8" sqref="K8"/>
    </sheetView>
  </sheetViews>
  <sheetFormatPr defaultColWidth="8.6328125" defaultRowHeight="14.5" x14ac:dyDescent="0.35"/>
  <cols>
    <col min="1" max="1" width="2" customWidth="1"/>
    <col min="2" max="2" width="22" customWidth="1"/>
    <col min="3" max="4" width="13" customWidth="1"/>
    <col min="5" max="5" width="18.08984375" customWidth="1"/>
    <col min="6" max="6" width="28.08984375" customWidth="1"/>
    <col min="7" max="7" width="16.26953125" customWidth="1"/>
    <col min="8" max="8" width="15.90625" customWidth="1"/>
    <col min="9" max="9" width="16.453125" customWidth="1"/>
    <col min="10" max="10" width="19" customWidth="1"/>
    <col min="11" max="11" width="13" customWidth="1"/>
    <col min="13" max="13" width="12" customWidth="1"/>
    <col min="14" max="14" width="17.54296875" customWidth="1"/>
    <col min="15" max="15" width="23" customWidth="1"/>
    <col min="16" max="16" width="21.90625" customWidth="1"/>
    <col min="17" max="17" width="24.81640625" customWidth="1"/>
    <col min="18" max="18" width="22.26953125" customWidth="1"/>
    <col min="19" max="19" width="20.08984375" customWidth="1"/>
  </cols>
  <sheetData>
    <row r="1" spans="1:19" ht="18" customHeight="1" x14ac:dyDescent="0.4">
      <c r="A1" s="11" t="s">
        <v>224</v>
      </c>
    </row>
    <row r="2" spans="1:19" ht="15" customHeight="1" x14ac:dyDescent="0.35">
      <c r="A2" s="2" t="s">
        <v>225</v>
      </c>
    </row>
    <row r="3" spans="1:19" ht="15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5" spans="1:19" ht="15" customHeight="1" x14ac:dyDescent="0.35">
      <c r="A5" s="3" t="s">
        <v>226</v>
      </c>
      <c r="B5" s="4"/>
      <c r="C5" s="4"/>
      <c r="D5" s="4"/>
      <c r="E5" s="4"/>
      <c r="F5" s="4"/>
      <c r="G5" s="4"/>
      <c r="H5" s="4"/>
      <c r="I5" s="4"/>
      <c r="J5" s="4"/>
      <c r="K5" s="4"/>
      <c r="M5" s="32" t="s">
        <v>227</v>
      </c>
    </row>
    <row r="6" spans="1:19" ht="24" customHeight="1" x14ac:dyDescent="0.35">
      <c r="B6" s="22" t="s">
        <v>30</v>
      </c>
      <c r="C6" s="22" t="s">
        <v>228</v>
      </c>
      <c r="D6" s="22" t="s">
        <v>229</v>
      </c>
      <c r="E6" s="22" t="s">
        <v>230</v>
      </c>
      <c r="F6" s="56" t="s">
        <v>231</v>
      </c>
      <c r="G6" s="56"/>
      <c r="H6" s="56"/>
      <c r="I6" s="56"/>
      <c r="J6" s="33" t="s">
        <v>232</v>
      </c>
      <c r="M6" s="22" t="s">
        <v>233</v>
      </c>
      <c r="N6" s="22" t="s">
        <v>234</v>
      </c>
      <c r="O6" s="22" t="s">
        <v>235</v>
      </c>
      <c r="P6" s="22" t="s">
        <v>236</v>
      </c>
      <c r="Q6" s="22" t="s">
        <v>237</v>
      </c>
      <c r="R6" s="22" t="s">
        <v>238</v>
      </c>
      <c r="S6" s="22" t="s">
        <v>310</v>
      </c>
    </row>
    <row r="7" spans="1:19" ht="41" customHeight="1" x14ac:dyDescent="0.35">
      <c r="B7" s="5" t="s">
        <v>239</v>
      </c>
      <c r="C7" s="34">
        <v>3</v>
      </c>
      <c r="D7" s="34">
        <v>0.45</v>
      </c>
      <c r="E7" s="24" t="s">
        <v>240</v>
      </c>
      <c r="F7" s="55" t="s">
        <v>241</v>
      </c>
      <c r="G7" s="55"/>
      <c r="H7" s="55"/>
      <c r="I7" s="55"/>
      <c r="J7" s="35">
        <f>C7</f>
        <v>3</v>
      </c>
      <c r="M7" s="6" t="s">
        <v>242</v>
      </c>
      <c r="N7" s="36">
        <f ca="1">PERCENTILE(E22:E2021,0.05)</f>
        <v>2673377341393.4751</v>
      </c>
      <c r="O7" s="36">
        <f ca="1">PERCENTILE(E22:E2021,0.25)</f>
        <v>7647571290001.4746</v>
      </c>
      <c r="P7" s="36">
        <f ca="1">PERCENTILE(E22:E2021,0.5)</f>
        <v>15131420227261.18</v>
      </c>
      <c r="Q7" s="36">
        <f ca="1">PERCENTILE(E22:E2021,0.75)</f>
        <v>28365371876682.055</v>
      </c>
      <c r="R7" s="36">
        <f ca="1">PERCENTILE(E22:E2021,0.95)</f>
        <v>70855956107145.844</v>
      </c>
      <c r="S7" s="36">
        <f ca="1">AVERAGE(E22:E2021)/1000000000000</f>
        <v>23.107339699597315</v>
      </c>
    </row>
    <row r="8" spans="1:19" ht="41" customHeight="1" x14ac:dyDescent="0.35">
      <c r="B8" s="5" t="s">
        <v>243</v>
      </c>
      <c r="C8" s="34">
        <v>16000000</v>
      </c>
      <c r="D8" s="34">
        <v>24000000</v>
      </c>
      <c r="E8" s="24" t="s">
        <v>244</v>
      </c>
      <c r="F8" s="55" t="s">
        <v>245</v>
      </c>
      <c r="G8" s="55"/>
      <c r="H8" s="55"/>
      <c r="I8" s="55"/>
      <c r="J8" s="37">
        <f>(C8+D8)/2</f>
        <v>20000000</v>
      </c>
      <c r="M8" s="6" t="s">
        <v>246</v>
      </c>
      <c r="N8" s="36">
        <f ca="1">PERCENTILE(F22:F2021,0.05)</f>
        <v>472215911466.49591</v>
      </c>
      <c r="O8" s="36">
        <f ca="1">PERCENTILE(F22:F2021,0.25)</f>
        <v>1475870991822.4673</v>
      </c>
      <c r="P8" s="36">
        <f ca="1">PERCENTILE(F22:F2021,0.5)</f>
        <v>3007573143736.4595</v>
      </c>
      <c r="Q8" s="36">
        <f ca="1">PERCENTILE(F22:F2021,0.75)</f>
        <v>5789330368001.9775</v>
      </c>
      <c r="R8" s="36">
        <f ca="1">PERCENTILE(F22:F2021,0.95)</f>
        <v>16985353596441.168</v>
      </c>
      <c r="S8" s="36">
        <f ca="1">AVERAGE(F22:F2021)/1000000000000</f>
        <v>5.3447532205989177</v>
      </c>
    </row>
    <row r="9" spans="1:19" ht="41" customHeight="1" x14ac:dyDescent="0.35">
      <c r="B9" s="5" t="s">
        <v>247</v>
      </c>
      <c r="C9" s="34">
        <v>9.7596469999999993</v>
      </c>
      <c r="D9" s="34">
        <v>0.455291</v>
      </c>
      <c r="E9" s="24" t="s">
        <v>248</v>
      </c>
      <c r="F9" s="55" t="s">
        <v>249</v>
      </c>
      <c r="G9" s="55"/>
      <c r="H9" s="55"/>
      <c r="I9" s="55"/>
      <c r="J9" s="38">
        <f>EXP(C9)</f>
        <v>17320.516453443222</v>
      </c>
      <c r="M9" s="6" t="s">
        <v>250</v>
      </c>
      <c r="N9" s="36">
        <f ca="1">PERCENTILE(G22:G2021,0.05)</f>
        <v>423923016706.76746</v>
      </c>
      <c r="O9" s="36">
        <f ca="1">PERCENTILE(G22:G2021,0.25)</f>
        <v>1963562246818.1067</v>
      </c>
      <c r="P9" s="36">
        <f ca="1">PERCENTILE(G22:G2021,0.5)</f>
        <v>5327791329161.6592</v>
      </c>
      <c r="Q9" s="36">
        <f ca="1">PERCENTILE(G22:G2021,0.75)</f>
        <v>15982294467856.705</v>
      </c>
      <c r="R9" s="36">
        <f ca="1">PERCENTILE(G22:G2021,0.95)</f>
        <v>70604342329116</v>
      </c>
      <c r="S9" s="36">
        <f ca="1">AVERAGE(G22:G2021)/1000000000000</f>
        <v>16.914663466507552</v>
      </c>
    </row>
    <row r="10" spans="1:19" ht="41" customHeight="1" x14ac:dyDescent="0.35">
      <c r="B10" s="5" t="s">
        <v>251</v>
      </c>
      <c r="C10" s="34">
        <v>0.2</v>
      </c>
      <c r="D10" s="34">
        <v>0.5</v>
      </c>
      <c r="E10" s="24" t="s">
        <v>244</v>
      </c>
      <c r="F10" s="55" t="s">
        <v>252</v>
      </c>
      <c r="G10" s="55"/>
      <c r="H10" s="55"/>
      <c r="I10" s="55"/>
      <c r="J10" s="39">
        <f>(C10+D10)/2</f>
        <v>0.35</v>
      </c>
      <c r="M10" s="6" t="s">
        <v>253</v>
      </c>
      <c r="N10" s="36">
        <f ca="1">PERCENTILE(H22:H2021,0.05)</f>
        <v>623275890457.84119</v>
      </c>
      <c r="O10" s="36">
        <f ca="1">PERCENTILE(H22:H2021,0.25)</f>
        <v>2386908152825.4873</v>
      </c>
      <c r="P10" s="36">
        <f ca="1">PERCENTILE(H22:H2021,0.5)</f>
        <v>5949757336397.4092</v>
      </c>
      <c r="Q10" s="36">
        <f ca="1">PERCENTILE(H22:H2021,0.75)</f>
        <v>17148991802880.012</v>
      </c>
      <c r="R10" s="36">
        <f ca="1">PERCENTILE(H22:H2021,0.95)</f>
        <v>56771258140881.531</v>
      </c>
      <c r="S10" s="36">
        <f ca="1">AVERAGE(H22:H2021)/1000000000000</f>
        <v>15.134277870585857</v>
      </c>
    </row>
    <row r="11" spans="1:19" ht="41" customHeight="1" x14ac:dyDescent="0.35">
      <c r="B11" s="5" t="s">
        <v>254</v>
      </c>
      <c r="C11" s="34">
        <v>0.25</v>
      </c>
      <c r="D11" s="34">
        <v>0.9</v>
      </c>
      <c r="E11" s="24" t="s">
        <v>255</v>
      </c>
      <c r="F11" s="55" t="s">
        <v>256</v>
      </c>
      <c r="G11" s="55"/>
      <c r="H11" s="55"/>
      <c r="I11" s="55"/>
      <c r="J11" s="40">
        <f>(C11+D11)/2</f>
        <v>0.57499999999999996</v>
      </c>
    </row>
    <row r="12" spans="1:19" ht="41" customHeight="1" x14ac:dyDescent="0.35">
      <c r="B12" s="5" t="s">
        <v>257</v>
      </c>
      <c r="C12" s="34">
        <v>16.065415000000002</v>
      </c>
      <c r="D12" s="34">
        <v>0.699874</v>
      </c>
      <c r="E12" s="24" t="s">
        <v>258</v>
      </c>
      <c r="F12" s="55" t="s">
        <v>259</v>
      </c>
      <c r="G12" s="55"/>
      <c r="H12" s="55"/>
      <c r="I12" s="55"/>
      <c r="J12" s="37">
        <f>EXP(C12)</f>
        <v>9486829.2509528659</v>
      </c>
      <c r="M12" s="41" t="s">
        <v>260</v>
      </c>
    </row>
    <row r="13" spans="1:19" ht="41" customHeight="1" x14ac:dyDescent="0.35">
      <c r="B13" s="5" t="s">
        <v>261</v>
      </c>
      <c r="C13" s="34">
        <v>12.643807000000001</v>
      </c>
      <c r="D13" s="34">
        <v>0.82311599999999996</v>
      </c>
      <c r="E13" s="24" t="s">
        <v>262</v>
      </c>
      <c r="F13" s="55" t="s">
        <v>263</v>
      </c>
      <c r="G13" s="55"/>
      <c r="H13" s="55"/>
      <c r="I13" s="55"/>
      <c r="J13" s="38">
        <f>EXP(C13)</f>
        <v>309838.66329467733</v>
      </c>
      <c r="M13" s="5" t="s">
        <v>264</v>
      </c>
      <c r="N13" s="42">
        <f ca="1">COUNTIF(H22:H2021,"&gt;2000000000000")/2000</f>
        <v>0.79500000000000004</v>
      </c>
    </row>
    <row r="14" spans="1:19" ht="41" customHeight="1" x14ac:dyDescent="0.35">
      <c r="B14" s="5" t="s">
        <v>265</v>
      </c>
      <c r="C14" s="34">
        <v>27.631021</v>
      </c>
      <c r="D14" s="34">
        <v>1.255412</v>
      </c>
      <c r="E14" s="24" t="s">
        <v>266</v>
      </c>
      <c r="F14" s="55" t="s">
        <v>267</v>
      </c>
      <c r="G14" s="55"/>
      <c r="H14" s="55"/>
      <c r="I14" s="55"/>
      <c r="J14" s="37">
        <f>EXP(C14)</f>
        <v>999999884071.45898</v>
      </c>
      <c r="M14" s="5" t="s">
        <v>268</v>
      </c>
      <c r="N14" s="42">
        <f ca="1">COUNTIF(H22:H2021,"&gt;1000000000000")/2000</f>
        <v>0.90849999999999997</v>
      </c>
    </row>
    <row r="15" spans="1:19" ht="41" customHeight="1" x14ac:dyDescent="0.35">
      <c r="B15" s="5" t="s">
        <v>269</v>
      </c>
      <c r="C15" s="34">
        <v>0.05</v>
      </c>
      <c r="D15" s="34">
        <v>0.3</v>
      </c>
      <c r="E15" s="24" t="s">
        <v>270</v>
      </c>
      <c r="F15" s="55" t="s">
        <v>271</v>
      </c>
      <c r="G15" s="55"/>
      <c r="H15" s="55"/>
      <c r="I15" s="55"/>
      <c r="J15" s="39">
        <f>(C15+D15)/2</f>
        <v>0.17499999999999999</v>
      </c>
      <c r="M15" s="5" t="s">
        <v>272</v>
      </c>
      <c r="N15" s="42">
        <f ca="1">COUNTIF(H22:H2021,"&gt;10000000000000")/2000</f>
        <v>0.3715</v>
      </c>
    </row>
    <row r="16" spans="1:19" ht="41" customHeight="1" x14ac:dyDescent="0.35">
      <c r="B16" s="5" t="s">
        <v>273</v>
      </c>
      <c r="C16" s="34">
        <v>0.168236</v>
      </c>
      <c r="D16" s="34">
        <v>0.65928699999999996</v>
      </c>
      <c r="E16" s="24" t="s">
        <v>274</v>
      </c>
      <c r="F16" s="55" t="s">
        <v>275</v>
      </c>
      <c r="G16" s="55"/>
      <c r="H16" s="55"/>
      <c r="I16" s="55"/>
      <c r="J16" s="43">
        <f>EXP(C16)</f>
        <v>1.1832158166329341</v>
      </c>
    </row>
    <row r="17" spans="1:14" ht="41" customHeight="1" x14ac:dyDescent="0.35">
      <c r="B17" s="5" t="s">
        <v>276</v>
      </c>
      <c r="C17" s="34">
        <v>1000000000</v>
      </c>
      <c r="D17" s="34">
        <v>1700000000</v>
      </c>
      <c r="E17" s="24" t="s">
        <v>244</v>
      </c>
      <c r="F17" s="55" t="s">
        <v>277</v>
      </c>
      <c r="G17" s="55"/>
      <c r="H17" s="55"/>
      <c r="I17" s="55"/>
      <c r="J17" s="37">
        <f>(C17+D17)/2</f>
        <v>1350000000</v>
      </c>
      <c r="M17" s="41" t="s">
        <v>278</v>
      </c>
    </row>
    <row r="18" spans="1:14" ht="41" customHeight="1" x14ac:dyDescent="0.35">
      <c r="B18" s="5" t="s">
        <v>279</v>
      </c>
      <c r="C18" s="34">
        <v>400</v>
      </c>
      <c r="D18" s="34">
        <v>1600</v>
      </c>
      <c r="E18" s="24" t="s">
        <v>244</v>
      </c>
      <c r="F18" s="55" t="s">
        <v>280</v>
      </c>
      <c r="G18" s="55"/>
      <c r="H18" s="55"/>
      <c r="I18" s="55"/>
      <c r="J18" s="37">
        <f>(C18+D18)/2</f>
        <v>1000</v>
      </c>
      <c r="M18" s="5" t="s">
        <v>281</v>
      </c>
      <c r="N18" s="44">
        <f ca="1">MEDIAN(K22:K2021)</f>
        <v>7.6859373868023964</v>
      </c>
    </row>
    <row r="19" spans="1:14" ht="15" customHeight="1" x14ac:dyDescent="0.35">
      <c r="M19" s="5" t="s">
        <v>282</v>
      </c>
      <c r="N19" s="42">
        <f ca="1">COUNTIF(K22:K2021,"&gt;1")/2000</f>
        <v>0.92400000000000004</v>
      </c>
    </row>
    <row r="20" spans="1:14" ht="15" customHeight="1" x14ac:dyDescent="0.35">
      <c r="A20" s="3" t="s">
        <v>283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4" ht="126.75" customHeight="1" x14ac:dyDescent="0.35">
      <c r="B21" s="45" t="s">
        <v>284</v>
      </c>
      <c r="C21" s="45" t="s">
        <v>285</v>
      </c>
      <c r="D21" s="45" t="s">
        <v>286</v>
      </c>
      <c r="E21" s="45" t="s">
        <v>287</v>
      </c>
      <c r="F21" s="45" t="s">
        <v>288</v>
      </c>
      <c r="G21" s="45" t="s">
        <v>289</v>
      </c>
      <c r="H21" s="45" t="s">
        <v>290</v>
      </c>
      <c r="I21" s="45" t="s">
        <v>291</v>
      </c>
      <c r="J21" s="45" t="s">
        <v>292</v>
      </c>
      <c r="K21" s="45" t="s">
        <v>293</v>
      </c>
      <c r="M21" s="27" t="s">
        <v>294</v>
      </c>
    </row>
    <row r="22" spans="1:14" ht="15" customHeight="1" x14ac:dyDescent="0.35">
      <c r="B22" s="5">
        <v>1</v>
      </c>
      <c r="C22" s="46">
        <f t="shared" ref="C22:C85" ca="1" si="0">MEDIAN(1.8,NORMINV(RAND(),$C$7,$D$7),4.5)</f>
        <v>2.2290634959433282</v>
      </c>
      <c r="D22" s="47">
        <f t="shared" ref="D22:D85" ca="1" si="1">($C$8+RAND()*($D$8-$C$8))*C22^5</f>
        <v>1308163322.7724023</v>
      </c>
      <c r="E22" s="47">
        <f t="shared" ref="E22:E85" ca="1" si="2">D22*($C$10+RAND()*($D$10-$C$10))*EXP(NORMINV(RAND(),$C$9,$D$9))*($C$11+RAND()*($D$11-$C$11))</f>
        <v>3026956180250.2446</v>
      </c>
      <c r="F22" s="47">
        <f t="shared" ref="F22:F85" ca="1" si="3">EXP(NORMINV(RAND(),$C$12,$D$12))*EXP(NORMINV(RAND(),$C$13,$D$13))</f>
        <v>5703614334134.5918</v>
      </c>
      <c r="G22" s="47">
        <f t="shared" ref="G22:G85" ca="1" si="4">EXP(NORMINV(RAND(),$C$14,$D$14))*($C$15+RAND()*($D$15-$C$15))*EXP(NORMINV(RAND(),$C$16,$D$16))/1000000*31536000</f>
        <v>949380823563.60889</v>
      </c>
      <c r="H22" s="47">
        <f t="shared" ref="H22:H85" ca="1" si="5">CHOOSE(RANDBETWEEN(1,3),E22,F22,G22)</f>
        <v>5703614334134.5918</v>
      </c>
      <c r="I22" s="47">
        <f t="shared" ref="I22:I85" ca="1" si="6">EXP(NORMINV(RAND(),$C$14,$D$14))*($C$15+RAND()*($D$15-$C$15))*60</f>
        <v>4616779751739.5342</v>
      </c>
      <c r="J22" s="47">
        <f t="shared" ref="J22:J85" ca="1" si="7">($C$17+RAND()*($D$17-$C$17))*($C$18+RAND()*($D$18-$C$18))</f>
        <v>1726021429891.7979</v>
      </c>
      <c r="K22" s="48">
        <f t="shared" ref="K22:K85" ca="1" si="8">I22/J22</f>
        <v>2.6748102148586614</v>
      </c>
    </row>
    <row r="23" spans="1:14" ht="15" customHeight="1" x14ac:dyDescent="0.35">
      <c r="B23" s="5">
        <v>2</v>
      </c>
      <c r="C23" s="46">
        <f t="shared" ca="1" si="0"/>
        <v>2.2742665369539878</v>
      </c>
      <c r="D23" s="47">
        <f t="shared" ca="1" si="1"/>
        <v>1393561462.9224825</v>
      </c>
      <c r="E23" s="47">
        <f t="shared" ca="1" si="2"/>
        <v>11116312838189.166</v>
      </c>
      <c r="F23" s="47">
        <f t="shared" ca="1" si="3"/>
        <v>2477875650265.5049</v>
      </c>
      <c r="G23" s="47">
        <f t="shared" ca="1" si="4"/>
        <v>826263539755.42456</v>
      </c>
      <c r="H23" s="47">
        <f t="shared" ca="1" si="5"/>
        <v>11116312838189.166</v>
      </c>
      <c r="I23" s="47">
        <f t="shared" ca="1" si="6"/>
        <v>17400314569605.242</v>
      </c>
      <c r="J23" s="47">
        <f t="shared" ca="1" si="7"/>
        <v>2653868002451.5684</v>
      </c>
      <c r="K23" s="48">
        <f t="shared" ca="1" si="8"/>
        <v>6.5565862934898504</v>
      </c>
    </row>
    <row r="24" spans="1:14" ht="15" customHeight="1" x14ac:dyDescent="0.35">
      <c r="B24" s="5">
        <v>3</v>
      </c>
      <c r="C24" s="46">
        <f t="shared" ca="1" si="0"/>
        <v>3.6796115746980811</v>
      </c>
      <c r="D24" s="47">
        <f t="shared" ca="1" si="1"/>
        <v>15121211540.964428</v>
      </c>
      <c r="E24" s="47">
        <f t="shared" ca="1" si="2"/>
        <v>84220243440080.734</v>
      </c>
      <c r="F24" s="47">
        <f t="shared" ca="1" si="3"/>
        <v>6513394005129.874</v>
      </c>
      <c r="G24" s="47">
        <f t="shared" ca="1" si="4"/>
        <v>14768645363478.084</v>
      </c>
      <c r="H24" s="47">
        <f t="shared" ca="1" si="5"/>
        <v>14768645363478.084</v>
      </c>
      <c r="I24" s="47">
        <f t="shared" ca="1" si="6"/>
        <v>24449397197877.875</v>
      </c>
      <c r="J24" s="47">
        <f t="shared" ca="1" si="7"/>
        <v>459607689411.03027</v>
      </c>
      <c r="K24" s="48">
        <f t="shared" ca="1" si="8"/>
        <v>53.196231832432666</v>
      </c>
    </row>
    <row r="25" spans="1:14" ht="15" customHeight="1" x14ac:dyDescent="0.35">
      <c r="B25" s="5">
        <v>4</v>
      </c>
      <c r="C25" s="46">
        <f t="shared" ca="1" si="0"/>
        <v>2.5747172501200111</v>
      </c>
      <c r="D25" s="47">
        <f t="shared" ca="1" si="1"/>
        <v>2105479673.6389697</v>
      </c>
      <c r="E25" s="47">
        <f t="shared" ca="1" si="2"/>
        <v>7604597777218.8643</v>
      </c>
      <c r="F25" s="47">
        <f t="shared" ca="1" si="3"/>
        <v>22525571097347.086</v>
      </c>
      <c r="G25" s="47">
        <f t="shared" ca="1" si="4"/>
        <v>5667141169716.7295</v>
      </c>
      <c r="H25" s="47">
        <f t="shared" ca="1" si="5"/>
        <v>5667141169716.7295</v>
      </c>
      <c r="I25" s="47">
        <f t="shared" ca="1" si="6"/>
        <v>15265787862959.4</v>
      </c>
      <c r="J25" s="47">
        <f t="shared" ca="1" si="7"/>
        <v>1563272613621.0205</v>
      </c>
      <c r="K25" s="48">
        <f t="shared" ca="1" si="8"/>
        <v>9.765275569946267</v>
      </c>
    </row>
    <row r="26" spans="1:14" ht="15" customHeight="1" x14ac:dyDescent="0.35">
      <c r="B26" s="5">
        <v>5</v>
      </c>
      <c r="C26" s="46">
        <f t="shared" ca="1" si="0"/>
        <v>3.2859685597856929</v>
      </c>
      <c r="D26" s="47">
        <f t="shared" ca="1" si="1"/>
        <v>8416197738.3499451</v>
      </c>
      <c r="E26" s="47">
        <f t="shared" ca="1" si="2"/>
        <v>31822690492259.996</v>
      </c>
      <c r="F26" s="47">
        <f t="shared" ca="1" si="3"/>
        <v>626994750184.52319</v>
      </c>
      <c r="G26" s="47">
        <f t="shared" ca="1" si="4"/>
        <v>339341706344822.69</v>
      </c>
      <c r="H26" s="47">
        <f t="shared" ca="1" si="5"/>
        <v>339341706344822.69</v>
      </c>
      <c r="I26" s="47">
        <f t="shared" ca="1" si="6"/>
        <v>1146349327791.8391</v>
      </c>
      <c r="J26" s="47">
        <f t="shared" ca="1" si="7"/>
        <v>1220315753678.4382</v>
      </c>
      <c r="K26" s="48">
        <f t="shared" ca="1" si="8"/>
        <v>0.9393874694613753</v>
      </c>
    </row>
    <row r="27" spans="1:14" ht="15" customHeight="1" x14ac:dyDescent="0.35">
      <c r="B27" s="5">
        <v>6</v>
      </c>
      <c r="C27" s="46">
        <f t="shared" ca="1" si="0"/>
        <v>2.9642613457894762</v>
      </c>
      <c r="D27" s="47">
        <f t="shared" ca="1" si="1"/>
        <v>5447366930.3807163</v>
      </c>
      <c r="E27" s="47">
        <f t="shared" ca="1" si="2"/>
        <v>8989722029666.9805</v>
      </c>
      <c r="F27" s="47">
        <f t="shared" ca="1" si="3"/>
        <v>5294238745278.9463</v>
      </c>
      <c r="G27" s="47">
        <f t="shared" ca="1" si="4"/>
        <v>295822890786.29126</v>
      </c>
      <c r="H27" s="47">
        <f t="shared" ca="1" si="5"/>
        <v>295822890786.29126</v>
      </c>
      <c r="I27" s="47">
        <f t="shared" ca="1" si="6"/>
        <v>21215034125194.367</v>
      </c>
      <c r="J27" s="47">
        <f t="shared" ca="1" si="7"/>
        <v>498180244947.98718</v>
      </c>
      <c r="K27" s="48">
        <f t="shared" ca="1" si="8"/>
        <v>42.585056995604745</v>
      </c>
    </row>
    <row r="28" spans="1:14" ht="15" customHeight="1" x14ac:dyDescent="0.35">
      <c r="B28" s="5">
        <v>7</v>
      </c>
      <c r="C28" s="46">
        <f t="shared" ca="1" si="0"/>
        <v>3.8018731805963677</v>
      </c>
      <c r="D28" s="47">
        <f t="shared" ca="1" si="1"/>
        <v>13929731106.985622</v>
      </c>
      <c r="E28" s="47">
        <f t="shared" ca="1" si="2"/>
        <v>23930685808756.66</v>
      </c>
      <c r="F28" s="47">
        <f t="shared" ca="1" si="3"/>
        <v>40834833879892.617</v>
      </c>
      <c r="G28" s="47">
        <f t="shared" ca="1" si="4"/>
        <v>1097771405898.2793</v>
      </c>
      <c r="H28" s="47">
        <f t="shared" ca="1" si="5"/>
        <v>23930685808756.66</v>
      </c>
      <c r="I28" s="47">
        <f t="shared" ca="1" si="6"/>
        <v>2098171869973.1726</v>
      </c>
      <c r="J28" s="47">
        <f t="shared" ca="1" si="7"/>
        <v>1789955830601.1931</v>
      </c>
      <c r="K28" s="48">
        <f t="shared" ca="1" si="8"/>
        <v>1.1721919804403547</v>
      </c>
    </row>
    <row r="29" spans="1:14" ht="15" customHeight="1" x14ac:dyDescent="0.35">
      <c r="B29" s="5">
        <v>8</v>
      </c>
      <c r="C29" s="46">
        <f t="shared" ca="1" si="0"/>
        <v>2.8483751921944758</v>
      </c>
      <c r="D29" s="47">
        <f t="shared" ca="1" si="1"/>
        <v>3787793992.1371183</v>
      </c>
      <c r="E29" s="47">
        <f t="shared" ca="1" si="2"/>
        <v>7009038891845.9473</v>
      </c>
      <c r="F29" s="47">
        <f t="shared" ca="1" si="3"/>
        <v>1943270614181.9639</v>
      </c>
      <c r="G29" s="47">
        <f t="shared" ca="1" si="4"/>
        <v>7062017583355.916</v>
      </c>
      <c r="H29" s="47">
        <f t="shared" ca="1" si="5"/>
        <v>7009038891845.9473</v>
      </c>
      <c r="I29" s="47">
        <f t="shared" ca="1" si="6"/>
        <v>60751786758740.125</v>
      </c>
      <c r="J29" s="47">
        <f t="shared" ca="1" si="7"/>
        <v>883329224469.39868</v>
      </c>
      <c r="K29" s="48">
        <f t="shared" ca="1" si="8"/>
        <v>68.775927565662414</v>
      </c>
    </row>
    <row r="30" spans="1:14" ht="15" customHeight="1" x14ac:dyDescent="0.35">
      <c r="B30" s="5">
        <v>9</v>
      </c>
      <c r="C30" s="46">
        <f t="shared" ca="1" si="0"/>
        <v>3.4164187691424464</v>
      </c>
      <c r="D30" s="47">
        <f t="shared" ca="1" si="1"/>
        <v>10093127276.953386</v>
      </c>
      <c r="E30" s="47">
        <f t="shared" ca="1" si="2"/>
        <v>130202419650310.89</v>
      </c>
      <c r="F30" s="47">
        <f t="shared" ca="1" si="3"/>
        <v>1094631683791.0076</v>
      </c>
      <c r="G30" s="47">
        <f t="shared" ca="1" si="4"/>
        <v>17723705944728.102</v>
      </c>
      <c r="H30" s="47">
        <f t="shared" ca="1" si="5"/>
        <v>17723705944728.102</v>
      </c>
      <c r="I30" s="47">
        <f t="shared" ca="1" si="6"/>
        <v>70426106867690.453</v>
      </c>
      <c r="J30" s="47">
        <f t="shared" ca="1" si="7"/>
        <v>1814402731777.636</v>
      </c>
      <c r="K30" s="48">
        <f t="shared" ca="1" si="8"/>
        <v>38.815035732828427</v>
      </c>
    </row>
    <row r="31" spans="1:14" ht="15" customHeight="1" x14ac:dyDescent="0.35">
      <c r="B31" s="5">
        <v>10</v>
      </c>
      <c r="C31" s="46">
        <f t="shared" ca="1" si="0"/>
        <v>3.1167486437173695</v>
      </c>
      <c r="D31" s="47">
        <f t="shared" ca="1" si="1"/>
        <v>6256116563.3332424</v>
      </c>
      <c r="E31" s="47">
        <f t="shared" ca="1" si="2"/>
        <v>16638225622499.332</v>
      </c>
      <c r="F31" s="47">
        <f t="shared" ca="1" si="3"/>
        <v>6352785108970.0879</v>
      </c>
      <c r="G31" s="47">
        <f t="shared" ca="1" si="4"/>
        <v>7310564282331.5322</v>
      </c>
      <c r="H31" s="47">
        <f t="shared" ca="1" si="5"/>
        <v>16638225622499.332</v>
      </c>
      <c r="I31" s="47">
        <f t="shared" ca="1" si="6"/>
        <v>1305887638552.99</v>
      </c>
      <c r="J31" s="47">
        <f t="shared" ca="1" si="7"/>
        <v>739502825255.66516</v>
      </c>
      <c r="K31" s="48">
        <f t="shared" ca="1" si="8"/>
        <v>1.7658994583306846</v>
      </c>
    </row>
    <row r="32" spans="1:14" ht="15" customHeight="1" x14ac:dyDescent="0.35">
      <c r="B32" s="5">
        <v>11</v>
      </c>
      <c r="C32" s="46">
        <f t="shared" ca="1" si="0"/>
        <v>3.1537807166877565</v>
      </c>
      <c r="D32" s="47">
        <f t="shared" ca="1" si="1"/>
        <v>4994695984.7755556</v>
      </c>
      <c r="E32" s="47">
        <f t="shared" ca="1" si="2"/>
        <v>12497602431277.348</v>
      </c>
      <c r="F32" s="47">
        <f t="shared" ca="1" si="3"/>
        <v>10576163629615.195</v>
      </c>
      <c r="G32" s="47">
        <f t="shared" ca="1" si="4"/>
        <v>24823878946964.055</v>
      </c>
      <c r="H32" s="47">
        <f t="shared" ca="1" si="5"/>
        <v>24823878946964.055</v>
      </c>
      <c r="I32" s="47">
        <f t="shared" ca="1" si="6"/>
        <v>1517968411434.5435</v>
      </c>
      <c r="J32" s="47">
        <f t="shared" ca="1" si="7"/>
        <v>1080860314453.5485</v>
      </c>
      <c r="K32" s="48">
        <f t="shared" ca="1" si="8"/>
        <v>1.4044075734263444</v>
      </c>
    </row>
    <row r="33" spans="2:11" ht="15" customHeight="1" x14ac:dyDescent="0.35">
      <c r="B33" s="5">
        <v>12</v>
      </c>
      <c r="C33" s="46">
        <f t="shared" ca="1" si="0"/>
        <v>3.4080037255878231</v>
      </c>
      <c r="D33" s="47">
        <f t="shared" ca="1" si="1"/>
        <v>9278296218.8211136</v>
      </c>
      <c r="E33" s="47">
        <f t="shared" ca="1" si="2"/>
        <v>7974130704865.999</v>
      </c>
      <c r="F33" s="47">
        <f t="shared" ca="1" si="3"/>
        <v>770796531210.74695</v>
      </c>
      <c r="G33" s="47">
        <f t="shared" ca="1" si="4"/>
        <v>22822906396442.758</v>
      </c>
      <c r="H33" s="47">
        <f t="shared" ca="1" si="5"/>
        <v>22822906396442.758</v>
      </c>
      <c r="I33" s="47">
        <f t="shared" ca="1" si="6"/>
        <v>62217855398314.672</v>
      </c>
      <c r="J33" s="47">
        <f t="shared" ca="1" si="7"/>
        <v>818490482835.27539</v>
      </c>
      <c r="K33" s="48">
        <f t="shared" ca="1" si="8"/>
        <v>76.015368172382608</v>
      </c>
    </row>
    <row r="34" spans="2:11" ht="15" customHeight="1" x14ac:dyDescent="0.35">
      <c r="B34" s="5">
        <v>13</v>
      </c>
      <c r="C34" s="46">
        <f t="shared" ca="1" si="0"/>
        <v>3.070840249675626</v>
      </c>
      <c r="D34" s="47">
        <f t="shared" ca="1" si="1"/>
        <v>5615182914.7828751</v>
      </c>
      <c r="E34" s="47">
        <f t="shared" ca="1" si="2"/>
        <v>23362741047471.68</v>
      </c>
      <c r="F34" s="47">
        <f t="shared" ca="1" si="3"/>
        <v>13844940643002.787</v>
      </c>
      <c r="G34" s="47">
        <f t="shared" ca="1" si="4"/>
        <v>3016485570786.9766</v>
      </c>
      <c r="H34" s="47">
        <f t="shared" ca="1" si="5"/>
        <v>3016485570786.9766</v>
      </c>
      <c r="I34" s="47">
        <f t="shared" ca="1" si="6"/>
        <v>8076640785397.1631</v>
      </c>
      <c r="J34" s="47">
        <f t="shared" ca="1" si="7"/>
        <v>604469462754.52673</v>
      </c>
      <c r="K34" s="48">
        <f t="shared" ca="1" si="8"/>
        <v>13.361536492832002</v>
      </c>
    </row>
    <row r="35" spans="2:11" ht="15" customHeight="1" x14ac:dyDescent="0.35">
      <c r="B35" s="5">
        <v>14</v>
      </c>
      <c r="C35" s="46">
        <f t="shared" ca="1" si="0"/>
        <v>3.1692776146583896</v>
      </c>
      <c r="D35" s="47">
        <f t="shared" ca="1" si="1"/>
        <v>6137949420.3664169</v>
      </c>
      <c r="E35" s="47">
        <f t="shared" ca="1" si="2"/>
        <v>38759768065455.93</v>
      </c>
      <c r="F35" s="47">
        <f t="shared" ca="1" si="3"/>
        <v>2370363511484.5605</v>
      </c>
      <c r="G35" s="47">
        <f t="shared" ca="1" si="4"/>
        <v>12366843787286.697</v>
      </c>
      <c r="H35" s="47">
        <f t="shared" ca="1" si="5"/>
        <v>2370363511484.5605</v>
      </c>
      <c r="I35" s="47">
        <f t="shared" ca="1" si="6"/>
        <v>5856410678200.4873</v>
      </c>
      <c r="J35" s="47">
        <f t="shared" ca="1" si="7"/>
        <v>870097947091.677</v>
      </c>
      <c r="K35" s="48">
        <f t="shared" ca="1" si="8"/>
        <v>6.7307487596950191</v>
      </c>
    </row>
    <row r="36" spans="2:11" ht="15" customHeight="1" x14ac:dyDescent="0.35">
      <c r="B36" s="5">
        <v>15</v>
      </c>
      <c r="C36" s="46">
        <f t="shared" ca="1" si="0"/>
        <v>3.5607507037260664</v>
      </c>
      <c r="D36" s="47">
        <f t="shared" ca="1" si="1"/>
        <v>11532122641.296959</v>
      </c>
      <c r="E36" s="47">
        <f t="shared" ca="1" si="2"/>
        <v>60305024014057.211</v>
      </c>
      <c r="F36" s="47">
        <f t="shared" ca="1" si="3"/>
        <v>12981906797016.004</v>
      </c>
      <c r="G36" s="47">
        <f t="shared" ca="1" si="4"/>
        <v>1414109369769.3364</v>
      </c>
      <c r="H36" s="47">
        <f t="shared" ca="1" si="5"/>
        <v>12981906797016.004</v>
      </c>
      <c r="I36" s="47">
        <f t="shared" ca="1" si="6"/>
        <v>3886503798685.0112</v>
      </c>
      <c r="J36" s="47">
        <f t="shared" ca="1" si="7"/>
        <v>1236407475325.7661</v>
      </c>
      <c r="K36" s="48">
        <f t="shared" ca="1" si="8"/>
        <v>3.1433842614555556</v>
      </c>
    </row>
    <row r="37" spans="2:11" ht="15" customHeight="1" x14ac:dyDescent="0.35">
      <c r="B37" s="5">
        <v>16</v>
      </c>
      <c r="C37" s="46">
        <f t="shared" ca="1" si="0"/>
        <v>3.7295918668211931</v>
      </c>
      <c r="D37" s="47">
        <f t="shared" ca="1" si="1"/>
        <v>16632988715.258133</v>
      </c>
      <c r="E37" s="47">
        <f t="shared" ca="1" si="2"/>
        <v>87931125326977.703</v>
      </c>
      <c r="F37" s="47">
        <f t="shared" ca="1" si="3"/>
        <v>2157856167479.5896</v>
      </c>
      <c r="G37" s="47">
        <f t="shared" ca="1" si="4"/>
        <v>7932293902840.2012</v>
      </c>
      <c r="H37" s="47">
        <f t="shared" ca="1" si="5"/>
        <v>87931125326977.703</v>
      </c>
      <c r="I37" s="47">
        <f t="shared" ca="1" si="6"/>
        <v>7394748250290.8096</v>
      </c>
      <c r="J37" s="47">
        <f t="shared" ca="1" si="7"/>
        <v>1866842623309.1021</v>
      </c>
      <c r="K37" s="48">
        <f t="shared" ca="1" si="8"/>
        <v>3.9610988939084373</v>
      </c>
    </row>
    <row r="38" spans="2:11" ht="15" customHeight="1" x14ac:dyDescent="0.35">
      <c r="B38" s="5">
        <v>17</v>
      </c>
      <c r="C38" s="46">
        <f t="shared" ca="1" si="0"/>
        <v>2.5376026899715711</v>
      </c>
      <c r="D38" s="47">
        <f t="shared" ca="1" si="1"/>
        <v>2505131042.6522951</v>
      </c>
      <c r="E38" s="47">
        <f t="shared" ca="1" si="2"/>
        <v>7933653353005.2783</v>
      </c>
      <c r="F38" s="47">
        <f t="shared" ca="1" si="3"/>
        <v>2726134868544.9155</v>
      </c>
      <c r="G38" s="47">
        <f t="shared" ca="1" si="4"/>
        <v>6997925377433.6484</v>
      </c>
      <c r="H38" s="47">
        <f t="shared" ca="1" si="5"/>
        <v>2726134868544.9155</v>
      </c>
      <c r="I38" s="47">
        <f t="shared" ca="1" si="6"/>
        <v>44156099935901.383</v>
      </c>
      <c r="J38" s="47">
        <f t="shared" ca="1" si="7"/>
        <v>1376627650884.4373</v>
      </c>
      <c r="K38" s="48">
        <f t="shared" ca="1" si="8"/>
        <v>32.075557909600732</v>
      </c>
    </row>
    <row r="39" spans="2:11" ht="15" customHeight="1" x14ac:dyDescent="0.35">
      <c r="B39" s="5">
        <v>18</v>
      </c>
      <c r="C39" s="46">
        <f t="shared" ca="1" si="0"/>
        <v>2.5117717597525497</v>
      </c>
      <c r="D39" s="47">
        <f t="shared" ca="1" si="1"/>
        <v>1623497215.2252946</v>
      </c>
      <c r="E39" s="47">
        <f t="shared" ca="1" si="2"/>
        <v>2761072093036.543</v>
      </c>
      <c r="F39" s="47">
        <f t="shared" ca="1" si="3"/>
        <v>2903780661223.8755</v>
      </c>
      <c r="G39" s="47">
        <f t="shared" ca="1" si="4"/>
        <v>4056808841974.8477</v>
      </c>
      <c r="H39" s="47">
        <f t="shared" ca="1" si="5"/>
        <v>4056808841974.8477</v>
      </c>
      <c r="I39" s="47">
        <f t="shared" ca="1" si="6"/>
        <v>20099693158052.102</v>
      </c>
      <c r="J39" s="47">
        <f t="shared" ca="1" si="7"/>
        <v>1697570113276.1309</v>
      </c>
      <c r="K39" s="48">
        <f t="shared" ca="1" si="8"/>
        <v>11.840272752718189</v>
      </c>
    </row>
    <row r="40" spans="2:11" ht="15" customHeight="1" x14ac:dyDescent="0.35">
      <c r="B40" s="5">
        <v>19</v>
      </c>
      <c r="C40" s="46">
        <f t="shared" ca="1" si="0"/>
        <v>2.8197952013808574</v>
      </c>
      <c r="D40" s="47">
        <f t="shared" ca="1" si="1"/>
        <v>4054605866.5709524</v>
      </c>
      <c r="E40" s="47">
        <f t="shared" ca="1" si="2"/>
        <v>22825663817508.266</v>
      </c>
      <c r="F40" s="47">
        <f t="shared" ca="1" si="3"/>
        <v>4503395211751.376</v>
      </c>
      <c r="G40" s="47">
        <f t="shared" ca="1" si="4"/>
        <v>398954035310.96924</v>
      </c>
      <c r="H40" s="47">
        <f t="shared" ca="1" si="5"/>
        <v>398954035310.96924</v>
      </c>
      <c r="I40" s="47">
        <f t="shared" ca="1" si="6"/>
        <v>2508034739560.5425</v>
      </c>
      <c r="J40" s="47">
        <f t="shared" ca="1" si="7"/>
        <v>1211269100433.3574</v>
      </c>
      <c r="K40" s="48">
        <f t="shared" ca="1" si="8"/>
        <v>2.0705842646058086</v>
      </c>
    </row>
    <row r="41" spans="2:11" ht="15" customHeight="1" x14ac:dyDescent="0.35">
      <c r="B41" s="5">
        <v>20</v>
      </c>
      <c r="C41" s="46">
        <f t="shared" ca="1" si="0"/>
        <v>2.992397871155247</v>
      </c>
      <c r="D41" s="47">
        <f t="shared" ca="1" si="1"/>
        <v>4220871075.2026215</v>
      </c>
      <c r="E41" s="47">
        <f t="shared" ca="1" si="2"/>
        <v>20736695212559.273</v>
      </c>
      <c r="F41" s="47">
        <f t="shared" ca="1" si="3"/>
        <v>9240655270850.543</v>
      </c>
      <c r="G41" s="47">
        <f t="shared" ca="1" si="4"/>
        <v>3406803464436.8496</v>
      </c>
      <c r="H41" s="47">
        <f t="shared" ca="1" si="5"/>
        <v>20736695212559.273</v>
      </c>
      <c r="I41" s="47">
        <f t="shared" ca="1" si="6"/>
        <v>15463405167821.701</v>
      </c>
      <c r="J41" s="47">
        <f t="shared" ca="1" si="7"/>
        <v>1774425728220.6882</v>
      </c>
      <c r="K41" s="48">
        <f t="shared" ca="1" si="8"/>
        <v>8.7145970225125655</v>
      </c>
    </row>
    <row r="42" spans="2:11" ht="15" customHeight="1" x14ac:dyDescent="0.35">
      <c r="B42" s="5">
        <v>21</v>
      </c>
      <c r="C42" s="46">
        <f t="shared" ca="1" si="0"/>
        <v>2.7164188031216936</v>
      </c>
      <c r="D42" s="47">
        <f t="shared" ca="1" si="1"/>
        <v>3241527329.9381065</v>
      </c>
      <c r="E42" s="47">
        <f t="shared" ca="1" si="2"/>
        <v>14508811900245.104</v>
      </c>
      <c r="F42" s="47">
        <f t="shared" ca="1" si="3"/>
        <v>2688202340695.6074</v>
      </c>
      <c r="G42" s="47">
        <f t="shared" ca="1" si="4"/>
        <v>6045646335916.4736</v>
      </c>
      <c r="H42" s="47">
        <f t="shared" ca="1" si="5"/>
        <v>2688202340695.6074</v>
      </c>
      <c r="I42" s="47">
        <f t="shared" ca="1" si="6"/>
        <v>16284599263518.852</v>
      </c>
      <c r="J42" s="47">
        <f t="shared" ca="1" si="7"/>
        <v>1502840303481.5625</v>
      </c>
      <c r="K42" s="48">
        <f t="shared" ca="1" si="8"/>
        <v>10.835881381270553</v>
      </c>
    </row>
    <row r="43" spans="2:11" ht="15" customHeight="1" x14ac:dyDescent="0.35">
      <c r="B43" s="5">
        <v>22</v>
      </c>
      <c r="C43" s="46">
        <f t="shared" ca="1" si="0"/>
        <v>2.4257107523770394</v>
      </c>
      <c r="D43" s="47">
        <f t="shared" ca="1" si="1"/>
        <v>1746036714.7349117</v>
      </c>
      <c r="E43" s="47">
        <f t="shared" ca="1" si="2"/>
        <v>3831308981137.937</v>
      </c>
      <c r="F43" s="47">
        <f t="shared" ca="1" si="3"/>
        <v>4541609820232.4453</v>
      </c>
      <c r="G43" s="47">
        <f t="shared" ca="1" si="4"/>
        <v>13350404739291.688</v>
      </c>
      <c r="H43" s="47">
        <f t="shared" ca="1" si="5"/>
        <v>13350404739291.688</v>
      </c>
      <c r="I43" s="47">
        <f t="shared" ca="1" si="6"/>
        <v>64493132198514.219</v>
      </c>
      <c r="J43" s="47">
        <f t="shared" ca="1" si="7"/>
        <v>608530508272.20959</v>
      </c>
      <c r="K43" s="48">
        <f t="shared" ca="1" si="8"/>
        <v>105.98175657885828</v>
      </c>
    </row>
    <row r="44" spans="2:11" ht="15" customHeight="1" x14ac:dyDescent="0.35">
      <c r="B44" s="5">
        <v>23</v>
      </c>
      <c r="C44" s="46">
        <f t="shared" ca="1" si="0"/>
        <v>3.5272123637167252</v>
      </c>
      <c r="D44" s="47">
        <f t="shared" ca="1" si="1"/>
        <v>9438314299.6541443</v>
      </c>
      <c r="E44" s="47">
        <f t="shared" ca="1" si="2"/>
        <v>16488684481728.76</v>
      </c>
      <c r="F44" s="47">
        <f t="shared" ca="1" si="3"/>
        <v>4650967930679.2119</v>
      </c>
      <c r="G44" s="47">
        <f t="shared" ca="1" si="4"/>
        <v>7911757085567.9111</v>
      </c>
      <c r="H44" s="47">
        <f t="shared" ca="1" si="5"/>
        <v>16488684481728.76</v>
      </c>
      <c r="I44" s="47">
        <f t="shared" ca="1" si="6"/>
        <v>4469785993004.748</v>
      </c>
      <c r="J44" s="47">
        <f t="shared" ca="1" si="7"/>
        <v>906523015067.61877</v>
      </c>
      <c r="K44" s="48">
        <f t="shared" ca="1" si="8"/>
        <v>4.9306922369437478</v>
      </c>
    </row>
    <row r="45" spans="2:11" ht="15" customHeight="1" x14ac:dyDescent="0.35">
      <c r="B45" s="5">
        <v>24</v>
      </c>
      <c r="C45" s="46">
        <f t="shared" ca="1" si="0"/>
        <v>2.9264682106972946</v>
      </c>
      <c r="D45" s="47">
        <f t="shared" ca="1" si="1"/>
        <v>4092352781.49891</v>
      </c>
      <c r="E45" s="47">
        <f t="shared" ca="1" si="2"/>
        <v>5191884324551.5889</v>
      </c>
      <c r="F45" s="47">
        <f t="shared" ca="1" si="3"/>
        <v>6650387665501.793</v>
      </c>
      <c r="G45" s="47">
        <f t="shared" ca="1" si="4"/>
        <v>2521580459839.7466</v>
      </c>
      <c r="H45" s="47">
        <f t="shared" ca="1" si="5"/>
        <v>2521580459839.7466</v>
      </c>
      <c r="I45" s="47">
        <f t="shared" ca="1" si="6"/>
        <v>2135365348400.6448</v>
      </c>
      <c r="J45" s="47">
        <f t="shared" ca="1" si="7"/>
        <v>715636175934.69971</v>
      </c>
      <c r="K45" s="48">
        <f t="shared" ca="1" si="8"/>
        <v>2.9838700448752782</v>
      </c>
    </row>
    <row r="46" spans="2:11" ht="15" customHeight="1" x14ac:dyDescent="0.35">
      <c r="B46" s="5">
        <v>25</v>
      </c>
      <c r="C46" s="46">
        <f t="shared" ca="1" si="0"/>
        <v>3.4148068111105649</v>
      </c>
      <c r="D46" s="47">
        <f t="shared" ca="1" si="1"/>
        <v>9316804671.059166</v>
      </c>
      <c r="E46" s="47">
        <f t="shared" ca="1" si="2"/>
        <v>24778616762807.789</v>
      </c>
      <c r="F46" s="47">
        <f t="shared" ca="1" si="3"/>
        <v>6478531211875.9824</v>
      </c>
      <c r="G46" s="47">
        <f t="shared" ca="1" si="4"/>
        <v>155113909133.31375</v>
      </c>
      <c r="H46" s="47">
        <f t="shared" ca="1" si="5"/>
        <v>155113909133.31375</v>
      </c>
      <c r="I46" s="47">
        <f t="shared" ca="1" si="6"/>
        <v>4038087188739.9014</v>
      </c>
      <c r="J46" s="47">
        <f t="shared" ca="1" si="7"/>
        <v>1209885204039.7163</v>
      </c>
      <c r="K46" s="48">
        <f t="shared" ca="1" si="8"/>
        <v>3.3375787845466909</v>
      </c>
    </row>
    <row r="47" spans="2:11" ht="15" customHeight="1" x14ac:dyDescent="0.35">
      <c r="B47" s="5">
        <v>26</v>
      </c>
      <c r="C47" s="46">
        <f t="shared" ca="1" si="0"/>
        <v>3.7901976238844126</v>
      </c>
      <c r="D47" s="47">
        <f t="shared" ca="1" si="1"/>
        <v>14505566715.177654</v>
      </c>
      <c r="E47" s="47">
        <f t="shared" ca="1" si="2"/>
        <v>93975807644397.703</v>
      </c>
      <c r="F47" s="47">
        <f t="shared" ca="1" si="3"/>
        <v>143287143493.85666</v>
      </c>
      <c r="G47" s="47">
        <f t="shared" ca="1" si="4"/>
        <v>14018243545948.088</v>
      </c>
      <c r="H47" s="47">
        <f t="shared" ca="1" si="5"/>
        <v>93975807644397.703</v>
      </c>
      <c r="I47" s="47">
        <f t="shared" ca="1" si="6"/>
        <v>154616141245535.53</v>
      </c>
      <c r="J47" s="47">
        <f t="shared" ca="1" si="7"/>
        <v>1831848811832.2434</v>
      </c>
      <c r="K47" s="48">
        <f t="shared" ca="1" si="8"/>
        <v>84.404422595817877</v>
      </c>
    </row>
    <row r="48" spans="2:11" ht="15" customHeight="1" x14ac:dyDescent="0.35">
      <c r="B48" s="5">
        <v>27</v>
      </c>
      <c r="C48" s="46">
        <f t="shared" ca="1" si="0"/>
        <v>3.3351405185972092</v>
      </c>
      <c r="D48" s="47">
        <f t="shared" ca="1" si="1"/>
        <v>8698115345.0529346</v>
      </c>
      <c r="E48" s="47">
        <f t="shared" ca="1" si="2"/>
        <v>19269284425586.895</v>
      </c>
      <c r="F48" s="47">
        <f t="shared" ca="1" si="3"/>
        <v>3695462856059.8857</v>
      </c>
      <c r="G48" s="47">
        <f t="shared" ca="1" si="4"/>
        <v>68415257919769.242</v>
      </c>
      <c r="H48" s="47">
        <f t="shared" ca="1" si="5"/>
        <v>19269284425586.895</v>
      </c>
      <c r="I48" s="47">
        <f t="shared" ca="1" si="6"/>
        <v>26336311168817.211</v>
      </c>
      <c r="J48" s="47">
        <f t="shared" ca="1" si="7"/>
        <v>1012925149436.3682</v>
      </c>
      <c r="K48" s="48">
        <f t="shared" ca="1" si="8"/>
        <v>26.000254000477511</v>
      </c>
    </row>
    <row r="49" spans="2:11" ht="15" customHeight="1" x14ac:dyDescent="0.35">
      <c r="B49" s="5">
        <v>28</v>
      </c>
      <c r="C49" s="46">
        <f t="shared" ca="1" si="0"/>
        <v>2.9757859962279789</v>
      </c>
      <c r="D49" s="47">
        <f t="shared" ca="1" si="1"/>
        <v>4077451582.4692817</v>
      </c>
      <c r="E49" s="47">
        <f t="shared" ca="1" si="2"/>
        <v>14929271987056.537</v>
      </c>
      <c r="F49" s="47">
        <f t="shared" ca="1" si="3"/>
        <v>4321418721905.7983</v>
      </c>
      <c r="G49" s="47">
        <f t="shared" ca="1" si="4"/>
        <v>57525879164827.922</v>
      </c>
      <c r="H49" s="47">
        <f t="shared" ca="1" si="5"/>
        <v>14929271987056.537</v>
      </c>
      <c r="I49" s="47">
        <f t="shared" ca="1" si="6"/>
        <v>31849138086847.371</v>
      </c>
      <c r="J49" s="47">
        <f t="shared" ca="1" si="7"/>
        <v>581901459129.8031</v>
      </c>
      <c r="K49" s="48">
        <f t="shared" ca="1" si="8"/>
        <v>54.732872013202623</v>
      </c>
    </row>
    <row r="50" spans="2:11" ht="15" customHeight="1" x14ac:dyDescent="0.35">
      <c r="B50" s="5">
        <v>29</v>
      </c>
      <c r="C50" s="46">
        <f t="shared" ca="1" si="0"/>
        <v>2.3995988876890508</v>
      </c>
      <c r="D50" s="47">
        <f t="shared" ca="1" si="1"/>
        <v>1883232316.9900608</v>
      </c>
      <c r="E50" s="47">
        <f t="shared" ca="1" si="2"/>
        <v>7605234714521.3379</v>
      </c>
      <c r="F50" s="47">
        <f t="shared" ca="1" si="3"/>
        <v>7020196857184.1182</v>
      </c>
      <c r="G50" s="47">
        <f t="shared" ca="1" si="4"/>
        <v>35020062200155.738</v>
      </c>
      <c r="H50" s="47">
        <f t="shared" ca="1" si="5"/>
        <v>7605234714521.3379</v>
      </c>
      <c r="I50" s="47">
        <f t="shared" ca="1" si="6"/>
        <v>2779330025085.7988</v>
      </c>
      <c r="J50" s="47">
        <f t="shared" ca="1" si="7"/>
        <v>1859452543940.4778</v>
      </c>
      <c r="K50" s="48">
        <f t="shared" ca="1" si="8"/>
        <v>1.4947033922123947</v>
      </c>
    </row>
    <row r="51" spans="2:11" ht="15" customHeight="1" x14ac:dyDescent="0.35">
      <c r="B51" s="5">
        <v>30</v>
      </c>
      <c r="C51" s="46">
        <f t="shared" ca="1" si="0"/>
        <v>3.2211259950425313</v>
      </c>
      <c r="D51" s="47">
        <f t="shared" ca="1" si="1"/>
        <v>6216002013.359663</v>
      </c>
      <c r="E51" s="47">
        <f t="shared" ca="1" si="2"/>
        <v>12271817398246.545</v>
      </c>
      <c r="F51" s="47">
        <f t="shared" ca="1" si="3"/>
        <v>3156575554286.8726</v>
      </c>
      <c r="G51" s="47">
        <f t="shared" ca="1" si="4"/>
        <v>96132978544113.469</v>
      </c>
      <c r="H51" s="47">
        <f t="shared" ca="1" si="5"/>
        <v>3156575554286.8726</v>
      </c>
      <c r="I51" s="47">
        <f t="shared" ca="1" si="6"/>
        <v>10615154881525.922</v>
      </c>
      <c r="J51" s="47">
        <f t="shared" ca="1" si="7"/>
        <v>1838416662866.1499</v>
      </c>
      <c r="K51" s="48">
        <f t="shared" ca="1" si="8"/>
        <v>5.7740745587980902</v>
      </c>
    </row>
    <row r="52" spans="2:11" ht="15" customHeight="1" x14ac:dyDescent="0.35">
      <c r="B52" s="5">
        <v>31</v>
      </c>
      <c r="C52" s="46">
        <f t="shared" ca="1" si="0"/>
        <v>3.1836835797104768</v>
      </c>
      <c r="D52" s="47">
        <f t="shared" ca="1" si="1"/>
        <v>5282233588.1404047</v>
      </c>
      <c r="E52" s="47">
        <f t="shared" ca="1" si="2"/>
        <v>12892705524751.908</v>
      </c>
      <c r="F52" s="47">
        <f t="shared" ca="1" si="3"/>
        <v>2925975416760.0034</v>
      </c>
      <c r="G52" s="47">
        <f t="shared" ca="1" si="4"/>
        <v>5727781690942.6406</v>
      </c>
      <c r="H52" s="47">
        <f t="shared" ca="1" si="5"/>
        <v>2925975416760.0034</v>
      </c>
      <c r="I52" s="47">
        <f t="shared" ca="1" si="6"/>
        <v>70452574405424.031</v>
      </c>
      <c r="J52" s="47">
        <f t="shared" ca="1" si="7"/>
        <v>469804450077.77661</v>
      </c>
      <c r="K52" s="48">
        <f t="shared" ca="1" si="8"/>
        <v>149.96148800582995</v>
      </c>
    </row>
    <row r="53" spans="2:11" ht="15" customHeight="1" x14ac:dyDescent="0.35">
      <c r="B53" s="5">
        <v>32</v>
      </c>
      <c r="C53" s="46">
        <f t="shared" ca="1" si="0"/>
        <v>3.1615933273797676</v>
      </c>
      <c r="D53" s="47">
        <f t="shared" ca="1" si="1"/>
        <v>7427760413.8226089</v>
      </c>
      <c r="E53" s="47">
        <f t="shared" ca="1" si="2"/>
        <v>106310499644877.14</v>
      </c>
      <c r="F53" s="47">
        <f t="shared" ca="1" si="3"/>
        <v>1141088564581.689</v>
      </c>
      <c r="G53" s="47">
        <f t="shared" ca="1" si="4"/>
        <v>25523479421671.746</v>
      </c>
      <c r="H53" s="47">
        <f t="shared" ca="1" si="5"/>
        <v>106310499644877.14</v>
      </c>
      <c r="I53" s="47">
        <f t="shared" ca="1" si="6"/>
        <v>18703892646900.289</v>
      </c>
      <c r="J53" s="47">
        <f t="shared" ca="1" si="7"/>
        <v>824493937187.23975</v>
      </c>
      <c r="K53" s="48">
        <f t="shared" ca="1" si="8"/>
        <v>22.685300404644089</v>
      </c>
    </row>
    <row r="54" spans="2:11" ht="15" customHeight="1" x14ac:dyDescent="0.35">
      <c r="B54" s="5">
        <v>33</v>
      </c>
      <c r="C54" s="46">
        <f t="shared" ca="1" si="0"/>
        <v>3.9975662019599256</v>
      </c>
      <c r="D54" s="47">
        <f t="shared" ca="1" si="1"/>
        <v>16925242241.197102</v>
      </c>
      <c r="E54" s="47">
        <f t="shared" ca="1" si="2"/>
        <v>61063329994264.891</v>
      </c>
      <c r="F54" s="47">
        <f t="shared" ca="1" si="3"/>
        <v>351973810296.10663</v>
      </c>
      <c r="G54" s="47">
        <f t="shared" ca="1" si="4"/>
        <v>6822352499248.1592</v>
      </c>
      <c r="H54" s="47">
        <f t="shared" ca="1" si="5"/>
        <v>6822352499248.1592</v>
      </c>
      <c r="I54" s="47">
        <f t="shared" ca="1" si="6"/>
        <v>83228124127656.391</v>
      </c>
      <c r="J54" s="47">
        <f t="shared" ca="1" si="7"/>
        <v>1057466333722.8511</v>
      </c>
      <c r="K54" s="48">
        <f t="shared" ca="1" si="8"/>
        <v>78.705223488911045</v>
      </c>
    </row>
    <row r="55" spans="2:11" ht="15" customHeight="1" x14ac:dyDescent="0.35">
      <c r="B55" s="5">
        <v>34</v>
      </c>
      <c r="C55" s="46">
        <f t="shared" ca="1" si="0"/>
        <v>2.0526489267529167</v>
      </c>
      <c r="D55" s="47">
        <f t="shared" ca="1" si="1"/>
        <v>692741364.45387208</v>
      </c>
      <c r="E55" s="47">
        <f t="shared" ca="1" si="2"/>
        <v>1280478933267.3569</v>
      </c>
      <c r="F55" s="47">
        <f t="shared" ca="1" si="3"/>
        <v>6096644358322.291</v>
      </c>
      <c r="G55" s="47">
        <f t="shared" ca="1" si="4"/>
        <v>7880415883941.6709</v>
      </c>
      <c r="H55" s="47">
        <f t="shared" ca="1" si="5"/>
        <v>6096644358322.291</v>
      </c>
      <c r="I55" s="47">
        <f t="shared" ca="1" si="6"/>
        <v>57942887864969.68</v>
      </c>
      <c r="J55" s="47">
        <f t="shared" ca="1" si="7"/>
        <v>613313841402.35242</v>
      </c>
      <c r="K55" s="48">
        <f t="shared" ca="1" si="8"/>
        <v>94.475102229035457</v>
      </c>
    </row>
    <row r="56" spans="2:11" ht="15" customHeight="1" x14ac:dyDescent="0.35">
      <c r="B56" s="5">
        <v>35</v>
      </c>
      <c r="C56" s="46">
        <f t="shared" ca="1" si="0"/>
        <v>2.0296905407128571</v>
      </c>
      <c r="D56" s="47">
        <f t="shared" ca="1" si="1"/>
        <v>581349763.48572838</v>
      </c>
      <c r="E56" s="47">
        <f t="shared" ca="1" si="2"/>
        <v>1268111599228.4138</v>
      </c>
      <c r="F56" s="47">
        <f t="shared" ca="1" si="3"/>
        <v>1148720469667.4192</v>
      </c>
      <c r="G56" s="47">
        <f t="shared" ca="1" si="4"/>
        <v>8991321784084.0996</v>
      </c>
      <c r="H56" s="47">
        <f t="shared" ca="1" si="5"/>
        <v>1148720469667.4192</v>
      </c>
      <c r="I56" s="47">
        <f t="shared" ca="1" si="6"/>
        <v>2422234415294.4312</v>
      </c>
      <c r="J56" s="47">
        <f t="shared" ca="1" si="7"/>
        <v>2055415924795.916</v>
      </c>
      <c r="K56" s="48">
        <f t="shared" ca="1" si="8"/>
        <v>1.1784643614332884</v>
      </c>
    </row>
    <row r="57" spans="2:11" ht="15" customHeight="1" x14ac:dyDescent="0.35">
      <c r="B57" s="5">
        <v>36</v>
      </c>
      <c r="C57" s="46">
        <f t="shared" ca="1" si="0"/>
        <v>3.1463269876469822</v>
      </c>
      <c r="D57" s="47">
        <f t="shared" ca="1" si="1"/>
        <v>6581926082.1270761</v>
      </c>
      <c r="E57" s="47">
        <f t="shared" ca="1" si="2"/>
        <v>27359248972153.926</v>
      </c>
      <c r="F57" s="47">
        <f t="shared" ca="1" si="3"/>
        <v>4459921513294.5439</v>
      </c>
      <c r="G57" s="47">
        <f t="shared" ca="1" si="4"/>
        <v>847083667035.04346</v>
      </c>
      <c r="H57" s="47">
        <f t="shared" ca="1" si="5"/>
        <v>847083667035.04346</v>
      </c>
      <c r="I57" s="47">
        <f t="shared" ca="1" si="6"/>
        <v>1607889941391.7195</v>
      </c>
      <c r="J57" s="47">
        <f t="shared" ca="1" si="7"/>
        <v>1285189497672.0837</v>
      </c>
      <c r="K57" s="48">
        <f t="shared" ca="1" si="8"/>
        <v>1.2510917217298743</v>
      </c>
    </row>
    <row r="58" spans="2:11" ht="15" customHeight="1" x14ac:dyDescent="0.35">
      <c r="B58" s="5">
        <v>37</v>
      </c>
      <c r="C58" s="46">
        <f t="shared" ca="1" si="0"/>
        <v>3.0321715406521448</v>
      </c>
      <c r="D58" s="47">
        <f t="shared" ca="1" si="1"/>
        <v>5210578429.6836386</v>
      </c>
      <c r="E58" s="47">
        <f t="shared" ca="1" si="2"/>
        <v>23129687158755.684</v>
      </c>
      <c r="F58" s="47">
        <f t="shared" ca="1" si="3"/>
        <v>3537705787297.0127</v>
      </c>
      <c r="G58" s="47">
        <f t="shared" ca="1" si="4"/>
        <v>1522464674342.6938</v>
      </c>
      <c r="H58" s="47">
        <f t="shared" ca="1" si="5"/>
        <v>23129687158755.684</v>
      </c>
      <c r="I58" s="47">
        <f t="shared" ca="1" si="6"/>
        <v>27455806935210.871</v>
      </c>
      <c r="J58" s="47">
        <f t="shared" ca="1" si="7"/>
        <v>2200935120801.9487</v>
      </c>
      <c r="K58" s="48">
        <f t="shared" ca="1" si="8"/>
        <v>12.47460984911126</v>
      </c>
    </row>
    <row r="59" spans="2:11" ht="15" customHeight="1" x14ac:dyDescent="0.35">
      <c r="B59" s="5">
        <v>38</v>
      </c>
      <c r="C59" s="46">
        <f t="shared" ca="1" si="0"/>
        <v>2.7671677582394643</v>
      </c>
      <c r="D59" s="47">
        <f t="shared" ca="1" si="1"/>
        <v>3878643516.0228977</v>
      </c>
      <c r="E59" s="47">
        <f t="shared" ca="1" si="2"/>
        <v>8756146840757.6436</v>
      </c>
      <c r="F59" s="47">
        <f t="shared" ca="1" si="3"/>
        <v>921237794124.97974</v>
      </c>
      <c r="G59" s="47">
        <f t="shared" ca="1" si="4"/>
        <v>3785943251330.207</v>
      </c>
      <c r="H59" s="47">
        <f t="shared" ca="1" si="5"/>
        <v>921237794124.97974</v>
      </c>
      <c r="I59" s="47">
        <f t="shared" ca="1" si="6"/>
        <v>13176274639929.479</v>
      </c>
      <c r="J59" s="47">
        <f t="shared" ca="1" si="7"/>
        <v>1550651097674.2124</v>
      </c>
      <c r="K59" s="48">
        <f t="shared" ca="1" si="8"/>
        <v>8.4972529666359407</v>
      </c>
    </row>
    <row r="60" spans="2:11" ht="15" customHeight="1" x14ac:dyDescent="0.35">
      <c r="B60" s="5">
        <v>39</v>
      </c>
      <c r="C60" s="46">
        <f t="shared" ca="1" si="0"/>
        <v>3.0593680702288504</v>
      </c>
      <c r="D60" s="47">
        <f t="shared" ca="1" si="1"/>
        <v>6244227239.9298639</v>
      </c>
      <c r="E60" s="47">
        <f t="shared" ca="1" si="2"/>
        <v>27249536075561.82</v>
      </c>
      <c r="F60" s="47">
        <f t="shared" ca="1" si="3"/>
        <v>2292823078099.9902</v>
      </c>
      <c r="G60" s="47">
        <f t="shared" ca="1" si="4"/>
        <v>3644268705948.5107</v>
      </c>
      <c r="H60" s="47">
        <f t="shared" ca="1" si="5"/>
        <v>3644268705948.5107</v>
      </c>
      <c r="I60" s="47">
        <f t="shared" ca="1" si="6"/>
        <v>4051009491804.7305</v>
      </c>
      <c r="J60" s="47">
        <f t="shared" ca="1" si="7"/>
        <v>909334627189.61511</v>
      </c>
      <c r="K60" s="48">
        <f t="shared" ca="1" si="8"/>
        <v>4.4549161229290908</v>
      </c>
    </row>
    <row r="61" spans="2:11" ht="15" customHeight="1" x14ac:dyDescent="0.35">
      <c r="B61" s="5">
        <v>40</v>
      </c>
      <c r="C61" s="46">
        <f t="shared" ca="1" si="0"/>
        <v>3.0944393412203866</v>
      </c>
      <c r="D61" s="47">
        <f t="shared" ca="1" si="1"/>
        <v>5391657541.0032387</v>
      </c>
      <c r="E61" s="47">
        <f t="shared" ca="1" si="2"/>
        <v>5408262943805.5518</v>
      </c>
      <c r="F61" s="47">
        <f t="shared" ca="1" si="3"/>
        <v>5213865433865.3242</v>
      </c>
      <c r="G61" s="47">
        <f t="shared" ca="1" si="4"/>
        <v>731592463496.79468</v>
      </c>
      <c r="H61" s="47">
        <f t="shared" ca="1" si="5"/>
        <v>731592463496.79468</v>
      </c>
      <c r="I61" s="47">
        <f t="shared" ca="1" si="6"/>
        <v>56686845385364.125</v>
      </c>
      <c r="J61" s="47">
        <f t="shared" ca="1" si="7"/>
        <v>819084388160.87476</v>
      </c>
      <c r="K61" s="48">
        <f t="shared" ca="1" si="8"/>
        <v>69.207576416693186</v>
      </c>
    </row>
    <row r="62" spans="2:11" ht="15" customHeight="1" x14ac:dyDescent="0.35">
      <c r="B62" s="5">
        <v>41</v>
      </c>
      <c r="C62" s="46">
        <f t="shared" ca="1" si="0"/>
        <v>2.983861154891259</v>
      </c>
      <c r="D62" s="47">
        <f t="shared" ca="1" si="1"/>
        <v>5359675564.4661102</v>
      </c>
      <c r="E62" s="47">
        <f t="shared" ca="1" si="2"/>
        <v>7707938634528.166</v>
      </c>
      <c r="F62" s="47">
        <f t="shared" ca="1" si="3"/>
        <v>98455814826.904892</v>
      </c>
      <c r="G62" s="47">
        <f t="shared" ca="1" si="4"/>
        <v>68325763902878.25</v>
      </c>
      <c r="H62" s="47">
        <f t="shared" ca="1" si="5"/>
        <v>68325763902878.25</v>
      </c>
      <c r="I62" s="47">
        <f t="shared" ca="1" si="6"/>
        <v>2843089297182.6777</v>
      </c>
      <c r="J62" s="47">
        <f t="shared" ca="1" si="7"/>
        <v>1809906650292.0432</v>
      </c>
      <c r="K62" s="48">
        <f t="shared" ca="1" si="8"/>
        <v>1.5708485831155556</v>
      </c>
    </row>
    <row r="63" spans="2:11" ht="15" customHeight="1" x14ac:dyDescent="0.35">
      <c r="B63" s="5">
        <v>42</v>
      </c>
      <c r="C63" s="46">
        <f t="shared" ca="1" si="0"/>
        <v>3.5291078094338899</v>
      </c>
      <c r="D63" s="47">
        <f t="shared" ca="1" si="1"/>
        <v>12255188219.313887</v>
      </c>
      <c r="E63" s="47">
        <f t="shared" ca="1" si="2"/>
        <v>43233532573274.641</v>
      </c>
      <c r="F63" s="47">
        <f t="shared" ca="1" si="3"/>
        <v>2808749427774.9932</v>
      </c>
      <c r="G63" s="47">
        <f t="shared" ca="1" si="4"/>
        <v>989067324525.27271</v>
      </c>
      <c r="H63" s="47">
        <f t="shared" ca="1" si="5"/>
        <v>2808749427774.9932</v>
      </c>
      <c r="I63" s="47">
        <f t="shared" ca="1" si="6"/>
        <v>130192294151134.89</v>
      </c>
      <c r="J63" s="47">
        <f t="shared" ca="1" si="7"/>
        <v>1546924102908.6824</v>
      </c>
      <c r="K63" s="48">
        <f t="shared" ca="1" si="8"/>
        <v>84.162043830291509</v>
      </c>
    </row>
    <row r="64" spans="2:11" ht="15" customHeight="1" x14ac:dyDescent="0.35">
      <c r="B64" s="5">
        <v>43</v>
      </c>
      <c r="C64" s="46">
        <f t="shared" ca="1" si="0"/>
        <v>2.5427327720067128</v>
      </c>
      <c r="D64" s="47">
        <f t="shared" ca="1" si="1"/>
        <v>2050898842.4689872</v>
      </c>
      <c r="E64" s="47">
        <f t="shared" ca="1" si="2"/>
        <v>2069843770333.4661</v>
      </c>
      <c r="F64" s="47">
        <f t="shared" ca="1" si="3"/>
        <v>16459739478659.682</v>
      </c>
      <c r="G64" s="47">
        <f t="shared" ca="1" si="4"/>
        <v>25728950193162.547</v>
      </c>
      <c r="H64" s="47">
        <f t="shared" ca="1" si="5"/>
        <v>2069843770333.4661</v>
      </c>
      <c r="I64" s="47">
        <f t="shared" ca="1" si="6"/>
        <v>5056072327083.8926</v>
      </c>
      <c r="J64" s="47">
        <f t="shared" ca="1" si="7"/>
        <v>1702296487001.0193</v>
      </c>
      <c r="K64" s="48">
        <f t="shared" ca="1" si="8"/>
        <v>2.9701478947367792</v>
      </c>
    </row>
    <row r="65" spans="2:11" ht="15" customHeight="1" x14ac:dyDescent="0.35">
      <c r="B65" s="5">
        <v>44</v>
      </c>
      <c r="C65" s="46">
        <f t="shared" ca="1" si="0"/>
        <v>4.0410270383722162</v>
      </c>
      <c r="D65" s="47">
        <f t="shared" ca="1" si="1"/>
        <v>17765271145.223354</v>
      </c>
      <c r="E65" s="47">
        <f t="shared" ca="1" si="2"/>
        <v>59294833114078.055</v>
      </c>
      <c r="F65" s="47">
        <f t="shared" ca="1" si="3"/>
        <v>6563965097612.4619</v>
      </c>
      <c r="G65" s="47">
        <f t="shared" ca="1" si="4"/>
        <v>1758875718466.1372</v>
      </c>
      <c r="H65" s="47">
        <f t="shared" ca="1" si="5"/>
        <v>6563965097612.4619</v>
      </c>
      <c r="I65" s="47">
        <f t="shared" ca="1" si="6"/>
        <v>20652626453368.805</v>
      </c>
      <c r="J65" s="47">
        <f t="shared" ca="1" si="7"/>
        <v>1658901906949.3643</v>
      </c>
      <c r="K65" s="48">
        <f t="shared" ca="1" si="8"/>
        <v>12.449576654805304</v>
      </c>
    </row>
    <row r="66" spans="2:11" ht="15" customHeight="1" x14ac:dyDescent="0.35">
      <c r="B66" s="5">
        <v>45</v>
      </c>
      <c r="C66" s="46">
        <f t="shared" ca="1" si="0"/>
        <v>2.7832238976217347</v>
      </c>
      <c r="D66" s="47">
        <f t="shared" ca="1" si="1"/>
        <v>2702448739.4426627</v>
      </c>
      <c r="E66" s="47">
        <f t="shared" ca="1" si="2"/>
        <v>8757953216400.3887</v>
      </c>
      <c r="F66" s="47">
        <f t="shared" ca="1" si="3"/>
        <v>5455707650454.2744</v>
      </c>
      <c r="G66" s="47">
        <f t="shared" ca="1" si="4"/>
        <v>79129408864177.719</v>
      </c>
      <c r="H66" s="47">
        <f t="shared" ca="1" si="5"/>
        <v>79129408864177.719</v>
      </c>
      <c r="I66" s="47">
        <f t="shared" ca="1" si="6"/>
        <v>19468980677034.395</v>
      </c>
      <c r="J66" s="47">
        <f t="shared" ca="1" si="7"/>
        <v>2378736402867.3813</v>
      </c>
      <c r="K66" s="48">
        <f t="shared" ca="1" si="8"/>
        <v>8.1845893700395109</v>
      </c>
    </row>
    <row r="67" spans="2:11" ht="15" customHeight="1" x14ac:dyDescent="0.35">
      <c r="B67" s="5">
        <v>46</v>
      </c>
      <c r="C67" s="46">
        <f t="shared" ca="1" si="0"/>
        <v>2.9746678310775989</v>
      </c>
      <c r="D67" s="47">
        <f t="shared" ca="1" si="1"/>
        <v>4948828244.0816603</v>
      </c>
      <c r="E67" s="47">
        <f t="shared" ca="1" si="2"/>
        <v>54704255760110.711</v>
      </c>
      <c r="F67" s="47">
        <f t="shared" ca="1" si="3"/>
        <v>5304602997313.9404</v>
      </c>
      <c r="G67" s="47">
        <f t="shared" ca="1" si="4"/>
        <v>107264974136197.95</v>
      </c>
      <c r="H67" s="47">
        <f t="shared" ca="1" si="5"/>
        <v>54704255760110.711</v>
      </c>
      <c r="I67" s="47">
        <f t="shared" ca="1" si="6"/>
        <v>51194317119810.453</v>
      </c>
      <c r="J67" s="47">
        <f t="shared" ca="1" si="7"/>
        <v>1322487200500.3403</v>
      </c>
      <c r="K67" s="48">
        <f t="shared" ca="1" si="8"/>
        <v>38.710633343326094</v>
      </c>
    </row>
    <row r="68" spans="2:11" ht="15" customHeight="1" x14ac:dyDescent="0.35">
      <c r="B68" s="5">
        <v>47</v>
      </c>
      <c r="C68" s="46">
        <f t="shared" ca="1" si="0"/>
        <v>2.9824545013621906</v>
      </c>
      <c r="D68" s="47">
        <f t="shared" ca="1" si="1"/>
        <v>4196346344.7898121</v>
      </c>
      <c r="E68" s="47">
        <f t="shared" ca="1" si="2"/>
        <v>11474288230467.459</v>
      </c>
      <c r="F68" s="47">
        <f t="shared" ca="1" si="3"/>
        <v>21661497327922.656</v>
      </c>
      <c r="G68" s="47">
        <f t="shared" ca="1" si="4"/>
        <v>7666682030590.7461</v>
      </c>
      <c r="H68" s="47">
        <f t="shared" ca="1" si="5"/>
        <v>11474288230467.459</v>
      </c>
      <c r="I68" s="47">
        <f t="shared" ca="1" si="6"/>
        <v>1977362677651.6106</v>
      </c>
      <c r="J68" s="47">
        <f t="shared" ca="1" si="7"/>
        <v>1680702216018.7632</v>
      </c>
      <c r="K68" s="48">
        <f t="shared" ca="1" si="8"/>
        <v>1.176509829525646</v>
      </c>
    </row>
    <row r="69" spans="2:11" ht="15" customHeight="1" x14ac:dyDescent="0.35">
      <c r="B69" s="5">
        <v>48</v>
      </c>
      <c r="C69" s="46">
        <f t="shared" ca="1" si="0"/>
        <v>3.3029881960763201</v>
      </c>
      <c r="D69" s="47">
        <f t="shared" ca="1" si="1"/>
        <v>6970038158.1921473</v>
      </c>
      <c r="E69" s="47">
        <f t="shared" ca="1" si="2"/>
        <v>7680669251026.3584</v>
      </c>
      <c r="F69" s="47">
        <f t="shared" ca="1" si="3"/>
        <v>11683851471132.125</v>
      </c>
      <c r="G69" s="47">
        <f t="shared" ca="1" si="4"/>
        <v>25499542843395.629</v>
      </c>
      <c r="H69" s="47">
        <f t="shared" ca="1" si="5"/>
        <v>7680669251026.3584</v>
      </c>
      <c r="I69" s="47">
        <f t="shared" ca="1" si="6"/>
        <v>9845264148671.8223</v>
      </c>
      <c r="J69" s="47">
        <f t="shared" ca="1" si="7"/>
        <v>2012225223636.6392</v>
      </c>
      <c r="K69" s="48">
        <f t="shared" ca="1" si="8"/>
        <v>4.8927247472222559</v>
      </c>
    </row>
    <row r="70" spans="2:11" ht="15" customHeight="1" x14ac:dyDescent="0.35">
      <c r="B70" s="5">
        <v>49</v>
      </c>
      <c r="C70" s="46">
        <f t="shared" ca="1" si="0"/>
        <v>3.0247197531982204</v>
      </c>
      <c r="D70" s="47">
        <f t="shared" ca="1" si="1"/>
        <v>4285826321.6668563</v>
      </c>
      <c r="E70" s="47">
        <f t="shared" ca="1" si="2"/>
        <v>18550544802710.574</v>
      </c>
      <c r="F70" s="47">
        <f t="shared" ca="1" si="3"/>
        <v>5901184000514.415</v>
      </c>
      <c r="G70" s="47">
        <f t="shared" ca="1" si="4"/>
        <v>39504979869335.977</v>
      </c>
      <c r="H70" s="47">
        <f t="shared" ca="1" si="5"/>
        <v>5901184000514.415</v>
      </c>
      <c r="I70" s="47">
        <f t="shared" ca="1" si="6"/>
        <v>2631633863841.7329</v>
      </c>
      <c r="J70" s="47">
        <f t="shared" ca="1" si="7"/>
        <v>1405840730109.5283</v>
      </c>
      <c r="K70" s="48">
        <f t="shared" ca="1" si="8"/>
        <v>1.8719288803339078</v>
      </c>
    </row>
    <row r="71" spans="2:11" ht="15" customHeight="1" x14ac:dyDescent="0.35">
      <c r="B71" s="5">
        <v>50</v>
      </c>
      <c r="C71" s="46">
        <f t="shared" ca="1" si="0"/>
        <v>3.5395942952375319</v>
      </c>
      <c r="D71" s="47">
        <f t="shared" ca="1" si="1"/>
        <v>13231171950.214622</v>
      </c>
      <c r="E71" s="47">
        <f t="shared" ca="1" si="2"/>
        <v>13589128213486.916</v>
      </c>
      <c r="F71" s="47">
        <f t="shared" ca="1" si="3"/>
        <v>8978207058689.709</v>
      </c>
      <c r="G71" s="47">
        <f t="shared" ca="1" si="4"/>
        <v>7007454452229.8271</v>
      </c>
      <c r="H71" s="47">
        <f t="shared" ca="1" si="5"/>
        <v>7007454452229.8271</v>
      </c>
      <c r="I71" s="47">
        <f t="shared" ca="1" si="6"/>
        <v>5485325916662.1055</v>
      </c>
      <c r="J71" s="47">
        <f t="shared" ca="1" si="7"/>
        <v>1953950199788.2236</v>
      </c>
      <c r="K71" s="48">
        <f t="shared" ca="1" si="8"/>
        <v>2.8073007783190307</v>
      </c>
    </row>
    <row r="72" spans="2:11" ht="15" customHeight="1" x14ac:dyDescent="0.35">
      <c r="B72" s="5">
        <v>51</v>
      </c>
      <c r="C72" s="46">
        <f t="shared" ca="1" si="0"/>
        <v>3.0335486900415454</v>
      </c>
      <c r="D72" s="47">
        <f t="shared" ca="1" si="1"/>
        <v>5832865260.6217623</v>
      </c>
      <c r="E72" s="47">
        <f t="shared" ca="1" si="2"/>
        <v>17657936859222.168</v>
      </c>
      <c r="F72" s="47">
        <f t="shared" ca="1" si="3"/>
        <v>4103798072036.0933</v>
      </c>
      <c r="G72" s="47">
        <f t="shared" ca="1" si="4"/>
        <v>9830976764581.0664</v>
      </c>
      <c r="H72" s="47">
        <f t="shared" ca="1" si="5"/>
        <v>4103798072036.0933</v>
      </c>
      <c r="I72" s="47">
        <f t="shared" ca="1" si="6"/>
        <v>23418179585880.715</v>
      </c>
      <c r="J72" s="47">
        <f t="shared" ca="1" si="7"/>
        <v>1140652119840.5647</v>
      </c>
      <c r="K72" s="48">
        <f t="shared" ca="1" si="8"/>
        <v>20.530518620483523</v>
      </c>
    </row>
    <row r="73" spans="2:11" ht="15" customHeight="1" x14ac:dyDescent="0.35">
      <c r="B73" s="5">
        <v>52</v>
      </c>
      <c r="C73" s="46">
        <f t="shared" ca="1" si="0"/>
        <v>2.1830059913414317</v>
      </c>
      <c r="D73" s="47">
        <f t="shared" ca="1" si="1"/>
        <v>962026340.42370462</v>
      </c>
      <c r="E73" s="47">
        <f t="shared" ca="1" si="2"/>
        <v>5898023565643.4473</v>
      </c>
      <c r="F73" s="47">
        <f t="shared" ca="1" si="3"/>
        <v>776645867234.26917</v>
      </c>
      <c r="G73" s="47">
        <f t="shared" ca="1" si="4"/>
        <v>7332611801836.5303</v>
      </c>
      <c r="H73" s="47">
        <f t="shared" ca="1" si="5"/>
        <v>7332611801836.5303</v>
      </c>
      <c r="I73" s="47">
        <f t="shared" ca="1" si="6"/>
        <v>13657251351110.1</v>
      </c>
      <c r="J73" s="47">
        <f t="shared" ca="1" si="7"/>
        <v>1454952388211.1609</v>
      </c>
      <c r="K73" s="48">
        <f t="shared" ca="1" si="8"/>
        <v>9.3867342064034531</v>
      </c>
    </row>
    <row r="74" spans="2:11" ht="15" customHeight="1" x14ac:dyDescent="0.35">
      <c r="B74" s="5">
        <v>53</v>
      </c>
      <c r="C74" s="46">
        <f t="shared" ca="1" si="0"/>
        <v>3.5407920921148444</v>
      </c>
      <c r="D74" s="47">
        <f t="shared" ca="1" si="1"/>
        <v>11637743852.906473</v>
      </c>
      <c r="E74" s="47">
        <f t="shared" ca="1" si="2"/>
        <v>41300536853602.352</v>
      </c>
      <c r="F74" s="47">
        <f t="shared" ca="1" si="3"/>
        <v>660090884989.88623</v>
      </c>
      <c r="G74" s="47">
        <f t="shared" ca="1" si="4"/>
        <v>831108351324.59534</v>
      </c>
      <c r="H74" s="47">
        <f t="shared" ca="1" si="5"/>
        <v>831108351324.59534</v>
      </c>
      <c r="I74" s="47">
        <f t="shared" ca="1" si="6"/>
        <v>480521230880.61639</v>
      </c>
      <c r="J74" s="47">
        <f t="shared" ca="1" si="7"/>
        <v>1598743427833.5146</v>
      </c>
      <c r="K74" s="48">
        <f t="shared" ca="1" si="8"/>
        <v>0.30056181780949004</v>
      </c>
    </row>
    <row r="75" spans="2:11" ht="15" customHeight="1" x14ac:dyDescent="0.35">
      <c r="B75" s="5">
        <v>54</v>
      </c>
      <c r="C75" s="46">
        <f t="shared" ca="1" si="0"/>
        <v>2.7458757064000121</v>
      </c>
      <c r="D75" s="47">
        <f t="shared" ca="1" si="1"/>
        <v>2939515681.3811994</v>
      </c>
      <c r="E75" s="47">
        <f t="shared" ca="1" si="2"/>
        <v>11244746706800.428</v>
      </c>
      <c r="F75" s="47">
        <f t="shared" ca="1" si="3"/>
        <v>16069131754699.48</v>
      </c>
      <c r="G75" s="47">
        <f t="shared" ca="1" si="4"/>
        <v>7986951289364.1729</v>
      </c>
      <c r="H75" s="47">
        <f t="shared" ca="1" si="5"/>
        <v>7986951289364.1729</v>
      </c>
      <c r="I75" s="47">
        <f t="shared" ca="1" si="6"/>
        <v>2317470445062.623</v>
      </c>
      <c r="J75" s="47">
        <f t="shared" ca="1" si="7"/>
        <v>1616840205940.0693</v>
      </c>
      <c r="K75" s="48">
        <f t="shared" ca="1" si="8"/>
        <v>1.4333330137069362</v>
      </c>
    </row>
    <row r="76" spans="2:11" ht="15" customHeight="1" x14ac:dyDescent="0.35">
      <c r="B76" s="5">
        <v>55</v>
      </c>
      <c r="C76" s="46">
        <f t="shared" ca="1" si="0"/>
        <v>2.5697041923067037</v>
      </c>
      <c r="D76" s="47">
        <f t="shared" ca="1" si="1"/>
        <v>2552251347.5513206</v>
      </c>
      <c r="E76" s="47">
        <f t="shared" ca="1" si="2"/>
        <v>8787345328381.752</v>
      </c>
      <c r="F76" s="47">
        <f t="shared" ca="1" si="3"/>
        <v>30153162334115.418</v>
      </c>
      <c r="G76" s="47">
        <f t="shared" ca="1" si="4"/>
        <v>2574340277216.8311</v>
      </c>
      <c r="H76" s="47">
        <f t="shared" ca="1" si="5"/>
        <v>2574340277216.8311</v>
      </c>
      <c r="I76" s="47">
        <f t="shared" ca="1" si="6"/>
        <v>7277708067803.3594</v>
      </c>
      <c r="J76" s="47">
        <f t="shared" ca="1" si="7"/>
        <v>1704801750685.8989</v>
      </c>
      <c r="K76" s="48">
        <f t="shared" ca="1" si="8"/>
        <v>4.2689468525447571</v>
      </c>
    </row>
    <row r="77" spans="2:11" ht="15" customHeight="1" x14ac:dyDescent="0.35">
      <c r="B77" s="5">
        <v>56</v>
      </c>
      <c r="C77" s="46">
        <f t="shared" ca="1" si="0"/>
        <v>3.2302044420879117</v>
      </c>
      <c r="D77" s="47">
        <f t="shared" ca="1" si="1"/>
        <v>6473062420.7379827</v>
      </c>
      <c r="E77" s="47">
        <f t="shared" ca="1" si="2"/>
        <v>19149833288666.918</v>
      </c>
      <c r="F77" s="47">
        <f t="shared" ca="1" si="3"/>
        <v>433846905335.9693</v>
      </c>
      <c r="G77" s="47">
        <f t="shared" ca="1" si="4"/>
        <v>41739375352146.109</v>
      </c>
      <c r="H77" s="47">
        <f t="shared" ca="1" si="5"/>
        <v>19149833288666.918</v>
      </c>
      <c r="I77" s="47">
        <f t="shared" ca="1" si="6"/>
        <v>1042829879067.5045</v>
      </c>
      <c r="J77" s="47">
        <f t="shared" ca="1" si="7"/>
        <v>1121042110612.8557</v>
      </c>
      <c r="K77" s="48">
        <f t="shared" ca="1" si="8"/>
        <v>0.93023256592690007</v>
      </c>
    </row>
    <row r="78" spans="2:11" ht="15" customHeight="1" x14ac:dyDescent="0.35">
      <c r="B78" s="5">
        <v>57</v>
      </c>
      <c r="C78" s="46">
        <f t="shared" ca="1" si="0"/>
        <v>2.717369388776659</v>
      </c>
      <c r="D78" s="47">
        <f t="shared" ca="1" si="1"/>
        <v>3029224662.3602161</v>
      </c>
      <c r="E78" s="47">
        <f t="shared" ca="1" si="2"/>
        <v>2182420002441.5381</v>
      </c>
      <c r="F78" s="47">
        <f t="shared" ca="1" si="3"/>
        <v>12937437288794.338</v>
      </c>
      <c r="G78" s="47">
        <f t="shared" ca="1" si="4"/>
        <v>37754766890438.328</v>
      </c>
      <c r="H78" s="47">
        <f t="shared" ca="1" si="5"/>
        <v>37754766890438.328</v>
      </c>
      <c r="I78" s="47">
        <f t="shared" ca="1" si="6"/>
        <v>7394245902718.6084</v>
      </c>
      <c r="J78" s="47">
        <f t="shared" ca="1" si="7"/>
        <v>853479208413.69666</v>
      </c>
      <c r="K78" s="48">
        <f t="shared" ca="1" si="8"/>
        <v>8.6636508890026587</v>
      </c>
    </row>
    <row r="79" spans="2:11" ht="15" customHeight="1" x14ac:dyDescent="0.35">
      <c r="B79" s="5">
        <v>58</v>
      </c>
      <c r="C79" s="46">
        <f t="shared" ca="1" si="0"/>
        <v>2.6315651340197665</v>
      </c>
      <c r="D79" s="47">
        <f t="shared" ca="1" si="1"/>
        <v>2680600929.7716632</v>
      </c>
      <c r="E79" s="47">
        <f t="shared" ca="1" si="2"/>
        <v>5054161651681.0371</v>
      </c>
      <c r="F79" s="47">
        <f t="shared" ca="1" si="3"/>
        <v>4227014511870.7739</v>
      </c>
      <c r="G79" s="47">
        <f t="shared" ca="1" si="4"/>
        <v>2354811093885.3833</v>
      </c>
      <c r="H79" s="47">
        <f t="shared" ca="1" si="5"/>
        <v>2354811093885.3833</v>
      </c>
      <c r="I79" s="47">
        <f t="shared" ca="1" si="6"/>
        <v>39178421347943.516</v>
      </c>
      <c r="J79" s="47">
        <f t="shared" ca="1" si="7"/>
        <v>1890334432089.2527</v>
      </c>
      <c r="K79" s="48">
        <f t="shared" ca="1" si="8"/>
        <v>20.725656097076104</v>
      </c>
    </row>
    <row r="80" spans="2:11" ht="15" customHeight="1" x14ac:dyDescent="0.35">
      <c r="B80" s="5">
        <v>59</v>
      </c>
      <c r="C80" s="46">
        <f t="shared" ca="1" si="0"/>
        <v>3.4702239047533769</v>
      </c>
      <c r="D80" s="47">
        <f t="shared" ca="1" si="1"/>
        <v>11596758544.822954</v>
      </c>
      <c r="E80" s="47">
        <f t="shared" ca="1" si="2"/>
        <v>24449831734628.133</v>
      </c>
      <c r="F80" s="47">
        <f t="shared" ca="1" si="3"/>
        <v>13586626585279.154</v>
      </c>
      <c r="G80" s="47">
        <f t="shared" ca="1" si="4"/>
        <v>1587509241918.1975</v>
      </c>
      <c r="H80" s="47">
        <f t="shared" ca="1" si="5"/>
        <v>1587509241918.1975</v>
      </c>
      <c r="I80" s="47">
        <f t="shared" ca="1" si="6"/>
        <v>105544042283075.23</v>
      </c>
      <c r="J80" s="47">
        <f t="shared" ca="1" si="7"/>
        <v>629235010336.35815</v>
      </c>
      <c r="K80" s="48">
        <f t="shared" ca="1" si="8"/>
        <v>167.73389997269314</v>
      </c>
    </row>
    <row r="81" spans="2:11" ht="15" customHeight="1" x14ac:dyDescent="0.35">
      <c r="B81" s="5">
        <v>60</v>
      </c>
      <c r="C81" s="46">
        <f t="shared" ca="1" si="0"/>
        <v>2.4843630457082768</v>
      </c>
      <c r="D81" s="47">
        <f t="shared" ca="1" si="1"/>
        <v>1571011506.0505905</v>
      </c>
      <c r="E81" s="47">
        <f t="shared" ca="1" si="2"/>
        <v>6610862426786.4395</v>
      </c>
      <c r="F81" s="47">
        <f t="shared" ca="1" si="3"/>
        <v>4911404772614.0703</v>
      </c>
      <c r="G81" s="47">
        <f t="shared" ca="1" si="4"/>
        <v>20058925491304.73</v>
      </c>
      <c r="H81" s="47">
        <f t="shared" ca="1" si="5"/>
        <v>6610862426786.4395</v>
      </c>
      <c r="I81" s="47">
        <f t="shared" ca="1" si="6"/>
        <v>30885244994485.273</v>
      </c>
      <c r="J81" s="47">
        <f t="shared" ca="1" si="7"/>
        <v>1749791965867.3752</v>
      </c>
      <c r="K81" s="48">
        <f t="shared" ca="1" si="8"/>
        <v>17.650809694497251</v>
      </c>
    </row>
    <row r="82" spans="2:11" ht="15" customHeight="1" x14ac:dyDescent="0.35">
      <c r="B82" s="5">
        <v>61</v>
      </c>
      <c r="C82" s="46">
        <f t="shared" ca="1" si="0"/>
        <v>3.4874488659521456</v>
      </c>
      <c r="D82" s="47">
        <f t="shared" ca="1" si="1"/>
        <v>10332032240.850241</v>
      </c>
      <c r="E82" s="47">
        <f t="shared" ca="1" si="2"/>
        <v>51832387928432.633</v>
      </c>
      <c r="F82" s="47">
        <f t="shared" ca="1" si="3"/>
        <v>7740462741148.8545</v>
      </c>
      <c r="G82" s="47">
        <f t="shared" ca="1" si="4"/>
        <v>4476532780403.1738</v>
      </c>
      <c r="H82" s="47">
        <f t="shared" ca="1" si="5"/>
        <v>51832387928432.633</v>
      </c>
      <c r="I82" s="47">
        <f t="shared" ca="1" si="6"/>
        <v>8574400948449.9229</v>
      </c>
      <c r="J82" s="47">
        <f t="shared" ca="1" si="7"/>
        <v>1544881239413.5474</v>
      </c>
      <c r="K82" s="48">
        <f t="shared" ca="1" si="8"/>
        <v>5.5502007077934694</v>
      </c>
    </row>
    <row r="83" spans="2:11" ht="15" customHeight="1" x14ac:dyDescent="0.35">
      <c r="B83" s="5">
        <v>62</v>
      </c>
      <c r="C83" s="46">
        <f t="shared" ca="1" si="0"/>
        <v>3.7965092692518145</v>
      </c>
      <c r="D83" s="47">
        <f t="shared" ca="1" si="1"/>
        <v>18658756293.25848</v>
      </c>
      <c r="E83" s="47">
        <f t="shared" ca="1" si="2"/>
        <v>90165515722373.953</v>
      </c>
      <c r="F83" s="47">
        <f t="shared" ca="1" si="3"/>
        <v>4047786487565.1812</v>
      </c>
      <c r="G83" s="47">
        <f t="shared" ca="1" si="4"/>
        <v>216888687333601.06</v>
      </c>
      <c r="H83" s="47">
        <f t="shared" ca="1" si="5"/>
        <v>90165515722373.953</v>
      </c>
      <c r="I83" s="47">
        <f t="shared" ca="1" si="6"/>
        <v>39423103365787.641</v>
      </c>
      <c r="J83" s="47">
        <f t="shared" ca="1" si="7"/>
        <v>730241536660.0697</v>
      </c>
      <c r="K83" s="48">
        <f t="shared" ca="1" si="8"/>
        <v>53.98638859424296</v>
      </c>
    </row>
    <row r="84" spans="2:11" ht="15" customHeight="1" x14ac:dyDescent="0.35">
      <c r="B84" s="5">
        <v>63</v>
      </c>
      <c r="C84" s="46">
        <f t="shared" ca="1" si="0"/>
        <v>2.1951064207930386</v>
      </c>
      <c r="D84" s="47">
        <f t="shared" ca="1" si="1"/>
        <v>950455606.15132952</v>
      </c>
      <c r="E84" s="47">
        <f t="shared" ca="1" si="2"/>
        <v>4793941022304.1318</v>
      </c>
      <c r="F84" s="47">
        <f t="shared" ca="1" si="3"/>
        <v>1540764095081.9658</v>
      </c>
      <c r="G84" s="47">
        <f t="shared" ca="1" si="4"/>
        <v>4564462569343.6953</v>
      </c>
      <c r="H84" s="47">
        <f t="shared" ca="1" si="5"/>
        <v>1540764095081.9658</v>
      </c>
      <c r="I84" s="47">
        <f t="shared" ca="1" si="6"/>
        <v>69199695008219.781</v>
      </c>
      <c r="J84" s="47">
        <f t="shared" ca="1" si="7"/>
        <v>1877936454164.4131</v>
      </c>
      <c r="K84" s="48">
        <f t="shared" ca="1" si="8"/>
        <v>36.848794779379347</v>
      </c>
    </row>
    <row r="85" spans="2:11" ht="15" customHeight="1" x14ac:dyDescent="0.35">
      <c r="B85" s="5">
        <v>64</v>
      </c>
      <c r="C85" s="46">
        <f t="shared" ca="1" si="0"/>
        <v>2.195920723392792</v>
      </c>
      <c r="D85" s="47">
        <f t="shared" ca="1" si="1"/>
        <v>1200259819.7090337</v>
      </c>
      <c r="E85" s="47">
        <f t="shared" ca="1" si="2"/>
        <v>3642476744637.9429</v>
      </c>
      <c r="F85" s="47">
        <f t="shared" ca="1" si="3"/>
        <v>1184856044449.9795</v>
      </c>
      <c r="G85" s="47">
        <f t="shared" ca="1" si="4"/>
        <v>665966939635.28882</v>
      </c>
      <c r="H85" s="47">
        <f t="shared" ca="1" si="5"/>
        <v>1184856044449.9795</v>
      </c>
      <c r="I85" s="47">
        <f t="shared" ca="1" si="6"/>
        <v>164180275116225.84</v>
      </c>
      <c r="J85" s="47">
        <f t="shared" ca="1" si="7"/>
        <v>2188105396518.8254</v>
      </c>
      <c r="K85" s="48">
        <f t="shared" ca="1" si="8"/>
        <v>75.033074447615306</v>
      </c>
    </row>
    <row r="86" spans="2:11" ht="15" customHeight="1" x14ac:dyDescent="0.35">
      <c r="B86" s="5">
        <v>65</v>
      </c>
      <c r="C86" s="46">
        <f t="shared" ref="C86:C149" ca="1" si="9">MEDIAN(1.8,NORMINV(RAND(),$C$7,$D$7),4.5)</f>
        <v>3.0553003425138705</v>
      </c>
      <c r="D86" s="47">
        <f t="shared" ref="D86:D149" ca="1" si="10">($C$8+RAND()*($D$8-$C$8))*C86^5</f>
        <v>5301548377.2526884</v>
      </c>
      <c r="E86" s="47">
        <f t="shared" ref="E86:E149" ca="1" si="11">D86*($C$10+RAND()*($D$10-$C$10))*EXP(NORMINV(RAND(),$C$9,$D$9))*($C$11+RAND()*($D$11-$C$11))</f>
        <v>31610410400771.5</v>
      </c>
      <c r="F86" s="47">
        <f t="shared" ref="F86:F149" ca="1" si="12">EXP(NORMINV(RAND(),$C$12,$D$12))*EXP(NORMINV(RAND(),$C$13,$D$13))</f>
        <v>3774442699764.9482</v>
      </c>
      <c r="G86" s="47">
        <f t="shared" ref="G86:G149" ca="1" si="13">EXP(NORMINV(RAND(),$C$14,$D$14))*($C$15+RAND()*($D$15-$C$15))*EXP(NORMINV(RAND(),$C$16,$D$16))/1000000*31536000</f>
        <v>32005815573658.117</v>
      </c>
      <c r="H86" s="47">
        <f t="shared" ref="H86:H149" ca="1" si="14">CHOOSE(RANDBETWEEN(1,3),E86,F86,G86)</f>
        <v>31610410400771.5</v>
      </c>
      <c r="I86" s="47">
        <f t="shared" ref="I86:I149" ca="1" si="15">EXP(NORMINV(RAND(),$C$14,$D$14))*($C$15+RAND()*($D$15-$C$15))*60</f>
        <v>7815482258173.9375</v>
      </c>
      <c r="J86" s="47">
        <f t="shared" ref="J86:J149" ca="1" si="16">($C$17+RAND()*($D$17-$C$17))*($C$18+RAND()*($D$18-$C$18))</f>
        <v>1068045860980.657</v>
      </c>
      <c r="K86" s="48">
        <f t="shared" ref="K86:K149" ca="1" si="17">I86/J86</f>
        <v>7.3175530599387635</v>
      </c>
    </row>
    <row r="87" spans="2:11" ht="15" customHeight="1" x14ac:dyDescent="0.35">
      <c r="B87" s="5">
        <v>66</v>
      </c>
      <c r="C87" s="46">
        <f t="shared" ca="1" si="9"/>
        <v>3.5491414779635395</v>
      </c>
      <c r="D87" s="47">
        <f t="shared" ca="1" si="10"/>
        <v>13227486717.284664</v>
      </c>
      <c r="E87" s="47">
        <f t="shared" ca="1" si="11"/>
        <v>30518996961220.172</v>
      </c>
      <c r="F87" s="47">
        <f t="shared" ca="1" si="12"/>
        <v>727570781607.224</v>
      </c>
      <c r="G87" s="47">
        <f t="shared" ca="1" si="13"/>
        <v>7143438413606.0342</v>
      </c>
      <c r="H87" s="47">
        <f t="shared" ca="1" si="14"/>
        <v>30518996961220.172</v>
      </c>
      <c r="I87" s="47">
        <f t="shared" ca="1" si="15"/>
        <v>6435580861966.1143</v>
      </c>
      <c r="J87" s="47">
        <f t="shared" ca="1" si="16"/>
        <v>1763053671176.1836</v>
      </c>
      <c r="K87" s="48">
        <f t="shared" ca="1" si="17"/>
        <v>3.6502467095472788</v>
      </c>
    </row>
    <row r="88" spans="2:11" ht="15" customHeight="1" x14ac:dyDescent="0.35">
      <c r="B88" s="5">
        <v>67</v>
      </c>
      <c r="C88" s="46">
        <f t="shared" ca="1" si="9"/>
        <v>2.7651234035127037</v>
      </c>
      <c r="D88" s="47">
        <f t="shared" ca="1" si="10"/>
        <v>2752766258.6621599</v>
      </c>
      <c r="E88" s="47">
        <f t="shared" ca="1" si="11"/>
        <v>8714953754020.8408</v>
      </c>
      <c r="F88" s="47">
        <f t="shared" ca="1" si="12"/>
        <v>2706241950926.9214</v>
      </c>
      <c r="G88" s="47">
        <f t="shared" ca="1" si="13"/>
        <v>144424830342439.56</v>
      </c>
      <c r="H88" s="47">
        <f t="shared" ca="1" si="14"/>
        <v>2706241950926.9214</v>
      </c>
      <c r="I88" s="47">
        <f t="shared" ca="1" si="15"/>
        <v>13442337478606.096</v>
      </c>
      <c r="J88" s="47">
        <f t="shared" ca="1" si="16"/>
        <v>994706867217.48352</v>
      </c>
      <c r="K88" s="48">
        <f t="shared" ca="1" si="17"/>
        <v>13.51386817727383</v>
      </c>
    </row>
    <row r="89" spans="2:11" ht="15" customHeight="1" x14ac:dyDescent="0.35">
      <c r="B89" s="5">
        <v>68</v>
      </c>
      <c r="C89" s="46">
        <f t="shared" ca="1" si="9"/>
        <v>3.409416055060106</v>
      </c>
      <c r="D89" s="47">
        <f t="shared" ca="1" si="10"/>
        <v>9077514537.0738964</v>
      </c>
      <c r="E89" s="47">
        <f t="shared" ca="1" si="11"/>
        <v>51757082794543.508</v>
      </c>
      <c r="F89" s="47">
        <f t="shared" ca="1" si="12"/>
        <v>4624571600990.7324</v>
      </c>
      <c r="G89" s="47">
        <f t="shared" ca="1" si="13"/>
        <v>5388176582625.7598</v>
      </c>
      <c r="H89" s="47">
        <f t="shared" ca="1" si="14"/>
        <v>5388176582625.7598</v>
      </c>
      <c r="I89" s="47">
        <f t="shared" ca="1" si="15"/>
        <v>262608281708.67102</v>
      </c>
      <c r="J89" s="47">
        <f t="shared" ca="1" si="16"/>
        <v>1972148577702.9563</v>
      </c>
      <c r="K89" s="48">
        <f t="shared" ca="1" si="17"/>
        <v>0.13315846720562091</v>
      </c>
    </row>
    <row r="90" spans="2:11" ht="15" customHeight="1" x14ac:dyDescent="0.35">
      <c r="B90" s="5">
        <v>69</v>
      </c>
      <c r="C90" s="46">
        <f t="shared" ca="1" si="9"/>
        <v>2.8335539882541179</v>
      </c>
      <c r="D90" s="47">
        <f t="shared" ca="1" si="10"/>
        <v>3531413431.5482678</v>
      </c>
      <c r="E90" s="47">
        <f t="shared" ca="1" si="11"/>
        <v>5290540015058.2793</v>
      </c>
      <c r="F90" s="47">
        <f t="shared" ca="1" si="12"/>
        <v>428150508438.23389</v>
      </c>
      <c r="G90" s="47">
        <f t="shared" ca="1" si="13"/>
        <v>1046782608065.6365</v>
      </c>
      <c r="H90" s="47">
        <f t="shared" ca="1" si="14"/>
        <v>428150508438.23389</v>
      </c>
      <c r="I90" s="47">
        <f t="shared" ca="1" si="15"/>
        <v>32052317479507.238</v>
      </c>
      <c r="J90" s="47">
        <f t="shared" ca="1" si="16"/>
        <v>1338763182961.124</v>
      </c>
      <c r="K90" s="48">
        <f t="shared" ca="1" si="17"/>
        <v>23.941738081422873</v>
      </c>
    </row>
    <row r="91" spans="2:11" ht="15" customHeight="1" x14ac:dyDescent="0.35">
      <c r="B91" s="5">
        <v>70</v>
      </c>
      <c r="C91" s="46">
        <f t="shared" ca="1" si="9"/>
        <v>2.7483573756853312</v>
      </c>
      <c r="D91" s="47">
        <f t="shared" ca="1" si="10"/>
        <v>3132672649.2487583</v>
      </c>
      <c r="E91" s="47">
        <f t="shared" ca="1" si="11"/>
        <v>18807431033567.605</v>
      </c>
      <c r="F91" s="47">
        <f t="shared" ca="1" si="12"/>
        <v>592257796620.57874</v>
      </c>
      <c r="G91" s="47">
        <f t="shared" ca="1" si="13"/>
        <v>2244734975986.8462</v>
      </c>
      <c r="H91" s="47">
        <f t="shared" ca="1" si="14"/>
        <v>592257796620.57874</v>
      </c>
      <c r="I91" s="47">
        <f t="shared" ca="1" si="15"/>
        <v>8631059837426.7227</v>
      </c>
      <c r="J91" s="47">
        <f t="shared" ca="1" si="16"/>
        <v>886138519878.54651</v>
      </c>
      <c r="K91" s="48">
        <f t="shared" ca="1" si="17"/>
        <v>9.7400797322406092</v>
      </c>
    </row>
    <row r="92" spans="2:11" ht="15" customHeight="1" x14ac:dyDescent="0.35">
      <c r="B92" s="5">
        <v>71</v>
      </c>
      <c r="C92" s="46">
        <f t="shared" ca="1" si="9"/>
        <v>3.2893503779975539</v>
      </c>
      <c r="D92" s="47">
        <f t="shared" ca="1" si="10"/>
        <v>7742280455.1305561</v>
      </c>
      <c r="E92" s="47">
        <f t="shared" ca="1" si="11"/>
        <v>12706984256814.258</v>
      </c>
      <c r="F92" s="47">
        <f t="shared" ca="1" si="12"/>
        <v>1240202777921.5457</v>
      </c>
      <c r="G92" s="47">
        <f t="shared" ca="1" si="13"/>
        <v>1796214740095.0042</v>
      </c>
      <c r="H92" s="47">
        <f t="shared" ca="1" si="14"/>
        <v>1796214740095.0042</v>
      </c>
      <c r="I92" s="47">
        <f t="shared" ca="1" si="15"/>
        <v>26388551697723.176</v>
      </c>
      <c r="J92" s="47">
        <f t="shared" ca="1" si="16"/>
        <v>886140270132.57288</v>
      </c>
      <c r="K92" s="48">
        <f t="shared" ca="1" si="17"/>
        <v>29.779203797808737</v>
      </c>
    </row>
    <row r="93" spans="2:11" ht="15" customHeight="1" x14ac:dyDescent="0.35">
      <c r="B93" s="5">
        <v>72</v>
      </c>
      <c r="C93" s="46">
        <f t="shared" ca="1" si="9"/>
        <v>2.7846576536927778</v>
      </c>
      <c r="D93" s="47">
        <f t="shared" ca="1" si="10"/>
        <v>2774599467.1180639</v>
      </c>
      <c r="E93" s="47">
        <f t="shared" ca="1" si="11"/>
        <v>9320655758777.4629</v>
      </c>
      <c r="F93" s="47">
        <f t="shared" ca="1" si="12"/>
        <v>1061220193547.0975</v>
      </c>
      <c r="G93" s="47">
        <f t="shared" ca="1" si="13"/>
        <v>4831306332739.3828</v>
      </c>
      <c r="H93" s="47">
        <f t="shared" ca="1" si="14"/>
        <v>9320655758777.4629</v>
      </c>
      <c r="I93" s="47">
        <f t="shared" ca="1" si="15"/>
        <v>647071084275.35669</v>
      </c>
      <c r="J93" s="47">
        <f t="shared" ca="1" si="16"/>
        <v>912920905998.047</v>
      </c>
      <c r="K93" s="48">
        <f t="shared" ca="1" si="17"/>
        <v>0.70879205419000557</v>
      </c>
    </row>
    <row r="94" spans="2:11" ht="15" customHeight="1" x14ac:dyDescent="0.35">
      <c r="B94" s="5">
        <v>73</v>
      </c>
      <c r="C94" s="46">
        <f t="shared" ca="1" si="9"/>
        <v>2.744192649623594</v>
      </c>
      <c r="D94" s="47">
        <f t="shared" ca="1" si="10"/>
        <v>3703879461.7804732</v>
      </c>
      <c r="E94" s="47">
        <f t="shared" ca="1" si="11"/>
        <v>7447151029762.8154</v>
      </c>
      <c r="F94" s="47">
        <f t="shared" ca="1" si="12"/>
        <v>3808071365009.4775</v>
      </c>
      <c r="G94" s="47">
        <f t="shared" ca="1" si="13"/>
        <v>9162493226764.4785</v>
      </c>
      <c r="H94" s="47">
        <f t="shared" ca="1" si="14"/>
        <v>9162493226764.4785</v>
      </c>
      <c r="I94" s="47">
        <f t="shared" ca="1" si="15"/>
        <v>14132678922523.205</v>
      </c>
      <c r="J94" s="47">
        <f t="shared" ca="1" si="16"/>
        <v>2254118907575.9365</v>
      </c>
      <c r="K94" s="48">
        <f t="shared" ca="1" si="17"/>
        <v>6.2697131349301305</v>
      </c>
    </row>
    <row r="95" spans="2:11" ht="15" customHeight="1" x14ac:dyDescent="0.35">
      <c r="B95" s="5">
        <v>74</v>
      </c>
      <c r="C95" s="46">
        <f t="shared" ca="1" si="9"/>
        <v>2.340321362568119</v>
      </c>
      <c r="D95" s="47">
        <f t="shared" ca="1" si="10"/>
        <v>1636419892.7804625</v>
      </c>
      <c r="E95" s="47">
        <f t="shared" ca="1" si="11"/>
        <v>6693900557043.6387</v>
      </c>
      <c r="F95" s="47">
        <f t="shared" ca="1" si="12"/>
        <v>2093197692980.0361</v>
      </c>
      <c r="G95" s="47">
        <f t="shared" ca="1" si="13"/>
        <v>52255666742966.75</v>
      </c>
      <c r="H95" s="47">
        <f t="shared" ca="1" si="14"/>
        <v>6693900557043.6387</v>
      </c>
      <c r="I95" s="47">
        <f t="shared" ca="1" si="15"/>
        <v>9174128158544.8047</v>
      </c>
      <c r="J95" s="47">
        <f t="shared" ca="1" si="16"/>
        <v>577431331292.19678</v>
      </c>
      <c r="K95" s="48">
        <f t="shared" ca="1" si="17"/>
        <v>15.887825376594318</v>
      </c>
    </row>
    <row r="96" spans="2:11" ht="15" customHeight="1" x14ac:dyDescent="0.35">
      <c r="B96" s="5">
        <v>75</v>
      </c>
      <c r="C96" s="46">
        <f t="shared" ca="1" si="9"/>
        <v>3.2313913566546342</v>
      </c>
      <c r="D96" s="47">
        <f t="shared" ca="1" si="10"/>
        <v>7579819985.0134354</v>
      </c>
      <c r="E96" s="47">
        <f t="shared" ca="1" si="11"/>
        <v>16800371365456.248</v>
      </c>
      <c r="F96" s="47">
        <f t="shared" ca="1" si="12"/>
        <v>6758852624005.5527</v>
      </c>
      <c r="G96" s="47">
        <f t="shared" ca="1" si="13"/>
        <v>2678080354495.1724</v>
      </c>
      <c r="H96" s="47">
        <f t="shared" ca="1" si="14"/>
        <v>6758852624005.5527</v>
      </c>
      <c r="I96" s="47">
        <f t="shared" ca="1" si="15"/>
        <v>70554656569881.438</v>
      </c>
      <c r="J96" s="47">
        <f t="shared" ca="1" si="16"/>
        <v>2274797963994.2666</v>
      </c>
      <c r="K96" s="48">
        <f t="shared" ca="1" si="17"/>
        <v>31.01579027528058</v>
      </c>
    </row>
    <row r="97" spans="2:11" ht="15" customHeight="1" x14ac:dyDescent="0.35">
      <c r="B97" s="5">
        <v>76</v>
      </c>
      <c r="C97" s="46">
        <f t="shared" ca="1" si="9"/>
        <v>3.3161757083440504</v>
      </c>
      <c r="D97" s="47">
        <f t="shared" ca="1" si="10"/>
        <v>9346977887.4928036</v>
      </c>
      <c r="E97" s="47">
        <f t="shared" ca="1" si="11"/>
        <v>45366208058935.898</v>
      </c>
      <c r="F97" s="47">
        <f t="shared" ca="1" si="12"/>
        <v>2242866279844.8813</v>
      </c>
      <c r="G97" s="47">
        <f t="shared" ca="1" si="13"/>
        <v>3047952696260.4331</v>
      </c>
      <c r="H97" s="47">
        <f t="shared" ca="1" si="14"/>
        <v>3047952696260.4331</v>
      </c>
      <c r="I97" s="47">
        <f t="shared" ca="1" si="15"/>
        <v>35238088481751.297</v>
      </c>
      <c r="J97" s="47">
        <f t="shared" ca="1" si="16"/>
        <v>861149223422.97644</v>
      </c>
      <c r="K97" s="48">
        <f t="shared" ca="1" si="17"/>
        <v>40.919840050117735</v>
      </c>
    </row>
    <row r="98" spans="2:11" ht="15" customHeight="1" x14ac:dyDescent="0.35">
      <c r="B98" s="5">
        <v>77</v>
      </c>
      <c r="C98" s="46">
        <f t="shared" ca="1" si="9"/>
        <v>3.4078972216604013</v>
      </c>
      <c r="D98" s="47">
        <f t="shared" ca="1" si="10"/>
        <v>9853509789.6563816</v>
      </c>
      <c r="E98" s="47">
        <f t="shared" ca="1" si="11"/>
        <v>23416933249172.73</v>
      </c>
      <c r="F98" s="47">
        <f t="shared" ca="1" si="12"/>
        <v>4662468671787.6475</v>
      </c>
      <c r="G98" s="47">
        <f t="shared" ca="1" si="13"/>
        <v>1611425709711.8528</v>
      </c>
      <c r="H98" s="47">
        <f t="shared" ca="1" si="14"/>
        <v>23416933249172.73</v>
      </c>
      <c r="I98" s="47">
        <f t="shared" ca="1" si="15"/>
        <v>4054903055567.3364</v>
      </c>
      <c r="J98" s="47">
        <f t="shared" ca="1" si="16"/>
        <v>818544090266.63501</v>
      </c>
      <c r="K98" s="48">
        <f t="shared" ca="1" si="17"/>
        <v>4.9537991951618396</v>
      </c>
    </row>
    <row r="99" spans="2:11" ht="15" customHeight="1" x14ac:dyDescent="0.35">
      <c r="B99" s="5">
        <v>78</v>
      </c>
      <c r="C99" s="46">
        <f t="shared" ca="1" si="9"/>
        <v>3.8674952116545502</v>
      </c>
      <c r="D99" s="47">
        <f t="shared" ca="1" si="10"/>
        <v>16056170368.542431</v>
      </c>
      <c r="E99" s="47">
        <f t="shared" ca="1" si="11"/>
        <v>125228926005876.22</v>
      </c>
      <c r="F99" s="47">
        <f t="shared" ca="1" si="12"/>
        <v>2723767329255.8643</v>
      </c>
      <c r="G99" s="47">
        <f t="shared" ca="1" si="13"/>
        <v>24743132731066.734</v>
      </c>
      <c r="H99" s="47">
        <f t="shared" ca="1" si="14"/>
        <v>2723767329255.8643</v>
      </c>
      <c r="I99" s="47">
        <f t="shared" ca="1" si="15"/>
        <v>117499932362330.11</v>
      </c>
      <c r="J99" s="47">
        <f t="shared" ca="1" si="16"/>
        <v>1509490353896.0247</v>
      </c>
      <c r="K99" s="48">
        <f t="shared" ca="1" si="17"/>
        <v>77.840797100200376</v>
      </c>
    </row>
    <row r="100" spans="2:11" ht="15" customHeight="1" x14ac:dyDescent="0.35">
      <c r="B100" s="5">
        <v>79</v>
      </c>
      <c r="C100" s="46">
        <f t="shared" ca="1" si="9"/>
        <v>2.3737124728937311</v>
      </c>
      <c r="D100" s="47">
        <f t="shared" ca="1" si="10"/>
        <v>1226711387.8358021</v>
      </c>
      <c r="E100" s="47">
        <f t="shared" ca="1" si="11"/>
        <v>1373102051517.0776</v>
      </c>
      <c r="F100" s="47">
        <f t="shared" ca="1" si="12"/>
        <v>1218277606599.489</v>
      </c>
      <c r="G100" s="47">
        <f t="shared" ca="1" si="13"/>
        <v>1286889926098.3699</v>
      </c>
      <c r="H100" s="47">
        <f t="shared" ca="1" si="14"/>
        <v>1286889926098.3699</v>
      </c>
      <c r="I100" s="47">
        <f t="shared" ca="1" si="15"/>
        <v>4327029810604.4277</v>
      </c>
      <c r="J100" s="47">
        <f t="shared" ca="1" si="16"/>
        <v>662211767783.70667</v>
      </c>
      <c r="K100" s="48">
        <f t="shared" ca="1" si="17"/>
        <v>6.5342085736201136</v>
      </c>
    </row>
    <row r="101" spans="2:11" ht="15" customHeight="1" x14ac:dyDescent="0.35">
      <c r="B101" s="5">
        <v>80</v>
      </c>
      <c r="C101" s="46">
        <f t="shared" ca="1" si="9"/>
        <v>3.242447178073276</v>
      </c>
      <c r="D101" s="47">
        <f t="shared" ca="1" si="10"/>
        <v>6114577815.7659311</v>
      </c>
      <c r="E101" s="47">
        <f t="shared" ca="1" si="11"/>
        <v>21549964459242.32</v>
      </c>
      <c r="F101" s="47">
        <f t="shared" ca="1" si="12"/>
        <v>2835985051826.7759</v>
      </c>
      <c r="G101" s="47">
        <f t="shared" ca="1" si="13"/>
        <v>494299710543.00037</v>
      </c>
      <c r="H101" s="47">
        <f t="shared" ca="1" si="14"/>
        <v>2835985051826.7759</v>
      </c>
      <c r="I101" s="47">
        <f t="shared" ca="1" si="15"/>
        <v>38092923973744.688</v>
      </c>
      <c r="J101" s="47">
        <f t="shared" ca="1" si="16"/>
        <v>624763408376.99377</v>
      </c>
      <c r="K101" s="48">
        <f t="shared" ca="1" si="17"/>
        <v>60.971759009866204</v>
      </c>
    </row>
    <row r="102" spans="2:11" ht="15" customHeight="1" x14ac:dyDescent="0.35">
      <c r="B102" s="5">
        <v>81</v>
      </c>
      <c r="C102" s="46">
        <f t="shared" ca="1" si="9"/>
        <v>3.1197756800261609</v>
      </c>
      <c r="D102" s="47">
        <f t="shared" ca="1" si="10"/>
        <v>6611476669.4295263</v>
      </c>
      <c r="E102" s="47">
        <f t="shared" ca="1" si="11"/>
        <v>27978260289730.438</v>
      </c>
      <c r="F102" s="47">
        <f t="shared" ca="1" si="12"/>
        <v>5393010947803.8984</v>
      </c>
      <c r="G102" s="47">
        <f t="shared" ca="1" si="13"/>
        <v>6585209393398.1826</v>
      </c>
      <c r="H102" s="47">
        <f t="shared" ca="1" si="14"/>
        <v>6585209393398.1826</v>
      </c>
      <c r="I102" s="47">
        <f t="shared" ca="1" si="15"/>
        <v>11064741783261.857</v>
      </c>
      <c r="J102" s="47">
        <f t="shared" ca="1" si="16"/>
        <v>1194214483380.9609</v>
      </c>
      <c r="K102" s="48">
        <f t="shared" ca="1" si="17"/>
        <v>9.265288553473475</v>
      </c>
    </row>
    <row r="103" spans="2:11" ht="15" customHeight="1" x14ac:dyDescent="0.35">
      <c r="B103" s="5">
        <v>82</v>
      </c>
      <c r="C103" s="46">
        <f t="shared" ca="1" si="9"/>
        <v>2.8564576173634184</v>
      </c>
      <c r="D103" s="47">
        <f t="shared" ca="1" si="10"/>
        <v>3098859995.3409648</v>
      </c>
      <c r="E103" s="47">
        <f t="shared" ca="1" si="11"/>
        <v>13446410749304.777</v>
      </c>
      <c r="F103" s="47">
        <f t="shared" ca="1" si="12"/>
        <v>834314353604.68542</v>
      </c>
      <c r="G103" s="47">
        <f t="shared" ca="1" si="13"/>
        <v>31379737864682.797</v>
      </c>
      <c r="H103" s="47">
        <f t="shared" ca="1" si="14"/>
        <v>31379737864682.797</v>
      </c>
      <c r="I103" s="47">
        <f t="shared" ca="1" si="15"/>
        <v>4781178240195.4893</v>
      </c>
      <c r="J103" s="47">
        <f t="shared" ca="1" si="16"/>
        <v>1384896977709.7341</v>
      </c>
      <c r="K103" s="48">
        <f t="shared" ca="1" si="17"/>
        <v>3.452371055139666</v>
      </c>
    </row>
    <row r="104" spans="2:11" ht="15" customHeight="1" x14ac:dyDescent="0.35">
      <c r="B104" s="5">
        <v>83</v>
      </c>
      <c r="C104" s="46">
        <f t="shared" ca="1" si="9"/>
        <v>2.3799500265287441</v>
      </c>
      <c r="D104" s="47">
        <f t="shared" ca="1" si="10"/>
        <v>1752375519.1864769</v>
      </c>
      <c r="E104" s="47">
        <f t="shared" ca="1" si="11"/>
        <v>4498272243223.0508</v>
      </c>
      <c r="F104" s="47">
        <f t="shared" ca="1" si="12"/>
        <v>7305016365344.0439</v>
      </c>
      <c r="G104" s="47">
        <f t="shared" ca="1" si="13"/>
        <v>13073439787538.865</v>
      </c>
      <c r="H104" s="47">
        <f t="shared" ca="1" si="14"/>
        <v>7305016365344.0439</v>
      </c>
      <c r="I104" s="47">
        <f t="shared" ca="1" si="15"/>
        <v>8964738788230.1797</v>
      </c>
      <c r="J104" s="47">
        <f t="shared" ca="1" si="16"/>
        <v>1416443860793.4058</v>
      </c>
      <c r="K104" s="48">
        <f t="shared" ca="1" si="17"/>
        <v>6.329046308414001</v>
      </c>
    </row>
    <row r="105" spans="2:11" ht="15" customHeight="1" x14ac:dyDescent="0.35">
      <c r="B105" s="5">
        <v>84</v>
      </c>
      <c r="C105" s="46">
        <f t="shared" ca="1" si="9"/>
        <v>3.65819851790447</v>
      </c>
      <c r="D105" s="47">
        <f t="shared" ca="1" si="10"/>
        <v>14294420383.081053</v>
      </c>
      <c r="E105" s="47">
        <f t="shared" ca="1" si="11"/>
        <v>21101373809576.48</v>
      </c>
      <c r="F105" s="47">
        <f t="shared" ca="1" si="12"/>
        <v>4622978455999.8857</v>
      </c>
      <c r="G105" s="47">
        <f t="shared" ca="1" si="13"/>
        <v>13594318524169.146</v>
      </c>
      <c r="H105" s="47">
        <f t="shared" ca="1" si="14"/>
        <v>13594318524169.146</v>
      </c>
      <c r="I105" s="47">
        <f t="shared" ca="1" si="15"/>
        <v>11394948544584.855</v>
      </c>
      <c r="J105" s="47">
        <f t="shared" ca="1" si="16"/>
        <v>1768830055054.8516</v>
      </c>
      <c r="K105" s="48">
        <f t="shared" ca="1" si="17"/>
        <v>6.4420821616079431</v>
      </c>
    </row>
    <row r="106" spans="2:11" ht="15" customHeight="1" x14ac:dyDescent="0.35">
      <c r="B106" s="5">
        <v>85</v>
      </c>
      <c r="C106" s="46">
        <f t="shared" ca="1" si="9"/>
        <v>2.6023721800119071</v>
      </c>
      <c r="D106" s="47">
        <f t="shared" ca="1" si="10"/>
        <v>2753374610.274106</v>
      </c>
      <c r="E106" s="47">
        <f t="shared" ca="1" si="11"/>
        <v>6817109344841.4814</v>
      </c>
      <c r="F106" s="47">
        <f t="shared" ca="1" si="12"/>
        <v>368113087721.0094</v>
      </c>
      <c r="G106" s="47">
        <f t="shared" ca="1" si="13"/>
        <v>6763739137169.0498</v>
      </c>
      <c r="H106" s="47">
        <f t="shared" ca="1" si="14"/>
        <v>6763739137169.0498</v>
      </c>
      <c r="I106" s="47">
        <f t="shared" ca="1" si="15"/>
        <v>374665794127.27997</v>
      </c>
      <c r="J106" s="47">
        <f t="shared" ca="1" si="16"/>
        <v>877324698731.46655</v>
      </c>
      <c r="K106" s="48">
        <f t="shared" ca="1" si="17"/>
        <v>0.42705488021597177</v>
      </c>
    </row>
    <row r="107" spans="2:11" ht="15" customHeight="1" x14ac:dyDescent="0.35">
      <c r="B107" s="5">
        <v>86</v>
      </c>
      <c r="C107" s="46">
        <f t="shared" ca="1" si="9"/>
        <v>3.3013258350298464</v>
      </c>
      <c r="D107" s="47">
        <f t="shared" ca="1" si="10"/>
        <v>8881460713.660368</v>
      </c>
      <c r="E107" s="47">
        <f t="shared" ca="1" si="11"/>
        <v>34749684193011.574</v>
      </c>
      <c r="F107" s="47">
        <f t="shared" ca="1" si="12"/>
        <v>1633850290342.2493</v>
      </c>
      <c r="G107" s="47">
        <f t="shared" ca="1" si="13"/>
        <v>3408176809591.7925</v>
      </c>
      <c r="H107" s="47">
        <f t="shared" ca="1" si="14"/>
        <v>3408176809591.7925</v>
      </c>
      <c r="I107" s="47">
        <f t="shared" ca="1" si="15"/>
        <v>2014009863606.3813</v>
      </c>
      <c r="J107" s="47">
        <f t="shared" ca="1" si="16"/>
        <v>1647817321764.231</v>
      </c>
      <c r="K107" s="48">
        <f t="shared" ca="1" si="17"/>
        <v>1.2222288460046575</v>
      </c>
    </row>
    <row r="108" spans="2:11" ht="15" customHeight="1" x14ac:dyDescent="0.35">
      <c r="B108" s="5">
        <v>87</v>
      </c>
      <c r="C108" s="46">
        <f t="shared" ca="1" si="9"/>
        <v>3.4830292254864128</v>
      </c>
      <c r="D108" s="47">
        <f t="shared" ca="1" si="10"/>
        <v>8963852314.3590279</v>
      </c>
      <c r="E108" s="47">
        <f t="shared" ca="1" si="11"/>
        <v>12337560221694.615</v>
      </c>
      <c r="F108" s="47">
        <f t="shared" ca="1" si="12"/>
        <v>6419703720071.3633</v>
      </c>
      <c r="G108" s="47">
        <f t="shared" ca="1" si="13"/>
        <v>1405991427147.9199</v>
      </c>
      <c r="H108" s="47">
        <f t="shared" ca="1" si="14"/>
        <v>1405991427147.9199</v>
      </c>
      <c r="I108" s="47">
        <f t="shared" ca="1" si="15"/>
        <v>14596544391831.467</v>
      </c>
      <c r="J108" s="47">
        <f t="shared" ca="1" si="16"/>
        <v>938009215941.77905</v>
      </c>
      <c r="K108" s="48">
        <f t="shared" ca="1" si="17"/>
        <v>15.561195075440979</v>
      </c>
    </row>
    <row r="109" spans="2:11" ht="15" customHeight="1" x14ac:dyDescent="0.35">
      <c r="B109" s="5">
        <v>88</v>
      </c>
      <c r="C109" s="46">
        <f t="shared" ca="1" si="9"/>
        <v>3.1029532536194733</v>
      </c>
      <c r="D109" s="47">
        <f t="shared" ca="1" si="10"/>
        <v>6577343493.650465</v>
      </c>
      <c r="E109" s="47">
        <f t="shared" ca="1" si="11"/>
        <v>39033037371989.563</v>
      </c>
      <c r="F109" s="47">
        <f t="shared" ca="1" si="12"/>
        <v>2992354086994.6162</v>
      </c>
      <c r="G109" s="47">
        <f t="shared" ca="1" si="13"/>
        <v>6454285068796.8193</v>
      </c>
      <c r="H109" s="47">
        <f t="shared" ca="1" si="14"/>
        <v>2992354086994.6162</v>
      </c>
      <c r="I109" s="47">
        <f t="shared" ca="1" si="15"/>
        <v>26011176626933.469</v>
      </c>
      <c r="J109" s="47">
        <f t="shared" ca="1" si="16"/>
        <v>1210640650014.9719</v>
      </c>
      <c r="K109" s="48">
        <f t="shared" ca="1" si="17"/>
        <v>21.485464432911442</v>
      </c>
    </row>
    <row r="110" spans="2:11" ht="15" customHeight="1" x14ac:dyDescent="0.35">
      <c r="B110" s="5">
        <v>89</v>
      </c>
      <c r="C110" s="46">
        <f t="shared" ca="1" si="9"/>
        <v>3.378783648336058</v>
      </c>
      <c r="D110" s="47">
        <f t="shared" ca="1" si="10"/>
        <v>9057797368.0943508</v>
      </c>
      <c r="E110" s="47">
        <f t="shared" ca="1" si="11"/>
        <v>14697165554746.27</v>
      </c>
      <c r="F110" s="47">
        <f t="shared" ca="1" si="12"/>
        <v>34769392713789.852</v>
      </c>
      <c r="G110" s="47">
        <f t="shared" ca="1" si="13"/>
        <v>9078083105484.3418</v>
      </c>
      <c r="H110" s="47">
        <f t="shared" ca="1" si="14"/>
        <v>34769392713789.852</v>
      </c>
      <c r="I110" s="47">
        <f t="shared" ca="1" si="15"/>
        <v>55194679313155.484</v>
      </c>
      <c r="J110" s="47">
        <f t="shared" ca="1" si="16"/>
        <v>1994628298977.897</v>
      </c>
      <c r="K110" s="48">
        <f t="shared" ca="1" si="17"/>
        <v>27.671661603035901</v>
      </c>
    </row>
    <row r="111" spans="2:11" ht="15" customHeight="1" x14ac:dyDescent="0.35">
      <c r="B111" s="5">
        <v>90</v>
      </c>
      <c r="C111" s="46">
        <f t="shared" ca="1" si="9"/>
        <v>3.2718096426665055</v>
      </c>
      <c r="D111" s="47">
        <f t="shared" ca="1" si="10"/>
        <v>7771131008.9866686</v>
      </c>
      <c r="E111" s="47">
        <f t="shared" ca="1" si="11"/>
        <v>119606252556383.13</v>
      </c>
      <c r="F111" s="47">
        <f t="shared" ca="1" si="12"/>
        <v>4842233563593.2881</v>
      </c>
      <c r="G111" s="47">
        <f t="shared" ca="1" si="13"/>
        <v>17257686412948.156</v>
      </c>
      <c r="H111" s="47">
        <f t="shared" ca="1" si="14"/>
        <v>17257686412948.156</v>
      </c>
      <c r="I111" s="47">
        <f t="shared" ca="1" si="15"/>
        <v>15549664634191.172</v>
      </c>
      <c r="J111" s="47">
        <f t="shared" ca="1" si="16"/>
        <v>1902987514516.8137</v>
      </c>
      <c r="K111" s="48">
        <f t="shared" ca="1" si="17"/>
        <v>8.1711858409850766</v>
      </c>
    </row>
    <row r="112" spans="2:11" ht="15" customHeight="1" x14ac:dyDescent="0.35">
      <c r="B112" s="5">
        <v>91</v>
      </c>
      <c r="C112" s="46">
        <f t="shared" ca="1" si="9"/>
        <v>3.2614465053799617</v>
      </c>
      <c r="D112" s="47">
        <f t="shared" ca="1" si="10"/>
        <v>7131763657.0909433</v>
      </c>
      <c r="E112" s="47">
        <f t="shared" ca="1" si="11"/>
        <v>26286543468930.906</v>
      </c>
      <c r="F112" s="47">
        <f t="shared" ca="1" si="12"/>
        <v>2720578212562.8613</v>
      </c>
      <c r="G112" s="47">
        <f t="shared" ca="1" si="13"/>
        <v>240615215700.4408</v>
      </c>
      <c r="H112" s="47">
        <f t="shared" ca="1" si="14"/>
        <v>2720578212562.8613</v>
      </c>
      <c r="I112" s="47">
        <f t="shared" ca="1" si="15"/>
        <v>5489554144064.4063</v>
      </c>
      <c r="J112" s="47">
        <f t="shared" ca="1" si="16"/>
        <v>1397830403903.4189</v>
      </c>
      <c r="K112" s="48">
        <f t="shared" ca="1" si="17"/>
        <v>3.9271961238895039</v>
      </c>
    </row>
    <row r="113" spans="2:11" ht="15" customHeight="1" x14ac:dyDescent="0.35">
      <c r="B113" s="5">
        <v>92</v>
      </c>
      <c r="C113" s="46">
        <f t="shared" ca="1" si="9"/>
        <v>3.5833671251846519</v>
      </c>
      <c r="D113" s="47">
        <f t="shared" ca="1" si="10"/>
        <v>10112206766.781443</v>
      </c>
      <c r="E113" s="47">
        <f t="shared" ca="1" si="11"/>
        <v>8011264793539.8945</v>
      </c>
      <c r="F113" s="47">
        <f t="shared" ca="1" si="12"/>
        <v>407470740348.17163</v>
      </c>
      <c r="G113" s="47">
        <f t="shared" ca="1" si="13"/>
        <v>1170181506615.5771</v>
      </c>
      <c r="H113" s="47">
        <f t="shared" ca="1" si="14"/>
        <v>407470740348.17163</v>
      </c>
      <c r="I113" s="47">
        <f t="shared" ca="1" si="15"/>
        <v>8032913795683.5908</v>
      </c>
      <c r="J113" s="47">
        <f t="shared" ca="1" si="16"/>
        <v>2582205143742.7524</v>
      </c>
      <c r="K113" s="48">
        <f t="shared" ca="1" si="17"/>
        <v>3.1108735938928387</v>
      </c>
    </row>
    <row r="114" spans="2:11" ht="15" customHeight="1" x14ac:dyDescent="0.35">
      <c r="B114" s="5">
        <v>93</v>
      </c>
      <c r="C114" s="46">
        <f t="shared" ca="1" si="9"/>
        <v>3.4022615267699874</v>
      </c>
      <c r="D114" s="47">
        <f t="shared" ca="1" si="10"/>
        <v>9171611080.6571655</v>
      </c>
      <c r="E114" s="47">
        <f t="shared" ca="1" si="11"/>
        <v>42712611922548.906</v>
      </c>
      <c r="F114" s="47">
        <f t="shared" ca="1" si="12"/>
        <v>17085272656913.502</v>
      </c>
      <c r="G114" s="47">
        <f t="shared" ca="1" si="13"/>
        <v>61159205587386.039</v>
      </c>
      <c r="H114" s="47">
        <f t="shared" ca="1" si="14"/>
        <v>42712611922548.906</v>
      </c>
      <c r="I114" s="47">
        <f t="shared" ca="1" si="15"/>
        <v>2210519107979.1255</v>
      </c>
      <c r="J114" s="47">
        <f t="shared" ca="1" si="16"/>
        <v>1323721304400.5352</v>
      </c>
      <c r="K114" s="48">
        <f t="shared" ca="1" si="17"/>
        <v>1.6699278772884814</v>
      </c>
    </row>
    <row r="115" spans="2:11" ht="15" customHeight="1" x14ac:dyDescent="0.35">
      <c r="B115" s="5">
        <v>94</v>
      </c>
      <c r="C115" s="46">
        <f t="shared" ca="1" si="9"/>
        <v>1.9893703019086415</v>
      </c>
      <c r="D115" s="47">
        <f t="shared" ca="1" si="10"/>
        <v>602669678.83781564</v>
      </c>
      <c r="E115" s="47">
        <f t="shared" ca="1" si="11"/>
        <v>2851157162003.5718</v>
      </c>
      <c r="F115" s="47">
        <f t="shared" ca="1" si="12"/>
        <v>313635852628.93591</v>
      </c>
      <c r="G115" s="47">
        <f t="shared" ca="1" si="13"/>
        <v>14800953681365.822</v>
      </c>
      <c r="H115" s="47">
        <f t="shared" ca="1" si="14"/>
        <v>14800953681365.822</v>
      </c>
      <c r="I115" s="47">
        <f t="shared" ca="1" si="15"/>
        <v>18709975560099.57</v>
      </c>
      <c r="J115" s="47">
        <f t="shared" ca="1" si="16"/>
        <v>1628551139076.6855</v>
      </c>
      <c r="K115" s="48">
        <f t="shared" ca="1" si="17"/>
        <v>11.488724616107097</v>
      </c>
    </row>
    <row r="116" spans="2:11" ht="15" customHeight="1" x14ac:dyDescent="0.35">
      <c r="B116" s="5">
        <v>95</v>
      </c>
      <c r="C116" s="46">
        <f t="shared" ca="1" si="9"/>
        <v>2.4501029009672672</v>
      </c>
      <c r="D116" s="47">
        <f t="shared" ca="1" si="10"/>
        <v>1812389590.1759427</v>
      </c>
      <c r="E116" s="47">
        <f t="shared" ca="1" si="11"/>
        <v>23426664132523.242</v>
      </c>
      <c r="F116" s="47">
        <f t="shared" ca="1" si="12"/>
        <v>1816208947676.374</v>
      </c>
      <c r="G116" s="47">
        <f t="shared" ca="1" si="13"/>
        <v>12406372423569.029</v>
      </c>
      <c r="H116" s="47">
        <f t="shared" ca="1" si="14"/>
        <v>23426664132523.242</v>
      </c>
      <c r="I116" s="47">
        <f t="shared" ca="1" si="15"/>
        <v>5501364375203.9443</v>
      </c>
      <c r="J116" s="47">
        <f t="shared" ca="1" si="16"/>
        <v>1252324584303.8438</v>
      </c>
      <c r="K116" s="48">
        <f t="shared" ca="1" si="17"/>
        <v>4.3929221259056446</v>
      </c>
    </row>
    <row r="117" spans="2:11" ht="15" customHeight="1" x14ac:dyDescent="0.35">
      <c r="B117" s="5">
        <v>96</v>
      </c>
      <c r="C117" s="46">
        <f t="shared" ca="1" si="9"/>
        <v>2.7520441935709457</v>
      </c>
      <c r="D117" s="47">
        <f t="shared" ca="1" si="10"/>
        <v>3760352589.9955211</v>
      </c>
      <c r="E117" s="47">
        <f t="shared" ca="1" si="11"/>
        <v>34732153747822.203</v>
      </c>
      <c r="F117" s="47">
        <f t="shared" ca="1" si="12"/>
        <v>8075419288341.5225</v>
      </c>
      <c r="G117" s="47">
        <f t="shared" ca="1" si="13"/>
        <v>20152996401090.867</v>
      </c>
      <c r="H117" s="47">
        <f t="shared" ca="1" si="14"/>
        <v>34732153747822.203</v>
      </c>
      <c r="I117" s="47">
        <f t="shared" ca="1" si="15"/>
        <v>62031015819827.906</v>
      </c>
      <c r="J117" s="47">
        <f t="shared" ca="1" si="16"/>
        <v>1248442735832.3003</v>
      </c>
      <c r="K117" s="48">
        <f t="shared" ca="1" si="17"/>
        <v>49.686712925982654</v>
      </c>
    </row>
    <row r="118" spans="2:11" ht="15" customHeight="1" x14ac:dyDescent="0.35">
      <c r="B118" s="5">
        <v>97</v>
      </c>
      <c r="C118" s="46">
        <f t="shared" ca="1" si="9"/>
        <v>3.4113215650232065</v>
      </c>
      <c r="D118" s="47">
        <f t="shared" ca="1" si="10"/>
        <v>10633809734.427734</v>
      </c>
      <c r="E118" s="47">
        <f t="shared" ca="1" si="11"/>
        <v>138470711449002.67</v>
      </c>
      <c r="F118" s="47">
        <f t="shared" ca="1" si="12"/>
        <v>1148570192929.1755</v>
      </c>
      <c r="G118" s="47">
        <f t="shared" ca="1" si="13"/>
        <v>18303510775856.137</v>
      </c>
      <c r="H118" s="47">
        <f t="shared" ca="1" si="14"/>
        <v>138470711449002.67</v>
      </c>
      <c r="I118" s="47">
        <f t="shared" ca="1" si="15"/>
        <v>7973871246375.1104</v>
      </c>
      <c r="J118" s="47">
        <f t="shared" ca="1" si="16"/>
        <v>624386641991.12683</v>
      </c>
      <c r="K118" s="48">
        <f t="shared" ca="1" si="17"/>
        <v>12.770726838336858</v>
      </c>
    </row>
    <row r="119" spans="2:11" ht="15" customHeight="1" x14ac:dyDescent="0.35">
      <c r="B119" s="5">
        <v>98</v>
      </c>
      <c r="C119" s="46">
        <f t="shared" ca="1" si="9"/>
        <v>3.3625840566290996</v>
      </c>
      <c r="D119" s="47">
        <f t="shared" ca="1" si="10"/>
        <v>8538261265.4553719</v>
      </c>
      <c r="E119" s="47">
        <f t="shared" ca="1" si="11"/>
        <v>18123960691232.758</v>
      </c>
      <c r="F119" s="47">
        <f t="shared" ca="1" si="12"/>
        <v>1951821365220.9189</v>
      </c>
      <c r="G119" s="47">
        <f t="shared" ca="1" si="13"/>
        <v>28257764492529.609</v>
      </c>
      <c r="H119" s="47">
        <f t="shared" ca="1" si="14"/>
        <v>28257764492529.609</v>
      </c>
      <c r="I119" s="47">
        <f t="shared" ca="1" si="15"/>
        <v>5425315497754.0117</v>
      </c>
      <c r="J119" s="47">
        <f t="shared" ca="1" si="16"/>
        <v>714844168740.65234</v>
      </c>
      <c r="K119" s="48">
        <f t="shared" ca="1" si="17"/>
        <v>7.5895079445242457</v>
      </c>
    </row>
    <row r="120" spans="2:11" ht="15" customHeight="1" x14ac:dyDescent="0.35">
      <c r="B120" s="5">
        <v>99</v>
      </c>
      <c r="C120" s="46">
        <f t="shared" ca="1" si="9"/>
        <v>2.580249954894748</v>
      </c>
      <c r="D120" s="47">
        <f t="shared" ca="1" si="10"/>
        <v>2133146810.024904</v>
      </c>
      <c r="E120" s="47">
        <f t="shared" ca="1" si="11"/>
        <v>14715190567450.035</v>
      </c>
      <c r="F120" s="47">
        <f t="shared" ca="1" si="12"/>
        <v>5217366144726.9941</v>
      </c>
      <c r="G120" s="47">
        <f t="shared" ca="1" si="13"/>
        <v>17122019595142.572</v>
      </c>
      <c r="H120" s="47">
        <f t="shared" ca="1" si="14"/>
        <v>17122019595142.572</v>
      </c>
      <c r="I120" s="47">
        <f t="shared" ca="1" si="15"/>
        <v>71381118757703.797</v>
      </c>
      <c r="J120" s="47">
        <f t="shared" ca="1" si="16"/>
        <v>1397568642547.0459</v>
      </c>
      <c r="K120" s="48">
        <f t="shared" ca="1" si="17"/>
        <v>51.075214901511302</v>
      </c>
    </row>
    <row r="121" spans="2:11" ht="15" customHeight="1" x14ac:dyDescent="0.35">
      <c r="B121" s="5">
        <v>100</v>
      </c>
      <c r="C121" s="46">
        <f t="shared" ca="1" si="9"/>
        <v>2.9174197422448378</v>
      </c>
      <c r="D121" s="47">
        <f t="shared" ca="1" si="10"/>
        <v>4558336327.7767782</v>
      </c>
      <c r="E121" s="47">
        <f t="shared" ca="1" si="11"/>
        <v>11187497352825.498</v>
      </c>
      <c r="F121" s="47">
        <f t="shared" ca="1" si="12"/>
        <v>300755341538.69135</v>
      </c>
      <c r="G121" s="47">
        <f t="shared" ca="1" si="13"/>
        <v>17985141342906.582</v>
      </c>
      <c r="H121" s="47">
        <f t="shared" ca="1" si="14"/>
        <v>11187497352825.498</v>
      </c>
      <c r="I121" s="47">
        <f t="shared" ca="1" si="15"/>
        <v>11632581298702.775</v>
      </c>
      <c r="J121" s="47">
        <f t="shared" ca="1" si="16"/>
        <v>1329460027525.2158</v>
      </c>
      <c r="K121" s="48">
        <f t="shared" ca="1" si="17"/>
        <v>8.7498541196133406</v>
      </c>
    </row>
    <row r="122" spans="2:11" ht="15" customHeight="1" x14ac:dyDescent="0.35">
      <c r="B122" s="5">
        <v>101</v>
      </c>
      <c r="C122" s="46">
        <f t="shared" ca="1" si="9"/>
        <v>2.8637555418145251</v>
      </c>
      <c r="D122" s="47">
        <f t="shared" ca="1" si="10"/>
        <v>3939936505.3649855</v>
      </c>
      <c r="E122" s="47">
        <f t="shared" ca="1" si="11"/>
        <v>17808782744484.566</v>
      </c>
      <c r="F122" s="47">
        <f t="shared" ca="1" si="12"/>
        <v>558145909897.59949</v>
      </c>
      <c r="G122" s="47">
        <f t="shared" ca="1" si="13"/>
        <v>15171820131132.656</v>
      </c>
      <c r="H122" s="47">
        <f t="shared" ca="1" si="14"/>
        <v>558145909897.59949</v>
      </c>
      <c r="I122" s="47">
        <f t="shared" ca="1" si="15"/>
        <v>6245451789912.8877</v>
      </c>
      <c r="J122" s="47">
        <f t="shared" ca="1" si="16"/>
        <v>1782862068451.0149</v>
      </c>
      <c r="K122" s="48">
        <f t="shared" ca="1" si="17"/>
        <v>3.503048216926314</v>
      </c>
    </row>
    <row r="123" spans="2:11" ht="15" customHeight="1" x14ac:dyDescent="0.35">
      <c r="B123" s="5">
        <v>102</v>
      </c>
      <c r="C123" s="46">
        <f t="shared" ca="1" si="9"/>
        <v>2.6881186638281371</v>
      </c>
      <c r="D123" s="47">
        <f t="shared" ca="1" si="10"/>
        <v>3029109187.0871406</v>
      </c>
      <c r="E123" s="47">
        <f t="shared" ca="1" si="11"/>
        <v>15615459303354.809</v>
      </c>
      <c r="F123" s="47">
        <f t="shared" ca="1" si="12"/>
        <v>231840553221.30612</v>
      </c>
      <c r="G123" s="47">
        <f t="shared" ca="1" si="13"/>
        <v>38601973208453.492</v>
      </c>
      <c r="H123" s="47">
        <f t="shared" ca="1" si="14"/>
        <v>38601973208453.492</v>
      </c>
      <c r="I123" s="47">
        <f t="shared" ca="1" si="15"/>
        <v>19822007319496.418</v>
      </c>
      <c r="J123" s="47">
        <f t="shared" ca="1" si="16"/>
        <v>1993885504994.9402</v>
      </c>
      <c r="K123" s="48">
        <f t="shared" ca="1" si="17"/>
        <v>9.9413969708088725</v>
      </c>
    </row>
    <row r="124" spans="2:11" ht="15" customHeight="1" x14ac:dyDescent="0.35">
      <c r="B124" s="5">
        <v>103</v>
      </c>
      <c r="C124" s="46">
        <f t="shared" ca="1" si="9"/>
        <v>2.9143631432206227</v>
      </c>
      <c r="D124" s="47">
        <f t="shared" ca="1" si="10"/>
        <v>4289636724.8742652</v>
      </c>
      <c r="E124" s="47">
        <f t="shared" ca="1" si="11"/>
        <v>18365393322777.492</v>
      </c>
      <c r="F124" s="47">
        <f t="shared" ca="1" si="12"/>
        <v>3550296425426.4033</v>
      </c>
      <c r="G124" s="47">
        <f t="shared" ca="1" si="13"/>
        <v>25648172677389.715</v>
      </c>
      <c r="H124" s="47">
        <f t="shared" ca="1" si="14"/>
        <v>18365393322777.492</v>
      </c>
      <c r="I124" s="47">
        <f t="shared" ca="1" si="15"/>
        <v>2283307045776.6006</v>
      </c>
      <c r="J124" s="47">
        <f t="shared" ca="1" si="16"/>
        <v>1286371675183.7429</v>
      </c>
      <c r="K124" s="48">
        <f t="shared" ca="1" si="17"/>
        <v>1.7749979184285578</v>
      </c>
    </row>
    <row r="125" spans="2:11" ht="15" customHeight="1" x14ac:dyDescent="0.35">
      <c r="B125" s="5">
        <v>104</v>
      </c>
      <c r="C125" s="46">
        <f t="shared" ca="1" si="9"/>
        <v>2.462749912508075</v>
      </c>
      <c r="D125" s="47">
        <f t="shared" ca="1" si="10"/>
        <v>1739368734.3447495</v>
      </c>
      <c r="E125" s="47">
        <f t="shared" ca="1" si="11"/>
        <v>2836877140317.4204</v>
      </c>
      <c r="F125" s="47">
        <f t="shared" ca="1" si="12"/>
        <v>4312892912336.457</v>
      </c>
      <c r="G125" s="47">
        <f t="shared" ca="1" si="13"/>
        <v>7470149055866.0713</v>
      </c>
      <c r="H125" s="47">
        <f t="shared" ca="1" si="14"/>
        <v>2836877140317.4204</v>
      </c>
      <c r="I125" s="47">
        <f t="shared" ca="1" si="15"/>
        <v>2889023052050.1304</v>
      </c>
      <c r="J125" s="47">
        <f t="shared" ca="1" si="16"/>
        <v>917261188618.84387</v>
      </c>
      <c r="K125" s="48">
        <f t="shared" ca="1" si="17"/>
        <v>3.1496187649673106</v>
      </c>
    </row>
    <row r="126" spans="2:11" ht="15" customHeight="1" x14ac:dyDescent="0.35">
      <c r="B126" s="5">
        <v>105</v>
      </c>
      <c r="C126" s="46">
        <f t="shared" ca="1" si="9"/>
        <v>3.5150979647333069</v>
      </c>
      <c r="D126" s="47">
        <f t="shared" ca="1" si="10"/>
        <v>12147579928.068445</v>
      </c>
      <c r="E126" s="47">
        <f t="shared" ca="1" si="11"/>
        <v>37914516767614.234</v>
      </c>
      <c r="F126" s="47">
        <f t="shared" ca="1" si="12"/>
        <v>2713983268136.4785</v>
      </c>
      <c r="G126" s="47">
        <f t="shared" ca="1" si="13"/>
        <v>594696341922.84961</v>
      </c>
      <c r="H126" s="47">
        <f t="shared" ca="1" si="14"/>
        <v>2713983268136.4785</v>
      </c>
      <c r="I126" s="47">
        <f t="shared" ca="1" si="15"/>
        <v>10604762912050.83</v>
      </c>
      <c r="J126" s="47">
        <f t="shared" ca="1" si="16"/>
        <v>882781647776.38025</v>
      </c>
      <c r="K126" s="48">
        <f t="shared" ca="1" si="17"/>
        <v>12.012894625486313</v>
      </c>
    </row>
    <row r="127" spans="2:11" ht="15" customHeight="1" x14ac:dyDescent="0.35">
      <c r="B127" s="5">
        <v>106</v>
      </c>
      <c r="C127" s="46">
        <f t="shared" ca="1" si="9"/>
        <v>3.6297600953851621</v>
      </c>
      <c r="D127" s="47">
        <f t="shared" ca="1" si="10"/>
        <v>12660408936.980366</v>
      </c>
      <c r="E127" s="47">
        <f t="shared" ca="1" si="11"/>
        <v>54882632770153.039</v>
      </c>
      <c r="F127" s="47">
        <f t="shared" ca="1" si="12"/>
        <v>13159948328860.621</v>
      </c>
      <c r="G127" s="47">
        <f t="shared" ca="1" si="13"/>
        <v>14175948604297.672</v>
      </c>
      <c r="H127" s="47">
        <f t="shared" ca="1" si="14"/>
        <v>14175948604297.672</v>
      </c>
      <c r="I127" s="47">
        <f t="shared" ca="1" si="15"/>
        <v>10899928106847.01</v>
      </c>
      <c r="J127" s="47">
        <f t="shared" ca="1" si="16"/>
        <v>1279350899034.6379</v>
      </c>
      <c r="K127" s="48">
        <f t="shared" ca="1" si="17"/>
        <v>8.5198893556660558</v>
      </c>
    </row>
    <row r="128" spans="2:11" ht="15" customHeight="1" x14ac:dyDescent="0.35">
      <c r="B128" s="5">
        <v>107</v>
      </c>
      <c r="C128" s="46">
        <f t="shared" ca="1" si="9"/>
        <v>2.3375487596965403</v>
      </c>
      <c r="D128" s="47">
        <f t="shared" ca="1" si="10"/>
        <v>1580072094.2037401</v>
      </c>
      <c r="E128" s="47">
        <f t="shared" ca="1" si="11"/>
        <v>2000727620661.5671</v>
      </c>
      <c r="F128" s="47">
        <f t="shared" ca="1" si="12"/>
        <v>2344527658870.3496</v>
      </c>
      <c r="G128" s="47">
        <f t="shared" ca="1" si="13"/>
        <v>101603860126336.53</v>
      </c>
      <c r="H128" s="47">
        <f t="shared" ca="1" si="14"/>
        <v>2000727620661.5671</v>
      </c>
      <c r="I128" s="47">
        <f t="shared" ca="1" si="15"/>
        <v>3263020375009.2813</v>
      </c>
      <c r="J128" s="47">
        <f t="shared" ca="1" si="16"/>
        <v>811663406643.32349</v>
      </c>
      <c r="K128" s="48">
        <f t="shared" ca="1" si="17"/>
        <v>4.0201644527793521</v>
      </c>
    </row>
    <row r="129" spans="2:11" ht="15" customHeight="1" x14ac:dyDescent="0.35">
      <c r="B129" s="5">
        <v>108</v>
      </c>
      <c r="C129" s="46">
        <f t="shared" ca="1" si="9"/>
        <v>3.7322034166977094</v>
      </c>
      <c r="D129" s="47">
        <f t="shared" ca="1" si="10"/>
        <v>14991746302.558126</v>
      </c>
      <c r="E129" s="47">
        <f t="shared" ca="1" si="11"/>
        <v>12978365639382.539</v>
      </c>
      <c r="F129" s="47">
        <f t="shared" ca="1" si="12"/>
        <v>794296789747.02808</v>
      </c>
      <c r="G129" s="47">
        <f t="shared" ca="1" si="13"/>
        <v>7682917373384.8193</v>
      </c>
      <c r="H129" s="47">
        <f t="shared" ca="1" si="14"/>
        <v>12978365639382.539</v>
      </c>
      <c r="I129" s="47">
        <f t="shared" ca="1" si="15"/>
        <v>11409771130020.689</v>
      </c>
      <c r="J129" s="47">
        <f t="shared" ca="1" si="16"/>
        <v>632185506830.12097</v>
      </c>
      <c r="K129" s="48">
        <f t="shared" ca="1" si="17"/>
        <v>18.048137780366247</v>
      </c>
    </row>
    <row r="130" spans="2:11" ht="15" customHeight="1" x14ac:dyDescent="0.35">
      <c r="B130" s="5">
        <v>109</v>
      </c>
      <c r="C130" s="46">
        <f t="shared" ca="1" si="9"/>
        <v>2.5421675395717696</v>
      </c>
      <c r="D130" s="47">
        <f t="shared" ca="1" si="10"/>
        <v>2305387503.9151587</v>
      </c>
      <c r="E130" s="47">
        <f t="shared" ca="1" si="11"/>
        <v>2364709063516.1973</v>
      </c>
      <c r="F130" s="47">
        <f t="shared" ca="1" si="12"/>
        <v>3266568212091.856</v>
      </c>
      <c r="G130" s="47">
        <f t="shared" ca="1" si="13"/>
        <v>891787715349.22144</v>
      </c>
      <c r="H130" s="47">
        <f t="shared" ca="1" si="14"/>
        <v>3266568212091.856</v>
      </c>
      <c r="I130" s="47">
        <f t="shared" ca="1" si="15"/>
        <v>4650270575081.4434</v>
      </c>
      <c r="J130" s="47">
        <f t="shared" ca="1" si="16"/>
        <v>1748691111888.4797</v>
      </c>
      <c r="K130" s="48">
        <f t="shared" ca="1" si="17"/>
        <v>2.6592864477131326</v>
      </c>
    </row>
    <row r="131" spans="2:11" ht="15" customHeight="1" x14ac:dyDescent="0.35">
      <c r="B131" s="5">
        <v>110</v>
      </c>
      <c r="C131" s="46">
        <f t="shared" ca="1" si="9"/>
        <v>3.4262578679625704</v>
      </c>
      <c r="D131" s="47">
        <f t="shared" ca="1" si="10"/>
        <v>9410609327.8477211</v>
      </c>
      <c r="E131" s="47">
        <f t="shared" ca="1" si="11"/>
        <v>11381664453262.564</v>
      </c>
      <c r="F131" s="47">
        <f t="shared" ca="1" si="12"/>
        <v>3899044954834.7529</v>
      </c>
      <c r="G131" s="47">
        <f t="shared" ca="1" si="13"/>
        <v>6958357466482.8555</v>
      </c>
      <c r="H131" s="47">
        <f t="shared" ca="1" si="14"/>
        <v>6958357466482.8555</v>
      </c>
      <c r="I131" s="47">
        <f t="shared" ca="1" si="15"/>
        <v>7671686937637.0859</v>
      </c>
      <c r="J131" s="47">
        <f t="shared" ca="1" si="16"/>
        <v>1675139023893.1909</v>
      </c>
      <c r="K131" s="48">
        <f t="shared" ca="1" si="17"/>
        <v>4.579731489871997</v>
      </c>
    </row>
    <row r="132" spans="2:11" ht="15" customHeight="1" x14ac:dyDescent="0.35">
      <c r="B132" s="5">
        <v>111</v>
      </c>
      <c r="C132" s="46">
        <f t="shared" ca="1" si="9"/>
        <v>2.1220195722587345</v>
      </c>
      <c r="D132" s="47">
        <f t="shared" ca="1" si="10"/>
        <v>810126801.26632774</v>
      </c>
      <c r="E132" s="47">
        <f t="shared" ca="1" si="11"/>
        <v>2975443224710.7363</v>
      </c>
      <c r="F132" s="47">
        <f t="shared" ca="1" si="12"/>
        <v>353420999918.99475</v>
      </c>
      <c r="G132" s="47">
        <f t="shared" ca="1" si="13"/>
        <v>7442731562399.0557</v>
      </c>
      <c r="H132" s="47">
        <f t="shared" ca="1" si="14"/>
        <v>7442731562399.0557</v>
      </c>
      <c r="I132" s="47">
        <f t="shared" ca="1" si="15"/>
        <v>10717033222700.211</v>
      </c>
      <c r="J132" s="47">
        <f t="shared" ca="1" si="16"/>
        <v>1154601755538.9675</v>
      </c>
      <c r="K132" s="48">
        <f t="shared" ca="1" si="17"/>
        <v>9.2820170862268476</v>
      </c>
    </row>
    <row r="133" spans="2:11" ht="15" customHeight="1" x14ac:dyDescent="0.35">
      <c r="B133" s="5">
        <v>112</v>
      </c>
      <c r="C133" s="46">
        <f t="shared" ca="1" si="9"/>
        <v>2.9432457877192006</v>
      </c>
      <c r="D133" s="47">
        <f t="shared" ca="1" si="10"/>
        <v>4222356439.4306612</v>
      </c>
      <c r="E133" s="47">
        <f t="shared" ca="1" si="11"/>
        <v>4478683979535.3906</v>
      </c>
      <c r="F133" s="47">
        <f t="shared" ca="1" si="12"/>
        <v>1318592127804.2651</v>
      </c>
      <c r="G133" s="47">
        <f t="shared" ca="1" si="13"/>
        <v>132929373433104.67</v>
      </c>
      <c r="H133" s="47">
        <f t="shared" ca="1" si="14"/>
        <v>132929373433104.67</v>
      </c>
      <c r="I133" s="47">
        <f t="shared" ca="1" si="15"/>
        <v>67644121138682.828</v>
      </c>
      <c r="J133" s="47">
        <f t="shared" ca="1" si="16"/>
        <v>516821034142.2467</v>
      </c>
      <c r="K133" s="48">
        <f t="shared" ca="1" si="17"/>
        <v>130.88500016441836</v>
      </c>
    </row>
    <row r="134" spans="2:11" ht="15" customHeight="1" x14ac:dyDescent="0.35">
      <c r="B134" s="5">
        <v>113</v>
      </c>
      <c r="C134" s="46">
        <f t="shared" ca="1" si="9"/>
        <v>2.6558117517037125</v>
      </c>
      <c r="D134" s="47">
        <f t="shared" ca="1" si="10"/>
        <v>2122241270.9125972</v>
      </c>
      <c r="E134" s="47">
        <f t="shared" ca="1" si="11"/>
        <v>5541344596825.4092</v>
      </c>
      <c r="F134" s="47">
        <f t="shared" ca="1" si="12"/>
        <v>3048799980697.1104</v>
      </c>
      <c r="G134" s="47">
        <f t="shared" ca="1" si="13"/>
        <v>4323152624259.8726</v>
      </c>
      <c r="H134" s="47">
        <f t="shared" ca="1" si="14"/>
        <v>3048799980697.1104</v>
      </c>
      <c r="I134" s="47">
        <f t="shared" ca="1" si="15"/>
        <v>67965803152547.563</v>
      </c>
      <c r="J134" s="47">
        <f t="shared" ca="1" si="16"/>
        <v>507656625476.91113</v>
      </c>
      <c r="K134" s="48">
        <f t="shared" ca="1" si="17"/>
        <v>133.88144612255974</v>
      </c>
    </row>
    <row r="135" spans="2:11" ht="15" customHeight="1" x14ac:dyDescent="0.35">
      <c r="B135" s="5">
        <v>114</v>
      </c>
      <c r="C135" s="46">
        <f t="shared" ca="1" si="9"/>
        <v>3.6124111199426627</v>
      </c>
      <c r="D135" s="47">
        <f t="shared" ca="1" si="10"/>
        <v>10034762369.641882</v>
      </c>
      <c r="E135" s="47">
        <f t="shared" ca="1" si="11"/>
        <v>23870054892178.355</v>
      </c>
      <c r="F135" s="47">
        <f t="shared" ca="1" si="12"/>
        <v>6050932807874.208</v>
      </c>
      <c r="G135" s="47">
        <f t="shared" ca="1" si="13"/>
        <v>22058151001656.461</v>
      </c>
      <c r="H135" s="47">
        <f t="shared" ca="1" si="14"/>
        <v>22058151001656.461</v>
      </c>
      <c r="I135" s="47">
        <f t="shared" ca="1" si="15"/>
        <v>3706397524272.1855</v>
      </c>
      <c r="J135" s="47">
        <f t="shared" ca="1" si="16"/>
        <v>764513005784.13867</v>
      </c>
      <c r="K135" s="48">
        <f t="shared" ca="1" si="17"/>
        <v>4.8480503225326324</v>
      </c>
    </row>
    <row r="136" spans="2:11" ht="15" customHeight="1" x14ac:dyDescent="0.35">
      <c r="B136" s="5">
        <v>115</v>
      </c>
      <c r="C136" s="46">
        <f t="shared" ca="1" si="9"/>
        <v>3.1660498543690152</v>
      </c>
      <c r="D136" s="47">
        <f t="shared" ca="1" si="10"/>
        <v>5528779127.4291525</v>
      </c>
      <c r="E136" s="47">
        <f t="shared" ca="1" si="11"/>
        <v>16044803627538.383</v>
      </c>
      <c r="F136" s="47">
        <f t="shared" ca="1" si="12"/>
        <v>668524474370.05176</v>
      </c>
      <c r="G136" s="47">
        <f t="shared" ca="1" si="13"/>
        <v>2734128945607.8013</v>
      </c>
      <c r="H136" s="47">
        <f t="shared" ca="1" si="14"/>
        <v>16044803627538.383</v>
      </c>
      <c r="I136" s="47">
        <f t="shared" ca="1" si="15"/>
        <v>4344743477734.1133</v>
      </c>
      <c r="J136" s="47">
        <f t="shared" ca="1" si="16"/>
        <v>1341978994009.1243</v>
      </c>
      <c r="K136" s="48">
        <f t="shared" ca="1" si="17"/>
        <v>3.2375644455911452</v>
      </c>
    </row>
    <row r="137" spans="2:11" ht="15" customHeight="1" x14ac:dyDescent="0.35">
      <c r="B137" s="5">
        <v>116</v>
      </c>
      <c r="C137" s="46">
        <f t="shared" ca="1" si="9"/>
        <v>3.2723998357763393</v>
      </c>
      <c r="D137" s="47">
        <f t="shared" ca="1" si="10"/>
        <v>7158726469.3418322</v>
      </c>
      <c r="E137" s="47">
        <f t="shared" ca="1" si="11"/>
        <v>8061238782419.7813</v>
      </c>
      <c r="F137" s="47">
        <f t="shared" ca="1" si="12"/>
        <v>4243236390863.0483</v>
      </c>
      <c r="G137" s="47">
        <f t="shared" ca="1" si="13"/>
        <v>585343060150.08643</v>
      </c>
      <c r="H137" s="47">
        <f t="shared" ca="1" si="14"/>
        <v>8061238782419.7813</v>
      </c>
      <c r="I137" s="47">
        <f t="shared" ca="1" si="15"/>
        <v>739679139277.70374</v>
      </c>
      <c r="J137" s="47">
        <f t="shared" ca="1" si="16"/>
        <v>1040956828706.8704</v>
      </c>
      <c r="K137" s="48">
        <f t="shared" ca="1" si="17"/>
        <v>0.71057619190276211</v>
      </c>
    </row>
    <row r="138" spans="2:11" ht="15" customHeight="1" x14ac:dyDescent="0.35">
      <c r="B138" s="5">
        <v>117</v>
      </c>
      <c r="C138" s="46">
        <f t="shared" ca="1" si="9"/>
        <v>3.3178796536865089</v>
      </c>
      <c r="D138" s="47">
        <f t="shared" ca="1" si="10"/>
        <v>9164406618.893343</v>
      </c>
      <c r="E138" s="47">
        <f t="shared" ca="1" si="11"/>
        <v>43974715883685.445</v>
      </c>
      <c r="F138" s="47">
        <f t="shared" ca="1" si="12"/>
        <v>3454692523775.9927</v>
      </c>
      <c r="G138" s="47">
        <f t="shared" ca="1" si="13"/>
        <v>4384422076705.2939</v>
      </c>
      <c r="H138" s="47">
        <f t="shared" ca="1" si="14"/>
        <v>3454692523775.9927</v>
      </c>
      <c r="I138" s="47">
        <f t="shared" ca="1" si="15"/>
        <v>33230202487696.281</v>
      </c>
      <c r="J138" s="47">
        <f t="shared" ca="1" si="16"/>
        <v>606188015127.26123</v>
      </c>
      <c r="K138" s="48">
        <f t="shared" ca="1" si="17"/>
        <v>54.818309927688091</v>
      </c>
    </row>
    <row r="139" spans="2:11" ht="15" customHeight="1" x14ac:dyDescent="0.35">
      <c r="B139" s="5">
        <v>118</v>
      </c>
      <c r="C139" s="46">
        <f t="shared" ca="1" si="9"/>
        <v>2.171864399090774</v>
      </c>
      <c r="D139" s="47">
        <f t="shared" ca="1" si="10"/>
        <v>826525912.5912087</v>
      </c>
      <c r="E139" s="47">
        <f t="shared" ca="1" si="11"/>
        <v>3500708537092.9795</v>
      </c>
      <c r="F139" s="47">
        <f t="shared" ca="1" si="12"/>
        <v>3552256476004.0669</v>
      </c>
      <c r="G139" s="47">
        <f t="shared" ca="1" si="13"/>
        <v>4521441265180.9014</v>
      </c>
      <c r="H139" s="47">
        <f t="shared" ca="1" si="14"/>
        <v>3552256476004.0669</v>
      </c>
      <c r="I139" s="47">
        <f t="shared" ca="1" si="15"/>
        <v>1942510553686.6282</v>
      </c>
      <c r="J139" s="47">
        <f t="shared" ca="1" si="16"/>
        <v>971041538511.67908</v>
      </c>
      <c r="K139" s="48">
        <f t="shared" ca="1" si="17"/>
        <v>2.0004402248990556</v>
      </c>
    </row>
    <row r="140" spans="2:11" ht="15" customHeight="1" x14ac:dyDescent="0.35">
      <c r="B140" s="5">
        <v>119</v>
      </c>
      <c r="C140" s="46">
        <f t="shared" ca="1" si="9"/>
        <v>3.6996143827127623</v>
      </c>
      <c r="D140" s="47">
        <f t="shared" ca="1" si="10"/>
        <v>14919340038.899378</v>
      </c>
      <c r="E140" s="47">
        <f t="shared" ca="1" si="11"/>
        <v>43354198304023.414</v>
      </c>
      <c r="F140" s="47">
        <f t="shared" ca="1" si="12"/>
        <v>1751412819792.7393</v>
      </c>
      <c r="G140" s="47">
        <f t="shared" ca="1" si="13"/>
        <v>26251317104394.516</v>
      </c>
      <c r="H140" s="47">
        <f t="shared" ca="1" si="14"/>
        <v>26251317104394.516</v>
      </c>
      <c r="I140" s="47">
        <f t="shared" ca="1" si="15"/>
        <v>34237159484718.926</v>
      </c>
      <c r="J140" s="47">
        <f t="shared" ca="1" si="16"/>
        <v>943689803785.47388</v>
      </c>
      <c r="K140" s="48">
        <f t="shared" ca="1" si="17"/>
        <v>36.280098976784068</v>
      </c>
    </row>
    <row r="141" spans="2:11" ht="15" customHeight="1" x14ac:dyDescent="0.35">
      <c r="B141" s="5">
        <v>120</v>
      </c>
      <c r="C141" s="46">
        <f t="shared" ca="1" si="9"/>
        <v>2.6858405214340388</v>
      </c>
      <c r="D141" s="47">
        <f t="shared" ca="1" si="10"/>
        <v>3280030837.5323062</v>
      </c>
      <c r="E141" s="47">
        <f t="shared" ca="1" si="11"/>
        <v>16242854782795.318</v>
      </c>
      <c r="F141" s="47">
        <f t="shared" ca="1" si="12"/>
        <v>2320746835187.9668</v>
      </c>
      <c r="G141" s="47">
        <f t="shared" ca="1" si="13"/>
        <v>16443804298757.076</v>
      </c>
      <c r="H141" s="47">
        <f t="shared" ca="1" si="14"/>
        <v>16443804298757.076</v>
      </c>
      <c r="I141" s="47">
        <f t="shared" ca="1" si="15"/>
        <v>4075318470360.2134</v>
      </c>
      <c r="J141" s="47">
        <f t="shared" ca="1" si="16"/>
        <v>1193577445347.6643</v>
      </c>
      <c r="K141" s="48">
        <f t="shared" ca="1" si="17"/>
        <v>3.4143728890362515</v>
      </c>
    </row>
    <row r="142" spans="2:11" ht="15" customHeight="1" x14ac:dyDescent="0.35">
      <c r="B142" s="5">
        <v>121</v>
      </c>
      <c r="C142" s="46">
        <f t="shared" ca="1" si="9"/>
        <v>3.2723580579533333</v>
      </c>
      <c r="D142" s="47">
        <f t="shared" ca="1" si="10"/>
        <v>8050110264.9165239</v>
      </c>
      <c r="E142" s="47">
        <f t="shared" ca="1" si="11"/>
        <v>16089883143173.32</v>
      </c>
      <c r="F142" s="47">
        <f t="shared" ca="1" si="12"/>
        <v>959627768956.16431</v>
      </c>
      <c r="G142" s="47">
        <f t="shared" ca="1" si="13"/>
        <v>13121954916021.301</v>
      </c>
      <c r="H142" s="47">
        <f t="shared" ca="1" si="14"/>
        <v>13121954916021.301</v>
      </c>
      <c r="I142" s="47">
        <f t="shared" ca="1" si="15"/>
        <v>21446870154336</v>
      </c>
      <c r="J142" s="47">
        <f t="shared" ca="1" si="16"/>
        <v>2400913068022.2456</v>
      </c>
      <c r="K142" s="48">
        <f t="shared" ca="1" si="17"/>
        <v>8.9327974594277499</v>
      </c>
    </row>
    <row r="143" spans="2:11" ht="15" customHeight="1" x14ac:dyDescent="0.35">
      <c r="B143" s="5">
        <v>122</v>
      </c>
      <c r="C143" s="46">
        <f t="shared" ca="1" si="9"/>
        <v>3.355599896610256</v>
      </c>
      <c r="D143" s="47">
        <f t="shared" ca="1" si="10"/>
        <v>10044521922.43618</v>
      </c>
      <c r="E143" s="47">
        <f t="shared" ca="1" si="11"/>
        <v>43910732151918.047</v>
      </c>
      <c r="F143" s="47">
        <f t="shared" ca="1" si="12"/>
        <v>1483589255307.8267</v>
      </c>
      <c r="G143" s="47">
        <f t="shared" ca="1" si="13"/>
        <v>1571967666269.1128</v>
      </c>
      <c r="H143" s="47">
        <f t="shared" ca="1" si="14"/>
        <v>1483589255307.8267</v>
      </c>
      <c r="I143" s="47">
        <f t="shared" ca="1" si="15"/>
        <v>4125822203461.7632</v>
      </c>
      <c r="J143" s="47">
        <f t="shared" ca="1" si="16"/>
        <v>1806395637118.3083</v>
      </c>
      <c r="K143" s="48">
        <f t="shared" ca="1" si="17"/>
        <v>2.2840080648354366</v>
      </c>
    </row>
    <row r="144" spans="2:11" ht="15" customHeight="1" x14ac:dyDescent="0.35">
      <c r="B144" s="5">
        <v>123</v>
      </c>
      <c r="C144" s="46">
        <f t="shared" ca="1" si="9"/>
        <v>3.2767241867399912</v>
      </c>
      <c r="D144" s="47">
        <f t="shared" ca="1" si="10"/>
        <v>8352456803.0307236</v>
      </c>
      <c r="E144" s="47">
        <f t="shared" ca="1" si="11"/>
        <v>22900085785223.008</v>
      </c>
      <c r="F144" s="47">
        <f t="shared" ca="1" si="12"/>
        <v>1228422013875.6091</v>
      </c>
      <c r="G144" s="47">
        <f t="shared" ca="1" si="13"/>
        <v>2941706369843.8896</v>
      </c>
      <c r="H144" s="47">
        <f t="shared" ca="1" si="14"/>
        <v>1228422013875.6091</v>
      </c>
      <c r="I144" s="47">
        <f t="shared" ca="1" si="15"/>
        <v>2191204354774.4065</v>
      </c>
      <c r="J144" s="47">
        <f t="shared" ca="1" si="16"/>
        <v>1563607377942.6863</v>
      </c>
      <c r="K144" s="48">
        <f t="shared" ca="1" si="17"/>
        <v>1.4013776000836475</v>
      </c>
    </row>
    <row r="145" spans="2:11" ht="15" customHeight="1" x14ac:dyDescent="0.35">
      <c r="B145" s="5">
        <v>124</v>
      </c>
      <c r="C145" s="46">
        <f t="shared" ca="1" si="9"/>
        <v>2.8041262095140667</v>
      </c>
      <c r="D145" s="47">
        <f t="shared" ca="1" si="10"/>
        <v>2948192692.9216037</v>
      </c>
      <c r="E145" s="47">
        <f t="shared" ca="1" si="11"/>
        <v>6255142503394.7686</v>
      </c>
      <c r="F145" s="47">
        <f t="shared" ca="1" si="12"/>
        <v>445287149597.3786</v>
      </c>
      <c r="G145" s="47">
        <f t="shared" ca="1" si="13"/>
        <v>3892618392392.7251</v>
      </c>
      <c r="H145" s="47">
        <f t="shared" ca="1" si="14"/>
        <v>3892618392392.7251</v>
      </c>
      <c r="I145" s="47">
        <f t="shared" ca="1" si="15"/>
        <v>5165189185165.8369</v>
      </c>
      <c r="J145" s="47">
        <f t="shared" ca="1" si="16"/>
        <v>1325817120376.1409</v>
      </c>
      <c r="K145" s="48">
        <f t="shared" ca="1" si="17"/>
        <v>3.895853436935893</v>
      </c>
    </row>
    <row r="146" spans="2:11" ht="15" customHeight="1" x14ac:dyDescent="0.35">
      <c r="B146" s="5">
        <v>125</v>
      </c>
      <c r="C146" s="46">
        <f t="shared" ca="1" si="9"/>
        <v>2.7548721642631109</v>
      </c>
      <c r="D146" s="47">
        <f t="shared" ca="1" si="10"/>
        <v>2781604793.8714981</v>
      </c>
      <c r="E146" s="47">
        <f t="shared" ca="1" si="11"/>
        <v>12339344754700.082</v>
      </c>
      <c r="F146" s="47">
        <f t="shared" ca="1" si="12"/>
        <v>11111733997553.1</v>
      </c>
      <c r="G146" s="47">
        <f t="shared" ca="1" si="13"/>
        <v>11455953228510.734</v>
      </c>
      <c r="H146" s="47">
        <f t="shared" ca="1" si="14"/>
        <v>11455953228510.734</v>
      </c>
      <c r="I146" s="47">
        <f t="shared" ca="1" si="15"/>
        <v>10729078420339.703</v>
      </c>
      <c r="J146" s="47">
        <f t="shared" ca="1" si="16"/>
        <v>1274622004596.3279</v>
      </c>
      <c r="K146" s="48">
        <f t="shared" ca="1" si="17"/>
        <v>8.4174589655994492</v>
      </c>
    </row>
    <row r="147" spans="2:11" ht="15" customHeight="1" x14ac:dyDescent="0.35">
      <c r="B147" s="5">
        <v>126</v>
      </c>
      <c r="C147" s="46">
        <f t="shared" ca="1" si="9"/>
        <v>2.5493769301224507</v>
      </c>
      <c r="D147" s="47">
        <f t="shared" ca="1" si="10"/>
        <v>2023177918.684525</v>
      </c>
      <c r="E147" s="47">
        <f t="shared" ca="1" si="11"/>
        <v>9612903453845.5625</v>
      </c>
      <c r="F147" s="47">
        <f t="shared" ca="1" si="12"/>
        <v>9122813217836.9395</v>
      </c>
      <c r="G147" s="47">
        <f t="shared" ca="1" si="13"/>
        <v>2737660167151.7261</v>
      </c>
      <c r="H147" s="47">
        <f t="shared" ca="1" si="14"/>
        <v>9122813217836.9395</v>
      </c>
      <c r="I147" s="47">
        <f t="shared" ca="1" si="15"/>
        <v>27971173242967.871</v>
      </c>
      <c r="J147" s="47">
        <f t="shared" ca="1" si="16"/>
        <v>842807242441.47522</v>
      </c>
      <c r="K147" s="48">
        <f t="shared" ca="1" si="17"/>
        <v>33.188102610437873</v>
      </c>
    </row>
    <row r="148" spans="2:11" ht="15" customHeight="1" x14ac:dyDescent="0.35">
      <c r="B148" s="5">
        <v>127</v>
      </c>
      <c r="C148" s="46">
        <f t="shared" ca="1" si="9"/>
        <v>2.8036930252885406</v>
      </c>
      <c r="D148" s="47">
        <f t="shared" ca="1" si="10"/>
        <v>3321625631.9465446</v>
      </c>
      <c r="E148" s="47">
        <f t="shared" ca="1" si="11"/>
        <v>9381525176327.8105</v>
      </c>
      <c r="F148" s="47">
        <f t="shared" ca="1" si="12"/>
        <v>778649538047.73462</v>
      </c>
      <c r="G148" s="47">
        <f t="shared" ca="1" si="13"/>
        <v>10648437020942.17</v>
      </c>
      <c r="H148" s="47">
        <f t="shared" ca="1" si="14"/>
        <v>9381525176327.8105</v>
      </c>
      <c r="I148" s="47">
        <f t="shared" ca="1" si="15"/>
        <v>74575255959329.781</v>
      </c>
      <c r="J148" s="47">
        <f t="shared" ca="1" si="16"/>
        <v>1744266326732.6521</v>
      </c>
      <c r="K148" s="48">
        <f t="shared" ca="1" si="17"/>
        <v>42.754512207446922</v>
      </c>
    </row>
    <row r="149" spans="2:11" ht="15" customHeight="1" x14ac:dyDescent="0.35">
      <c r="B149" s="5">
        <v>128</v>
      </c>
      <c r="C149" s="46">
        <f t="shared" ca="1" si="9"/>
        <v>3.5622039080347019</v>
      </c>
      <c r="D149" s="47">
        <f t="shared" ca="1" si="10"/>
        <v>10456358388.154247</v>
      </c>
      <c r="E149" s="47">
        <f t="shared" ca="1" si="11"/>
        <v>35730365571543.781</v>
      </c>
      <c r="F149" s="47">
        <f t="shared" ca="1" si="12"/>
        <v>2363536583359.7129</v>
      </c>
      <c r="G149" s="47">
        <f t="shared" ca="1" si="13"/>
        <v>33787333631702.98</v>
      </c>
      <c r="H149" s="47">
        <f t="shared" ca="1" si="14"/>
        <v>33787333631702.98</v>
      </c>
      <c r="I149" s="47">
        <f t="shared" ca="1" si="15"/>
        <v>257538501344501.13</v>
      </c>
      <c r="J149" s="47">
        <f t="shared" ca="1" si="16"/>
        <v>1057342885552.2626</v>
      </c>
      <c r="K149" s="48">
        <f t="shared" ca="1" si="17"/>
        <v>243.57141364788751</v>
      </c>
    </row>
    <row r="150" spans="2:11" ht="15" customHeight="1" x14ac:dyDescent="0.35">
      <c r="B150" s="5">
        <v>129</v>
      </c>
      <c r="C150" s="46">
        <f t="shared" ref="C150:C213" ca="1" si="18">MEDIAN(1.8,NORMINV(RAND(),$C$7,$D$7),4.5)</f>
        <v>2.6701656591440193</v>
      </c>
      <c r="D150" s="47">
        <f t="shared" ref="D150:D213" ca="1" si="19">($C$8+RAND()*($D$8-$C$8))*C150^5</f>
        <v>3070768373.0975161</v>
      </c>
      <c r="E150" s="47">
        <f t="shared" ref="E150:E213" ca="1" si="20">D150*($C$10+RAND()*($D$10-$C$10))*EXP(NORMINV(RAND(),$C$9,$D$9))*($C$11+RAND()*($D$11-$C$11))</f>
        <v>3339027783685.8198</v>
      </c>
      <c r="F150" s="47">
        <f t="shared" ref="F150:F213" ca="1" si="21">EXP(NORMINV(RAND(),$C$12,$D$12))*EXP(NORMINV(RAND(),$C$13,$D$13))</f>
        <v>10084467871729.947</v>
      </c>
      <c r="G150" s="47">
        <f t="shared" ref="G150:G213" ca="1" si="22">EXP(NORMINV(RAND(),$C$14,$D$14))*($C$15+RAND()*($D$15-$C$15))*EXP(NORMINV(RAND(),$C$16,$D$16))/1000000*31536000</f>
        <v>3707640476943.3701</v>
      </c>
      <c r="H150" s="47">
        <f t="shared" ref="H150:H213" ca="1" si="23">CHOOSE(RANDBETWEEN(1,3),E150,F150,G150)</f>
        <v>3339027783685.8198</v>
      </c>
      <c r="I150" s="47">
        <f t="shared" ref="I150:I213" ca="1" si="24">EXP(NORMINV(RAND(),$C$14,$D$14))*($C$15+RAND()*($D$15-$C$15))*60</f>
        <v>7285045306321.1777</v>
      </c>
      <c r="J150" s="47">
        <f t="shared" ref="J150:J213" ca="1" si="25">($C$17+RAND()*($D$17-$C$17))*($C$18+RAND()*($D$18-$C$18))</f>
        <v>997570563990.80457</v>
      </c>
      <c r="K150" s="48">
        <f t="shared" ref="K150:K213" ca="1" si="26">I150/J150</f>
        <v>7.3027869599291124</v>
      </c>
    </row>
    <row r="151" spans="2:11" ht="15" customHeight="1" x14ac:dyDescent="0.35">
      <c r="B151" s="5">
        <v>130</v>
      </c>
      <c r="C151" s="46">
        <f t="shared" ca="1" si="18"/>
        <v>3.3581868385061444</v>
      </c>
      <c r="D151" s="47">
        <f t="shared" ca="1" si="19"/>
        <v>9608008678.1079044</v>
      </c>
      <c r="E151" s="47">
        <f t="shared" ca="1" si="20"/>
        <v>14221481116731.059</v>
      </c>
      <c r="F151" s="47">
        <f t="shared" ca="1" si="21"/>
        <v>3792099762375.9102</v>
      </c>
      <c r="G151" s="47">
        <f t="shared" ca="1" si="22"/>
        <v>965415565475.21252</v>
      </c>
      <c r="H151" s="47">
        <f t="shared" ca="1" si="23"/>
        <v>965415565475.21252</v>
      </c>
      <c r="I151" s="47">
        <f t="shared" ca="1" si="24"/>
        <v>26013321850387.766</v>
      </c>
      <c r="J151" s="47">
        <f t="shared" ca="1" si="25"/>
        <v>780619882707.50476</v>
      </c>
      <c r="K151" s="48">
        <f t="shared" ca="1" si="26"/>
        <v>33.323929388222943</v>
      </c>
    </row>
    <row r="152" spans="2:11" ht="15" customHeight="1" x14ac:dyDescent="0.35">
      <c r="B152" s="5">
        <v>131</v>
      </c>
      <c r="C152" s="46">
        <f t="shared" ca="1" si="18"/>
        <v>2.9164625344334363</v>
      </c>
      <c r="D152" s="47">
        <f t="shared" ca="1" si="19"/>
        <v>4882306996.5006018</v>
      </c>
      <c r="E152" s="47">
        <f t="shared" ca="1" si="20"/>
        <v>15022794385271.398</v>
      </c>
      <c r="F152" s="47">
        <f t="shared" ca="1" si="21"/>
        <v>8665571879082.7529</v>
      </c>
      <c r="G152" s="47">
        <f t="shared" ca="1" si="22"/>
        <v>1561446969033.2219</v>
      </c>
      <c r="H152" s="47">
        <f t="shared" ca="1" si="23"/>
        <v>8665571879082.7529</v>
      </c>
      <c r="I152" s="47">
        <f t="shared" ca="1" si="24"/>
        <v>2382715553096.3569</v>
      </c>
      <c r="J152" s="47">
        <f t="shared" ca="1" si="25"/>
        <v>1855049271047.2056</v>
      </c>
      <c r="K152" s="48">
        <f t="shared" ca="1" si="26"/>
        <v>1.2844486614370492</v>
      </c>
    </row>
    <row r="153" spans="2:11" ht="15" customHeight="1" x14ac:dyDescent="0.35">
      <c r="B153" s="5">
        <v>132</v>
      </c>
      <c r="C153" s="46">
        <f t="shared" ca="1" si="18"/>
        <v>2.6962156474647707</v>
      </c>
      <c r="D153" s="47">
        <f t="shared" ca="1" si="19"/>
        <v>2517646239.5595703</v>
      </c>
      <c r="E153" s="47">
        <f t="shared" ca="1" si="20"/>
        <v>9158117292545.8477</v>
      </c>
      <c r="F153" s="47">
        <f t="shared" ca="1" si="21"/>
        <v>3434518848505.8618</v>
      </c>
      <c r="G153" s="47">
        <f t="shared" ca="1" si="22"/>
        <v>3577936361953.5337</v>
      </c>
      <c r="H153" s="47">
        <f t="shared" ca="1" si="23"/>
        <v>3577936361953.5337</v>
      </c>
      <c r="I153" s="47">
        <f t="shared" ca="1" si="24"/>
        <v>13396889616151.824</v>
      </c>
      <c r="J153" s="47">
        <f t="shared" ca="1" si="25"/>
        <v>679195800718.55005</v>
      </c>
      <c r="K153" s="48">
        <f t="shared" ca="1" si="26"/>
        <v>19.724635520388503</v>
      </c>
    </row>
    <row r="154" spans="2:11" ht="15" customHeight="1" x14ac:dyDescent="0.35">
      <c r="B154" s="5">
        <v>133</v>
      </c>
      <c r="C154" s="46">
        <f t="shared" ca="1" si="18"/>
        <v>2.7962698112107143</v>
      </c>
      <c r="D154" s="47">
        <f t="shared" ca="1" si="19"/>
        <v>3536683190.1526613</v>
      </c>
      <c r="E154" s="47">
        <f t="shared" ca="1" si="20"/>
        <v>25561624502956.84</v>
      </c>
      <c r="F154" s="47">
        <f t="shared" ca="1" si="21"/>
        <v>21809300830688.023</v>
      </c>
      <c r="G154" s="47">
        <f t="shared" ca="1" si="22"/>
        <v>7535757953078.0918</v>
      </c>
      <c r="H154" s="47">
        <f t="shared" ca="1" si="23"/>
        <v>25561624502956.84</v>
      </c>
      <c r="I154" s="47">
        <f t="shared" ca="1" si="24"/>
        <v>2321311283850.3564</v>
      </c>
      <c r="J154" s="47">
        <f t="shared" ca="1" si="25"/>
        <v>2090484499339.8567</v>
      </c>
      <c r="K154" s="48">
        <f t="shared" ca="1" si="26"/>
        <v>1.110417840736629</v>
      </c>
    </row>
    <row r="155" spans="2:11" ht="15" customHeight="1" x14ac:dyDescent="0.35">
      <c r="B155" s="5">
        <v>134</v>
      </c>
      <c r="C155" s="46">
        <f t="shared" ca="1" si="18"/>
        <v>2.9943988840569373</v>
      </c>
      <c r="D155" s="47">
        <f t="shared" ca="1" si="19"/>
        <v>4497899751.4549084</v>
      </c>
      <c r="E155" s="47">
        <f t="shared" ca="1" si="20"/>
        <v>12073128164482.613</v>
      </c>
      <c r="F155" s="47">
        <f t="shared" ca="1" si="21"/>
        <v>1076373020009.1599</v>
      </c>
      <c r="G155" s="47">
        <f t="shared" ca="1" si="22"/>
        <v>29823274282198.934</v>
      </c>
      <c r="H155" s="47">
        <f t="shared" ca="1" si="23"/>
        <v>29823274282198.934</v>
      </c>
      <c r="I155" s="47">
        <f t="shared" ca="1" si="24"/>
        <v>1151327912343.426</v>
      </c>
      <c r="J155" s="47">
        <f t="shared" ca="1" si="25"/>
        <v>1166599666351.8757</v>
      </c>
      <c r="K155" s="48">
        <f t="shared" ca="1" si="26"/>
        <v>0.9869091733446087</v>
      </c>
    </row>
    <row r="156" spans="2:11" ht="15" customHeight="1" x14ac:dyDescent="0.35">
      <c r="B156" s="5">
        <v>135</v>
      </c>
      <c r="C156" s="46">
        <f t="shared" ca="1" si="18"/>
        <v>2.566497306242741</v>
      </c>
      <c r="D156" s="47">
        <f t="shared" ca="1" si="19"/>
        <v>2486754675.893167</v>
      </c>
      <c r="E156" s="47">
        <f t="shared" ca="1" si="20"/>
        <v>11111660872391.773</v>
      </c>
      <c r="F156" s="47">
        <f t="shared" ca="1" si="21"/>
        <v>948563466198.63904</v>
      </c>
      <c r="G156" s="47">
        <f t="shared" ca="1" si="22"/>
        <v>3754762865521.4268</v>
      </c>
      <c r="H156" s="47">
        <f t="shared" ca="1" si="23"/>
        <v>948563466198.63904</v>
      </c>
      <c r="I156" s="47">
        <f t="shared" ca="1" si="24"/>
        <v>9979732116585.832</v>
      </c>
      <c r="J156" s="47">
        <f t="shared" ca="1" si="25"/>
        <v>619326742832.76782</v>
      </c>
      <c r="K156" s="48">
        <f t="shared" ca="1" si="26"/>
        <v>16.113840120869099</v>
      </c>
    </row>
    <row r="157" spans="2:11" ht="15" customHeight="1" x14ac:dyDescent="0.35">
      <c r="B157" s="5">
        <v>136</v>
      </c>
      <c r="C157" s="46">
        <f t="shared" ca="1" si="18"/>
        <v>2.498333064468766</v>
      </c>
      <c r="D157" s="47">
        <f t="shared" ca="1" si="19"/>
        <v>1628900907.5318632</v>
      </c>
      <c r="E157" s="47">
        <f t="shared" ca="1" si="20"/>
        <v>2261403821115.978</v>
      </c>
      <c r="F157" s="47">
        <f t="shared" ca="1" si="21"/>
        <v>2358946267600.708</v>
      </c>
      <c r="G157" s="47">
        <f t="shared" ca="1" si="22"/>
        <v>1577750267450.335</v>
      </c>
      <c r="H157" s="47">
        <f t="shared" ca="1" si="23"/>
        <v>2358946267600.708</v>
      </c>
      <c r="I157" s="47">
        <f t="shared" ca="1" si="24"/>
        <v>14741299130607.617</v>
      </c>
      <c r="J157" s="47">
        <f t="shared" ca="1" si="25"/>
        <v>589292062401.58032</v>
      </c>
      <c r="K157" s="48">
        <f t="shared" ca="1" si="26"/>
        <v>25.015268440120238</v>
      </c>
    </row>
    <row r="158" spans="2:11" ht="15" customHeight="1" x14ac:dyDescent="0.35">
      <c r="B158" s="5">
        <v>137</v>
      </c>
      <c r="C158" s="46">
        <f t="shared" ca="1" si="18"/>
        <v>2.8398837862072686</v>
      </c>
      <c r="D158" s="47">
        <f t="shared" ca="1" si="19"/>
        <v>3387146563.7586107</v>
      </c>
      <c r="E158" s="47">
        <f t="shared" ca="1" si="20"/>
        <v>3900952650757.4409</v>
      </c>
      <c r="F158" s="47">
        <f t="shared" ca="1" si="21"/>
        <v>1758083156725.2446</v>
      </c>
      <c r="G158" s="47">
        <f t="shared" ca="1" si="22"/>
        <v>10756479412521.611</v>
      </c>
      <c r="H158" s="47">
        <f t="shared" ca="1" si="23"/>
        <v>3900952650757.4409</v>
      </c>
      <c r="I158" s="47">
        <f t="shared" ca="1" si="24"/>
        <v>15924866856931.156</v>
      </c>
      <c r="J158" s="47">
        <f t="shared" ca="1" si="25"/>
        <v>895094336345.52271</v>
      </c>
      <c r="K158" s="48">
        <f t="shared" ca="1" si="26"/>
        <v>17.791272059600953</v>
      </c>
    </row>
    <row r="159" spans="2:11" ht="15" customHeight="1" x14ac:dyDescent="0.35">
      <c r="B159" s="5">
        <v>138</v>
      </c>
      <c r="C159" s="46">
        <f t="shared" ca="1" si="18"/>
        <v>2.433498314798745</v>
      </c>
      <c r="D159" s="47">
        <f t="shared" ca="1" si="19"/>
        <v>1866956190.7091506</v>
      </c>
      <c r="E159" s="47">
        <f t="shared" ca="1" si="20"/>
        <v>10890054960465.188</v>
      </c>
      <c r="F159" s="47">
        <f t="shared" ca="1" si="21"/>
        <v>14976353165826.988</v>
      </c>
      <c r="G159" s="47">
        <f t="shared" ca="1" si="22"/>
        <v>4215447979667.0977</v>
      </c>
      <c r="H159" s="47">
        <f t="shared" ca="1" si="23"/>
        <v>10890054960465.188</v>
      </c>
      <c r="I159" s="47">
        <f t="shared" ca="1" si="24"/>
        <v>14415674862629.92</v>
      </c>
      <c r="J159" s="47">
        <f t="shared" ca="1" si="25"/>
        <v>1586924926399.635</v>
      </c>
      <c r="K159" s="48">
        <f t="shared" ca="1" si="26"/>
        <v>9.08403077096769</v>
      </c>
    </row>
    <row r="160" spans="2:11" ht="15" customHeight="1" x14ac:dyDescent="0.35">
      <c r="B160" s="5">
        <v>139</v>
      </c>
      <c r="C160" s="46">
        <f t="shared" ca="1" si="18"/>
        <v>2.2976243119845474</v>
      </c>
      <c r="D160" s="47">
        <f t="shared" ca="1" si="19"/>
        <v>1294499335.1129944</v>
      </c>
      <c r="E160" s="47">
        <f t="shared" ca="1" si="20"/>
        <v>4511726601314.7676</v>
      </c>
      <c r="F160" s="47">
        <f t="shared" ca="1" si="21"/>
        <v>3167896201460.7671</v>
      </c>
      <c r="G160" s="47">
        <f t="shared" ca="1" si="22"/>
        <v>1886119523577.7007</v>
      </c>
      <c r="H160" s="47">
        <f t="shared" ca="1" si="23"/>
        <v>3167896201460.7671</v>
      </c>
      <c r="I160" s="47">
        <f t="shared" ca="1" si="24"/>
        <v>511221742398.71832</v>
      </c>
      <c r="J160" s="47">
        <f t="shared" ca="1" si="25"/>
        <v>1418245860658.0518</v>
      </c>
      <c r="K160" s="48">
        <f t="shared" ca="1" si="26"/>
        <v>0.36046059190436602</v>
      </c>
    </row>
    <row r="161" spans="2:11" ht="15" customHeight="1" x14ac:dyDescent="0.35">
      <c r="B161" s="5">
        <v>140</v>
      </c>
      <c r="C161" s="46">
        <f t="shared" ca="1" si="18"/>
        <v>4.3297342380817625</v>
      </c>
      <c r="D161" s="47">
        <f t="shared" ca="1" si="19"/>
        <v>29858346150.918369</v>
      </c>
      <c r="E161" s="47">
        <f t="shared" ca="1" si="20"/>
        <v>199912645200786.09</v>
      </c>
      <c r="F161" s="47">
        <f t="shared" ca="1" si="21"/>
        <v>6257314559247.9297</v>
      </c>
      <c r="G161" s="47">
        <f t="shared" ca="1" si="22"/>
        <v>476599514539.60376</v>
      </c>
      <c r="H161" s="47">
        <f t="shared" ca="1" si="23"/>
        <v>199912645200786.09</v>
      </c>
      <c r="I161" s="47">
        <f t="shared" ca="1" si="24"/>
        <v>2947973319975.4595</v>
      </c>
      <c r="J161" s="47">
        <f t="shared" ca="1" si="25"/>
        <v>740028331395.58167</v>
      </c>
      <c r="K161" s="48">
        <f t="shared" ca="1" si="26"/>
        <v>3.983595215085924</v>
      </c>
    </row>
    <row r="162" spans="2:11" ht="15" customHeight="1" x14ac:dyDescent="0.35">
      <c r="B162" s="5">
        <v>141</v>
      </c>
      <c r="C162" s="46">
        <f t="shared" ca="1" si="18"/>
        <v>3.4940580574922624</v>
      </c>
      <c r="D162" s="47">
        <f t="shared" ca="1" si="19"/>
        <v>10470421327.335484</v>
      </c>
      <c r="E162" s="47">
        <f t="shared" ca="1" si="20"/>
        <v>17790426211511.453</v>
      </c>
      <c r="F162" s="47">
        <f t="shared" ca="1" si="21"/>
        <v>7342982523809.2686</v>
      </c>
      <c r="G162" s="47">
        <f t="shared" ca="1" si="22"/>
        <v>496838060818.7348</v>
      </c>
      <c r="H162" s="47">
        <f t="shared" ca="1" si="23"/>
        <v>496838060818.7348</v>
      </c>
      <c r="I162" s="47">
        <f t="shared" ca="1" si="24"/>
        <v>2731119438863.502</v>
      </c>
      <c r="J162" s="47">
        <f t="shared" ca="1" si="25"/>
        <v>1254015099465.3726</v>
      </c>
      <c r="K162" s="48">
        <f t="shared" ca="1" si="26"/>
        <v>2.177899963108791</v>
      </c>
    </row>
    <row r="163" spans="2:11" ht="15" customHeight="1" x14ac:dyDescent="0.35">
      <c r="B163" s="5">
        <v>142</v>
      </c>
      <c r="C163" s="46">
        <f t="shared" ca="1" si="18"/>
        <v>2.8832112595672728</v>
      </c>
      <c r="D163" s="47">
        <f t="shared" ca="1" si="19"/>
        <v>3421820857.9512768</v>
      </c>
      <c r="E163" s="47">
        <f t="shared" ca="1" si="20"/>
        <v>18214584404104.414</v>
      </c>
      <c r="F163" s="47">
        <f t="shared" ca="1" si="21"/>
        <v>3761534669102.5605</v>
      </c>
      <c r="G163" s="47">
        <f t="shared" ca="1" si="22"/>
        <v>5757642015992.5225</v>
      </c>
      <c r="H163" s="47">
        <f t="shared" ca="1" si="23"/>
        <v>3761534669102.5605</v>
      </c>
      <c r="I163" s="47">
        <f t="shared" ca="1" si="24"/>
        <v>23101941253715.57</v>
      </c>
      <c r="J163" s="47">
        <f t="shared" ca="1" si="25"/>
        <v>863991714184.72546</v>
      </c>
      <c r="K163" s="48">
        <f t="shared" ca="1" si="26"/>
        <v>26.738614357563467</v>
      </c>
    </row>
    <row r="164" spans="2:11" ht="15" customHeight="1" x14ac:dyDescent="0.35">
      <c r="B164" s="5">
        <v>143</v>
      </c>
      <c r="C164" s="46">
        <f t="shared" ca="1" si="18"/>
        <v>2.9726733940788499</v>
      </c>
      <c r="D164" s="47">
        <f t="shared" ca="1" si="19"/>
        <v>4428930386.7221708</v>
      </c>
      <c r="E164" s="47">
        <f t="shared" ca="1" si="20"/>
        <v>20542820755313.152</v>
      </c>
      <c r="F164" s="47">
        <f t="shared" ca="1" si="21"/>
        <v>1865972310694.4116</v>
      </c>
      <c r="G164" s="47">
        <f t="shared" ca="1" si="22"/>
        <v>20085436684987.027</v>
      </c>
      <c r="H164" s="47">
        <f t="shared" ca="1" si="23"/>
        <v>20542820755313.152</v>
      </c>
      <c r="I164" s="47">
        <f t="shared" ca="1" si="24"/>
        <v>5511673341508.5762</v>
      </c>
      <c r="J164" s="47">
        <f t="shared" ca="1" si="25"/>
        <v>915023803305.07166</v>
      </c>
      <c r="K164" s="48">
        <f t="shared" ca="1" si="26"/>
        <v>6.0235300126623788</v>
      </c>
    </row>
    <row r="165" spans="2:11" ht="15" customHeight="1" x14ac:dyDescent="0.35">
      <c r="B165" s="5">
        <v>144</v>
      </c>
      <c r="C165" s="46">
        <f t="shared" ca="1" si="18"/>
        <v>3.5492287336616473</v>
      </c>
      <c r="D165" s="47">
        <f t="shared" ca="1" si="19"/>
        <v>9318565077.0755768</v>
      </c>
      <c r="E165" s="47">
        <f t="shared" ca="1" si="20"/>
        <v>60178879015667.648</v>
      </c>
      <c r="F165" s="47">
        <f t="shared" ca="1" si="21"/>
        <v>24132355066092.98</v>
      </c>
      <c r="G165" s="47">
        <f t="shared" ca="1" si="22"/>
        <v>756571550049.84277</v>
      </c>
      <c r="H165" s="47">
        <f t="shared" ca="1" si="23"/>
        <v>24132355066092.98</v>
      </c>
      <c r="I165" s="47">
        <f t="shared" ca="1" si="24"/>
        <v>5154263878816.8457</v>
      </c>
      <c r="J165" s="47">
        <f t="shared" ca="1" si="25"/>
        <v>2409539161276.1943</v>
      </c>
      <c r="K165" s="48">
        <f t="shared" ca="1" si="26"/>
        <v>2.1391077437757553</v>
      </c>
    </row>
    <row r="166" spans="2:11" ht="15" customHeight="1" x14ac:dyDescent="0.35">
      <c r="B166" s="5">
        <v>145</v>
      </c>
      <c r="C166" s="46">
        <f t="shared" ca="1" si="18"/>
        <v>3.0866786496871361</v>
      </c>
      <c r="D166" s="47">
        <f t="shared" ca="1" si="19"/>
        <v>5178861170.3430223</v>
      </c>
      <c r="E166" s="47">
        <f t="shared" ca="1" si="20"/>
        <v>47333066706711.695</v>
      </c>
      <c r="F166" s="47">
        <f t="shared" ca="1" si="21"/>
        <v>1781243606589.6804</v>
      </c>
      <c r="G166" s="47">
        <f t="shared" ca="1" si="22"/>
        <v>4564958293143.0684</v>
      </c>
      <c r="H166" s="47">
        <f t="shared" ca="1" si="23"/>
        <v>4564958293143.0684</v>
      </c>
      <c r="I166" s="47">
        <f t="shared" ca="1" si="24"/>
        <v>40095937409290.063</v>
      </c>
      <c r="J166" s="47">
        <f t="shared" ca="1" si="25"/>
        <v>1270841451106.5549</v>
      </c>
      <c r="K166" s="48">
        <f t="shared" ca="1" si="26"/>
        <v>31.550700029793237</v>
      </c>
    </row>
    <row r="167" spans="2:11" ht="15" customHeight="1" x14ac:dyDescent="0.35">
      <c r="B167" s="5">
        <v>146</v>
      </c>
      <c r="C167" s="46">
        <f t="shared" ca="1" si="18"/>
        <v>3.2892325397947952</v>
      </c>
      <c r="D167" s="47">
        <f t="shared" ca="1" si="19"/>
        <v>6188745413.0802498</v>
      </c>
      <c r="E167" s="47">
        <f t="shared" ca="1" si="20"/>
        <v>21981681793858.07</v>
      </c>
      <c r="F167" s="47">
        <f t="shared" ca="1" si="21"/>
        <v>1955626747398.8586</v>
      </c>
      <c r="G167" s="47">
        <f t="shared" ca="1" si="22"/>
        <v>8697651753699.3662</v>
      </c>
      <c r="H167" s="47">
        <f t="shared" ca="1" si="23"/>
        <v>8697651753699.3662</v>
      </c>
      <c r="I167" s="47">
        <f t="shared" ca="1" si="24"/>
        <v>4259464690575.4834</v>
      </c>
      <c r="J167" s="47">
        <f t="shared" ca="1" si="25"/>
        <v>1053522786865.027</v>
      </c>
      <c r="K167" s="48">
        <f t="shared" ca="1" si="26"/>
        <v>4.0430684022036143</v>
      </c>
    </row>
    <row r="168" spans="2:11" ht="15" customHeight="1" x14ac:dyDescent="0.35">
      <c r="B168" s="5">
        <v>147</v>
      </c>
      <c r="C168" s="46">
        <f t="shared" ca="1" si="18"/>
        <v>3.1318982491086547</v>
      </c>
      <c r="D168" s="47">
        <f t="shared" ca="1" si="19"/>
        <v>6053263466.1981916</v>
      </c>
      <c r="E168" s="47">
        <f t="shared" ca="1" si="20"/>
        <v>18058453661434.234</v>
      </c>
      <c r="F168" s="47">
        <f t="shared" ca="1" si="21"/>
        <v>20407739224610.98</v>
      </c>
      <c r="G168" s="47">
        <f t="shared" ca="1" si="22"/>
        <v>181883834159.20853</v>
      </c>
      <c r="H168" s="47">
        <f t="shared" ca="1" si="23"/>
        <v>181883834159.20853</v>
      </c>
      <c r="I168" s="47">
        <f t="shared" ca="1" si="24"/>
        <v>26367403670624.949</v>
      </c>
      <c r="J168" s="47">
        <f t="shared" ca="1" si="25"/>
        <v>1904985793120.1519</v>
      </c>
      <c r="K168" s="48">
        <f t="shared" ca="1" si="26"/>
        <v>13.841260006164202</v>
      </c>
    </row>
    <row r="169" spans="2:11" ht="15" customHeight="1" x14ac:dyDescent="0.35">
      <c r="B169" s="5">
        <v>148</v>
      </c>
      <c r="C169" s="46">
        <f t="shared" ca="1" si="18"/>
        <v>3.0455810280654432</v>
      </c>
      <c r="D169" s="47">
        <f t="shared" ca="1" si="19"/>
        <v>4471217577.6367989</v>
      </c>
      <c r="E169" s="47">
        <f t="shared" ca="1" si="20"/>
        <v>45552069384412.977</v>
      </c>
      <c r="F169" s="47">
        <f t="shared" ca="1" si="21"/>
        <v>8966534914968.3164</v>
      </c>
      <c r="G169" s="47">
        <f t="shared" ca="1" si="22"/>
        <v>1393131729951.7732</v>
      </c>
      <c r="H169" s="47">
        <f t="shared" ca="1" si="23"/>
        <v>8966534914968.3164</v>
      </c>
      <c r="I169" s="47">
        <f t="shared" ca="1" si="24"/>
        <v>6427322915274.9922</v>
      </c>
      <c r="J169" s="47">
        <f t="shared" ca="1" si="25"/>
        <v>1091463392700.3269</v>
      </c>
      <c r="K169" s="48">
        <f t="shared" ca="1" si="26"/>
        <v>5.8887205546798249</v>
      </c>
    </row>
    <row r="170" spans="2:11" ht="15" customHeight="1" x14ac:dyDescent="0.35">
      <c r="B170" s="5">
        <v>149</v>
      </c>
      <c r="C170" s="46">
        <f t="shared" ca="1" si="18"/>
        <v>3.3019771569060525</v>
      </c>
      <c r="D170" s="47">
        <f t="shared" ca="1" si="19"/>
        <v>8959257098.2887516</v>
      </c>
      <c r="E170" s="47">
        <f t="shared" ca="1" si="20"/>
        <v>47942629921611.008</v>
      </c>
      <c r="F170" s="47">
        <f t="shared" ca="1" si="21"/>
        <v>1502276897306.0132</v>
      </c>
      <c r="G170" s="47">
        <f t="shared" ca="1" si="22"/>
        <v>2059360563196.1843</v>
      </c>
      <c r="H170" s="47">
        <f t="shared" ca="1" si="23"/>
        <v>47942629921611.008</v>
      </c>
      <c r="I170" s="47">
        <f t="shared" ca="1" si="24"/>
        <v>39917812247926.297</v>
      </c>
      <c r="J170" s="47">
        <f t="shared" ca="1" si="25"/>
        <v>1534389071142.3457</v>
      </c>
      <c r="K170" s="48">
        <f t="shared" ca="1" si="26"/>
        <v>26.015443539497884</v>
      </c>
    </row>
    <row r="171" spans="2:11" ht="15" customHeight="1" x14ac:dyDescent="0.35">
      <c r="B171" s="5">
        <v>150</v>
      </c>
      <c r="C171" s="46">
        <f t="shared" ca="1" si="18"/>
        <v>2.9601069826221442</v>
      </c>
      <c r="D171" s="47">
        <f t="shared" ca="1" si="19"/>
        <v>4317601771.6728106</v>
      </c>
      <c r="E171" s="47">
        <f t="shared" ca="1" si="20"/>
        <v>42740845633985.695</v>
      </c>
      <c r="F171" s="47">
        <f t="shared" ca="1" si="21"/>
        <v>20380131492391.574</v>
      </c>
      <c r="G171" s="47">
        <f t="shared" ca="1" si="22"/>
        <v>24112559498577.965</v>
      </c>
      <c r="H171" s="47">
        <f t="shared" ca="1" si="23"/>
        <v>42740845633985.695</v>
      </c>
      <c r="I171" s="47">
        <f t="shared" ca="1" si="24"/>
        <v>5218577026733.2363</v>
      </c>
      <c r="J171" s="47">
        <f t="shared" ca="1" si="25"/>
        <v>696411647167.81396</v>
      </c>
      <c r="K171" s="48">
        <f t="shared" ca="1" si="26"/>
        <v>7.4935234755999396</v>
      </c>
    </row>
    <row r="172" spans="2:11" ht="15" customHeight="1" x14ac:dyDescent="0.35">
      <c r="B172" s="5">
        <v>151</v>
      </c>
      <c r="C172" s="46">
        <f t="shared" ca="1" si="18"/>
        <v>3.3454138315140471</v>
      </c>
      <c r="D172" s="47">
        <f t="shared" ca="1" si="19"/>
        <v>9355075745.7280979</v>
      </c>
      <c r="E172" s="47">
        <f t="shared" ca="1" si="20"/>
        <v>43295776524972.188</v>
      </c>
      <c r="F172" s="47">
        <f t="shared" ca="1" si="21"/>
        <v>7055479841986.6094</v>
      </c>
      <c r="G172" s="47">
        <f t="shared" ca="1" si="22"/>
        <v>5764075526931.8652</v>
      </c>
      <c r="H172" s="47">
        <f t="shared" ca="1" si="23"/>
        <v>7055479841986.6094</v>
      </c>
      <c r="I172" s="47">
        <f t="shared" ca="1" si="24"/>
        <v>22848265668792.871</v>
      </c>
      <c r="J172" s="47">
        <f t="shared" ca="1" si="25"/>
        <v>1239726349803.1306</v>
      </c>
      <c r="K172" s="48">
        <f t="shared" ca="1" si="26"/>
        <v>18.430087956443931</v>
      </c>
    </row>
    <row r="173" spans="2:11" ht="15" customHeight="1" x14ac:dyDescent="0.35">
      <c r="B173" s="5">
        <v>152</v>
      </c>
      <c r="C173" s="46">
        <f t="shared" ca="1" si="18"/>
        <v>2.992464093635085</v>
      </c>
      <c r="D173" s="47">
        <f t="shared" ca="1" si="19"/>
        <v>4608327570.1158209</v>
      </c>
      <c r="E173" s="47">
        <f t="shared" ca="1" si="20"/>
        <v>3514128806701.9707</v>
      </c>
      <c r="F173" s="47">
        <f t="shared" ca="1" si="21"/>
        <v>5556470623672.542</v>
      </c>
      <c r="G173" s="47">
        <f t="shared" ca="1" si="22"/>
        <v>2189355812139.4531</v>
      </c>
      <c r="H173" s="47">
        <f t="shared" ca="1" si="23"/>
        <v>3514128806701.9707</v>
      </c>
      <c r="I173" s="47">
        <f t="shared" ca="1" si="24"/>
        <v>206098517344990.81</v>
      </c>
      <c r="J173" s="47">
        <f t="shared" ca="1" si="25"/>
        <v>1255566561202.0342</v>
      </c>
      <c r="K173" s="48">
        <f t="shared" ca="1" si="26"/>
        <v>164.14782275475665</v>
      </c>
    </row>
    <row r="174" spans="2:11" ht="15" customHeight="1" x14ac:dyDescent="0.35">
      <c r="B174" s="5">
        <v>153</v>
      </c>
      <c r="C174" s="46">
        <f t="shared" ca="1" si="18"/>
        <v>3.7914681160152375</v>
      </c>
      <c r="D174" s="47">
        <f t="shared" ca="1" si="19"/>
        <v>15711563786.091625</v>
      </c>
      <c r="E174" s="47">
        <f t="shared" ca="1" si="20"/>
        <v>70804261200938.875</v>
      </c>
      <c r="F174" s="47">
        <f t="shared" ca="1" si="21"/>
        <v>3553225429372.5215</v>
      </c>
      <c r="G174" s="47">
        <f t="shared" ca="1" si="22"/>
        <v>441242240820.71527</v>
      </c>
      <c r="H174" s="47">
        <f t="shared" ca="1" si="23"/>
        <v>70804261200938.875</v>
      </c>
      <c r="I174" s="47">
        <f t="shared" ca="1" si="24"/>
        <v>6979022687179.6211</v>
      </c>
      <c r="J174" s="47">
        <f t="shared" ca="1" si="25"/>
        <v>937246731931.48523</v>
      </c>
      <c r="K174" s="48">
        <f t="shared" ca="1" si="26"/>
        <v>7.4463025043546409</v>
      </c>
    </row>
    <row r="175" spans="2:11" ht="15" customHeight="1" x14ac:dyDescent="0.35">
      <c r="B175" s="5">
        <v>154</v>
      </c>
      <c r="C175" s="46">
        <f t="shared" ca="1" si="18"/>
        <v>3.1634632944240764</v>
      </c>
      <c r="D175" s="47">
        <f t="shared" ca="1" si="19"/>
        <v>5369679309.44067</v>
      </c>
      <c r="E175" s="47">
        <f t="shared" ca="1" si="20"/>
        <v>4472980423513</v>
      </c>
      <c r="F175" s="47">
        <f t="shared" ca="1" si="21"/>
        <v>3025248430819.5415</v>
      </c>
      <c r="G175" s="47">
        <f t="shared" ca="1" si="22"/>
        <v>4004334533169.3916</v>
      </c>
      <c r="H175" s="47">
        <f t="shared" ca="1" si="23"/>
        <v>4004334533169.3916</v>
      </c>
      <c r="I175" s="47">
        <f t="shared" ca="1" si="24"/>
        <v>170973124764.48819</v>
      </c>
      <c r="J175" s="47">
        <f t="shared" ca="1" si="25"/>
        <v>1630662039852.3196</v>
      </c>
      <c r="K175" s="48">
        <f t="shared" ca="1" si="26"/>
        <v>0.10484890221641041</v>
      </c>
    </row>
    <row r="176" spans="2:11" ht="15" customHeight="1" x14ac:dyDescent="0.35">
      <c r="B176" s="5">
        <v>155</v>
      </c>
      <c r="C176" s="46">
        <f t="shared" ca="1" si="18"/>
        <v>3.1325411723770449</v>
      </c>
      <c r="D176" s="47">
        <f t="shared" ca="1" si="19"/>
        <v>6345500921.0213928</v>
      </c>
      <c r="E176" s="47">
        <f t="shared" ca="1" si="20"/>
        <v>27316134282133.273</v>
      </c>
      <c r="F176" s="47">
        <f t="shared" ca="1" si="21"/>
        <v>2297906301440.7354</v>
      </c>
      <c r="G176" s="47">
        <f t="shared" ca="1" si="22"/>
        <v>4520964142984.3418</v>
      </c>
      <c r="H176" s="47">
        <f t="shared" ca="1" si="23"/>
        <v>4520964142984.3418</v>
      </c>
      <c r="I176" s="47">
        <f t="shared" ca="1" si="24"/>
        <v>1468262677502.8679</v>
      </c>
      <c r="J176" s="47">
        <f t="shared" ca="1" si="25"/>
        <v>801846282450.10388</v>
      </c>
      <c r="K176" s="48">
        <f t="shared" ca="1" si="26"/>
        <v>1.8311024315240032</v>
      </c>
    </row>
    <row r="177" spans="2:11" ht="15" customHeight="1" x14ac:dyDescent="0.35">
      <c r="B177" s="5">
        <v>156</v>
      </c>
      <c r="C177" s="46">
        <f t="shared" ca="1" si="18"/>
        <v>3.3160223628157275</v>
      </c>
      <c r="D177" s="47">
        <f t="shared" ca="1" si="19"/>
        <v>8122419440.8427582</v>
      </c>
      <c r="E177" s="47">
        <f t="shared" ca="1" si="20"/>
        <v>20227158977882.906</v>
      </c>
      <c r="F177" s="47">
        <f t="shared" ca="1" si="21"/>
        <v>1066922128199.9121</v>
      </c>
      <c r="G177" s="47">
        <f t="shared" ca="1" si="22"/>
        <v>58702228373239.258</v>
      </c>
      <c r="H177" s="47">
        <f t="shared" ca="1" si="23"/>
        <v>1066922128199.9121</v>
      </c>
      <c r="I177" s="47">
        <f t="shared" ca="1" si="24"/>
        <v>4026753421212.6475</v>
      </c>
      <c r="J177" s="47">
        <f t="shared" ca="1" si="25"/>
        <v>770316306508.64783</v>
      </c>
      <c r="K177" s="48">
        <f t="shared" ca="1" si="26"/>
        <v>5.2274025451484345</v>
      </c>
    </row>
    <row r="178" spans="2:11" ht="15" customHeight="1" x14ac:dyDescent="0.35">
      <c r="B178" s="5">
        <v>157</v>
      </c>
      <c r="C178" s="46">
        <f t="shared" ca="1" si="18"/>
        <v>2.9876641101226502</v>
      </c>
      <c r="D178" s="47">
        <f t="shared" ca="1" si="19"/>
        <v>5658972645.7386885</v>
      </c>
      <c r="E178" s="47">
        <f t="shared" ca="1" si="20"/>
        <v>32825951446220.91</v>
      </c>
      <c r="F178" s="47">
        <f t="shared" ca="1" si="21"/>
        <v>21252447800151.664</v>
      </c>
      <c r="G178" s="47">
        <f t="shared" ca="1" si="22"/>
        <v>4899768398975.0518</v>
      </c>
      <c r="H178" s="47">
        <f t="shared" ca="1" si="23"/>
        <v>4899768398975.0518</v>
      </c>
      <c r="I178" s="47">
        <f t="shared" ca="1" si="24"/>
        <v>2577053003926.4565</v>
      </c>
      <c r="J178" s="47">
        <f t="shared" ca="1" si="25"/>
        <v>2063165614200.2639</v>
      </c>
      <c r="K178" s="48">
        <f t="shared" ca="1" si="26"/>
        <v>1.2490771396097489</v>
      </c>
    </row>
    <row r="179" spans="2:11" ht="15" customHeight="1" x14ac:dyDescent="0.35">
      <c r="B179" s="5">
        <v>158</v>
      </c>
      <c r="C179" s="46">
        <f t="shared" ca="1" si="18"/>
        <v>3.7817214610224785</v>
      </c>
      <c r="D179" s="47">
        <f t="shared" ca="1" si="19"/>
        <v>18520600635.430054</v>
      </c>
      <c r="E179" s="47">
        <f t="shared" ca="1" si="20"/>
        <v>42165233591102.578</v>
      </c>
      <c r="F179" s="47">
        <f t="shared" ca="1" si="21"/>
        <v>703790590440.68518</v>
      </c>
      <c r="G179" s="47">
        <f t="shared" ca="1" si="22"/>
        <v>1227629472265.531</v>
      </c>
      <c r="H179" s="47">
        <f t="shared" ca="1" si="23"/>
        <v>1227629472265.531</v>
      </c>
      <c r="I179" s="47">
        <f t="shared" ca="1" si="24"/>
        <v>759775220647.7926</v>
      </c>
      <c r="J179" s="47">
        <f t="shared" ca="1" si="25"/>
        <v>2245785965433.9937</v>
      </c>
      <c r="K179" s="48">
        <f t="shared" ca="1" si="26"/>
        <v>0.33831150089183482</v>
      </c>
    </row>
    <row r="180" spans="2:11" ht="15" customHeight="1" x14ac:dyDescent="0.35">
      <c r="B180" s="5">
        <v>159</v>
      </c>
      <c r="C180" s="46">
        <f t="shared" ca="1" si="18"/>
        <v>3.4798787362446051</v>
      </c>
      <c r="D180" s="47">
        <f t="shared" ca="1" si="19"/>
        <v>10492089405.190857</v>
      </c>
      <c r="E180" s="47">
        <f t="shared" ca="1" si="20"/>
        <v>39050865984678.523</v>
      </c>
      <c r="F180" s="47">
        <f t="shared" ca="1" si="21"/>
        <v>6880088359128.2959</v>
      </c>
      <c r="G180" s="47">
        <f t="shared" ca="1" si="22"/>
        <v>1932692823879.7185</v>
      </c>
      <c r="H180" s="47">
        <f t="shared" ca="1" si="23"/>
        <v>39050865984678.523</v>
      </c>
      <c r="I180" s="47">
        <f t="shared" ca="1" si="24"/>
        <v>5526854474540.2783</v>
      </c>
      <c r="J180" s="47">
        <f t="shared" ca="1" si="25"/>
        <v>1329798274086.1023</v>
      </c>
      <c r="K180" s="48">
        <f t="shared" ca="1" si="26"/>
        <v>4.1561600599448694</v>
      </c>
    </row>
    <row r="181" spans="2:11" ht="15" customHeight="1" x14ac:dyDescent="0.35">
      <c r="B181" s="5">
        <v>160</v>
      </c>
      <c r="C181" s="46">
        <f t="shared" ca="1" si="18"/>
        <v>2.8388298147449711</v>
      </c>
      <c r="D181" s="47">
        <f t="shared" ca="1" si="19"/>
        <v>3387730239.3103986</v>
      </c>
      <c r="E181" s="47">
        <f t="shared" ca="1" si="20"/>
        <v>22871078725743.445</v>
      </c>
      <c r="F181" s="47">
        <f t="shared" ca="1" si="21"/>
        <v>2819003362987.5386</v>
      </c>
      <c r="G181" s="47">
        <f t="shared" ca="1" si="22"/>
        <v>1504111273432.0447</v>
      </c>
      <c r="H181" s="47">
        <f t="shared" ca="1" si="23"/>
        <v>2819003362987.5386</v>
      </c>
      <c r="I181" s="47">
        <f t="shared" ca="1" si="24"/>
        <v>7333724836007.7676</v>
      </c>
      <c r="J181" s="47">
        <f t="shared" ca="1" si="25"/>
        <v>1713858332981.2666</v>
      </c>
      <c r="K181" s="48">
        <f t="shared" ca="1" si="26"/>
        <v>4.2790729518761976</v>
      </c>
    </row>
    <row r="182" spans="2:11" ht="15" customHeight="1" x14ac:dyDescent="0.35">
      <c r="B182" s="5">
        <v>161</v>
      </c>
      <c r="C182" s="46">
        <f t="shared" ca="1" si="18"/>
        <v>3.1407010862191131</v>
      </c>
      <c r="D182" s="47">
        <f t="shared" ca="1" si="19"/>
        <v>6354010053.3847904</v>
      </c>
      <c r="E182" s="47">
        <f t="shared" ca="1" si="20"/>
        <v>17262251104226.73</v>
      </c>
      <c r="F182" s="47">
        <f t="shared" ca="1" si="21"/>
        <v>893781420937.15723</v>
      </c>
      <c r="G182" s="47">
        <f t="shared" ca="1" si="22"/>
        <v>10468559737386.156</v>
      </c>
      <c r="H182" s="47">
        <f t="shared" ca="1" si="23"/>
        <v>10468559737386.156</v>
      </c>
      <c r="I182" s="47">
        <f t="shared" ca="1" si="24"/>
        <v>1942069255427.458</v>
      </c>
      <c r="J182" s="47">
        <f t="shared" ca="1" si="25"/>
        <v>1475406549778.3596</v>
      </c>
      <c r="K182" s="48">
        <f t="shared" ca="1" si="26"/>
        <v>1.3162943161118554</v>
      </c>
    </row>
    <row r="183" spans="2:11" ht="15" customHeight="1" x14ac:dyDescent="0.35">
      <c r="B183" s="5">
        <v>162</v>
      </c>
      <c r="C183" s="46">
        <f t="shared" ca="1" si="18"/>
        <v>2.7566578255493042</v>
      </c>
      <c r="D183" s="47">
        <f t="shared" ca="1" si="19"/>
        <v>2978202673.3718014</v>
      </c>
      <c r="E183" s="47">
        <f t="shared" ca="1" si="20"/>
        <v>5080703604509.7686</v>
      </c>
      <c r="F183" s="47">
        <f t="shared" ca="1" si="21"/>
        <v>3582672079765.6494</v>
      </c>
      <c r="G183" s="47">
        <f t="shared" ca="1" si="22"/>
        <v>7311953188314.0225</v>
      </c>
      <c r="H183" s="47">
        <f t="shared" ca="1" si="23"/>
        <v>7311953188314.0225</v>
      </c>
      <c r="I183" s="47">
        <f t="shared" ca="1" si="24"/>
        <v>69970056110101.07</v>
      </c>
      <c r="J183" s="47">
        <f t="shared" ca="1" si="25"/>
        <v>2083741677445.0764</v>
      </c>
      <c r="K183" s="48">
        <f t="shared" ca="1" si="26"/>
        <v>33.579045266250546</v>
      </c>
    </row>
    <row r="184" spans="2:11" ht="15" customHeight="1" x14ac:dyDescent="0.35">
      <c r="B184" s="5">
        <v>163</v>
      </c>
      <c r="C184" s="46">
        <f t="shared" ca="1" si="18"/>
        <v>2.6719566178648635</v>
      </c>
      <c r="D184" s="47">
        <f t="shared" ca="1" si="19"/>
        <v>2695079352.0476232</v>
      </c>
      <c r="E184" s="47">
        <f t="shared" ca="1" si="20"/>
        <v>10399475238775.053</v>
      </c>
      <c r="F184" s="47">
        <f t="shared" ca="1" si="21"/>
        <v>1028251291027.9851</v>
      </c>
      <c r="G184" s="47">
        <f t="shared" ca="1" si="22"/>
        <v>5904067537928.2471</v>
      </c>
      <c r="H184" s="47">
        <f t="shared" ca="1" si="23"/>
        <v>1028251291027.9851</v>
      </c>
      <c r="I184" s="47">
        <f t="shared" ca="1" si="24"/>
        <v>8260426921703.6826</v>
      </c>
      <c r="J184" s="47">
        <f t="shared" ca="1" si="25"/>
        <v>1174937349425.2507</v>
      </c>
      <c r="K184" s="48">
        <f t="shared" ca="1" si="26"/>
        <v>7.0305254367345391</v>
      </c>
    </row>
    <row r="185" spans="2:11" ht="15" customHeight="1" x14ac:dyDescent="0.35">
      <c r="B185" s="5">
        <v>164</v>
      </c>
      <c r="C185" s="46">
        <f t="shared" ca="1" si="18"/>
        <v>3.3885282611016492</v>
      </c>
      <c r="D185" s="47">
        <f t="shared" ca="1" si="19"/>
        <v>10358827694.32671</v>
      </c>
      <c r="E185" s="47">
        <f t="shared" ca="1" si="20"/>
        <v>42195486162455.859</v>
      </c>
      <c r="F185" s="47">
        <f t="shared" ca="1" si="21"/>
        <v>6800344227024.0977</v>
      </c>
      <c r="G185" s="47">
        <f t="shared" ca="1" si="22"/>
        <v>1465176512737.8103</v>
      </c>
      <c r="H185" s="47">
        <f t="shared" ca="1" si="23"/>
        <v>1465176512737.8103</v>
      </c>
      <c r="I185" s="47">
        <f t="shared" ca="1" si="24"/>
        <v>20786097807304.891</v>
      </c>
      <c r="J185" s="47">
        <f t="shared" ca="1" si="25"/>
        <v>1764643042311.2832</v>
      </c>
      <c r="K185" s="48">
        <f t="shared" ca="1" si="26"/>
        <v>11.779208207502297</v>
      </c>
    </row>
    <row r="186" spans="2:11" ht="15" customHeight="1" x14ac:dyDescent="0.35">
      <c r="B186" s="5">
        <v>165</v>
      </c>
      <c r="C186" s="46">
        <f t="shared" ca="1" si="18"/>
        <v>2.7530154088222112</v>
      </c>
      <c r="D186" s="47">
        <f t="shared" ca="1" si="19"/>
        <v>3704953239.6112819</v>
      </c>
      <c r="E186" s="47">
        <f t="shared" ca="1" si="20"/>
        <v>5609531735661.8213</v>
      </c>
      <c r="F186" s="47">
        <f t="shared" ca="1" si="21"/>
        <v>1332874370541.8604</v>
      </c>
      <c r="G186" s="47">
        <f t="shared" ca="1" si="22"/>
        <v>16259039706222.826</v>
      </c>
      <c r="H186" s="47">
        <f t="shared" ca="1" si="23"/>
        <v>5609531735661.8213</v>
      </c>
      <c r="I186" s="47">
        <f t="shared" ca="1" si="24"/>
        <v>15449741544400.941</v>
      </c>
      <c r="J186" s="47">
        <f t="shared" ca="1" si="25"/>
        <v>639560397337.7356</v>
      </c>
      <c r="K186" s="48">
        <f t="shared" ca="1" si="26"/>
        <v>24.156813975212923</v>
      </c>
    </row>
    <row r="187" spans="2:11" ht="15" customHeight="1" x14ac:dyDescent="0.35">
      <c r="B187" s="5">
        <v>166</v>
      </c>
      <c r="C187" s="46">
        <f t="shared" ca="1" si="18"/>
        <v>2.6940462184174478</v>
      </c>
      <c r="D187" s="47">
        <f t="shared" ca="1" si="19"/>
        <v>3302620311.1835995</v>
      </c>
      <c r="E187" s="47">
        <f t="shared" ca="1" si="20"/>
        <v>14954382398445.088</v>
      </c>
      <c r="F187" s="47">
        <f t="shared" ca="1" si="21"/>
        <v>13176898515817.463</v>
      </c>
      <c r="G187" s="47">
        <f t="shared" ca="1" si="22"/>
        <v>968772615041.90833</v>
      </c>
      <c r="H187" s="47">
        <f t="shared" ca="1" si="23"/>
        <v>13176898515817.463</v>
      </c>
      <c r="I187" s="47">
        <f t="shared" ca="1" si="24"/>
        <v>9006366633192.9473</v>
      </c>
      <c r="J187" s="47">
        <f t="shared" ca="1" si="25"/>
        <v>1492889797326.6565</v>
      </c>
      <c r="K187" s="48">
        <f t="shared" ca="1" si="26"/>
        <v>6.0328409031402073</v>
      </c>
    </row>
    <row r="188" spans="2:11" ht="15" customHeight="1" x14ac:dyDescent="0.35">
      <c r="B188" s="5">
        <v>167</v>
      </c>
      <c r="C188" s="46">
        <f t="shared" ca="1" si="18"/>
        <v>2.5440432782265026</v>
      </c>
      <c r="D188" s="47">
        <f t="shared" ca="1" si="19"/>
        <v>2192962383.4217434</v>
      </c>
      <c r="E188" s="47">
        <f t="shared" ca="1" si="20"/>
        <v>5617004609951.4092</v>
      </c>
      <c r="F188" s="47">
        <f t="shared" ca="1" si="21"/>
        <v>442783047941.63568</v>
      </c>
      <c r="G188" s="47">
        <f t="shared" ca="1" si="22"/>
        <v>2297461509740.959</v>
      </c>
      <c r="H188" s="47">
        <f t="shared" ca="1" si="23"/>
        <v>2297461509740.959</v>
      </c>
      <c r="I188" s="47">
        <f t="shared" ca="1" si="24"/>
        <v>13765629262501.527</v>
      </c>
      <c r="J188" s="47">
        <f t="shared" ca="1" si="25"/>
        <v>1579720812756.5752</v>
      </c>
      <c r="K188" s="48">
        <f t="shared" ca="1" si="26"/>
        <v>8.7139633480430199</v>
      </c>
    </row>
    <row r="189" spans="2:11" ht="15" customHeight="1" x14ac:dyDescent="0.35">
      <c r="B189" s="5">
        <v>168</v>
      </c>
      <c r="C189" s="46">
        <f t="shared" ca="1" si="18"/>
        <v>3.4819036937763905</v>
      </c>
      <c r="D189" s="47">
        <f t="shared" ca="1" si="19"/>
        <v>10775534956.79273</v>
      </c>
      <c r="E189" s="47">
        <f t="shared" ca="1" si="20"/>
        <v>75485117823331.516</v>
      </c>
      <c r="F189" s="47">
        <f t="shared" ca="1" si="21"/>
        <v>3007280811739.0464</v>
      </c>
      <c r="G189" s="47">
        <f t="shared" ca="1" si="22"/>
        <v>25380683697240.109</v>
      </c>
      <c r="H189" s="47">
        <f t="shared" ca="1" si="23"/>
        <v>75485117823331.516</v>
      </c>
      <c r="I189" s="47">
        <f t="shared" ca="1" si="24"/>
        <v>32834618114014.922</v>
      </c>
      <c r="J189" s="47">
        <f t="shared" ca="1" si="25"/>
        <v>1538943155334.4243</v>
      </c>
      <c r="K189" s="48">
        <f t="shared" ca="1" si="26"/>
        <v>21.335822574213083</v>
      </c>
    </row>
    <row r="190" spans="2:11" ht="15" customHeight="1" x14ac:dyDescent="0.35">
      <c r="B190" s="5">
        <v>169</v>
      </c>
      <c r="C190" s="46">
        <f t="shared" ca="1" si="18"/>
        <v>4.0840618843383014</v>
      </c>
      <c r="D190" s="47">
        <f t="shared" ca="1" si="19"/>
        <v>25174488301.837051</v>
      </c>
      <c r="E190" s="47">
        <f t="shared" ca="1" si="20"/>
        <v>108435130363918.59</v>
      </c>
      <c r="F190" s="47">
        <f t="shared" ca="1" si="21"/>
        <v>1986510069565.7759</v>
      </c>
      <c r="G190" s="47">
        <f t="shared" ca="1" si="22"/>
        <v>4272891629810.9292</v>
      </c>
      <c r="H190" s="47">
        <f t="shared" ca="1" si="23"/>
        <v>108435130363918.59</v>
      </c>
      <c r="I190" s="47">
        <f t="shared" ca="1" si="24"/>
        <v>6720566755384.6787</v>
      </c>
      <c r="J190" s="47">
        <f t="shared" ca="1" si="25"/>
        <v>1392224507073.1353</v>
      </c>
      <c r="K190" s="48">
        <f t="shared" ca="1" si="26"/>
        <v>4.8272148071242356</v>
      </c>
    </row>
    <row r="191" spans="2:11" ht="15" customHeight="1" x14ac:dyDescent="0.35">
      <c r="B191" s="5">
        <v>170</v>
      </c>
      <c r="C191" s="46">
        <f t="shared" ca="1" si="18"/>
        <v>3.1238050233360735</v>
      </c>
      <c r="D191" s="47">
        <f t="shared" ca="1" si="19"/>
        <v>5079476213.8568392</v>
      </c>
      <c r="E191" s="47">
        <f t="shared" ca="1" si="20"/>
        <v>9579147018065.084</v>
      </c>
      <c r="F191" s="47">
        <f t="shared" ca="1" si="21"/>
        <v>8102399608395.499</v>
      </c>
      <c r="G191" s="47">
        <f t="shared" ca="1" si="22"/>
        <v>24156242193039.328</v>
      </c>
      <c r="H191" s="47">
        <f t="shared" ca="1" si="23"/>
        <v>24156242193039.328</v>
      </c>
      <c r="I191" s="47">
        <f t="shared" ca="1" si="24"/>
        <v>29396230337536.438</v>
      </c>
      <c r="J191" s="47">
        <f t="shared" ca="1" si="25"/>
        <v>1899397804147.0986</v>
      </c>
      <c r="K191" s="48">
        <f t="shared" ca="1" si="26"/>
        <v>15.47660541322804</v>
      </c>
    </row>
    <row r="192" spans="2:11" ht="15" customHeight="1" x14ac:dyDescent="0.35">
      <c r="B192" s="5">
        <v>171</v>
      </c>
      <c r="C192" s="46">
        <f t="shared" ca="1" si="18"/>
        <v>3.4667878394994602</v>
      </c>
      <c r="D192" s="47">
        <f t="shared" ca="1" si="19"/>
        <v>11571025950.74436</v>
      </c>
      <c r="E192" s="47">
        <f t="shared" ca="1" si="20"/>
        <v>41763098834851.391</v>
      </c>
      <c r="F192" s="47">
        <f t="shared" ca="1" si="21"/>
        <v>4254765336385.2671</v>
      </c>
      <c r="G192" s="47">
        <f t="shared" ca="1" si="22"/>
        <v>14774535399480.883</v>
      </c>
      <c r="H192" s="47">
        <f t="shared" ca="1" si="23"/>
        <v>4254765336385.2671</v>
      </c>
      <c r="I192" s="47">
        <f t="shared" ca="1" si="24"/>
        <v>561732274050.40381</v>
      </c>
      <c r="J192" s="47">
        <f t="shared" ca="1" si="25"/>
        <v>1023450464060.9115</v>
      </c>
      <c r="K192" s="48">
        <f t="shared" ca="1" si="26"/>
        <v>0.54886122365075385</v>
      </c>
    </row>
    <row r="193" spans="2:11" ht="15" customHeight="1" x14ac:dyDescent="0.35">
      <c r="B193" s="5">
        <v>172</v>
      </c>
      <c r="C193" s="46">
        <f t="shared" ca="1" si="18"/>
        <v>2.769455372265853</v>
      </c>
      <c r="D193" s="47">
        <f t="shared" ca="1" si="19"/>
        <v>3390882726.3133602</v>
      </c>
      <c r="E193" s="47">
        <f t="shared" ca="1" si="20"/>
        <v>21143260598767.332</v>
      </c>
      <c r="F193" s="47">
        <f t="shared" ca="1" si="21"/>
        <v>189283250082.09222</v>
      </c>
      <c r="G193" s="47">
        <f t="shared" ca="1" si="22"/>
        <v>1780571293531.2742</v>
      </c>
      <c r="H193" s="47">
        <f t="shared" ca="1" si="23"/>
        <v>21143260598767.332</v>
      </c>
      <c r="I193" s="47">
        <f t="shared" ca="1" si="24"/>
        <v>30250368260353.234</v>
      </c>
      <c r="J193" s="47">
        <f t="shared" ca="1" si="25"/>
        <v>1506223427759.1343</v>
      </c>
      <c r="K193" s="48">
        <f t="shared" ca="1" si="26"/>
        <v>20.083586341076806</v>
      </c>
    </row>
    <row r="194" spans="2:11" ht="15" customHeight="1" x14ac:dyDescent="0.35">
      <c r="B194" s="5">
        <v>173</v>
      </c>
      <c r="C194" s="46">
        <f t="shared" ca="1" si="18"/>
        <v>2.9633027535956162</v>
      </c>
      <c r="D194" s="47">
        <f t="shared" ca="1" si="19"/>
        <v>5386483908.7400427</v>
      </c>
      <c r="E194" s="47">
        <f t="shared" ca="1" si="20"/>
        <v>12277253304071.588</v>
      </c>
      <c r="F194" s="47">
        <f t="shared" ca="1" si="21"/>
        <v>17230468250041.311</v>
      </c>
      <c r="G194" s="47">
        <f t="shared" ca="1" si="22"/>
        <v>1472175950319.3052</v>
      </c>
      <c r="H194" s="47">
        <f t="shared" ca="1" si="23"/>
        <v>17230468250041.311</v>
      </c>
      <c r="I194" s="47">
        <f t="shared" ca="1" si="24"/>
        <v>14648495799818.09</v>
      </c>
      <c r="J194" s="47">
        <f t="shared" ca="1" si="25"/>
        <v>914391871880.95581</v>
      </c>
      <c r="K194" s="48">
        <f t="shared" ca="1" si="26"/>
        <v>16.01993220880814</v>
      </c>
    </row>
    <row r="195" spans="2:11" ht="15" customHeight="1" x14ac:dyDescent="0.35">
      <c r="B195" s="5">
        <v>174</v>
      </c>
      <c r="C195" s="46">
        <f t="shared" ca="1" si="18"/>
        <v>2.546867543537954</v>
      </c>
      <c r="D195" s="47">
        <f t="shared" ca="1" si="19"/>
        <v>2501426834.123724</v>
      </c>
      <c r="E195" s="47">
        <f t="shared" ca="1" si="20"/>
        <v>7446317715445.7422</v>
      </c>
      <c r="F195" s="47">
        <f t="shared" ca="1" si="21"/>
        <v>4989313233358.0342</v>
      </c>
      <c r="G195" s="47">
        <f t="shared" ca="1" si="22"/>
        <v>12139176327327.939</v>
      </c>
      <c r="H195" s="47">
        <f t="shared" ca="1" si="23"/>
        <v>12139176327327.939</v>
      </c>
      <c r="I195" s="47">
        <f t="shared" ca="1" si="24"/>
        <v>24923730834828.973</v>
      </c>
      <c r="J195" s="47">
        <f t="shared" ca="1" si="25"/>
        <v>933254212493.47534</v>
      </c>
      <c r="K195" s="48">
        <f t="shared" ca="1" si="26"/>
        <v>26.706261274982698</v>
      </c>
    </row>
    <row r="196" spans="2:11" ht="15" customHeight="1" x14ac:dyDescent="0.35">
      <c r="B196" s="5">
        <v>175</v>
      </c>
      <c r="C196" s="46">
        <f t="shared" ca="1" si="18"/>
        <v>2.5552387926217581</v>
      </c>
      <c r="D196" s="47">
        <f t="shared" ca="1" si="19"/>
        <v>1939675263.1443129</v>
      </c>
      <c r="E196" s="47">
        <f t="shared" ca="1" si="20"/>
        <v>3667725666214.6348</v>
      </c>
      <c r="F196" s="47">
        <f t="shared" ca="1" si="21"/>
        <v>3331348529424.5151</v>
      </c>
      <c r="G196" s="47">
        <f t="shared" ca="1" si="22"/>
        <v>12319900002906.57</v>
      </c>
      <c r="H196" s="47">
        <f t="shared" ca="1" si="23"/>
        <v>3331348529424.5151</v>
      </c>
      <c r="I196" s="47">
        <f t="shared" ca="1" si="24"/>
        <v>26253573309691.387</v>
      </c>
      <c r="J196" s="47">
        <f t="shared" ca="1" si="25"/>
        <v>1667886436889.9763</v>
      </c>
      <c r="K196" s="48">
        <f t="shared" ca="1" si="26"/>
        <v>15.740624019129923</v>
      </c>
    </row>
    <row r="197" spans="2:11" ht="15" customHeight="1" x14ac:dyDescent="0.35">
      <c r="B197" s="5">
        <v>176</v>
      </c>
      <c r="C197" s="46">
        <f t="shared" ca="1" si="18"/>
        <v>2.4555901029446279</v>
      </c>
      <c r="D197" s="47">
        <f t="shared" ca="1" si="19"/>
        <v>1679347609.2447758</v>
      </c>
      <c r="E197" s="47">
        <f t="shared" ca="1" si="20"/>
        <v>4556189092683.0723</v>
      </c>
      <c r="F197" s="47">
        <f t="shared" ca="1" si="21"/>
        <v>6138174533244.3105</v>
      </c>
      <c r="G197" s="47">
        <f t="shared" ca="1" si="22"/>
        <v>407426027034.81354</v>
      </c>
      <c r="H197" s="47">
        <f t="shared" ca="1" si="23"/>
        <v>4556189092683.0723</v>
      </c>
      <c r="I197" s="47">
        <f t="shared" ca="1" si="24"/>
        <v>21794342702924.238</v>
      </c>
      <c r="J197" s="47">
        <f t="shared" ca="1" si="25"/>
        <v>1827945519057.7732</v>
      </c>
      <c r="K197" s="48">
        <f t="shared" ca="1" si="26"/>
        <v>11.922862293050331</v>
      </c>
    </row>
    <row r="198" spans="2:11" ht="15" customHeight="1" x14ac:dyDescent="0.35">
      <c r="B198" s="5">
        <v>177</v>
      </c>
      <c r="C198" s="46">
        <f t="shared" ca="1" si="18"/>
        <v>3.1087946599618776</v>
      </c>
      <c r="D198" s="47">
        <f t="shared" ca="1" si="19"/>
        <v>5153529821.9441366</v>
      </c>
      <c r="E198" s="47">
        <f t="shared" ca="1" si="20"/>
        <v>28909902120025.422</v>
      </c>
      <c r="F198" s="47">
        <f t="shared" ca="1" si="21"/>
        <v>8104769227254.5615</v>
      </c>
      <c r="G198" s="47">
        <f t="shared" ca="1" si="22"/>
        <v>18952077108233.828</v>
      </c>
      <c r="H198" s="47">
        <f t="shared" ca="1" si="23"/>
        <v>8104769227254.5615</v>
      </c>
      <c r="I198" s="47">
        <f t="shared" ca="1" si="24"/>
        <v>11564712447212.359</v>
      </c>
      <c r="J198" s="47">
        <f t="shared" ca="1" si="25"/>
        <v>1525207921867.1875</v>
      </c>
      <c r="K198" s="48">
        <f t="shared" ca="1" si="26"/>
        <v>7.5823841991684819</v>
      </c>
    </row>
    <row r="199" spans="2:11" ht="15" customHeight="1" x14ac:dyDescent="0.35">
      <c r="B199" s="5">
        <v>178</v>
      </c>
      <c r="C199" s="46">
        <f t="shared" ca="1" si="18"/>
        <v>3.502881393099019</v>
      </c>
      <c r="D199" s="47">
        <f t="shared" ca="1" si="19"/>
        <v>11240934449.366034</v>
      </c>
      <c r="E199" s="47">
        <f t="shared" ca="1" si="20"/>
        <v>36343229227746.445</v>
      </c>
      <c r="F199" s="47">
        <f t="shared" ca="1" si="21"/>
        <v>18868820927442.684</v>
      </c>
      <c r="G199" s="47">
        <f t="shared" ca="1" si="22"/>
        <v>19987373738477.141</v>
      </c>
      <c r="H199" s="47">
        <f t="shared" ca="1" si="23"/>
        <v>18868820927442.684</v>
      </c>
      <c r="I199" s="47">
        <f t="shared" ca="1" si="24"/>
        <v>8623407322667.0889</v>
      </c>
      <c r="J199" s="47">
        <f t="shared" ca="1" si="25"/>
        <v>1526238901960.9753</v>
      </c>
      <c r="K199" s="48">
        <f t="shared" ca="1" si="26"/>
        <v>5.650103212273895</v>
      </c>
    </row>
    <row r="200" spans="2:11" ht="15" customHeight="1" x14ac:dyDescent="0.35">
      <c r="B200" s="5">
        <v>179</v>
      </c>
      <c r="C200" s="46">
        <f t="shared" ca="1" si="18"/>
        <v>3.3345622403506452</v>
      </c>
      <c r="D200" s="47">
        <f t="shared" ca="1" si="19"/>
        <v>7480176460.4461765</v>
      </c>
      <c r="E200" s="47">
        <f t="shared" ca="1" si="20"/>
        <v>8239129080968.3066</v>
      </c>
      <c r="F200" s="47">
        <f t="shared" ca="1" si="21"/>
        <v>7727365499251.8193</v>
      </c>
      <c r="G200" s="47">
        <f t="shared" ca="1" si="22"/>
        <v>7657810110393.7471</v>
      </c>
      <c r="H200" s="47">
        <f t="shared" ca="1" si="23"/>
        <v>7727365499251.8193</v>
      </c>
      <c r="I200" s="47">
        <f t="shared" ca="1" si="24"/>
        <v>30276619182753.695</v>
      </c>
      <c r="J200" s="47">
        <f t="shared" ca="1" si="25"/>
        <v>1499227906393.7214</v>
      </c>
      <c r="K200" s="48">
        <f t="shared" ca="1" si="26"/>
        <v>20.194807643076626</v>
      </c>
    </row>
    <row r="201" spans="2:11" ht="15" customHeight="1" x14ac:dyDescent="0.35">
      <c r="B201" s="5">
        <v>180</v>
      </c>
      <c r="C201" s="46">
        <f t="shared" ca="1" si="18"/>
        <v>3.6223987844288468</v>
      </c>
      <c r="D201" s="47">
        <f t="shared" ca="1" si="19"/>
        <v>10273093901.133894</v>
      </c>
      <c r="E201" s="47">
        <f t="shared" ca="1" si="20"/>
        <v>19816840478640.688</v>
      </c>
      <c r="F201" s="47">
        <f t="shared" ca="1" si="21"/>
        <v>969778255772.86475</v>
      </c>
      <c r="G201" s="47">
        <f t="shared" ca="1" si="22"/>
        <v>2180606562325.3848</v>
      </c>
      <c r="H201" s="47">
        <f t="shared" ca="1" si="23"/>
        <v>2180606562325.3848</v>
      </c>
      <c r="I201" s="47">
        <f t="shared" ca="1" si="24"/>
        <v>14382509198929.678</v>
      </c>
      <c r="J201" s="47">
        <f t="shared" ca="1" si="25"/>
        <v>2059562502139.8953</v>
      </c>
      <c r="K201" s="48">
        <f t="shared" ca="1" si="26"/>
        <v>6.9832836750456382</v>
      </c>
    </row>
    <row r="202" spans="2:11" ht="15" customHeight="1" x14ac:dyDescent="0.35">
      <c r="B202" s="5">
        <v>181</v>
      </c>
      <c r="C202" s="46">
        <f t="shared" ca="1" si="18"/>
        <v>3.2859707070524382</v>
      </c>
      <c r="D202" s="47">
        <f t="shared" ca="1" si="19"/>
        <v>6849614470.7751284</v>
      </c>
      <c r="E202" s="47">
        <f t="shared" ca="1" si="20"/>
        <v>42238858848996.938</v>
      </c>
      <c r="F202" s="47">
        <f t="shared" ca="1" si="21"/>
        <v>4645482509212.7861</v>
      </c>
      <c r="G202" s="47">
        <f t="shared" ca="1" si="22"/>
        <v>1266332415269.5313</v>
      </c>
      <c r="H202" s="47">
        <f t="shared" ca="1" si="23"/>
        <v>42238858848996.938</v>
      </c>
      <c r="I202" s="47">
        <f t="shared" ca="1" si="24"/>
        <v>21450545545799.195</v>
      </c>
      <c r="J202" s="47">
        <f t="shared" ca="1" si="25"/>
        <v>2277213616357.5698</v>
      </c>
      <c r="K202" s="48">
        <f t="shared" ca="1" si="26"/>
        <v>9.4196457423742253</v>
      </c>
    </row>
    <row r="203" spans="2:11" ht="15" customHeight="1" x14ac:dyDescent="0.35">
      <c r="B203" s="5">
        <v>182</v>
      </c>
      <c r="C203" s="46">
        <f t="shared" ca="1" si="18"/>
        <v>3.0288275715948303</v>
      </c>
      <c r="D203" s="47">
        <f t="shared" ca="1" si="19"/>
        <v>4583663182.7619505</v>
      </c>
      <c r="E203" s="47">
        <f t="shared" ca="1" si="20"/>
        <v>6778179744880.8301</v>
      </c>
      <c r="F203" s="47">
        <f t="shared" ca="1" si="21"/>
        <v>472261857417.00885</v>
      </c>
      <c r="G203" s="47">
        <f t="shared" ca="1" si="22"/>
        <v>1283719206921.6589</v>
      </c>
      <c r="H203" s="47">
        <f t="shared" ca="1" si="23"/>
        <v>1283719206921.6589</v>
      </c>
      <c r="I203" s="47">
        <f t="shared" ca="1" si="24"/>
        <v>2162956108791.9338</v>
      </c>
      <c r="J203" s="47">
        <f t="shared" ca="1" si="25"/>
        <v>1821206221959.5688</v>
      </c>
      <c r="K203" s="48">
        <f t="shared" ca="1" si="26"/>
        <v>1.1876502961123487</v>
      </c>
    </row>
    <row r="204" spans="2:11" ht="15" customHeight="1" x14ac:dyDescent="0.35">
      <c r="B204" s="5">
        <v>183</v>
      </c>
      <c r="C204" s="46">
        <f t="shared" ca="1" si="18"/>
        <v>2.3480589821272688</v>
      </c>
      <c r="D204" s="47">
        <f t="shared" ca="1" si="19"/>
        <v>1404481291.2284579</v>
      </c>
      <c r="E204" s="47">
        <f t="shared" ca="1" si="20"/>
        <v>2952971891650.96</v>
      </c>
      <c r="F204" s="47">
        <f t="shared" ca="1" si="21"/>
        <v>35430653665275.875</v>
      </c>
      <c r="G204" s="47">
        <f t="shared" ca="1" si="22"/>
        <v>71905437783307.594</v>
      </c>
      <c r="H204" s="47">
        <f t="shared" ca="1" si="23"/>
        <v>35430653665275.875</v>
      </c>
      <c r="I204" s="47">
        <f t="shared" ca="1" si="24"/>
        <v>29389597065643.246</v>
      </c>
      <c r="J204" s="47">
        <f t="shared" ca="1" si="25"/>
        <v>1973879895256.1436</v>
      </c>
      <c r="K204" s="48">
        <f t="shared" ca="1" si="26"/>
        <v>14.889252956208594</v>
      </c>
    </row>
    <row r="205" spans="2:11" ht="15" customHeight="1" x14ac:dyDescent="0.35">
      <c r="B205" s="5">
        <v>184</v>
      </c>
      <c r="C205" s="46">
        <f t="shared" ca="1" si="18"/>
        <v>3.1718042684005647</v>
      </c>
      <c r="D205" s="47">
        <f t="shared" ca="1" si="19"/>
        <v>7334818793.1032219</v>
      </c>
      <c r="E205" s="47">
        <f t="shared" ca="1" si="20"/>
        <v>14619283831258.549</v>
      </c>
      <c r="F205" s="47">
        <f t="shared" ca="1" si="21"/>
        <v>40808376958628.578</v>
      </c>
      <c r="G205" s="47">
        <f t="shared" ca="1" si="22"/>
        <v>1913040264574.1052</v>
      </c>
      <c r="H205" s="47">
        <f t="shared" ca="1" si="23"/>
        <v>14619283831258.549</v>
      </c>
      <c r="I205" s="47">
        <f t="shared" ca="1" si="24"/>
        <v>33281738644315.047</v>
      </c>
      <c r="J205" s="47">
        <f t="shared" ca="1" si="25"/>
        <v>437794695756.12982</v>
      </c>
      <c r="K205" s="48">
        <f t="shared" ca="1" si="26"/>
        <v>76.021338236711728</v>
      </c>
    </row>
    <row r="206" spans="2:11" ht="15" customHeight="1" x14ac:dyDescent="0.35">
      <c r="B206" s="5">
        <v>185</v>
      </c>
      <c r="C206" s="46">
        <f t="shared" ca="1" si="18"/>
        <v>2.4494576339228318</v>
      </c>
      <c r="D206" s="47">
        <f t="shared" ca="1" si="19"/>
        <v>2031415583.7113783</v>
      </c>
      <c r="E206" s="47">
        <f t="shared" ca="1" si="20"/>
        <v>23269644159781.223</v>
      </c>
      <c r="F206" s="47">
        <f t="shared" ca="1" si="21"/>
        <v>1296425774177.7029</v>
      </c>
      <c r="G206" s="47">
        <f t="shared" ca="1" si="22"/>
        <v>1434063042002.1421</v>
      </c>
      <c r="H206" s="47">
        <f t="shared" ca="1" si="23"/>
        <v>1296425774177.7029</v>
      </c>
      <c r="I206" s="47">
        <f t="shared" ca="1" si="24"/>
        <v>4212235595470.7822</v>
      </c>
      <c r="J206" s="47">
        <f t="shared" ca="1" si="25"/>
        <v>1493987832895.1721</v>
      </c>
      <c r="K206" s="48">
        <f t="shared" ca="1" si="26"/>
        <v>2.819457764463829</v>
      </c>
    </row>
    <row r="207" spans="2:11" ht="15" customHeight="1" x14ac:dyDescent="0.35">
      <c r="B207" s="5">
        <v>186</v>
      </c>
      <c r="C207" s="46">
        <f t="shared" ca="1" si="18"/>
        <v>3.0393184255713082</v>
      </c>
      <c r="D207" s="47">
        <f t="shared" ca="1" si="19"/>
        <v>5040678343.3425455</v>
      </c>
      <c r="E207" s="47">
        <f t="shared" ca="1" si="20"/>
        <v>11447271741471.191</v>
      </c>
      <c r="F207" s="47">
        <f t="shared" ca="1" si="21"/>
        <v>9258300038164.8887</v>
      </c>
      <c r="G207" s="47">
        <f t="shared" ca="1" si="22"/>
        <v>1518662742733.5889</v>
      </c>
      <c r="H207" s="47">
        <f t="shared" ca="1" si="23"/>
        <v>1518662742733.5889</v>
      </c>
      <c r="I207" s="47">
        <f t="shared" ca="1" si="24"/>
        <v>74911589598883.938</v>
      </c>
      <c r="J207" s="47">
        <f t="shared" ca="1" si="25"/>
        <v>2050421991942.0491</v>
      </c>
      <c r="K207" s="48">
        <f t="shared" ca="1" si="26"/>
        <v>36.534718166932905</v>
      </c>
    </row>
    <row r="208" spans="2:11" ht="15" customHeight="1" x14ac:dyDescent="0.35">
      <c r="B208" s="5">
        <v>187</v>
      </c>
      <c r="C208" s="46">
        <f t="shared" ca="1" si="18"/>
        <v>3.1353460456582942</v>
      </c>
      <c r="D208" s="47">
        <f t="shared" ca="1" si="19"/>
        <v>6202085466.0588121</v>
      </c>
      <c r="E208" s="47">
        <f t="shared" ca="1" si="20"/>
        <v>35578361010897.836</v>
      </c>
      <c r="F208" s="47">
        <f t="shared" ca="1" si="21"/>
        <v>485610940781.42896</v>
      </c>
      <c r="G208" s="47">
        <f t="shared" ca="1" si="22"/>
        <v>23025183764756.656</v>
      </c>
      <c r="H208" s="47">
        <f t="shared" ca="1" si="23"/>
        <v>23025183764756.656</v>
      </c>
      <c r="I208" s="47">
        <f t="shared" ca="1" si="24"/>
        <v>37609900077877.547</v>
      </c>
      <c r="J208" s="47">
        <f t="shared" ca="1" si="25"/>
        <v>491969584745.36975</v>
      </c>
      <c r="K208" s="48">
        <f t="shared" ca="1" si="26"/>
        <v>76.447612299738864</v>
      </c>
    </row>
    <row r="209" spans="2:11" ht="15" customHeight="1" x14ac:dyDescent="0.35">
      <c r="B209" s="5">
        <v>188</v>
      </c>
      <c r="C209" s="46">
        <f t="shared" ca="1" si="18"/>
        <v>3.9792493338072767</v>
      </c>
      <c r="D209" s="47">
        <f t="shared" ca="1" si="19"/>
        <v>23547218293.753998</v>
      </c>
      <c r="E209" s="47">
        <f t="shared" ca="1" si="20"/>
        <v>45492236563169.352</v>
      </c>
      <c r="F209" s="47">
        <f t="shared" ca="1" si="21"/>
        <v>1334787606873.5964</v>
      </c>
      <c r="G209" s="47">
        <f t="shared" ca="1" si="22"/>
        <v>6920237599131.2715</v>
      </c>
      <c r="H209" s="47">
        <f t="shared" ca="1" si="23"/>
        <v>1334787606873.5964</v>
      </c>
      <c r="I209" s="47">
        <f t="shared" ca="1" si="24"/>
        <v>3060892416011.5176</v>
      </c>
      <c r="J209" s="47">
        <f t="shared" ca="1" si="25"/>
        <v>1792009505326.3193</v>
      </c>
      <c r="K209" s="48">
        <f t="shared" ca="1" si="26"/>
        <v>1.7080782255416322</v>
      </c>
    </row>
    <row r="210" spans="2:11" ht="15" customHeight="1" x14ac:dyDescent="0.35">
      <c r="B210" s="5">
        <v>189</v>
      </c>
      <c r="C210" s="46">
        <f t="shared" ca="1" si="18"/>
        <v>2.5593742794931047</v>
      </c>
      <c r="D210" s="47">
        <f t="shared" ca="1" si="19"/>
        <v>2155874598.627986</v>
      </c>
      <c r="E210" s="47">
        <f t="shared" ca="1" si="20"/>
        <v>3547443749258.6855</v>
      </c>
      <c r="F210" s="47">
        <f t="shared" ca="1" si="21"/>
        <v>181360663396.255</v>
      </c>
      <c r="G210" s="47">
        <f t="shared" ca="1" si="22"/>
        <v>4022425102521.6938</v>
      </c>
      <c r="H210" s="47">
        <f t="shared" ca="1" si="23"/>
        <v>181360663396.255</v>
      </c>
      <c r="I210" s="47">
        <f t="shared" ca="1" si="24"/>
        <v>24063108940340.895</v>
      </c>
      <c r="J210" s="47">
        <f t="shared" ca="1" si="25"/>
        <v>2534504195515.519</v>
      </c>
      <c r="K210" s="48">
        <f t="shared" ca="1" si="26"/>
        <v>9.4942075783174822</v>
      </c>
    </row>
    <row r="211" spans="2:11" ht="15" customHeight="1" x14ac:dyDescent="0.35">
      <c r="B211" s="5">
        <v>190</v>
      </c>
      <c r="C211" s="46">
        <f t="shared" ca="1" si="18"/>
        <v>3.2962424463995772</v>
      </c>
      <c r="D211" s="47">
        <f t="shared" ca="1" si="19"/>
        <v>8272517298.031744</v>
      </c>
      <c r="E211" s="47">
        <f t="shared" ca="1" si="20"/>
        <v>10435133710449.127</v>
      </c>
      <c r="F211" s="47">
        <f t="shared" ca="1" si="21"/>
        <v>43655494916237.32</v>
      </c>
      <c r="G211" s="47">
        <f t="shared" ca="1" si="22"/>
        <v>1107753846341.231</v>
      </c>
      <c r="H211" s="47">
        <f t="shared" ca="1" si="23"/>
        <v>1107753846341.231</v>
      </c>
      <c r="I211" s="47">
        <f t="shared" ca="1" si="24"/>
        <v>24904557939776.434</v>
      </c>
      <c r="J211" s="47">
        <f t="shared" ca="1" si="25"/>
        <v>1780733179734.8535</v>
      </c>
      <c r="K211" s="48">
        <f t="shared" ca="1" si="26"/>
        <v>13.985564049233169</v>
      </c>
    </row>
    <row r="212" spans="2:11" ht="15" customHeight="1" x14ac:dyDescent="0.35">
      <c r="B212" s="5">
        <v>191</v>
      </c>
      <c r="C212" s="46">
        <f t="shared" ca="1" si="18"/>
        <v>2.907238853017883</v>
      </c>
      <c r="D212" s="47">
        <f t="shared" ca="1" si="19"/>
        <v>3511863759.4634285</v>
      </c>
      <c r="E212" s="47">
        <f t="shared" ca="1" si="20"/>
        <v>13732735439894.686</v>
      </c>
      <c r="F212" s="47">
        <f t="shared" ca="1" si="21"/>
        <v>2599873435889.6597</v>
      </c>
      <c r="G212" s="47">
        <f t="shared" ca="1" si="22"/>
        <v>4255141004197.9683</v>
      </c>
      <c r="H212" s="47">
        <f t="shared" ca="1" si="23"/>
        <v>13732735439894.686</v>
      </c>
      <c r="I212" s="47">
        <f t="shared" ca="1" si="24"/>
        <v>6886215373722.4688</v>
      </c>
      <c r="J212" s="47">
        <f t="shared" ca="1" si="25"/>
        <v>2293894272417.3618</v>
      </c>
      <c r="K212" s="48">
        <f t="shared" ca="1" si="26"/>
        <v>3.0019759221359434</v>
      </c>
    </row>
    <row r="213" spans="2:11" ht="15" customHeight="1" x14ac:dyDescent="0.35">
      <c r="B213" s="5">
        <v>192</v>
      </c>
      <c r="C213" s="46">
        <f t="shared" ca="1" si="18"/>
        <v>2.6463602975364133</v>
      </c>
      <c r="D213" s="47">
        <f t="shared" ca="1" si="19"/>
        <v>2083840459.5114086</v>
      </c>
      <c r="E213" s="47">
        <f t="shared" ca="1" si="20"/>
        <v>11876256480238.391</v>
      </c>
      <c r="F213" s="47">
        <f t="shared" ca="1" si="21"/>
        <v>6291662234054.2676</v>
      </c>
      <c r="G213" s="47">
        <f t="shared" ca="1" si="22"/>
        <v>27756946664182.09</v>
      </c>
      <c r="H213" s="47">
        <f t="shared" ca="1" si="23"/>
        <v>6291662234054.2676</v>
      </c>
      <c r="I213" s="47">
        <f t="shared" ca="1" si="24"/>
        <v>192476586307808.38</v>
      </c>
      <c r="J213" s="47">
        <f t="shared" ca="1" si="25"/>
        <v>1333095120182.7124</v>
      </c>
      <c r="K213" s="48">
        <f t="shared" ca="1" si="26"/>
        <v>144.38323521987522</v>
      </c>
    </row>
    <row r="214" spans="2:11" ht="15" customHeight="1" x14ac:dyDescent="0.35">
      <c r="B214" s="5">
        <v>193</v>
      </c>
      <c r="C214" s="46">
        <f t="shared" ref="C214:C277" ca="1" si="27">MEDIAN(1.8,NORMINV(RAND(),$C$7,$D$7),4.5)</f>
        <v>2.5175445804799237</v>
      </c>
      <c r="D214" s="47">
        <f t="shared" ref="D214:D277" ca="1" si="28">($C$8+RAND()*($D$8-$C$8))*C214^5</f>
        <v>2202769817.5268855</v>
      </c>
      <c r="E214" s="47">
        <f t="shared" ref="E214:E277" ca="1" si="29">D214*($C$10+RAND()*($D$10-$C$10))*EXP(NORMINV(RAND(),$C$9,$D$9))*($C$11+RAND()*($D$11-$C$11))</f>
        <v>12893969985722.125</v>
      </c>
      <c r="F214" s="47">
        <f t="shared" ref="F214:F277" ca="1" si="30">EXP(NORMINV(RAND(),$C$12,$D$12))*EXP(NORMINV(RAND(),$C$13,$D$13))</f>
        <v>3485680028574.7729</v>
      </c>
      <c r="G214" s="47">
        <f t="shared" ref="G214:G277" ca="1" si="31">EXP(NORMINV(RAND(),$C$14,$D$14))*($C$15+RAND()*($D$15-$C$15))*EXP(NORMINV(RAND(),$C$16,$D$16))/1000000*31536000</f>
        <v>59932696210415.305</v>
      </c>
      <c r="H214" s="47">
        <f t="shared" ref="H214:H277" ca="1" si="32">CHOOSE(RANDBETWEEN(1,3),E214,F214,G214)</f>
        <v>12893969985722.125</v>
      </c>
      <c r="I214" s="47">
        <f t="shared" ref="I214:I277" ca="1" si="33">EXP(NORMINV(RAND(),$C$14,$D$14))*($C$15+RAND()*($D$15-$C$15))*60</f>
        <v>7998162212364.085</v>
      </c>
      <c r="J214" s="47">
        <f t="shared" ref="J214:J277" ca="1" si="34">($C$17+RAND()*($D$17-$C$17))*($C$18+RAND()*($D$18-$C$18))</f>
        <v>539818991132.14355</v>
      </c>
      <c r="K214" s="48">
        <f t="shared" ref="K214:K277" ca="1" si="35">I214/J214</f>
        <v>14.816377978088207</v>
      </c>
    </row>
    <row r="215" spans="2:11" ht="15" customHeight="1" x14ac:dyDescent="0.35">
      <c r="B215" s="5">
        <v>194</v>
      </c>
      <c r="C215" s="46">
        <f t="shared" ca="1" si="27"/>
        <v>2.8249829142317742</v>
      </c>
      <c r="D215" s="47">
        <f t="shared" ca="1" si="28"/>
        <v>3385261110.5253773</v>
      </c>
      <c r="E215" s="47">
        <f t="shared" ca="1" si="29"/>
        <v>4328273151948.1606</v>
      </c>
      <c r="F215" s="47">
        <f t="shared" ca="1" si="30"/>
        <v>5075675431406.2266</v>
      </c>
      <c r="G215" s="47">
        <f t="shared" ca="1" si="31"/>
        <v>351980982102.26447</v>
      </c>
      <c r="H215" s="47">
        <f t="shared" ca="1" si="32"/>
        <v>4328273151948.1606</v>
      </c>
      <c r="I215" s="47">
        <f t="shared" ca="1" si="33"/>
        <v>1068555284244.9366</v>
      </c>
      <c r="J215" s="47">
        <f t="shared" ca="1" si="34"/>
        <v>546657564949.34644</v>
      </c>
      <c r="K215" s="48">
        <f t="shared" ca="1" si="35"/>
        <v>1.9547068453062559</v>
      </c>
    </row>
    <row r="216" spans="2:11" ht="15" customHeight="1" x14ac:dyDescent="0.35">
      <c r="B216" s="5">
        <v>195</v>
      </c>
      <c r="C216" s="46">
        <f t="shared" ca="1" si="27"/>
        <v>2.906102664856383</v>
      </c>
      <c r="D216" s="47">
        <f t="shared" ca="1" si="28"/>
        <v>4459007758.8228073</v>
      </c>
      <c r="E216" s="47">
        <f t="shared" ca="1" si="29"/>
        <v>44147266575096.359</v>
      </c>
      <c r="F216" s="47">
        <f t="shared" ca="1" si="30"/>
        <v>3294382450867.7993</v>
      </c>
      <c r="G216" s="47">
        <f t="shared" ca="1" si="31"/>
        <v>27598921197.20153</v>
      </c>
      <c r="H216" s="47">
        <f t="shared" ca="1" si="32"/>
        <v>27598921197.20153</v>
      </c>
      <c r="I216" s="47">
        <f t="shared" ca="1" si="33"/>
        <v>15070946178881.633</v>
      </c>
      <c r="J216" s="47">
        <f t="shared" ca="1" si="34"/>
        <v>1791088914377.9705</v>
      </c>
      <c r="K216" s="48">
        <f t="shared" ca="1" si="35"/>
        <v>8.4144042531331511</v>
      </c>
    </row>
    <row r="217" spans="2:11" ht="15" customHeight="1" x14ac:dyDescent="0.35">
      <c r="B217" s="5">
        <v>196</v>
      </c>
      <c r="C217" s="46">
        <f t="shared" ca="1" si="27"/>
        <v>3.0256819659004535</v>
      </c>
      <c r="D217" s="47">
        <f t="shared" ca="1" si="28"/>
        <v>5155942347.6552782</v>
      </c>
      <c r="E217" s="47">
        <f t="shared" ca="1" si="29"/>
        <v>18451271280104.48</v>
      </c>
      <c r="F217" s="47">
        <f t="shared" ca="1" si="30"/>
        <v>4911064039068.9951</v>
      </c>
      <c r="G217" s="47">
        <f t="shared" ca="1" si="31"/>
        <v>7977389858320.3789</v>
      </c>
      <c r="H217" s="47">
        <f t="shared" ca="1" si="32"/>
        <v>7977389858320.3789</v>
      </c>
      <c r="I217" s="47">
        <f t="shared" ca="1" si="33"/>
        <v>30467324720263.414</v>
      </c>
      <c r="J217" s="47">
        <f t="shared" ca="1" si="34"/>
        <v>1596457582686.8418</v>
      </c>
      <c r="K217" s="48">
        <f t="shared" ca="1" si="35"/>
        <v>19.084330865206475</v>
      </c>
    </row>
    <row r="218" spans="2:11" ht="15" customHeight="1" x14ac:dyDescent="0.35">
      <c r="B218" s="5">
        <v>197</v>
      </c>
      <c r="C218" s="46">
        <f t="shared" ca="1" si="27"/>
        <v>3.3916033759553086</v>
      </c>
      <c r="D218" s="47">
        <f t="shared" ca="1" si="28"/>
        <v>10632001629.039118</v>
      </c>
      <c r="E218" s="47">
        <f t="shared" ca="1" si="29"/>
        <v>50381791108670.234</v>
      </c>
      <c r="F218" s="47">
        <f t="shared" ca="1" si="30"/>
        <v>1783626562521.8752</v>
      </c>
      <c r="G218" s="47">
        <f t="shared" ca="1" si="31"/>
        <v>1048814761805.8955</v>
      </c>
      <c r="H218" s="47">
        <f t="shared" ca="1" si="32"/>
        <v>50381791108670.234</v>
      </c>
      <c r="I218" s="47">
        <f t="shared" ca="1" si="33"/>
        <v>1886039223951.3972</v>
      </c>
      <c r="J218" s="47">
        <f t="shared" ca="1" si="34"/>
        <v>1197217779456.9329</v>
      </c>
      <c r="K218" s="48">
        <f t="shared" ca="1" si="35"/>
        <v>1.5753518334875707</v>
      </c>
    </row>
    <row r="219" spans="2:11" ht="15" customHeight="1" x14ac:dyDescent="0.35">
      <c r="B219" s="5">
        <v>198</v>
      </c>
      <c r="C219" s="46">
        <f t="shared" ca="1" si="27"/>
        <v>3.2559249524620846</v>
      </c>
      <c r="D219" s="47">
        <f t="shared" ca="1" si="28"/>
        <v>8096597392.9437914</v>
      </c>
      <c r="E219" s="47">
        <f t="shared" ca="1" si="29"/>
        <v>23522703786430.508</v>
      </c>
      <c r="F219" s="47">
        <f t="shared" ca="1" si="30"/>
        <v>1797564804007.4985</v>
      </c>
      <c r="G219" s="47">
        <f t="shared" ca="1" si="31"/>
        <v>1008645042352.993</v>
      </c>
      <c r="H219" s="47">
        <f t="shared" ca="1" si="32"/>
        <v>1797564804007.4985</v>
      </c>
      <c r="I219" s="47">
        <f t="shared" ca="1" si="33"/>
        <v>25918518522497.477</v>
      </c>
      <c r="J219" s="47">
        <f t="shared" ca="1" si="34"/>
        <v>1060671987761.6207</v>
      </c>
      <c r="K219" s="48">
        <f t="shared" ca="1" si="35"/>
        <v>24.435941385794852</v>
      </c>
    </row>
    <row r="220" spans="2:11" ht="15" customHeight="1" x14ac:dyDescent="0.35">
      <c r="B220" s="5">
        <v>199</v>
      </c>
      <c r="C220" s="46">
        <f t="shared" ca="1" si="27"/>
        <v>2.5519186859655019</v>
      </c>
      <c r="D220" s="47">
        <f t="shared" ca="1" si="28"/>
        <v>1899203186.5840502</v>
      </c>
      <c r="E220" s="47">
        <f t="shared" ca="1" si="29"/>
        <v>3821933572138.8188</v>
      </c>
      <c r="F220" s="47">
        <f t="shared" ca="1" si="30"/>
        <v>12488845953364.223</v>
      </c>
      <c r="G220" s="47">
        <f t="shared" ca="1" si="31"/>
        <v>22401535269813.328</v>
      </c>
      <c r="H220" s="47">
        <f t="shared" ca="1" si="32"/>
        <v>12488845953364.223</v>
      </c>
      <c r="I220" s="47">
        <f t="shared" ca="1" si="33"/>
        <v>8656381033731.2236</v>
      </c>
      <c r="J220" s="47">
        <f t="shared" ca="1" si="34"/>
        <v>1056453634705.2058</v>
      </c>
      <c r="K220" s="48">
        <f t="shared" ca="1" si="35"/>
        <v>8.1938106409626883</v>
      </c>
    </row>
    <row r="221" spans="2:11" ht="15" customHeight="1" x14ac:dyDescent="0.35">
      <c r="B221" s="5">
        <v>200</v>
      </c>
      <c r="C221" s="46">
        <f t="shared" ca="1" si="27"/>
        <v>3.0615458654416878</v>
      </c>
      <c r="D221" s="47">
        <f t="shared" ca="1" si="28"/>
        <v>6355299994.4542036</v>
      </c>
      <c r="E221" s="47">
        <f t="shared" ca="1" si="29"/>
        <v>7183597201013.5859</v>
      </c>
      <c r="F221" s="47">
        <f t="shared" ca="1" si="30"/>
        <v>3346006351202.958</v>
      </c>
      <c r="G221" s="47">
        <f t="shared" ca="1" si="31"/>
        <v>3468142842327.3242</v>
      </c>
      <c r="H221" s="47">
        <f t="shared" ca="1" si="32"/>
        <v>3468142842327.3242</v>
      </c>
      <c r="I221" s="47">
        <f t="shared" ca="1" si="33"/>
        <v>1421762086045.3088</v>
      </c>
      <c r="J221" s="47">
        <f t="shared" ca="1" si="34"/>
        <v>1223146270843.3098</v>
      </c>
      <c r="K221" s="48">
        <f t="shared" ca="1" si="35"/>
        <v>1.1623810822437952</v>
      </c>
    </row>
    <row r="222" spans="2:11" ht="15" customHeight="1" x14ac:dyDescent="0.35">
      <c r="B222" s="5">
        <v>201</v>
      </c>
      <c r="C222" s="46">
        <f t="shared" ca="1" si="27"/>
        <v>1.8</v>
      </c>
      <c r="D222" s="47">
        <f t="shared" ca="1" si="28"/>
        <v>305838280.38196832</v>
      </c>
      <c r="E222" s="47">
        <f t="shared" ca="1" si="29"/>
        <v>436298379155.39703</v>
      </c>
      <c r="F222" s="47">
        <f t="shared" ca="1" si="30"/>
        <v>2334445764438.6836</v>
      </c>
      <c r="G222" s="47">
        <f t="shared" ca="1" si="31"/>
        <v>1360822113178.9805</v>
      </c>
      <c r="H222" s="47">
        <f t="shared" ca="1" si="32"/>
        <v>1360822113178.9805</v>
      </c>
      <c r="I222" s="47">
        <f t="shared" ca="1" si="33"/>
        <v>10580729746192.691</v>
      </c>
      <c r="J222" s="47">
        <f t="shared" ca="1" si="34"/>
        <v>999540365277.73584</v>
      </c>
      <c r="K222" s="48">
        <f t="shared" ca="1" si="35"/>
        <v>10.585595253326956</v>
      </c>
    </row>
    <row r="223" spans="2:11" ht="15" customHeight="1" x14ac:dyDescent="0.35">
      <c r="B223" s="5">
        <v>202</v>
      </c>
      <c r="C223" s="46">
        <f t="shared" ca="1" si="27"/>
        <v>2.8696860879412887</v>
      </c>
      <c r="D223" s="47">
        <f t="shared" ca="1" si="28"/>
        <v>3241496070.4410114</v>
      </c>
      <c r="E223" s="47">
        <f t="shared" ca="1" si="29"/>
        <v>42667690797527.031</v>
      </c>
      <c r="F223" s="47">
        <f t="shared" ca="1" si="30"/>
        <v>16042157614965.219</v>
      </c>
      <c r="G223" s="47">
        <f t="shared" ca="1" si="31"/>
        <v>1409159370850.6555</v>
      </c>
      <c r="H223" s="47">
        <f t="shared" ca="1" si="32"/>
        <v>1409159370850.6555</v>
      </c>
      <c r="I223" s="47">
        <f t="shared" ca="1" si="33"/>
        <v>17612939658615.715</v>
      </c>
      <c r="J223" s="47">
        <f t="shared" ca="1" si="34"/>
        <v>1819377007306.519</v>
      </c>
      <c r="K223" s="48">
        <f t="shared" ca="1" si="35"/>
        <v>9.6807531302655292</v>
      </c>
    </row>
    <row r="224" spans="2:11" ht="15" customHeight="1" x14ac:dyDescent="0.35">
      <c r="B224" s="5">
        <v>203</v>
      </c>
      <c r="C224" s="46">
        <f t="shared" ca="1" si="27"/>
        <v>3.2842896070976386</v>
      </c>
      <c r="D224" s="47">
        <f t="shared" ca="1" si="28"/>
        <v>8241785325.5161753</v>
      </c>
      <c r="E224" s="47">
        <f t="shared" ca="1" si="29"/>
        <v>61275398644356.773</v>
      </c>
      <c r="F224" s="47">
        <f t="shared" ca="1" si="30"/>
        <v>10306132676154.195</v>
      </c>
      <c r="G224" s="47">
        <f t="shared" ca="1" si="31"/>
        <v>119012696320361.67</v>
      </c>
      <c r="H224" s="47">
        <f t="shared" ca="1" si="32"/>
        <v>119012696320361.67</v>
      </c>
      <c r="I224" s="47">
        <f t="shared" ca="1" si="33"/>
        <v>40049851443753.094</v>
      </c>
      <c r="J224" s="47">
        <f t="shared" ca="1" si="34"/>
        <v>600081935205.20642</v>
      </c>
      <c r="K224" s="48">
        <f t="shared" ca="1" si="35"/>
        <v>66.740638393084581</v>
      </c>
    </row>
    <row r="225" spans="2:11" ht="15" customHeight="1" x14ac:dyDescent="0.35">
      <c r="B225" s="5">
        <v>204</v>
      </c>
      <c r="C225" s="46">
        <f t="shared" ca="1" si="27"/>
        <v>2.303638225210157</v>
      </c>
      <c r="D225" s="47">
        <f t="shared" ca="1" si="28"/>
        <v>1347318815.0866284</v>
      </c>
      <c r="E225" s="47">
        <f t="shared" ca="1" si="29"/>
        <v>6374261088002.7148</v>
      </c>
      <c r="F225" s="47">
        <f t="shared" ca="1" si="30"/>
        <v>4193652285922.6816</v>
      </c>
      <c r="G225" s="47">
        <f t="shared" ca="1" si="31"/>
        <v>9910273729323.6992</v>
      </c>
      <c r="H225" s="47">
        <f t="shared" ca="1" si="32"/>
        <v>9910273729323.6992</v>
      </c>
      <c r="I225" s="47">
        <f t="shared" ca="1" si="33"/>
        <v>18933416254925.645</v>
      </c>
      <c r="J225" s="47">
        <f t="shared" ca="1" si="34"/>
        <v>666406863086.77283</v>
      </c>
      <c r="K225" s="48">
        <f t="shared" ca="1" si="35"/>
        <v>28.411196378180644</v>
      </c>
    </row>
    <row r="226" spans="2:11" ht="15" customHeight="1" x14ac:dyDescent="0.35">
      <c r="B226" s="5">
        <v>205</v>
      </c>
      <c r="C226" s="46">
        <f t="shared" ca="1" si="27"/>
        <v>2.8081757496776416</v>
      </c>
      <c r="D226" s="47">
        <f t="shared" ca="1" si="28"/>
        <v>3971947602.7786589</v>
      </c>
      <c r="E226" s="47">
        <f t="shared" ca="1" si="29"/>
        <v>16492079845586.73</v>
      </c>
      <c r="F226" s="47">
        <f t="shared" ca="1" si="30"/>
        <v>20185317642686.82</v>
      </c>
      <c r="G226" s="47">
        <f t="shared" ca="1" si="31"/>
        <v>11401824629429.857</v>
      </c>
      <c r="H226" s="47">
        <f t="shared" ca="1" si="32"/>
        <v>16492079845586.73</v>
      </c>
      <c r="I226" s="47">
        <f t="shared" ca="1" si="33"/>
        <v>32309478116405.051</v>
      </c>
      <c r="J226" s="47">
        <f t="shared" ca="1" si="34"/>
        <v>1023788462069.2996</v>
      </c>
      <c r="K226" s="48">
        <f t="shared" ca="1" si="35"/>
        <v>31.558744128743701</v>
      </c>
    </row>
    <row r="227" spans="2:11" ht="15" customHeight="1" x14ac:dyDescent="0.35">
      <c r="B227" s="5">
        <v>206</v>
      </c>
      <c r="C227" s="46">
        <f t="shared" ca="1" si="27"/>
        <v>2.9665379522649951</v>
      </c>
      <c r="D227" s="47">
        <f t="shared" ca="1" si="28"/>
        <v>3796061722.5202165</v>
      </c>
      <c r="E227" s="47">
        <f t="shared" ca="1" si="29"/>
        <v>54194917634252.328</v>
      </c>
      <c r="F227" s="47">
        <f t="shared" ca="1" si="30"/>
        <v>5656213985468.4492</v>
      </c>
      <c r="G227" s="47">
        <f t="shared" ca="1" si="31"/>
        <v>126174669956.28154</v>
      </c>
      <c r="H227" s="47">
        <f t="shared" ca="1" si="32"/>
        <v>126174669956.28154</v>
      </c>
      <c r="I227" s="47">
        <f t="shared" ca="1" si="33"/>
        <v>17330530216025.709</v>
      </c>
      <c r="J227" s="47">
        <f t="shared" ca="1" si="34"/>
        <v>1370667422462.0173</v>
      </c>
      <c r="K227" s="48">
        <f t="shared" ca="1" si="35"/>
        <v>12.643862349114784</v>
      </c>
    </row>
    <row r="228" spans="2:11" ht="15" customHeight="1" x14ac:dyDescent="0.35">
      <c r="B228" s="5">
        <v>207</v>
      </c>
      <c r="C228" s="46">
        <f t="shared" ca="1" si="27"/>
        <v>3.0885004679129722</v>
      </c>
      <c r="D228" s="47">
        <f t="shared" ca="1" si="28"/>
        <v>4830465927.1660967</v>
      </c>
      <c r="E228" s="47">
        <f t="shared" ca="1" si="29"/>
        <v>9038156410456.668</v>
      </c>
      <c r="F228" s="47">
        <f t="shared" ca="1" si="30"/>
        <v>1870216230990.4773</v>
      </c>
      <c r="G228" s="47">
        <f t="shared" ca="1" si="31"/>
        <v>1937489125833.6084</v>
      </c>
      <c r="H228" s="47">
        <f t="shared" ca="1" si="32"/>
        <v>1870216230990.4773</v>
      </c>
      <c r="I228" s="47">
        <f t="shared" ca="1" si="33"/>
        <v>14061596496703.025</v>
      </c>
      <c r="J228" s="47">
        <f t="shared" ca="1" si="34"/>
        <v>782129366237.79639</v>
      </c>
      <c r="K228" s="48">
        <f t="shared" ca="1" si="35"/>
        <v>17.978606997384851</v>
      </c>
    </row>
    <row r="229" spans="2:11" ht="15" customHeight="1" x14ac:dyDescent="0.35">
      <c r="B229" s="5">
        <v>208</v>
      </c>
      <c r="C229" s="46">
        <f t="shared" ca="1" si="27"/>
        <v>2.998054435000908</v>
      </c>
      <c r="D229" s="47">
        <f t="shared" ca="1" si="28"/>
        <v>4063042217.4140096</v>
      </c>
      <c r="E229" s="47">
        <f t="shared" ca="1" si="29"/>
        <v>12284130208674.367</v>
      </c>
      <c r="F229" s="47">
        <f t="shared" ca="1" si="30"/>
        <v>486713684606.47656</v>
      </c>
      <c r="G229" s="47">
        <f t="shared" ca="1" si="31"/>
        <v>1380762315185.061</v>
      </c>
      <c r="H229" s="47">
        <f t="shared" ca="1" si="32"/>
        <v>1380762315185.061</v>
      </c>
      <c r="I229" s="47">
        <f t="shared" ca="1" si="33"/>
        <v>30800159490902.609</v>
      </c>
      <c r="J229" s="47">
        <f t="shared" ca="1" si="34"/>
        <v>1043229772183.8333</v>
      </c>
      <c r="K229" s="48">
        <f t="shared" ca="1" si="35"/>
        <v>29.523850173895482</v>
      </c>
    </row>
    <row r="230" spans="2:11" ht="15" customHeight="1" x14ac:dyDescent="0.35">
      <c r="B230" s="5">
        <v>209</v>
      </c>
      <c r="C230" s="46">
        <f t="shared" ca="1" si="27"/>
        <v>2.8216407340457548</v>
      </c>
      <c r="D230" s="47">
        <f t="shared" ca="1" si="28"/>
        <v>4108808022.8095627</v>
      </c>
      <c r="E230" s="47">
        <f t="shared" ca="1" si="29"/>
        <v>14551459457909.691</v>
      </c>
      <c r="F230" s="47">
        <f t="shared" ca="1" si="30"/>
        <v>14665394882136.967</v>
      </c>
      <c r="G230" s="47">
        <f t="shared" ca="1" si="31"/>
        <v>1754881218894.2927</v>
      </c>
      <c r="H230" s="47">
        <f t="shared" ca="1" si="32"/>
        <v>14665394882136.967</v>
      </c>
      <c r="I230" s="47">
        <f t="shared" ca="1" si="33"/>
        <v>15206645553919.699</v>
      </c>
      <c r="J230" s="47">
        <f t="shared" ca="1" si="34"/>
        <v>1707939316203.9414</v>
      </c>
      <c r="K230" s="48">
        <f t="shared" ca="1" si="35"/>
        <v>8.903504597410361</v>
      </c>
    </row>
    <row r="231" spans="2:11" ht="15" customHeight="1" x14ac:dyDescent="0.35">
      <c r="B231" s="5">
        <v>210</v>
      </c>
      <c r="C231" s="46">
        <f t="shared" ca="1" si="27"/>
        <v>2.8432173408824015</v>
      </c>
      <c r="D231" s="47">
        <f t="shared" ca="1" si="28"/>
        <v>3899888904.630424</v>
      </c>
      <c r="E231" s="47">
        <f t="shared" ca="1" si="29"/>
        <v>7516854001881.8281</v>
      </c>
      <c r="F231" s="47">
        <f t="shared" ca="1" si="30"/>
        <v>1102145377337.7781</v>
      </c>
      <c r="G231" s="47">
        <f t="shared" ca="1" si="31"/>
        <v>12580994193652.215</v>
      </c>
      <c r="H231" s="47">
        <f t="shared" ca="1" si="32"/>
        <v>1102145377337.7781</v>
      </c>
      <c r="I231" s="47">
        <f t="shared" ca="1" si="33"/>
        <v>5293039457793.4531</v>
      </c>
      <c r="J231" s="47">
        <f t="shared" ca="1" si="34"/>
        <v>946440571997.27368</v>
      </c>
      <c r="K231" s="48">
        <f t="shared" ca="1" si="35"/>
        <v>5.5925745518533203</v>
      </c>
    </row>
    <row r="232" spans="2:11" ht="15" customHeight="1" x14ac:dyDescent="0.35">
      <c r="B232" s="5">
        <v>211</v>
      </c>
      <c r="C232" s="46">
        <f t="shared" ca="1" si="27"/>
        <v>3.238361032513275</v>
      </c>
      <c r="D232" s="47">
        <f t="shared" ca="1" si="28"/>
        <v>7002310814.3677835</v>
      </c>
      <c r="E232" s="47">
        <f t="shared" ca="1" si="29"/>
        <v>14282678982854.607</v>
      </c>
      <c r="F232" s="47">
        <f t="shared" ca="1" si="30"/>
        <v>3797052064484.9175</v>
      </c>
      <c r="G232" s="47">
        <f t="shared" ca="1" si="31"/>
        <v>4802241890245.3945</v>
      </c>
      <c r="H232" s="47">
        <f t="shared" ca="1" si="32"/>
        <v>3797052064484.9175</v>
      </c>
      <c r="I232" s="47">
        <f t="shared" ca="1" si="33"/>
        <v>3428208675279.9404</v>
      </c>
      <c r="J232" s="47">
        <f t="shared" ca="1" si="34"/>
        <v>1535199838427.5745</v>
      </c>
      <c r="K232" s="48">
        <f t="shared" ca="1" si="35"/>
        <v>2.2330699818150559</v>
      </c>
    </row>
    <row r="233" spans="2:11" ht="15" customHeight="1" x14ac:dyDescent="0.35">
      <c r="B233" s="5">
        <v>212</v>
      </c>
      <c r="C233" s="46">
        <f t="shared" ca="1" si="27"/>
        <v>3.1624615948195767</v>
      </c>
      <c r="D233" s="47">
        <f t="shared" ca="1" si="28"/>
        <v>5720985302.461832</v>
      </c>
      <c r="E233" s="47">
        <f t="shared" ca="1" si="29"/>
        <v>17021482012243.73</v>
      </c>
      <c r="F233" s="47">
        <f t="shared" ca="1" si="30"/>
        <v>3293423756541.2412</v>
      </c>
      <c r="G233" s="47">
        <f t="shared" ca="1" si="31"/>
        <v>3519172135878.7368</v>
      </c>
      <c r="H233" s="47">
        <f t="shared" ca="1" si="32"/>
        <v>3293423756541.2412</v>
      </c>
      <c r="I233" s="47">
        <f t="shared" ca="1" si="33"/>
        <v>10011757720569.08</v>
      </c>
      <c r="J233" s="47">
        <f t="shared" ca="1" si="34"/>
        <v>1034977027316.6449</v>
      </c>
      <c r="K233" s="48">
        <f t="shared" ca="1" si="35"/>
        <v>9.6734105746542767</v>
      </c>
    </row>
    <row r="234" spans="2:11" ht="15" customHeight="1" x14ac:dyDescent="0.35">
      <c r="B234" s="5">
        <v>213</v>
      </c>
      <c r="C234" s="46">
        <f t="shared" ca="1" si="27"/>
        <v>2.7302973877068588</v>
      </c>
      <c r="D234" s="47">
        <f t="shared" ca="1" si="28"/>
        <v>3035041593.1783919</v>
      </c>
      <c r="E234" s="47">
        <f t="shared" ca="1" si="29"/>
        <v>6597367907900.9277</v>
      </c>
      <c r="F234" s="47">
        <f t="shared" ca="1" si="30"/>
        <v>17573334650991.629</v>
      </c>
      <c r="G234" s="47">
        <f t="shared" ca="1" si="31"/>
        <v>70603713755774.406</v>
      </c>
      <c r="H234" s="47">
        <f t="shared" ca="1" si="32"/>
        <v>17573334650991.629</v>
      </c>
      <c r="I234" s="47">
        <f t="shared" ca="1" si="33"/>
        <v>51148142707855.258</v>
      </c>
      <c r="J234" s="47">
        <f t="shared" ca="1" si="34"/>
        <v>1487335612015.5522</v>
      </c>
      <c r="K234" s="48">
        <f t="shared" ca="1" si="35"/>
        <v>34.38910646302768</v>
      </c>
    </row>
    <row r="235" spans="2:11" ht="15" customHeight="1" x14ac:dyDescent="0.35">
      <c r="B235" s="5">
        <v>214</v>
      </c>
      <c r="C235" s="46">
        <f t="shared" ca="1" si="27"/>
        <v>2.4150574360305743</v>
      </c>
      <c r="D235" s="47">
        <f t="shared" ca="1" si="28"/>
        <v>1471889407.7458923</v>
      </c>
      <c r="E235" s="47">
        <f t="shared" ca="1" si="29"/>
        <v>7061751313075.4141</v>
      </c>
      <c r="F235" s="47">
        <f t="shared" ca="1" si="30"/>
        <v>3711119013797.186</v>
      </c>
      <c r="G235" s="47">
        <f t="shared" ca="1" si="31"/>
        <v>752615332852.96533</v>
      </c>
      <c r="H235" s="47">
        <f t="shared" ca="1" si="32"/>
        <v>3711119013797.186</v>
      </c>
      <c r="I235" s="47">
        <f t="shared" ca="1" si="33"/>
        <v>8145083473906.1641</v>
      </c>
      <c r="J235" s="47">
        <f t="shared" ca="1" si="34"/>
        <v>798721143623.03857</v>
      </c>
      <c r="K235" s="48">
        <f t="shared" ca="1" si="35"/>
        <v>10.197656014162419</v>
      </c>
    </row>
    <row r="236" spans="2:11" ht="15" customHeight="1" x14ac:dyDescent="0.35">
      <c r="B236" s="5">
        <v>215</v>
      </c>
      <c r="C236" s="46">
        <f t="shared" ca="1" si="27"/>
        <v>3.1800722792987601</v>
      </c>
      <c r="D236" s="47">
        <f t="shared" ca="1" si="28"/>
        <v>6290779965.9309263</v>
      </c>
      <c r="E236" s="47">
        <f t="shared" ca="1" si="29"/>
        <v>16763176098023.373</v>
      </c>
      <c r="F236" s="47">
        <f t="shared" ca="1" si="30"/>
        <v>8857548988499.1113</v>
      </c>
      <c r="G236" s="47">
        <f t="shared" ca="1" si="31"/>
        <v>1344657333085.7844</v>
      </c>
      <c r="H236" s="47">
        <f t="shared" ca="1" si="32"/>
        <v>8857548988499.1113</v>
      </c>
      <c r="I236" s="47">
        <f t="shared" ca="1" si="33"/>
        <v>34358255773467.391</v>
      </c>
      <c r="J236" s="47">
        <f t="shared" ca="1" si="34"/>
        <v>2125416457386.7334</v>
      </c>
      <c r="K236" s="48">
        <f t="shared" ca="1" si="35"/>
        <v>16.165422853510766</v>
      </c>
    </row>
    <row r="237" spans="2:11" ht="15" customHeight="1" x14ac:dyDescent="0.35">
      <c r="B237" s="5">
        <v>216</v>
      </c>
      <c r="C237" s="46">
        <f t="shared" ca="1" si="27"/>
        <v>3.4293347411942681</v>
      </c>
      <c r="D237" s="47">
        <f t="shared" ca="1" si="28"/>
        <v>10128355446.092787</v>
      </c>
      <c r="E237" s="47">
        <f t="shared" ca="1" si="29"/>
        <v>35429355091941.711</v>
      </c>
      <c r="F237" s="47">
        <f t="shared" ca="1" si="30"/>
        <v>25657259279321.27</v>
      </c>
      <c r="G237" s="47">
        <f t="shared" ca="1" si="31"/>
        <v>3292793388168.2676</v>
      </c>
      <c r="H237" s="47">
        <f t="shared" ca="1" si="32"/>
        <v>25657259279321.27</v>
      </c>
      <c r="I237" s="47">
        <f t="shared" ca="1" si="33"/>
        <v>96463153582137.375</v>
      </c>
      <c r="J237" s="47">
        <f t="shared" ca="1" si="34"/>
        <v>2213286981892.3306</v>
      </c>
      <c r="K237" s="48">
        <f t="shared" ca="1" si="35"/>
        <v>43.583662837822629</v>
      </c>
    </row>
    <row r="238" spans="2:11" ht="15" customHeight="1" x14ac:dyDescent="0.35">
      <c r="B238" s="5">
        <v>217</v>
      </c>
      <c r="C238" s="46">
        <f t="shared" ca="1" si="27"/>
        <v>2.5609416137223358</v>
      </c>
      <c r="D238" s="47">
        <f t="shared" ca="1" si="28"/>
        <v>2293845175.3582554</v>
      </c>
      <c r="E238" s="47">
        <f t="shared" ca="1" si="29"/>
        <v>47765189941651.641</v>
      </c>
      <c r="F238" s="47">
        <f t="shared" ca="1" si="30"/>
        <v>5152030476489.9688</v>
      </c>
      <c r="G238" s="47">
        <f t="shared" ca="1" si="31"/>
        <v>2892747594262.2344</v>
      </c>
      <c r="H238" s="47">
        <f t="shared" ca="1" si="32"/>
        <v>47765189941651.641</v>
      </c>
      <c r="I238" s="47">
        <f t="shared" ca="1" si="33"/>
        <v>39605116403284.945</v>
      </c>
      <c r="J238" s="47">
        <f t="shared" ca="1" si="34"/>
        <v>823123991347.13013</v>
      </c>
      <c r="K238" s="48">
        <f t="shared" ca="1" si="35"/>
        <v>48.115614196188055</v>
      </c>
    </row>
    <row r="239" spans="2:11" ht="15" customHeight="1" x14ac:dyDescent="0.35">
      <c r="B239" s="5">
        <v>218</v>
      </c>
      <c r="C239" s="46">
        <f t="shared" ca="1" si="27"/>
        <v>3.0257332339259384</v>
      </c>
      <c r="D239" s="47">
        <f t="shared" ca="1" si="28"/>
        <v>4680888302.1814651</v>
      </c>
      <c r="E239" s="47">
        <f t="shared" ca="1" si="29"/>
        <v>19580394949335.543</v>
      </c>
      <c r="F239" s="47">
        <f t="shared" ca="1" si="30"/>
        <v>2450621673466.1919</v>
      </c>
      <c r="G239" s="47">
        <f t="shared" ca="1" si="31"/>
        <v>1670660220107.1653</v>
      </c>
      <c r="H239" s="47">
        <f t="shared" ca="1" si="32"/>
        <v>1670660220107.1653</v>
      </c>
      <c r="I239" s="47">
        <f t="shared" ca="1" si="33"/>
        <v>368860283939.75348</v>
      </c>
      <c r="J239" s="47">
        <f t="shared" ca="1" si="34"/>
        <v>1996544366207.7935</v>
      </c>
      <c r="K239" s="48">
        <f t="shared" ca="1" si="35"/>
        <v>0.18474935502703663</v>
      </c>
    </row>
    <row r="240" spans="2:11" ht="15" customHeight="1" x14ac:dyDescent="0.35">
      <c r="B240" s="5">
        <v>219</v>
      </c>
      <c r="C240" s="46">
        <f t="shared" ca="1" si="27"/>
        <v>3.3565902272740491</v>
      </c>
      <c r="D240" s="47">
        <f t="shared" ca="1" si="28"/>
        <v>7230307737.6802454</v>
      </c>
      <c r="E240" s="47">
        <f t="shared" ca="1" si="29"/>
        <v>30077282479251.863</v>
      </c>
      <c r="F240" s="47">
        <f t="shared" ca="1" si="30"/>
        <v>430693806158.74811</v>
      </c>
      <c r="G240" s="47">
        <f t="shared" ca="1" si="31"/>
        <v>43918075920650.438</v>
      </c>
      <c r="H240" s="47">
        <f t="shared" ca="1" si="32"/>
        <v>30077282479251.863</v>
      </c>
      <c r="I240" s="47">
        <f t="shared" ca="1" si="33"/>
        <v>2277213715076.6787</v>
      </c>
      <c r="J240" s="47">
        <f t="shared" ca="1" si="34"/>
        <v>1949299439671.949</v>
      </c>
      <c r="K240" s="48">
        <f t="shared" ca="1" si="35"/>
        <v>1.1682216024542207</v>
      </c>
    </row>
    <row r="241" spans="2:11" ht="15" customHeight="1" x14ac:dyDescent="0.35">
      <c r="B241" s="5">
        <v>220</v>
      </c>
      <c r="C241" s="46">
        <f t="shared" ca="1" si="27"/>
        <v>2.378626746143957</v>
      </c>
      <c r="D241" s="47">
        <f t="shared" ca="1" si="28"/>
        <v>1583424892.3000638</v>
      </c>
      <c r="E241" s="47">
        <f t="shared" ca="1" si="29"/>
        <v>2901334332842.918</v>
      </c>
      <c r="F241" s="47">
        <f t="shared" ca="1" si="30"/>
        <v>5373024600058.0225</v>
      </c>
      <c r="G241" s="47">
        <f t="shared" ca="1" si="31"/>
        <v>54971832735542.078</v>
      </c>
      <c r="H241" s="47">
        <f t="shared" ca="1" si="32"/>
        <v>5373024600058.0225</v>
      </c>
      <c r="I241" s="47">
        <f t="shared" ca="1" si="33"/>
        <v>275061251586890.44</v>
      </c>
      <c r="J241" s="47">
        <f t="shared" ca="1" si="34"/>
        <v>1336400970759.8218</v>
      </c>
      <c r="K241" s="48">
        <f t="shared" ca="1" si="35"/>
        <v>205.82239732323907</v>
      </c>
    </row>
    <row r="242" spans="2:11" ht="15" customHeight="1" x14ac:dyDescent="0.35">
      <c r="B242" s="5">
        <v>221</v>
      </c>
      <c r="C242" s="46">
        <f t="shared" ca="1" si="27"/>
        <v>2.6164647856583123</v>
      </c>
      <c r="D242" s="47">
        <f t="shared" ca="1" si="28"/>
        <v>2738482884.2607241</v>
      </c>
      <c r="E242" s="47">
        <f t="shared" ca="1" si="29"/>
        <v>10778576353593.84</v>
      </c>
      <c r="F242" s="47">
        <f t="shared" ca="1" si="30"/>
        <v>6673808305611.3711</v>
      </c>
      <c r="G242" s="47">
        <f t="shared" ca="1" si="31"/>
        <v>427404125954.39459</v>
      </c>
      <c r="H242" s="47">
        <f t="shared" ca="1" si="32"/>
        <v>427404125954.39459</v>
      </c>
      <c r="I242" s="47">
        <f t="shared" ca="1" si="33"/>
        <v>20201736376284.016</v>
      </c>
      <c r="J242" s="47">
        <f t="shared" ca="1" si="34"/>
        <v>1331673189740.9058</v>
      </c>
      <c r="K242" s="48">
        <f t="shared" ca="1" si="35"/>
        <v>15.17019080350677</v>
      </c>
    </row>
    <row r="243" spans="2:11" ht="15" customHeight="1" x14ac:dyDescent="0.35">
      <c r="B243" s="5">
        <v>222</v>
      </c>
      <c r="C243" s="46">
        <f t="shared" ca="1" si="27"/>
        <v>3.2739216137350375</v>
      </c>
      <c r="D243" s="47">
        <f t="shared" ca="1" si="28"/>
        <v>6980191718.081748</v>
      </c>
      <c r="E243" s="47">
        <f t="shared" ca="1" si="29"/>
        <v>18186995918354.008</v>
      </c>
      <c r="F243" s="47">
        <f t="shared" ca="1" si="30"/>
        <v>6255466655877.9053</v>
      </c>
      <c r="G243" s="47">
        <f t="shared" ca="1" si="31"/>
        <v>8943647701387.0313</v>
      </c>
      <c r="H243" s="47">
        <f t="shared" ca="1" si="32"/>
        <v>8943647701387.0313</v>
      </c>
      <c r="I243" s="47">
        <f t="shared" ca="1" si="33"/>
        <v>46739405670403.969</v>
      </c>
      <c r="J243" s="47">
        <f t="shared" ca="1" si="34"/>
        <v>1166808722618.0825</v>
      </c>
      <c r="K243" s="48">
        <f t="shared" ca="1" si="35"/>
        <v>40.057470230022112</v>
      </c>
    </row>
    <row r="244" spans="2:11" ht="15" customHeight="1" x14ac:dyDescent="0.35">
      <c r="B244" s="5">
        <v>223</v>
      </c>
      <c r="C244" s="46">
        <f t="shared" ca="1" si="27"/>
        <v>3.0062298603689515</v>
      </c>
      <c r="D244" s="47">
        <f t="shared" ca="1" si="28"/>
        <v>5090492974.7232685</v>
      </c>
      <c r="E244" s="47">
        <f t="shared" ca="1" si="29"/>
        <v>16099868127328.088</v>
      </c>
      <c r="F244" s="47">
        <f t="shared" ca="1" si="30"/>
        <v>5702162850676.3398</v>
      </c>
      <c r="G244" s="47">
        <f t="shared" ca="1" si="31"/>
        <v>2942556030770.7578</v>
      </c>
      <c r="H244" s="47">
        <f t="shared" ca="1" si="32"/>
        <v>5702162850676.3398</v>
      </c>
      <c r="I244" s="47">
        <f t="shared" ca="1" si="33"/>
        <v>2601914873204.6851</v>
      </c>
      <c r="J244" s="47">
        <f t="shared" ca="1" si="34"/>
        <v>1337265269550.9775</v>
      </c>
      <c r="K244" s="48">
        <f t="shared" ca="1" si="35"/>
        <v>1.9456983834466495</v>
      </c>
    </row>
    <row r="245" spans="2:11" ht="15" customHeight="1" x14ac:dyDescent="0.35">
      <c r="B245" s="5">
        <v>224</v>
      </c>
      <c r="C245" s="46">
        <f t="shared" ca="1" si="27"/>
        <v>2.7484830754355691</v>
      </c>
      <c r="D245" s="47">
        <f t="shared" ca="1" si="28"/>
        <v>2709455743.7186565</v>
      </c>
      <c r="E245" s="47">
        <f t="shared" ca="1" si="29"/>
        <v>8262642690491.2871</v>
      </c>
      <c r="F245" s="47">
        <f t="shared" ca="1" si="30"/>
        <v>3427770033181.8535</v>
      </c>
      <c r="G245" s="47">
        <f t="shared" ca="1" si="31"/>
        <v>151018793915.2547</v>
      </c>
      <c r="H245" s="47">
        <f t="shared" ca="1" si="32"/>
        <v>3427770033181.8535</v>
      </c>
      <c r="I245" s="47">
        <f t="shared" ca="1" si="33"/>
        <v>17149619881280.172</v>
      </c>
      <c r="J245" s="47">
        <f t="shared" ca="1" si="34"/>
        <v>1288297771311.8147</v>
      </c>
      <c r="K245" s="48">
        <f t="shared" ca="1" si="35"/>
        <v>13.31184471724848</v>
      </c>
    </row>
    <row r="246" spans="2:11" ht="15" customHeight="1" x14ac:dyDescent="0.35">
      <c r="B246" s="5">
        <v>225</v>
      </c>
      <c r="C246" s="46">
        <f t="shared" ca="1" si="27"/>
        <v>3.2701266986007789</v>
      </c>
      <c r="D246" s="47">
        <f t="shared" ca="1" si="28"/>
        <v>8065080936.7522554</v>
      </c>
      <c r="E246" s="47">
        <f t="shared" ca="1" si="29"/>
        <v>17291648676145.926</v>
      </c>
      <c r="F246" s="47">
        <f t="shared" ca="1" si="30"/>
        <v>542792743070.99152</v>
      </c>
      <c r="G246" s="47">
        <f t="shared" ca="1" si="31"/>
        <v>8287164338357.6719</v>
      </c>
      <c r="H246" s="47">
        <f t="shared" ca="1" si="32"/>
        <v>8287164338357.6719</v>
      </c>
      <c r="I246" s="47">
        <f t="shared" ca="1" si="33"/>
        <v>15042649959630.416</v>
      </c>
      <c r="J246" s="47">
        <f t="shared" ca="1" si="34"/>
        <v>845737130192.78394</v>
      </c>
      <c r="K246" s="48">
        <f t="shared" ca="1" si="35"/>
        <v>17.786436733836524</v>
      </c>
    </row>
    <row r="247" spans="2:11" ht="15" customHeight="1" x14ac:dyDescent="0.35">
      <c r="B247" s="5">
        <v>226</v>
      </c>
      <c r="C247" s="46">
        <f t="shared" ca="1" si="27"/>
        <v>2.5291265863988981</v>
      </c>
      <c r="D247" s="47">
        <f t="shared" ca="1" si="28"/>
        <v>2477917059.1796618</v>
      </c>
      <c r="E247" s="47">
        <f t="shared" ca="1" si="29"/>
        <v>8203375279957.2383</v>
      </c>
      <c r="F247" s="47">
        <f t="shared" ca="1" si="30"/>
        <v>8617793260935.4609</v>
      </c>
      <c r="G247" s="47">
        <f t="shared" ca="1" si="31"/>
        <v>52618929916162.875</v>
      </c>
      <c r="H247" s="47">
        <f t="shared" ca="1" si="32"/>
        <v>52618929916162.875</v>
      </c>
      <c r="I247" s="47">
        <f t="shared" ca="1" si="33"/>
        <v>9804901355132.6113</v>
      </c>
      <c r="J247" s="47">
        <f t="shared" ca="1" si="34"/>
        <v>2538727258110.4487</v>
      </c>
      <c r="K247" s="48">
        <f t="shared" ca="1" si="35"/>
        <v>3.8621326193308017</v>
      </c>
    </row>
    <row r="248" spans="2:11" ht="15" customHeight="1" x14ac:dyDescent="0.35">
      <c r="B248" s="5">
        <v>227</v>
      </c>
      <c r="C248" s="46">
        <f t="shared" ca="1" si="27"/>
        <v>2.9213054435994286</v>
      </c>
      <c r="D248" s="47">
        <f t="shared" ca="1" si="28"/>
        <v>4767407382.9420462</v>
      </c>
      <c r="E248" s="47">
        <f t="shared" ca="1" si="29"/>
        <v>20946231012027.492</v>
      </c>
      <c r="F248" s="47">
        <f t="shared" ca="1" si="30"/>
        <v>3708473233381.1709</v>
      </c>
      <c r="G248" s="47">
        <f t="shared" ca="1" si="31"/>
        <v>6908346310769.8252</v>
      </c>
      <c r="H248" s="47">
        <f t="shared" ca="1" si="32"/>
        <v>20946231012027.492</v>
      </c>
      <c r="I248" s="47">
        <f t="shared" ca="1" si="33"/>
        <v>79260366940683</v>
      </c>
      <c r="J248" s="47">
        <f t="shared" ca="1" si="34"/>
        <v>1774767607122.1465</v>
      </c>
      <c r="K248" s="48">
        <f t="shared" ca="1" si="35"/>
        <v>44.659574933986264</v>
      </c>
    </row>
    <row r="249" spans="2:11" ht="15" customHeight="1" x14ac:dyDescent="0.35">
      <c r="B249" s="5">
        <v>228</v>
      </c>
      <c r="C249" s="46">
        <f t="shared" ca="1" si="27"/>
        <v>2.4842514756697112</v>
      </c>
      <c r="D249" s="47">
        <f t="shared" ca="1" si="28"/>
        <v>2258587334.3950143</v>
      </c>
      <c r="E249" s="47">
        <f t="shared" ca="1" si="29"/>
        <v>11567681479545.537</v>
      </c>
      <c r="F249" s="47">
        <f t="shared" ca="1" si="30"/>
        <v>16318318954375.971</v>
      </c>
      <c r="G249" s="47">
        <f t="shared" ca="1" si="31"/>
        <v>1753815715932.5493</v>
      </c>
      <c r="H249" s="47">
        <f t="shared" ca="1" si="32"/>
        <v>11567681479545.537</v>
      </c>
      <c r="I249" s="47">
        <f t="shared" ca="1" si="33"/>
        <v>4086584037052.3936</v>
      </c>
      <c r="J249" s="47">
        <f t="shared" ca="1" si="34"/>
        <v>2630496250622.7305</v>
      </c>
      <c r="K249" s="48">
        <f t="shared" ca="1" si="35"/>
        <v>1.5535410993590872</v>
      </c>
    </row>
    <row r="250" spans="2:11" ht="15" customHeight="1" x14ac:dyDescent="0.35">
      <c r="B250" s="5">
        <v>229</v>
      </c>
      <c r="C250" s="46">
        <f t="shared" ca="1" si="27"/>
        <v>4.0934619715456755</v>
      </c>
      <c r="D250" s="47">
        <f t="shared" ca="1" si="28"/>
        <v>26379370598.278671</v>
      </c>
      <c r="E250" s="47">
        <f t="shared" ca="1" si="29"/>
        <v>56857033817760.133</v>
      </c>
      <c r="F250" s="47">
        <f t="shared" ca="1" si="30"/>
        <v>1277122240135.7329</v>
      </c>
      <c r="G250" s="47">
        <f t="shared" ca="1" si="31"/>
        <v>647530139367.4812</v>
      </c>
      <c r="H250" s="47">
        <f t="shared" ca="1" si="32"/>
        <v>56857033817760.133</v>
      </c>
      <c r="I250" s="47">
        <f t="shared" ca="1" si="33"/>
        <v>442733712887.17029</v>
      </c>
      <c r="J250" s="47">
        <f t="shared" ca="1" si="34"/>
        <v>797119260688.34583</v>
      </c>
      <c r="K250" s="48">
        <f t="shared" ca="1" si="35"/>
        <v>0.55541715615408815</v>
      </c>
    </row>
    <row r="251" spans="2:11" ht="15" customHeight="1" x14ac:dyDescent="0.35">
      <c r="B251" s="5">
        <v>230</v>
      </c>
      <c r="C251" s="46">
        <f t="shared" ca="1" si="27"/>
        <v>3.0289933975387</v>
      </c>
      <c r="D251" s="47">
        <f t="shared" ca="1" si="28"/>
        <v>5584985367.3656178</v>
      </c>
      <c r="E251" s="47">
        <f t="shared" ca="1" si="29"/>
        <v>33874734810539.883</v>
      </c>
      <c r="F251" s="47">
        <f t="shared" ca="1" si="30"/>
        <v>1344363151480.5657</v>
      </c>
      <c r="G251" s="47">
        <f t="shared" ca="1" si="31"/>
        <v>5942413604616.7783</v>
      </c>
      <c r="H251" s="47">
        <f t="shared" ca="1" si="32"/>
        <v>1344363151480.5657</v>
      </c>
      <c r="I251" s="47">
        <f t="shared" ca="1" si="33"/>
        <v>7079294480132.8701</v>
      </c>
      <c r="J251" s="47">
        <f t="shared" ca="1" si="34"/>
        <v>1244216249730.4014</v>
      </c>
      <c r="K251" s="48">
        <f t="shared" ca="1" si="35"/>
        <v>5.6897621146378876</v>
      </c>
    </row>
    <row r="252" spans="2:11" ht="15" customHeight="1" x14ac:dyDescent="0.35">
      <c r="B252" s="5">
        <v>231</v>
      </c>
      <c r="C252" s="46">
        <f t="shared" ca="1" si="27"/>
        <v>2.3076421854720266</v>
      </c>
      <c r="D252" s="47">
        <f t="shared" ca="1" si="28"/>
        <v>1217005425.3612127</v>
      </c>
      <c r="E252" s="47">
        <f t="shared" ca="1" si="29"/>
        <v>2242932469569.9375</v>
      </c>
      <c r="F252" s="47">
        <f t="shared" ca="1" si="30"/>
        <v>4864337900224.7842</v>
      </c>
      <c r="G252" s="47">
        <f t="shared" ca="1" si="31"/>
        <v>4697732929689.5273</v>
      </c>
      <c r="H252" s="47">
        <f t="shared" ca="1" si="32"/>
        <v>4697732929689.5273</v>
      </c>
      <c r="I252" s="47">
        <f t="shared" ca="1" si="33"/>
        <v>1598831319290.4539</v>
      </c>
      <c r="J252" s="47">
        <f t="shared" ca="1" si="34"/>
        <v>2140271360269.187</v>
      </c>
      <c r="K252" s="48">
        <f t="shared" ca="1" si="35"/>
        <v>0.7470227135541192</v>
      </c>
    </row>
    <row r="253" spans="2:11" ht="15" customHeight="1" x14ac:dyDescent="0.35">
      <c r="B253" s="5">
        <v>232</v>
      </c>
      <c r="C253" s="46">
        <f t="shared" ca="1" si="27"/>
        <v>2.6715782986268315</v>
      </c>
      <c r="D253" s="47">
        <f t="shared" ca="1" si="28"/>
        <v>2529760134.9265132</v>
      </c>
      <c r="E253" s="47">
        <f t="shared" ca="1" si="29"/>
        <v>17079863888063.17</v>
      </c>
      <c r="F253" s="47">
        <f t="shared" ca="1" si="30"/>
        <v>2047336352240.4106</v>
      </c>
      <c r="G253" s="47">
        <f t="shared" ca="1" si="31"/>
        <v>16402311933974.213</v>
      </c>
      <c r="H253" s="47">
        <f t="shared" ca="1" si="32"/>
        <v>2047336352240.4106</v>
      </c>
      <c r="I253" s="47">
        <f t="shared" ca="1" si="33"/>
        <v>27031852950602.805</v>
      </c>
      <c r="J253" s="47">
        <f t="shared" ca="1" si="34"/>
        <v>1200795227389.5483</v>
      </c>
      <c r="K253" s="48">
        <f t="shared" ca="1" si="35"/>
        <v>22.511625907581525</v>
      </c>
    </row>
    <row r="254" spans="2:11" ht="15" customHeight="1" x14ac:dyDescent="0.35">
      <c r="B254" s="5">
        <v>233</v>
      </c>
      <c r="C254" s="46">
        <f t="shared" ca="1" si="27"/>
        <v>3.2351045084910659</v>
      </c>
      <c r="D254" s="47">
        <f t="shared" ca="1" si="28"/>
        <v>5708360038.5417833</v>
      </c>
      <c r="E254" s="47">
        <f t="shared" ca="1" si="29"/>
        <v>26618749570394.75</v>
      </c>
      <c r="F254" s="47">
        <f t="shared" ca="1" si="30"/>
        <v>2396230572507.4272</v>
      </c>
      <c r="G254" s="47">
        <f t="shared" ca="1" si="31"/>
        <v>38300017695362.859</v>
      </c>
      <c r="H254" s="47">
        <f t="shared" ca="1" si="32"/>
        <v>2396230572507.4272</v>
      </c>
      <c r="I254" s="47">
        <f t="shared" ca="1" si="33"/>
        <v>17366837539946</v>
      </c>
      <c r="J254" s="47">
        <f t="shared" ca="1" si="34"/>
        <v>2569184777448.6763</v>
      </c>
      <c r="K254" s="48">
        <f t="shared" ca="1" si="35"/>
        <v>6.7596685502675689</v>
      </c>
    </row>
    <row r="255" spans="2:11" ht="15" customHeight="1" x14ac:dyDescent="0.35">
      <c r="B255" s="5">
        <v>234</v>
      </c>
      <c r="C255" s="46">
        <f t="shared" ca="1" si="27"/>
        <v>2.4525986790262828</v>
      </c>
      <c r="D255" s="47">
        <f t="shared" ca="1" si="28"/>
        <v>1898288984.0457616</v>
      </c>
      <c r="E255" s="47">
        <f t="shared" ca="1" si="29"/>
        <v>1690537517468.019</v>
      </c>
      <c r="F255" s="47">
        <f t="shared" ca="1" si="30"/>
        <v>988475902982.11157</v>
      </c>
      <c r="G255" s="47">
        <f t="shared" ca="1" si="31"/>
        <v>5819269774336.2666</v>
      </c>
      <c r="H255" s="47">
        <f t="shared" ca="1" si="32"/>
        <v>5819269774336.2666</v>
      </c>
      <c r="I255" s="47">
        <f t="shared" ca="1" si="33"/>
        <v>1110931083078.449</v>
      </c>
      <c r="J255" s="47">
        <f t="shared" ca="1" si="34"/>
        <v>1013178589154.5247</v>
      </c>
      <c r="K255" s="48">
        <f t="shared" ca="1" si="35"/>
        <v>1.0964810103276035</v>
      </c>
    </row>
    <row r="256" spans="2:11" ht="15" customHeight="1" x14ac:dyDescent="0.35">
      <c r="B256" s="5">
        <v>235</v>
      </c>
      <c r="C256" s="46">
        <f t="shared" ca="1" si="27"/>
        <v>3.2508300838347326</v>
      </c>
      <c r="D256" s="47">
        <f t="shared" ca="1" si="28"/>
        <v>8589544705.1466589</v>
      </c>
      <c r="E256" s="47">
        <f t="shared" ca="1" si="29"/>
        <v>19573716776200.574</v>
      </c>
      <c r="F256" s="47">
        <f t="shared" ca="1" si="30"/>
        <v>11821926013376.945</v>
      </c>
      <c r="G256" s="47">
        <f t="shared" ca="1" si="31"/>
        <v>105417491394305.44</v>
      </c>
      <c r="H256" s="47">
        <f t="shared" ca="1" si="32"/>
        <v>11821926013376.945</v>
      </c>
      <c r="I256" s="47">
        <f t="shared" ca="1" si="33"/>
        <v>1449872763401.7117</v>
      </c>
      <c r="J256" s="47">
        <f t="shared" ca="1" si="34"/>
        <v>592758992545.33984</v>
      </c>
      <c r="K256" s="48">
        <f t="shared" ca="1" si="35"/>
        <v>2.4459734590881159</v>
      </c>
    </row>
    <row r="257" spans="2:11" ht="15" customHeight="1" x14ac:dyDescent="0.35">
      <c r="B257" s="5">
        <v>236</v>
      </c>
      <c r="C257" s="46">
        <f t="shared" ca="1" si="27"/>
        <v>2.9537194997783605</v>
      </c>
      <c r="D257" s="47">
        <f t="shared" ca="1" si="28"/>
        <v>5316550238.0882502</v>
      </c>
      <c r="E257" s="47">
        <f t="shared" ca="1" si="29"/>
        <v>30916743781638.598</v>
      </c>
      <c r="F257" s="47">
        <f t="shared" ca="1" si="30"/>
        <v>3339782856052.4092</v>
      </c>
      <c r="G257" s="47">
        <f t="shared" ca="1" si="31"/>
        <v>496437172393.98853</v>
      </c>
      <c r="H257" s="47">
        <f t="shared" ca="1" si="32"/>
        <v>496437172393.98853</v>
      </c>
      <c r="I257" s="47">
        <f t="shared" ca="1" si="33"/>
        <v>9310567639548.9453</v>
      </c>
      <c r="J257" s="47">
        <f t="shared" ca="1" si="34"/>
        <v>644577568079.84045</v>
      </c>
      <c r="K257" s="48">
        <f t="shared" ca="1" si="35"/>
        <v>14.444448737619883</v>
      </c>
    </row>
    <row r="258" spans="2:11" ht="15" customHeight="1" x14ac:dyDescent="0.35">
      <c r="B258" s="5">
        <v>237</v>
      </c>
      <c r="C258" s="46">
        <f t="shared" ca="1" si="27"/>
        <v>3.3985306613617587</v>
      </c>
      <c r="D258" s="47">
        <f t="shared" ca="1" si="28"/>
        <v>7591264280.7802048</v>
      </c>
      <c r="E258" s="47">
        <f t="shared" ca="1" si="29"/>
        <v>39317923835557.297</v>
      </c>
      <c r="F258" s="47">
        <f t="shared" ca="1" si="30"/>
        <v>6103382049618.4941</v>
      </c>
      <c r="G258" s="47">
        <f t="shared" ca="1" si="31"/>
        <v>2576560123478.0859</v>
      </c>
      <c r="H258" s="47">
        <f t="shared" ca="1" si="32"/>
        <v>39317923835557.297</v>
      </c>
      <c r="I258" s="47">
        <f t="shared" ca="1" si="33"/>
        <v>4512703443951.9688</v>
      </c>
      <c r="J258" s="47">
        <f t="shared" ca="1" si="34"/>
        <v>540456028420.34698</v>
      </c>
      <c r="K258" s="48">
        <f t="shared" ca="1" si="35"/>
        <v>8.3498068420880909</v>
      </c>
    </row>
    <row r="259" spans="2:11" ht="15" customHeight="1" x14ac:dyDescent="0.35">
      <c r="B259" s="5">
        <v>238</v>
      </c>
      <c r="C259" s="46">
        <f t="shared" ca="1" si="27"/>
        <v>3.4331211670142796</v>
      </c>
      <c r="D259" s="47">
        <f t="shared" ca="1" si="28"/>
        <v>11323332919.770475</v>
      </c>
      <c r="E259" s="47">
        <f t="shared" ca="1" si="29"/>
        <v>58843492801428.195</v>
      </c>
      <c r="F259" s="47">
        <f t="shared" ca="1" si="30"/>
        <v>2379659424638.7959</v>
      </c>
      <c r="G259" s="47">
        <f t="shared" ca="1" si="31"/>
        <v>18411127074399.57</v>
      </c>
      <c r="H259" s="47">
        <f t="shared" ca="1" si="32"/>
        <v>2379659424638.7959</v>
      </c>
      <c r="I259" s="47">
        <f t="shared" ca="1" si="33"/>
        <v>19558120198170.953</v>
      </c>
      <c r="J259" s="47">
        <f t="shared" ca="1" si="34"/>
        <v>757577286320.94751</v>
      </c>
      <c r="K259" s="48">
        <f t="shared" ca="1" si="35"/>
        <v>25.816666565007282</v>
      </c>
    </row>
    <row r="260" spans="2:11" ht="15" customHeight="1" x14ac:dyDescent="0.35">
      <c r="B260" s="5">
        <v>239</v>
      </c>
      <c r="C260" s="46">
        <f t="shared" ca="1" si="27"/>
        <v>3.1432183531479856</v>
      </c>
      <c r="D260" s="47">
        <f t="shared" ca="1" si="28"/>
        <v>7069336400.6302147</v>
      </c>
      <c r="E260" s="47">
        <f t="shared" ca="1" si="29"/>
        <v>21862791906865.23</v>
      </c>
      <c r="F260" s="47">
        <f t="shared" ca="1" si="30"/>
        <v>3533955816162.5317</v>
      </c>
      <c r="G260" s="47">
        <f t="shared" ca="1" si="31"/>
        <v>2326184969475.626</v>
      </c>
      <c r="H260" s="47">
        <f t="shared" ca="1" si="32"/>
        <v>3533955816162.5317</v>
      </c>
      <c r="I260" s="47">
        <f t="shared" ca="1" si="33"/>
        <v>107854243055533.55</v>
      </c>
      <c r="J260" s="47">
        <f t="shared" ca="1" si="34"/>
        <v>2310225805441.8267</v>
      </c>
      <c r="K260" s="48">
        <f t="shared" ca="1" si="35"/>
        <v>46.685584933506796</v>
      </c>
    </row>
    <row r="261" spans="2:11" ht="15" customHeight="1" x14ac:dyDescent="0.35">
      <c r="B261" s="5">
        <v>240</v>
      </c>
      <c r="C261" s="46">
        <f t="shared" ca="1" si="27"/>
        <v>2.3813213298085012</v>
      </c>
      <c r="D261" s="47">
        <f t="shared" ca="1" si="28"/>
        <v>1311006885.573674</v>
      </c>
      <c r="E261" s="47">
        <f t="shared" ca="1" si="29"/>
        <v>4785608905318.9814</v>
      </c>
      <c r="F261" s="47">
        <f t="shared" ca="1" si="30"/>
        <v>2114002426381.1682</v>
      </c>
      <c r="G261" s="47">
        <f t="shared" ca="1" si="31"/>
        <v>16075439652098.123</v>
      </c>
      <c r="H261" s="47">
        <f t="shared" ca="1" si="32"/>
        <v>16075439652098.123</v>
      </c>
      <c r="I261" s="47">
        <f t="shared" ca="1" si="33"/>
        <v>2128627673329.3003</v>
      </c>
      <c r="J261" s="47">
        <f t="shared" ca="1" si="34"/>
        <v>1478776077089.8706</v>
      </c>
      <c r="K261" s="48">
        <f t="shared" ca="1" si="35"/>
        <v>1.4394523324439308</v>
      </c>
    </row>
    <row r="262" spans="2:11" ht="15" customHeight="1" x14ac:dyDescent="0.35">
      <c r="B262" s="5">
        <v>241</v>
      </c>
      <c r="C262" s="46">
        <f t="shared" ca="1" si="27"/>
        <v>2.4951148152179545</v>
      </c>
      <c r="D262" s="47">
        <f t="shared" ca="1" si="28"/>
        <v>1636539361.0151956</v>
      </c>
      <c r="E262" s="47">
        <f t="shared" ca="1" si="29"/>
        <v>4143317108254.46</v>
      </c>
      <c r="F262" s="47">
        <f t="shared" ca="1" si="30"/>
        <v>2956809345659.2422</v>
      </c>
      <c r="G262" s="47">
        <f t="shared" ca="1" si="31"/>
        <v>7966787173805.5518</v>
      </c>
      <c r="H262" s="47">
        <f t="shared" ca="1" si="32"/>
        <v>4143317108254.46</v>
      </c>
      <c r="I262" s="47">
        <f t="shared" ca="1" si="33"/>
        <v>50934603113438.914</v>
      </c>
      <c r="J262" s="47">
        <f t="shared" ca="1" si="34"/>
        <v>1336308824303.0286</v>
      </c>
      <c r="K262" s="48">
        <f t="shared" ca="1" si="35"/>
        <v>38.115892215262889</v>
      </c>
    </row>
    <row r="263" spans="2:11" ht="15" customHeight="1" x14ac:dyDescent="0.35">
      <c r="B263" s="5">
        <v>242</v>
      </c>
      <c r="C263" s="46">
        <f t="shared" ca="1" si="27"/>
        <v>2.7483650776102828</v>
      </c>
      <c r="D263" s="47">
        <f t="shared" ca="1" si="28"/>
        <v>3689562479.8921742</v>
      </c>
      <c r="E263" s="47">
        <f t="shared" ca="1" si="29"/>
        <v>5465481939727.1836</v>
      </c>
      <c r="F263" s="47">
        <f t="shared" ca="1" si="30"/>
        <v>2382117463778.7803</v>
      </c>
      <c r="G263" s="47">
        <f t="shared" ca="1" si="31"/>
        <v>39527306284962.875</v>
      </c>
      <c r="H263" s="47">
        <f t="shared" ca="1" si="32"/>
        <v>2382117463778.7803</v>
      </c>
      <c r="I263" s="47">
        <f t="shared" ca="1" si="33"/>
        <v>5345641059943.7842</v>
      </c>
      <c r="J263" s="47">
        <f t="shared" ca="1" si="34"/>
        <v>1423772698725.5205</v>
      </c>
      <c r="K263" s="48">
        <f t="shared" ca="1" si="35"/>
        <v>3.7545607277965751</v>
      </c>
    </row>
    <row r="264" spans="2:11" ht="15" customHeight="1" x14ac:dyDescent="0.35">
      <c r="B264" s="5">
        <v>243</v>
      </c>
      <c r="C264" s="46">
        <f t="shared" ca="1" si="27"/>
        <v>2.9373490564265397</v>
      </c>
      <c r="D264" s="47">
        <f t="shared" ca="1" si="28"/>
        <v>3582587625.3993692</v>
      </c>
      <c r="E264" s="47">
        <f t="shared" ca="1" si="29"/>
        <v>5905086979056.8809</v>
      </c>
      <c r="F264" s="47">
        <f t="shared" ca="1" si="30"/>
        <v>3917907343106.9541</v>
      </c>
      <c r="G264" s="47">
        <f t="shared" ca="1" si="31"/>
        <v>14729369602289.443</v>
      </c>
      <c r="H264" s="47">
        <f t="shared" ca="1" si="32"/>
        <v>3917907343106.9541</v>
      </c>
      <c r="I264" s="47">
        <f t="shared" ca="1" si="33"/>
        <v>13609317066005.111</v>
      </c>
      <c r="J264" s="47">
        <f t="shared" ca="1" si="34"/>
        <v>836346806170.60242</v>
      </c>
      <c r="K264" s="48">
        <f t="shared" ca="1" si="35"/>
        <v>16.272336984603744</v>
      </c>
    </row>
    <row r="265" spans="2:11" ht="15" customHeight="1" x14ac:dyDescent="0.35">
      <c r="B265" s="5">
        <v>244</v>
      </c>
      <c r="C265" s="46">
        <f t="shared" ca="1" si="27"/>
        <v>2.9573935996397864</v>
      </c>
      <c r="D265" s="47">
        <f t="shared" ca="1" si="28"/>
        <v>5376264902.3779211</v>
      </c>
      <c r="E265" s="47">
        <f t="shared" ca="1" si="29"/>
        <v>10087585004320.645</v>
      </c>
      <c r="F265" s="47">
        <f t="shared" ca="1" si="30"/>
        <v>10193297148086.496</v>
      </c>
      <c r="G265" s="47">
        <f t="shared" ca="1" si="31"/>
        <v>3091828626886.0093</v>
      </c>
      <c r="H265" s="47">
        <f t="shared" ca="1" si="32"/>
        <v>10193297148086.496</v>
      </c>
      <c r="I265" s="47">
        <f t="shared" ca="1" si="33"/>
        <v>5607131217431.7344</v>
      </c>
      <c r="J265" s="47">
        <f t="shared" ca="1" si="34"/>
        <v>979759041245.22375</v>
      </c>
      <c r="K265" s="48">
        <f t="shared" ca="1" si="35"/>
        <v>5.7229696092473477</v>
      </c>
    </row>
    <row r="266" spans="2:11" ht="15" customHeight="1" x14ac:dyDescent="0.35">
      <c r="B266" s="5">
        <v>245</v>
      </c>
      <c r="C266" s="46">
        <f t="shared" ca="1" si="27"/>
        <v>3.4242413015254414</v>
      </c>
      <c r="D266" s="47">
        <f t="shared" ca="1" si="28"/>
        <v>8383203982.5462208</v>
      </c>
      <c r="E266" s="47">
        <f t="shared" ca="1" si="29"/>
        <v>24163469042995.336</v>
      </c>
      <c r="F266" s="47">
        <f t="shared" ca="1" si="30"/>
        <v>2786484536421.1411</v>
      </c>
      <c r="G266" s="47">
        <f t="shared" ca="1" si="31"/>
        <v>878205771631.84863</v>
      </c>
      <c r="H266" s="47">
        <f t="shared" ca="1" si="32"/>
        <v>24163469042995.336</v>
      </c>
      <c r="I266" s="47">
        <f t="shared" ca="1" si="33"/>
        <v>109211374158033.11</v>
      </c>
      <c r="J266" s="47">
        <f t="shared" ca="1" si="34"/>
        <v>1206447524934.8735</v>
      </c>
      <c r="K266" s="48">
        <f t="shared" ca="1" si="35"/>
        <v>90.523103492568865</v>
      </c>
    </row>
    <row r="267" spans="2:11" ht="15" customHeight="1" x14ac:dyDescent="0.35">
      <c r="B267" s="5">
        <v>246</v>
      </c>
      <c r="C267" s="46">
        <f t="shared" ca="1" si="27"/>
        <v>3.3255879837213449</v>
      </c>
      <c r="D267" s="47">
        <f t="shared" ca="1" si="28"/>
        <v>7878691603.643919</v>
      </c>
      <c r="E267" s="47">
        <f t="shared" ca="1" si="29"/>
        <v>21258966818595.285</v>
      </c>
      <c r="F267" s="47">
        <f t="shared" ca="1" si="30"/>
        <v>1635977402607.5813</v>
      </c>
      <c r="G267" s="47">
        <f t="shared" ca="1" si="31"/>
        <v>14265542894082.264</v>
      </c>
      <c r="H267" s="47">
        <f t="shared" ca="1" si="32"/>
        <v>14265542894082.264</v>
      </c>
      <c r="I267" s="47">
        <f t="shared" ca="1" si="33"/>
        <v>3200030873866.229</v>
      </c>
      <c r="J267" s="47">
        <f t="shared" ca="1" si="34"/>
        <v>1089207159136.4678</v>
      </c>
      <c r="K267" s="48">
        <f t="shared" ca="1" si="35"/>
        <v>2.9379451347007666</v>
      </c>
    </row>
    <row r="268" spans="2:11" ht="15" customHeight="1" x14ac:dyDescent="0.35">
      <c r="B268" s="5">
        <v>247</v>
      </c>
      <c r="C268" s="46">
        <f t="shared" ca="1" si="27"/>
        <v>2.818574413202843</v>
      </c>
      <c r="D268" s="47">
        <f t="shared" ca="1" si="28"/>
        <v>3379425505.7671027</v>
      </c>
      <c r="E268" s="47">
        <f t="shared" ca="1" si="29"/>
        <v>5602244294590.9297</v>
      </c>
      <c r="F268" s="47">
        <f t="shared" ca="1" si="30"/>
        <v>6299104903478.3398</v>
      </c>
      <c r="G268" s="47">
        <f t="shared" ca="1" si="31"/>
        <v>5047562499307.4424</v>
      </c>
      <c r="H268" s="47">
        <f t="shared" ca="1" si="32"/>
        <v>5602244294590.9297</v>
      </c>
      <c r="I268" s="47">
        <f t="shared" ca="1" si="33"/>
        <v>12040849196705.535</v>
      </c>
      <c r="J268" s="47">
        <f t="shared" ca="1" si="34"/>
        <v>1511911014896.5127</v>
      </c>
      <c r="K268" s="48">
        <f t="shared" ca="1" si="35"/>
        <v>7.9639933025619944</v>
      </c>
    </row>
    <row r="269" spans="2:11" ht="15" customHeight="1" x14ac:dyDescent="0.35">
      <c r="B269" s="5">
        <v>248</v>
      </c>
      <c r="C269" s="46">
        <f t="shared" ca="1" si="27"/>
        <v>2.3459762494734853</v>
      </c>
      <c r="D269" s="47">
        <f t="shared" ca="1" si="28"/>
        <v>1380624626.2992585</v>
      </c>
      <c r="E269" s="47">
        <f t="shared" ca="1" si="29"/>
        <v>5907779340954.999</v>
      </c>
      <c r="F269" s="47">
        <f t="shared" ca="1" si="30"/>
        <v>5389156152096.4814</v>
      </c>
      <c r="G269" s="47">
        <f t="shared" ca="1" si="31"/>
        <v>1680034834560.0632</v>
      </c>
      <c r="H269" s="47">
        <f t="shared" ca="1" si="32"/>
        <v>5907779340954.999</v>
      </c>
      <c r="I269" s="47">
        <f t="shared" ca="1" si="33"/>
        <v>5233859987686.6475</v>
      </c>
      <c r="J269" s="47">
        <f t="shared" ca="1" si="34"/>
        <v>1263387381511.0552</v>
      </c>
      <c r="K269" s="48">
        <f t="shared" ca="1" si="35"/>
        <v>4.1427198532145928</v>
      </c>
    </row>
    <row r="270" spans="2:11" ht="15" customHeight="1" x14ac:dyDescent="0.35">
      <c r="B270" s="5">
        <v>249</v>
      </c>
      <c r="C270" s="46">
        <f t="shared" ca="1" si="27"/>
        <v>2.5760589089993249</v>
      </c>
      <c r="D270" s="47">
        <f t="shared" ca="1" si="28"/>
        <v>2359428159.0021467</v>
      </c>
      <c r="E270" s="47">
        <f t="shared" ca="1" si="29"/>
        <v>3437253760324.9678</v>
      </c>
      <c r="F270" s="47">
        <f t="shared" ca="1" si="30"/>
        <v>3806997524008.6245</v>
      </c>
      <c r="G270" s="47">
        <f t="shared" ca="1" si="31"/>
        <v>4455252101225.9697</v>
      </c>
      <c r="H270" s="47">
        <f t="shared" ca="1" si="32"/>
        <v>4455252101225.9697</v>
      </c>
      <c r="I270" s="47">
        <f t="shared" ca="1" si="33"/>
        <v>12006002295405.348</v>
      </c>
      <c r="J270" s="47">
        <f t="shared" ca="1" si="34"/>
        <v>1410226184218.0149</v>
      </c>
      <c r="K270" s="48">
        <f t="shared" ca="1" si="35"/>
        <v>8.51352955275242</v>
      </c>
    </row>
    <row r="271" spans="2:11" ht="15" customHeight="1" x14ac:dyDescent="0.35">
      <c r="B271" s="5">
        <v>250</v>
      </c>
      <c r="C271" s="46">
        <f t="shared" ca="1" si="27"/>
        <v>3.6542901997228192</v>
      </c>
      <c r="D271" s="47">
        <f t="shared" ca="1" si="28"/>
        <v>11470426426.935328</v>
      </c>
      <c r="E271" s="47">
        <f t="shared" ca="1" si="29"/>
        <v>25409883922903.711</v>
      </c>
      <c r="F271" s="47">
        <f t="shared" ca="1" si="30"/>
        <v>975277114072.23584</v>
      </c>
      <c r="G271" s="47">
        <f t="shared" ca="1" si="31"/>
        <v>9087879874848.0078</v>
      </c>
      <c r="H271" s="47">
        <f t="shared" ca="1" si="32"/>
        <v>9087879874848.0078</v>
      </c>
      <c r="I271" s="47">
        <f t="shared" ca="1" si="33"/>
        <v>14238855334806.621</v>
      </c>
      <c r="J271" s="47">
        <f t="shared" ca="1" si="34"/>
        <v>1276839373849.5532</v>
      </c>
      <c r="K271" s="48">
        <f t="shared" ca="1" si="35"/>
        <v>11.151641801174867</v>
      </c>
    </row>
    <row r="272" spans="2:11" ht="15" customHeight="1" x14ac:dyDescent="0.35">
      <c r="B272" s="5">
        <v>251</v>
      </c>
      <c r="C272" s="46">
        <f t="shared" ca="1" si="27"/>
        <v>3.0776188054396449</v>
      </c>
      <c r="D272" s="47">
        <f t="shared" ca="1" si="28"/>
        <v>5469785109.5017319</v>
      </c>
      <c r="E272" s="47">
        <f t="shared" ca="1" si="29"/>
        <v>18455111203863.656</v>
      </c>
      <c r="F272" s="47">
        <f t="shared" ca="1" si="30"/>
        <v>1070088187730.5784</v>
      </c>
      <c r="G272" s="47">
        <f t="shared" ca="1" si="31"/>
        <v>12179642393845.352</v>
      </c>
      <c r="H272" s="47">
        <f t="shared" ca="1" si="32"/>
        <v>12179642393845.352</v>
      </c>
      <c r="I272" s="47">
        <f t="shared" ca="1" si="33"/>
        <v>6615507106967.4297</v>
      </c>
      <c r="J272" s="47">
        <f t="shared" ca="1" si="34"/>
        <v>1112441064202.8003</v>
      </c>
      <c r="K272" s="48">
        <f t="shared" ca="1" si="35"/>
        <v>5.9468382819077679</v>
      </c>
    </row>
    <row r="273" spans="2:11" ht="15" customHeight="1" x14ac:dyDescent="0.35">
      <c r="B273" s="5">
        <v>252</v>
      </c>
      <c r="C273" s="46">
        <f t="shared" ca="1" si="27"/>
        <v>3.6750812569947051</v>
      </c>
      <c r="D273" s="47">
        <f t="shared" ca="1" si="28"/>
        <v>11586046299.624331</v>
      </c>
      <c r="E273" s="47">
        <f t="shared" ca="1" si="29"/>
        <v>30277070793770.871</v>
      </c>
      <c r="F273" s="47">
        <f t="shared" ca="1" si="30"/>
        <v>3801970628678.5845</v>
      </c>
      <c r="G273" s="47">
        <f t="shared" ca="1" si="31"/>
        <v>8020518612235.5332</v>
      </c>
      <c r="H273" s="47">
        <f t="shared" ca="1" si="32"/>
        <v>30277070793770.871</v>
      </c>
      <c r="I273" s="47">
        <f t="shared" ca="1" si="33"/>
        <v>2138707600555.0295</v>
      </c>
      <c r="J273" s="47">
        <f t="shared" ca="1" si="34"/>
        <v>950786744154.35229</v>
      </c>
      <c r="K273" s="48">
        <f t="shared" ca="1" si="35"/>
        <v>2.2494083070723043</v>
      </c>
    </row>
    <row r="274" spans="2:11" ht="15" customHeight="1" x14ac:dyDescent="0.35">
      <c r="B274" s="5">
        <v>253</v>
      </c>
      <c r="C274" s="46">
        <f t="shared" ca="1" si="27"/>
        <v>3.4685142007962124</v>
      </c>
      <c r="D274" s="47">
        <f t="shared" ca="1" si="28"/>
        <v>8849184851.1646481</v>
      </c>
      <c r="E274" s="47">
        <f t="shared" ca="1" si="29"/>
        <v>11302933590410.582</v>
      </c>
      <c r="F274" s="47">
        <f t="shared" ca="1" si="30"/>
        <v>2512293568284.6069</v>
      </c>
      <c r="G274" s="47">
        <f t="shared" ca="1" si="31"/>
        <v>2110924777302.7898</v>
      </c>
      <c r="H274" s="47">
        <f t="shared" ca="1" si="32"/>
        <v>2110924777302.7898</v>
      </c>
      <c r="I274" s="47">
        <f t="shared" ca="1" si="33"/>
        <v>11815912943295.758</v>
      </c>
      <c r="J274" s="47">
        <f t="shared" ca="1" si="34"/>
        <v>1154430180197.5557</v>
      </c>
      <c r="K274" s="48">
        <f t="shared" ca="1" si="35"/>
        <v>10.235277235452838</v>
      </c>
    </row>
    <row r="275" spans="2:11" ht="15" customHeight="1" x14ac:dyDescent="0.35">
      <c r="B275" s="5">
        <v>254</v>
      </c>
      <c r="C275" s="46">
        <f t="shared" ca="1" si="27"/>
        <v>3.5421639710443702</v>
      </c>
      <c r="D275" s="47">
        <f t="shared" ca="1" si="28"/>
        <v>12714491931.82806</v>
      </c>
      <c r="E275" s="47">
        <f t="shared" ca="1" si="29"/>
        <v>133208732437079.88</v>
      </c>
      <c r="F275" s="47">
        <f t="shared" ca="1" si="30"/>
        <v>709003741122.50427</v>
      </c>
      <c r="G275" s="47">
        <f t="shared" ca="1" si="31"/>
        <v>12059654659534.066</v>
      </c>
      <c r="H275" s="47">
        <f t="shared" ca="1" si="32"/>
        <v>709003741122.50427</v>
      </c>
      <c r="I275" s="47">
        <f t="shared" ca="1" si="33"/>
        <v>40045302465084.531</v>
      </c>
      <c r="J275" s="47">
        <f t="shared" ca="1" si="34"/>
        <v>940461364876.04395</v>
      </c>
      <c r="K275" s="48">
        <f t="shared" ca="1" si="35"/>
        <v>42.580486515108085</v>
      </c>
    </row>
    <row r="276" spans="2:11" ht="15" customHeight="1" x14ac:dyDescent="0.35">
      <c r="B276" s="5">
        <v>255</v>
      </c>
      <c r="C276" s="46">
        <f t="shared" ca="1" si="27"/>
        <v>3.1482061437802784</v>
      </c>
      <c r="D276" s="47">
        <f t="shared" ca="1" si="28"/>
        <v>6170915881.4840422</v>
      </c>
      <c r="E276" s="47">
        <f t="shared" ca="1" si="29"/>
        <v>12148992465368.074</v>
      </c>
      <c r="F276" s="47">
        <f t="shared" ca="1" si="30"/>
        <v>1800306179482.8848</v>
      </c>
      <c r="G276" s="47">
        <f t="shared" ca="1" si="31"/>
        <v>2858397876434.2866</v>
      </c>
      <c r="H276" s="47">
        <f t="shared" ca="1" si="32"/>
        <v>2858397876434.2866</v>
      </c>
      <c r="I276" s="47">
        <f t="shared" ca="1" si="33"/>
        <v>16720459306457.113</v>
      </c>
      <c r="J276" s="47">
        <f t="shared" ca="1" si="34"/>
        <v>1637897331457.2156</v>
      </c>
      <c r="K276" s="48">
        <f t="shared" ca="1" si="35"/>
        <v>10.208490474541003</v>
      </c>
    </row>
    <row r="277" spans="2:11" ht="15" customHeight="1" x14ac:dyDescent="0.35">
      <c r="B277" s="5">
        <v>256</v>
      </c>
      <c r="C277" s="46">
        <f t="shared" ca="1" si="27"/>
        <v>3.0954479486114765</v>
      </c>
      <c r="D277" s="47">
        <f t="shared" ca="1" si="28"/>
        <v>5514221251.2315283</v>
      </c>
      <c r="E277" s="47">
        <f t="shared" ca="1" si="29"/>
        <v>23401888475854.469</v>
      </c>
      <c r="F277" s="47">
        <f t="shared" ca="1" si="30"/>
        <v>10233253844090.947</v>
      </c>
      <c r="G277" s="47">
        <f t="shared" ca="1" si="31"/>
        <v>18312297428133.102</v>
      </c>
      <c r="H277" s="47">
        <f t="shared" ca="1" si="32"/>
        <v>18312297428133.102</v>
      </c>
      <c r="I277" s="47">
        <f t="shared" ca="1" si="33"/>
        <v>3479681594758.6016</v>
      </c>
      <c r="J277" s="47">
        <f t="shared" ca="1" si="34"/>
        <v>1756463184323.4768</v>
      </c>
      <c r="K277" s="48">
        <f t="shared" ca="1" si="35"/>
        <v>1.9810728888683444</v>
      </c>
    </row>
    <row r="278" spans="2:11" ht="15" customHeight="1" x14ac:dyDescent="0.35">
      <c r="B278" s="5">
        <v>257</v>
      </c>
      <c r="C278" s="46">
        <f t="shared" ref="C278:C341" ca="1" si="36">MEDIAN(1.8,NORMINV(RAND(),$C$7,$D$7),4.5)</f>
        <v>2.9436424720352439</v>
      </c>
      <c r="D278" s="47">
        <f t="shared" ref="D278:D341" ca="1" si="37">($C$8+RAND()*($D$8-$C$8))*C278^5</f>
        <v>3910724856.3926711</v>
      </c>
      <c r="E278" s="47">
        <f t="shared" ref="E278:E341" ca="1" si="38">D278*($C$10+RAND()*($D$10-$C$10))*EXP(NORMINV(RAND(),$C$9,$D$9))*($C$11+RAND()*($D$11-$C$11))</f>
        <v>28050643994771.785</v>
      </c>
      <c r="F278" s="47">
        <f t="shared" ref="F278:F341" ca="1" si="39">EXP(NORMINV(RAND(),$C$12,$D$12))*EXP(NORMINV(RAND(),$C$13,$D$13))</f>
        <v>2800823154086.6694</v>
      </c>
      <c r="G278" s="47">
        <f t="shared" ref="G278:G341" ca="1" si="40">EXP(NORMINV(RAND(),$C$14,$D$14))*($C$15+RAND()*($D$15-$C$15))*EXP(NORMINV(RAND(),$C$16,$D$16))/1000000*31536000</f>
        <v>4576323794828.2949</v>
      </c>
      <c r="H278" s="47">
        <f t="shared" ref="H278:H341" ca="1" si="41">CHOOSE(RANDBETWEEN(1,3),E278,F278,G278)</f>
        <v>28050643994771.785</v>
      </c>
      <c r="I278" s="47">
        <f t="shared" ref="I278:I341" ca="1" si="42">EXP(NORMINV(RAND(),$C$14,$D$14))*($C$15+RAND()*($D$15-$C$15))*60</f>
        <v>43730041788891.688</v>
      </c>
      <c r="J278" s="47">
        <f t="shared" ref="J278:J341" ca="1" si="43">($C$17+RAND()*($D$17-$C$17))*($C$18+RAND()*($D$18-$C$18))</f>
        <v>1157885266071.2275</v>
      </c>
      <c r="K278" s="48">
        <f t="shared" ref="K278:K341" ca="1" si="44">I278/J278</f>
        <v>37.767163181262575</v>
      </c>
    </row>
    <row r="279" spans="2:11" ht="15" customHeight="1" x14ac:dyDescent="0.35">
      <c r="B279" s="5">
        <v>258</v>
      </c>
      <c r="C279" s="46">
        <f t="shared" ca="1" si="36"/>
        <v>3.1827270525320448</v>
      </c>
      <c r="D279" s="47">
        <f t="shared" ca="1" si="37"/>
        <v>6503972229.8338099</v>
      </c>
      <c r="E279" s="47">
        <f t="shared" ca="1" si="38"/>
        <v>11479025964149.652</v>
      </c>
      <c r="F279" s="47">
        <f t="shared" ca="1" si="39"/>
        <v>3579960974776.895</v>
      </c>
      <c r="G279" s="47">
        <f t="shared" ca="1" si="40"/>
        <v>1511673291226.481</v>
      </c>
      <c r="H279" s="47">
        <f t="shared" ca="1" si="41"/>
        <v>1511673291226.481</v>
      </c>
      <c r="I279" s="47">
        <f t="shared" ca="1" si="42"/>
        <v>9517946240656.0625</v>
      </c>
      <c r="J279" s="47">
        <f t="shared" ca="1" si="43"/>
        <v>789571960251.25769</v>
      </c>
      <c r="K279" s="48">
        <f t="shared" ca="1" si="44"/>
        <v>12.054564649974729</v>
      </c>
    </row>
    <row r="280" spans="2:11" ht="15" customHeight="1" x14ac:dyDescent="0.35">
      <c r="B280" s="5">
        <v>259</v>
      </c>
      <c r="C280" s="46">
        <f t="shared" ca="1" si="36"/>
        <v>3.2006512621495542</v>
      </c>
      <c r="D280" s="47">
        <f t="shared" ca="1" si="37"/>
        <v>6698645045.5580292</v>
      </c>
      <c r="E280" s="47">
        <f t="shared" ca="1" si="38"/>
        <v>39895884263829.219</v>
      </c>
      <c r="F280" s="47">
        <f t="shared" ca="1" si="39"/>
        <v>788185068503.56934</v>
      </c>
      <c r="G280" s="47">
        <f t="shared" ca="1" si="40"/>
        <v>624370893497.27112</v>
      </c>
      <c r="H280" s="47">
        <f t="shared" ca="1" si="41"/>
        <v>39895884263829.219</v>
      </c>
      <c r="I280" s="47">
        <f t="shared" ca="1" si="42"/>
        <v>16915916427667.064</v>
      </c>
      <c r="J280" s="47">
        <f t="shared" ca="1" si="43"/>
        <v>649369967092.8938</v>
      </c>
      <c r="K280" s="48">
        <f t="shared" ca="1" si="44"/>
        <v>26.049736336585468</v>
      </c>
    </row>
    <row r="281" spans="2:11" ht="15" customHeight="1" x14ac:dyDescent="0.35">
      <c r="B281" s="5">
        <v>260</v>
      </c>
      <c r="C281" s="46">
        <f t="shared" ca="1" si="36"/>
        <v>2.0940096779181849</v>
      </c>
      <c r="D281" s="47">
        <f t="shared" ca="1" si="37"/>
        <v>922361368.10304821</v>
      </c>
      <c r="E281" s="47">
        <f t="shared" ca="1" si="38"/>
        <v>1471877054992.9873</v>
      </c>
      <c r="F281" s="47">
        <f t="shared" ca="1" si="39"/>
        <v>3021750900493.5869</v>
      </c>
      <c r="G281" s="47">
        <f t="shared" ca="1" si="40"/>
        <v>16176646299614.023</v>
      </c>
      <c r="H281" s="47">
        <f t="shared" ca="1" si="41"/>
        <v>3021750900493.5869</v>
      </c>
      <c r="I281" s="47">
        <f t="shared" ca="1" si="42"/>
        <v>38739364063784.141</v>
      </c>
      <c r="J281" s="47">
        <f t="shared" ca="1" si="43"/>
        <v>2390229979091.7568</v>
      </c>
      <c r="K281" s="48">
        <f t="shared" ca="1" si="44"/>
        <v>16.207379374642596</v>
      </c>
    </row>
    <row r="282" spans="2:11" ht="15" customHeight="1" x14ac:dyDescent="0.35">
      <c r="B282" s="5">
        <v>261</v>
      </c>
      <c r="C282" s="46">
        <f t="shared" ca="1" si="36"/>
        <v>3.3214000722009369</v>
      </c>
      <c r="D282" s="47">
        <f t="shared" ca="1" si="37"/>
        <v>9668797690.2379093</v>
      </c>
      <c r="E282" s="47">
        <f t="shared" ca="1" si="38"/>
        <v>14753295133328.656</v>
      </c>
      <c r="F282" s="47">
        <f t="shared" ca="1" si="39"/>
        <v>1183903405594.2988</v>
      </c>
      <c r="G282" s="47">
        <f t="shared" ca="1" si="40"/>
        <v>2628551832836.958</v>
      </c>
      <c r="H282" s="47">
        <f t="shared" ca="1" si="41"/>
        <v>2628551832836.958</v>
      </c>
      <c r="I282" s="47">
        <f t="shared" ca="1" si="42"/>
        <v>1465398576598.7244</v>
      </c>
      <c r="J282" s="47">
        <f t="shared" ca="1" si="43"/>
        <v>863846365684.4115</v>
      </c>
      <c r="K282" s="48">
        <f t="shared" ca="1" si="44"/>
        <v>1.6963648107006999</v>
      </c>
    </row>
    <row r="283" spans="2:11" ht="15" customHeight="1" x14ac:dyDescent="0.35">
      <c r="B283" s="5">
        <v>262</v>
      </c>
      <c r="C283" s="46">
        <f t="shared" ca="1" si="36"/>
        <v>2.8569613289103213</v>
      </c>
      <c r="D283" s="47">
        <f t="shared" ca="1" si="37"/>
        <v>3145033495.8422208</v>
      </c>
      <c r="E283" s="47">
        <f t="shared" ca="1" si="38"/>
        <v>9687464772219.3242</v>
      </c>
      <c r="F283" s="47">
        <f t="shared" ca="1" si="39"/>
        <v>2866781763431.6831</v>
      </c>
      <c r="G283" s="47">
        <f t="shared" ca="1" si="40"/>
        <v>18261447229497.012</v>
      </c>
      <c r="H283" s="47">
        <f t="shared" ca="1" si="41"/>
        <v>2866781763431.6831</v>
      </c>
      <c r="I283" s="47">
        <f t="shared" ca="1" si="42"/>
        <v>12432491981202.623</v>
      </c>
      <c r="J283" s="47">
        <f t="shared" ca="1" si="43"/>
        <v>1670183586017.2092</v>
      </c>
      <c r="K283" s="48">
        <f t="shared" ca="1" si="44"/>
        <v>7.4437876681866282</v>
      </c>
    </row>
    <row r="284" spans="2:11" ht="15" customHeight="1" x14ac:dyDescent="0.35">
      <c r="B284" s="5">
        <v>263</v>
      </c>
      <c r="C284" s="46">
        <f t="shared" ca="1" si="36"/>
        <v>3.1087083511493678</v>
      </c>
      <c r="D284" s="47">
        <f t="shared" ca="1" si="37"/>
        <v>5779549810.6960621</v>
      </c>
      <c r="E284" s="47">
        <f t="shared" ca="1" si="38"/>
        <v>20184778418333.996</v>
      </c>
      <c r="F284" s="47">
        <f t="shared" ca="1" si="39"/>
        <v>6001327494549.2197</v>
      </c>
      <c r="G284" s="47">
        <f t="shared" ca="1" si="40"/>
        <v>2367120370626.5625</v>
      </c>
      <c r="H284" s="47">
        <f t="shared" ca="1" si="41"/>
        <v>6001327494549.2197</v>
      </c>
      <c r="I284" s="47">
        <f t="shared" ca="1" si="42"/>
        <v>14885499249481.566</v>
      </c>
      <c r="J284" s="47">
        <f t="shared" ca="1" si="43"/>
        <v>1099838898523.116</v>
      </c>
      <c r="K284" s="48">
        <f t="shared" ca="1" si="44"/>
        <v>13.534254216203928</v>
      </c>
    </row>
    <row r="285" spans="2:11" ht="15" customHeight="1" x14ac:dyDescent="0.35">
      <c r="B285" s="5">
        <v>264</v>
      </c>
      <c r="C285" s="46">
        <f t="shared" ca="1" si="36"/>
        <v>3.9016529984518118</v>
      </c>
      <c r="D285" s="47">
        <f t="shared" ca="1" si="37"/>
        <v>18037357399.682152</v>
      </c>
      <c r="E285" s="47">
        <f t="shared" ca="1" si="38"/>
        <v>134283086835928.56</v>
      </c>
      <c r="F285" s="47">
        <f t="shared" ca="1" si="39"/>
        <v>1988422498744.0125</v>
      </c>
      <c r="G285" s="47">
        <f t="shared" ca="1" si="40"/>
        <v>1080790048663.4543</v>
      </c>
      <c r="H285" s="47">
        <f t="shared" ca="1" si="41"/>
        <v>1988422498744.0125</v>
      </c>
      <c r="I285" s="47">
        <f t="shared" ca="1" si="42"/>
        <v>22721363671690.926</v>
      </c>
      <c r="J285" s="47">
        <f t="shared" ca="1" si="43"/>
        <v>1233508666100.9829</v>
      </c>
      <c r="K285" s="48">
        <f t="shared" ca="1" si="44"/>
        <v>18.420108667344223</v>
      </c>
    </row>
    <row r="286" spans="2:11" ht="15" customHeight="1" x14ac:dyDescent="0.35">
      <c r="B286" s="5">
        <v>265</v>
      </c>
      <c r="C286" s="46">
        <f t="shared" ca="1" si="36"/>
        <v>3.6549085214638657</v>
      </c>
      <c r="D286" s="47">
        <f t="shared" ca="1" si="37"/>
        <v>14257696133.339024</v>
      </c>
      <c r="E286" s="47">
        <f t="shared" ca="1" si="38"/>
        <v>37162300483507.273</v>
      </c>
      <c r="F286" s="47">
        <f t="shared" ca="1" si="39"/>
        <v>3456084192070.0132</v>
      </c>
      <c r="G286" s="47">
        <f t="shared" ca="1" si="40"/>
        <v>43026469087917.547</v>
      </c>
      <c r="H286" s="47">
        <f t="shared" ca="1" si="41"/>
        <v>43026469087917.547</v>
      </c>
      <c r="I286" s="47">
        <f t="shared" ca="1" si="42"/>
        <v>274446061832201</v>
      </c>
      <c r="J286" s="47">
        <f t="shared" ca="1" si="43"/>
        <v>1919942514310.7485</v>
      </c>
      <c r="K286" s="48">
        <f t="shared" ca="1" si="44"/>
        <v>142.94493704189159</v>
      </c>
    </row>
    <row r="287" spans="2:11" ht="15" customHeight="1" x14ac:dyDescent="0.35">
      <c r="B287" s="5">
        <v>266</v>
      </c>
      <c r="C287" s="46">
        <f t="shared" ca="1" si="36"/>
        <v>2.5730746725554128</v>
      </c>
      <c r="D287" s="47">
        <f t="shared" ca="1" si="37"/>
        <v>2214976589.0292649</v>
      </c>
      <c r="E287" s="47">
        <f t="shared" ca="1" si="38"/>
        <v>2755135095305.7798</v>
      </c>
      <c r="F287" s="47">
        <f t="shared" ca="1" si="39"/>
        <v>3026461811053.2935</v>
      </c>
      <c r="G287" s="47">
        <f t="shared" ca="1" si="40"/>
        <v>262954811354.29642</v>
      </c>
      <c r="H287" s="47">
        <f t="shared" ca="1" si="41"/>
        <v>2755135095305.7798</v>
      </c>
      <c r="I287" s="47">
        <f t="shared" ca="1" si="42"/>
        <v>5657772065631.2432</v>
      </c>
      <c r="J287" s="47">
        <f t="shared" ca="1" si="43"/>
        <v>1492962575973.7896</v>
      </c>
      <c r="K287" s="48">
        <f t="shared" ca="1" si="44"/>
        <v>3.7896275209316239</v>
      </c>
    </row>
    <row r="288" spans="2:11" ht="15" customHeight="1" x14ac:dyDescent="0.35">
      <c r="B288" s="5">
        <v>267</v>
      </c>
      <c r="C288" s="46">
        <f t="shared" ca="1" si="36"/>
        <v>2.2606249812826142</v>
      </c>
      <c r="D288" s="47">
        <f t="shared" ca="1" si="37"/>
        <v>1247246602.2635968</v>
      </c>
      <c r="E288" s="47">
        <f t="shared" ca="1" si="38"/>
        <v>3566090717276.3135</v>
      </c>
      <c r="F288" s="47">
        <f t="shared" ca="1" si="39"/>
        <v>585016673679.70044</v>
      </c>
      <c r="G288" s="47">
        <f t="shared" ca="1" si="40"/>
        <v>9308440859360.3984</v>
      </c>
      <c r="H288" s="47">
        <f t="shared" ca="1" si="41"/>
        <v>585016673679.70044</v>
      </c>
      <c r="I288" s="47">
        <f t="shared" ca="1" si="42"/>
        <v>214929061526645.84</v>
      </c>
      <c r="J288" s="47">
        <f t="shared" ca="1" si="43"/>
        <v>1757091850041.2993</v>
      </c>
      <c r="K288" s="48">
        <f t="shared" ca="1" si="44"/>
        <v>122.32090287231944</v>
      </c>
    </row>
    <row r="289" spans="2:11" ht="15" customHeight="1" x14ac:dyDescent="0.35">
      <c r="B289" s="5">
        <v>268</v>
      </c>
      <c r="C289" s="46">
        <f t="shared" ca="1" si="36"/>
        <v>2.9866242548553195</v>
      </c>
      <c r="D289" s="47">
        <f t="shared" ca="1" si="37"/>
        <v>4536215262.5806036</v>
      </c>
      <c r="E289" s="47">
        <f t="shared" ca="1" si="38"/>
        <v>33694735437849.652</v>
      </c>
      <c r="F289" s="47">
        <f t="shared" ca="1" si="39"/>
        <v>16981085314511.164</v>
      </c>
      <c r="G289" s="47">
        <f t="shared" ca="1" si="40"/>
        <v>903882482500.90637</v>
      </c>
      <c r="H289" s="47">
        <f t="shared" ca="1" si="41"/>
        <v>16981085314511.164</v>
      </c>
      <c r="I289" s="47">
        <f t="shared" ca="1" si="42"/>
        <v>19610948700909.406</v>
      </c>
      <c r="J289" s="47">
        <f t="shared" ca="1" si="43"/>
        <v>670134252575.9978</v>
      </c>
      <c r="K289" s="48">
        <f t="shared" ca="1" si="44"/>
        <v>29.264208814166519</v>
      </c>
    </row>
    <row r="290" spans="2:11" ht="15" customHeight="1" x14ac:dyDescent="0.35">
      <c r="B290" s="5">
        <v>269</v>
      </c>
      <c r="C290" s="46">
        <f t="shared" ca="1" si="36"/>
        <v>3.0507781904575646</v>
      </c>
      <c r="D290" s="47">
        <f t="shared" ca="1" si="37"/>
        <v>4418755262.6916895</v>
      </c>
      <c r="E290" s="47">
        <f t="shared" ca="1" si="38"/>
        <v>55406329184861.305</v>
      </c>
      <c r="F290" s="47">
        <f t="shared" ca="1" si="39"/>
        <v>1883359524774.8867</v>
      </c>
      <c r="G290" s="47">
        <f t="shared" ca="1" si="40"/>
        <v>2311213441406.7349</v>
      </c>
      <c r="H290" s="47">
        <f t="shared" ca="1" si="41"/>
        <v>55406329184861.305</v>
      </c>
      <c r="I290" s="47">
        <f t="shared" ca="1" si="42"/>
        <v>7473952910934.6797</v>
      </c>
      <c r="J290" s="47">
        <f t="shared" ca="1" si="43"/>
        <v>1709893515409.9465</v>
      </c>
      <c r="K290" s="48">
        <f t="shared" ca="1" si="44"/>
        <v>4.3710048863146902</v>
      </c>
    </row>
    <row r="291" spans="2:11" ht="15" customHeight="1" x14ac:dyDescent="0.35">
      <c r="B291" s="5">
        <v>270</v>
      </c>
      <c r="C291" s="46">
        <f t="shared" ca="1" si="36"/>
        <v>4.2841349182652433</v>
      </c>
      <c r="D291" s="47">
        <f t="shared" ca="1" si="37"/>
        <v>31403583610.99704</v>
      </c>
      <c r="E291" s="47">
        <f t="shared" ca="1" si="38"/>
        <v>113294078172126.61</v>
      </c>
      <c r="F291" s="47">
        <f t="shared" ca="1" si="39"/>
        <v>6204428448968.9004</v>
      </c>
      <c r="G291" s="47">
        <f t="shared" ca="1" si="40"/>
        <v>8437772158486.3213</v>
      </c>
      <c r="H291" s="47">
        <f t="shared" ca="1" si="41"/>
        <v>8437772158486.3213</v>
      </c>
      <c r="I291" s="47">
        <f t="shared" ca="1" si="42"/>
        <v>3009255816803.5908</v>
      </c>
      <c r="J291" s="47">
        <f t="shared" ca="1" si="43"/>
        <v>805891610520.9447</v>
      </c>
      <c r="K291" s="48">
        <f t="shared" ca="1" si="44"/>
        <v>3.7340701621876256</v>
      </c>
    </row>
    <row r="292" spans="2:11" ht="15" customHeight="1" x14ac:dyDescent="0.35">
      <c r="B292" s="5">
        <v>271</v>
      </c>
      <c r="C292" s="46">
        <f t="shared" ca="1" si="36"/>
        <v>2.656213229588011</v>
      </c>
      <c r="D292" s="47">
        <f t="shared" ca="1" si="37"/>
        <v>3029218133.7998323</v>
      </c>
      <c r="E292" s="47">
        <f t="shared" ca="1" si="38"/>
        <v>11060080080832.189</v>
      </c>
      <c r="F292" s="47">
        <f t="shared" ca="1" si="39"/>
        <v>3962820830587.9907</v>
      </c>
      <c r="G292" s="47">
        <f t="shared" ca="1" si="40"/>
        <v>1578355302349.8623</v>
      </c>
      <c r="H292" s="47">
        <f t="shared" ca="1" si="41"/>
        <v>1578355302349.8623</v>
      </c>
      <c r="I292" s="47">
        <f t="shared" ca="1" si="42"/>
        <v>5958257732207.6426</v>
      </c>
      <c r="J292" s="47">
        <f t="shared" ca="1" si="43"/>
        <v>1346440702476.8042</v>
      </c>
      <c r="K292" s="48">
        <f t="shared" ca="1" si="44"/>
        <v>4.425191336868612</v>
      </c>
    </row>
    <row r="293" spans="2:11" ht="15" customHeight="1" x14ac:dyDescent="0.35">
      <c r="B293" s="5">
        <v>272</v>
      </c>
      <c r="C293" s="46">
        <f t="shared" ca="1" si="36"/>
        <v>3.5321448298994449</v>
      </c>
      <c r="D293" s="47">
        <f t="shared" ca="1" si="37"/>
        <v>9500728137.6880322</v>
      </c>
      <c r="E293" s="47">
        <f t="shared" ca="1" si="38"/>
        <v>33933279019989.926</v>
      </c>
      <c r="F293" s="47">
        <f t="shared" ca="1" si="39"/>
        <v>1583333427784.8364</v>
      </c>
      <c r="G293" s="47">
        <f t="shared" ca="1" si="40"/>
        <v>4672529123978.2959</v>
      </c>
      <c r="H293" s="47">
        <f t="shared" ca="1" si="41"/>
        <v>1583333427784.8364</v>
      </c>
      <c r="I293" s="47">
        <f t="shared" ca="1" si="42"/>
        <v>4418584806205.4912</v>
      </c>
      <c r="J293" s="47">
        <f t="shared" ca="1" si="43"/>
        <v>1193787105100.3079</v>
      </c>
      <c r="K293" s="48">
        <f t="shared" ca="1" si="44"/>
        <v>3.7013172510639745</v>
      </c>
    </row>
    <row r="294" spans="2:11" ht="15" customHeight="1" x14ac:dyDescent="0.35">
      <c r="B294" s="5">
        <v>273</v>
      </c>
      <c r="C294" s="46">
        <f t="shared" ca="1" si="36"/>
        <v>3.3538758105177289</v>
      </c>
      <c r="D294" s="47">
        <f t="shared" ca="1" si="37"/>
        <v>9588107531.5334816</v>
      </c>
      <c r="E294" s="47">
        <f t="shared" ca="1" si="38"/>
        <v>17362409690341.07</v>
      </c>
      <c r="F294" s="47">
        <f t="shared" ca="1" si="39"/>
        <v>884618356160.97705</v>
      </c>
      <c r="G294" s="47">
        <f t="shared" ca="1" si="40"/>
        <v>37352893859507.844</v>
      </c>
      <c r="H294" s="47">
        <f t="shared" ca="1" si="41"/>
        <v>17362409690341.07</v>
      </c>
      <c r="I294" s="47">
        <f t="shared" ca="1" si="42"/>
        <v>6018613882852.9648</v>
      </c>
      <c r="J294" s="47">
        <f t="shared" ca="1" si="43"/>
        <v>970851762568.10974</v>
      </c>
      <c r="K294" s="48">
        <f t="shared" ca="1" si="44"/>
        <v>6.1993129279926826</v>
      </c>
    </row>
    <row r="295" spans="2:11" ht="15" customHeight="1" x14ac:dyDescent="0.35">
      <c r="B295" s="5">
        <v>274</v>
      </c>
      <c r="C295" s="46">
        <f t="shared" ca="1" si="36"/>
        <v>2.9522377154605293</v>
      </c>
      <c r="D295" s="47">
        <f t="shared" ca="1" si="37"/>
        <v>4969243326.3068857</v>
      </c>
      <c r="E295" s="47">
        <f t="shared" ca="1" si="38"/>
        <v>11506730106867.85</v>
      </c>
      <c r="F295" s="47">
        <f t="shared" ca="1" si="39"/>
        <v>4197152507368.9863</v>
      </c>
      <c r="G295" s="47">
        <f t="shared" ca="1" si="40"/>
        <v>1140951970794.2976</v>
      </c>
      <c r="H295" s="47">
        <f t="shared" ca="1" si="41"/>
        <v>1140951970794.2976</v>
      </c>
      <c r="I295" s="47">
        <f t="shared" ca="1" si="42"/>
        <v>8036775173336.1484</v>
      </c>
      <c r="J295" s="47">
        <f t="shared" ca="1" si="43"/>
        <v>1356717306138.4099</v>
      </c>
      <c r="K295" s="48">
        <f t="shared" ca="1" si="44"/>
        <v>5.92369179413729</v>
      </c>
    </row>
    <row r="296" spans="2:11" ht="15" customHeight="1" x14ac:dyDescent="0.35">
      <c r="B296" s="5">
        <v>275</v>
      </c>
      <c r="C296" s="46">
        <f t="shared" ca="1" si="36"/>
        <v>2.4544832107930952</v>
      </c>
      <c r="D296" s="47">
        <f t="shared" ca="1" si="37"/>
        <v>1958182816.6568632</v>
      </c>
      <c r="E296" s="47">
        <f t="shared" ca="1" si="38"/>
        <v>11131669092996.748</v>
      </c>
      <c r="F296" s="47">
        <f t="shared" ca="1" si="39"/>
        <v>6612911038675.6787</v>
      </c>
      <c r="G296" s="47">
        <f t="shared" ca="1" si="40"/>
        <v>2130732919355.9749</v>
      </c>
      <c r="H296" s="47">
        <f t="shared" ca="1" si="41"/>
        <v>2130732919355.9749</v>
      </c>
      <c r="I296" s="47">
        <f t="shared" ca="1" si="42"/>
        <v>32400114849351.699</v>
      </c>
      <c r="J296" s="47">
        <f t="shared" ca="1" si="43"/>
        <v>1858681117646.5154</v>
      </c>
      <c r="K296" s="48">
        <f t="shared" ca="1" si="44"/>
        <v>17.431777049727131</v>
      </c>
    </row>
    <row r="297" spans="2:11" ht="15" customHeight="1" x14ac:dyDescent="0.35">
      <c r="B297" s="5">
        <v>276</v>
      </c>
      <c r="C297" s="46">
        <f t="shared" ca="1" si="36"/>
        <v>2.428462332487769</v>
      </c>
      <c r="D297" s="47">
        <f t="shared" ca="1" si="37"/>
        <v>1391060235.1957448</v>
      </c>
      <c r="E297" s="47">
        <f t="shared" ca="1" si="38"/>
        <v>8716650439489.8232</v>
      </c>
      <c r="F297" s="47">
        <f t="shared" ca="1" si="39"/>
        <v>12369385806551.004</v>
      </c>
      <c r="G297" s="47">
        <f t="shared" ca="1" si="40"/>
        <v>34876211726374.57</v>
      </c>
      <c r="H297" s="47">
        <f t="shared" ca="1" si="41"/>
        <v>8716650439489.8232</v>
      </c>
      <c r="I297" s="47">
        <f t="shared" ca="1" si="42"/>
        <v>2755379898493.3486</v>
      </c>
      <c r="J297" s="47">
        <f t="shared" ca="1" si="43"/>
        <v>812216692386.04309</v>
      </c>
      <c r="K297" s="48">
        <f t="shared" ca="1" si="44"/>
        <v>3.392419688394841</v>
      </c>
    </row>
    <row r="298" spans="2:11" ht="15" customHeight="1" x14ac:dyDescent="0.35">
      <c r="B298" s="5">
        <v>277</v>
      </c>
      <c r="C298" s="46">
        <f t="shared" ca="1" si="36"/>
        <v>3.3148662178866073</v>
      </c>
      <c r="D298" s="47">
        <f t="shared" ca="1" si="37"/>
        <v>9059062690.716362</v>
      </c>
      <c r="E298" s="47">
        <f t="shared" ca="1" si="38"/>
        <v>28125142051676.684</v>
      </c>
      <c r="F298" s="47">
        <f t="shared" ca="1" si="39"/>
        <v>12553671545219.887</v>
      </c>
      <c r="G298" s="47">
        <f t="shared" ca="1" si="40"/>
        <v>2096617833784.302</v>
      </c>
      <c r="H298" s="47">
        <f t="shared" ca="1" si="41"/>
        <v>28125142051676.684</v>
      </c>
      <c r="I298" s="47">
        <f t="shared" ca="1" si="42"/>
        <v>3443680391260.9312</v>
      </c>
      <c r="J298" s="47">
        <f t="shared" ca="1" si="43"/>
        <v>1129509407096.4102</v>
      </c>
      <c r="K298" s="48">
        <f t="shared" ca="1" si="44"/>
        <v>3.0488284290730063</v>
      </c>
    </row>
    <row r="299" spans="2:11" ht="15" customHeight="1" x14ac:dyDescent="0.35">
      <c r="B299" s="5">
        <v>278</v>
      </c>
      <c r="C299" s="46">
        <f t="shared" ca="1" si="36"/>
        <v>3.8599071900013873</v>
      </c>
      <c r="D299" s="47">
        <f t="shared" ca="1" si="37"/>
        <v>18322532822.100113</v>
      </c>
      <c r="E299" s="47">
        <f t="shared" ca="1" si="38"/>
        <v>30355689264360.066</v>
      </c>
      <c r="F299" s="47">
        <f t="shared" ca="1" si="39"/>
        <v>1795871842148.0225</v>
      </c>
      <c r="G299" s="47">
        <f t="shared" ca="1" si="40"/>
        <v>4149436729501.4336</v>
      </c>
      <c r="H299" s="47">
        <f t="shared" ca="1" si="41"/>
        <v>1795871842148.0225</v>
      </c>
      <c r="I299" s="47">
        <f t="shared" ca="1" si="42"/>
        <v>22090751128633.363</v>
      </c>
      <c r="J299" s="47">
        <f t="shared" ca="1" si="43"/>
        <v>1864116119802.4944</v>
      </c>
      <c r="K299" s="48">
        <f t="shared" ca="1" si="44"/>
        <v>11.850523094545155</v>
      </c>
    </row>
    <row r="300" spans="2:11" ht="15" customHeight="1" x14ac:dyDescent="0.35">
      <c r="B300" s="5">
        <v>279</v>
      </c>
      <c r="C300" s="46">
        <f t="shared" ca="1" si="36"/>
        <v>3.039767542143307</v>
      </c>
      <c r="D300" s="47">
        <f t="shared" ca="1" si="37"/>
        <v>6007551971.4419355</v>
      </c>
      <c r="E300" s="47">
        <f t="shared" ca="1" si="38"/>
        <v>18635768142555.227</v>
      </c>
      <c r="F300" s="47">
        <f t="shared" ca="1" si="39"/>
        <v>789458982704.11365</v>
      </c>
      <c r="G300" s="47">
        <f t="shared" ca="1" si="40"/>
        <v>3803244610114.0259</v>
      </c>
      <c r="H300" s="47">
        <f t="shared" ca="1" si="41"/>
        <v>789458982704.11365</v>
      </c>
      <c r="I300" s="47">
        <f t="shared" ca="1" si="42"/>
        <v>1259052855887.1611</v>
      </c>
      <c r="J300" s="47">
        <f t="shared" ca="1" si="43"/>
        <v>1037545095474.7069</v>
      </c>
      <c r="K300" s="48">
        <f t="shared" ca="1" si="44"/>
        <v>1.2134921762712474</v>
      </c>
    </row>
    <row r="301" spans="2:11" ht="15" customHeight="1" x14ac:dyDescent="0.35">
      <c r="B301" s="5">
        <v>280</v>
      </c>
      <c r="C301" s="46">
        <f t="shared" ca="1" si="36"/>
        <v>2.7572151224748809</v>
      </c>
      <c r="D301" s="47">
        <f t="shared" ca="1" si="37"/>
        <v>3767187082.115056</v>
      </c>
      <c r="E301" s="47">
        <f t="shared" ca="1" si="38"/>
        <v>7972387582112.5</v>
      </c>
      <c r="F301" s="47">
        <f t="shared" ca="1" si="39"/>
        <v>3569292928174.6606</v>
      </c>
      <c r="G301" s="47">
        <f t="shared" ca="1" si="40"/>
        <v>93574828047.817596</v>
      </c>
      <c r="H301" s="47">
        <f t="shared" ca="1" si="41"/>
        <v>7972387582112.5</v>
      </c>
      <c r="I301" s="47">
        <f t="shared" ca="1" si="42"/>
        <v>11599603087543.049</v>
      </c>
      <c r="J301" s="47">
        <f t="shared" ca="1" si="43"/>
        <v>1511268827569.502</v>
      </c>
      <c r="K301" s="48">
        <f t="shared" ca="1" si="44"/>
        <v>7.675406834267938</v>
      </c>
    </row>
    <row r="302" spans="2:11" ht="15" customHeight="1" x14ac:dyDescent="0.35">
      <c r="B302" s="5">
        <v>281</v>
      </c>
      <c r="C302" s="46">
        <f t="shared" ca="1" si="36"/>
        <v>2.4404112250902008</v>
      </c>
      <c r="D302" s="47">
        <f t="shared" ca="1" si="37"/>
        <v>1533189444.0044262</v>
      </c>
      <c r="E302" s="47">
        <f t="shared" ca="1" si="38"/>
        <v>8969045551364.5273</v>
      </c>
      <c r="F302" s="47">
        <f t="shared" ca="1" si="39"/>
        <v>8887707918386.5254</v>
      </c>
      <c r="G302" s="47">
        <f t="shared" ca="1" si="40"/>
        <v>6536787083556.0205</v>
      </c>
      <c r="H302" s="47">
        <f t="shared" ca="1" si="41"/>
        <v>8887707918386.5254</v>
      </c>
      <c r="I302" s="47">
        <f t="shared" ca="1" si="42"/>
        <v>7661593493489.6533</v>
      </c>
      <c r="J302" s="47">
        <f t="shared" ca="1" si="43"/>
        <v>1633917387677.9033</v>
      </c>
      <c r="K302" s="48">
        <f t="shared" ca="1" si="44"/>
        <v>4.6890947799865117</v>
      </c>
    </row>
    <row r="303" spans="2:11" ht="15" customHeight="1" x14ac:dyDescent="0.35">
      <c r="B303" s="5">
        <v>282</v>
      </c>
      <c r="C303" s="46">
        <f t="shared" ca="1" si="36"/>
        <v>3.3427646689745107</v>
      </c>
      <c r="D303" s="47">
        <f t="shared" ca="1" si="37"/>
        <v>8158102190.8866358</v>
      </c>
      <c r="E303" s="47">
        <f t="shared" ca="1" si="38"/>
        <v>22474838347158.645</v>
      </c>
      <c r="F303" s="47">
        <f t="shared" ca="1" si="39"/>
        <v>2313002962316.9385</v>
      </c>
      <c r="G303" s="47">
        <f t="shared" ca="1" si="40"/>
        <v>6480966276885.8496</v>
      </c>
      <c r="H303" s="47">
        <f t="shared" ca="1" si="41"/>
        <v>6480966276885.8496</v>
      </c>
      <c r="I303" s="47">
        <f t="shared" ca="1" si="42"/>
        <v>10415438598943.535</v>
      </c>
      <c r="J303" s="47">
        <f t="shared" ca="1" si="43"/>
        <v>977492832407.58765</v>
      </c>
      <c r="K303" s="48">
        <f t="shared" ca="1" si="44"/>
        <v>10.65525828285622</v>
      </c>
    </row>
    <row r="304" spans="2:11" ht="15" customHeight="1" x14ac:dyDescent="0.35">
      <c r="B304" s="5">
        <v>283</v>
      </c>
      <c r="C304" s="46">
        <f t="shared" ca="1" si="36"/>
        <v>2.1239926485014142</v>
      </c>
      <c r="D304" s="47">
        <f t="shared" ca="1" si="37"/>
        <v>793884718.17464113</v>
      </c>
      <c r="E304" s="47">
        <f t="shared" ca="1" si="38"/>
        <v>2802911632903.4072</v>
      </c>
      <c r="F304" s="47">
        <f t="shared" ca="1" si="39"/>
        <v>1571576944359.7905</v>
      </c>
      <c r="G304" s="47">
        <f t="shared" ca="1" si="40"/>
        <v>383156873343.17236</v>
      </c>
      <c r="H304" s="47">
        <f t="shared" ca="1" si="41"/>
        <v>1571576944359.7905</v>
      </c>
      <c r="I304" s="47">
        <f t="shared" ca="1" si="42"/>
        <v>15126273759210.543</v>
      </c>
      <c r="J304" s="47">
        <f t="shared" ca="1" si="43"/>
        <v>857905534690.52075</v>
      </c>
      <c r="K304" s="48">
        <f t="shared" ca="1" si="44"/>
        <v>17.631630928534769</v>
      </c>
    </row>
    <row r="305" spans="2:11" ht="15" customHeight="1" x14ac:dyDescent="0.35">
      <c r="B305" s="5">
        <v>284</v>
      </c>
      <c r="C305" s="46">
        <f t="shared" ca="1" si="36"/>
        <v>3.1567661041168047</v>
      </c>
      <c r="D305" s="47">
        <f t="shared" ca="1" si="37"/>
        <v>5912335908.8301439</v>
      </c>
      <c r="E305" s="47">
        <f t="shared" ca="1" si="38"/>
        <v>18562795533324.387</v>
      </c>
      <c r="F305" s="47">
        <f t="shared" ca="1" si="39"/>
        <v>6150167433255.7451</v>
      </c>
      <c r="G305" s="47">
        <f t="shared" ca="1" si="40"/>
        <v>285705490048.1745</v>
      </c>
      <c r="H305" s="47">
        <f t="shared" ca="1" si="41"/>
        <v>285705490048.1745</v>
      </c>
      <c r="I305" s="47">
        <f t="shared" ca="1" si="42"/>
        <v>2521411043904.6675</v>
      </c>
      <c r="J305" s="47">
        <f t="shared" ca="1" si="43"/>
        <v>1393112522536.677</v>
      </c>
      <c r="K305" s="48">
        <f t="shared" ca="1" si="44"/>
        <v>1.8099119799120786</v>
      </c>
    </row>
    <row r="306" spans="2:11" ht="15" customHeight="1" x14ac:dyDescent="0.35">
      <c r="B306" s="5">
        <v>285</v>
      </c>
      <c r="C306" s="46">
        <f t="shared" ca="1" si="36"/>
        <v>3.2438806513241829</v>
      </c>
      <c r="D306" s="47">
        <f t="shared" ca="1" si="37"/>
        <v>6016913565.2798262</v>
      </c>
      <c r="E306" s="47">
        <f t="shared" ca="1" si="38"/>
        <v>11752091838328.1</v>
      </c>
      <c r="F306" s="47">
        <f t="shared" ca="1" si="39"/>
        <v>2917093743957.2803</v>
      </c>
      <c r="G306" s="47">
        <f t="shared" ca="1" si="40"/>
        <v>6867177415777.8379</v>
      </c>
      <c r="H306" s="47">
        <f t="shared" ca="1" si="41"/>
        <v>2917093743957.2803</v>
      </c>
      <c r="I306" s="47">
        <f t="shared" ca="1" si="42"/>
        <v>19524511779927.254</v>
      </c>
      <c r="J306" s="47">
        <f t="shared" ca="1" si="43"/>
        <v>1160418680402.8748</v>
      </c>
      <c r="K306" s="48">
        <f t="shared" ca="1" si="44"/>
        <v>16.825402856448953</v>
      </c>
    </row>
    <row r="307" spans="2:11" ht="15" customHeight="1" x14ac:dyDescent="0.35">
      <c r="B307" s="5">
        <v>286</v>
      </c>
      <c r="C307" s="46">
        <f t="shared" ca="1" si="36"/>
        <v>3.1886406255724076</v>
      </c>
      <c r="D307" s="47">
        <f t="shared" ca="1" si="37"/>
        <v>6081623061.4168577</v>
      </c>
      <c r="E307" s="47">
        <f t="shared" ca="1" si="38"/>
        <v>12201019878693.527</v>
      </c>
      <c r="F307" s="47">
        <f t="shared" ca="1" si="39"/>
        <v>8786520508553.4707</v>
      </c>
      <c r="G307" s="47">
        <f t="shared" ca="1" si="40"/>
        <v>12141226353590.1</v>
      </c>
      <c r="H307" s="47">
        <f t="shared" ca="1" si="41"/>
        <v>12141226353590.1</v>
      </c>
      <c r="I307" s="47">
        <f t="shared" ca="1" si="42"/>
        <v>6726970734500.6904</v>
      </c>
      <c r="J307" s="47">
        <f t="shared" ca="1" si="43"/>
        <v>796901120800.3866</v>
      </c>
      <c r="K307" s="48">
        <f t="shared" ca="1" si="44"/>
        <v>8.4414120634493486</v>
      </c>
    </row>
    <row r="308" spans="2:11" ht="15" customHeight="1" x14ac:dyDescent="0.35">
      <c r="B308" s="5">
        <v>287</v>
      </c>
      <c r="C308" s="46">
        <f t="shared" ca="1" si="36"/>
        <v>4.1271735761189063</v>
      </c>
      <c r="D308" s="47">
        <f t="shared" ca="1" si="37"/>
        <v>25159193702.812328</v>
      </c>
      <c r="E308" s="47">
        <f t="shared" ca="1" si="38"/>
        <v>104295750162610.73</v>
      </c>
      <c r="F308" s="47">
        <f t="shared" ca="1" si="39"/>
        <v>2237521566485.0864</v>
      </c>
      <c r="G308" s="47">
        <f t="shared" ca="1" si="40"/>
        <v>5453498850185.2109</v>
      </c>
      <c r="H308" s="47">
        <f t="shared" ca="1" si="41"/>
        <v>5453498850185.2109</v>
      </c>
      <c r="I308" s="47">
        <f t="shared" ca="1" si="42"/>
        <v>65761624558490</v>
      </c>
      <c r="J308" s="47">
        <f t="shared" ca="1" si="43"/>
        <v>1730840912505.8918</v>
      </c>
      <c r="K308" s="48">
        <f t="shared" ca="1" si="44"/>
        <v>37.994031735291642</v>
      </c>
    </row>
    <row r="309" spans="2:11" ht="15" customHeight="1" x14ac:dyDescent="0.35">
      <c r="B309" s="5">
        <v>288</v>
      </c>
      <c r="C309" s="46">
        <f t="shared" ca="1" si="36"/>
        <v>3.7647536164195752</v>
      </c>
      <c r="D309" s="47">
        <f t="shared" ca="1" si="37"/>
        <v>13468208616.213623</v>
      </c>
      <c r="E309" s="47">
        <f t="shared" ca="1" si="38"/>
        <v>36086941379499.602</v>
      </c>
      <c r="F309" s="47">
        <f t="shared" ca="1" si="39"/>
        <v>27652993320605.109</v>
      </c>
      <c r="G309" s="47">
        <f t="shared" ca="1" si="40"/>
        <v>3103188054260.8916</v>
      </c>
      <c r="H309" s="47">
        <f t="shared" ca="1" si="41"/>
        <v>3103188054260.8916</v>
      </c>
      <c r="I309" s="47">
        <f t="shared" ca="1" si="42"/>
        <v>3110596637394.1807</v>
      </c>
      <c r="J309" s="47">
        <f t="shared" ca="1" si="43"/>
        <v>1177474693762.4773</v>
      </c>
      <c r="K309" s="48">
        <f t="shared" ca="1" si="44"/>
        <v>2.6417524332982878</v>
      </c>
    </row>
    <row r="310" spans="2:11" ht="15" customHeight="1" x14ac:dyDescent="0.35">
      <c r="B310" s="5">
        <v>289</v>
      </c>
      <c r="C310" s="46">
        <f t="shared" ca="1" si="36"/>
        <v>2.9465648168198033</v>
      </c>
      <c r="D310" s="47">
        <f t="shared" ca="1" si="37"/>
        <v>4129923314.8068328</v>
      </c>
      <c r="E310" s="47">
        <f t="shared" ca="1" si="38"/>
        <v>8081941110689.1758</v>
      </c>
      <c r="F310" s="47">
        <f t="shared" ca="1" si="39"/>
        <v>4746296110488.5781</v>
      </c>
      <c r="G310" s="47">
        <f t="shared" ca="1" si="40"/>
        <v>18389414682371.313</v>
      </c>
      <c r="H310" s="47">
        <f t="shared" ca="1" si="41"/>
        <v>4746296110488.5781</v>
      </c>
      <c r="I310" s="47">
        <f t="shared" ca="1" si="42"/>
        <v>1095916026546.524</v>
      </c>
      <c r="J310" s="47">
        <f t="shared" ca="1" si="43"/>
        <v>1509661976126.061</v>
      </c>
      <c r="K310" s="48">
        <f t="shared" ca="1" si="44"/>
        <v>0.72593470848272323</v>
      </c>
    </row>
    <row r="311" spans="2:11" ht="15" customHeight="1" x14ac:dyDescent="0.35">
      <c r="B311" s="5">
        <v>290</v>
      </c>
      <c r="C311" s="46">
        <f t="shared" ca="1" si="36"/>
        <v>2.436357787589555</v>
      </c>
      <c r="D311" s="47">
        <f t="shared" ca="1" si="37"/>
        <v>1982725867.7351675</v>
      </c>
      <c r="E311" s="47">
        <f t="shared" ca="1" si="38"/>
        <v>3803576513005.5713</v>
      </c>
      <c r="F311" s="47">
        <f t="shared" ca="1" si="39"/>
        <v>12001889091618.297</v>
      </c>
      <c r="G311" s="47">
        <f t="shared" ca="1" si="40"/>
        <v>1122403427483.5793</v>
      </c>
      <c r="H311" s="47">
        <f t="shared" ca="1" si="41"/>
        <v>12001889091618.297</v>
      </c>
      <c r="I311" s="47">
        <f t="shared" ca="1" si="42"/>
        <v>2619592435797.0391</v>
      </c>
      <c r="J311" s="47">
        <f t="shared" ca="1" si="43"/>
        <v>1218403914548.6643</v>
      </c>
      <c r="K311" s="48">
        <f t="shared" ca="1" si="44"/>
        <v>2.1500197139200918</v>
      </c>
    </row>
    <row r="312" spans="2:11" ht="15" customHeight="1" x14ac:dyDescent="0.35">
      <c r="B312" s="5">
        <v>291</v>
      </c>
      <c r="C312" s="46">
        <f t="shared" ca="1" si="36"/>
        <v>2.5132282035359914</v>
      </c>
      <c r="D312" s="47">
        <f t="shared" ca="1" si="37"/>
        <v>2317348418.5832477</v>
      </c>
      <c r="E312" s="47">
        <f t="shared" ca="1" si="38"/>
        <v>11782412116073.838</v>
      </c>
      <c r="F312" s="47">
        <f t="shared" ca="1" si="39"/>
        <v>2290834688496.7866</v>
      </c>
      <c r="G312" s="47">
        <f t="shared" ca="1" si="40"/>
        <v>4081305485695.3677</v>
      </c>
      <c r="H312" s="47">
        <f t="shared" ca="1" si="41"/>
        <v>4081305485695.3677</v>
      </c>
      <c r="I312" s="47">
        <f t="shared" ca="1" si="42"/>
        <v>37722194800089.156</v>
      </c>
      <c r="J312" s="47">
        <f t="shared" ca="1" si="43"/>
        <v>1374127854787.1707</v>
      </c>
      <c r="K312" s="48">
        <f t="shared" ca="1" si="44"/>
        <v>27.451735781843745</v>
      </c>
    </row>
    <row r="313" spans="2:11" ht="15" customHeight="1" x14ac:dyDescent="0.35">
      <c r="B313" s="5">
        <v>292</v>
      </c>
      <c r="C313" s="46">
        <f t="shared" ca="1" si="36"/>
        <v>2.3230514675179181</v>
      </c>
      <c r="D313" s="47">
        <f t="shared" ca="1" si="37"/>
        <v>1338691257.6100905</v>
      </c>
      <c r="E313" s="47">
        <f t="shared" ca="1" si="38"/>
        <v>1266312504743.4766</v>
      </c>
      <c r="F313" s="47">
        <f t="shared" ca="1" si="39"/>
        <v>1522280327409.9053</v>
      </c>
      <c r="G313" s="47">
        <f t="shared" ca="1" si="40"/>
        <v>2571320656181.6572</v>
      </c>
      <c r="H313" s="47">
        <f t="shared" ca="1" si="41"/>
        <v>2571320656181.6572</v>
      </c>
      <c r="I313" s="47">
        <f t="shared" ca="1" si="42"/>
        <v>11086595656189.432</v>
      </c>
      <c r="J313" s="47">
        <f t="shared" ca="1" si="43"/>
        <v>1623579189767.9053</v>
      </c>
      <c r="K313" s="48">
        <f t="shared" ca="1" si="44"/>
        <v>6.8284908589979452</v>
      </c>
    </row>
    <row r="314" spans="2:11" ht="15" customHeight="1" x14ac:dyDescent="0.35">
      <c r="B314" s="5">
        <v>293</v>
      </c>
      <c r="C314" s="46">
        <f t="shared" ca="1" si="36"/>
        <v>3.0928302614682761</v>
      </c>
      <c r="D314" s="47">
        <f t="shared" ca="1" si="37"/>
        <v>6706238598.606657</v>
      </c>
      <c r="E314" s="47">
        <f t="shared" ca="1" si="38"/>
        <v>7544002327466.4551</v>
      </c>
      <c r="F314" s="47">
        <f t="shared" ca="1" si="39"/>
        <v>820747378782.80566</v>
      </c>
      <c r="G314" s="47">
        <f t="shared" ca="1" si="40"/>
        <v>22176991298306.063</v>
      </c>
      <c r="H314" s="47">
        <f t="shared" ca="1" si="41"/>
        <v>22176991298306.063</v>
      </c>
      <c r="I314" s="47">
        <f t="shared" ca="1" si="42"/>
        <v>27335351889007.766</v>
      </c>
      <c r="J314" s="47">
        <f t="shared" ca="1" si="43"/>
        <v>1238280088396.7944</v>
      </c>
      <c r="K314" s="48">
        <f t="shared" ca="1" si="44"/>
        <v>22.075257565030334</v>
      </c>
    </row>
    <row r="315" spans="2:11" ht="15" customHeight="1" x14ac:dyDescent="0.35">
      <c r="B315" s="5">
        <v>294</v>
      </c>
      <c r="C315" s="46">
        <f t="shared" ca="1" si="36"/>
        <v>2.3178703710718058</v>
      </c>
      <c r="D315" s="47">
        <f t="shared" ca="1" si="37"/>
        <v>1198548637.0438128</v>
      </c>
      <c r="E315" s="47">
        <f t="shared" ca="1" si="38"/>
        <v>5439456782619.7637</v>
      </c>
      <c r="F315" s="47">
        <f t="shared" ca="1" si="39"/>
        <v>16966185798123.141</v>
      </c>
      <c r="G315" s="47">
        <f t="shared" ca="1" si="40"/>
        <v>1958417713765.8459</v>
      </c>
      <c r="H315" s="47">
        <f t="shared" ca="1" si="41"/>
        <v>1958417713765.8459</v>
      </c>
      <c r="I315" s="47">
        <f t="shared" ca="1" si="42"/>
        <v>7389798214140.8486</v>
      </c>
      <c r="J315" s="47">
        <f t="shared" ca="1" si="43"/>
        <v>1318516964825.0469</v>
      </c>
      <c r="K315" s="48">
        <f t="shared" ca="1" si="44"/>
        <v>5.6046288453492865</v>
      </c>
    </row>
    <row r="316" spans="2:11" ht="15" customHeight="1" x14ac:dyDescent="0.35">
      <c r="B316" s="5">
        <v>295</v>
      </c>
      <c r="C316" s="46">
        <f t="shared" ca="1" si="36"/>
        <v>3.0287958468025935</v>
      </c>
      <c r="D316" s="47">
        <f t="shared" ca="1" si="37"/>
        <v>5305148739.2558737</v>
      </c>
      <c r="E316" s="47">
        <f t="shared" ca="1" si="38"/>
        <v>45748911623599.68</v>
      </c>
      <c r="F316" s="47">
        <f t="shared" ca="1" si="39"/>
        <v>859912390244.70349</v>
      </c>
      <c r="G316" s="47">
        <f t="shared" ca="1" si="40"/>
        <v>167873471942.01157</v>
      </c>
      <c r="H316" s="47">
        <f t="shared" ca="1" si="41"/>
        <v>167873471942.01157</v>
      </c>
      <c r="I316" s="47">
        <f t="shared" ca="1" si="42"/>
        <v>10962107049318.701</v>
      </c>
      <c r="J316" s="47">
        <f t="shared" ca="1" si="43"/>
        <v>1515248896063.521</v>
      </c>
      <c r="K316" s="48">
        <f t="shared" ca="1" si="44"/>
        <v>7.2345256794426707</v>
      </c>
    </row>
    <row r="317" spans="2:11" ht="15" customHeight="1" x14ac:dyDescent="0.35">
      <c r="B317" s="5">
        <v>296</v>
      </c>
      <c r="C317" s="46">
        <f t="shared" ca="1" si="36"/>
        <v>3.3893490129959973</v>
      </c>
      <c r="D317" s="47">
        <f t="shared" ca="1" si="37"/>
        <v>9116627521.593853</v>
      </c>
      <c r="E317" s="47">
        <f t="shared" ca="1" si="38"/>
        <v>28266085346471.668</v>
      </c>
      <c r="F317" s="47">
        <f t="shared" ca="1" si="39"/>
        <v>401298318429.69879</v>
      </c>
      <c r="G317" s="47">
        <f t="shared" ca="1" si="40"/>
        <v>11552540988967.996</v>
      </c>
      <c r="H317" s="47">
        <f t="shared" ca="1" si="41"/>
        <v>401298318429.69879</v>
      </c>
      <c r="I317" s="47">
        <f t="shared" ca="1" si="42"/>
        <v>18075229685564.402</v>
      </c>
      <c r="J317" s="47">
        <f t="shared" ca="1" si="43"/>
        <v>1893539145698.918</v>
      </c>
      <c r="K317" s="48">
        <f t="shared" ca="1" si="44"/>
        <v>9.545738585136414</v>
      </c>
    </row>
    <row r="318" spans="2:11" ht="15" customHeight="1" x14ac:dyDescent="0.35">
      <c r="B318" s="5">
        <v>297</v>
      </c>
      <c r="C318" s="46">
        <f t="shared" ca="1" si="36"/>
        <v>2.9705611339214109</v>
      </c>
      <c r="D318" s="47">
        <f t="shared" ca="1" si="37"/>
        <v>3857518216.5980725</v>
      </c>
      <c r="E318" s="47">
        <f t="shared" ca="1" si="38"/>
        <v>23507812566790.199</v>
      </c>
      <c r="F318" s="47">
        <f t="shared" ca="1" si="39"/>
        <v>2248017178591.6011</v>
      </c>
      <c r="G318" s="47">
        <f t="shared" ca="1" si="40"/>
        <v>11091634740173.57</v>
      </c>
      <c r="H318" s="47">
        <f t="shared" ca="1" si="41"/>
        <v>23507812566790.199</v>
      </c>
      <c r="I318" s="47">
        <f t="shared" ca="1" si="42"/>
        <v>3811702447487.4814</v>
      </c>
      <c r="J318" s="47">
        <f t="shared" ca="1" si="43"/>
        <v>1104000643915.4346</v>
      </c>
      <c r="K318" s="48">
        <f t="shared" ca="1" si="44"/>
        <v>3.4526270147533125</v>
      </c>
    </row>
    <row r="319" spans="2:11" ht="15" customHeight="1" x14ac:dyDescent="0.35">
      <c r="B319" s="5">
        <v>298</v>
      </c>
      <c r="C319" s="46">
        <f t="shared" ca="1" si="36"/>
        <v>2.7609108924700809</v>
      </c>
      <c r="D319" s="47">
        <f t="shared" ca="1" si="37"/>
        <v>3062653771.5189958</v>
      </c>
      <c r="E319" s="47">
        <f t="shared" ca="1" si="38"/>
        <v>17622283414721.031</v>
      </c>
      <c r="F319" s="47">
        <f t="shared" ca="1" si="39"/>
        <v>1270947705964.3125</v>
      </c>
      <c r="G319" s="47">
        <f t="shared" ca="1" si="40"/>
        <v>11623342065768.822</v>
      </c>
      <c r="H319" s="47">
        <f t="shared" ca="1" si="41"/>
        <v>11623342065768.822</v>
      </c>
      <c r="I319" s="47">
        <f t="shared" ca="1" si="42"/>
        <v>1015386719602.3149</v>
      </c>
      <c r="J319" s="47">
        <f t="shared" ca="1" si="43"/>
        <v>848611209637.78821</v>
      </c>
      <c r="K319" s="48">
        <f t="shared" ca="1" si="44"/>
        <v>1.1965275830326485</v>
      </c>
    </row>
    <row r="320" spans="2:11" ht="15" customHeight="1" x14ac:dyDescent="0.35">
      <c r="B320" s="5">
        <v>299</v>
      </c>
      <c r="C320" s="46">
        <f t="shared" ca="1" si="36"/>
        <v>2.8355993314008807</v>
      </c>
      <c r="D320" s="47">
        <f t="shared" ca="1" si="37"/>
        <v>3999687398.9047418</v>
      </c>
      <c r="E320" s="47">
        <f t="shared" ca="1" si="38"/>
        <v>20181809976104.973</v>
      </c>
      <c r="F320" s="47">
        <f t="shared" ca="1" si="39"/>
        <v>5075917931422.5186</v>
      </c>
      <c r="G320" s="47">
        <f t="shared" ca="1" si="40"/>
        <v>1302710964141.2231</v>
      </c>
      <c r="H320" s="47">
        <f t="shared" ca="1" si="41"/>
        <v>20181809976104.973</v>
      </c>
      <c r="I320" s="47">
        <f t="shared" ca="1" si="42"/>
        <v>27005870384986.328</v>
      </c>
      <c r="J320" s="47">
        <f t="shared" ca="1" si="43"/>
        <v>1034040740224.457</v>
      </c>
      <c r="K320" s="48">
        <f t="shared" ca="1" si="44"/>
        <v>26.116834022539791</v>
      </c>
    </row>
    <row r="321" spans="2:11" ht="15" customHeight="1" x14ac:dyDescent="0.35">
      <c r="B321" s="5">
        <v>300</v>
      </c>
      <c r="C321" s="46">
        <f t="shared" ca="1" si="36"/>
        <v>3.7844324227703936</v>
      </c>
      <c r="D321" s="47">
        <f t="shared" ca="1" si="37"/>
        <v>14046783262.347296</v>
      </c>
      <c r="E321" s="47">
        <f t="shared" ca="1" si="38"/>
        <v>67199043045443.898</v>
      </c>
      <c r="F321" s="47">
        <f t="shared" ca="1" si="39"/>
        <v>1786302406659.8982</v>
      </c>
      <c r="G321" s="47">
        <f t="shared" ca="1" si="40"/>
        <v>2744218453977.3369</v>
      </c>
      <c r="H321" s="47">
        <f t="shared" ca="1" si="41"/>
        <v>1786302406659.8982</v>
      </c>
      <c r="I321" s="47">
        <f t="shared" ca="1" si="42"/>
        <v>7996304321484.6592</v>
      </c>
      <c r="J321" s="47">
        <f t="shared" ca="1" si="43"/>
        <v>692092104866.06641</v>
      </c>
      <c r="K321" s="48">
        <f t="shared" ca="1" si="44"/>
        <v>11.553815258493815</v>
      </c>
    </row>
    <row r="322" spans="2:11" ht="15" customHeight="1" x14ac:dyDescent="0.35">
      <c r="B322" s="5">
        <v>301</v>
      </c>
      <c r="C322" s="46">
        <f t="shared" ca="1" si="36"/>
        <v>3.397083235998771</v>
      </c>
      <c r="D322" s="47">
        <f t="shared" ca="1" si="37"/>
        <v>9498395597.8444977</v>
      </c>
      <c r="E322" s="47">
        <f t="shared" ca="1" si="38"/>
        <v>18010616680550.938</v>
      </c>
      <c r="F322" s="47">
        <f t="shared" ca="1" si="39"/>
        <v>2011917052716.7336</v>
      </c>
      <c r="G322" s="47">
        <f t="shared" ca="1" si="40"/>
        <v>3720394673135.5669</v>
      </c>
      <c r="H322" s="47">
        <f t="shared" ca="1" si="41"/>
        <v>3720394673135.5669</v>
      </c>
      <c r="I322" s="47">
        <f t="shared" ca="1" si="42"/>
        <v>5358384923475.4609</v>
      </c>
      <c r="J322" s="47">
        <f t="shared" ca="1" si="43"/>
        <v>521470158403.96161</v>
      </c>
      <c r="K322" s="48">
        <f t="shared" ca="1" si="44"/>
        <v>10.275535113793682</v>
      </c>
    </row>
    <row r="323" spans="2:11" ht="15" customHeight="1" x14ac:dyDescent="0.35">
      <c r="B323" s="5">
        <v>302</v>
      </c>
      <c r="C323" s="46">
        <f t="shared" ca="1" si="36"/>
        <v>2.6606338729757097</v>
      </c>
      <c r="D323" s="47">
        <f t="shared" ca="1" si="37"/>
        <v>2382085325.5704536</v>
      </c>
      <c r="E323" s="47">
        <f t="shared" ca="1" si="38"/>
        <v>2848142532779.4453</v>
      </c>
      <c r="F323" s="47">
        <f t="shared" ca="1" si="39"/>
        <v>6124624392794.6152</v>
      </c>
      <c r="G323" s="47">
        <f t="shared" ca="1" si="40"/>
        <v>109913872667925.02</v>
      </c>
      <c r="H323" s="47">
        <f t="shared" ca="1" si="41"/>
        <v>6124624392794.6152</v>
      </c>
      <c r="I323" s="47">
        <f t="shared" ca="1" si="42"/>
        <v>10218297539754.156</v>
      </c>
      <c r="J323" s="47">
        <f t="shared" ca="1" si="43"/>
        <v>1611255812555.7866</v>
      </c>
      <c r="K323" s="48">
        <f t="shared" ca="1" si="44"/>
        <v>6.341821987624555</v>
      </c>
    </row>
    <row r="324" spans="2:11" ht="15" customHeight="1" x14ac:dyDescent="0.35">
      <c r="B324" s="5">
        <v>303</v>
      </c>
      <c r="C324" s="46">
        <f t="shared" ca="1" si="36"/>
        <v>3.3768054489724717</v>
      </c>
      <c r="D324" s="47">
        <f t="shared" ca="1" si="37"/>
        <v>8223960813.7711887</v>
      </c>
      <c r="E324" s="47">
        <f t="shared" ca="1" si="38"/>
        <v>63766986179871.063</v>
      </c>
      <c r="F324" s="47">
        <f t="shared" ca="1" si="39"/>
        <v>3782006534729.4795</v>
      </c>
      <c r="G324" s="47">
        <f t="shared" ca="1" si="40"/>
        <v>917261058527.75256</v>
      </c>
      <c r="H324" s="47">
        <f t="shared" ca="1" si="41"/>
        <v>917261058527.75256</v>
      </c>
      <c r="I324" s="47">
        <f t="shared" ca="1" si="42"/>
        <v>1908949052883.4727</v>
      </c>
      <c r="J324" s="47">
        <f t="shared" ca="1" si="43"/>
        <v>766813129516.13452</v>
      </c>
      <c r="K324" s="48">
        <f t="shared" ca="1" si="44"/>
        <v>2.4894579649256077</v>
      </c>
    </row>
    <row r="325" spans="2:11" ht="15" customHeight="1" x14ac:dyDescent="0.35">
      <c r="B325" s="5">
        <v>304</v>
      </c>
      <c r="C325" s="46">
        <f t="shared" ca="1" si="36"/>
        <v>3.0459862016540882</v>
      </c>
      <c r="D325" s="47">
        <f t="shared" ca="1" si="37"/>
        <v>4255604742.2446604</v>
      </c>
      <c r="E325" s="47">
        <f t="shared" ca="1" si="38"/>
        <v>25874151540587.973</v>
      </c>
      <c r="F325" s="47">
        <f t="shared" ca="1" si="39"/>
        <v>18498619771855.52</v>
      </c>
      <c r="G325" s="47">
        <f t="shared" ca="1" si="40"/>
        <v>29677139022654.141</v>
      </c>
      <c r="H325" s="47">
        <f t="shared" ca="1" si="41"/>
        <v>18498619771855.52</v>
      </c>
      <c r="I325" s="47">
        <f t="shared" ca="1" si="42"/>
        <v>12632935411790.059</v>
      </c>
      <c r="J325" s="47">
        <f t="shared" ca="1" si="43"/>
        <v>1229501508281.908</v>
      </c>
      <c r="K325" s="48">
        <f t="shared" ca="1" si="44"/>
        <v>10.274843362691913</v>
      </c>
    </row>
    <row r="326" spans="2:11" ht="15" customHeight="1" x14ac:dyDescent="0.35">
      <c r="B326" s="5">
        <v>305</v>
      </c>
      <c r="C326" s="46">
        <f t="shared" ca="1" si="36"/>
        <v>2.4940966325300242</v>
      </c>
      <c r="D326" s="47">
        <f t="shared" ca="1" si="37"/>
        <v>1948047769.0098667</v>
      </c>
      <c r="E326" s="47">
        <f t="shared" ca="1" si="38"/>
        <v>18736949776413.078</v>
      </c>
      <c r="F326" s="47">
        <f t="shared" ca="1" si="39"/>
        <v>7138989489511.1563</v>
      </c>
      <c r="G326" s="47">
        <f t="shared" ca="1" si="40"/>
        <v>4444849479878.1289</v>
      </c>
      <c r="H326" s="47">
        <f t="shared" ca="1" si="41"/>
        <v>4444849479878.1289</v>
      </c>
      <c r="I326" s="47">
        <f t="shared" ca="1" si="42"/>
        <v>22101710787340.348</v>
      </c>
      <c r="J326" s="47">
        <f t="shared" ca="1" si="43"/>
        <v>1916914254798.8438</v>
      </c>
      <c r="K326" s="48">
        <f t="shared" ca="1" si="44"/>
        <v>11.529837984151069</v>
      </c>
    </row>
    <row r="327" spans="2:11" ht="15" customHeight="1" x14ac:dyDescent="0.35">
      <c r="B327" s="5">
        <v>306</v>
      </c>
      <c r="C327" s="46">
        <f t="shared" ca="1" si="36"/>
        <v>3.1373128357152349</v>
      </c>
      <c r="D327" s="47">
        <f t="shared" ca="1" si="37"/>
        <v>6534318871.1231146</v>
      </c>
      <c r="E327" s="47">
        <f t="shared" ca="1" si="38"/>
        <v>44942492920726.172</v>
      </c>
      <c r="F327" s="47">
        <f t="shared" ca="1" si="39"/>
        <v>5212473846241.165</v>
      </c>
      <c r="G327" s="47">
        <f t="shared" ca="1" si="40"/>
        <v>345374935361.85925</v>
      </c>
      <c r="H327" s="47">
        <f t="shared" ca="1" si="41"/>
        <v>5212473846241.165</v>
      </c>
      <c r="I327" s="47">
        <f t="shared" ca="1" si="42"/>
        <v>192978776296582.91</v>
      </c>
      <c r="J327" s="47">
        <f t="shared" ca="1" si="43"/>
        <v>2504391883168.5146</v>
      </c>
      <c r="K327" s="48">
        <f t="shared" ca="1" si="44"/>
        <v>77.056141889594926</v>
      </c>
    </row>
    <row r="328" spans="2:11" ht="15" customHeight="1" x14ac:dyDescent="0.35">
      <c r="B328" s="5">
        <v>307</v>
      </c>
      <c r="C328" s="46">
        <f t="shared" ca="1" si="36"/>
        <v>3.140200600960934</v>
      </c>
      <c r="D328" s="47">
        <f t="shared" ca="1" si="37"/>
        <v>5528775674.5046139</v>
      </c>
      <c r="E328" s="47">
        <f t="shared" ca="1" si="38"/>
        <v>7336421248064.0869</v>
      </c>
      <c r="F328" s="47">
        <f t="shared" ca="1" si="39"/>
        <v>4092660082777.668</v>
      </c>
      <c r="G328" s="47">
        <f t="shared" ca="1" si="40"/>
        <v>949791617942.03259</v>
      </c>
      <c r="H328" s="47">
        <f t="shared" ca="1" si="41"/>
        <v>4092660082777.668</v>
      </c>
      <c r="I328" s="47">
        <f t="shared" ca="1" si="42"/>
        <v>43828007328474.313</v>
      </c>
      <c r="J328" s="47">
        <f t="shared" ca="1" si="43"/>
        <v>1590509413561.1257</v>
      </c>
      <c r="K328" s="48">
        <f t="shared" ca="1" si="44"/>
        <v>27.555955943916164</v>
      </c>
    </row>
    <row r="329" spans="2:11" ht="15" customHeight="1" x14ac:dyDescent="0.35">
      <c r="B329" s="5">
        <v>308</v>
      </c>
      <c r="C329" s="46">
        <f t="shared" ca="1" si="36"/>
        <v>2.2338314931551926</v>
      </c>
      <c r="D329" s="47">
        <f t="shared" ca="1" si="37"/>
        <v>1038380146.8065158</v>
      </c>
      <c r="E329" s="47">
        <f t="shared" ca="1" si="38"/>
        <v>4248518846240.8623</v>
      </c>
      <c r="F329" s="47">
        <f t="shared" ca="1" si="39"/>
        <v>453001616082.17145</v>
      </c>
      <c r="G329" s="47">
        <f t="shared" ca="1" si="40"/>
        <v>11488089082010.762</v>
      </c>
      <c r="H329" s="47">
        <f t="shared" ca="1" si="41"/>
        <v>453001616082.17145</v>
      </c>
      <c r="I329" s="47">
        <f t="shared" ca="1" si="42"/>
        <v>4576841996420.1924</v>
      </c>
      <c r="J329" s="47">
        <f t="shared" ca="1" si="43"/>
        <v>1584547506480.8818</v>
      </c>
      <c r="K329" s="48">
        <f t="shared" ca="1" si="44"/>
        <v>2.8884220748830001</v>
      </c>
    </row>
    <row r="330" spans="2:11" ht="15" customHeight="1" x14ac:dyDescent="0.35">
      <c r="B330" s="5">
        <v>309</v>
      </c>
      <c r="C330" s="46">
        <f t="shared" ca="1" si="36"/>
        <v>3.4016018989947674</v>
      </c>
      <c r="D330" s="47">
        <f t="shared" ca="1" si="37"/>
        <v>8197225532.2145901</v>
      </c>
      <c r="E330" s="47">
        <f t="shared" ca="1" si="38"/>
        <v>25339325326372.871</v>
      </c>
      <c r="F330" s="47">
        <f t="shared" ca="1" si="39"/>
        <v>4866134072414.0205</v>
      </c>
      <c r="G330" s="47">
        <f t="shared" ca="1" si="40"/>
        <v>45749532127927.477</v>
      </c>
      <c r="H330" s="47">
        <f t="shared" ca="1" si="41"/>
        <v>4866134072414.0205</v>
      </c>
      <c r="I330" s="47">
        <f t="shared" ca="1" si="42"/>
        <v>27660975744479.75</v>
      </c>
      <c r="J330" s="47">
        <f t="shared" ca="1" si="43"/>
        <v>1207700783264.8079</v>
      </c>
      <c r="K330" s="48">
        <f t="shared" ca="1" si="44"/>
        <v>22.90383191580214</v>
      </c>
    </row>
    <row r="331" spans="2:11" ht="15" customHeight="1" x14ac:dyDescent="0.35">
      <c r="B331" s="5">
        <v>310</v>
      </c>
      <c r="C331" s="46">
        <f t="shared" ca="1" si="36"/>
        <v>2.6231850251142186</v>
      </c>
      <c r="D331" s="47">
        <f t="shared" ca="1" si="37"/>
        <v>2630192489.4690366</v>
      </c>
      <c r="E331" s="47">
        <f t="shared" ca="1" si="38"/>
        <v>19947470905273.98</v>
      </c>
      <c r="F331" s="47">
        <f t="shared" ca="1" si="39"/>
        <v>630072625031.04993</v>
      </c>
      <c r="G331" s="47">
        <f t="shared" ca="1" si="40"/>
        <v>25064968762429.762</v>
      </c>
      <c r="H331" s="47">
        <f t="shared" ca="1" si="41"/>
        <v>19947470905273.98</v>
      </c>
      <c r="I331" s="47">
        <f t="shared" ca="1" si="42"/>
        <v>21928543175073.012</v>
      </c>
      <c r="J331" s="47">
        <f t="shared" ca="1" si="43"/>
        <v>2404836063656.0947</v>
      </c>
      <c r="K331" s="48">
        <f t="shared" ca="1" si="44"/>
        <v>9.1185189321116731</v>
      </c>
    </row>
    <row r="332" spans="2:11" ht="15" customHeight="1" x14ac:dyDescent="0.35">
      <c r="B332" s="5">
        <v>311</v>
      </c>
      <c r="C332" s="46">
        <f t="shared" ca="1" si="36"/>
        <v>3.5899228283458018</v>
      </c>
      <c r="D332" s="47">
        <f t="shared" ca="1" si="37"/>
        <v>10972695647.99658</v>
      </c>
      <c r="E332" s="47">
        <f t="shared" ca="1" si="38"/>
        <v>29803235933112.449</v>
      </c>
      <c r="F332" s="47">
        <f t="shared" ca="1" si="39"/>
        <v>11353722872253.57</v>
      </c>
      <c r="G332" s="47">
        <f t="shared" ca="1" si="40"/>
        <v>673536856424.44556</v>
      </c>
      <c r="H332" s="47">
        <f t="shared" ca="1" si="41"/>
        <v>29803235933112.449</v>
      </c>
      <c r="I332" s="47">
        <f t="shared" ca="1" si="42"/>
        <v>1670851122244.7188</v>
      </c>
      <c r="J332" s="47">
        <f t="shared" ca="1" si="43"/>
        <v>1429433163187.137</v>
      </c>
      <c r="K332" s="48">
        <f t="shared" ca="1" si="44"/>
        <v>1.1688906940701613</v>
      </c>
    </row>
    <row r="333" spans="2:11" ht="15" customHeight="1" x14ac:dyDescent="0.35">
      <c r="B333" s="5">
        <v>312</v>
      </c>
      <c r="C333" s="46">
        <f t="shared" ca="1" si="36"/>
        <v>3.0288687671322938</v>
      </c>
      <c r="D333" s="47">
        <f t="shared" ca="1" si="37"/>
        <v>5654961617.6148825</v>
      </c>
      <c r="E333" s="47">
        <f t="shared" ca="1" si="38"/>
        <v>26448624939115.219</v>
      </c>
      <c r="F333" s="47">
        <f t="shared" ca="1" si="39"/>
        <v>6075498113122.9355</v>
      </c>
      <c r="G333" s="47">
        <f t="shared" ca="1" si="40"/>
        <v>685432359657.12781</v>
      </c>
      <c r="H333" s="47">
        <f t="shared" ca="1" si="41"/>
        <v>26448624939115.219</v>
      </c>
      <c r="I333" s="47">
        <f t="shared" ca="1" si="42"/>
        <v>22677913724937.285</v>
      </c>
      <c r="J333" s="47">
        <f t="shared" ca="1" si="43"/>
        <v>927235603812.99023</v>
      </c>
      <c r="K333" s="48">
        <f t="shared" ca="1" si="44"/>
        <v>24.45755278559287</v>
      </c>
    </row>
    <row r="334" spans="2:11" ht="15" customHeight="1" x14ac:dyDescent="0.35">
      <c r="B334" s="5">
        <v>313</v>
      </c>
      <c r="C334" s="46">
        <f t="shared" ca="1" si="36"/>
        <v>2.9143645992726985</v>
      </c>
      <c r="D334" s="47">
        <f t="shared" ca="1" si="37"/>
        <v>4553785918.8979788</v>
      </c>
      <c r="E334" s="47">
        <f t="shared" ca="1" si="38"/>
        <v>25772377072231.145</v>
      </c>
      <c r="F334" s="47">
        <f t="shared" ca="1" si="39"/>
        <v>2406924657519.8135</v>
      </c>
      <c r="G334" s="47">
        <f t="shared" ca="1" si="40"/>
        <v>1597998280132.5144</v>
      </c>
      <c r="H334" s="47">
        <f t="shared" ca="1" si="41"/>
        <v>25772377072231.145</v>
      </c>
      <c r="I334" s="47">
        <f t="shared" ca="1" si="42"/>
        <v>60334146432032.797</v>
      </c>
      <c r="J334" s="47">
        <f t="shared" ca="1" si="43"/>
        <v>1941428454857.9258</v>
      </c>
      <c r="K334" s="48">
        <f t="shared" ca="1" si="44"/>
        <v>31.077192817001368</v>
      </c>
    </row>
    <row r="335" spans="2:11" ht="15" customHeight="1" x14ac:dyDescent="0.35">
      <c r="B335" s="5">
        <v>314</v>
      </c>
      <c r="C335" s="46">
        <f t="shared" ca="1" si="36"/>
        <v>2.7940765846949756</v>
      </c>
      <c r="D335" s="47">
        <f t="shared" ca="1" si="37"/>
        <v>2964751277.5049477</v>
      </c>
      <c r="E335" s="47">
        <f t="shared" ca="1" si="38"/>
        <v>21483216230751.797</v>
      </c>
      <c r="F335" s="47">
        <f t="shared" ca="1" si="39"/>
        <v>219727443494.41199</v>
      </c>
      <c r="G335" s="47">
        <f t="shared" ca="1" si="40"/>
        <v>22943179190987.789</v>
      </c>
      <c r="H335" s="47">
        <f t="shared" ca="1" si="41"/>
        <v>219727443494.41199</v>
      </c>
      <c r="I335" s="47">
        <f t="shared" ca="1" si="42"/>
        <v>1275953656517.8662</v>
      </c>
      <c r="J335" s="47">
        <f t="shared" ca="1" si="43"/>
        <v>976940592887.3092</v>
      </c>
      <c r="K335" s="48">
        <f t="shared" ca="1" si="44"/>
        <v>1.3060708765789286</v>
      </c>
    </row>
    <row r="336" spans="2:11" ht="15" customHeight="1" x14ac:dyDescent="0.35">
      <c r="B336" s="5">
        <v>315</v>
      </c>
      <c r="C336" s="46">
        <f t="shared" ca="1" si="36"/>
        <v>2.8257578544805155</v>
      </c>
      <c r="D336" s="47">
        <f t="shared" ca="1" si="37"/>
        <v>3733098966.8614068</v>
      </c>
      <c r="E336" s="47">
        <f t="shared" ca="1" si="38"/>
        <v>19854885347375.621</v>
      </c>
      <c r="F336" s="47">
        <f t="shared" ca="1" si="39"/>
        <v>6929312212181.8359</v>
      </c>
      <c r="G336" s="47">
        <f t="shared" ca="1" si="40"/>
        <v>117661209928191.42</v>
      </c>
      <c r="H336" s="47">
        <f t="shared" ca="1" si="41"/>
        <v>19854885347375.621</v>
      </c>
      <c r="I336" s="47">
        <f t="shared" ca="1" si="42"/>
        <v>6132382324868.4639</v>
      </c>
      <c r="J336" s="47">
        <f t="shared" ca="1" si="43"/>
        <v>919858627499.74585</v>
      </c>
      <c r="K336" s="48">
        <f t="shared" ca="1" si="44"/>
        <v>6.6666573987970326</v>
      </c>
    </row>
    <row r="337" spans="2:11" ht="15" customHeight="1" x14ac:dyDescent="0.35">
      <c r="B337" s="5">
        <v>316</v>
      </c>
      <c r="C337" s="46">
        <f t="shared" ca="1" si="36"/>
        <v>2.7713165947570277</v>
      </c>
      <c r="D337" s="47">
        <f t="shared" ca="1" si="37"/>
        <v>2761697961.1360765</v>
      </c>
      <c r="E337" s="47">
        <f t="shared" ca="1" si="38"/>
        <v>10889311571905.709</v>
      </c>
      <c r="F337" s="47">
        <f t="shared" ca="1" si="39"/>
        <v>2781695525195.7285</v>
      </c>
      <c r="G337" s="47">
        <f t="shared" ca="1" si="40"/>
        <v>5402890164299.709</v>
      </c>
      <c r="H337" s="47">
        <f t="shared" ca="1" si="41"/>
        <v>10889311571905.709</v>
      </c>
      <c r="I337" s="47">
        <f t="shared" ca="1" si="42"/>
        <v>5149673676055.0859</v>
      </c>
      <c r="J337" s="47">
        <f t="shared" ca="1" si="43"/>
        <v>1630640680518.9927</v>
      </c>
      <c r="K337" s="48">
        <f t="shared" ca="1" si="44"/>
        <v>3.1580677077282728</v>
      </c>
    </row>
    <row r="338" spans="2:11" ht="15" customHeight="1" x14ac:dyDescent="0.35">
      <c r="B338" s="5">
        <v>317</v>
      </c>
      <c r="C338" s="46">
        <f t="shared" ca="1" si="36"/>
        <v>3.1125018871851595</v>
      </c>
      <c r="D338" s="47">
        <f t="shared" ca="1" si="37"/>
        <v>4928331841.3594484</v>
      </c>
      <c r="E338" s="47">
        <f t="shared" ca="1" si="38"/>
        <v>11994488771081.756</v>
      </c>
      <c r="F338" s="47">
        <f t="shared" ca="1" si="39"/>
        <v>2948111216179.793</v>
      </c>
      <c r="G338" s="47">
        <f t="shared" ca="1" si="40"/>
        <v>6505493521233.5664</v>
      </c>
      <c r="H338" s="47">
        <f t="shared" ca="1" si="41"/>
        <v>11994488771081.756</v>
      </c>
      <c r="I338" s="47">
        <f t="shared" ca="1" si="42"/>
        <v>10666383849806.953</v>
      </c>
      <c r="J338" s="47">
        <f t="shared" ca="1" si="43"/>
        <v>2292833637304.2168</v>
      </c>
      <c r="K338" s="48">
        <f t="shared" ca="1" si="44"/>
        <v>4.6520531085490706</v>
      </c>
    </row>
    <row r="339" spans="2:11" ht="15" customHeight="1" x14ac:dyDescent="0.35">
      <c r="B339" s="5">
        <v>318</v>
      </c>
      <c r="C339" s="46">
        <f t="shared" ca="1" si="36"/>
        <v>2.9467343099417214</v>
      </c>
      <c r="D339" s="47">
        <f t="shared" ca="1" si="37"/>
        <v>3710987858.6648884</v>
      </c>
      <c r="E339" s="47">
        <f t="shared" ca="1" si="38"/>
        <v>8309552641562.668</v>
      </c>
      <c r="F339" s="47">
        <f t="shared" ca="1" si="39"/>
        <v>5212546829947.2588</v>
      </c>
      <c r="G339" s="47">
        <f t="shared" ca="1" si="40"/>
        <v>1003637220075.3954</v>
      </c>
      <c r="H339" s="47">
        <f t="shared" ca="1" si="41"/>
        <v>1003637220075.3954</v>
      </c>
      <c r="I339" s="47">
        <f t="shared" ca="1" si="42"/>
        <v>2358727971483.6079</v>
      </c>
      <c r="J339" s="47">
        <f t="shared" ca="1" si="43"/>
        <v>1633390386174.0007</v>
      </c>
      <c r="K339" s="48">
        <f t="shared" ca="1" si="44"/>
        <v>1.4440687244453629</v>
      </c>
    </row>
    <row r="340" spans="2:11" ht="15" customHeight="1" x14ac:dyDescent="0.35">
      <c r="B340" s="5">
        <v>319</v>
      </c>
      <c r="C340" s="46">
        <f t="shared" ca="1" si="36"/>
        <v>3.1816192737667155</v>
      </c>
      <c r="D340" s="47">
        <f t="shared" ca="1" si="37"/>
        <v>5619936542.0618629</v>
      </c>
      <c r="E340" s="47">
        <f t="shared" ca="1" si="38"/>
        <v>13188180695909.09</v>
      </c>
      <c r="F340" s="47">
        <f t="shared" ca="1" si="39"/>
        <v>1936711867641.2639</v>
      </c>
      <c r="G340" s="47">
        <f t="shared" ca="1" si="40"/>
        <v>24389183808232.523</v>
      </c>
      <c r="H340" s="47">
        <f t="shared" ca="1" si="41"/>
        <v>24389183808232.523</v>
      </c>
      <c r="I340" s="47">
        <f t="shared" ca="1" si="42"/>
        <v>18292458705639.18</v>
      </c>
      <c r="J340" s="47">
        <f t="shared" ca="1" si="43"/>
        <v>634382571945.83142</v>
      </c>
      <c r="K340" s="48">
        <f t="shared" ca="1" si="44"/>
        <v>28.835058708392662</v>
      </c>
    </row>
    <row r="341" spans="2:11" ht="15" customHeight="1" x14ac:dyDescent="0.35">
      <c r="B341" s="5">
        <v>320</v>
      </c>
      <c r="C341" s="46">
        <f t="shared" ca="1" si="36"/>
        <v>2.5091752418739297</v>
      </c>
      <c r="D341" s="47">
        <f t="shared" ca="1" si="37"/>
        <v>2179434727.784678</v>
      </c>
      <c r="E341" s="47">
        <f t="shared" ca="1" si="38"/>
        <v>2205386337221.269</v>
      </c>
      <c r="F341" s="47">
        <f t="shared" ca="1" si="39"/>
        <v>5208409806724.3164</v>
      </c>
      <c r="G341" s="47">
        <f t="shared" ca="1" si="40"/>
        <v>17877300381955.742</v>
      </c>
      <c r="H341" s="47">
        <f t="shared" ca="1" si="41"/>
        <v>5208409806724.3164</v>
      </c>
      <c r="I341" s="47">
        <f t="shared" ca="1" si="42"/>
        <v>4927326214118.915</v>
      </c>
      <c r="J341" s="47">
        <f t="shared" ca="1" si="43"/>
        <v>776215605825.63147</v>
      </c>
      <c r="K341" s="48">
        <f t="shared" ca="1" si="44"/>
        <v>6.3478834709563747</v>
      </c>
    </row>
    <row r="342" spans="2:11" ht="15" customHeight="1" x14ac:dyDescent="0.35">
      <c r="B342" s="5">
        <v>321</v>
      </c>
      <c r="C342" s="46">
        <f t="shared" ref="C342:C405" ca="1" si="45">MEDIAN(1.8,NORMINV(RAND(),$C$7,$D$7),4.5)</f>
        <v>2.756640732153028</v>
      </c>
      <c r="D342" s="47">
        <f t="shared" ref="D342:D405" ca="1" si="46">($C$8+RAND()*($D$8-$C$8))*C342^5</f>
        <v>3203244810.3694801</v>
      </c>
      <c r="E342" s="47">
        <f t="shared" ref="E342:E405" ca="1" si="47">D342*($C$10+RAND()*($D$10-$C$10))*EXP(NORMINV(RAND(),$C$9,$D$9))*($C$11+RAND()*($D$11-$C$11))</f>
        <v>1576248601852.7715</v>
      </c>
      <c r="F342" s="47">
        <f t="shared" ref="F342:F405" ca="1" si="48">EXP(NORMINV(RAND(),$C$12,$D$12))*EXP(NORMINV(RAND(),$C$13,$D$13))</f>
        <v>4127987472667.5767</v>
      </c>
      <c r="G342" s="47">
        <f t="shared" ref="G342:G405" ca="1" si="49">EXP(NORMINV(RAND(),$C$14,$D$14))*($C$15+RAND()*($D$15-$C$15))*EXP(NORMINV(RAND(),$C$16,$D$16))/1000000*31536000</f>
        <v>484044807049.27332</v>
      </c>
      <c r="H342" s="47">
        <f t="shared" ref="H342:H405" ca="1" si="50">CHOOSE(RANDBETWEEN(1,3),E342,F342,G342)</f>
        <v>4127987472667.5767</v>
      </c>
      <c r="I342" s="47">
        <f t="shared" ref="I342:I405" ca="1" si="51">EXP(NORMINV(RAND(),$C$14,$D$14))*($C$15+RAND()*($D$15-$C$15))*60</f>
        <v>4301061042945.8779</v>
      </c>
      <c r="J342" s="47">
        <f t="shared" ref="J342:J405" ca="1" si="52">($C$17+RAND()*($D$17-$C$17))*($C$18+RAND()*($D$18-$C$18))</f>
        <v>1000715096918.4652</v>
      </c>
      <c r="K342" s="48">
        <f t="shared" ref="K342:K405" ca="1" si="53">I342/J342</f>
        <v>4.2979875652823427</v>
      </c>
    </row>
    <row r="343" spans="2:11" ht="15" customHeight="1" x14ac:dyDescent="0.35">
      <c r="B343" s="5">
        <v>322</v>
      </c>
      <c r="C343" s="46">
        <f t="shared" ca="1" si="45"/>
        <v>2.6823380126524214</v>
      </c>
      <c r="D343" s="47">
        <f t="shared" ca="1" si="46"/>
        <v>2534741178.5978098</v>
      </c>
      <c r="E343" s="47">
        <f t="shared" ca="1" si="47"/>
        <v>5740785952916.666</v>
      </c>
      <c r="F343" s="47">
        <f t="shared" ca="1" si="48"/>
        <v>1202160818668.8</v>
      </c>
      <c r="G343" s="47">
        <f t="shared" ca="1" si="49"/>
        <v>17004027866278.613</v>
      </c>
      <c r="H343" s="47">
        <f t="shared" ca="1" si="50"/>
        <v>17004027866278.613</v>
      </c>
      <c r="I343" s="47">
        <f t="shared" ca="1" si="51"/>
        <v>23272947297544.789</v>
      </c>
      <c r="J343" s="47">
        <f t="shared" ca="1" si="52"/>
        <v>1510299534460.1543</v>
      </c>
      <c r="K343" s="48">
        <f t="shared" ca="1" si="53"/>
        <v>15.409491141678419</v>
      </c>
    </row>
    <row r="344" spans="2:11" ht="15" customHeight="1" x14ac:dyDescent="0.35">
      <c r="B344" s="5">
        <v>323</v>
      </c>
      <c r="C344" s="46">
        <f t="shared" ca="1" si="45"/>
        <v>2.5137311816199128</v>
      </c>
      <c r="D344" s="47">
        <f t="shared" ca="1" si="46"/>
        <v>2399336100.0360541</v>
      </c>
      <c r="E344" s="47">
        <f t="shared" ca="1" si="47"/>
        <v>6994976457739.2383</v>
      </c>
      <c r="F344" s="47">
        <f t="shared" ca="1" si="48"/>
        <v>1166486366148.8206</v>
      </c>
      <c r="G344" s="47">
        <f t="shared" ca="1" si="49"/>
        <v>34389055540890.574</v>
      </c>
      <c r="H344" s="47">
        <f t="shared" ca="1" si="50"/>
        <v>34389055540890.574</v>
      </c>
      <c r="I344" s="47">
        <f t="shared" ca="1" si="51"/>
        <v>1308158341294.3896</v>
      </c>
      <c r="J344" s="47">
        <f t="shared" ca="1" si="52"/>
        <v>1124671188847.5305</v>
      </c>
      <c r="K344" s="48">
        <f t="shared" ca="1" si="53"/>
        <v>1.1631473752207357</v>
      </c>
    </row>
    <row r="345" spans="2:11" ht="15" customHeight="1" x14ac:dyDescent="0.35">
      <c r="B345" s="5">
        <v>324</v>
      </c>
      <c r="C345" s="46">
        <f t="shared" ca="1" si="45"/>
        <v>2.9646454761929166</v>
      </c>
      <c r="D345" s="47">
        <f t="shared" ca="1" si="46"/>
        <v>5384295488.6891775</v>
      </c>
      <c r="E345" s="47">
        <f t="shared" ca="1" si="47"/>
        <v>32481936884096.715</v>
      </c>
      <c r="F345" s="47">
        <f t="shared" ca="1" si="48"/>
        <v>6671866355900.0352</v>
      </c>
      <c r="G345" s="47">
        <f t="shared" ca="1" si="49"/>
        <v>1067209694581.8799</v>
      </c>
      <c r="H345" s="47">
        <f t="shared" ca="1" si="50"/>
        <v>32481936884096.715</v>
      </c>
      <c r="I345" s="47">
        <f t="shared" ca="1" si="51"/>
        <v>12340365964776.131</v>
      </c>
      <c r="J345" s="47">
        <f t="shared" ca="1" si="52"/>
        <v>634784734038.9054</v>
      </c>
      <c r="K345" s="48">
        <f t="shared" ca="1" si="53"/>
        <v>19.440237458545752</v>
      </c>
    </row>
    <row r="346" spans="2:11" ht="15" customHeight="1" x14ac:dyDescent="0.35">
      <c r="B346" s="5">
        <v>325</v>
      </c>
      <c r="C346" s="46">
        <f t="shared" ca="1" si="45"/>
        <v>3.3475693780272131</v>
      </c>
      <c r="D346" s="47">
        <f t="shared" ca="1" si="46"/>
        <v>8394996564.8359547</v>
      </c>
      <c r="E346" s="47">
        <f t="shared" ca="1" si="47"/>
        <v>74153971459595.953</v>
      </c>
      <c r="F346" s="47">
        <f t="shared" ca="1" si="48"/>
        <v>2681576289318.8647</v>
      </c>
      <c r="G346" s="47">
        <f t="shared" ca="1" si="49"/>
        <v>15237447253215.998</v>
      </c>
      <c r="H346" s="47">
        <f t="shared" ca="1" si="50"/>
        <v>2681576289318.8647</v>
      </c>
      <c r="I346" s="47">
        <f t="shared" ca="1" si="51"/>
        <v>96741572816279.688</v>
      </c>
      <c r="J346" s="47">
        <f t="shared" ca="1" si="52"/>
        <v>1663494803364.7583</v>
      </c>
      <c r="K346" s="48">
        <f t="shared" ca="1" si="53"/>
        <v>58.155620697221345</v>
      </c>
    </row>
    <row r="347" spans="2:11" ht="15" customHeight="1" x14ac:dyDescent="0.35">
      <c r="B347" s="5">
        <v>326</v>
      </c>
      <c r="C347" s="46">
        <f t="shared" ca="1" si="45"/>
        <v>2.7915453524036908</v>
      </c>
      <c r="D347" s="47">
        <f t="shared" ca="1" si="46"/>
        <v>2715568227.2935772</v>
      </c>
      <c r="E347" s="47">
        <f t="shared" ca="1" si="47"/>
        <v>15332917757772.363</v>
      </c>
      <c r="F347" s="47">
        <f t="shared" ca="1" si="48"/>
        <v>5269397227240.251</v>
      </c>
      <c r="G347" s="47">
        <f t="shared" ca="1" si="49"/>
        <v>5169549481391.1865</v>
      </c>
      <c r="H347" s="47">
        <f t="shared" ca="1" si="50"/>
        <v>5269397227240.251</v>
      </c>
      <c r="I347" s="47">
        <f t="shared" ca="1" si="51"/>
        <v>16222412083510.596</v>
      </c>
      <c r="J347" s="47">
        <f t="shared" ca="1" si="52"/>
        <v>1181972279987.2153</v>
      </c>
      <c r="K347" s="48">
        <f t="shared" ca="1" si="53"/>
        <v>13.724866782566224</v>
      </c>
    </row>
    <row r="348" spans="2:11" ht="15" customHeight="1" x14ac:dyDescent="0.35">
      <c r="B348" s="5">
        <v>327</v>
      </c>
      <c r="C348" s="46">
        <f t="shared" ca="1" si="45"/>
        <v>2.8791927390697576</v>
      </c>
      <c r="D348" s="47">
        <f t="shared" ca="1" si="46"/>
        <v>4563200217.327076</v>
      </c>
      <c r="E348" s="47">
        <f t="shared" ca="1" si="47"/>
        <v>8785753831847.9785</v>
      </c>
      <c r="F348" s="47">
        <f t="shared" ca="1" si="48"/>
        <v>4001115851145.5479</v>
      </c>
      <c r="G348" s="47">
        <f t="shared" ca="1" si="49"/>
        <v>48205117159672.992</v>
      </c>
      <c r="H348" s="47">
        <f t="shared" ca="1" si="50"/>
        <v>4001115851145.5479</v>
      </c>
      <c r="I348" s="47">
        <f t="shared" ca="1" si="51"/>
        <v>30016788020087.121</v>
      </c>
      <c r="J348" s="47">
        <f t="shared" ca="1" si="52"/>
        <v>1717028523696.9597</v>
      </c>
      <c r="K348" s="48">
        <f t="shared" ca="1" si="53"/>
        <v>17.481822582339824</v>
      </c>
    </row>
    <row r="349" spans="2:11" ht="15" customHeight="1" x14ac:dyDescent="0.35">
      <c r="B349" s="5">
        <v>328</v>
      </c>
      <c r="C349" s="46">
        <f t="shared" ca="1" si="45"/>
        <v>2.8443050357999207</v>
      </c>
      <c r="D349" s="47">
        <f t="shared" ca="1" si="46"/>
        <v>3168295296.790781</v>
      </c>
      <c r="E349" s="47">
        <f t="shared" ca="1" si="47"/>
        <v>49690844014878.43</v>
      </c>
      <c r="F349" s="47">
        <f t="shared" ca="1" si="48"/>
        <v>4992721074997.8506</v>
      </c>
      <c r="G349" s="47">
        <f t="shared" ca="1" si="49"/>
        <v>2128410664883.3098</v>
      </c>
      <c r="H349" s="47">
        <f t="shared" ca="1" si="50"/>
        <v>49690844014878.43</v>
      </c>
      <c r="I349" s="47">
        <f t="shared" ca="1" si="51"/>
        <v>9715036694706.7988</v>
      </c>
      <c r="J349" s="47">
        <f t="shared" ca="1" si="52"/>
        <v>2503852330556.8999</v>
      </c>
      <c r="K349" s="48">
        <f t="shared" ca="1" si="53"/>
        <v>3.8800358056842783</v>
      </c>
    </row>
    <row r="350" spans="2:11" ht="15" customHeight="1" x14ac:dyDescent="0.35">
      <c r="B350" s="5">
        <v>329</v>
      </c>
      <c r="C350" s="46">
        <f t="shared" ca="1" si="45"/>
        <v>2.6864512766849389</v>
      </c>
      <c r="D350" s="47">
        <f t="shared" ca="1" si="46"/>
        <v>2732840785.106442</v>
      </c>
      <c r="E350" s="47">
        <f t="shared" ca="1" si="47"/>
        <v>12913717247360.922</v>
      </c>
      <c r="F350" s="47">
        <f t="shared" ca="1" si="48"/>
        <v>265717730399.51559</v>
      </c>
      <c r="G350" s="47">
        <f t="shared" ca="1" si="49"/>
        <v>6113859361784.9697</v>
      </c>
      <c r="H350" s="47">
        <f t="shared" ca="1" si="50"/>
        <v>12913717247360.922</v>
      </c>
      <c r="I350" s="47">
        <f t="shared" ca="1" si="51"/>
        <v>91288528632893.781</v>
      </c>
      <c r="J350" s="47">
        <f t="shared" ca="1" si="52"/>
        <v>1996200268878.3552</v>
      </c>
      <c r="K350" s="48">
        <f t="shared" ca="1" si="53"/>
        <v>45.731147348350916</v>
      </c>
    </row>
    <row r="351" spans="2:11" ht="15" customHeight="1" x14ac:dyDescent="0.35">
      <c r="B351" s="5">
        <v>330</v>
      </c>
      <c r="C351" s="46">
        <f t="shared" ca="1" si="45"/>
        <v>3.185794590364031</v>
      </c>
      <c r="D351" s="47">
        <f t="shared" ca="1" si="46"/>
        <v>6098338070.7118835</v>
      </c>
      <c r="E351" s="47">
        <f t="shared" ca="1" si="47"/>
        <v>34028978828886.281</v>
      </c>
      <c r="F351" s="47">
        <f t="shared" ca="1" si="48"/>
        <v>1015265549804.2323</v>
      </c>
      <c r="G351" s="47">
        <f t="shared" ca="1" si="49"/>
        <v>1957219705279.552</v>
      </c>
      <c r="H351" s="47">
        <f t="shared" ca="1" si="50"/>
        <v>1015265549804.2323</v>
      </c>
      <c r="I351" s="47">
        <f t="shared" ca="1" si="51"/>
        <v>5429394647042.3887</v>
      </c>
      <c r="J351" s="47">
        <f t="shared" ca="1" si="52"/>
        <v>813448482337.87341</v>
      </c>
      <c r="K351" s="48">
        <f t="shared" ca="1" si="53"/>
        <v>6.6745402627566017</v>
      </c>
    </row>
    <row r="352" spans="2:11" ht="15" customHeight="1" x14ac:dyDescent="0.35">
      <c r="B352" s="5">
        <v>331</v>
      </c>
      <c r="C352" s="46">
        <f t="shared" ca="1" si="45"/>
        <v>2.891072261212662</v>
      </c>
      <c r="D352" s="47">
        <f t="shared" ca="1" si="46"/>
        <v>4477465270.8421822</v>
      </c>
      <c r="E352" s="47">
        <f t="shared" ca="1" si="47"/>
        <v>8332202415404.8154</v>
      </c>
      <c r="F352" s="47">
        <f t="shared" ca="1" si="48"/>
        <v>15170028676966.898</v>
      </c>
      <c r="G352" s="47">
        <f t="shared" ca="1" si="49"/>
        <v>882842726126.73267</v>
      </c>
      <c r="H352" s="47">
        <f t="shared" ca="1" si="50"/>
        <v>15170028676966.898</v>
      </c>
      <c r="I352" s="47">
        <f t="shared" ca="1" si="51"/>
        <v>1712937238108.4243</v>
      </c>
      <c r="J352" s="47">
        <f t="shared" ca="1" si="52"/>
        <v>2040610367371.2288</v>
      </c>
      <c r="K352" s="48">
        <f t="shared" ca="1" si="53"/>
        <v>0.83942396132931441</v>
      </c>
    </row>
    <row r="353" spans="2:11" ht="15" customHeight="1" x14ac:dyDescent="0.35">
      <c r="B353" s="5">
        <v>332</v>
      </c>
      <c r="C353" s="46">
        <f t="shared" ca="1" si="45"/>
        <v>2.8771957094793179</v>
      </c>
      <c r="D353" s="47">
        <f t="shared" ca="1" si="46"/>
        <v>3413125630.6092191</v>
      </c>
      <c r="E353" s="47">
        <f t="shared" ca="1" si="47"/>
        <v>38069309262111.344</v>
      </c>
      <c r="F353" s="47">
        <f t="shared" ca="1" si="48"/>
        <v>684864102679.84692</v>
      </c>
      <c r="G353" s="47">
        <f t="shared" ca="1" si="49"/>
        <v>1813185224236.3105</v>
      </c>
      <c r="H353" s="47">
        <f t="shared" ca="1" si="50"/>
        <v>684864102679.84692</v>
      </c>
      <c r="I353" s="47">
        <f t="shared" ca="1" si="51"/>
        <v>11593868125759.703</v>
      </c>
      <c r="J353" s="47">
        <f t="shared" ca="1" si="52"/>
        <v>2009783073265.9817</v>
      </c>
      <c r="K353" s="48">
        <f t="shared" ca="1" si="53"/>
        <v>5.7687161763777732</v>
      </c>
    </row>
    <row r="354" spans="2:11" ht="15" customHeight="1" x14ac:dyDescent="0.35">
      <c r="B354" s="5">
        <v>333</v>
      </c>
      <c r="C354" s="46">
        <f t="shared" ca="1" si="45"/>
        <v>3.3152629206404161</v>
      </c>
      <c r="D354" s="47">
        <f t="shared" ca="1" si="46"/>
        <v>9221873021.4223042</v>
      </c>
      <c r="E354" s="47">
        <f t="shared" ca="1" si="47"/>
        <v>53371506481615.609</v>
      </c>
      <c r="F354" s="47">
        <f t="shared" ca="1" si="48"/>
        <v>10694550211258.408</v>
      </c>
      <c r="G354" s="47">
        <f t="shared" ca="1" si="49"/>
        <v>3398954022118.1235</v>
      </c>
      <c r="H354" s="47">
        <f t="shared" ca="1" si="50"/>
        <v>10694550211258.408</v>
      </c>
      <c r="I354" s="47">
        <f t="shared" ca="1" si="51"/>
        <v>40328873246635.148</v>
      </c>
      <c r="J354" s="47">
        <f t="shared" ca="1" si="52"/>
        <v>659832790522.96863</v>
      </c>
      <c r="K354" s="48">
        <f t="shared" ca="1" si="53"/>
        <v>61.119837973907586</v>
      </c>
    </row>
    <row r="355" spans="2:11" ht="15" customHeight="1" x14ac:dyDescent="0.35">
      <c r="B355" s="5">
        <v>334</v>
      </c>
      <c r="C355" s="46">
        <f t="shared" ca="1" si="45"/>
        <v>3.4189314102899719</v>
      </c>
      <c r="D355" s="47">
        <f t="shared" ca="1" si="46"/>
        <v>8010918895.4209404</v>
      </c>
      <c r="E355" s="47">
        <f t="shared" ca="1" si="47"/>
        <v>21644647626813.965</v>
      </c>
      <c r="F355" s="47">
        <f t="shared" ca="1" si="48"/>
        <v>4259088324510.2041</v>
      </c>
      <c r="G355" s="47">
        <f t="shared" ca="1" si="49"/>
        <v>3870401607823.6646</v>
      </c>
      <c r="H355" s="47">
        <f t="shared" ca="1" si="50"/>
        <v>4259088324510.2041</v>
      </c>
      <c r="I355" s="47">
        <f t="shared" ca="1" si="51"/>
        <v>3977845236564.6377</v>
      </c>
      <c r="J355" s="47">
        <f t="shared" ca="1" si="52"/>
        <v>1731856003926.0659</v>
      </c>
      <c r="K355" s="48">
        <f t="shared" ca="1" si="53"/>
        <v>2.2968683467603435</v>
      </c>
    </row>
    <row r="356" spans="2:11" ht="15" customHeight="1" x14ac:dyDescent="0.35">
      <c r="B356" s="5">
        <v>335</v>
      </c>
      <c r="C356" s="46">
        <f t="shared" ca="1" si="45"/>
        <v>3.3854301024447153</v>
      </c>
      <c r="D356" s="47">
        <f t="shared" ca="1" si="46"/>
        <v>7670838265.0199709</v>
      </c>
      <c r="E356" s="47">
        <f t="shared" ca="1" si="47"/>
        <v>13977225893981.705</v>
      </c>
      <c r="F356" s="47">
        <f t="shared" ca="1" si="48"/>
        <v>4014819992385.3638</v>
      </c>
      <c r="G356" s="47">
        <f t="shared" ca="1" si="49"/>
        <v>180481617959567.41</v>
      </c>
      <c r="H356" s="47">
        <f t="shared" ca="1" si="50"/>
        <v>180481617959567.41</v>
      </c>
      <c r="I356" s="47">
        <f t="shared" ca="1" si="51"/>
        <v>53470859688344.867</v>
      </c>
      <c r="J356" s="47">
        <f t="shared" ca="1" si="52"/>
        <v>1272881332629.2605</v>
      </c>
      <c r="K356" s="48">
        <f t="shared" ca="1" si="53"/>
        <v>42.007733413684051</v>
      </c>
    </row>
    <row r="357" spans="2:11" ht="15" customHeight="1" x14ac:dyDescent="0.35">
      <c r="B357" s="5">
        <v>336</v>
      </c>
      <c r="C357" s="46">
        <f t="shared" ca="1" si="45"/>
        <v>3.1598991969415353</v>
      </c>
      <c r="D357" s="47">
        <f t="shared" ca="1" si="46"/>
        <v>6444468086.0637827</v>
      </c>
      <c r="E357" s="47">
        <f t="shared" ca="1" si="47"/>
        <v>19653525673160.609</v>
      </c>
      <c r="F357" s="47">
        <f t="shared" ca="1" si="48"/>
        <v>4218041931424.501</v>
      </c>
      <c r="G357" s="47">
        <f t="shared" ca="1" si="49"/>
        <v>7579768396776.916</v>
      </c>
      <c r="H357" s="47">
        <f t="shared" ca="1" si="50"/>
        <v>7579768396776.916</v>
      </c>
      <c r="I357" s="47">
        <f t="shared" ca="1" si="51"/>
        <v>9760806261945.6406</v>
      </c>
      <c r="J357" s="47">
        <f t="shared" ca="1" si="52"/>
        <v>1209621923030.3193</v>
      </c>
      <c r="K357" s="48">
        <f t="shared" ca="1" si="53"/>
        <v>8.0693033716626719</v>
      </c>
    </row>
    <row r="358" spans="2:11" ht="15" customHeight="1" x14ac:dyDescent="0.35">
      <c r="B358" s="5">
        <v>337</v>
      </c>
      <c r="C358" s="46">
        <f t="shared" ca="1" si="45"/>
        <v>2.7760008313392093</v>
      </c>
      <c r="D358" s="47">
        <f t="shared" ca="1" si="46"/>
        <v>3428366264.7793899</v>
      </c>
      <c r="E358" s="47">
        <f t="shared" ca="1" si="47"/>
        <v>10762074382171.277</v>
      </c>
      <c r="F358" s="47">
        <f t="shared" ca="1" si="48"/>
        <v>772313832191.53845</v>
      </c>
      <c r="G358" s="47">
        <f t="shared" ca="1" si="49"/>
        <v>9971081636825.0234</v>
      </c>
      <c r="H358" s="47">
        <f t="shared" ca="1" si="50"/>
        <v>9971081636825.0234</v>
      </c>
      <c r="I358" s="47">
        <f t="shared" ca="1" si="51"/>
        <v>13107739664256.768</v>
      </c>
      <c r="J358" s="47">
        <f t="shared" ca="1" si="52"/>
        <v>1371498991807.3196</v>
      </c>
      <c r="K358" s="48">
        <f t="shared" ca="1" si="53"/>
        <v>9.5572360917187318</v>
      </c>
    </row>
    <row r="359" spans="2:11" ht="15" customHeight="1" x14ac:dyDescent="0.35">
      <c r="B359" s="5">
        <v>338</v>
      </c>
      <c r="C359" s="46">
        <f t="shared" ca="1" si="45"/>
        <v>3.3346938846663923</v>
      </c>
      <c r="D359" s="47">
        <f t="shared" ca="1" si="46"/>
        <v>7053571457.8845091</v>
      </c>
      <c r="E359" s="47">
        <f t="shared" ca="1" si="47"/>
        <v>37758519861515.563</v>
      </c>
      <c r="F359" s="47">
        <f t="shared" ca="1" si="48"/>
        <v>5949624692421.915</v>
      </c>
      <c r="G359" s="47">
        <f t="shared" ca="1" si="49"/>
        <v>2689237760391.3945</v>
      </c>
      <c r="H359" s="47">
        <f t="shared" ca="1" si="50"/>
        <v>37758519861515.563</v>
      </c>
      <c r="I359" s="47">
        <f t="shared" ca="1" si="51"/>
        <v>889679527151.26416</v>
      </c>
      <c r="J359" s="47">
        <f t="shared" ca="1" si="52"/>
        <v>1854355588470.7236</v>
      </c>
      <c r="K359" s="48">
        <f t="shared" ca="1" si="53"/>
        <v>0.4797782759049885</v>
      </c>
    </row>
    <row r="360" spans="2:11" ht="15" customHeight="1" x14ac:dyDescent="0.35">
      <c r="B360" s="5">
        <v>339</v>
      </c>
      <c r="C360" s="46">
        <f t="shared" ca="1" si="45"/>
        <v>2.4320559270304813</v>
      </c>
      <c r="D360" s="47">
        <f t="shared" ca="1" si="46"/>
        <v>2018472376.9866562</v>
      </c>
      <c r="E360" s="47">
        <f t="shared" ca="1" si="47"/>
        <v>5799809219746.8115</v>
      </c>
      <c r="F360" s="47">
        <f t="shared" ca="1" si="48"/>
        <v>7009217880595.3066</v>
      </c>
      <c r="G360" s="47">
        <f t="shared" ca="1" si="49"/>
        <v>696044586197.69421</v>
      </c>
      <c r="H360" s="47">
        <f t="shared" ca="1" si="50"/>
        <v>7009217880595.3066</v>
      </c>
      <c r="I360" s="47">
        <f t="shared" ca="1" si="51"/>
        <v>1870138714163.8711</v>
      </c>
      <c r="J360" s="47">
        <f t="shared" ca="1" si="52"/>
        <v>1476503333434.9492</v>
      </c>
      <c r="K360" s="48">
        <f t="shared" ca="1" si="53"/>
        <v>1.2665997236952831</v>
      </c>
    </row>
    <row r="361" spans="2:11" ht="15" customHeight="1" x14ac:dyDescent="0.35">
      <c r="B361" s="5">
        <v>340</v>
      </c>
      <c r="C361" s="46">
        <f t="shared" ca="1" si="45"/>
        <v>2.7564920326615221</v>
      </c>
      <c r="D361" s="47">
        <f t="shared" ca="1" si="46"/>
        <v>2893480734.7732735</v>
      </c>
      <c r="E361" s="47">
        <f t="shared" ca="1" si="47"/>
        <v>12187607000625.902</v>
      </c>
      <c r="F361" s="47">
        <f t="shared" ca="1" si="48"/>
        <v>6025435184949.0693</v>
      </c>
      <c r="G361" s="47">
        <f t="shared" ca="1" si="49"/>
        <v>842499028572.2052</v>
      </c>
      <c r="H361" s="47">
        <f t="shared" ca="1" si="50"/>
        <v>12187607000625.902</v>
      </c>
      <c r="I361" s="47">
        <f t="shared" ca="1" si="51"/>
        <v>47914764775820.703</v>
      </c>
      <c r="J361" s="47">
        <f t="shared" ca="1" si="52"/>
        <v>1782673376452.6082</v>
      </c>
      <c r="K361" s="48">
        <f t="shared" ca="1" si="53"/>
        <v>26.878039134217421</v>
      </c>
    </row>
    <row r="362" spans="2:11" ht="15" customHeight="1" x14ac:dyDescent="0.35">
      <c r="B362" s="5">
        <v>341</v>
      </c>
      <c r="C362" s="46">
        <f t="shared" ca="1" si="45"/>
        <v>2.7383362137860732</v>
      </c>
      <c r="D362" s="47">
        <f t="shared" ca="1" si="46"/>
        <v>3330863130.4682355</v>
      </c>
      <c r="E362" s="47">
        <f t="shared" ca="1" si="47"/>
        <v>30374868901626.996</v>
      </c>
      <c r="F362" s="47">
        <f t="shared" ca="1" si="48"/>
        <v>4555679852262.6484</v>
      </c>
      <c r="G362" s="47">
        <f t="shared" ca="1" si="49"/>
        <v>7070246949728.7979</v>
      </c>
      <c r="H362" s="47">
        <f t="shared" ca="1" si="50"/>
        <v>4555679852262.6484</v>
      </c>
      <c r="I362" s="47">
        <f t="shared" ca="1" si="51"/>
        <v>5541697932390.8877</v>
      </c>
      <c r="J362" s="47">
        <f t="shared" ca="1" si="52"/>
        <v>583987859598.90442</v>
      </c>
      <c r="K362" s="48">
        <f t="shared" ca="1" si="53"/>
        <v>9.4894060575112746</v>
      </c>
    </row>
    <row r="363" spans="2:11" ht="15" customHeight="1" x14ac:dyDescent="0.35">
      <c r="B363" s="5">
        <v>342</v>
      </c>
      <c r="C363" s="46">
        <f t="shared" ca="1" si="45"/>
        <v>2.5395936591387249</v>
      </c>
      <c r="D363" s="47">
        <f t="shared" ca="1" si="46"/>
        <v>2424874196.4081802</v>
      </c>
      <c r="E363" s="47">
        <f t="shared" ca="1" si="47"/>
        <v>11373611159883.16</v>
      </c>
      <c r="F363" s="47">
        <f t="shared" ca="1" si="48"/>
        <v>3612794136610.5776</v>
      </c>
      <c r="G363" s="47">
        <f t="shared" ca="1" si="49"/>
        <v>1529579831992.1045</v>
      </c>
      <c r="H363" s="47">
        <f t="shared" ca="1" si="50"/>
        <v>3612794136610.5776</v>
      </c>
      <c r="I363" s="47">
        <f t="shared" ca="1" si="51"/>
        <v>42313463900778.844</v>
      </c>
      <c r="J363" s="47">
        <f t="shared" ca="1" si="52"/>
        <v>1571482117650.2856</v>
      </c>
      <c r="K363" s="48">
        <f t="shared" ca="1" si="53"/>
        <v>26.925832260851212</v>
      </c>
    </row>
    <row r="364" spans="2:11" ht="15" customHeight="1" x14ac:dyDescent="0.35">
      <c r="B364" s="5">
        <v>343</v>
      </c>
      <c r="C364" s="46">
        <f t="shared" ca="1" si="45"/>
        <v>2.8883022576234807</v>
      </c>
      <c r="D364" s="47">
        <f t="shared" ca="1" si="46"/>
        <v>4816492109.3348856</v>
      </c>
      <c r="E364" s="47">
        <f t="shared" ca="1" si="47"/>
        <v>15652312658580.475</v>
      </c>
      <c r="F364" s="47">
        <f t="shared" ca="1" si="48"/>
        <v>3742044892032.6108</v>
      </c>
      <c r="G364" s="47">
        <f t="shared" ca="1" si="49"/>
        <v>15461841192746.664</v>
      </c>
      <c r="H364" s="47">
        <f t="shared" ca="1" si="50"/>
        <v>15652312658580.475</v>
      </c>
      <c r="I364" s="47">
        <f t="shared" ca="1" si="51"/>
        <v>6384595689992.666</v>
      </c>
      <c r="J364" s="47">
        <f t="shared" ca="1" si="52"/>
        <v>1020671723454.7046</v>
      </c>
      <c r="K364" s="48">
        <f t="shared" ca="1" si="53"/>
        <v>6.2552881041736841</v>
      </c>
    </row>
    <row r="365" spans="2:11" ht="15" customHeight="1" x14ac:dyDescent="0.35">
      <c r="B365" s="5">
        <v>344</v>
      </c>
      <c r="C365" s="46">
        <f t="shared" ca="1" si="45"/>
        <v>3.0404362946732353</v>
      </c>
      <c r="D365" s="47">
        <f t="shared" ca="1" si="46"/>
        <v>4986921855.0537071</v>
      </c>
      <c r="E365" s="47">
        <f t="shared" ca="1" si="47"/>
        <v>38053935087541.742</v>
      </c>
      <c r="F365" s="47">
        <f t="shared" ca="1" si="48"/>
        <v>695495630470.34802</v>
      </c>
      <c r="G365" s="47">
        <f t="shared" ca="1" si="49"/>
        <v>5710478569056.6807</v>
      </c>
      <c r="H365" s="47">
        <f t="shared" ca="1" si="50"/>
        <v>5710478569056.6807</v>
      </c>
      <c r="I365" s="47">
        <f t="shared" ca="1" si="51"/>
        <v>2685836606155.0923</v>
      </c>
      <c r="J365" s="47">
        <f t="shared" ca="1" si="52"/>
        <v>636295421711.51208</v>
      </c>
      <c r="K365" s="48">
        <f t="shared" ca="1" si="53"/>
        <v>4.2210528545541148</v>
      </c>
    </row>
    <row r="366" spans="2:11" ht="15" customHeight="1" x14ac:dyDescent="0.35">
      <c r="B366" s="5">
        <v>345</v>
      </c>
      <c r="C366" s="46">
        <f t="shared" ca="1" si="45"/>
        <v>3.5051852729249964</v>
      </c>
      <c r="D366" s="47">
        <f t="shared" ca="1" si="46"/>
        <v>12448033628.050825</v>
      </c>
      <c r="E366" s="47">
        <f t="shared" ca="1" si="47"/>
        <v>64404736258388.898</v>
      </c>
      <c r="F366" s="47">
        <f t="shared" ca="1" si="48"/>
        <v>320916360704.76318</v>
      </c>
      <c r="G366" s="47">
        <f t="shared" ca="1" si="49"/>
        <v>118904017298661.08</v>
      </c>
      <c r="H366" s="47">
        <f t="shared" ca="1" si="50"/>
        <v>118904017298661.08</v>
      </c>
      <c r="I366" s="47">
        <f t="shared" ca="1" si="51"/>
        <v>25591300356792.563</v>
      </c>
      <c r="J366" s="47">
        <f t="shared" ca="1" si="52"/>
        <v>1915627516664.981</v>
      </c>
      <c r="K366" s="48">
        <f t="shared" ca="1" si="53"/>
        <v>13.359225702367146</v>
      </c>
    </row>
    <row r="367" spans="2:11" ht="15" customHeight="1" x14ac:dyDescent="0.35">
      <c r="B367" s="5">
        <v>346</v>
      </c>
      <c r="C367" s="46">
        <f t="shared" ca="1" si="45"/>
        <v>2.3897264304590182</v>
      </c>
      <c r="D367" s="47">
        <f t="shared" ca="1" si="46"/>
        <v>1265368541.828943</v>
      </c>
      <c r="E367" s="47">
        <f t="shared" ca="1" si="47"/>
        <v>2662304552377.2451</v>
      </c>
      <c r="F367" s="47">
        <f t="shared" ca="1" si="48"/>
        <v>15579688491869.875</v>
      </c>
      <c r="G367" s="47">
        <f t="shared" ca="1" si="49"/>
        <v>9651436266297.791</v>
      </c>
      <c r="H367" s="47">
        <f t="shared" ca="1" si="50"/>
        <v>9651436266297.791</v>
      </c>
      <c r="I367" s="47">
        <f t="shared" ca="1" si="51"/>
        <v>3071454082945.4482</v>
      </c>
      <c r="J367" s="47">
        <f t="shared" ca="1" si="52"/>
        <v>991610052522.12268</v>
      </c>
      <c r="K367" s="48">
        <f t="shared" ca="1" si="53"/>
        <v>3.0974414540608186</v>
      </c>
    </row>
    <row r="368" spans="2:11" ht="15" customHeight="1" x14ac:dyDescent="0.35">
      <c r="B368" s="5">
        <v>347</v>
      </c>
      <c r="C368" s="46">
        <f t="shared" ca="1" si="45"/>
        <v>2.3495910006539829</v>
      </c>
      <c r="D368" s="47">
        <f t="shared" ca="1" si="46"/>
        <v>1202345806.2511749</v>
      </c>
      <c r="E368" s="47">
        <f t="shared" ca="1" si="47"/>
        <v>4760632306126.5986</v>
      </c>
      <c r="F368" s="47">
        <f t="shared" ca="1" si="48"/>
        <v>5137711248082.7051</v>
      </c>
      <c r="G368" s="47">
        <f t="shared" ca="1" si="49"/>
        <v>5599088354278.9209</v>
      </c>
      <c r="H368" s="47">
        <f t="shared" ca="1" si="50"/>
        <v>5599088354278.9209</v>
      </c>
      <c r="I368" s="47">
        <f t="shared" ca="1" si="51"/>
        <v>32583786557998.027</v>
      </c>
      <c r="J368" s="47">
        <f t="shared" ca="1" si="52"/>
        <v>637537406980.83374</v>
      </c>
      <c r="K368" s="48">
        <f t="shared" ca="1" si="53"/>
        <v>51.108823107814274</v>
      </c>
    </row>
    <row r="369" spans="2:11" ht="15" customHeight="1" x14ac:dyDescent="0.35">
      <c r="B369" s="5">
        <v>348</v>
      </c>
      <c r="C369" s="46">
        <f t="shared" ca="1" si="45"/>
        <v>2.5525486789288818</v>
      </c>
      <c r="D369" s="47">
        <f t="shared" ca="1" si="46"/>
        <v>2171632717.2232118</v>
      </c>
      <c r="E369" s="47">
        <f t="shared" ca="1" si="47"/>
        <v>12145610039758.848</v>
      </c>
      <c r="F369" s="47">
        <f t="shared" ca="1" si="48"/>
        <v>15404947756715.135</v>
      </c>
      <c r="G369" s="47">
        <f t="shared" ca="1" si="49"/>
        <v>19466686322841.227</v>
      </c>
      <c r="H369" s="47">
        <f t="shared" ca="1" si="50"/>
        <v>15404947756715.135</v>
      </c>
      <c r="I369" s="47">
        <f t="shared" ca="1" si="51"/>
        <v>2534070779600.0684</v>
      </c>
      <c r="J369" s="47">
        <f t="shared" ca="1" si="52"/>
        <v>1119446386530.1733</v>
      </c>
      <c r="K369" s="48">
        <f t="shared" ca="1" si="53"/>
        <v>2.2636821290340245</v>
      </c>
    </row>
    <row r="370" spans="2:11" ht="15" customHeight="1" x14ac:dyDescent="0.35">
      <c r="B370" s="5">
        <v>349</v>
      </c>
      <c r="C370" s="46">
        <f t="shared" ca="1" si="45"/>
        <v>2.4394337794205034</v>
      </c>
      <c r="D370" s="47">
        <f t="shared" ca="1" si="46"/>
        <v>1829996457.323456</v>
      </c>
      <c r="E370" s="47">
        <f t="shared" ca="1" si="47"/>
        <v>8308445725511.6523</v>
      </c>
      <c r="F370" s="47">
        <f t="shared" ca="1" si="48"/>
        <v>3176594805185.4795</v>
      </c>
      <c r="G370" s="47">
        <f t="shared" ca="1" si="49"/>
        <v>5283421121571.2471</v>
      </c>
      <c r="H370" s="47">
        <f t="shared" ca="1" si="50"/>
        <v>3176594805185.4795</v>
      </c>
      <c r="I370" s="47">
        <f t="shared" ca="1" si="51"/>
        <v>9997810081095.2441</v>
      </c>
      <c r="J370" s="47">
        <f t="shared" ca="1" si="52"/>
        <v>1562766911482.9873</v>
      </c>
      <c r="K370" s="48">
        <f t="shared" ca="1" si="53"/>
        <v>6.3975056085669388</v>
      </c>
    </row>
    <row r="371" spans="2:11" ht="15" customHeight="1" x14ac:dyDescent="0.35">
      <c r="B371" s="5">
        <v>350</v>
      </c>
      <c r="C371" s="46">
        <f t="shared" ca="1" si="45"/>
        <v>2.5129944642442719</v>
      </c>
      <c r="D371" s="47">
        <f t="shared" ca="1" si="46"/>
        <v>2308098534.4116249</v>
      </c>
      <c r="E371" s="47">
        <f t="shared" ca="1" si="47"/>
        <v>14693148152833.896</v>
      </c>
      <c r="F371" s="47">
        <f t="shared" ca="1" si="48"/>
        <v>1944446148990.0752</v>
      </c>
      <c r="G371" s="47">
        <f t="shared" ca="1" si="49"/>
        <v>3818082942054.2495</v>
      </c>
      <c r="H371" s="47">
        <f t="shared" ca="1" si="50"/>
        <v>14693148152833.896</v>
      </c>
      <c r="I371" s="47">
        <f t="shared" ca="1" si="51"/>
        <v>14686571182915.963</v>
      </c>
      <c r="J371" s="47">
        <f t="shared" ca="1" si="52"/>
        <v>1006796031525.7594</v>
      </c>
      <c r="K371" s="48">
        <f t="shared" ca="1" si="53"/>
        <v>14.587434518051335</v>
      </c>
    </row>
    <row r="372" spans="2:11" ht="15" customHeight="1" x14ac:dyDescent="0.35">
      <c r="B372" s="5">
        <v>351</v>
      </c>
      <c r="C372" s="46">
        <f t="shared" ca="1" si="45"/>
        <v>3.6223454307936596</v>
      </c>
      <c r="D372" s="47">
        <f t="shared" ca="1" si="46"/>
        <v>10783461571.273808</v>
      </c>
      <c r="E372" s="47">
        <f t="shared" ca="1" si="47"/>
        <v>36792710685285.523</v>
      </c>
      <c r="F372" s="47">
        <f t="shared" ca="1" si="48"/>
        <v>2134567514585.1213</v>
      </c>
      <c r="G372" s="47">
        <f t="shared" ca="1" si="49"/>
        <v>158422307693423.81</v>
      </c>
      <c r="H372" s="47">
        <f t="shared" ca="1" si="50"/>
        <v>2134567514585.1213</v>
      </c>
      <c r="I372" s="47">
        <f t="shared" ca="1" si="51"/>
        <v>20640545302281.465</v>
      </c>
      <c r="J372" s="47">
        <f t="shared" ca="1" si="52"/>
        <v>990424145936.22791</v>
      </c>
      <c r="K372" s="48">
        <f t="shared" ca="1" si="53"/>
        <v>20.84010712680109</v>
      </c>
    </row>
    <row r="373" spans="2:11" ht="15" customHeight="1" x14ac:dyDescent="0.35">
      <c r="B373" s="5">
        <v>352</v>
      </c>
      <c r="C373" s="46">
        <f t="shared" ca="1" si="45"/>
        <v>1.8865222909039263</v>
      </c>
      <c r="D373" s="47">
        <f t="shared" ca="1" si="46"/>
        <v>475825867.84984142</v>
      </c>
      <c r="E373" s="47">
        <f t="shared" ca="1" si="47"/>
        <v>1869520081374.4448</v>
      </c>
      <c r="F373" s="47">
        <f t="shared" ca="1" si="48"/>
        <v>3321221762083.9341</v>
      </c>
      <c r="G373" s="47">
        <f t="shared" ca="1" si="49"/>
        <v>7540375400798.0488</v>
      </c>
      <c r="H373" s="47">
        <f t="shared" ca="1" si="50"/>
        <v>7540375400798.0488</v>
      </c>
      <c r="I373" s="47">
        <f t="shared" ca="1" si="51"/>
        <v>9262111404373.3203</v>
      </c>
      <c r="J373" s="47">
        <f t="shared" ca="1" si="52"/>
        <v>1566528668217.7104</v>
      </c>
      <c r="K373" s="48">
        <f t="shared" ca="1" si="53"/>
        <v>5.9125068007284662</v>
      </c>
    </row>
    <row r="374" spans="2:11" ht="15" customHeight="1" x14ac:dyDescent="0.35">
      <c r="B374" s="5">
        <v>353</v>
      </c>
      <c r="C374" s="46">
        <f t="shared" ca="1" si="45"/>
        <v>3.2732744562758995</v>
      </c>
      <c r="D374" s="47">
        <f t="shared" ca="1" si="46"/>
        <v>6456322472.2769842</v>
      </c>
      <c r="E374" s="47">
        <f t="shared" ca="1" si="47"/>
        <v>16449851193805.973</v>
      </c>
      <c r="F374" s="47">
        <f t="shared" ca="1" si="48"/>
        <v>388119249150.71918</v>
      </c>
      <c r="G374" s="47">
        <f t="shared" ca="1" si="49"/>
        <v>2739174491831.394</v>
      </c>
      <c r="H374" s="47">
        <f t="shared" ca="1" si="50"/>
        <v>2739174491831.394</v>
      </c>
      <c r="I374" s="47">
        <f t="shared" ca="1" si="51"/>
        <v>23979347222321.262</v>
      </c>
      <c r="J374" s="47">
        <f t="shared" ca="1" si="52"/>
        <v>922467559015.08081</v>
      </c>
      <c r="K374" s="48">
        <f t="shared" ca="1" si="53"/>
        <v>25.994786470240779</v>
      </c>
    </row>
    <row r="375" spans="2:11" ht="15" customHeight="1" x14ac:dyDescent="0.35">
      <c r="B375" s="5">
        <v>354</v>
      </c>
      <c r="C375" s="46">
        <f t="shared" ca="1" si="45"/>
        <v>2.9958220494193171</v>
      </c>
      <c r="D375" s="47">
        <f t="shared" ca="1" si="46"/>
        <v>3940956348.5441575</v>
      </c>
      <c r="E375" s="47">
        <f t="shared" ca="1" si="47"/>
        <v>46610294947530.047</v>
      </c>
      <c r="F375" s="47">
        <f t="shared" ca="1" si="48"/>
        <v>1253690175578.0952</v>
      </c>
      <c r="G375" s="47">
        <f t="shared" ca="1" si="49"/>
        <v>5048592010530.3311</v>
      </c>
      <c r="H375" s="47">
        <f t="shared" ca="1" si="50"/>
        <v>1253690175578.0952</v>
      </c>
      <c r="I375" s="47">
        <f t="shared" ca="1" si="51"/>
        <v>1031973435641.5404</v>
      </c>
      <c r="J375" s="47">
        <f t="shared" ca="1" si="52"/>
        <v>2349963571330.4946</v>
      </c>
      <c r="K375" s="48">
        <f t="shared" ca="1" si="53"/>
        <v>0.43914443961242389</v>
      </c>
    </row>
    <row r="376" spans="2:11" ht="15" customHeight="1" x14ac:dyDescent="0.35">
      <c r="B376" s="5">
        <v>355</v>
      </c>
      <c r="C376" s="46">
        <f t="shared" ca="1" si="45"/>
        <v>3.6386164601157192</v>
      </c>
      <c r="D376" s="47">
        <f t="shared" ca="1" si="46"/>
        <v>13471257997.320267</v>
      </c>
      <c r="E376" s="47">
        <f t="shared" ca="1" si="47"/>
        <v>51792588953121.008</v>
      </c>
      <c r="F376" s="47">
        <f t="shared" ca="1" si="48"/>
        <v>566462840852.5658</v>
      </c>
      <c r="G376" s="47">
        <f t="shared" ca="1" si="49"/>
        <v>11695662752476.744</v>
      </c>
      <c r="H376" s="47">
        <f t="shared" ca="1" si="50"/>
        <v>11695662752476.744</v>
      </c>
      <c r="I376" s="47">
        <f t="shared" ca="1" si="51"/>
        <v>4455867954812.1328</v>
      </c>
      <c r="J376" s="47">
        <f t="shared" ca="1" si="52"/>
        <v>620574013118.09167</v>
      </c>
      <c r="K376" s="48">
        <f t="shared" ca="1" si="53"/>
        <v>7.1802361372231784</v>
      </c>
    </row>
    <row r="377" spans="2:11" ht="15" customHeight="1" x14ac:dyDescent="0.35">
      <c r="B377" s="5">
        <v>356</v>
      </c>
      <c r="C377" s="46">
        <f t="shared" ca="1" si="45"/>
        <v>3.1076836238094123</v>
      </c>
      <c r="D377" s="47">
        <f t="shared" ca="1" si="46"/>
        <v>5704245688.6137276</v>
      </c>
      <c r="E377" s="47">
        <f t="shared" ca="1" si="47"/>
        <v>17741184143526.918</v>
      </c>
      <c r="F377" s="47">
        <f t="shared" ca="1" si="48"/>
        <v>7745426672072.0762</v>
      </c>
      <c r="G377" s="47">
        <f t="shared" ca="1" si="49"/>
        <v>39163617918653.664</v>
      </c>
      <c r="H377" s="47">
        <f t="shared" ca="1" si="50"/>
        <v>39163617918653.664</v>
      </c>
      <c r="I377" s="47">
        <f t="shared" ca="1" si="51"/>
        <v>32688220563401.363</v>
      </c>
      <c r="J377" s="47">
        <f t="shared" ca="1" si="52"/>
        <v>1377298358247.0508</v>
      </c>
      <c r="K377" s="48">
        <f t="shared" ca="1" si="53"/>
        <v>23.733579850487242</v>
      </c>
    </row>
    <row r="378" spans="2:11" ht="15" customHeight="1" x14ac:dyDescent="0.35">
      <c r="B378" s="5">
        <v>357</v>
      </c>
      <c r="C378" s="46">
        <f t="shared" ca="1" si="45"/>
        <v>2.4098976835424164</v>
      </c>
      <c r="D378" s="47">
        <f t="shared" ca="1" si="46"/>
        <v>1316635292.9011891</v>
      </c>
      <c r="E378" s="47">
        <f t="shared" ca="1" si="47"/>
        <v>2734699906222.251</v>
      </c>
      <c r="F378" s="47">
        <f t="shared" ca="1" si="48"/>
        <v>1370909614143.2878</v>
      </c>
      <c r="G378" s="47">
        <f t="shared" ca="1" si="49"/>
        <v>2000543315830.4504</v>
      </c>
      <c r="H378" s="47">
        <f t="shared" ca="1" si="50"/>
        <v>2734699906222.251</v>
      </c>
      <c r="I378" s="47">
        <f t="shared" ca="1" si="51"/>
        <v>6129154249458.1221</v>
      </c>
      <c r="J378" s="47">
        <f t="shared" ca="1" si="52"/>
        <v>821412058308.87854</v>
      </c>
      <c r="K378" s="48">
        <f t="shared" ca="1" si="53"/>
        <v>7.4617290889018753</v>
      </c>
    </row>
    <row r="379" spans="2:11" ht="15" customHeight="1" x14ac:dyDescent="0.35">
      <c r="B379" s="5">
        <v>358</v>
      </c>
      <c r="C379" s="46">
        <f t="shared" ca="1" si="45"/>
        <v>2.8328020175912374</v>
      </c>
      <c r="D379" s="47">
        <f t="shared" ca="1" si="46"/>
        <v>3391467178.427083</v>
      </c>
      <c r="E379" s="47">
        <f t="shared" ca="1" si="47"/>
        <v>14993166068607.924</v>
      </c>
      <c r="F379" s="47">
        <f t="shared" ca="1" si="48"/>
        <v>2509165031318.0459</v>
      </c>
      <c r="G379" s="47">
        <f t="shared" ca="1" si="49"/>
        <v>333627158748.65375</v>
      </c>
      <c r="H379" s="47">
        <f t="shared" ca="1" si="50"/>
        <v>14993166068607.924</v>
      </c>
      <c r="I379" s="47">
        <f t="shared" ca="1" si="51"/>
        <v>10977989648718.852</v>
      </c>
      <c r="J379" s="47">
        <f t="shared" ca="1" si="52"/>
        <v>2556799556472.7793</v>
      </c>
      <c r="K379" s="48">
        <f t="shared" ca="1" si="53"/>
        <v>4.2936450066752538</v>
      </c>
    </row>
    <row r="380" spans="2:11" ht="15" customHeight="1" x14ac:dyDescent="0.35">
      <c r="B380" s="5">
        <v>359</v>
      </c>
      <c r="C380" s="46">
        <f t="shared" ca="1" si="45"/>
        <v>2.4395302885710222</v>
      </c>
      <c r="D380" s="47">
        <f t="shared" ca="1" si="46"/>
        <v>1481034082.6119699</v>
      </c>
      <c r="E380" s="47">
        <f t="shared" ca="1" si="47"/>
        <v>6814439497878.0654</v>
      </c>
      <c r="F380" s="47">
        <f t="shared" ca="1" si="48"/>
        <v>445598274070.42426</v>
      </c>
      <c r="G380" s="47">
        <f t="shared" ca="1" si="49"/>
        <v>3945062093784.9497</v>
      </c>
      <c r="H380" s="47">
        <f t="shared" ca="1" si="50"/>
        <v>3945062093784.9497</v>
      </c>
      <c r="I380" s="47">
        <f t="shared" ca="1" si="51"/>
        <v>4183191015615.5557</v>
      </c>
      <c r="J380" s="47">
        <f t="shared" ca="1" si="52"/>
        <v>910975104170.56238</v>
      </c>
      <c r="K380" s="48">
        <f t="shared" ca="1" si="53"/>
        <v>4.5919926861495597</v>
      </c>
    </row>
    <row r="381" spans="2:11" ht="15" customHeight="1" x14ac:dyDescent="0.35">
      <c r="B381" s="5">
        <v>360</v>
      </c>
      <c r="C381" s="46">
        <f t="shared" ca="1" si="45"/>
        <v>3.2918922927217071</v>
      </c>
      <c r="D381" s="47">
        <f t="shared" ca="1" si="46"/>
        <v>7055586356.7017164</v>
      </c>
      <c r="E381" s="47">
        <f t="shared" ca="1" si="47"/>
        <v>44633451398634.844</v>
      </c>
      <c r="F381" s="47">
        <f t="shared" ca="1" si="48"/>
        <v>7163102235819.4463</v>
      </c>
      <c r="G381" s="47">
        <f t="shared" ca="1" si="49"/>
        <v>13292006926702.033</v>
      </c>
      <c r="H381" s="47">
        <f t="shared" ca="1" si="50"/>
        <v>13292006926702.033</v>
      </c>
      <c r="I381" s="47">
        <f t="shared" ca="1" si="51"/>
        <v>1897944528953.6953</v>
      </c>
      <c r="J381" s="47">
        <f t="shared" ca="1" si="52"/>
        <v>1397073159487.9907</v>
      </c>
      <c r="K381" s="48">
        <f t="shared" ca="1" si="53"/>
        <v>1.358514775023856</v>
      </c>
    </row>
    <row r="382" spans="2:11" ht="15" customHeight="1" x14ac:dyDescent="0.35">
      <c r="B382" s="5">
        <v>361</v>
      </c>
      <c r="C382" s="46">
        <f t="shared" ca="1" si="45"/>
        <v>3.8884010978410348</v>
      </c>
      <c r="D382" s="47">
        <f t="shared" ca="1" si="46"/>
        <v>19948023265.465878</v>
      </c>
      <c r="E382" s="47">
        <f t="shared" ca="1" si="47"/>
        <v>22991689001962.172</v>
      </c>
      <c r="F382" s="47">
        <f t="shared" ca="1" si="48"/>
        <v>881824947979.43347</v>
      </c>
      <c r="G382" s="47">
        <f t="shared" ca="1" si="49"/>
        <v>1185142755673.1111</v>
      </c>
      <c r="H382" s="47">
        <f t="shared" ca="1" si="50"/>
        <v>881824947979.43347</v>
      </c>
      <c r="I382" s="47">
        <f t="shared" ca="1" si="51"/>
        <v>15650762509471.26</v>
      </c>
      <c r="J382" s="47">
        <f t="shared" ca="1" si="52"/>
        <v>2158581337800.2056</v>
      </c>
      <c r="K382" s="48">
        <f t="shared" ca="1" si="53"/>
        <v>7.2504854162321433</v>
      </c>
    </row>
    <row r="383" spans="2:11" ht="15" customHeight="1" x14ac:dyDescent="0.35">
      <c r="B383" s="5">
        <v>362</v>
      </c>
      <c r="C383" s="46">
        <f t="shared" ca="1" si="45"/>
        <v>2.4035503522190131</v>
      </c>
      <c r="D383" s="47">
        <f t="shared" ca="1" si="46"/>
        <v>1589677892.394052</v>
      </c>
      <c r="E383" s="47">
        <f t="shared" ca="1" si="47"/>
        <v>5645805394156.2285</v>
      </c>
      <c r="F383" s="47">
        <f t="shared" ca="1" si="48"/>
        <v>6043304761637.501</v>
      </c>
      <c r="G383" s="47">
        <f t="shared" ca="1" si="49"/>
        <v>81930185653923.484</v>
      </c>
      <c r="H383" s="47">
        <f t="shared" ca="1" si="50"/>
        <v>5645805394156.2285</v>
      </c>
      <c r="I383" s="47">
        <f t="shared" ca="1" si="51"/>
        <v>137242429421925.64</v>
      </c>
      <c r="J383" s="47">
        <f t="shared" ca="1" si="52"/>
        <v>1741767547509.1069</v>
      </c>
      <c r="K383" s="48">
        <f t="shared" ca="1" si="53"/>
        <v>78.794917047452941</v>
      </c>
    </row>
    <row r="384" spans="2:11" ht="15" customHeight="1" x14ac:dyDescent="0.35">
      <c r="B384" s="5">
        <v>363</v>
      </c>
      <c r="C384" s="46">
        <f t="shared" ca="1" si="45"/>
        <v>2.3636346890832205</v>
      </c>
      <c r="D384" s="47">
        <f t="shared" ca="1" si="46"/>
        <v>1306293033.7051125</v>
      </c>
      <c r="E384" s="47">
        <f t="shared" ca="1" si="47"/>
        <v>1999203546097.6511</v>
      </c>
      <c r="F384" s="47">
        <f t="shared" ca="1" si="48"/>
        <v>2851166703015.3828</v>
      </c>
      <c r="G384" s="47">
        <f t="shared" ca="1" si="49"/>
        <v>7420916477863.4746</v>
      </c>
      <c r="H384" s="47">
        <f t="shared" ca="1" si="50"/>
        <v>1999203546097.6511</v>
      </c>
      <c r="I384" s="47">
        <f t="shared" ca="1" si="51"/>
        <v>3605635067656.0161</v>
      </c>
      <c r="J384" s="47">
        <f t="shared" ca="1" si="52"/>
        <v>1549654598799.1965</v>
      </c>
      <c r="K384" s="48">
        <f t="shared" ca="1" si="53"/>
        <v>2.326734661033476</v>
      </c>
    </row>
    <row r="385" spans="2:11" ht="15" customHeight="1" x14ac:dyDescent="0.35">
      <c r="B385" s="5">
        <v>364</v>
      </c>
      <c r="C385" s="46">
        <f t="shared" ca="1" si="45"/>
        <v>3.2709610722326152</v>
      </c>
      <c r="D385" s="47">
        <f t="shared" ca="1" si="46"/>
        <v>6022142105.9050045</v>
      </c>
      <c r="E385" s="47">
        <f t="shared" ca="1" si="47"/>
        <v>11680644619091.688</v>
      </c>
      <c r="F385" s="47">
        <f t="shared" ca="1" si="48"/>
        <v>1713423600427.2354</v>
      </c>
      <c r="G385" s="47">
        <f t="shared" ca="1" si="49"/>
        <v>1155661514905.1211</v>
      </c>
      <c r="H385" s="47">
        <f t="shared" ca="1" si="50"/>
        <v>1713423600427.2354</v>
      </c>
      <c r="I385" s="47">
        <f t="shared" ca="1" si="51"/>
        <v>6191665920713.4551</v>
      </c>
      <c r="J385" s="47">
        <f t="shared" ca="1" si="52"/>
        <v>1022255894201.6906</v>
      </c>
      <c r="K385" s="48">
        <f t="shared" ca="1" si="53"/>
        <v>6.0568649746438563</v>
      </c>
    </row>
    <row r="386" spans="2:11" ht="15" customHeight="1" x14ac:dyDescent="0.35">
      <c r="B386" s="5">
        <v>365</v>
      </c>
      <c r="C386" s="46">
        <f t="shared" ca="1" si="45"/>
        <v>2.8608876809185944</v>
      </c>
      <c r="D386" s="47">
        <f t="shared" ca="1" si="46"/>
        <v>3333727195.799994</v>
      </c>
      <c r="E386" s="47">
        <f t="shared" ca="1" si="47"/>
        <v>14737711299585.049</v>
      </c>
      <c r="F386" s="47">
        <f t="shared" ca="1" si="48"/>
        <v>1022828678111.3961</v>
      </c>
      <c r="G386" s="47">
        <f t="shared" ca="1" si="49"/>
        <v>22836755072198.176</v>
      </c>
      <c r="H386" s="47">
        <f t="shared" ca="1" si="50"/>
        <v>22836755072198.176</v>
      </c>
      <c r="I386" s="47">
        <f t="shared" ca="1" si="51"/>
        <v>5845611593986.7109</v>
      </c>
      <c r="J386" s="47">
        <f t="shared" ca="1" si="52"/>
        <v>996256935720.99463</v>
      </c>
      <c r="K386" s="48">
        <f t="shared" ca="1" si="53"/>
        <v>5.8675743017600386</v>
      </c>
    </row>
    <row r="387" spans="2:11" ht="15" customHeight="1" x14ac:dyDescent="0.35">
      <c r="B387" s="5">
        <v>366</v>
      </c>
      <c r="C387" s="46">
        <f t="shared" ca="1" si="45"/>
        <v>3.1940257465934923</v>
      </c>
      <c r="D387" s="47">
        <f t="shared" ca="1" si="46"/>
        <v>5773226415.4965029</v>
      </c>
      <c r="E387" s="47">
        <f t="shared" ca="1" si="47"/>
        <v>13592136161896.609</v>
      </c>
      <c r="F387" s="47">
        <f t="shared" ca="1" si="48"/>
        <v>5216110764559.6484</v>
      </c>
      <c r="G387" s="47">
        <f t="shared" ca="1" si="49"/>
        <v>1842165993141.3774</v>
      </c>
      <c r="H387" s="47">
        <f t="shared" ca="1" si="50"/>
        <v>5216110764559.6484</v>
      </c>
      <c r="I387" s="47">
        <f t="shared" ca="1" si="51"/>
        <v>4140288333507.3066</v>
      </c>
      <c r="J387" s="47">
        <f t="shared" ca="1" si="52"/>
        <v>1693532378434.3682</v>
      </c>
      <c r="K387" s="48">
        <f t="shared" ca="1" si="53"/>
        <v>2.4447647923536651</v>
      </c>
    </row>
    <row r="388" spans="2:11" ht="15" customHeight="1" x14ac:dyDescent="0.35">
      <c r="B388" s="5">
        <v>367</v>
      </c>
      <c r="C388" s="46">
        <f t="shared" ca="1" si="45"/>
        <v>2.551211192994205</v>
      </c>
      <c r="D388" s="47">
        <f t="shared" ca="1" si="46"/>
        <v>1882014673.1089153</v>
      </c>
      <c r="E388" s="47">
        <f t="shared" ca="1" si="47"/>
        <v>7789315290797.3643</v>
      </c>
      <c r="F388" s="47">
        <f t="shared" ca="1" si="48"/>
        <v>1264224781430.9668</v>
      </c>
      <c r="G388" s="47">
        <f t="shared" ca="1" si="49"/>
        <v>4385491840287.2583</v>
      </c>
      <c r="H388" s="47">
        <f t="shared" ca="1" si="50"/>
        <v>4385491840287.2583</v>
      </c>
      <c r="I388" s="47">
        <f t="shared" ca="1" si="51"/>
        <v>1582461400566.325</v>
      </c>
      <c r="J388" s="47">
        <f t="shared" ca="1" si="52"/>
        <v>1115038487405.3379</v>
      </c>
      <c r="K388" s="48">
        <f t="shared" ca="1" si="53"/>
        <v>1.4191989051863731</v>
      </c>
    </row>
    <row r="389" spans="2:11" ht="15" customHeight="1" x14ac:dyDescent="0.35">
      <c r="B389" s="5">
        <v>368</v>
      </c>
      <c r="C389" s="46">
        <f t="shared" ca="1" si="45"/>
        <v>2.9665740253229096</v>
      </c>
      <c r="D389" s="47">
        <f t="shared" ca="1" si="46"/>
        <v>4760397331.9213066</v>
      </c>
      <c r="E389" s="47">
        <f t="shared" ca="1" si="47"/>
        <v>22068371390607.652</v>
      </c>
      <c r="F389" s="47">
        <f t="shared" ca="1" si="48"/>
        <v>13203878282632.775</v>
      </c>
      <c r="G389" s="47">
        <f t="shared" ca="1" si="49"/>
        <v>6340145848474.8301</v>
      </c>
      <c r="H389" s="47">
        <f t="shared" ca="1" si="50"/>
        <v>6340145848474.8301</v>
      </c>
      <c r="I389" s="47">
        <f t="shared" ca="1" si="51"/>
        <v>49163178691023.438</v>
      </c>
      <c r="J389" s="47">
        <f t="shared" ca="1" si="52"/>
        <v>1872119683200.7952</v>
      </c>
      <c r="K389" s="48">
        <f t="shared" ca="1" si="53"/>
        <v>26.260702845113144</v>
      </c>
    </row>
    <row r="390" spans="2:11" ht="15" customHeight="1" x14ac:dyDescent="0.35">
      <c r="B390" s="5">
        <v>369</v>
      </c>
      <c r="C390" s="46">
        <f t="shared" ca="1" si="45"/>
        <v>2.5388879932053809</v>
      </c>
      <c r="D390" s="47">
        <f t="shared" ca="1" si="46"/>
        <v>2339629469.2638736</v>
      </c>
      <c r="E390" s="47">
        <f t="shared" ca="1" si="47"/>
        <v>10121429918948.477</v>
      </c>
      <c r="F390" s="47">
        <f t="shared" ca="1" si="48"/>
        <v>3579900787289.5239</v>
      </c>
      <c r="G390" s="47">
        <f t="shared" ca="1" si="49"/>
        <v>13895272375724.01</v>
      </c>
      <c r="H390" s="47">
        <f t="shared" ca="1" si="50"/>
        <v>3579900787289.5239</v>
      </c>
      <c r="I390" s="47">
        <f t="shared" ca="1" si="51"/>
        <v>4957114291639.8848</v>
      </c>
      <c r="J390" s="47">
        <f t="shared" ca="1" si="52"/>
        <v>1521292158950.187</v>
      </c>
      <c r="K390" s="48">
        <f t="shared" ca="1" si="53"/>
        <v>3.2584893457024648</v>
      </c>
    </row>
    <row r="391" spans="2:11" ht="15" customHeight="1" x14ac:dyDescent="0.35">
      <c r="B391" s="5">
        <v>370</v>
      </c>
      <c r="C391" s="46">
        <f t="shared" ca="1" si="45"/>
        <v>3.6476577523804563</v>
      </c>
      <c r="D391" s="47">
        <f t="shared" ca="1" si="46"/>
        <v>12233513481.34635</v>
      </c>
      <c r="E391" s="47">
        <f t="shared" ca="1" si="47"/>
        <v>20446433957155.445</v>
      </c>
      <c r="F391" s="47">
        <f t="shared" ca="1" si="48"/>
        <v>1004797598513.572</v>
      </c>
      <c r="G391" s="47">
        <f t="shared" ca="1" si="49"/>
        <v>2870105523410.1885</v>
      </c>
      <c r="H391" s="47">
        <f t="shared" ca="1" si="50"/>
        <v>2870105523410.1885</v>
      </c>
      <c r="I391" s="47">
        <f t="shared" ca="1" si="51"/>
        <v>8681619547237.626</v>
      </c>
      <c r="J391" s="47">
        <f t="shared" ca="1" si="52"/>
        <v>664139273914.43689</v>
      </c>
      <c r="K391" s="48">
        <f t="shared" ca="1" si="53"/>
        <v>13.071986386331529</v>
      </c>
    </row>
    <row r="392" spans="2:11" ht="15" customHeight="1" x14ac:dyDescent="0.35">
      <c r="B392" s="5">
        <v>371</v>
      </c>
      <c r="C392" s="46">
        <f t="shared" ca="1" si="45"/>
        <v>2.1445506589674679</v>
      </c>
      <c r="D392" s="47">
        <f t="shared" ca="1" si="46"/>
        <v>765248015.83952963</v>
      </c>
      <c r="E392" s="47">
        <f t="shared" ca="1" si="47"/>
        <v>2204161045948.9883</v>
      </c>
      <c r="F392" s="47">
        <f t="shared" ca="1" si="48"/>
        <v>15299371546660.654</v>
      </c>
      <c r="G392" s="47">
        <f t="shared" ca="1" si="49"/>
        <v>55743483269392.18</v>
      </c>
      <c r="H392" s="47">
        <f t="shared" ca="1" si="50"/>
        <v>2204161045948.9883</v>
      </c>
      <c r="I392" s="47">
        <f t="shared" ca="1" si="51"/>
        <v>1250327960983.863</v>
      </c>
      <c r="J392" s="47">
        <f t="shared" ca="1" si="52"/>
        <v>1214612775421.2646</v>
      </c>
      <c r="K392" s="48">
        <f t="shared" ca="1" si="53"/>
        <v>1.0294045857950171</v>
      </c>
    </row>
    <row r="393" spans="2:11" ht="15" customHeight="1" x14ac:dyDescent="0.35">
      <c r="B393" s="5">
        <v>372</v>
      </c>
      <c r="C393" s="46">
        <f t="shared" ca="1" si="45"/>
        <v>3.0462916539663238</v>
      </c>
      <c r="D393" s="47">
        <f t="shared" ca="1" si="46"/>
        <v>5842700604.6425114</v>
      </c>
      <c r="E393" s="47">
        <f t="shared" ca="1" si="47"/>
        <v>31800028780506.277</v>
      </c>
      <c r="F393" s="47">
        <f t="shared" ca="1" si="48"/>
        <v>1161388673484.9573</v>
      </c>
      <c r="G393" s="47">
        <f t="shared" ca="1" si="49"/>
        <v>4807118638017.0313</v>
      </c>
      <c r="H393" s="47">
        <f t="shared" ca="1" si="50"/>
        <v>1161388673484.9573</v>
      </c>
      <c r="I393" s="47">
        <f t="shared" ca="1" si="51"/>
        <v>14666306993128.869</v>
      </c>
      <c r="J393" s="47">
        <f t="shared" ca="1" si="52"/>
        <v>1989517007617.2258</v>
      </c>
      <c r="K393" s="48">
        <f t="shared" ca="1" si="53"/>
        <v>7.3717927200301681</v>
      </c>
    </row>
    <row r="394" spans="2:11" ht="15" customHeight="1" x14ac:dyDescent="0.35">
      <c r="B394" s="5">
        <v>373</v>
      </c>
      <c r="C394" s="46">
        <f t="shared" ca="1" si="45"/>
        <v>2.5895227915827572</v>
      </c>
      <c r="D394" s="47">
        <f t="shared" ca="1" si="46"/>
        <v>2551068105.610518</v>
      </c>
      <c r="E394" s="47">
        <f t="shared" ca="1" si="47"/>
        <v>18891151543589.672</v>
      </c>
      <c r="F394" s="47">
        <f t="shared" ca="1" si="48"/>
        <v>4567348060076.2334</v>
      </c>
      <c r="G394" s="47">
        <f t="shared" ca="1" si="49"/>
        <v>4021503642428.1377</v>
      </c>
      <c r="H394" s="47">
        <f t="shared" ca="1" si="50"/>
        <v>4567348060076.2334</v>
      </c>
      <c r="I394" s="47">
        <f t="shared" ca="1" si="51"/>
        <v>60723294779156.469</v>
      </c>
      <c r="J394" s="47">
        <f t="shared" ca="1" si="52"/>
        <v>1229373717973.9429</v>
      </c>
      <c r="K394" s="48">
        <f t="shared" ca="1" si="53"/>
        <v>49.393682239466521</v>
      </c>
    </row>
    <row r="395" spans="2:11" ht="15" customHeight="1" x14ac:dyDescent="0.35">
      <c r="B395" s="5">
        <v>374</v>
      </c>
      <c r="C395" s="46">
        <f t="shared" ca="1" si="45"/>
        <v>2.9869808625620347</v>
      </c>
      <c r="D395" s="47">
        <f t="shared" ca="1" si="46"/>
        <v>5296965930.108304</v>
      </c>
      <c r="E395" s="47">
        <f t="shared" ca="1" si="47"/>
        <v>13642710183557.404</v>
      </c>
      <c r="F395" s="47">
        <f t="shared" ca="1" si="48"/>
        <v>18316070336367.148</v>
      </c>
      <c r="G395" s="47">
        <f t="shared" ca="1" si="49"/>
        <v>18822424377552.328</v>
      </c>
      <c r="H395" s="47">
        <f t="shared" ca="1" si="50"/>
        <v>18822424377552.328</v>
      </c>
      <c r="I395" s="47">
        <f t="shared" ca="1" si="51"/>
        <v>40870981591085.094</v>
      </c>
      <c r="J395" s="47">
        <f t="shared" ca="1" si="52"/>
        <v>1399221540860.7839</v>
      </c>
      <c r="K395" s="48">
        <f t="shared" ca="1" si="53"/>
        <v>29.209800162125696</v>
      </c>
    </row>
    <row r="396" spans="2:11" ht="15" customHeight="1" x14ac:dyDescent="0.35">
      <c r="B396" s="5">
        <v>375</v>
      </c>
      <c r="C396" s="46">
        <f t="shared" ca="1" si="45"/>
        <v>2.5871375914358952</v>
      </c>
      <c r="D396" s="47">
        <f t="shared" ca="1" si="46"/>
        <v>2201981036.0499091</v>
      </c>
      <c r="E396" s="47">
        <f t="shared" ca="1" si="47"/>
        <v>3746633723650.8379</v>
      </c>
      <c r="F396" s="47">
        <f t="shared" ca="1" si="48"/>
        <v>1841492030816.6233</v>
      </c>
      <c r="G396" s="47">
        <f t="shared" ca="1" si="49"/>
        <v>3359060293753.8237</v>
      </c>
      <c r="H396" s="47">
        <f t="shared" ca="1" si="50"/>
        <v>1841492030816.6233</v>
      </c>
      <c r="I396" s="47">
        <f t="shared" ca="1" si="51"/>
        <v>6313671353196.8643</v>
      </c>
      <c r="J396" s="47">
        <f t="shared" ca="1" si="52"/>
        <v>2528754937153.167</v>
      </c>
      <c r="K396" s="48">
        <f t="shared" ca="1" si="53"/>
        <v>2.4967509743370773</v>
      </c>
    </row>
    <row r="397" spans="2:11" ht="15" customHeight="1" x14ac:dyDescent="0.35">
      <c r="B397" s="5">
        <v>376</v>
      </c>
      <c r="C397" s="46">
        <f t="shared" ca="1" si="45"/>
        <v>2.6002199442835412</v>
      </c>
      <c r="D397" s="47">
        <f t="shared" ca="1" si="46"/>
        <v>2331157747.1716142</v>
      </c>
      <c r="E397" s="47">
        <f t="shared" ca="1" si="47"/>
        <v>11316093053009.643</v>
      </c>
      <c r="F397" s="47">
        <f t="shared" ca="1" si="48"/>
        <v>14570190360142.453</v>
      </c>
      <c r="G397" s="47">
        <f t="shared" ca="1" si="49"/>
        <v>3352810519582.0454</v>
      </c>
      <c r="H397" s="47">
        <f t="shared" ca="1" si="50"/>
        <v>14570190360142.453</v>
      </c>
      <c r="I397" s="47">
        <f t="shared" ca="1" si="51"/>
        <v>5505620749392.5176</v>
      </c>
      <c r="J397" s="47">
        <f t="shared" ca="1" si="52"/>
        <v>1227766850618.6123</v>
      </c>
      <c r="K397" s="48">
        <f t="shared" ca="1" si="53"/>
        <v>4.4842559046275783</v>
      </c>
    </row>
    <row r="398" spans="2:11" ht="15" customHeight="1" x14ac:dyDescent="0.35">
      <c r="B398" s="5">
        <v>377</v>
      </c>
      <c r="C398" s="46">
        <f t="shared" ca="1" si="45"/>
        <v>2.9372049184680935</v>
      </c>
      <c r="D398" s="47">
        <f t="shared" ca="1" si="46"/>
        <v>4238019966.1128564</v>
      </c>
      <c r="E398" s="47">
        <f t="shared" ca="1" si="47"/>
        <v>23753710642819.754</v>
      </c>
      <c r="F398" s="47">
        <f t="shared" ca="1" si="48"/>
        <v>1641374351949.741</v>
      </c>
      <c r="G398" s="47">
        <f t="shared" ca="1" si="49"/>
        <v>7368707291267.8545</v>
      </c>
      <c r="H398" s="47">
        <f t="shared" ca="1" si="50"/>
        <v>23753710642819.754</v>
      </c>
      <c r="I398" s="47">
        <f t="shared" ca="1" si="51"/>
        <v>24682495251094.371</v>
      </c>
      <c r="J398" s="47">
        <f t="shared" ca="1" si="52"/>
        <v>1583849185492.2488</v>
      </c>
      <c r="K398" s="48">
        <f t="shared" ca="1" si="53"/>
        <v>15.583867123954249</v>
      </c>
    </row>
    <row r="399" spans="2:11" ht="15" customHeight="1" x14ac:dyDescent="0.35">
      <c r="B399" s="5">
        <v>378</v>
      </c>
      <c r="C399" s="46">
        <f t="shared" ca="1" si="45"/>
        <v>3.261075176215436</v>
      </c>
      <c r="D399" s="47">
        <f t="shared" ca="1" si="46"/>
        <v>6788844967.0332146</v>
      </c>
      <c r="E399" s="47">
        <f t="shared" ca="1" si="47"/>
        <v>45028070597839.094</v>
      </c>
      <c r="F399" s="47">
        <f t="shared" ca="1" si="48"/>
        <v>3266788363250.9458</v>
      </c>
      <c r="G399" s="47">
        <f t="shared" ca="1" si="49"/>
        <v>4605752612577.9082</v>
      </c>
      <c r="H399" s="47">
        <f t="shared" ca="1" si="50"/>
        <v>4605752612577.9082</v>
      </c>
      <c r="I399" s="47">
        <f t="shared" ca="1" si="51"/>
        <v>16166365362712.467</v>
      </c>
      <c r="J399" s="47">
        <f t="shared" ca="1" si="52"/>
        <v>775178777527.86243</v>
      </c>
      <c r="K399" s="48">
        <f t="shared" ca="1" si="53"/>
        <v>20.855015425304771</v>
      </c>
    </row>
    <row r="400" spans="2:11" ht="15" customHeight="1" x14ac:dyDescent="0.35">
      <c r="B400" s="5">
        <v>379</v>
      </c>
      <c r="C400" s="46">
        <f t="shared" ca="1" si="45"/>
        <v>3.4900979895507964</v>
      </c>
      <c r="D400" s="47">
        <f t="shared" ca="1" si="46"/>
        <v>8672277130.5956554</v>
      </c>
      <c r="E400" s="47">
        <f t="shared" ca="1" si="47"/>
        <v>8258661144099.6377</v>
      </c>
      <c r="F400" s="47">
        <f t="shared" ca="1" si="48"/>
        <v>3446547980429.5361</v>
      </c>
      <c r="G400" s="47">
        <f t="shared" ca="1" si="49"/>
        <v>2756976144137.4106</v>
      </c>
      <c r="H400" s="47">
        <f t="shared" ca="1" si="50"/>
        <v>8258661144099.6377</v>
      </c>
      <c r="I400" s="47">
        <f t="shared" ca="1" si="51"/>
        <v>7684638484622.2451</v>
      </c>
      <c r="J400" s="47">
        <f t="shared" ca="1" si="52"/>
        <v>1621853111518.2654</v>
      </c>
      <c r="K400" s="48">
        <f t="shared" ca="1" si="53"/>
        <v>4.738184013118441</v>
      </c>
    </row>
    <row r="401" spans="2:11" ht="15" customHeight="1" x14ac:dyDescent="0.35">
      <c r="B401" s="5">
        <v>380</v>
      </c>
      <c r="C401" s="46">
        <f t="shared" ca="1" si="45"/>
        <v>3.5564071279659917</v>
      </c>
      <c r="D401" s="47">
        <f t="shared" ca="1" si="46"/>
        <v>13443568645.192951</v>
      </c>
      <c r="E401" s="47">
        <f t="shared" ca="1" si="47"/>
        <v>26295721137642.098</v>
      </c>
      <c r="F401" s="47">
        <f t="shared" ca="1" si="48"/>
        <v>943770891313.83594</v>
      </c>
      <c r="G401" s="47">
        <f t="shared" ca="1" si="49"/>
        <v>7411839536921.6494</v>
      </c>
      <c r="H401" s="47">
        <f t="shared" ca="1" si="50"/>
        <v>943770891313.83594</v>
      </c>
      <c r="I401" s="47">
        <f t="shared" ca="1" si="51"/>
        <v>25053671839971.813</v>
      </c>
      <c r="J401" s="47">
        <f t="shared" ca="1" si="52"/>
        <v>1764475822223.53</v>
      </c>
      <c r="K401" s="48">
        <f t="shared" ca="1" si="53"/>
        <v>14.198931787231894</v>
      </c>
    </row>
    <row r="402" spans="2:11" ht="15" customHeight="1" x14ac:dyDescent="0.35">
      <c r="B402" s="5">
        <v>381</v>
      </c>
      <c r="C402" s="46">
        <f t="shared" ca="1" si="45"/>
        <v>3.2749389088541259</v>
      </c>
      <c r="D402" s="47">
        <f t="shared" ca="1" si="46"/>
        <v>8592322333.0139084</v>
      </c>
      <c r="E402" s="47">
        <f t="shared" ca="1" si="47"/>
        <v>14006885773857.35</v>
      </c>
      <c r="F402" s="47">
        <f t="shared" ca="1" si="48"/>
        <v>2663189931176.542</v>
      </c>
      <c r="G402" s="47">
        <f t="shared" ca="1" si="49"/>
        <v>1337064567082.5349</v>
      </c>
      <c r="H402" s="47">
        <f t="shared" ca="1" si="50"/>
        <v>2663189931176.542</v>
      </c>
      <c r="I402" s="47">
        <f t="shared" ca="1" si="51"/>
        <v>3088164942489.7866</v>
      </c>
      <c r="J402" s="47">
        <f t="shared" ca="1" si="52"/>
        <v>2137188992867.5713</v>
      </c>
      <c r="K402" s="48">
        <f t="shared" ca="1" si="53"/>
        <v>1.444965771766513</v>
      </c>
    </row>
    <row r="403" spans="2:11" ht="15" customHeight="1" x14ac:dyDescent="0.35">
      <c r="B403" s="5">
        <v>382</v>
      </c>
      <c r="C403" s="46">
        <f t="shared" ca="1" si="45"/>
        <v>3.8198182476232074</v>
      </c>
      <c r="D403" s="47">
        <f t="shared" ca="1" si="46"/>
        <v>19456109395.022316</v>
      </c>
      <c r="E403" s="47">
        <f t="shared" ca="1" si="47"/>
        <v>49820371481896.063</v>
      </c>
      <c r="F403" s="47">
        <f t="shared" ca="1" si="48"/>
        <v>1672100342607.1274</v>
      </c>
      <c r="G403" s="47">
        <f t="shared" ca="1" si="49"/>
        <v>641709723985.99854</v>
      </c>
      <c r="H403" s="47">
        <f t="shared" ca="1" si="50"/>
        <v>1672100342607.1274</v>
      </c>
      <c r="I403" s="47">
        <f t="shared" ca="1" si="51"/>
        <v>1370970143902.2366</v>
      </c>
      <c r="J403" s="47">
        <f t="shared" ca="1" si="52"/>
        <v>826219622071.76355</v>
      </c>
      <c r="K403" s="48">
        <f t="shared" ca="1" si="53"/>
        <v>1.6593289571899774</v>
      </c>
    </row>
    <row r="404" spans="2:11" ht="15" customHeight="1" x14ac:dyDescent="0.35">
      <c r="B404" s="5">
        <v>383</v>
      </c>
      <c r="C404" s="46">
        <f t="shared" ca="1" si="45"/>
        <v>3.3083252918344757</v>
      </c>
      <c r="D404" s="47">
        <f t="shared" ca="1" si="46"/>
        <v>6821023655.896594</v>
      </c>
      <c r="E404" s="47">
        <f t="shared" ca="1" si="47"/>
        <v>20100375207926.25</v>
      </c>
      <c r="F404" s="47">
        <f t="shared" ca="1" si="48"/>
        <v>6208242887488.5322</v>
      </c>
      <c r="G404" s="47">
        <f t="shared" ca="1" si="49"/>
        <v>3553408641894.0269</v>
      </c>
      <c r="H404" s="47">
        <f t="shared" ca="1" si="50"/>
        <v>3553408641894.0269</v>
      </c>
      <c r="I404" s="47">
        <f t="shared" ca="1" si="51"/>
        <v>8903672157479.8203</v>
      </c>
      <c r="J404" s="47">
        <f t="shared" ca="1" si="52"/>
        <v>1892220180418.4023</v>
      </c>
      <c r="K404" s="48">
        <f t="shared" ca="1" si="53"/>
        <v>4.7054102105131683</v>
      </c>
    </row>
    <row r="405" spans="2:11" ht="15" customHeight="1" x14ac:dyDescent="0.35">
      <c r="B405" s="5">
        <v>384</v>
      </c>
      <c r="C405" s="46">
        <f t="shared" ca="1" si="45"/>
        <v>2.8311995274477102</v>
      </c>
      <c r="D405" s="47">
        <f t="shared" ca="1" si="46"/>
        <v>2992075094.3509369</v>
      </c>
      <c r="E405" s="47">
        <f t="shared" ca="1" si="47"/>
        <v>25211211352745.859</v>
      </c>
      <c r="F405" s="47">
        <f t="shared" ca="1" si="48"/>
        <v>3333887609225.6533</v>
      </c>
      <c r="G405" s="47">
        <f t="shared" ca="1" si="49"/>
        <v>106831973090405.2</v>
      </c>
      <c r="H405" s="47">
        <f t="shared" ca="1" si="50"/>
        <v>3333887609225.6533</v>
      </c>
      <c r="I405" s="47">
        <f t="shared" ca="1" si="51"/>
        <v>38298863482577.32</v>
      </c>
      <c r="J405" s="47">
        <f t="shared" ca="1" si="52"/>
        <v>783516847648.26819</v>
      </c>
      <c r="K405" s="48">
        <f t="shared" ca="1" si="53"/>
        <v>48.880714687286755</v>
      </c>
    </row>
    <row r="406" spans="2:11" ht="15" customHeight="1" x14ac:dyDescent="0.35">
      <c r="B406" s="5">
        <v>385</v>
      </c>
      <c r="C406" s="46">
        <f t="shared" ref="C406:C469" ca="1" si="54">MEDIAN(1.8,NORMINV(RAND(),$C$7,$D$7),4.5)</f>
        <v>3.212837572381666</v>
      </c>
      <c r="D406" s="47">
        <f t="shared" ref="D406:D469" ca="1" si="55">($C$8+RAND()*($D$8-$C$8))*C406^5</f>
        <v>6027799365.8978586</v>
      </c>
      <c r="E406" s="47">
        <f t="shared" ref="E406:E469" ca="1" si="56">D406*($C$10+RAND()*($D$10-$C$10))*EXP(NORMINV(RAND(),$C$9,$D$9))*($C$11+RAND()*($D$11-$C$11))</f>
        <v>14632890471316.457</v>
      </c>
      <c r="F406" s="47">
        <f t="shared" ref="F406:F469" ca="1" si="57">EXP(NORMINV(RAND(),$C$12,$D$12))*EXP(NORMINV(RAND(),$C$13,$D$13))</f>
        <v>3968652064975.3232</v>
      </c>
      <c r="G406" s="47">
        <f t="shared" ref="G406:G469" ca="1" si="58">EXP(NORMINV(RAND(),$C$14,$D$14))*($C$15+RAND()*($D$15-$C$15))*EXP(NORMINV(RAND(),$C$16,$D$16))/1000000*31536000</f>
        <v>22040084714205.633</v>
      </c>
      <c r="H406" s="47">
        <f t="shared" ref="H406:H469" ca="1" si="59">CHOOSE(RANDBETWEEN(1,3),E406,F406,G406)</f>
        <v>3968652064975.3232</v>
      </c>
      <c r="I406" s="47">
        <f t="shared" ref="I406:I469" ca="1" si="60">EXP(NORMINV(RAND(),$C$14,$D$14))*($C$15+RAND()*($D$15-$C$15))*60</f>
        <v>3156572434675.603</v>
      </c>
      <c r="J406" s="47">
        <f t="shared" ref="J406:J469" ca="1" si="61">($C$17+RAND()*($D$17-$C$17))*($C$18+RAND()*($D$18-$C$18))</f>
        <v>1688311416901.5271</v>
      </c>
      <c r="K406" s="48">
        <f t="shared" ref="K406:K469" ca="1" si="62">I406/J406</f>
        <v>1.869662434948584</v>
      </c>
    </row>
    <row r="407" spans="2:11" ht="15" customHeight="1" x14ac:dyDescent="0.35">
      <c r="B407" s="5">
        <v>386</v>
      </c>
      <c r="C407" s="46">
        <f t="shared" ca="1" si="54"/>
        <v>3.0004630789246098</v>
      </c>
      <c r="D407" s="47">
        <f t="shared" ca="1" si="55"/>
        <v>4278869310.6985817</v>
      </c>
      <c r="E407" s="47">
        <f t="shared" ca="1" si="56"/>
        <v>13471860594884.23</v>
      </c>
      <c r="F407" s="47">
        <f t="shared" ca="1" si="57"/>
        <v>4409606974503.7051</v>
      </c>
      <c r="G407" s="47">
        <f t="shared" ca="1" si="58"/>
        <v>12122949502318.271</v>
      </c>
      <c r="H407" s="47">
        <f t="shared" ca="1" si="59"/>
        <v>12122949502318.271</v>
      </c>
      <c r="I407" s="47">
        <f t="shared" ca="1" si="60"/>
        <v>12044411727952.904</v>
      </c>
      <c r="J407" s="47">
        <f t="shared" ca="1" si="61"/>
        <v>887748499359.172</v>
      </c>
      <c r="K407" s="48">
        <f t="shared" ca="1" si="62"/>
        <v>13.567369290567379</v>
      </c>
    </row>
    <row r="408" spans="2:11" ht="15" customHeight="1" x14ac:dyDescent="0.35">
      <c r="B408" s="5">
        <v>387</v>
      </c>
      <c r="C408" s="46">
        <f t="shared" ca="1" si="54"/>
        <v>3.8882749494849591</v>
      </c>
      <c r="D408" s="47">
        <f t="shared" ca="1" si="55"/>
        <v>19767336319.893066</v>
      </c>
      <c r="E408" s="47">
        <f t="shared" ca="1" si="56"/>
        <v>40402133716587.688</v>
      </c>
      <c r="F408" s="47">
        <f t="shared" ca="1" si="57"/>
        <v>2399716738795.3853</v>
      </c>
      <c r="G408" s="47">
        <f t="shared" ca="1" si="58"/>
        <v>3352838040565.5166</v>
      </c>
      <c r="H408" s="47">
        <f t="shared" ca="1" si="59"/>
        <v>3352838040565.5166</v>
      </c>
      <c r="I408" s="47">
        <f t="shared" ca="1" si="60"/>
        <v>4184192751860.5254</v>
      </c>
      <c r="J408" s="47">
        <f t="shared" ca="1" si="61"/>
        <v>1509890003166.0603</v>
      </c>
      <c r="K408" s="48">
        <f t="shared" ca="1" si="62"/>
        <v>2.7711904463813717</v>
      </c>
    </row>
    <row r="409" spans="2:11" ht="15" customHeight="1" x14ac:dyDescent="0.35">
      <c r="B409" s="5">
        <v>388</v>
      </c>
      <c r="C409" s="46">
        <f t="shared" ca="1" si="54"/>
        <v>3.5140358689586897</v>
      </c>
      <c r="D409" s="47">
        <f t="shared" ca="1" si="55"/>
        <v>10097177377.329969</v>
      </c>
      <c r="E409" s="47">
        <f t="shared" ca="1" si="56"/>
        <v>11513960958173.1</v>
      </c>
      <c r="F409" s="47">
        <f t="shared" ca="1" si="57"/>
        <v>2140162530471.5017</v>
      </c>
      <c r="G409" s="47">
        <f t="shared" ca="1" si="58"/>
        <v>2873539729955.7998</v>
      </c>
      <c r="H409" s="47">
        <f t="shared" ca="1" si="59"/>
        <v>2140162530471.5017</v>
      </c>
      <c r="I409" s="47">
        <f t="shared" ca="1" si="60"/>
        <v>2862603388143.5571</v>
      </c>
      <c r="J409" s="47">
        <f t="shared" ca="1" si="61"/>
        <v>1913713763831.9993</v>
      </c>
      <c r="K409" s="48">
        <f t="shared" ca="1" si="62"/>
        <v>1.4958367558644254</v>
      </c>
    </row>
    <row r="410" spans="2:11" ht="15" customHeight="1" x14ac:dyDescent="0.35">
      <c r="B410" s="5">
        <v>389</v>
      </c>
      <c r="C410" s="46">
        <f t="shared" ca="1" si="54"/>
        <v>2.288267493707278</v>
      </c>
      <c r="D410" s="47">
        <f t="shared" ca="1" si="55"/>
        <v>1497681074.4412987</v>
      </c>
      <c r="E410" s="47">
        <f t="shared" ca="1" si="56"/>
        <v>3920439484424.9092</v>
      </c>
      <c r="F410" s="47">
        <f t="shared" ca="1" si="57"/>
        <v>2765105238620.1602</v>
      </c>
      <c r="G410" s="47">
        <f t="shared" ca="1" si="58"/>
        <v>1231020361209.3167</v>
      </c>
      <c r="H410" s="47">
        <f t="shared" ca="1" si="59"/>
        <v>1231020361209.3167</v>
      </c>
      <c r="I410" s="47">
        <f t="shared" ca="1" si="60"/>
        <v>9827323743319.6992</v>
      </c>
      <c r="J410" s="47">
        <f t="shared" ca="1" si="61"/>
        <v>1366967281713.5322</v>
      </c>
      <c r="K410" s="48">
        <f t="shared" ca="1" si="62"/>
        <v>7.1891433502350326</v>
      </c>
    </row>
    <row r="411" spans="2:11" ht="15" customHeight="1" x14ac:dyDescent="0.35">
      <c r="B411" s="5">
        <v>390</v>
      </c>
      <c r="C411" s="46">
        <f t="shared" ca="1" si="54"/>
        <v>3.0537207873760197</v>
      </c>
      <c r="D411" s="47">
        <f t="shared" ca="1" si="55"/>
        <v>6123437362.9693089</v>
      </c>
      <c r="E411" s="47">
        <f t="shared" ca="1" si="56"/>
        <v>21824312550119.184</v>
      </c>
      <c r="F411" s="47">
        <f t="shared" ca="1" si="57"/>
        <v>4947686475641.918</v>
      </c>
      <c r="G411" s="47">
        <f t="shared" ca="1" si="58"/>
        <v>2188126237720.8696</v>
      </c>
      <c r="H411" s="47">
        <f t="shared" ca="1" si="59"/>
        <v>21824312550119.184</v>
      </c>
      <c r="I411" s="47">
        <f t="shared" ca="1" si="60"/>
        <v>2201739714135.4258</v>
      </c>
      <c r="J411" s="47">
        <f t="shared" ca="1" si="61"/>
        <v>1418648770904.3418</v>
      </c>
      <c r="K411" s="48">
        <f t="shared" ca="1" si="62"/>
        <v>1.551997759622975</v>
      </c>
    </row>
    <row r="412" spans="2:11" ht="15" customHeight="1" x14ac:dyDescent="0.35">
      <c r="B412" s="5">
        <v>391</v>
      </c>
      <c r="C412" s="46">
        <f t="shared" ca="1" si="54"/>
        <v>3.0061134394167013</v>
      </c>
      <c r="D412" s="47">
        <f t="shared" ca="1" si="55"/>
        <v>4710801664.7798595</v>
      </c>
      <c r="E412" s="47">
        <f t="shared" ca="1" si="56"/>
        <v>13730915000262.682</v>
      </c>
      <c r="F412" s="47">
        <f t="shared" ca="1" si="57"/>
        <v>2450177746456.8052</v>
      </c>
      <c r="G412" s="47">
        <f t="shared" ca="1" si="58"/>
        <v>21909625009773.219</v>
      </c>
      <c r="H412" s="47">
        <f t="shared" ca="1" si="59"/>
        <v>2450177746456.8052</v>
      </c>
      <c r="I412" s="47">
        <f t="shared" ca="1" si="60"/>
        <v>15781108581165.117</v>
      </c>
      <c r="J412" s="47">
        <f t="shared" ca="1" si="61"/>
        <v>1722411367037.2842</v>
      </c>
      <c r="K412" s="48">
        <f t="shared" ca="1" si="62"/>
        <v>9.162218087488684</v>
      </c>
    </row>
    <row r="413" spans="2:11" ht="15" customHeight="1" x14ac:dyDescent="0.35">
      <c r="B413" s="5">
        <v>392</v>
      </c>
      <c r="C413" s="46">
        <f t="shared" ca="1" si="54"/>
        <v>2.3959956609612965</v>
      </c>
      <c r="D413" s="47">
        <f t="shared" ca="1" si="55"/>
        <v>1314131095.3041527</v>
      </c>
      <c r="E413" s="47">
        <f t="shared" ca="1" si="56"/>
        <v>948444256975.01709</v>
      </c>
      <c r="F413" s="47">
        <f t="shared" ca="1" si="57"/>
        <v>3007865475733.8726</v>
      </c>
      <c r="G413" s="47">
        <f t="shared" ca="1" si="58"/>
        <v>7305360036002.5566</v>
      </c>
      <c r="H413" s="47">
        <f t="shared" ca="1" si="59"/>
        <v>7305360036002.5566</v>
      </c>
      <c r="I413" s="47">
        <f t="shared" ca="1" si="60"/>
        <v>828990988296.03784</v>
      </c>
      <c r="J413" s="47">
        <f t="shared" ca="1" si="61"/>
        <v>1341402343869.5889</v>
      </c>
      <c r="K413" s="48">
        <f t="shared" ca="1" si="62"/>
        <v>0.61800323525946688</v>
      </c>
    </row>
    <row r="414" spans="2:11" ht="15" customHeight="1" x14ac:dyDescent="0.35">
      <c r="B414" s="5">
        <v>393</v>
      </c>
      <c r="C414" s="46">
        <f t="shared" ca="1" si="54"/>
        <v>2.5864414352205767</v>
      </c>
      <c r="D414" s="47">
        <f t="shared" ca="1" si="55"/>
        <v>1999366005.1656313</v>
      </c>
      <c r="E414" s="47">
        <f t="shared" ca="1" si="56"/>
        <v>3602092185607.3569</v>
      </c>
      <c r="F414" s="47">
        <f t="shared" ca="1" si="57"/>
        <v>1084714415755.0839</v>
      </c>
      <c r="G414" s="47">
        <f t="shared" ca="1" si="58"/>
        <v>2025835018025.7712</v>
      </c>
      <c r="H414" s="47">
        <f t="shared" ca="1" si="59"/>
        <v>1084714415755.0839</v>
      </c>
      <c r="I414" s="47">
        <f t="shared" ca="1" si="60"/>
        <v>177593632431945.19</v>
      </c>
      <c r="J414" s="47">
        <f t="shared" ca="1" si="61"/>
        <v>1048714040542.5997</v>
      </c>
      <c r="K414" s="48">
        <f t="shared" ca="1" si="62"/>
        <v>169.34419256946256</v>
      </c>
    </row>
    <row r="415" spans="2:11" ht="15" customHeight="1" x14ac:dyDescent="0.35">
      <c r="B415" s="5">
        <v>394</v>
      </c>
      <c r="C415" s="46">
        <f t="shared" ca="1" si="54"/>
        <v>3.2086134018136736</v>
      </c>
      <c r="D415" s="47">
        <f t="shared" ca="1" si="55"/>
        <v>5931880493.4499464</v>
      </c>
      <c r="E415" s="47">
        <f t="shared" ca="1" si="56"/>
        <v>9896206684969.5938</v>
      </c>
      <c r="F415" s="47">
        <f t="shared" ca="1" si="57"/>
        <v>5346762058220.2334</v>
      </c>
      <c r="G415" s="47">
        <f t="shared" ca="1" si="58"/>
        <v>1989472923085.2998</v>
      </c>
      <c r="H415" s="47">
        <f t="shared" ca="1" si="59"/>
        <v>9896206684969.5938</v>
      </c>
      <c r="I415" s="47">
        <f t="shared" ca="1" si="60"/>
        <v>26250114424431.063</v>
      </c>
      <c r="J415" s="47">
        <f t="shared" ca="1" si="61"/>
        <v>2639962237086.5317</v>
      </c>
      <c r="K415" s="48">
        <f t="shared" ca="1" si="62"/>
        <v>9.9433673920278292</v>
      </c>
    </row>
    <row r="416" spans="2:11" ht="15" customHeight="1" x14ac:dyDescent="0.35">
      <c r="B416" s="5">
        <v>395</v>
      </c>
      <c r="C416" s="46">
        <f t="shared" ca="1" si="54"/>
        <v>2.9977202217417127</v>
      </c>
      <c r="D416" s="47">
        <f t="shared" ca="1" si="55"/>
        <v>3878205330.179276</v>
      </c>
      <c r="E416" s="47">
        <f t="shared" ca="1" si="56"/>
        <v>10013381401276.051</v>
      </c>
      <c r="F416" s="47">
        <f t="shared" ca="1" si="57"/>
        <v>6565585003276.2334</v>
      </c>
      <c r="G416" s="47">
        <f t="shared" ca="1" si="58"/>
        <v>508221171021.00708</v>
      </c>
      <c r="H416" s="47">
        <f t="shared" ca="1" si="59"/>
        <v>10013381401276.051</v>
      </c>
      <c r="I416" s="47">
        <f t="shared" ca="1" si="60"/>
        <v>4465005931952.041</v>
      </c>
      <c r="J416" s="47">
        <f t="shared" ca="1" si="61"/>
        <v>973652074632.89453</v>
      </c>
      <c r="K416" s="48">
        <f t="shared" ca="1" si="62"/>
        <v>4.5858331207639296</v>
      </c>
    </row>
    <row r="417" spans="2:11" ht="15" customHeight="1" x14ac:dyDescent="0.35">
      <c r="B417" s="5">
        <v>396</v>
      </c>
      <c r="C417" s="46">
        <f t="shared" ca="1" si="54"/>
        <v>3.2771556656548935</v>
      </c>
      <c r="D417" s="47">
        <f t="shared" ca="1" si="55"/>
        <v>7092319849.7635927</v>
      </c>
      <c r="E417" s="47">
        <f t="shared" ca="1" si="56"/>
        <v>21827805445447.313</v>
      </c>
      <c r="F417" s="47">
        <f t="shared" ca="1" si="57"/>
        <v>525489672812.77661</v>
      </c>
      <c r="G417" s="47">
        <f t="shared" ca="1" si="58"/>
        <v>12192711418875.887</v>
      </c>
      <c r="H417" s="47">
        <f t="shared" ca="1" si="59"/>
        <v>525489672812.77661</v>
      </c>
      <c r="I417" s="47">
        <f t="shared" ca="1" si="60"/>
        <v>16388523884974.068</v>
      </c>
      <c r="J417" s="47">
        <f t="shared" ca="1" si="61"/>
        <v>687186256119.11121</v>
      </c>
      <c r="K417" s="48">
        <f t="shared" ca="1" si="62"/>
        <v>23.848736407401919</v>
      </c>
    </row>
    <row r="418" spans="2:11" ht="15" customHeight="1" x14ac:dyDescent="0.35">
      <c r="B418" s="5">
        <v>397</v>
      </c>
      <c r="C418" s="46">
        <f t="shared" ca="1" si="54"/>
        <v>2.3767827145229021</v>
      </c>
      <c r="D418" s="47">
        <f t="shared" ca="1" si="55"/>
        <v>1433001293.8692291</v>
      </c>
      <c r="E418" s="47">
        <f t="shared" ca="1" si="56"/>
        <v>3258786908680.479</v>
      </c>
      <c r="F418" s="47">
        <f t="shared" ca="1" si="57"/>
        <v>4253622220524.3315</v>
      </c>
      <c r="G418" s="47">
        <f t="shared" ca="1" si="58"/>
        <v>421422528918.08118</v>
      </c>
      <c r="H418" s="47">
        <f t="shared" ca="1" si="59"/>
        <v>421422528918.08118</v>
      </c>
      <c r="I418" s="47">
        <f t="shared" ca="1" si="60"/>
        <v>37558917277937.547</v>
      </c>
      <c r="J418" s="47">
        <f t="shared" ca="1" si="61"/>
        <v>2234755652531.4351</v>
      </c>
      <c r="K418" s="48">
        <f t="shared" ca="1" si="62"/>
        <v>16.806722128834274</v>
      </c>
    </row>
    <row r="419" spans="2:11" ht="15" customHeight="1" x14ac:dyDescent="0.35">
      <c r="B419" s="5">
        <v>398</v>
      </c>
      <c r="C419" s="46">
        <f t="shared" ca="1" si="54"/>
        <v>4.4874974284926887</v>
      </c>
      <c r="D419" s="47">
        <f t="shared" ca="1" si="55"/>
        <v>42849508744.869972</v>
      </c>
      <c r="E419" s="47">
        <f t="shared" ca="1" si="56"/>
        <v>204750793475965.88</v>
      </c>
      <c r="F419" s="47">
        <f t="shared" ca="1" si="57"/>
        <v>15109480623194.33</v>
      </c>
      <c r="G419" s="47">
        <f t="shared" ca="1" si="58"/>
        <v>827478278616.203</v>
      </c>
      <c r="H419" s="47">
        <f t="shared" ca="1" si="59"/>
        <v>15109480623194.33</v>
      </c>
      <c r="I419" s="47">
        <f t="shared" ca="1" si="60"/>
        <v>1059355086361.7262</v>
      </c>
      <c r="J419" s="47">
        <f t="shared" ca="1" si="61"/>
        <v>1216150522665.4644</v>
      </c>
      <c r="K419" s="48">
        <f t="shared" ca="1" si="62"/>
        <v>0.87107234393972377</v>
      </c>
    </row>
    <row r="420" spans="2:11" ht="15" customHeight="1" x14ac:dyDescent="0.35">
      <c r="B420" s="5">
        <v>399</v>
      </c>
      <c r="C420" s="46">
        <f t="shared" ca="1" si="54"/>
        <v>2.5210338398230543</v>
      </c>
      <c r="D420" s="47">
        <f t="shared" ca="1" si="55"/>
        <v>2229735546.7896399</v>
      </c>
      <c r="E420" s="47">
        <f t="shared" ca="1" si="56"/>
        <v>2202443653228.9185</v>
      </c>
      <c r="F420" s="47">
        <f t="shared" ca="1" si="57"/>
        <v>1103679004483.208</v>
      </c>
      <c r="G420" s="47">
        <f t="shared" ca="1" si="58"/>
        <v>15951246073109.566</v>
      </c>
      <c r="H420" s="47">
        <f t="shared" ca="1" si="59"/>
        <v>1103679004483.208</v>
      </c>
      <c r="I420" s="47">
        <f t="shared" ca="1" si="60"/>
        <v>9553891231319.1621</v>
      </c>
      <c r="J420" s="47">
        <f t="shared" ca="1" si="61"/>
        <v>2424386105330.2515</v>
      </c>
      <c r="K420" s="48">
        <f t="shared" ca="1" si="62"/>
        <v>3.9407465709830594</v>
      </c>
    </row>
    <row r="421" spans="2:11" ht="15" customHeight="1" x14ac:dyDescent="0.35">
      <c r="B421" s="5">
        <v>400</v>
      </c>
      <c r="C421" s="46">
        <f t="shared" ca="1" si="54"/>
        <v>2.6001680229895165</v>
      </c>
      <c r="D421" s="47">
        <f t="shared" ca="1" si="55"/>
        <v>2109363882.9006169</v>
      </c>
      <c r="E421" s="47">
        <f t="shared" ca="1" si="56"/>
        <v>7315370885714.8555</v>
      </c>
      <c r="F421" s="47">
        <f t="shared" ca="1" si="57"/>
        <v>2996381978528.2896</v>
      </c>
      <c r="G421" s="47">
        <f t="shared" ca="1" si="58"/>
        <v>13019811251423.869</v>
      </c>
      <c r="H421" s="47">
        <f t="shared" ca="1" si="59"/>
        <v>13019811251423.869</v>
      </c>
      <c r="I421" s="47">
        <f t="shared" ca="1" si="60"/>
        <v>33632650412216.652</v>
      </c>
      <c r="J421" s="47">
        <f t="shared" ca="1" si="61"/>
        <v>1300718403042.3325</v>
      </c>
      <c r="K421" s="48">
        <f t="shared" ca="1" si="62"/>
        <v>25.856980522110796</v>
      </c>
    </row>
    <row r="422" spans="2:11" ht="15" customHeight="1" x14ac:dyDescent="0.35">
      <c r="B422" s="5">
        <v>401</v>
      </c>
      <c r="C422" s="46">
        <f t="shared" ca="1" si="54"/>
        <v>2.3384283442470322</v>
      </c>
      <c r="D422" s="47">
        <f t="shared" ca="1" si="55"/>
        <v>1614546701.4878192</v>
      </c>
      <c r="E422" s="47">
        <f t="shared" ca="1" si="56"/>
        <v>6779524435767.3643</v>
      </c>
      <c r="F422" s="47">
        <f t="shared" ca="1" si="57"/>
        <v>902810849593.50879</v>
      </c>
      <c r="G422" s="47">
        <f t="shared" ca="1" si="58"/>
        <v>5141182396761.5303</v>
      </c>
      <c r="H422" s="47">
        <f t="shared" ca="1" si="59"/>
        <v>902810849593.50879</v>
      </c>
      <c r="I422" s="47">
        <f t="shared" ca="1" si="60"/>
        <v>59955091062755.258</v>
      </c>
      <c r="J422" s="47">
        <f t="shared" ca="1" si="61"/>
        <v>1820219844367.8997</v>
      </c>
      <c r="K422" s="48">
        <f t="shared" ca="1" si="62"/>
        <v>32.93837898112556</v>
      </c>
    </row>
    <row r="423" spans="2:11" ht="15" customHeight="1" x14ac:dyDescent="0.35">
      <c r="B423" s="5">
        <v>402</v>
      </c>
      <c r="C423" s="46">
        <f t="shared" ca="1" si="54"/>
        <v>3.0055047389275682</v>
      </c>
      <c r="D423" s="47">
        <f t="shared" ca="1" si="55"/>
        <v>5813379913.9405708</v>
      </c>
      <c r="E423" s="47">
        <f t="shared" ca="1" si="56"/>
        <v>8076573050890.3525</v>
      </c>
      <c r="F423" s="47">
        <f t="shared" ca="1" si="57"/>
        <v>9335677810642.7773</v>
      </c>
      <c r="G423" s="47">
        <f t="shared" ca="1" si="58"/>
        <v>1424996457905.0471</v>
      </c>
      <c r="H423" s="47">
        <f t="shared" ca="1" si="59"/>
        <v>9335677810642.7773</v>
      </c>
      <c r="I423" s="47">
        <f t="shared" ca="1" si="60"/>
        <v>48522206083470.594</v>
      </c>
      <c r="J423" s="47">
        <f t="shared" ca="1" si="61"/>
        <v>2013095055244.1179</v>
      </c>
      <c r="K423" s="48">
        <f t="shared" ca="1" si="62"/>
        <v>24.103286110146723</v>
      </c>
    </row>
    <row r="424" spans="2:11" ht="15" customHeight="1" x14ac:dyDescent="0.35">
      <c r="B424" s="5">
        <v>403</v>
      </c>
      <c r="C424" s="46">
        <f t="shared" ca="1" si="54"/>
        <v>3.3021825938604916</v>
      </c>
      <c r="D424" s="47">
        <f t="shared" ca="1" si="55"/>
        <v>7646733180.7503424</v>
      </c>
      <c r="E424" s="47">
        <f t="shared" ca="1" si="56"/>
        <v>21237579242920.582</v>
      </c>
      <c r="F424" s="47">
        <f t="shared" ca="1" si="57"/>
        <v>2981068456511.6011</v>
      </c>
      <c r="G424" s="47">
        <f t="shared" ca="1" si="58"/>
        <v>3489319798732.9844</v>
      </c>
      <c r="H424" s="47">
        <f t="shared" ca="1" si="59"/>
        <v>3489319798732.9844</v>
      </c>
      <c r="I424" s="47">
        <f t="shared" ca="1" si="60"/>
        <v>8375566067816.0684</v>
      </c>
      <c r="J424" s="47">
        <f t="shared" ca="1" si="61"/>
        <v>1025496478149.6914</v>
      </c>
      <c r="K424" s="48">
        <f t="shared" ca="1" si="62"/>
        <v>8.1673279687202296</v>
      </c>
    </row>
    <row r="425" spans="2:11" ht="15" customHeight="1" x14ac:dyDescent="0.35">
      <c r="B425" s="5">
        <v>404</v>
      </c>
      <c r="C425" s="46">
        <f t="shared" ca="1" si="54"/>
        <v>3.7618435122254006</v>
      </c>
      <c r="D425" s="47">
        <f t="shared" ca="1" si="55"/>
        <v>16348864081.874987</v>
      </c>
      <c r="E425" s="47">
        <f t="shared" ca="1" si="56"/>
        <v>36348397878547.992</v>
      </c>
      <c r="F425" s="47">
        <f t="shared" ca="1" si="57"/>
        <v>3205051252469.7183</v>
      </c>
      <c r="G425" s="47">
        <f t="shared" ca="1" si="58"/>
        <v>3822017343322.7979</v>
      </c>
      <c r="H425" s="47">
        <f t="shared" ca="1" si="59"/>
        <v>36348397878547.992</v>
      </c>
      <c r="I425" s="47">
        <f t="shared" ca="1" si="60"/>
        <v>22278917703495.063</v>
      </c>
      <c r="J425" s="47">
        <f t="shared" ca="1" si="61"/>
        <v>1440559770478.3479</v>
      </c>
      <c r="K425" s="48">
        <f t="shared" ca="1" si="62"/>
        <v>15.465458747398722</v>
      </c>
    </row>
    <row r="426" spans="2:11" ht="15" customHeight="1" x14ac:dyDescent="0.35">
      <c r="B426" s="5">
        <v>405</v>
      </c>
      <c r="C426" s="46">
        <f t="shared" ca="1" si="54"/>
        <v>3.2380995691787118</v>
      </c>
      <c r="D426" s="47">
        <f t="shared" ca="1" si="55"/>
        <v>5993442293.7567577</v>
      </c>
      <c r="E426" s="47">
        <f t="shared" ca="1" si="56"/>
        <v>18479997327546.973</v>
      </c>
      <c r="F426" s="47">
        <f t="shared" ca="1" si="57"/>
        <v>891756389149.40039</v>
      </c>
      <c r="G426" s="47">
        <f t="shared" ca="1" si="58"/>
        <v>3964789684428.2695</v>
      </c>
      <c r="H426" s="47">
        <f t="shared" ca="1" si="59"/>
        <v>891756389149.40039</v>
      </c>
      <c r="I426" s="47">
        <f t="shared" ca="1" si="60"/>
        <v>13229034787094.545</v>
      </c>
      <c r="J426" s="47">
        <f t="shared" ca="1" si="61"/>
        <v>991204564459.25476</v>
      </c>
      <c r="K426" s="48">
        <f t="shared" ca="1" si="62"/>
        <v>13.346422384880318</v>
      </c>
    </row>
    <row r="427" spans="2:11" ht="15" customHeight="1" x14ac:dyDescent="0.35">
      <c r="B427" s="5">
        <v>406</v>
      </c>
      <c r="C427" s="46">
        <f t="shared" ca="1" si="54"/>
        <v>3.0002980171818354</v>
      </c>
      <c r="D427" s="47">
        <f t="shared" ca="1" si="55"/>
        <v>4458850637.3536921</v>
      </c>
      <c r="E427" s="47">
        <f t="shared" ca="1" si="56"/>
        <v>26615537675336.797</v>
      </c>
      <c r="F427" s="47">
        <f t="shared" ca="1" si="57"/>
        <v>3505135390841.1572</v>
      </c>
      <c r="G427" s="47">
        <f t="shared" ca="1" si="58"/>
        <v>2033018830144.8311</v>
      </c>
      <c r="H427" s="47">
        <f t="shared" ca="1" si="59"/>
        <v>2033018830144.8311</v>
      </c>
      <c r="I427" s="47">
        <f t="shared" ca="1" si="60"/>
        <v>9711420055336.832</v>
      </c>
      <c r="J427" s="47">
        <f t="shared" ca="1" si="61"/>
        <v>1969054297549.6431</v>
      </c>
      <c r="K427" s="48">
        <f t="shared" ca="1" si="62"/>
        <v>4.9320224777051846</v>
      </c>
    </row>
    <row r="428" spans="2:11" ht="15" customHeight="1" x14ac:dyDescent="0.35">
      <c r="B428" s="5">
        <v>407</v>
      </c>
      <c r="C428" s="46">
        <f t="shared" ca="1" si="54"/>
        <v>3.4095785153582598</v>
      </c>
      <c r="D428" s="47">
        <f t="shared" ca="1" si="55"/>
        <v>8364739407.1107349</v>
      </c>
      <c r="E428" s="47">
        <f t="shared" ca="1" si="56"/>
        <v>17426834414895.457</v>
      </c>
      <c r="F428" s="47">
        <f t="shared" ca="1" si="57"/>
        <v>4145682433843.02</v>
      </c>
      <c r="G428" s="47">
        <f t="shared" ca="1" si="58"/>
        <v>6195726871408.1865</v>
      </c>
      <c r="H428" s="47">
        <f t="shared" ca="1" si="59"/>
        <v>6195726871408.1865</v>
      </c>
      <c r="I428" s="47">
        <f t="shared" ca="1" si="60"/>
        <v>17461619124660.682</v>
      </c>
      <c r="J428" s="47">
        <f t="shared" ca="1" si="61"/>
        <v>689038268352.32898</v>
      </c>
      <c r="K428" s="48">
        <f t="shared" ca="1" si="62"/>
        <v>25.342016440416273</v>
      </c>
    </row>
    <row r="429" spans="2:11" ht="15" customHeight="1" x14ac:dyDescent="0.35">
      <c r="B429" s="5">
        <v>408</v>
      </c>
      <c r="C429" s="46">
        <f t="shared" ca="1" si="54"/>
        <v>3.5138681047190881</v>
      </c>
      <c r="D429" s="47">
        <f t="shared" ca="1" si="55"/>
        <v>10154197283.94578</v>
      </c>
      <c r="E429" s="47">
        <f t="shared" ca="1" si="56"/>
        <v>21680296820170.59</v>
      </c>
      <c r="F429" s="47">
        <f t="shared" ca="1" si="57"/>
        <v>3722542779235.71</v>
      </c>
      <c r="G429" s="47">
        <f t="shared" ca="1" si="58"/>
        <v>9275010881123.2715</v>
      </c>
      <c r="H429" s="47">
        <f t="shared" ca="1" si="59"/>
        <v>9275010881123.2715</v>
      </c>
      <c r="I429" s="47">
        <f t="shared" ca="1" si="60"/>
        <v>5824655169061.6074</v>
      </c>
      <c r="J429" s="47">
        <f t="shared" ca="1" si="61"/>
        <v>531163785366.79932</v>
      </c>
      <c r="K429" s="48">
        <f t="shared" ca="1" si="62"/>
        <v>10.965836394586551</v>
      </c>
    </row>
    <row r="430" spans="2:11" ht="15" customHeight="1" x14ac:dyDescent="0.35">
      <c r="B430" s="5">
        <v>409</v>
      </c>
      <c r="C430" s="46">
        <f t="shared" ca="1" si="54"/>
        <v>3.112039341120393</v>
      </c>
      <c r="D430" s="47">
        <f t="shared" ca="1" si="55"/>
        <v>4945254388.2714939</v>
      </c>
      <c r="E430" s="47">
        <f t="shared" ca="1" si="56"/>
        <v>21400752574636.418</v>
      </c>
      <c r="F430" s="47">
        <f t="shared" ca="1" si="57"/>
        <v>12359005225661.865</v>
      </c>
      <c r="G430" s="47">
        <f t="shared" ca="1" si="58"/>
        <v>72963706174196.766</v>
      </c>
      <c r="H430" s="47">
        <f t="shared" ca="1" si="59"/>
        <v>21400752574636.418</v>
      </c>
      <c r="I430" s="47">
        <f t="shared" ca="1" si="60"/>
        <v>2545134088373.1846</v>
      </c>
      <c r="J430" s="47">
        <f t="shared" ca="1" si="61"/>
        <v>1716085371623.3994</v>
      </c>
      <c r="K430" s="48">
        <f t="shared" ca="1" si="62"/>
        <v>1.4831045881857925</v>
      </c>
    </row>
    <row r="431" spans="2:11" ht="15" customHeight="1" x14ac:dyDescent="0.35">
      <c r="B431" s="5">
        <v>410</v>
      </c>
      <c r="C431" s="46">
        <f t="shared" ca="1" si="54"/>
        <v>3.2982963620027665</v>
      </c>
      <c r="D431" s="47">
        <f t="shared" ca="1" si="55"/>
        <v>7665651498.546752</v>
      </c>
      <c r="E431" s="47">
        <f t="shared" ca="1" si="56"/>
        <v>22618893645144.906</v>
      </c>
      <c r="F431" s="47">
        <f t="shared" ca="1" si="57"/>
        <v>13080662936427</v>
      </c>
      <c r="G431" s="47">
        <f t="shared" ca="1" si="58"/>
        <v>2657023659870.1797</v>
      </c>
      <c r="H431" s="47">
        <f t="shared" ca="1" si="59"/>
        <v>2657023659870.1797</v>
      </c>
      <c r="I431" s="47">
        <f t="shared" ca="1" si="60"/>
        <v>6762073145435.9551</v>
      </c>
      <c r="J431" s="47">
        <f t="shared" ca="1" si="61"/>
        <v>1374625891338.78</v>
      </c>
      <c r="K431" s="48">
        <f t="shared" ca="1" si="62"/>
        <v>4.9192097923095393</v>
      </c>
    </row>
    <row r="432" spans="2:11" ht="15" customHeight="1" x14ac:dyDescent="0.35">
      <c r="B432" s="5">
        <v>411</v>
      </c>
      <c r="C432" s="46">
        <f t="shared" ca="1" si="54"/>
        <v>2.5362786870201122</v>
      </c>
      <c r="D432" s="47">
        <f t="shared" ca="1" si="55"/>
        <v>1842973767.6099167</v>
      </c>
      <c r="E432" s="47">
        <f t="shared" ca="1" si="56"/>
        <v>7787006097103.9746</v>
      </c>
      <c r="F432" s="47">
        <f t="shared" ca="1" si="57"/>
        <v>5883000333123.8516</v>
      </c>
      <c r="G432" s="47">
        <f t="shared" ca="1" si="58"/>
        <v>3095072462346.562</v>
      </c>
      <c r="H432" s="47">
        <f t="shared" ca="1" si="59"/>
        <v>3095072462346.562</v>
      </c>
      <c r="I432" s="47">
        <f t="shared" ca="1" si="60"/>
        <v>1362523611069.5962</v>
      </c>
      <c r="J432" s="47">
        <f t="shared" ca="1" si="61"/>
        <v>2181054925026.4434</v>
      </c>
      <c r="K432" s="48">
        <f t="shared" ca="1" si="62"/>
        <v>0.62470852771077134</v>
      </c>
    </row>
    <row r="433" spans="2:11" ht="15" customHeight="1" x14ac:dyDescent="0.35">
      <c r="B433" s="5">
        <v>412</v>
      </c>
      <c r="C433" s="46">
        <f t="shared" ca="1" si="54"/>
        <v>2.8137501020063072</v>
      </c>
      <c r="D433" s="47">
        <f t="shared" ca="1" si="55"/>
        <v>3217984916.869987</v>
      </c>
      <c r="E433" s="47">
        <f t="shared" ca="1" si="56"/>
        <v>5369170681948.4531</v>
      </c>
      <c r="F433" s="47">
        <f t="shared" ca="1" si="57"/>
        <v>1932314778372.74</v>
      </c>
      <c r="G433" s="47">
        <f t="shared" ca="1" si="58"/>
        <v>5540443448537.0498</v>
      </c>
      <c r="H433" s="47">
        <f t="shared" ca="1" si="59"/>
        <v>1932314778372.74</v>
      </c>
      <c r="I433" s="47">
        <f t="shared" ca="1" si="60"/>
        <v>10002099675998.57</v>
      </c>
      <c r="J433" s="47">
        <f t="shared" ca="1" si="61"/>
        <v>1147789826347.1064</v>
      </c>
      <c r="K433" s="48">
        <f t="shared" ca="1" si="62"/>
        <v>8.7142257636406395</v>
      </c>
    </row>
    <row r="434" spans="2:11" ht="15" customHeight="1" x14ac:dyDescent="0.35">
      <c r="B434" s="5">
        <v>413</v>
      </c>
      <c r="C434" s="46">
        <f t="shared" ca="1" si="54"/>
        <v>3.01365828440579</v>
      </c>
      <c r="D434" s="47">
        <f t="shared" ca="1" si="55"/>
        <v>5507063719.1100616</v>
      </c>
      <c r="E434" s="47">
        <f t="shared" ca="1" si="56"/>
        <v>28486742984134</v>
      </c>
      <c r="F434" s="47">
        <f t="shared" ca="1" si="57"/>
        <v>6519475820127.7813</v>
      </c>
      <c r="G434" s="47">
        <f t="shared" ca="1" si="58"/>
        <v>30991002250813.035</v>
      </c>
      <c r="H434" s="47">
        <f t="shared" ca="1" si="59"/>
        <v>30991002250813.035</v>
      </c>
      <c r="I434" s="47">
        <f t="shared" ca="1" si="60"/>
        <v>1831330695369.8115</v>
      </c>
      <c r="J434" s="47">
        <f t="shared" ca="1" si="61"/>
        <v>1926976571044.448</v>
      </c>
      <c r="K434" s="48">
        <f t="shared" ca="1" si="62"/>
        <v>0.95036479575732724</v>
      </c>
    </row>
    <row r="435" spans="2:11" ht="15" customHeight="1" x14ac:dyDescent="0.35">
      <c r="B435" s="5">
        <v>414</v>
      </c>
      <c r="C435" s="46">
        <f t="shared" ca="1" si="54"/>
        <v>3.1711023055948928</v>
      </c>
      <c r="D435" s="47">
        <f t="shared" ca="1" si="55"/>
        <v>5930306996.7249517</v>
      </c>
      <c r="E435" s="47">
        <f t="shared" ca="1" si="56"/>
        <v>13499967436877.066</v>
      </c>
      <c r="F435" s="47">
        <f t="shared" ca="1" si="57"/>
        <v>4378276717100.0337</v>
      </c>
      <c r="G435" s="47">
        <f t="shared" ca="1" si="58"/>
        <v>46059065667441.602</v>
      </c>
      <c r="H435" s="47">
        <f t="shared" ca="1" si="59"/>
        <v>46059065667441.602</v>
      </c>
      <c r="I435" s="47">
        <f t="shared" ca="1" si="60"/>
        <v>25280021454898.715</v>
      </c>
      <c r="J435" s="47">
        <f t="shared" ca="1" si="61"/>
        <v>898444838024.4231</v>
      </c>
      <c r="K435" s="48">
        <f t="shared" ca="1" si="62"/>
        <v>28.137533196235594</v>
      </c>
    </row>
    <row r="436" spans="2:11" ht="15" customHeight="1" x14ac:dyDescent="0.35">
      <c r="B436" s="5">
        <v>415</v>
      </c>
      <c r="C436" s="46">
        <f t="shared" ca="1" si="54"/>
        <v>2.4857540425614957</v>
      </c>
      <c r="D436" s="47">
        <f t="shared" ca="1" si="55"/>
        <v>2012911859.5619018</v>
      </c>
      <c r="E436" s="47">
        <f t="shared" ca="1" si="56"/>
        <v>15677694071854.631</v>
      </c>
      <c r="F436" s="47">
        <f t="shared" ca="1" si="57"/>
        <v>4432495220105.4531</v>
      </c>
      <c r="G436" s="47">
        <f t="shared" ca="1" si="58"/>
        <v>5554969440532.6172</v>
      </c>
      <c r="H436" s="47">
        <f t="shared" ca="1" si="59"/>
        <v>15677694071854.631</v>
      </c>
      <c r="I436" s="47">
        <f t="shared" ca="1" si="60"/>
        <v>16542298405013.475</v>
      </c>
      <c r="J436" s="47">
        <f t="shared" ca="1" si="61"/>
        <v>873742161445.69714</v>
      </c>
      <c r="K436" s="48">
        <f t="shared" ca="1" si="62"/>
        <v>18.93270021174499</v>
      </c>
    </row>
    <row r="437" spans="2:11" ht="15" customHeight="1" x14ac:dyDescent="0.35">
      <c r="B437" s="5">
        <v>416</v>
      </c>
      <c r="C437" s="46">
        <f t="shared" ca="1" si="54"/>
        <v>2.8679315700468448</v>
      </c>
      <c r="D437" s="47">
        <f t="shared" ca="1" si="55"/>
        <v>4361414654.5751944</v>
      </c>
      <c r="E437" s="47">
        <f t="shared" ca="1" si="56"/>
        <v>37773387446366.125</v>
      </c>
      <c r="F437" s="47">
        <f t="shared" ca="1" si="57"/>
        <v>39325267020520.25</v>
      </c>
      <c r="G437" s="47">
        <f t="shared" ca="1" si="58"/>
        <v>8916966142010.0059</v>
      </c>
      <c r="H437" s="47">
        <f t="shared" ca="1" si="59"/>
        <v>8916966142010.0059</v>
      </c>
      <c r="I437" s="47">
        <f t="shared" ca="1" si="60"/>
        <v>743575257305.38489</v>
      </c>
      <c r="J437" s="47">
        <f t="shared" ca="1" si="61"/>
        <v>877888370999.15283</v>
      </c>
      <c r="K437" s="48">
        <f t="shared" ca="1" si="62"/>
        <v>0.84700433662095109</v>
      </c>
    </row>
    <row r="438" spans="2:11" ht="15" customHeight="1" x14ac:dyDescent="0.35">
      <c r="B438" s="5">
        <v>417</v>
      </c>
      <c r="C438" s="46">
        <f t="shared" ca="1" si="54"/>
        <v>2.4409137258512841</v>
      </c>
      <c r="D438" s="47">
        <f t="shared" ca="1" si="55"/>
        <v>1470981669.0736697</v>
      </c>
      <c r="E438" s="47">
        <f t="shared" ca="1" si="56"/>
        <v>3364995169748.6445</v>
      </c>
      <c r="F438" s="47">
        <f t="shared" ca="1" si="57"/>
        <v>51850657135026.188</v>
      </c>
      <c r="G438" s="47">
        <f t="shared" ca="1" si="58"/>
        <v>335407901214.90057</v>
      </c>
      <c r="H438" s="47">
        <f t="shared" ca="1" si="59"/>
        <v>51850657135026.188</v>
      </c>
      <c r="I438" s="47">
        <f t="shared" ca="1" si="60"/>
        <v>13626145311749.984</v>
      </c>
      <c r="J438" s="47">
        <f t="shared" ca="1" si="61"/>
        <v>798005648523.59436</v>
      </c>
      <c r="K438" s="48">
        <f t="shared" ca="1" si="62"/>
        <v>17.075249200253129</v>
      </c>
    </row>
    <row r="439" spans="2:11" ht="15" customHeight="1" x14ac:dyDescent="0.35">
      <c r="B439" s="5">
        <v>418</v>
      </c>
      <c r="C439" s="46">
        <f t="shared" ca="1" si="54"/>
        <v>2.5055770373327872</v>
      </c>
      <c r="D439" s="47">
        <f t="shared" ca="1" si="55"/>
        <v>1873295778.9383037</v>
      </c>
      <c r="E439" s="47">
        <f t="shared" ca="1" si="56"/>
        <v>3587803332534.4146</v>
      </c>
      <c r="F439" s="47">
        <f t="shared" ca="1" si="57"/>
        <v>2132999033077.0896</v>
      </c>
      <c r="G439" s="47">
        <f t="shared" ca="1" si="58"/>
        <v>7059239209050.6025</v>
      </c>
      <c r="H439" s="47">
        <f t="shared" ca="1" si="59"/>
        <v>3587803332534.4146</v>
      </c>
      <c r="I439" s="47">
        <f t="shared" ca="1" si="60"/>
        <v>340452984738.79376</v>
      </c>
      <c r="J439" s="47">
        <f t="shared" ca="1" si="61"/>
        <v>1856604942407.8596</v>
      </c>
      <c r="K439" s="48">
        <f t="shared" ca="1" si="62"/>
        <v>0.18337395154041497</v>
      </c>
    </row>
    <row r="440" spans="2:11" ht="15" customHeight="1" x14ac:dyDescent="0.35">
      <c r="B440" s="5">
        <v>419</v>
      </c>
      <c r="C440" s="46">
        <f t="shared" ca="1" si="54"/>
        <v>3.4724811606738548</v>
      </c>
      <c r="D440" s="47">
        <f t="shared" ca="1" si="55"/>
        <v>9355163484.9382362</v>
      </c>
      <c r="E440" s="47">
        <f t="shared" ca="1" si="56"/>
        <v>55308053635120.109</v>
      </c>
      <c r="F440" s="47">
        <f t="shared" ca="1" si="57"/>
        <v>24914043819867.258</v>
      </c>
      <c r="G440" s="47">
        <f t="shared" ca="1" si="58"/>
        <v>808499784665.74255</v>
      </c>
      <c r="H440" s="47">
        <f t="shared" ca="1" si="59"/>
        <v>24914043819867.258</v>
      </c>
      <c r="I440" s="47">
        <f t="shared" ca="1" si="60"/>
        <v>2850034904544.9775</v>
      </c>
      <c r="J440" s="47">
        <f t="shared" ca="1" si="61"/>
        <v>1635351038022.9426</v>
      </c>
      <c r="K440" s="48">
        <f t="shared" ca="1" si="62"/>
        <v>1.7427664386910635</v>
      </c>
    </row>
    <row r="441" spans="2:11" ht="15" customHeight="1" x14ac:dyDescent="0.35">
      <c r="B441" s="5">
        <v>420</v>
      </c>
      <c r="C441" s="46">
        <f t="shared" ca="1" si="54"/>
        <v>3.5914651958440906</v>
      </c>
      <c r="D441" s="47">
        <f t="shared" ca="1" si="55"/>
        <v>13276231976.370535</v>
      </c>
      <c r="E441" s="47">
        <f t="shared" ca="1" si="56"/>
        <v>80357575018483.438</v>
      </c>
      <c r="F441" s="47">
        <f t="shared" ca="1" si="57"/>
        <v>2416881998219.334</v>
      </c>
      <c r="G441" s="47">
        <f t="shared" ca="1" si="58"/>
        <v>4160046894746.7056</v>
      </c>
      <c r="H441" s="47">
        <f t="shared" ca="1" si="59"/>
        <v>4160046894746.7056</v>
      </c>
      <c r="I441" s="47">
        <f t="shared" ca="1" si="60"/>
        <v>561540035163720.69</v>
      </c>
      <c r="J441" s="47">
        <f t="shared" ca="1" si="61"/>
        <v>1000892570980.7148</v>
      </c>
      <c r="K441" s="48">
        <f t="shared" ca="1" si="62"/>
        <v>561.03926779424603</v>
      </c>
    </row>
    <row r="442" spans="2:11" ht="15" customHeight="1" x14ac:dyDescent="0.35">
      <c r="B442" s="5">
        <v>421</v>
      </c>
      <c r="C442" s="46">
        <f t="shared" ca="1" si="54"/>
        <v>3.0995221083391997</v>
      </c>
      <c r="D442" s="47">
        <f t="shared" ca="1" si="55"/>
        <v>5232861923.412077</v>
      </c>
      <c r="E442" s="47">
        <f t="shared" ca="1" si="56"/>
        <v>21828467012851.441</v>
      </c>
      <c r="F442" s="47">
        <f t="shared" ca="1" si="57"/>
        <v>7798091220454.4482</v>
      </c>
      <c r="G442" s="47">
        <f t="shared" ca="1" si="58"/>
        <v>9486677290150.1348</v>
      </c>
      <c r="H442" s="47">
        <f t="shared" ca="1" si="59"/>
        <v>21828467012851.441</v>
      </c>
      <c r="I442" s="47">
        <f t="shared" ca="1" si="60"/>
        <v>6544593234621.9258</v>
      </c>
      <c r="J442" s="47">
        <f t="shared" ca="1" si="61"/>
        <v>946122828933.4657</v>
      </c>
      <c r="K442" s="48">
        <f t="shared" ca="1" si="62"/>
        <v>6.9172765252894681</v>
      </c>
    </row>
    <row r="443" spans="2:11" ht="15" customHeight="1" x14ac:dyDescent="0.35">
      <c r="B443" s="5">
        <v>422</v>
      </c>
      <c r="C443" s="46">
        <f t="shared" ca="1" si="54"/>
        <v>3.9414214606155991</v>
      </c>
      <c r="D443" s="47">
        <f t="shared" ca="1" si="55"/>
        <v>22356924678.164104</v>
      </c>
      <c r="E443" s="47">
        <f t="shared" ca="1" si="56"/>
        <v>91982083943191.5</v>
      </c>
      <c r="F443" s="47">
        <f t="shared" ca="1" si="57"/>
        <v>3010491599676.9927</v>
      </c>
      <c r="G443" s="47">
        <f t="shared" ca="1" si="58"/>
        <v>10562773604409.424</v>
      </c>
      <c r="H443" s="47">
        <f t="shared" ca="1" si="59"/>
        <v>10562773604409.424</v>
      </c>
      <c r="I443" s="47">
        <f t="shared" ca="1" si="60"/>
        <v>1108302478267.2639</v>
      </c>
      <c r="J443" s="47">
        <f t="shared" ca="1" si="61"/>
        <v>1935383395905.7434</v>
      </c>
      <c r="K443" s="48">
        <f t="shared" ca="1" si="62"/>
        <v>0.57265267471646752</v>
      </c>
    </row>
    <row r="444" spans="2:11" ht="15" customHeight="1" x14ac:dyDescent="0.35">
      <c r="B444" s="5">
        <v>423</v>
      </c>
      <c r="C444" s="46">
        <f t="shared" ca="1" si="54"/>
        <v>3.2177559158863902</v>
      </c>
      <c r="D444" s="47">
        <f t="shared" ca="1" si="55"/>
        <v>6303149042.7856617</v>
      </c>
      <c r="E444" s="47">
        <f t="shared" ca="1" si="56"/>
        <v>35708535834685.18</v>
      </c>
      <c r="F444" s="47">
        <f t="shared" ca="1" si="57"/>
        <v>982384406507.22302</v>
      </c>
      <c r="G444" s="47">
        <f t="shared" ca="1" si="58"/>
        <v>7605753160104.2422</v>
      </c>
      <c r="H444" s="47">
        <f t="shared" ca="1" si="59"/>
        <v>35708535834685.18</v>
      </c>
      <c r="I444" s="47">
        <f t="shared" ca="1" si="60"/>
        <v>59086442269668.656</v>
      </c>
      <c r="J444" s="47">
        <f t="shared" ca="1" si="61"/>
        <v>1369890983595.5422</v>
      </c>
      <c r="K444" s="48">
        <f t="shared" ca="1" si="62"/>
        <v>43.132222182078266</v>
      </c>
    </row>
    <row r="445" spans="2:11" ht="15" customHeight="1" x14ac:dyDescent="0.35">
      <c r="B445" s="5">
        <v>424</v>
      </c>
      <c r="C445" s="46">
        <f t="shared" ca="1" si="54"/>
        <v>2.627905084659071</v>
      </c>
      <c r="D445" s="47">
        <f t="shared" ca="1" si="55"/>
        <v>2090100940.9292834</v>
      </c>
      <c r="E445" s="47">
        <f t="shared" ca="1" si="56"/>
        <v>17906592733146.301</v>
      </c>
      <c r="F445" s="47">
        <f t="shared" ca="1" si="57"/>
        <v>3415861838866.1885</v>
      </c>
      <c r="G445" s="47">
        <f t="shared" ca="1" si="58"/>
        <v>481335347414.99811</v>
      </c>
      <c r="H445" s="47">
        <f t="shared" ca="1" si="59"/>
        <v>481335347414.99811</v>
      </c>
      <c r="I445" s="47">
        <f t="shared" ca="1" si="60"/>
        <v>44438281363659.633</v>
      </c>
      <c r="J445" s="47">
        <f t="shared" ca="1" si="61"/>
        <v>1111569473333.3186</v>
      </c>
      <c r="K445" s="48">
        <f t="shared" ca="1" si="62"/>
        <v>39.977961278839686</v>
      </c>
    </row>
    <row r="446" spans="2:11" ht="15" customHeight="1" x14ac:dyDescent="0.35">
      <c r="B446" s="5">
        <v>425</v>
      </c>
      <c r="C446" s="46">
        <f t="shared" ca="1" si="54"/>
        <v>3.0720109937497795</v>
      </c>
      <c r="D446" s="47">
        <f t="shared" ca="1" si="55"/>
        <v>5331477931.6368189</v>
      </c>
      <c r="E446" s="47">
        <f t="shared" ca="1" si="56"/>
        <v>27905812047047.363</v>
      </c>
      <c r="F446" s="47">
        <f t="shared" ca="1" si="57"/>
        <v>3487986892566.1196</v>
      </c>
      <c r="G446" s="47">
        <f t="shared" ca="1" si="58"/>
        <v>1864028827572.1743</v>
      </c>
      <c r="H446" s="47">
        <f t="shared" ca="1" si="59"/>
        <v>1864028827572.1743</v>
      </c>
      <c r="I446" s="47">
        <f t="shared" ca="1" si="60"/>
        <v>4019342401018.8813</v>
      </c>
      <c r="J446" s="47">
        <f t="shared" ca="1" si="61"/>
        <v>1343353461245.8962</v>
      </c>
      <c r="K446" s="48">
        <f t="shared" ca="1" si="62"/>
        <v>2.9920214723615133</v>
      </c>
    </row>
    <row r="447" spans="2:11" ht="15" customHeight="1" x14ac:dyDescent="0.35">
      <c r="B447" s="5">
        <v>426</v>
      </c>
      <c r="C447" s="46">
        <f t="shared" ca="1" si="54"/>
        <v>2.9172557749429129</v>
      </c>
      <c r="D447" s="47">
        <f t="shared" ca="1" si="55"/>
        <v>3900639384.7880454</v>
      </c>
      <c r="E447" s="47">
        <f t="shared" ca="1" si="56"/>
        <v>54645230737821.359</v>
      </c>
      <c r="F447" s="47">
        <f t="shared" ca="1" si="57"/>
        <v>1859448482246.1946</v>
      </c>
      <c r="G447" s="47">
        <f t="shared" ca="1" si="58"/>
        <v>2780589145852.5259</v>
      </c>
      <c r="H447" s="47">
        <f t="shared" ca="1" si="59"/>
        <v>1859448482246.1946</v>
      </c>
      <c r="I447" s="47">
        <f t="shared" ca="1" si="60"/>
        <v>1403077481528.9814</v>
      </c>
      <c r="J447" s="47">
        <f t="shared" ca="1" si="61"/>
        <v>2440489337384.2437</v>
      </c>
      <c r="K447" s="48">
        <f t="shared" ca="1" si="62"/>
        <v>0.57491645631724941</v>
      </c>
    </row>
    <row r="448" spans="2:11" ht="15" customHeight="1" x14ac:dyDescent="0.35">
      <c r="B448" s="5">
        <v>427</v>
      </c>
      <c r="C448" s="46">
        <f t="shared" ca="1" si="54"/>
        <v>2.7463506058258305</v>
      </c>
      <c r="D448" s="47">
        <f t="shared" ca="1" si="55"/>
        <v>3608711695.2987237</v>
      </c>
      <c r="E448" s="47">
        <f t="shared" ca="1" si="56"/>
        <v>28594761473021.945</v>
      </c>
      <c r="F448" s="47">
        <f t="shared" ca="1" si="57"/>
        <v>3921522497874.6582</v>
      </c>
      <c r="G448" s="47">
        <f t="shared" ca="1" si="58"/>
        <v>118057997383170.64</v>
      </c>
      <c r="H448" s="47">
        <f t="shared" ca="1" si="59"/>
        <v>3921522497874.6582</v>
      </c>
      <c r="I448" s="47">
        <f t="shared" ca="1" si="60"/>
        <v>4831416199309.4648</v>
      </c>
      <c r="J448" s="47">
        <f t="shared" ca="1" si="61"/>
        <v>973925680072.49048</v>
      </c>
      <c r="K448" s="48">
        <f t="shared" ca="1" si="62"/>
        <v>4.9607647669274479</v>
      </c>
    </row>
    <row r="449" spans="2:11" ht="15" customHeight="1" x14ac:dyDescent="0.35">
      <c r="B449" s="5">
        <v>428</v>
      </c>
      <c r="C449" s="46">
        <f t="shared" ca="1" si="54"/>
        <v>2.1371620719928224</v>
      </c>
      <c r="D449" s="47">
        <f t="shared" ca="1" si="55"/>
        <v>948392080.88395536</v>
      </c>
      <c r="E449" s="47">
        <f t="shared" ca="1" si="56"/>
        <v>895148148373.75049</v>
      </c>
      <c r="F449" s="47">
        <f t="shared" ca="1" si="57"/>
        <v>5660105800174.1338</v>
      </c>
      <c r="G449" s="47">
        <f t="shared" ca="1" si="58"/>
        <v>16207320161396.473</v>
      </c>
      <c r="H449" s="47">
        <f t="shared" ca="1" si="59"/>
        <v>16207320161396.473</v>
      </c>
      <c r="I449" s="47">
        <f t="shared" ca="1" si="60"/>
        <v>4571355234566.459</v>
      </c>
      <c r="J449" s="47">
        <f t="shared" ca="1" si="61"/>
        <v>1825785819568.4233</v>
      </c>
      <c r="K449" s="48">
        <f t="shared" ca="1" si="62"/>
        <v>2.5037740930899712</v>
      </c>
    </row>
    <row r="450" spans="2:11" ht="15" customHeight="1" x14ac:dyDescent="0.35">
      <c r="B450" s="5">
        <v>429</v>
      </c>
      <c r="C450" s="46">
        <f t="shared" ca="1" si="54"/>
        <v>3.0618564637117465</v>
      </c>
      <c r="D450" s="47">
        <f t="shared" ca="1" si="55"/>
        <v>4837602361.5811892</v>
      </c>
      <c r="E450" s="47">
        <f t="shared" ca="1" si="56"/>
        <v>20755276946486.34</v>
      </c>
      <c r="F450" s="47">
        <f t="shared" ca="1" si="57"/>
        <v>1782748372004.8372</v>
      </c>
      <c r="G450" s="47">
        <f t="shared" ca="1" si="58"/>
        <v>23490638929854.895</v>
      </c>
      <c r="H450" s="47">
        <f t="shared" ca="1" si="59"/>
        <v>1782748372004.8372</v>
      </c>
      <c r="I450" s="47">
        <f t="shared" ca="1" si="60"/>
        <v>7635511485381.2012</v>
      </c>
      <c r="J450" s="47">
        <f t="shared" ca="1" si="61"/>
        <v>1357952962527.5012</v>
      </c>
      <c r="K450" s="48">
        <f t="shared" ca="1" si="62"/>
        <v>5.6228099912750604</v>
      </c>
    </row>
    <row r="451" spans="2:11" ht="15" customHeight="1" x14ac:dyDescent="0.35">
      <c r="B451" s="5">
        <v>430</v>
      </c>
      <c r="C451" s="46">
        <f t="shared" ca="1" si="54"/>
        <v>2.5352095131994337</v>
      </c>
      <c r="D451" s="47">
        <f t="shared" ca="1" si="55"/>
        <v>1966790879.0916235</v>
      </c>
      <c r="E451" s="47">
        <f t="shared" ca="1" si="56"/>
        <v>19664380946896.551</v>
      </c>
      <c r="F451" s="47">
        <f t="shared" ca="1" si="57"/>
        <v>921890032251.80139</v>
      </c>
      <c r="G451" s="47">
        <f t="shared" ca="1" si="58"/>
        <v>11585309219845.369</v>
      </c>
      <c r="H451" s="47">
        <f t="shared" ca="1" si="59"/>
        <v>11585309219845.369</v>
      </c>
      <c r="I451" s="47">
        <f t="shared" ca="1" si="60"/>
        <v>7407651195394.0967</v>
      </c>
      <c r="J451" s="47">
        <f t="shared" ca="1" si="61"/>
        <v>2023418778029.9446</v>
      </c>
      <c r="K451" s="48">
        <f t="shared" ca="1" si="62"/>
        <v>3.6609580161188315</v>
      </c>
    </row>
    <row r="452" spans="2:11" ht="15" customHeight="1" x14ac:dyDescent="0.35">
      <c r="B452" s="5">
        <v>431</v>
      </c>
      <c r="C452" s="46">
        <f t="shared" ca="1" si="54"/>
        <v>3.1437240300029341</v>
      </c>
      <c r="D452" s="47">
        <f t="shared" ca="1" si="55"/>
        <v>6185676601.9085903</v>
      </c>
      <c r="E452" s="47">
        <f t="shared" ca="1" si="56"/>
        <v>22591953249442.422</v>
      </c>
      <c r="F452" s="47">
        <f t="shared" ca="1" si="57"/>
        <v>2730752684061.0679</v>
      </c>
      <c r="G452" s="47">
        <f t="shared" ca="1" si="58"/>
        <v>3041774473830.5186</v>
      </c>
      <c r="H452" s="47">
        <f t="shared" ca="1" si="59"/>
        <v>2730752684061.0679</v>
      </c>
      <c r="I452" s="47">
        <f t="shared" ca="1" si="60"/>
        <v>6013082488005.4932</v>
      </c>
      <c r="J452" s="47">
        <f t="shared" ca="1" si="61"/>
        <v>931985963976.78076</v>
      </c>
      <c r="K452" s="48">
        <f t="shared" ca="1" si="62"/>
        <v>6.4519024110059471</v>
      </c>
    </row>
    <row r="453" spans="2:11" ht="15" customHeight="1" x14ac:dyDescent="0.35">
      <c r="B453" s="5">
        <v>432</v>
      </c>
      <c r="C453" s="46">
        <f t="shared" ca="1" si="54"/>
        <v>2.9744557580617168</v>
      </c>
      <c r="D453" s="47">
        <f t="shared" ca="1" si="55"/>
        <v>4663594419.1357956</v>
      </c>
      <c r="E453" s="47">
        <f t="shared" ca="1" si="56"/>
        <v>13151910500566.41</v>
      </c>
      <c r="F453" s="47">
        <f t="shared" ca="1" si="57"/>
        <v>4486790969230.041</v>
      </c>
      <c r="G453" s="47">
        <f t="shared" ca="1" si="58"/>
        <v>12374256150785.111</v>
      </c>
      <c r="H453" s="47">
        <f t="shared" ca="1" si="59"/>
        <v>4486790969230.041</v>
      </c>
      <c r="I453" s="47">
        <f t="shared" ca="1" si="60"/>
        <v>4816791615922.5664</v>
      </c>
      <c r="J453" s="47">
        <f t="shared" ca="1" si="61"/>
        <v>1811800269739.2239</v>
      </c>
      <c r="K453" s="48">
        <f t="shared" ca="1" si="62"/>
        <v>2.6585665629776383</v>
      </c>
    </row>
    <row r="454" spans="2:11" ht="15" customHeight="1" x14ac:dyDescent="0.35">
      <c r="B454" s="5">
        <v>433</v>
      </c>
      <c r="C454" s="46">
        <f t="shared" ca="1" si="54"/>
        <v>3.0439209867537178</v>
      </c>
      <c r="D454" s="47">
        <f t="shared" ca="1" si="55"/>
        <v>5145808017.7012854</v>
      </c>
      <c r="E454" s="47">
        <f t="shared" ca="1" si="56"/>
        <v>5253067849378.8008</v>
      </c>
      <c r="F454" s="47">
        <f t="shared" ca="1" si="57"/>
        <v>1977942623052.429</v>
      </c>
      <c r="G454" s="47">
        <f t="shared" ca="1" si="58"/>
        <v>2216014264803.6196</v>
      </c>
      <c r="H454" s="47">
        <f t="shared" ca="1" si="59"/>
        <v>2216014264803.6196</v>
      </c>
      <c r="I454" s="47">
        <f t="shared" ca="1" si="60"/>
        <v>5585490266582.6201</v>
      </c>
      <c r="J454" s="47">
        <f t="shared" ca="1" si="61"/>
        <v>1807096105065.1973</v>
      </c>
      <c r="K454" s="48">
        <f t="shared" ca="1" si="62"/>
        <v>3.0908650906428159</v>
      </c>
    </row>
    <row r="455" spans="2:11" ht="15" customHeight="1" x14ac:dyDescent="0.35">
      <c r="B455" s="5">
        <v>434</v>
      </c>
      <c r="C455" s="46">
        <f t="shared" ca="1" si="54"/>
        <v>2.3900695539936527</v>
      </c>
      <c r="D455" s="47">
        <f t="shared" ca="1" si="55"/>
        <v>1734554830.9183018</v>
      </c>
      <c r="E455" s="47">
        <f t="shared" ca="1" si="56"/>
        <v>12321568007332.223</v>
      </c>
      <c r="F455" s="47">
        <f t="shared" ca="1" si="57"/>
        <v>19535044673790.867</v>
      </c>
      <c r="G455" s="47">
        <f t="shared" ca="1" si="58"/>
        <v>57527813457744.547</v>
      </c>
      <c r="H455" s="47">
        <f t="shared" ca="1" si="59"/>
        <v>19535044673790.867</v>
      </c>
      <c r="I455" s="47">
        <f t="shared" ca="1" si="60"/>
        <v>23536631896146.66</v>
      </c>
      <c r="J455" s="47">
        <f t="shared" ca="1" si="61"/>
        <v>1023762133902.6783</v>
      </c>
      <c r="K455" s="48">
        <f t="shared" ca="1" si="62"/>
        <v>22.990332535960075</v>
      </c>
    </row>
    <row r="456" spans="2:11" ht="15" customHeight="1" x14ac:dyDescent="0.35">
      <c r="B456" s="5">
        <v>435</v>
      </c>
      <c r="C456" s="46">
        <f t="shared" ca="1" si="54"/>
        <v>2.7530962795285645</v>
      </c>
      <c r="D456" s="47">
        <f t="shared" ca="1" si="55"/>
        <v>3379448985.5873384</v>
      </c>
      <c r="E456" s="47">
        <f t="shared" ca="1" si="56"/>
        <v>6298920222553.3428</v>
      </c>
      <c r="F456" s="47">
        <f t="shared" ca="1" si="57"/>
        <v>4940440355020.3711</v>
      </c>
      <c r="G456" s="47">
        <f t="shared" ca="1" si="58"/>
        <v>4660980174840.9375</v>
      </c>
      <c r="H456" s="47">
        <f t="shared" ca="1" si="59"/>
        <v>4940440355020.3711</v>
      </c>
      <c r="I456" s="47">
        <f t="shared" ca="1" si="60"/>
        <v>5010085414200.2275</v>
      </c>
      <c r="J456" s="47">
        <f t="shared" ca="1" si="61"/>
        <v>1838143907154.0776</v>
      </c>
      <c r="K456" s="48">
        <f t="shared" ca="1" si="62"/>
        <v>2.7256219682805662</v>
      </c>
    </row>
    <row r="457" spans="2:11" ht="15" customHeight="1" x14ac:dyDescent="0.35">
      <c r="B457" s="5">
        <v>436</v>
      </c>
      <c r="C457" s="46">
        <f t="shared" ca="1" si="54"/>
        <v>3.6677844977991212</v>
      </c>
      <c r="D457" s="47">
        <f t="shared" ca="1" si="55"/>
        <v>14300524261.927048</v>
      </c>
      <c r="E457" s="47">
        <f t="shared" ca="1" si="56"/>
        <v>54316318247955.625</v>
      </c>
      <c r="F457" s="47">
        <f t="shared" ca="1" si="57"/>
        <v>8052179751861.9834</v>
      </c>
      <c r="G457" s="47">
        <f t="shared" ca="1" si="58"/>
        <v>1131213298302.363</v>
      </c>
      <c r="H457" s="47">
        <f t="shared" ca="1" si="59"/>
        <v>8052179751861.9834</v>
      </c>
      <c r="I457" s="47">
        <f t="shared" ca="1" si="60"/>
        <v>18796605380388.074</v>
      </c>
      <c r="J457" s="47">
        <f t="shared" ca="1" si="61"/>
        <v>1956915490340.4607</v>
      </c>
      <c r="K457" s="48">
        <f t="shared" ca="1" si="62"/>
        <v>9.6052208044599183</v>
      </c>
    </row>
    <row r="458" spans="2:11" ht="15" customHeight="1" x14ac:dyDescent="0.35">
      <c r="B458" s="5">
        <v>437</v>
      </c>
      <c r="C458" s="46">
        <f t="shared" ca="1" si="54"/>
        <v>3.0599282480254799</v>
      </c>
      <c r="D458" s="47">
        <f t="shared" ca="1" si="55"/>
        <v>5454100545.3857965</v>
      </c>
      <c r="E458" s="47">
        <f t="shared" ca="1" si="56"/>
        <v>13311353409805.189</v>
      </c>
      <c r="F458" s="47">
        <f t="shared" ca="1" si="57"/>
        <v>1571057204438.3281</v>
      </c>
      <c r="G458" s="47">
        <f t="shared" ca="1" si="58"/>
        <v>35269928706300.609</v>
      </c>
      <c r="H458" s="47">
        <f t="shared" ca="1" si="59"/>
        <v>1571057204438.3281</v>
      </c>
      <c r="I458" s="47">
        <f t="shared" ca="1" si="60"/>
        <v>28476987400164.98</v>
      </c>
      <c r="J458" s="47">
        <f t="shared" ca="1" si="61"/>
        <v>626072929951.76086</v>
      </c>
      <c r="K458" s="48">
        <f t="shared" ca="1" si="62"/>
        <v>45.48509612507786</v>
      </c>
    </row>
    <row r="459" spans="2:11" ht="15" customHeight="1" x14ac:dyDescent="0.35">
      <c r="B459" s="5">
        <v>438</v>
      </c>
      <c r="C459" s="46">
        <f t="shared" ca="1" si="54"/>
        <v>2.6165188471058651</v>
      </c>
      <c r="D459" s="47">
        <f t="shared" ca="1" si="55"/>
        <v>2826841975.7748423</v>
      </c>
      <c r="E459" s="47">
        <f t="shared" ca="1" si="56"/>
        <v>4665583149672.7939</v>
      </c>
      <c r="F459" s="47">
        <f t="shared" ca="1" si="57"/>
        <v>2106697317484.6042</v>
      </c>
      <c r="G459" s="47">
        <f t="shared" ca="1" si="58"/>
        <v>533478346872.23834</v>
      </c>
      <c r="H459" s="47">
        <f t="shared" ca="1" si="59"/>
        <v>4665583149672.7939</v>
      </c>
      <c r="I459" s="47">
        <f t="shared" ca="1" si="60"/>
        <v>2654717146726.5942</v>
      </c>
      <c r="J459" s="47">
        <f t="shared" ca="1" si="61"/>
        <v>1724068482862.48</v>
      </c>
      <c r="K459" s="48">
        <f t="shared" ca="1" si="62"/>
        <v>1.5397979680708236</v>
      </c>
    </row>
    <row r="460" spans="2:11" ht="15" customHeight="1" x14ac:dyDescent="0.35">
      <c r="B460" s="5">
        <v>439</v>
      </c>
      <c r="C460" s="46">
        <f t="shared" ca="1" si="54"/>
        <v>2.7511080045477683</v>
      </c>
      <c r="D460" s="47">
        <f t="shared" ca="1" si="55"/>
        <v>3094088796.6448388</v>
      </c>
      <c r="E460" s="47">
        <f t="shared" ca="1" si="56"/>
        <v>4178726523842.1514</v>
      </c>
      <c r="F460" s="47">
        <f t="shared" ca="1" si="57"/>
        <v>2008827744869.0234</v>
      </c>
      <c r="G460" s="47">
        <f t="shared" ca="1" si="58"/>
        <v>33808419738600.836</v>
      </c>
      <c r="H460" s="47">
        <f t="shared" ca="1" si="59"/>
        <v>4178726523842.1514</v>
      </c>
      <c r="I460" s="47">
        <f t="shared" ca="1" si="60"/>
        <v>816215852909.34985</v>
      </c>
      <c r="J460" s="47">
        <f t="shared" ca="1" si="61"/>
        <v>1147646512709.9866</v>
      </c>
      <c r="K460" s="48">
        <f t="shared" ca="1" si="62"/>
        <v>0.71120841118750455</v>
      </c>
    </row>
    <row r="461" spans="2:11" ht="15" customHeight="1" x14ac:dyDescent="0.35">
      <c r="B461" s="5">
        <v>440</v>
      </c>
      <c r="C461" s="46">
        <f t="shared" ca="1" si="54"/>
        <v>2.8620155608378504</v>
      </c>
      <c r="D461" s="47">
        <f t="shared" ca="1" si="55"/>
        <v>4003611478.1688457</v>
      </c>
      <c r="E461" s="47">
        <f t="shared" ca="1" si="56"/>
        <v>6844368084317.416</v>
      </c>
      <c r="F461" s="47">
        <f t="shared" ca="1" si="57"/>
        <v>4320880919883.2275</v>
      </c>
      <c r="G461" s="47">
        <f t="shared" ca="1" si="58"/>
        <v>30875593359293.43</v>
      </c>
      <c r="H461" s="47">
        <f t="shared" ca="1" si="59"/>
        <v>30875593359293.43</v>
      </c>
      <c r="I461" s="47">
        <f t="shared" ca="1" si="60"/>
        <v>1328404135431.978</v>
      </c>
      <c r="J461" s="47">
        <f t="shared" ca="1" si="61"/>
        <v>552751133781.7196</v>
      </c>
      <c r="K461" s="48">
        <f t="shared" ca="1" si="62"/>
        <v>2.4032589971250289</v>
      </c>
    </row>
    <row r="462" spans="2:11" ht="15" customHeight="1" x14ac:dyDescent="0.35">
      <c r="B462" s="5">
        <v>441</v>
      </c>
      <c r="C462" s="46">
        <f t="shared" ca="1" si="54"/>
        <v>3.5561131792898264</v>
      </c>
      <c r="D462" s="47">
        <f t="shared" ca="1" si="55"/>
        <v>13382445457.319427</v>
      </c>
      <c r="E462" s="47">
        <f t="shared" ca="1" si="56"/>
        <v>78274509578895.25</v>
      </c>
      <c r="F462" s="47">
        <f t="shared" ca="1" si="57"/>
        <v>1623204713703.4519</v>
      </c>
      <c r="G462" s="47">
        <f t="shared" ca="1" si="58"/>
        <v>1760259589215.9185</v>
      </c>
      <c r="H462" s="47">
        <f t="shared" ca="1" si="59"/>
        <v>78274509578895.25</v>
      </c>
      <c r="I462" s="47">
        <f t="shared" ca="1" si="60"/>
        <v>2681982808526.9424</v>
      </c>
      <c r="J462" s="47">
        <f t="shared" ca="1" si="61"/>
        <v>823022316763.40613</v>
      </c>
      <c r="K462" s="48">
        <f t="shared" ca="1" si="62"/>
        <v>3.2586999816408757</v>
      </c>
    </row>
    <row r="463" spans="2:11" ht="15" customHeight="1" x14ac:dyDescent="0.35">
      <c r="B463" s="5">
        <v>442</v>
      </c>
      <c r="C463" s="46">
        <f t="shared" ca="1" si="54"/>
        <v>3.4543107082338764</v>
      </c>
      <c r="D463" s="47">
        <f t="shared" ca="1" si="55"/>
        <v>11128216994.117254</v>
      </c>
      <c r="E463" s="47">
        <f t="shared" ca="1" si="56"/>
        <v>76061591023035.469</v>
      </c>
      <c r="F463" s="47">
        <f t="shared" ca="1" si="57"/>
        <v>1322630773831.5464</v>
      </c>
      <c r="G463" s="47">
        <f t="shared" ca="1" si="58"/>
        <v>16136157451525.449</v>
      </c>
      <c r="H463" s="47">
        <f t="shared" ca="1" si="59"/>
        <v>1322630773831.5464</v>
      </c>
      <c r="I463" s="47">
        <f t="shared" ca="1" si="60"/>
        <v>1083502129958.1772</v>
      </c>
      <c r="J463" s="47">
        <f t="shared" ca="1" si="61"/>
        <v>583943545332.29272</v>
      </c>
      <c r="K463" s="48">
        <f t="shared" ca="1" si="62"/>
        <v>1.8554912347590229</v>
      </c>
    </row>
    <row r="464" spans="2:11" ht="15" customHeight="1" x14ac:dyDescent="0.35">
      <c r="B464" s="5">
        <v>443</v>
      </c>
      <c r="C464" s="46">
        <f t="shared" ca="1" si="54"/>
        <v>2.9137390922899185</v>
      </c>
      <c r="D464" s="47">
        <f t="shared" ca="1" si="55"/>
        <v>3413849743.5602255</v>
      </c>
      <c r="E464" s="47">
        <f t="shared" ca="1" si="56"/>
        <v>12027198216340.33</v>
      </c>
      <c r="F464" s="47">
        <f t="shared" ca="1" si="57"/>
        <v>2802888280325.9268</v>
      </c>
      <c r="G464" s="47">
        <f t="shared" ca="1" si="58"/>
        <v>46699825742785.656</v>
      </c>
      <c r="H464" s="47">
        <f t="shared" ca="1" si="59"/>
        <v>2802888280325.9268</v>
      </c>
      <c r="I464" s="47">
        <f t="shared" ca="1" si="60"/>
        <v>1369695715641.1416</v>
      </c>
      <c r="J464" s="47">
        <f t="shared" ca="1" si="61"/>
        <v>862002992215.3855</v>
      </c>
      <c r="K464" s="48">
        <f t="shared" ca="1" si="62"/>
        <v>1.5889686323721028</v>
      </c>
    </row>
    <row r="465" spans="2:11" ht="15" customHeight="1" x14ac:dyDescent="0.35">
      <c r="B465" s="5">
        <v>444</v>
      </c>
      <c r="C465" s="46">
        <f t="shared" ca="1" si="54"/>
        <v>2.9217557648792112</v>
      </c>
      <c r="D465" s="47">
        <f t="shared" ca="1" si="55"/>
        <v>5011238845.8628292</v>
      </c>
      <c r="E465" s="47">
        <f t="shared" ca="1" si="56"/>
        <v>8690285859576.7354</v>
      </c>
      <c r="F465" s="47">
        <f t="shared" ca="1" si="57"/>
        <v>4444061742482.0273</v>
      </c>
      <c r="G465" s="47">
        <f t="shared" ca="1" si="58"/>
        <v>1169944070962.1721</v>
      </c>
      <c r="H465" s="47">
        <f t="shared" ca="1" si="59"/>
        <v>1169944070962.1721</v>
      </c>
      <c r="I465" s="47">
        <f t="shared" ca="1" si="60"/>
        <v>69107801205455.477</v>
      </c>
      <c r="J465" s="47">
        <f t="shared" ca="1" si="61"/>
        <v>715145443205.74341</v>
      </c>
      <c r="K465" s="48">
        <f t="shared" ca="1" si="62"/>
        <v>96.634610290837784</v>
      </c>
    </row>
    <row r="466" spans="2:11" ht="15" customHeight="1" x14ac:dyDescent="0.35">
      <c r="B466" s="5">
        <v>445</v>
      </c>
      <c r="C466" s="46">
        <f t="shared" ca="1" si="54"/>
        <v>3.050080819678382</v>
      </c>
      <c r="D466" s="47">
        <f t="shared" ca="1" si="55"/>
        <v>6237270644.2538433</v>
      </c>
      <c r="E466" s="47">
        <f t="shared" ca="1" si="56"/>
        <v>3255855601835.3794</v>
      </c>
      <c r="F466" s="47">
        <f t="shared" ca="1" si="57"/>
        <v>2219887068970.335</v>
      </c>
      <c r="G466" s="47">
        <f t="shared" ca="1" si="58"/>
        <v>1152285140435.4021</v>
      </c>
      <c r="H466" s="47">
        <f t="shared" ca="1" si="59"/>
        <v>1152285140435.4021</v>
      </c>
      <c r="I466" s="47">
        <f t="shared" ca="1" si="60"/>
        <v>1486489101807.4465</v>
      </c>
      <c r="J466" s="47">
        <f t="shared" ca="1" si="61"/>
        <v>944442122265.54407</v>
      </c>
      <c r="K466" s="48">
        <f t="shared" ca="1" si="62"/>
        <v>1.573933507160429</v>
      </c>
    </row>
    <row r="467" spans="2:11" ht="15" customHeight="1" x14ac:dyDescent="0.35">
      <c r="B467" s="5">
        <v>446</v>
      </c>
      <c r="C467" s="46">
        <f t="shared" ca="1" si="54"/>
        <v>2.3444007124509953</v>
      </c>
      <c r="D467" s="47">
        <f t="shared" ca="1" si="55"/>
        <v>1558966422.875278</v>
      </c>
      <c r="E467" s="47">
        <f t="shared" ca="1" si="56"/>
        <v>2074526179702.3872</v>
      </c>
      <c r="F467" s="47">
        <f t="shared" ca="1" si="57"/>
        <v>5141069832884.6455</v>
      </c>
      <c r="G467" s="47">
        <f t="shared" ca="1" si="58"/>
        <v>12957365152923.52</v>
      </c>
      <c r="H467" s="47">
        <f t="shared" ca="1" si="59"/>
        <v>12957365152923.52</v>
      </c>
      <c r="I467" s="47">
        <f t="shared" ca="1" si="60"/>
        <v>790029382906.77002</v>
      </c>
      <c r="J467" s="47">
        <f t="shared" ca="1" si="61"/>
        <v>2579197046913.0688</v>
      </c>
      <c r="K467" s="48">
        <f t="shared" ca="1" si="62"/>
        <v>0.30630826902206737</v>
      </c>
    </row>
    <row r="468" spans="2:11" ht="15" customHeight="1" x14ac:dyDescent="0.35">
      <c r="B468" s="5">
        <v>447</v>
      </c>
      <c r="C468" s="46">
        <f t="shared" ca="1" si="54"/>
        <v>3.6813196254156728</v>
      </c>
      <c r="D468" s="47">
        <f t="shared" ca="1" si="55"/>
        <v>12362529864.55999</v>
      </c>
      <c r="E468" s="47">
        <f t="shared" ca="1" si="56"/>
        <v>40371844020424.578</v>
      </c>
      <c r="F468" s="47">
        <f t="shared" ca="1" si="57"/>
        <v>2172032203800.1658</v>
      </c>
      <c r="G468" s="47">
        <f t="shared" ca="1" si="58"/>
        <v>717613320188.05811</v>
      </c>
      <c r="H468" s="47">
        <f t="shared" ca="1" si="59"/>
        <v>2172032203800.1658</v>
      </c>
      <c r="I468" s="47">
        <f t="shared" ca="1" si="60"/>
        <v>3039287322725.3501</v>
      </c>
      <c r="J468" s="47">
        <f t="shared" ca="1" si="61"/>
        <v>730696306943.57861</v>
      </c>
      <c r="K468" s="48">
        <f t="shared" ca="1" si="62"/>
        <v>4.1594398299867574</v>
      </c>
    </row>
    <row r="469" spans="2:11" ht="15" customHeight="1" x14ac:dyDescent="0.35">
      <c r="B469" s="5">
        <v>448</v>
      </c>
      <c r="C469" s="46">
        <f t="shared" ca="1" si="54"/>
        <v>2.8878656230727753</v>
      </c>
      <c r="D469" s="47">
        <f t="shared" ca="1" si="55"/>
        <v>3938685745.2611136</v>
      </c>
      <c r="E469" s="47">
        <f t="shared" ca="1" si="56"/>
        <v>11182364992452.873</v>
      </c>
      <c r="F469" s="47">
        <f t="shared" ca="1" si="57"/>
        <v>1569545075705.2385</v>
      </c>
      <c r="G469" s="47">
        <f t="shared" ca="1" si="58"/>
        <v>140515911416012.81</v>
      </c>
      <c r="H469" s="47">
        <f t="shared" ca="1" si="59"/>
        <v>140515911416012.81</v>
      </c>
      <c r="I469" s="47">
        <f t="shared" ca="1" si="60"/>
        <v>36472810236963.688</v>
      </c>
      <c r="J469" s="47">
        <f t="shared" ca="1" si="61"/>
        <v>1794989969618.2871</v>
      </c>
      <c r="K469" s="48">
        <f t="shared" ca="1" si="62"/>
        <v>20.319227881100527</v>
      </c>
    </row>
    <row r="470" spans="2:11" ht="15" customHeight="1" x14ac:dyDescent="0.35">
      <c r="B470" s="5">
        <v>449</v>
      </c>
      <c r="C470" s="46">
        <f t="shared" ref="C470:C533" ca="1" si="63">MEDIAN(1.8,NORMINV(RAND(),$C$7,$D$7),4.5)</f>
        <v>2.5604398870432163</v>
      </c>
      <c r="D470" s="47">
        <f t="shared" ref="D470:D533" ca="1" si="64">($C$8+RAND()*($D$8-$C$8))*C470^5</f>
        <v>2207328889.1612129</v>
      </c>
      <c r="E470" s="47">
        <f t="shared" ref="E470:E533" ca="1" si="65">D470*($C$10+RAND()*($D$10-$C$10))*EXP(NORMINV(RAND(),$C$9,$D$9))*($C$11+RAND()*($D$11-$C$11))</f>
        <v>7385254823251.2451</v>
      </c>
      <c r="F470" s="47">
        <f t="shared" ref="F470:F533" ca="1" si="66">EXP(NORMINV(RAND(),$C$12,$D$12))*EXP(NORMINV(RAND(),$C$13,$D$13))</f>
        <v>338716505850.13416</v>
      </c>
      <c r="G470" s="47">
        <f t="shared" ref="G470:G533" ca="1" si="67">EXP(NORMINV(RAND(),$C$14,$D$14))*($C$15+RAND()*($D$15-$C$15))*EXP(NORMINV(RAND(),$C$16,$D$16))/1000000*31536000</f>
        <v>5612963115055.5615</v>
      </c>
      <c r="H470" s="47">
        <f t="shared" ref="H470:H533" ca="1" si="68">CHOOSE(RANDBETWEEN(1,3),E470,F470,G470)</f>
        <v>5612963115055.5615</v>
      </c>
      <c r="I470" s="47">
        <f t="shared" ref="I470:I533" ca="1" si="69">EXP(NORMINV(RAND(),$C$14,$D$14))*($C$15+RAND()*($D$15-$C$15))*60</f>
        <v>1865218751431.1125</v>
      </c>
      <c r="J470" s="47">
        <f t="shared" ref="J470:J533" ca="1" si="70">($C$17+RAND()*($D$17-$C$17))*($C$18+RAND()*($D$18-$C$18))</f>
        <v>1448468228274.0784</v>
      </c>
      <c r="K470" s="48">
        <f t="shared" ref="K470:K533" ca="1" si="71">I470/J470</f>
        <v>1.2877180976579743</v>
      </c>
    </row>
    <row r="471" spans="2:11" ht="15" customHeight="1" x14ac:dyDescent="0.35">
      <c r="B471" s="5">
        <v>450</v>
      </c>
      <c r="C471" s="46">
        <f t="shared" ca="1" si="63"/>
        <v>3.1891077124106499</v>
      </c>
      <c r="D471" s="47">
        <f t="shared" ca="1" si="64"/>
        <v>6822499653.9097509</v>
      </c>
      <c r="E471" s="47">
        <f t="shared" ca="1" si="65"/>
        <v>21876543196444.16</v>
      </c>
      <c r="F471" s="47">
        <f t="shared" ca="1" si="66"/>
        <v>8709824717906.0146</v>
      </c>
      <c r="G471" s="47">
        <f t="shared" ca="1" si="67"/>
        <v>1526868834958.345</v>
      </c>
      <c r="H471" s="47">
        <f t="shared" ca="1" si="68"/>
        <v>1526868834958.345</v>
      </c>
      <c r="I471" s="47">
        <f t="shared" ca="1" si="69"/>
        <v>12853874176087.957</v>
      </c>
      <c r="J471" s="47">
        <f t="shared" ca="1" si="70"/>
        <v>1289923114266.574</v>
      </c>
      <c r="K471" s="48">
        <f t="shared" ca="1" si="71"/>
        <v>9.9648374650580838</v>
      </c>
    </row>
    <row r="472" spans="2:11" ht="15" customHeight="1" x14ac:dyDescent="0.35">
      <c r="B472" s="5">
        <v>451</v>
      </c>
      <c r="C472" s="46">
        <f t="shared" ca="1" si="63"/>
        <v>3.4152373668596883</v>
      </c>
      <c r="D472" s="47">
        <f t="shared" ca="1" si="64"/>
        <v>8980910608.5323582</v>
      </c>
      <c r="E472" s="47">
        <f t="shared" ca="1" si="65"/>
        <v>61096312935530.531</v>
      </c>
      <c r="F472" s="47">
        <f t="shared" ca="1" si="66"/>
        <v>25784590990221.152</v>
      </c>
      <c r="G472" s="47">
        <f t="shared" ca="1" si="67"/>
        <v>76844221701917.813</v>
      </c>
      <c r="H472" s="47">
        <f t="shared" ca="1" si="68"/>
        <v>61096312935530.531</v>
      </c>
      <c r="I472" s="47">
        <f t="shared" ca="1" si="69"/>
        <v>1431426558244.3918</v>
      </c>
      <c r="J472" s="47">
        <f t="shared" ca="1" si="70"/>
        <v>1482407083942.9941</v>
      </c>
      <c r="K472" s="48">
        <f t="shared" ca="1" si="71"/>
        <v>0.96560963162493718</v>
      </c>
    </row>
    <row r="473" spans="2:11" ht="15" customHeight="1" x14ac:dyDescent="0.35">
      <c r="B473" s="5">
        <v>452</v>
      </c>
      <c r="C473" s="46">
        <f t="shared" ca="1" si="63"/>
        <v>3.0847725976793345</v>
      </c>
      <c r="D473" s="47">
        <f t="shared" ca="1" si="64"/>
        <v>5442596840.387969</v>
      </c>
      <c r="E473" s="47">
        <f t="shared" ca="1" si="65"/>
        <v>12386302666162.484</v>
      </c>
      <c r="F473" s="47">
        <f t="shared" ca="1" si="66"/>
        <v>169359745547336.81</v>
      </c>
      <c r="G473" s="47">
        <f t="shared" ca="1" si="67"/>
        <v>8011249524564.1777</v>
      </c>
      <c r="H473" s="47">
        <f t="shared" ca="1" si="68"/>
        <v>169359745547336.81</v>
      </c>
      <c r="I473" s="47">
        <f t="shared" ca="1" si="69"/>
        <v>48160761697104.641</v>
      </c>
      <c r="J473" s="47">
        <f t="shared" ca="1" si="70"/>
        <v>1030496767019.2878</v>
      </c>
      <c r="K473" s="48">
        <f t="shared" ca="1" si="71"/>
        <v>46.735480632714314</v>
      </c>
    </row>
    <row r="474" spans="2:11" ht="15" customHeight="1" x14ac:dyDescent="0.35">
      <c r="B474" s="5">
        <v>453</v>
      </c>
      <c r="C474" s="46">
        <f t="shared" ca="1" si="63"/>
        <v>3.1223887406943134</v>
      </c>
      <c r="D474" s="47">
        <f t="shared" ca="1" si="64"/>
        <v>5014110285.1136379</v>
      </c>
      <c r="E474" s="47">
        <f t="shared" ca="1" si="65"/>
        <v>12276737850814.994</v>
      </c>
      <c r="F474" s="47">
        <f t="shared" ca="1" si="66"/>
        <v>7904371403281.3135</v>
      </c>
      <c r="G474" s="47">
        <f t="shared" ca="1" si="67"/>
        <v>83490360463.284088</v>
      </c>
      <c r="H474" s="47">
        <f t="shared" ca="1" si="68"/>
        <v>12276737850814.994</v>
      </c>
      <c r="I474" s="47">
        <f t="shared" ca="1" si="69"/>
        <v>477847096952956.63</v>
      </c>
      <c r="J474" s="47">
        <f t="shared" ca="1" si="70"/>
        <v>1547097903426.0974</v>
      </c>
      <c r="K474" s="48">
        <f t="shared" ca="1" si="71"/>
        <v>308.86674714945258</v>
      </c>
    </row>
    <row r="475" spans="2:11" ht="15" customHeight="1" x14ac:dyDescent="0.35">
      <c r="B475" s="5">
        <v>454</v>
      </c>
      <c r="C475" s="46">
        <f t="shared" ca="1" si="63"/>
        <v>2.2443505124421392</v>
      </c>
      <c r="D475" s="47">
        <f t="shared" ca="1" si="64"/>
        <v>1129598729.9126906</v>
      </c>
      <c r="E475" s="47">
        <f t="shared" ca="1" si="65"/>
        <v>7852903338466.9307</v>
      </c>
      <c r="F475" s="47">
        <f t="shared" ca="1" si="66"/>
        <v>777657108611.23047</v>
      </c>
      <c r="G475" s="47">
        <f t="shared" ca="1" si="67"/>
        <v>852371335890.29102</v>
      </c>
      <c r="H475" s="47">
        <f t="shared" ca="1" si="68"/>
        <v>852371335890.29102</v>
      </c>
      <c r="I475" s="47">
        <f t="shared" ca="1" si="69"/>
        <v>42066329519782.461</v>
      </c>
      <c r="J475" s="47">
        <f t="shared" ca="1" si="70"/>
        <v>2128170175250.0535</v>
      </c>
      <c r="K475" s="48">
        <f t="shared" ca="1" si="71"/>
        <v>19.766431279321822</v>
      </c>
    </row>
    <row r="476" spans="2:11" ht="15" customHeight="1" x14ac:dyDescent="0.35">
      <c r="B476" s="5">
        <v>455</v>
      </c>
      <c r="C476" s="46">
        <f t="shared" ca="1" si="63"/>
        <v>2.5987767476467778</v>
      </c>
      <c r="D476" s="47">
        <f t="shared" ca="1" si="64"/>
        <v>2445004806.5211363</v>
      </c>
      <c r="E476" s="47">
        <f t="shared" ca="1" si="65"/>
        <v>17312892699023.115</v>
      </c>
      <c r="F476" s="47">
        <f t="shared" ca="1" si="66"/>
        <v>28974290744635.438</v>
      </c>
      <c r="G476" s="47">
        <f t="shared" ca="1" si="67"/>
        <v>109887333370989.25</v>
      </c>
      <c r="H476" s="47">
        <f t="shared" ca="1" si="68"/>
        <v>17312892699023.115</v>
      </c>
      <c r="I476" s="47">
        <f t="shared" ca="1" si="69"/>
        <v>109859662996598.47</v>
      </c>
      <c r="J476" s="47">
        <f t="shared" ca="1" si="70"/>
        <v>927681176500.91541</v>
      </c>
      <c r="K476" s="48">
        <f t="shared" ca="1" si="71"/>
        <v>118.42394324629272</v>
      </c>
    </row>
    <row r="477" spans="2:11" ht="15" customHeight="1" x14ac:dyDescent="0.35">
      <c r="B477" s="5">
        <v>456</v>
      </c>
      <c r="C477" s="46">
        <f t="shared" ca="1" si="63"/>
        <v>3.2032029158275113</v>
      </c>
      <c r="D477" s="47">
        <f t="shared" ca="1" si="64"/>
        <v>5880327517.8662148</v>
      </c>
      <c r="E477" s="47">
        <f t="shared" ca="1" si="65"/>
        <v>13757011152200.648</v>
      </c>
      <c r="F477" s="47">
        <f t="shared" ca="1" si="66"/>
        <v>9267840231460.1445</v>
      </c>
      <c r="G477" s="47">
        <f t="shared" ca="1" si="67"/>
        <v>16764557500871.332</v>
      </c>
      <c r="H477" s="47">
        <f t="shared" ca="1" si="68"/>
        <v>16764557500871.332</v>
      </c>
      <c r="I477" s="47">
        <f t="shared" ca="1" si="69"/>
        <v>33678190136290.48</v>
      </c>
      <c r="J477" s="47">
        <f t="shared" ca="1" si="70"/>
        <v>1411100527322.7998</v>
      </c>
      <c r="K477" s="48">
        <f t="shared" ca="1" si="71"/>
        <v>23.86661296214394</v>
      </c>
    </row>
    <row r="478" spans="2:11" ht="15" customHeight="1" x14ac:dyDescent="0.35">
      <c r="B478" s="5">
        <v>457</v>
      </c>
      <c r="C478" s="46">
        <f t="shared" ca="1" si="63"/>
        <v>2.8430732513439185</v>
      </c>
      <c r="D478" s="47">
        <f t="shared" ca="1" si="64"/>
        <v>3915388550.6498151</v>
      </c>
      <c r="E478" s="47">
        <f t="shared" ca="1" si="65"/>
        <v>16094845908878.066</v>
      </c>
      <c r="F478" s="47">
        <f t="shared" ca="1" si="66"/>
        <v>6074429327458.751</v>
      </c>
      <c r="G478" s="47">
        <f t="shared" ca="1" si="67"/>
        <v>4533020976460.1553</v>
      </c>
      <c r="H478" s="47">
        <f t="shared" ca="1" si="68"/>
        <v>6074429327458.751</v>
      </c>
      <c r="I478" s="47">
        <f t="shared" ca="1" si="69"/>
        <v>15881427030593.855</v>
      </c>
      <c r="J478" s="47">
        <f t="shared" ca="1" si="70"/>
        <v>1196978174830.8005</v>
      </c>
      <c r="K478" s="48">
        <f t="shared" ca="1" si="71"/>
        <v>13.267933672089537</v>
      </c>
    </row>
    <row r="479" spans="2:11" ht="15" customHeight="1" x14ac:dyDescent="0.35">
      <c r="B479" s="5">
        <v>458</v>
      </c>
      <c r="C479" s="46">
        <f t="shared" ca="1" si="63"/>
        <v>2.8667586149584858</v>
      </c>
      <c r="D479" s="47">
        <f t="shared" ca="1" si="64"/>
        <v>3134531831.5043144</v>
      </c>
      <c r="E479" s="47">
        <f t="shared" ca="1" si="65"/>
        <v>40694022786141.828</v>
      </c>
      <c r="F479" s="47">
        <f t="shared" ca="1" si="66"/>
        <v>1412988710866.8625</v>
      </c>
      <c r="G479" s="47">
        <f t="shared" ca="1" si="67"/>
        <v>2930102961270.4834</v>
      </c>
      <c r="H479" s="47">
        <f t="shared" ca="1" si="68"/>
        <v>1412988710866.8625</v>
      </c>
      <c r="I479" s="47">
        <f t="shared" ca="1" si="69"/>
        <v>17443856749903.773</v>
      </c>
      <c r="J479" s="47">
        <f t="shared" ca="1" si="70"/>
        <v>718706984511.78662</v>
      </c>
      <c r="K479" s="48">
        <f t="shared" ca="1" si="71"/>
        <v>24.271166310917767</v>
      </c>
    </row>
    <row r="480" spans="2:11" ht="15" customHeight="1" x14ac:dyDescent="0.35">
      <c r="B480" s="5">
        <v>459</v>
      </c>
      <c r="C480" s="46">
        <f t="shared" ca="1" si="63"/>
        <v>2.6283801432928078</v>
      </c>
      <c r="D480" s="47">
        <f t="shared" ca="1" si="64"/>
        <v>2290984639.3790054</v>
      </c>
      <c r="E480" s="47">
        <f t="shared" ca="1" si="65"/>
        <v>9693655249043.9023</v>
      </c>
      <c r="F480" s="47">
        <f t="shared" ca="1" si="66"/>
        <v>2589855822664.7593</v>
      </c>
      <c r="G480" s="47">
        <f t="shared" ca="1" si="67"/>
        <v>66351762869847.289</v>
      </c>
      <c r="H480" s="47">
        <f t="shared" ca="1" si="68"/>
        <v>9693655249043.9023</v>
      </c>
      <c r="I480" s="47">
        <f t="shared" ca="1" si="69"/>
        <v>1822979544576.603</v>
      </c>
      <c r="J480" s="47">
        <f t="shared" ca="1" si="70"/>
        <v>1524536443934.2935</v>
      </c>
      <c r="K480" s="48">
        <f t="shared" ca="1" si="71"/>
        <v>1.1957598992334566</v>
      </c>
    </row>
    <row r="481" spans="2:11" ht="15" customHeight="1" x14ac:dyDescent="0.35">
      <c r="B481" s="5">
        <v>460</v>
      </c>
      <c r="C481" s="46">
        <f t="shared" ca="1" si="63"/>
        <v>2.757871957721215</v>
      </c>
      <c r="D481" s="47">
        <f t="shared" ca="1" si="64"/>
        <v>3467015567.8023844</v>
      </c>
      <c r="E481" s="47">
        <f t="shared" ca="1" si="65"/>
        <v>18503905198635.953</v>
      </c>
      <c r="F481" s="47">
        <f t="shared" ca="1" si="66"/>
        <v>1667305116351.6689</v>
      </c>
      <c r="G481" s="47">
        <f t="shared" ca="1" si="67"/>
        <v>12300895853153.348</v>
      </c>
      <c r="H481" s="47">
        <f t="shared" ca="1" si="68"/>
        <v>12300895853153.348</v>
      </c>
      <c r="I481" s="47">
        <f t="shared" ca="1" si="69"/>
        <v>18577420068959.461</v>
      </c>
      <c r="J481" s="47">
        <f t="shared" ca="1" si="70"/>
        <v>2024893730490.1851</v>
      </c>
      <c r="K481" s="48">
        <f t="shared" ca="1" si="71"/>
        <v>9.1745160692765104</v>
      </c>
    </row>
    <row r="482" spans="2:11" ht="15" customHeight="1" x14ac:dyDescent="0.35">
      <c r="B482" s="5">
        <v>461</v>
      </c>
      <c r="C482" s="46">
        <f t="shared" ca="1" si="63"/>
        <v>2.9174080396849544</v>
      </c>
      <c r="D482" s="47">
        <f t="shared" ca="1" si="64"/>
        <v>3809185950.0612402</v>
      </c>
      <c r="E482" s="47">
        <f t="shared" ca="1" si="65"/>
        <v>9904150192828.9297</v>
      </c>
      <c r="F482" s="47">
        <f t="shared" ca="1" si="66"/>
        <v>7065394254667.2119</v>
      </c>
      <c r="G482" s="47">
        <f t="shared" ca="1" si="67"/>
        <v>21367368132387.457</v>
      </c>
      <c r="H482" s="47">
        <f t="shared" ca="1" si="68"/>
        <v>9904150192828.9297</v>
      </c>
      <c r="I482" s="47">
        <f t="shared" ca="1" si="69"/>
        <v>2266732338974.606</v>
      </c>
      <c r="J482" s="47">
        <f t="shared" ca="1" si="70"/>
        <v>636598223932.45166</v>
      </c>
      <c r="K482" s="48">
        <f t="shared" ca="1" si="71"/>
        <v>3.560695355026823</v>
      </c>
    </row>
    <row r="483" spans="2:11" ht="15" customHeight="1" x14ac:dyDescent="0.35">
      <c r="B483" s="5">
        <v>462</v>
      </c>
      <c r="C483" s="46">
        <f t="shared" ca="1" si="63"/>
        <v>2.7856082358485503</v>
      </c>
      <c r="D483" s="47">
        <f t="shared" ca="1" si="64"/>
        <v>3541488623.9224205</v>
      </c>
      <c r="E483" s="47">
        <f t="shared" ca="1" si="65"/>
        <v>14023651911643.043</v>
      </c>
      <c r="F483" s="47">
        <f t="shared" ca="1" si="66"/>
        <v>8334391973442.9736</v>
      </c>
      <c r="G483" s="47">
        <f t="shared" ca="1" si="67"/>
        <v>21218921574487.734</v>
      </c>
      <c r="H483" s="47">
        <f t="shared" ca="1" si="68"/>
        <v>21218921574487.734</v>
      </c>
      <c r="I483" s="47">
        <f t="shared" ca="1" si="69"/>
        <v>69362903505105.266</v>
      </c>
      <c r="J483" s="47">
        <f t="shared" ca="1" si="70"/>
        <v>1286354496365.1301</v>
      </c>
      <c r="K483" s="48">
        <f t="shared" ca="1" si="71"/>
        <v>53.922074903228456</v>
      </c>
    </row>
    <row r="484" spans="2:11" ht="15" customHeight="1" x14ac:dyDescent="0.35">
      <c r="B484" s="5">
        <v>463</v>
      </c>
      <c r="C484" s="46">
        <f t="shared" ca="1" si="63"/>
        <v>3.1180982144857357</v>
      </c>
      <c r="D484" s="47">
        <f t="shared" ca="1" si="64"/>
        <v>6974586286.6749945</v>
      </c>
      <c r="E484" s="47">
        <f t="shared" ca="1" si="65"/>
        <v>10973001751363.23</v>
      </c>
      <c r="F484" s="47">
        <f t="shared" ca="1" si="66"/>
        <v>2545232005438.9805</v>
      </c>
      <c r="G484" s="47">
        <f t="shared" ca="1" si="67"/>
        <v>106342002375.91594</v>
      </c>
      <c r="H484" s="47">
        <f t="shared" ca="1" si="68"/>
        <v>106342002375.91594</v>
      </c>
      <c r="I484" s="47">
        <f t="shared" ca="1" si="69"/>
        <v>8693940886110.1172</v>
      </c>
      <c r="J484" s="47">
        <f t="shared" ca="1" si="70"/>
        <v>1599066478036.7363</v>
      </c>
      <c r="K484" s="48">
        <f t="shared" ca="1" si="71"/>
        <v>5.4368852111665529</v>
      </c>
    </row>
    <row r="485" spans="2:11" ht="15" customHeight="1" x14ac:dyDescent="0.35">
      <c r="B485" s="5">
        <v>464</v>
      </c>
      <c r="C485" s="46">
        <f t="shared" ca="1" si="63"/>
        <v>3.0145506187640883</v>
      </c>
      <c r="D485" s="47">
        <f t="shared" ca="1" si="64"/>
        <v>5902934991.0506563</v>
      </c>
      <c r="E485" s="47">
        <f t="shared" ca="1" si="65"/>
        <v>5911558095249.5381</v>
      </c>
      <c r="F485" s="47">
        <f t="shared" ca="1" si="66"/>
        <v>11199225822213.115</v>
      </c>
      <c r="G485" s="47">
        <f t="shared" ca="1" si="67"/>
        <v>6788960605302.5225</v>
      </c>
      <c r="H485" s="47">
        <f t="shared" ca="1" si="68"/>
        <v>6788960605302.5225</v>
      </c>
      <c r="I485" s="47">
        <f t="shared" ca="1" si="69"/>
        <v>4415987435518.8828</v>
      </c>
      <c r="J485" s="47">
        <f t="shared" ca="1" si="70"/>
        <v>2297965278432.6694</v>
      </c>
      <c r="K485" s="48">
        <f t="shared" ca="1" si="71"/>
        <v>1.9216945864955859</v>
      </c>
    </row>
    <row r="486" spans="2:11" ht="15" customHeight="1" x14ac:dyDescent="0.35">
      <c r="B486" s="5">
        <v>465</v>
      </c>
      <c r="C486" s="46">
        <f t="shared" ca="1" si="63"/>
        <v>2.7392002656733991</v>
      </c>
      <c r="D486" s="47">
        <f t="shared" ca="1" si="64"/>
        <v>2474205106.0616751</v>
      </c>
      <c r="E486" s="47">
        <f t="shared" ca="1" si="65"/>
        <v>7855747586596.2705</v>
      </c>
      <c r="F486" s="47">
        <f t="shared" ca="1" si="66"/>
        <v>1923809046382.6184</v>
      </c>
      <c r="G486" s="47">
        <f t="shared" ca="1" si="67"/>
        <v>71958435042891.922</v>
      </c>
      <c r="H486" s="47">
        <f t="shared" ca="1" si="68"/>
        <v>71958435042891.922</v>
      </c>
      <c r="I486" s="47">
        <f t="shared" ca="1" si="69"/>
        <v>46741206742567.648</v>
      </c>
      <c r="J486" s="47">
        <f t="shared" ca="1" si="70"/>
        <v>963636019679.71387</v>
      </c>
      <c r="K486" s="48">
        <f t="shared" ca="1" si="71"/>
        <v>48.505043178131864</v>
      </c>
    </row>
    <row r="487" spans="2:11" ht="15" customHeight="1" x14ac:dyDescent="0.35">
      <c r="B487" s="5">
        <v>466</v>
      </c>
      <c r="C487" s="46">
        <f t="shared" ca="1" si="63"/>
        <v>2.9023371885314879</v>
      </c>
      <c r="D487" s="47">
        <f t="shared" ca="1" si="64"/>
        <v>3980179795.9346018</v>
      </c>
      <c r="E487" s="47">
        <f t="shared" ca="1" si="65"/>
        <v>19399489660225.996</v>
      </c>
      <c r="F487" s="47">
        <f t="shared" ca="1" si="66"/>
        <v>3137810305752.2393</v>
      </c>
      <c r="G487" s="47">
        <f t="shared" ca="1" si="67"/>
        <v>3641503353939.6953</v>
      </c>
      <c r="H487" s="47">
        <f t="shared" ca="1" si="68"/>
        <v>19399489660225.996</v>
      </c>
      <c r="I487" s="47">
        <f t="shared" ca="1" si="69"/>
        <v>5238686490066.1816</v>
      </c>
      <c r="J487" s="47">
        <f t="shared" ca="1" si="70"/>
        <v>1333464813873.9492</v>
      </c>
      <c r="K487" s="48">
        <f t="shared" ca="1" si="71"/>
        <v>3.9286274640025023</v>
      </c>
    </row>
    <row r="488" spans="2:11" ht="15" customHeight="1" x14ac:dyDescent="0.35">
      <c r="B488" s="5">
        <v>467</v>
      </c>
      <c r="C488" s="46">
        <f t="shared" ca="1" si="63"/>
        <v>3.5565186151154271</v>
      </c>
      <c r="D488" s="47">
        <f t="shared" ca="1" si="64"/>
        <v>9942429152.3613358</v>
      </c>
      <c r="E488" s="47">
        <f t="shared" ca="1" si="65"/>
        <v>35454621891004.5</v>
      </c>
      <c r="F488" s="47">
        <f t="shared" ca="1" si="66"/>
        <v>653596091830.61462</v>
      </c>
      <c r="G488" s="47">
        <f t="shared" ca="1" si="67"/>
        <v>27492224193353.73</v>
      </c>
      <c r="H488" s="47">
        <f t="shared" ca="1" si="68"/>
        <v>27492224193353.73</v>
      </c>
      <c r="I488" s="47">
        <f t="shared" ca="1" si="69"/>
        <v>10247789063811.605</v>
      </c>
      <c r="J488" s="47">
        <f t="shared" ca="1" si="70"/>
        <v>565914927108.60681</v>
      </c>
      <c r="K488" s="48">
        <f t="shared" ca="1" si="71"/>
        <v>18.10835617319724</v>
      </c>
    </row>
    <row r="489" spans="2:11" ht="15" customHeight="1" x14ac:dyDescent="0.35">
      <c r="B489" s="5">
        <v>468</v>
      </c>
      <c r="C489" s="46">
        <f t="shared" ca="1" si="63"/>
        <v>3.0008771949988513</v>
      </c>
      <c r="D489" s="47">
        <f t="shared" ca="1" si="64"/>
        <v>4498132813.989892</v>
      </c>
      <c r="E489" s="47">
        <f t="shared" ca="1" si="65"/>
        <v>12876552071730.053</v>
      </c>
      <c r="F489" s="47">
        <f t="shared" ca="1" si="66"/>
        <v>25659512206669.148</v>
      </c>
      <c r="G489" s="47">
        <f t="shared" ca="1" si="67"/>
        <v>159057832150.87262</v>
      </c>
      <c r="H489" s="47">
        <f t="shared" ca="1" si="68"/>
        <v>12876552071730.053</v>
      </c>
      <c r="I489" s="47">
        <f t="shared" ca="1" si="69"/>
        <v>28347146403350.086</v>
      </c>
      <c r="J489" s="47">
        <f t="shared" ca="1" si="70"/>
        <v>887178215136.24438</v>
      </c>
      <c r="K489" s="48">
        <f t="shared" ca="1" si="71"/>
        <v>31.952031643379343</v>
      </c>
    </row>
    <row r="490" spans="2:11" ht="15" customHeight="1" x14ac:dyDescent="0.35">
      <c r="B490" s="5">
        <v>469</v>
      </c>
      <c r="C490" s="46">
        <f t="shared" ca="1" si="63"/>
        <v>2.830375234219932</v>
      </c>
      <c r="D490" s="47">
        <f t="shared" ca="1" si="64"/>
        <v>3077283119.093586</v>
      </c>
      <c r="E490" s="47">
        <f t="shared" ca="1" si="65"/>
        <v>10559847035678.855</v>
      </c>
      <c r="F490" s="47">
        <f t="shared" ca="1" si="66"/>
        <v>2236611731939.542</v>
      </c>
      <c r="G490" s="47">
        <f t="shared" ca="1" si="67"/>
        <v>6883831134218.1943</v>
      </c>
      <c r="H490" s="47">
        <f t="shared" ca="1" si="68"/>
        <v>2236611731939.542</v>
      </c>
      <c r="I490" s="47">
        <f t="shared" ca="1" si="69"/>
        <v>2245384340492.7002</v>
      </c>
      <c r="J490" s="47">
        <f t="shared" ca="1" si="70"/>
        <v>1208783735792.7476</v>
      </c>
      <c r="K490" s="48">
        <f t="shared" ca="1" si="71"/>
        <v>1.8575567109364908</v>
      </c>
    </row>
    <row r="491" spans="2:11" ht="15" customHeight="1" x14ac:dyDescent="0.35">
      <c r="B491" s="5">
        <v>470</v>
      </c>
      <c r="C491" s="46">
        <f t="shared" ca="1" si="63"/>
        <v>3.8753208854703844</v>
      </c>
      <c r="D491" s="47">
        <f t="shared" ca="1" si="64"/>
        <v>18046340073.722969</v>
      </c>
      <c r="E491" s="47">
        <f t="shared" ca="1" si="65"/>
        <v>35542951163003.703</v>
      </c>
      <c r="F491" s="47">
        <f t="shared" ca="1" si="66"/>
        <v>5115122740255.7637</v>
      </c>
      <c r="G491" s="47">
        <f t="shared" ca="1" si="67"/>
        <v>22975422382779.695</v>
      </c>
      <c r="H491" s="47">
        <f t="shared" ca="1" si="68"/>
        <v>35542951163003.703</v>
      </c>
      <c r="I491" s="47">
        <f t="shared" ca="1" si="69"/>
        <v>268351049299826.72</v>
      </c>
      <c r="J491" s="47">
        <f t="shared" ca="1" si="70"/>
        <v>1189203266371.6577</v>
      </c>
      <c r="K491" s="48">
        <f t="shared" ca="1" si="71"/>
        <v>225.65616567686072</v>
      </c>
    </row>
    <row r="492" spans="2:11" ht="15" customHeight="1" x14ac:dyDescent="0.35">
      <c r="B492" s="5">
        <v>471</v>
      </c>
      <c r="C492" s="46">
        <f t="shared" ca="1" si="63"/>
        <v>2.9300065594095526</v>
      </c>
      <c r="D492" s="47">
        <f t="shared" ca="1" si="64"/>
        <v>4655218346.2654448</v>
      </c>
      <c r="E492" s="47">
        <f t="shared" ca="1" si="65"/>
        <v>21203806289648.953</v>
      </c>
      <c r="F492" s="47">
        <f t="shared" ca="1" si="66"/>
        <v>1439418914256.9063</v>
      </c>
      <c r="G492" s="47">
        <f t="shared" ca="1" si="67"/>
        <v>17033901049785.324</v>
      </c>
      <c r="H492" s="47">
        <f t="shared" ca="1" si="68"/>
        <v>1439418914256.9063</v>
      </c>
      <c r="I492" s="47">
        <f t="shared" ca="1" si="69"/>
        <v>2167911401024.5894</v>
      </c>
      <c r="J492" s="47">
        <f t="shared" ca="1" si="70"/>
        <v>806794415193.93372</v>
      </c>
      <c r="K492" s="48">
        <f t="shared" ca="1" si="71"/>
        <v>2.6870679322978162</v>
      </c>
    </row>
    <row r="493" spans="2:11" ht="15" customHeight="1" x14ac:dyDescent="0.35">
      <c r="B493" s="5">
        <v>472</v>
      </c>
      <c r="C493" s="46">
        <f t="shared" ca="1" si="63"/>
        <v>2.0873847203273339</v>
      </c>
      <c r="D493" s="47">
        <f t="shared" ca="1" si="64"/>
        <v>879436782.55903625</v>
      </c>
      <c r="E493" s="47">
        <f t="shared" ca="1" si="65"/>
        <v>2700371401129.7349</v>
      </c>
      <c r="F493" s="47">
        <f t="shared" ca="1" si="66"/>
        <v>2607823785746.0625</v>
      </c>
      <c r="G493" s="47">
        <f t="shared" ca="1" si="67"/>
        <v>1577816423744.729</v>
      </c>
      <c r="H493" s="47">
        <f t="shared" ca="1" si="68"/>
        <v>2700371401129.7349</v>
      </c>
      <c r="I493" s="47">
        <f t="shared" ca="1" si="69"/>
        <v>12027299990774.65</v>
      </c>
      <c r="J493" s="47">
        <f t="shared" ca="1" si="70"/>
        <v>819676522738.31482</v>
      </c>
      <c r="K493" s="48">
        <f t="shared" ca="1" si="71"/>
        <v>14.673227373396928</v>
      </c>
    </row>
    <row r="494" spans="2:11" ht="15" customHeight="1" x14ac:dyDescent="0.35">
      <c r="B494" s="5">
        <v>473</v>
      </c>
      <c r="C494" s="46">
        <f t="shared" ca="1" si="63"/>
        <v>2.6850187176080844</v>
      </c>
      <c r="D494" s="47">
        <f t="shared" ca="1" si="64"/>
        <v>2471844682.6989074</v>
      </c>
      <c r="E494" s="47">
        <f t="shared" ca="1" si="65"/>
        <v>1731884528897.8469</v>
      </c>
      <c r="F494" s="47">
        <f t="shared" ca="1" si="66"/>
        <v>2334818153236.5166</v>
      </c>
      <c r="G494" s="47">
        <f t="shared" ca="1" si="67"/>
        <v>7868012031709.374</v>
      </c>
      <c r="H494" s="47">
        <f t="shared" ca="1" si="68"/>
        <v>1731884528897.8469</v>
      </c>
      <c r="I494" s="47">
        <f t="shared" ca="1" si="69"/>
        <v>43012361108974.078</v>
      </c>
      <c r="J494" s="47">
        <f t="shared" ca="1" si="70"/>
        <v>2065149299476.2075</v>
      </c>
      <c r="K494" s="48">
        <f t="shared" ca="1" si="71"/>
        <v>20.827724716989461</v>
      </c>
    </row>
    <row r="495" spans="2:11" ht="15" customHeight="1" x14ac:dyDescent="0.35">
      <c r="B495" s="5">
        <v>474</v>
      </c>
      <c r="C495" s="46">
        <f t="shared" ca="1" si="63"/>
        <v>2.0508133358520109</v>
      </c>
      <c r="D495" s="47">
        <f t="shared" ca="1" si="64"/>
        <v>854835007.14160156</v>
      </c>
      <c r="E495" s="47">
        <f t="shared" ca="1" si="65"/>
        <v>823926546272.49072</v>
      </c>
      <c r="F495" s="47">
        <f t="shared" ca="1" si="66"/>
        <v>12598687372086.205</v>
      </c>
      <c r="G495" s="47">
        <f t="shared" ca="1" si="67"/>
        <v>2741243127891.4517</v>
      </c>
      <c r="H495" s="47">
        <f t="shared" ca="1" si="68"/>
        <v>2741243127891.4517</v>
      </c>
      <c r="I495" s="47">
        <f t="shared" ca="1" si="69"/>
        <v>1695580949227.7742</v>
      </c>
      <c r="J495" s="47">
        <f t="shared" ca="1" si="70"/>
        <v>1585817164186.9224</v>
      </c>
      <c r="K495" s="48">
        <f t="shared" ca="1" si="71"/>
        <v>1.0692159143687474</v>
      </c>
    </row>
    <row r="496" spans="2:11" ht="15" customHeight="1" x14ac:dyDescent="0.35">
      <c r="B496" s="5">
        <v>475</v>
      </c>
      <c r="C496" s="46">
        <f t="shared" ca="1" si="63"/>
        <v>3.0856982437085847</v>
      </c>
      <c r="D496" s="47">
        <f t="shared" ca="1" si="64"/>
        <v>4510267151.8642797</v>
      </c>
      <c r="E496" s="47">
        <f t="shared" ca="1" si="65"/>
        <v>6073444356135.0234</v>
      </c>
      <c r="F496" s="47">
        <f t="shared" ca="1" si="66"/>
        <v>287716176221.53314</v>
      </c>
      <c r="G496" s="47">
        <f t="shared" ca="1" si="67"/>
        <v>5158946156158.9668</v>
      </c>
      <c r="H496" s="47">
        <f t="shared" ca="1" si="68"/>
        <v>287716176221.53314</v>
      </c>
      <c r="I496" s="47">
        <f t="shared" ca="1" si="69"/>
        <v>14105155755975.582</v>
      </c>
      <c r="J496" s="47">
        <f t="shared" ca="1" si="70"/>
        <v>1704230682188.1277</v>
      </c>
      <c r="K496" s="48">
        <f t="shared" ca="1" si="71"/>
        <v>8.2765531118506956</v>
      </c>
    </row>
    <row r="497" spans="2:11" ht="15" customHeight="1" x14ac:dyDescent="0.35">
      <c r="B497" s="5">
        <v>476</v>
      </c>
      <c r="C497" s="46">
        <f t="shared" ca="1" si="63"/>
        <v>2.7320059102518526</v>
      </c>
      <c r="D497" s="47">
        <f t="shared" ca="1" si="64"/>
        <v>3111085276.486372</v>
      </c>
      <c r="E497" s="47">
        <f t="shared" ca="1" si="65"/>
        <v>5885333853742.3662</v>
      </c>
      <c r="F497" s="47">
        <f t="shared" ca="1" si="66"/>
        <v>812492513566.44128</v>
      </c>
      <c r="G497" s="47">
        <f t="shared" ca="1" si="67"/>
        <v>11607545117601.818</v>
      </c>
      <c r="H497" s="47">
        <f t="shared" ca="1" si="68"/>
        <v>5885333853742.3662</v>
      </c>
      <c r="I497" s="47">
        <f t="shared" ca="1" si="69"/>
        <v>3707721451457.8623</v>
      </c>
      <c r="J497" s="47">
        <f t="shared" ca="1" si="70"/>
        <v>1019948657895.5406</v>
      </c>
      <c r="K497" s="48">
        <f t="shared" ca="1" si="71"/>
        <v>3.6352040102763619</v>
      </c>
    </row>
    <row r="498" spans="2:11" ht="15" customHeight="1" x14ac:dyDescent="0.35">
      <c r="B498" s="5">
        <v>477</v>
      </c>
      <c r="C498" s="46">
        <f t="shared" ca="1" si="63"/>
        <v>3.0481158172181138</v>
      </c>
      <c r="D498" s="47">
        <f t="shared" ca="1" si="64"/>
        <v>4299008119.5473967</v>
      </c>
      <c r="E498" s="47">
        <f t="shared" ca="1" si="65"/>
        <v>23492950115967.031</v>
      </c>
      <c r="F498" s="47">
        <f t="shared" ca="1" si="66"/>
        <v>3720124271276.5571</v>
      </c>
      <c r="G498" s="47">
        <f t="shared" ca="1" si="67"/>
        <v>1053955738142.9585</v>
      </c>
      <c r="H498" s="47">
        <f t="shared" ca="1" si="68"/>
        <v>3720124271276.5571</v>
      </c>
      <c r="I498" s="47">
        <f t="shared" ca="1" si="69"/>
        <v>7104541549782.3623</v>
      </c>
      <c r="J498" s="47">
        <f t="shared" ca="1" si="70"/>
        <v>1422864549648.1758</v>
      </c>
      <c r="K498" s="48">
        <f t="shared" ca="1" si="71"/>
        <v>4.9931256995186679</v>
      </c>
    </row>
    <row r="499" spans="2:11" ht="15" customHeight="1" x14ac:dyDescent="0.35">
      <c r="B499" s="5">
        <v>478</v>
      </c>
      <c r="C499" s="46">
        <f t="shared" ca="1" si="63"/>
        <v>3.4084505170737933</v>
      </c>
      <c r="D499" s="47">
        <f t="shared" ca="1" si="64"/>
        <v>10764193081.681612</v>
      </c>
      <c r="E499" s="47">
        <f t="shared" ca="1" si="65"/>
        <v>111051183790562.02</v>
      </c>
      <c r="F499" s="47">
        <f t="shared" ca="1" si="66"/>
        <v>826998832090.82825</v>
      </c>
      <c r="G499" s="47">
        <f t="shared" ca="1" si="67"/>
        <v>514647893782.12775</v>
      </c>
      <c r="H499" s="47">
        <f t="shared" ca="1" si="68"/>
        <v>111051183790562.02</v>
      </c>
      <c r="I499" s="47">
        <f t="shared" ca="1" si="69"/>
        <v>2549090795566.77</v>
      </c>
      <c r="J499" s="47">
        <f t="shared" ca="1" si="70"/>
        <v>619475087972.7041</v>
      </c>
      <c r="K499" s="48">
        <f t="shared" ca="1" si="71"/>
        <v>4.114920591736678</v>
      </c>
    </row>
    <row r="500" spans="2:11" ht="15" customHeight="1" x14ac:dyDescent="0.35">
      <c r="B500" s="5">
        <v>479</v>
      </c>
      <c r="C500" s="46">
        <f t="shared" ca="1" si="63"/>
        <v>2.5147835056358732</v>
      </c>
      <c r="D500" s="47">
        <f t="shared" ca="1" si="64"/>
        <v>2044554058.3543768</v>
      </c>
      <c r="E500" s="47">
        <f t="shared" ca="1" si="65"/>
        <v>20112981375267.781</v>
      </c>
      <c r="F500" s="47">
        <f t="shared" ca="1" si="66"/>
        <v>4381148274622.2563</v>
      </c>
      <c r="G500" s="47">
        <f t="shared" ca="1" si="67"/>
        <v>9691487572897.3984</v>
      </c>
      <c r="H500" s="47">
        <f t="shared" ca="1" si="68"/>
        <v>9691487572897.3984</v>
      </c>
      <c r="I500" s="47">
        <f t="shared" ca="1" si="69"/>
        <v>2542171503954.666</v>
      </c>
      <c r="J500" s="47">
        <f t="shared" ca="1" si="70"/>
        <v>993464456478.58167</v>
      </c>
      <c r="K500" s="48">
        <f t="shared" ca="1" si="71"/>
        <v>2.5588952753937537</v>
      </c>
    </row>
    <row r="501" spans="2:11" ht="15" customHeight="1" x14ac:dyDescent="0.35">
      <c r="B501" s="5">
        <v>480</v>
      </c>
      <c r="C501" s="46">
        <f t="shared" ca="1" si="63"/>
        <v>3.1309040856366828</v>
      </c>
      <c r="D501" s="47">
        <f t="shared" ca="1" si="64"/>
        <v>6764492525.8435383</v>
      </c>
      <c r="E501" s="47">
        <f t="shared" ca="1" si="65"/>
        <v>11318001403638.725</v>
      </c>
      <c r="F501" s="47">
        <f t="shared" ca="1" si="66"/>
        <v>4443163602529.2998</v>
      </c>
      <c r="G501" s="47">
        <f t="shared" ca="1" si="67"/>
        <v>2883250638685.6743</v>
      </c>
      <c r="H501" s="47">
        <f t="shared" ca="1" si="68"/>
        <v>11318001403638.725</v>
      </c>
      <c r="I501" s="47">
        <f t="shared" ca="1" si="69"/>
        <v>15363650690241.467</v>
      </c>
      <c r="J501" s="47">
        <f t="shared" ca="1" si="70"/>
        <v>1371065113937.7415</v>
      </c>
      <c r="K501" s="48">
        <f t="shared" ca="1" si="71"/>
        <v>11.205631690326207</v>
      </c>
    </row>
    <row r="502" spans="2:11" ht="15" customHeight="1" x14ac:dyDescent="0.35">
      <c r="B502" s="5">
        <v>481</v>
      </c>
      <c r="C502" s="46">
        <f t="shared" ca="1" si="63"/>
        <v>3.8109234277325235</v>
      </c>
      <c r="D502" s="47">
        <f t="shared" ca="1" si="64"/>
        <v>18665450027.044781</v>
      </c>
      <c r="E502" s="47">
        <f t="shared" ca="1" si="65"/>
        <v>27817592203344.707</v>
      </c>
      <c r="F502" s="47">
        <f t="shared" ca="1" si="66"/>
        <v>3118075782360.0459</v>
      </c>
      <c r="G502" s="47">
        <f t="shared" ca="1" si="67"/>
        <v>3106681087492.7637</v>
      </c>
      <c r="H502" s="47">
        <f t="shared" ca="1" si="68"/>
        <v>3118075782360.0459</v>
      </c>
      <c r="I502" s="47">
        <f t="shared" ca="1" si="69"/>
        <v>1078870693642.9384</v>
      </c>
      <c r="J502" s="47">
        <f t="shared" ca="1" si="70"/>
        <v>1305796585464.123</v>
      </c>
      <c r="K502" s="48">
        <f t="shared" ca="1" si="71"/>
        <v>0.82621650696036419</v>
      </c>
    </row>
    <row r="503" spans="2:11" ht="15" customHeight="1" x14ac:dyDescent="0.35">
      <c r="B503" s="5">
        <v>482</v>
      </c>
      <c r="C503" s="46">
        <f t="shared" ca="1" si="63"/>
        <v>2.5505894513739045</v>
      </c>
      <c r="D503" s="47">
        <f t="shared" ca="1" si="64"/>
        <v>1744693956.5994186</v>
      </c>
      <c r="E503" s="47">
        <f t="shared" ca="1" si="65"/>
        <v>5624123187767.6563</v>
      </c>
      <c r="F503" s="47">
        <f t="shared" ca="1" si="66"/>
        <v>7253463736354.1729</v>
      </c>
      <c r="G503" s="47">
        <f t="shared" ca="1" si="67"/>
        <v>3346453763090.5596</v>
      </c>
      <c r="H503" s="47">
        <f t="shared" ca="1" si="68"/>
        <v>7253463736354.1729</v>
      </c>
      <c r="I503" s="47">
        <f t="shared" ca="1" si="69"/>
        <v>441652834382963.13</v>
      </c>
      <c r="J503" s="47">
        <f t="shared" ca="1" si="70"/>
        <v>1545515016572.2742</v>
      </c>
      <c r="K503" s="48">
        <f t="shared" ca="1" si="71"/>
        <v>285.76418193754233</v>
      </c>
    </row>
    <row r="504" spans="2:11" ht="15" customHeight="1" x14ac:dyDescent="0.35">
      <c r="B504" s="5">
        <v>483</v>
      </c>
      <c r="C504" s="46">
        <f t="shared" ca="1" si="63"/>
        <v>2.9463359494213015</v>
      </c>
      <c r="D504" s="47">
        <f t="shared" ca="1" si="64"/>
        <v>4694075349.1972628</v>
      </c>
      <c r="E504" s="47">
        <f t="shared" ca="1" si="65"/>
        <v>18237427763000.816</v>
      </c>
      <c r="F504" s="47">
        <f t="shared" ca="1" si="66"/>
        <v>5434884107551.9219</v>
      </c>
      <c r="G504" s="47">
        <f t="shared" ca="1" si="67"/>
        <v>510487507130.7948</v>
      </c>
      <c r="H504" s="47">
        <f t="shared" ca="1" si="68"/>
        <v>18237427763000.816</v>
      </c>
      <c r="I504" s="47">
        <f t="shared" ca="1" si="69"/>
        <v>2650151929521.5586</v>
      </c>
      <c r="J504" s="47">
        <f t="shared" ca="1" si="70"/>
        <v>1867726277396.8267</v>
      </c>
      <c r="K504" s="48">
        <f t="shared" ca="1" si="71"/>
        <v>1.4189188006795355</v>
      </c>
    </row>
    <row r="505" spans="2:11" ht="15" customHeight="1" x14ac:dyDescent="0.35">
      <c r="B505" s="5">
        <v>484</v>
      </c>
      <c r="C505" s="46">
        <f t="shared" ca="1" si="63"/>
        <v>3.3769975526286435</v>
      </c>
      <c r="D505" s="47">
        <f t="shared" ca="1" si="64"/>
        <v>8357296408.0123577</v>
      </c>
      <c r="E505" s="47">
        <f t="shared" ca="1" si="65"/>
        <v>25210399559856.992</v>
      </c>
      <c r="F505" s="47">
        <f t="shared" ca="1" si="66"/>
        <v>1541667026164.4604</v>
      </c>
      <c r="G505" s="47">
        <f t="shared" ca="1" si="67"/>
        <v>1656440710129.4084</v>
      </c>
      <c r="H505" s="47">
        <f t="shared" ca="1" si="68"/>
        <v>1541667026164.4604</v>
      </c>
      <c r="I505" s="47">
        <f t="shared" ca="1" si="69"/>
        <v>381021848713.88269</v>
      </c>
      <c r="J505" s="47">
        <f t="shared" ca="1" si="70"/>
        <v>2436252360522.6772</v>
      </c>
      <c r="K505" s="48">
        <f t="shared" ca="1" si="71"/>
        <v>0.15639670786491827</v>
      </c>
    </row>
    <row r="506" spans="2:11" ht="15" customHeight="1" x14ac:dyDescent="0.35">
      <c r="B506" s="5">
        <v>485</v>
      </c>
      <c r="C506" s="46">
        <f t="shared" ca="1" si="63"/>
        <v>3.6817521917118157</v>
      </c>
      <c r="D506" s="47">
        <f t="shared" ca="1" si="64"/>
        <v>11635910875.348989</v>
      </c>
      <c r="E506" s="47">
        <f t="shared" ca="1" si="65"/>
        <v>16027209149341.432</v>
      </c>
      <c r="F506" s="47">
        <f t="shared" ca="1" si="66"/>
        <v>3424967752799.5308</v>
      </c>
      <c r="G506" s="47">
        <f t="shared" ca="1" si="67"/>
        <v>21996928217341.836</v>
      </c>
      <c r="H506" s="47">
        <f t="shared" ca="1" si="68"/>
        <v>3424967752799.5308</v>
      </c>
      <c r="I506" s="47">
        <f t="shared" ca="1" si="69"/>
        <v>45297241247265.992</v>
      </c>
      <c r="J506" s="47">
        <f t="shared" ca="1" si="70"/>
        <v>810572844357.6792</v>
      </c>
      <c r="K506" s="48">
        <f t="shared" ca="1" si="71"/>
        <v>55.88299874906469</v>
      </c>
    </row>
    <row r="507" spans="2:11" ht="15" customHeight="1" x14ac:dyDescent="0.35">
      <c r="B507" s="5">
        <v>486</v>
      </c>
      <c r="C507" s="46">
        <f t="shared" ca="1" si="63"/>
        <v>3.2927693712291903</v>
      </c>
      <c r="D507" s="47">
        <f t="shared" ca="1" si="64"/>
        <v>8889342274.2664318</v>
      </c>
      <c r="E507" s="47">
        <f t="shared" ca="1" si="65"/>
        <v>19696078145611.906</v>
      </c>
      <c r="F507" s="47">
        <f t="shared" ca="1" si="66"/>
        <v>763664152155.47363</v>
      </c>
      <c r="G507" s="47">
        <f t="shared" ca="1" si="67"/>
        <v>16569997982283.564</v>
      </c>
      <c r="H507" s="47">
        <f t="shared" ca="1" si="68"/>
        <v>19696078145611.906</v>
      </c>
      <c r="I507" s="47">
        <f t="shared" ca="1" si="69"/>
        <v>30068307307619.586</v>
      </c>
      <c r="J507" s="47">
        <f t="shared" ca="1" si="70"/>
        <v>1028629269085.283</v>
      </c>
      <c r="K507" s="48">
        <f t="shared" ca="1" si="71"/>
        <v>29.231432753569297</v>
      </c>
    </row>
    <row r="508" spans="2:11" ht="15" customHeight="1" x14ac:dyDescent="0.35">
      <c r="B508" s="5">
        <v>487</v>
      </c>
      <c r="C508" s="46">
        <f t="shared" ca="1" si="63"/>
        <v>2.9514021972354674</v>
      </c>
      <c r="D508" s="47">
        <f t="shared" ca="1" si="64"/>
        <v>4225197175.1448054</v>
      </c>
      <c r="E508" s="47">
        <f t="shared" ca="1" si="65"/>
        <v>6789012569926.917</v>
      </c>
      <c r="F508" s="47">
        <f t="shared" ca="1" si="66"/>
        <v>4406125981085.6943</v>
      </c>
      <c r="G508" s="47">
        <f t="shared" ca="1" si="67"/>
        <v>3310727539936.373</v>
      </c>
      <c r="H508" s="47">
        <f t="shared" ca="1" si="68"/>
        <v>3310727539936.373</v>
      </c>
      <c r="I508" s="47">
        <f t="shared" ca="1" si="69"/>
        <v>24279351895436.672</v>
      </c>
      <c r="J508" s="47">
        <f t="shared" ca="1" si="70"/>
        <v>1776841379594.3167</v>
      </c>
      <c r="K508" s="48">
        <f t="shared" ca="1" si="71"/>
        <v>13.664332772900677</v>
      </c>
    </row>
    <row r="509" spans="2:11" ht="15" customHeight="1" x14ac:dyDescent="0.35">
      <c r="B509" s="5">
        <v>488</v>
      </c>
      <c r="C509" s="46">
        <f t="shared" ca="1" si="63"/>
        <v>3.0201223107312134</v>
      </c>
      <c r="D509" s="47">
        <f t="shared" ca="1" si="64"/>
        <v>4306182399.9297771</v>
      </c>
      <c r="E509" s="47">
        <f t="shared" ca="1" si="65"/>
        <v>9818592687632.0078</v>
      </c>
      <c r="F509" s="47">
        <f t="shared" ca="1" si="66"/>
        <v>3018564651589.6509</v>
      </c>
      <c r="G509" s="47">
        <f t="shared" ca="1" si="67"/>
        <v>7072198953292.0625</v>
      </c>
      <c r="H509" s="47">
        <f t="shared" ca="1" si="68"/>
        <v>7072198953292.0625</v>
      </c>
      <c r="I509" s="47">
        <f t="shared" ca="1" si="69"/>
        <v>78209571463.707718</v>
      </c>
      <c r="J509" s="47">
        <f t="shared" ca="1" si="70"/>
        <v>1184090849091.2856</v>
      </c>
      <c r="K509" s="48">
        <f t="shared" ca="1" si="71"/>
        <v>6.605031322024707E-2</v>
      </c>
    </row>
    <row r="510" spans="2:11" ht="15" customHeight="1" x14ac:dyDescent="0.35">
      <c r="B510" s="5">
        <v>489</v>
      </c>
      <c r="C510" s="46">
        <f t="shared" ca="1" si="63"/>
        <v>2.8924311714709607</v>
      </c>
      <c r="D510" s="47">
        <f t="shared" ca="1" si="64"/>
        <v>4546917362.8710928</v>
      </c>
      <c r="E510" s="47">
        <f t="shared" ca="1" si="65"/>
        <v>10053280689522.619</v>
      </c>
      <c r="F510" s="47">
        <f t="shared" ca="1" si="66"/>
        <v>3787728510974.9858</v>
      </c>
      <c r="G510" s="47">
        <f t="shared" ca="1" si="67"/>
        <v>512361865628.26227</v>
      </c>
      <c r="H510" s="47">
        <f t="shared" ca="1" si="68"/>
        <v>3787728510974.9858</v>
      </c>
      <c r="I510" s="47">
        <f t="shared" ca="1" si="69"/>
        <v>7481957979176.2578</v>
      </c>
      <c r="J510" s="47">
        <f t="shared" ca="1" si="70"/>
        <v>1790850335861.238</v>
      </c>
      <c r="K510" s="48">
        <f t="shared" ca="1" si="71"/>
        <v>4.1778800993875951</v>
      </c>
    </row>
    <row r="511" spans="2:11" ht="15" customHeight="1" x14ac:dyDescent="0.35">
      <c r="B511" s="5">
        <v>490</v>
      </c>
      <c r="C511" s="46">
        <f t="shared" ca="1" si="63"/>
        <v>2.8288945624765724</v>
      </c>
      <c r="D511" s="47">
        <f t="shared" ca="1" si="64"/>
        <v>3753089277.7998853</v>
      </c>
      <c r="E511" s="47">
        <f t="shared" ca="1" si="65"/>
        <v>28621842608378.094</v>
      </c>
      <c r="F511" s="47">
        <f t="shared" ca="1" si="66"/>
        <v>8638613260342.0664</v>
      </c>
      <c r="G511" s="47">
        <f t="shared" ca="1" si="67"/>
        <v>5380485250758.3447</v>
      </c>
      <c r="H511" s="47">
        <f t="shared" ca="1" si="68"/>
        <v>8638613260342.0664</v>
      </c>
      <c r="I511" s="47">
        <f t="shared" ca="1" si="69"/>
        <v>21287602460274.418</v>
      </c>
      <c r="J511" s="47">
        <f t="shared" ca="1" si="70"/>
        <v>1313705915834.5496</v>
      </c>
      <c r="K511" s="48">
        <f t="shared" ca="1" si="71"/>
        <v>16.20423734390446</v>
      </c>
    </row>
    <row r="512" spans="2:11" ht="15" customHeight="1" x14ac:dyDescent="0.35">
      <c r="B512" s="5">
        <v>491</v>
      </c>
      <c r="C512" s="46">
        <f t="shared" ca="1" si="63"/>
        <v>2.6900922281765896</v>
      </c>
      <c r="D512" s="47">
        <f t="shared" ca="1" si="64"/>
        <v>2648371583.1660943</v>
      </c>
      <c r="E512" s="47">
        <f t="shared" ca="1" si="65"/>
        <v>12473746163330.588</v>
      </c>
      <c r="F512" s="47">
        <f t="shared" ca="1" si="66"/>
        <v>2159340700176.5667</v>
      </c>
      <c r="G512" s="47">
        <f t="shared" ca="1" si="67"/>
        <v>1699535932078.8708</v>
      </c>
      <c r="H512" s="47">
        <f t="shared" ca="1" si="68"/>
        <v>1699535932078.8708</v>
      </c>
      <c r="I512" s="47">
        <f t="shared" ca="1" si="69"/>
        <v>3326680717211.6704</v>
      </c>
      <c r="J512" s="47">
        <f t="shared" ca="1" si="70"/>
        <v>1725158017438.9097</v>
      </c>
      <c r="K512" s="48">
        <f t="shared" ca="1" si="71"/>
        <v>1.9283339169998512</v>
      </c>
    </row>
    <row r="513" spans="2:11" ht="15" customHeight="1" x14ac:dyDescent="0.35">
      <c r="B513" s="5">
        <v>492</v>
      </c>
      <c r="C513" s="46">
        <f t="shared" ca="1" si="63"/>
        <v>2.4549398655971957</v>
      </c>
      <c r="D513" s="47">
        <f t="shared" ca="1" si="64"/>
        <v>1726522523.7990274</v>
      </c>
      <c r="E513" s="47">
        <f t="shared" ca="1" si="65"/>
        <v>3633389509796.9424</v>
      </c>
      <c r="F513" s="47">
        <f t="shared" ca="1" si="66"/>
        <v>6984094506402.208</v>
      </c>
      <c r="G513" s="47">
        <f t="shared" ca="1" si="67"/>
        <v>11955206265368.428</v>
      </c>
      <c r="H513" s="47">
        <f t="shared" ca="1" si="68"/>
        <v>11955206265368.428</v>
      </c>
      <c r="I513" s="47">
        <f t="shared" ca="1" si="69"/>
        <v>49778605481363.984</v>
      </c>
      <c r="J513" s="47">
        <f t="shared" ca="1" si="70"/>
        <v>771829011026.09534</v>
      </c>
      <c r="K513" s="48">
        <f t="shared" ca="1" si="71"/>
        <v>64.494343656746764</v>
      </c>
    </row>
    <row r="514" spans="2:11" ht="15" customHeight="1" x14ac:dyDescent="0.35">
      <c r="B514" s="5">
        <v>493</v>
      </c>
      <c r="C514" s="46">
        <f t="shared" ca="1" si="63"/>
        <v>3.9183382525427097</v>
      </c>
      <c r="D514" s="47">
        <f t="shared" ca="1" si="64"/>
        <v>19767190091.111973</v>
      </c>
      <c r="E514" s="47">
        <f t="shared" ca="1" si="65"/>
        <v>52778018660839.867</v>
      </c>
      <c r="F514" s="47">
        <f t="shared" ca="1" si="66"/>
        <v>17580919613103.021</v>
      </c>
      <c r="G514" s="47">
        <f t="shared" ca="1" si="67"/>
        <v>498384931287.56628</v>
      </c>
      <c r="H514" s="47">
        <f t="shared" ca="1" si="68"/>
        <v>17580919613103.021</v>
      </c>
      <c r="I514" s="47">
        <f t="shared" ca="1" si="69"/>
        <v>10981208054981.703</v>
      </c>
      <c r="J514" s="47">
        <f t="shared" ca="1" si="70"/>
        <v>948810690360.40381</v>
      </c>
      <c r="K514" s="48">
        <f t="shared" ca="1" si="71"/>
        <v>11.573655489495501</v>
      </c>
    </row>
    <row r="515" spans="2:11" ht="15" customHeight="1" x14ac:dyDescent="0.35">
      <c r="B515" s="5">
        <v>494</v>
      </c>
      <c r="C515" s="46">
        <f t="shared" ca="1" si="63"/>
        <v>2.9698958364224159</v>
      </c>
      <c r="D515" s="47">
        <f t="shared" ca="1" si="64"/>
        <v>4404901364.0053234</v>
      </c>
      <c r="E515" s="47">
        <f t="shared" ca="1" si="65"/>
        <v>17543897488368.91</v>
      </c>
      <c r="F515" s="47">
        <f t="shared" ca="1" si="66"/>
        <v>45969072241343.305</v>
      </c>
      <c r="G515" s="47">
        <f t="shared" ca="1" si="67"/>
        <v>8443450201460.1338</v>
      </c>
      <c r="H515" s="47">
        <f t="shared" ca="1" si="68"/>
        <v>8443450201460.1338</v>
      </c>
      <c r="I515" s="47">
        <f t="shared" ca="1" si="69"/>
        <v>969757683104.58667</v>
      </c>
      <c r="J515" s="47">
        <f t="shared" ca="1" si="70"/>
        <v>2130795471996.95</v>
      </c>
      <c r="K515" s="48">
        <f t="shared" ca="1" si="71"/>
        <v>0.45511532939186516</v>
      </c>
    </row>
    <row r="516" spans="2:11" ht="15" customHeight="1" x14ac:dyDescent="0.35">
      <c r="B516" s="5">
        <v>495</v>
      </c>
      <c r="C516" s="46">
        <f t="shared" ca="1" si="63"/>
        <v>2.5348206356232903</v>
      </c>
      <c r="D516" s="47">
        <f t="shared" ca="1" si="64"/>
        <v>2325134807.9743609</v>
      </c>
      <c r="E516" s="47">
        <f t="shared" ca="1" si="65"/>
        <v>8542909517726.0957</v>
      </c>
      <c r="F516" s="47">
        <f t="shared" ca="1" si="66"/>
        <v>2499210096715.8501</v>
      </c>
      <c r="G516" s="47">
        <f t="shared" ca="1" si="67"/>
        <v>2142948425494.9592</v>
      </c>
      <c r="H516" s="47">
        <f t="shared" ca="1" si="68"/>
        <v>8542909517726.0957</v>
      </c>
      <c r="I516" s="47">
        <f t="shared" ca="1" si="69"/>
        <v>4094397745064.4277</v>
      </c>
      <c r="J516" s="47">
        <f t="shared" ca="1" si="70"/>
        <v>1719256835283.6685</v>
      </c>
      <c r="K516" s="48">
        <f t="shared" ca="1" si="71"/>
        <v>2.3814927828330394</v>
      </c>
    </row>
    <row r="517" spans="2:11" ht="15" customHeight="1" x14ac:dyDescent="0.35">
      <c r="B517" s="5">
        <v>496</v>
      </c>
      <c r="C517" s="46">
        <f t="shared" ca="1" si="63"/>
        <v>3.2857108412176008</v>
      </c>
      <c r="D517" s="47">
        <f t="shared" ca="1" si="64"/>
        <v>8492545901.483923</v>
      </c>
      <c r="E517" s="47">
        <f t="shared" ca="1" si="65"/>
        <v>41699627287168.633</v>
      </c>
      <c r="F517" s="47">
        <f t="shared" ca="1" si="66"/>
        <v>1943987389086.6514</v>
      </c>
      <c r="G517" s="47">
        <f t="shared" ca="1" si="67"/>
        <v>11572716422508.389</v>
      </c>
      <c r="H517" s="47">
        <f t="shared" ca="1" si="68"/>
        <v>41699627287168.633</v>
      </c>
      <c r="I517" s="47">
        <f t="shared" ca="1" si="69"/>
        <v>270115324167.28351</v>
      </c>
      <c r="J517" s="47">
        <f t="shared" ca="1" si="70"/>
        <v>967064251252.5885</v>
      </c>
      <c r="K517" s="48">
        <f t="shared" ca="1" si="71"/>
        <v>0.27931476509178893</v>
      </c>
    </row>
    <row r="518" spans="2:11" ht="15" customHeight="1" x14ac:dyDescent="0.35">
      <c r="B518" s="5">
        <v>497</v>
      </c>
      <c r="C518" s="46">
        <f t="shared" ca="1" si="63"/>
        <v>3.3870582266514351</v>
      </c>
      <c r="D518" s="47">
        <f t="shared" ca="1" si="64"/>
        <v>8364219127.9964418</v>
      </c>
      <c r="E518" s="47">
        <f t="shared" ca="1" si="65"/>
        <v>34569478028537.844</v>
      </c>
      <c r="F518" s="47">
        <f t="shared" ca="1" si="66"/>
        <v>3454337228179.8384</v>
      </c>
      <c r="G518" s="47">
        <f t="shared" ca="1" si="67"/>
        <v>4813019531805.252</v>
      </c>
      <c r="H518" s="47">
        <f t="shared" ca="1" si="68"/>
        <v>3454337228179.8384</v>
      </c>
      <c r="I518" s="47">
        <f t="shared" ca="1" si="69"/>
        <v>1345383430486.0154</v>
      </c>
      <c r="J518" s="47">
        <f t="shared" ca="1" si="70"/>
        <v>865247991397.26221</v>
      </c>
      <c r="K518" s="48">
        <f t="shared" ca="1" si="71"/>
        <v>1.5549107814898215</v>
      </c>
    </row>
    <row r="519" spans="2:11" ht="15" customHeight="1" x14ac:dyDescent="0.35">
      <c r="B519" s="5">
        <v>498</v>
      </c>
      <c r="C519" s="46">
        <f t="shared" ca="1" si="63"/>
        <v>2.4834025755592912</v>
      </c>
      <c r="D519" s="47">
        <f t="shared" ca="1" si="64"/>
        <v>1730892770.6879413</v>
      </c>
      <c r="E519" s="47">
        <f t="shared" ca="1" si="65"/>
        <v>3882074246377.2148</v>
      </c>
      <c r="F519" s="47">
        <f t="shared" ca="1" si="66"/>
        <v>2899806420794.7739</v>
      </c>
      <c r="G519" s="47">
        <f t="shared" ca="1" si="67"/>
        <v>8853558034189.623</v>
      </c>
      <c r="H519" s="47">
        <f t="shared" ca="1" si="68"/>
        <v>2899806420794.7739</v>
      </c>
      <c r="I519" s="47">
        <f t="shared" ca="1" si="69"/>
        <v>7729355572890.2646</v>
      </c>
      <c r="J519" s="47">
        <f t="shared" ca="1" si="70"/>
        <v>760185979572.14636</v>
      </c>
      <c r="K519" s="48">
        <f t="shared" ca="1" si="71"/>
        <v>10.167716559624736</v>
      </c>
    </row>
    <row r="520" spans="2:11" ht="15" customHeight="1" x14ac:dyDescent="0.35">
      <c r="B520" s="5">
        <v>499</v>
      </c>
      <c r="C520" s="46">
        <f t="shared" ca="1" si="63"/>
        <v>3.8095031744736532</v>
      </c>
      <c r="D520" s="47">
        <f t="shared" ca="1" si="64"/>
        <v>15386573550.671503</v>
      </c>
      <c r="E520" s="47">
        <f t="shared" ca="1" si="65"/>
        <v>33846836628839.953</v>
      </c>
      <c r="F520" s="47">
        <f t="shared" ca="1" si="66"/>
        <v>1310510645470.4507</v>
      </c>
      <c r="G520" s="47">
        <f t="shared" ca="1" si="67"/>
        <v>1132873467374.1272</v>
      </c>
      <c r="H520" s="47">
        <f t="shared" ca="1" si="68"/>
        <v>1132873467374.1272</v>
      </c>
      <c r="I520" s="47">
        <f t="shared" ca="1" si="69"/>
        <v>42619576454404.414</v>
      </c>
      <c r="J520" s="47">
        <f t="shared" ca="1" si="70"/>
        <v>667153974721.32422</v>
      </c>
      <c r="K520" s="48">
        <f t="shared" ca="1" si="71"/>
        <v>63.882668872964395</v>
      </c>
    </row>
    <row r="521" spans="2:11" ht="15" customHeight="1" x14ac:dyDescent="0.35">
      <c r="B521" s="5">
        <v>500</v>
      </c>
      <c r="C521" s="46">
        <f t="shared" ca="1" si="63"/>
        <v>2.9069338107823777</v>
      </c>
      <c r="D521" s="47">
        <f t="shared" ca="1" si="64"/>
        <v>4206547454.5805812</v>
      </c>
      <c r="E521" s="47">
        <f t="shared" ca="1" si="65"/>
        <v>16165510766795.457</v>
      </c>
      <c r="F521" s="47">
        <f t="shared" ca="1" si="66"/>
        <v>2782083964488.9263</v>
      </c>
      <c r="G521" s="47">
        <f t="shared" ca="1" si="67"/>
        <v>1590153603094.4685</v>
      </c>
      <c r="H521" s="47">
        <f t="shared" ca="1" si="68"/>
        <v>2782083964488.9263</v>
      </c>
      <c r="I521" s="47">
        <f t="shared" ca="1" si="69"/>
        <v>45596908529765.555</v>
      </c>
      <c r="J521" s="47">
        <f t="shared" ca="1" si="70"/>
        <v>856953259848.27283</v>
      </c>
      <c r="K521" s="48">
        <f t="shared" ca="1" si="71"/>
        <v>53.208162762387623</v>
      </c>
    </row>
    <row r="522" spans="2:11" ht="15" customHeight="1" x14ac:dyDescent="0.35">
      <c r="B522" s="5">
        <v>501</v>
      </c>
      <c r="C522" s="46">
        <f t="shared" ca="1" si="63"/>
        <v>3.3071004362166407</v>
      </c>
      <c r="D522" s="47">
        <f t="shared" ca="1" si="64"/>
        <v>8880360949.2612019</v>
      </c>
      <c r="E522" s="47">
        <f t="shared" ca="1" si="65"/>
        <v>58482830620023.688</v>
      </c>
      <c r="F522" s="47">
        <f t="shared" ca="1" si="66"/>
        <v>4539980559623.7197</v>
      </c>
      <c r="G522" s="47">
        <f t="shared" ca="1" si="67"/>
        <v>24564120430654.734</v>
      </c>
      <c r="H522" s="47">
        <f t="shared" ca="1" si="68"/>
        <v>24564120430654.734</v>
      </c>
      <c r="I522" s="47">
        <f t="shared" ca="1" si="69"/>
        <v>1311114570884.2358</v>
      </c>
      <c r="J522" s="47">
        <f t="shared" ca="1" si="70"/>
        <v>807144541272.96997</v>
      </c>
      <c r="K522" s="48">
        <f t="shared" ca="1" si="71"/>
        <v>1.6243863445033535</v>
      </c>
    </row>
    <row r="523" spans="2:11" ht="15" customHeight="1" x14ac:dyDescent="0.35">
      <c r="B523" s="5">
        <v>502</v>
      </c>
      <c r="C523" s="46">
        <f t="shared" ca="1" si="63"/>
        <v>3.3018776543966433</v>
      </c>
      <c r="D523" s="47">
        <f t="shared" ca="1" si="64"/>
        <v>8999233887.2064533</v>
      </c>
      <c r="E523" s="47">
        <f t="shared" ca="1" si="65"/>
        <v>38193724020431.805</v>
      </c>
      <c r="F523" s="47">
        <f t="shared" ca="1" si="66"/>
        <v>5443573789653.873</v>
      </c>
      <c r="G523" s="47">
        <f t="shared" ca="1" si="67"/>
        <v>1078487946477.3866</v>
      </c>
      <c r="H523" s="47">
        <f t="shared" ca="1" si="68"/>
        <v>5443573789653.873</v>
      </c>
      <c r="I523" s="47">
        <f t="shared" ca="1" si="69"/>
        <v>61482231029122.516</v>
      </c>
      <c r="J523" s="47">
        <f t="shared" ca="1" si="70"/>
        <v>776533269293.07922</v>
      </c>
      <c r="K523" s="48">
        <f t="shared" ca="1" si="71"/>
        <v>79.175269702344053</v>
      </c>
    </row>
    <row r="524" spans="2:11" ht="15" customHeight="1" x14ac:dyDescent="0.35">
      <c r="B524" s="5">
        <v>503</v>
      </c>
      <c r="C524" s="46">
        <f t="shared" ca="1" si="63"/>
        <v>3.4618390494666902</v>
      </c>
      <c r="D524" s="47">
        <f t="shared" ca="1" si="64"/>
        <v>11657368981.284389</v>
      </c>
      <c r="E524" s="47">
        <f t="shared" ca="1" si="65"/>
        <v>43052795261422.758</v>
      </c>
      <c r="F524" s="47">
        <f t="shared" ca="1" si="66"/>
        <v>624571517412.02466</v>
      </c>
      <c r="G524" s="47">
        <f t="shared" ca="1" si="67"/>
        <v>27538269813084.992</v>
      </c>
      <c r="H524" s="47">
        <f t="shared" ca="1" si="68"/>
        <v>27538269813084.992</v>
      </c>
      <c r="I524" s="47">
        <f t="shared" ca="1" si="69"/>
        <v>17010174763466.799</v>
      </c>
      <c r="J524" s="47">
        <f t="shared" ca="1" si="70"/>
        <v>2215526321069.229</v>
      </c>
      <c r="K524" s="48">
        <f t="shared" ca="1" si="71"/>
        <v>7.677712786213962</v>
      </c>
    </row>
    <row r="525" spans="2:11" ht="15" customHeight="1" x14ac:dyDescent="0.35">
      <c r="B525" s="5">
        <v>504</v>
      </c>
      <c r="C525" s="46">
        <f t="shared" ca="1" si="63"/>
        <v>3.2064900450697746</v>
      </c>
      <c r="D525" s="47">
        <f t="shared" ca="1" si="64"/>
        <v>7082632183.1315165</v>
      </c>
      <c r="E525" s="47">
        <f t="shared" ca="1" si="65"/>
        <v>79118037372981.438</v>
      </c>
      <c r="F525" s="47">
        <f t="shared" ca="1" si="66"/>
        <v>31077440807269.051</v>
      </c>
      <c r="G525" s="47">
        <f t="shared" ca="1" si="67"/>
        <v>13581661959103.418</v>
      </c>
      <c r="H525" s="47">
        <f t="shared" ca="1" si="68"/>
        <v>79118037372981.438</v>
      </c>
      <c r="I525" s="47">
        <f t="shared" ca="1" si="69"/>
        <v>27132192408220.859</v>
      </c>
      <c r="J525" s="47">
        <f t="shared" ca="1" si="70"/>
        <v>1089875130914.0314</v>
      </c>
      <c r="K525" s="48">
        <f t="shared" ca="1" si="71"/>
        <v>24.894771555587525</v>
      </c>
    </row>
    <row r="526" spans="2:11" ht="15" customHeight="1" x14ac:dyDescent="0.35">
      <c r="B526" s="5">
        <v>505</v>
      </c>
      <c r="C526" s="46">
        <f t="shared" ca="1" si="63"/>
        <v>3.6940855281637917</v>
      </c>
      <c r="D526" s="47">
        <f t="shared" ca="1" si="64"/>
        <v>11517091539.132736</v>
      </c>
      <c r="E526" s="47">
        <f t="shared" ca="1" si="65"/>
        <v>65886422937420.609</v>
      </c>
      <c r="F526" s="47">
        <f t="shared" ca="1" si="66"/>
        <v>4141509185840.2983</v>
      </c>
      <c r="G526" s="47">
        <f t="shared" ca="1" si="67"/>
        <v>695856815755.34766</v>
      </c>
      <c r="H526" s="47">
        <f t="shared" ca="1" si="68"/>
        <v>695856815755.34766</v>
      </c>
      <c r="I526" s="47">
        <f t="shared" ca="1" si="69"/>
        <v>2093691981074.7734</v>
      </c>
      <c r="J526" s="47">
        <f t="shared" ca="1" si="70"/>
        <v>1423628037176.043</v>
      </c>
      <c r="K526" s="48">
        <f t="shared" ca="1" si="71"/>
        <v>1.4706734669456862</v>
      </c>
    </row>
    <row r="527" spans="2:11" ht="15" customHeight="1" x14ac:dyDescent="0.35">
      <c r="B527" s="5">
        <v>506</v>
      </c>
      <c r="C527" s="46">
        <f t="shared" ca="1" si="63"/>
        <v>3.7432574279743518</v>
      </c>
      <c r="D527" s="47">
        <f t="shared" ca="1" si="64"/>
        <v>14579559765.957363</v>
      </c>
      <c r="E527" s="47">
        <f t="shared" ca="1" si="65"/>
        <v>26050256771082.91</v>
      </c>
      <c r="F527" s="47">
        <f t="shared" ca="1" si="66"/>
        <v>2922672464536.1782</v>
      </c>
      <c r="G527" s="47">
        <f t="shared" ca="1" si="67"/>
        <v>3376607191677.96</v>
      </c>
      <c r="H527" s="47">
        <f t="shared" ca="1" si="68"/>
        <v>3376607191677.96</v>
      </c>
      <c r="I527" s="47">
        <f t="shared" ca="1" si="69"/>
        <v>3229136024103.7339</v>
      </c>
      <c r="J527" s="47">
        <f t="shared" ca="1" si="70"/>
        <v>1740787342346.5615</v>
      </c>
      <c r="K527" s="48">
        <f t="shared" ca="1" si="71"/>
        <v>1.8549859282357231</v>
      </c>
    </row>
    <row r="528" spans="2:11" ht="15" customHeight="1" x14ac:dyDescent="0.35">
      <c r="B528" s="5">
        <v>507</v>
      </c>
      <c r="C528" s="46">
        <f t="shared" ca="1" si="63"/>
        <v>1.9682241599377843</v>
      </c>
      <c r="D528" s="47">
        <f t="shared" ca="1" si="64"/>
        <v>646794507.26304889</v>
      </c>
      <c r="E528" s="47">
        <f t="shared" ca="1" si="65"/>
        <v>3904682280578.0801</v>
      </c>
      <c r="F528" s="47">
        <f t="shared" ca="1" si="66"/>
        <v>667974511984.40369</v>
      </c>
      <c r="G528" s="47">
        <f t="shared" ca="1" si="67"/>
        <v>30901171663318.027</v>
      </c>
      <c r="H528" s="47">
        <f t="shared" ca="1" si="68"/>
        <v>30901171663318.027</v>
      </c>
      <c r="I528" s="47">
        <f t="shared" ca="1" si="69"/>
        <v>16841534177857.994</v>
      </c>
      <c r="J528" s="47">
        <f t="shared" ca="1" si="70"/>
        <v>876228289223.43396</v>
      </c>
      <c r="K528" s="48">
        <f t="shared" ca="1" si="71"/>
        <v>19.220486698488099</v>
      </c>
    </row>
    <row r="529" spans="2:11" ht="15" customHeight="1" x14ac:dyDescent="0.35">
      <c r="B529" s="5">
        <v>508</v>
      </c>
      <c r="C529" s="46">
        <f t="shared" ca="1" si="63"/>
        <v>2.4039483093740515</v>
      </c>
      <c r="D529" s="47">
        <f t="shared" ca="1" si="64"/>
        <v>1638905877.1117904</v>
      </c>
      <c r="E529" s="47">
        <f t="shared" ca="1" si="65"/>
        <v>6946068283916.3174</v>
      </c>
      <c r="F529" s="47">
        <f t="shared" ca="1" si="66"/>
        <v>887993839243.21631</v>
      </c>
      <c r="G529" s="47">
        <f t="shared" ca="1" si="67"/>
        <v>1543288632670.6558</v>
      </c>
      <c r="H529" s="47">
        <f t="shared" ca="1" si="68"/>
        <v>887993839243.21631</v>
      </c>
      <c r="I529" s="47">
        <f t="shared" ca="1" si="69"/>
        <v>13499400455319.076</v>
      </c>
      <c r="J529" s="47">
        <f t="shared" ca="1" si="70"/>
        <v>1436159502913.1692</v>
      </c>
      <c r="K529" s="48">
        <f t="shared" ca="1" si="71"/>
        <v>9.3996526346386293</v>
      </c>
    </row>
    <row r="530" spans="2:11" ht="15" customHeight="1" x14ac:dyDescent="0.35">
      <c r="B530" s="5">
        <v>509</v>
      </c>
      <c r="C530" s="46">
        <f t="shared" ca="1" si="63"/>
        <v>2.7745022618716315</v>
      </c>
      <c r="D530" s="47">
        <f t="shared" ca="1" si="64"/>
        <v>2772236690.5412145</v>
      </c>
      <c r="E530" s="47">
        <f t="shared" ca="1" si="65"/>
        <v>9339538657398.9336</v>
      </c>
      <c r="F530" s="47">
        <f t="shared" ca="1" si="66"/>
        <v>1226790315812.7336</v>
      </c>
      <c r="G530" s="47">
        <f t="shared" ca="1" si="67"/>
        <v>3786395899538.2861</v>
      </c>
      <c r="H530" s="47">
        <f t="shared" ca="1" si="68"/>
        <v>3786395899538.2861</v>
      </c>
      <c r="I530" s="47">
        <f t="shared" ca="1" si="69"/>
        <v>164632478948281.53</v>
      </c>
      <c r="J530" s="47">
        <f t="shared" ca="1" si="70"/>
        <v>2360819032002.0908</v>
      </c>
      <c r="K530" s="48">
        <f t="shared" ca="1" si="71"/>
        <v>69.735323511292208</v>
      </c>
    </row>
    <row r="531" spans="2:11" ht="15" customHeight="1" x14ac:dyDescent="0.35">
      <c r="B531" s="5">
        <v>510</v>
      </c>
      <c r="C531" s="46">
        <f t="shared" ca="1" si="63"/>
        <v>3.8694257435470085</v>
      </c>
      <c r="D531" s="47">
        <f t="shared" ca="1" si="64"/>
        <v>15249629610.275753</v>
      </c>
      <c r="E531" s="47">
        <f t="shared" ca="1" si="65"/>
        <v>40242812558195.492</v>
      </c>
      <c r="F531" s="47">
        <f t="shared" ca="1" si="66"/>
        <v>949089057134.95801</v>
      </c>
      <c r="G531" s="47">
        <f t="shared" ca="1" si="67"/>
        <v>80337281115983.75</v>
      </c>
      <c r="H531" s="47">
        <f t="shared" ca="1" si="68"/>
        <v>40242812558195.492</v>
      </c>
      <c r="I531" s="47">
        <f t="shared" ca="1" si="69"/>
        <v>6145558036503.75</v>
      </c>
      <c r="J531" s="47">
        <f t="shared" ca="1" si="70"/>
        <v>831481199147.58728</v>
      </c>
      <c r="K531" s="48">
        <f t="shared" ca="1" si="71"/>
        <v>7.3910968074852628</v>
      </c>
    </row>
    <row r="532" spans="2:11" ht="15" customHeight="1" x14ac:dyDescent="0.35">
      <c r="B532" s="5">
        <v>511</v>
      </c>
      <c r="C532" s="46">
        <f t="shared" ca="1" si="63"/>
        <v>3.9180459799584444</v>
      </c>
      <c r="D532" s="47">
        <f t="shared" ca="1" si="64"/>
        <v>21059678217.638454</v>
      </c>
      <c r="E532" s="47">
        <f t="shared" ca="1" si="65"/>
        <v>57945297459715.719</v>
      </c>
      <c r="F532" s="47">
        <f t="shared" ca="1" si="66"/>
        <v>1367821321686.5435</v>
      </c>
      <c r="G532" s="47">
        <f t="shared" ca="1" si="67"/>
        <v>51192236808337.438</v>
      </c>
      <c r="H532" s="47">
        <f t="shared" ca="1" si="68"/>
        <v>51192236808337.438</v>
      </c>
      <c r="I532" s="47">
        <f t="shared" ca="1" si="69"/>
        <v>2505095603503.5908</v>
      </c>
      <c r="J532" s="47">
        <f t="shared" ca="1" si="70"/>
        <v>1381323963758.0769</v>
      </c>
      <c r="K532" s="48">
        <f t="shared" ca="1" si="71"/>
        <v>1.8135467632720585</v>
      </c>
    </row>
    <row r="533" spans="2:11" ht="15" customHeight="1" x14ac:dyDescent="0.35">
      <c r="B533" s="5">
        <v>512</v>
      </c>
      <c r="C533" s="46">
        <f t="shared" ca="1" si="63"/>
        <v>3.438822179204986</v>
      </c>
      <c r="D533" s="47">
        <f t="shared" ca="1" si="64"/>
        <v>7762900771.5270824</v>
      </c>
      <c r="E533" s="47">
        <f t="shared" ca="1" si="65"/>
        <v>18152181211622.164</v>
      </c>
      <c r="F533" s="47">
        <f t="shared" ca="1" si="66"/>
        <v>3676182417229.8706</v>
      </c>
      <c r="G533" s="47">
        <f t="shared" ca="1" si="67"/>
        <v>575644317408.37012</v>
      </c>
      <c r="H533" s="47">
        <f t="shared" ca="1" si="68"/>
        <v>18152181211622.164</v>
      </c>
      <c r="I533" s="47">
        <f t="shared" ca="1" si="69"/>
        <v>12719483522624.367</v>
      </c>
      <c r="J533" s="47">
        <f t="shared" ca="1" si="70"/>
        <v>1776540416966.2734</v>
      </c>
      <c r="K533" s="48">
        <f t="shared" ca="1" si="71"/>
        <v>7.1596927382856377</v>
      </c>
    </row>
    <row r="534" spans="2:11" ht="15" customHeight="1" x14ac:dyDescent="0.35">
      <c r="B534" s="5">
        <v>513</v>
      </c>
      <c r="C534" s="46">
        <f t="shared" ref="C534:C597" ca="1" si="72">MEDIAN(1.8,NORMINV(RAND(),$C$7,$D$7),4.5)</f>
        <v>3.1842194041425791</v>
      </c>
      <c r="D534" s="47">
        <f t="shared" ref="D534:D597" ca="1" si="73">($C$8+RAND()*($D$8-$C$8))*C534^5</f>
        <v>6117526330.9315224</v>
      </c>
      <c r="E534" s="47">
        <f t="shared" ref="E534:E597" ca="1" si="74">D534*($C$10+RAND()*($D$10-$C$10))*EXP(NORMINV(RAND(),$C$9,$D$9))*($C$11+RAND()*($D$11-$C$11))</f>
        <v>22549620410761.836</v>
      </c>
      <c r="F534" s="47">
        <f t="shared" ref="F534:F597" ca="1" si="75">EXP(NORMINV(RAND(),$C$12,$D$12))*EXP(NORMINV(RAND(),$C$13,$D$13))</f>
        <v>252340733282.32712</v>
      </c>
      <c r="G534" s="47">
        <f t="shared" ref="G534:G597" ca="1" si="76">EXP(NORMINV(RAND(),$C$14,$D$14))*($C$15+RAND()*($D$15-$C$15))*EXP(NORMINV(RAND(),$C$16,$D$16))/1000000*31536000</f>
        <v>1669091647260.0991</v>
      </c>
      <c r="H534" s="47">
        <f t="shared" ref="H534:H597" ca="1" si="77">CHOOSE(RANDBETWEEN(1,3),E534,F534,G534)</f>
        <v>1669091647260.0991</v>
      </c>
      <c r="I534" s="47">
        <f t="shared" ref="I534:I597" ca="1" si="78">EXP(NORMINV(RAND(),$C$14,$D$14))*($C$15+RAND()*($D$15-$C$15))*60</f>
        <v>63804695692257.07</v>
      </c>
      <c r="J534" s="47">
        <f t="shared" ref="J534:J597" ca="1" si="79">($C$17+RAND()*($D$17-$C$17))*($C$18+RAND()*($D$18-$C$18))</f>
        <v>778327838867.80493</v>
      </c>
      <c r="K534" s="48">
        <f t="shared" ref="K534:K597" ca="1" si="80">I534/J534</f>
        <v>81.976633117826808</v>
      </c>
    </row>
    <row r="535" spans="2:11" ht="15" customHeight="1" x14ac:dyDescent="0.35">
      <c r="B535" s="5">
        <v>514</v>
      </c>
      <c r="C535" s="46">
        <f t="shared" ca="1" si="72"/>
        <v>3.8315483319540604</v>
      </c>
      <c r="D535" s="47">
        <f t="shared" ca="1" si="73"/>
        <v>14506926029.659418</v>
      </c>
      <c r="E535" s="47">
        <f t="shared" ca="1" si="74"/>
        <v>13517782987274.539</v>
      </c>
      <c r="F535" s="47">
        <f t="shared" ca="1" si="75"/>
        <v>1188020923930.6335</v>
      </c>
      <c r="G535" s="47">
        <f t="shared" ca="1" si="76"/>
        <v>144969036301867.44</v>
      </c>
      <c r="H535" s="47">
        <f t="shared" ca="1" si="77"/>
        <v>1188020923930.6335</v>
      </c>
      <c r="I535" s="47">
        <f t="shared" ca="1" si="78"/>
        <v>19779206659310.426</v>
      </c>
      <c r="J535" s="47">
        <f t="shared" ca="1" si="79"/>
        <v>1411328911209.616</v>
      </c>
      <c r="K535" s="48">
        <f t="shared" ca="1" si="80"/>
        <v>14.014597520260635</v>
      </c>
    </row>
    <row r="536" spans="2:11" ht="15" customHeight="1" x14ac:dyDescent="0.35">
      <c r="B536" s="5">
        <v>515</v>
      </c>
      <c r="C536" s="46">
        <f t="shared" ca="1" si="72"/>
        <v>2.6030481631263651</v>
      </c>
      <c r="D536" s="47">
        <f t="shared" ca="1" si="73"/>
        <v>2689723089.6690092</v>
      </c>
      <c r="E536" s="47">
        <f t="shared" ca="1" si="74"/>
        <v>4343185726574.998</v>
      </c>
      <c r="F536" s="47">
        <f t="shared" ca="1" si="75"/>
        <v>2913058895172.3926</v>
      </c>
      <c r="G536" s="47">
        <f t="shared" ca="1" si="76"/>
        <v>17131889930542.035</v>
      </c>
      <c r="H536" s="47">
        <f t="shared" ca="1" si="77"/>
        <v>4343185726574.998</v>
      </c>
      <c r="I536" s="47">
        <f t="shared" ca="1" si="78"/>
        <v>40964071707743.391</v>
      </c>
      <c r="J536" s="47">
        <f t="shared" ca="1" si="79"/>
        <v>1424670473219.384</v>
      </c>
      <c r="K536" s="48">
        <f t="shared" ca="1" si="80"/>
        <v>28.753366113621531</v>
      </c>
    </row>
    <row r="537" spans="2:11" ht="15" customHeight="1" x14ac:dyDescent="0.35">
      <c r="B537" s="5">
        <v>516</v>
      </c>
      <c r="C537" s="46">
        <f t="shared" ca="1" si="72"/>
        <v>2.8105674962939253</v>
      </c>
      <c r="D537" s="47">
        <f t="shared" ca="1" si="73"/>
        <v>3222990035.4015126</v>
      </c>
      <c r="E537" s="47">
        <f t="shared" ca="1" si="74"/>
        <v>5157163805453.8857</v>
      </c>
      <c r="F537" s="47">
        <f t="shared" ca="1" si="75"/>
        <v>11174322246888.914</v>
      </c>
      <c r="G537" s="47">
        <f t="shared" ca="1" si="76"/>
        <v>4306478745386.5352</v>
      </c>
      <c r="H537" s="47">
        <f t="shared" ca="1" si="77"/>
        <v>5157163805453.8857</v>
      </c>
      <c r="I537" s="47">
        <f t="shared" ca="1" si="78"/>
        <v>59836800319250.969</v>
      </c>
      <c r="J537" s="47">
        <f t="shared" ca="1" si="79"/>
        <v>2027679264726.6179</v>
      </c>
      <c r="K537" s="48">
        <f t="shared" ca="1" si="80"/>
        <v>29.509992709482322</v>
      </c>
    </row>
    <row r="538" spans="2:11" ht="15" customHeight="1" x14ac:dyDescent="0.35">
      <c r="B538" s="5">
        <v>517</v>
      </c>
      <c r="C538" s="46">
        <f t="shared" ca="1" si="72"/>
        <v>3.1404387297281624</v>
      </c>
      <c r="D538" s="47">
        <f t="shared" ca="1" si="73"/>
        <v>6414325521.9214754</v>
      </c>
      <c r="E538" s="47">
        <f t="shared" ca="1" si="74"/>
        <v>20466533783940.445</v>
      </c>
      <c r="F538" s="47">
        <f t="shared" ca="1" si="75"/>
        <v>1137903668567.6523</v>
      </c>
      <c r="G538" s="47">
        <f t="shared" ca="1" si="76"/>
        <v>4805338746428.6768</v>
      </c>
      <c r="H538" s="47">
        <f t="shared" ca="1" si="77"/>
        <v>4805338746428.6768</v>
      </c>
      <c r="I538" s="47">
        <f t="shared" ca="1" si="78"/>
        <v>1871435173419.3201</v>
      </c>
      <c r="J538" s="47">
        <f t="shared" ca="1" si="79"/>
        <v>1009210295831.4225</v>
      </c>
      <c r="K538" s="48">
        <f t="shared" ca="1" si="80"/>
        <v>1.8543560060270361</v>
      </c>
    </row>
    <row r="539" spans="2:11" ht="15" customHeight="1" x14ac:dyDescent="0.35">
      <c r="B539" s="5">
        <v>518</v>
      </c>
      <c r="C539" s="46">
        <f t="shared" ca="1" si="72"/>
        <v>3.4425473982658712</v>
      </c>
      <c r="D539" s="47">
        <f t="shared" ca="1" si="73"/>
        <v>9248002543.2857609</v>
      </c>
      <c r="E539" s="47">
        <f t="shared" ca="1" si="74"/>
        <v>29218854646055.414</v>
      </c>
      <c r="F539" s="47">
        <f t="shared" ca="1" si="75"/>
        <v>4622178435112.6211</v>
      </c>
      <c r="G539" s="47">
        <f t="shared" ca="1" si="76"/>
        <v>45194741201731.297</v>
      </c>
      <c r="H539" s="47">
        <f t="shared" ca="1" si="77"/>
        <v>45194741201731.297</v>
      </c>
      <c r="I539" s="47">
        <f t="shared" ca="1" si="78"/>
        <v>5969227440005.043</v>
      </c>
      <c r="J539" s="47">
        <f t="shared" ca="1" si="79"/>
        <v>742380691814.01636</v>
      </c>
      <c r="K539" s="48">
        <f t="shared" ca="1" si="80"/>
        <v>8.0406555636827814</v>
      </c>
    </row>
    <row r="540" spans="2:11" ht="15" customHeight="1" x14ac:dyDescent="0.35">
      <c r="B540" s="5">
        <v>519</v>
      </c>
      <c r="C540" s="46">
        <f t="shared" ca="1" si="72"/>
        <v>2.4562300520777685</v>
      </c>
      <c r="D540" s="47">
        <f t="shared" ca="1" si="73"/>
        <v>1630758217.2982674</v>
      </c>
      <c r="E540" s="47">
        <f t="shared" ca="1" si="74"/>
        <v>1118724157971.1653</v>
      </c>
      <c r="F540" s="47">
        <f t="shared" ca="1" si="75"/>
        <v>2411236140849.6147</v>
      </c>
      <c r="G540" s="47">
        <f t="shared" ca="1" si="76"/>
        <v>8791728707313.1357</v>
      </c>
      <c r="H540" s="47">
        <f t="shared" ca="1" si="77"/>
        <v>8791728707313.1357</v>
      </c>
      <c r="I540" s="47">
        <f t="shared" ca="1" si="78"/>
        <v>4022478739164.1997</v>
      </c>
      <c r="J540" s="47">
        <f t="shared" ca="1" si="79"/>
        <v>627998067098.46008</v>
      </c>
      <c r="K540" s="48">
        <f t="shared" ca="1" si="80"/>
        <v>6.4052406367256207</v>
      </c>
    </row>
    <row r="541" spans="2:11" ht="15" customHeight="1" x14ac:dyDescent="0.35">
      <c r="B541" s="5">
        <v>520</v>
      </c>
      <c r="C541" s="46">
        <f t="shared" ca="1" si="72"/>
        <v>3.1232937044876388</v>
      </c>
      <c r="D541" s="47">
        <f t="shared" ca="1" si="73"/>
        <v>5766054550.2571068</v>
      </c>
      <c r="E541" s="47">
        <f t="shared" ca="1" si="74"/>
        <v>10432261131828.295</v>
      </c>
      <c r="F541" s="47">
        <f t="shared" ca="1" si="75"/>
        <v>7082625643691.3906</v>
      </c>
      <c r="G541" s="47">
        <f t="shared" ca="1" si="76"/>
        <v>41853512166514.25</v>
      </c>
      <c r="H541" s="47">
        <f t="shared" ca="1" si="77"/>
        <v>41853512166514.25</v>
      </c>
      <c r="I541" s="47">
        <f t="shared" ca="1" si="78"/>
        <v>99125420023662.641</v>
      </c>
      <c r="J541" s="47">
        <f t="shared" ca="1" si="79"/>
        <v>1370569086649.5442</v>
      </c>
      <c r="K541" s="48">
        <f t="shared" ca="1" si="80"/>
        <v>72.324278279165</v>
      </c>
    </row>
    <row r="542" spans="2:11" ht="15" customHeight="1" x14ac:dyDescent="0.35">
      <c r="B542" s="5">
        <v>521</v>
      </c>
      <c r="C542" s="46">
        <f t="shared" ca="1" si="72"/>
        <v>1.9066213521706179</v>
      </c>
      <c r="D542" s="47">
        <f t="shared" ca="1" si="73"/>
        <v>512298345.55615199</v>
      </c>
      <c r="E542" s="47">
        <f t="shared" ca="1" si="74"/>
        <v>1054533606218.3575</v>
      </c>
      <c r="F542" s="47">
        <f t="shared" ca="1" si="75"/>
        <v>4892761256998.1299</v>
      </c>
      <c r="G542" s="47">
        <f t="shared" ca="1" si="76"/>
        <v>10941912039979.131</v>
      </c>
      <c r="H542" s="47">
        <f t="shared" ca="1" si="77"/>
        <v>10941912039979.131</v>
      </c>
      <c r="I542" s="47">
        <f t="shared" ca="1" si="78"/>
        <v>15153144579818.1</v>
      </c>
      <c r="J542" s="47">
        <f t="shared" ca="1" si="79"/>
        <v>1526643608759.7112</v>
      </c>
      <c r="K542" s="48">
        <f t="shared" ca="1" si="80"/>
        <v>9.9257904679723818</v>
      </c>
    </row>
    <row r="543" spans="2:11" ht="15" customHeight="1" x14ac:dyDescent="0.35">
      <c r="B543" s="5">
        <v>522</v>
      </c>
      <c r="C543" s="46">
        <f t="shared" ca="1" si="72"/>
        <v>2.8733875285739461</v>
      </c>
      <c r="D543" s="47">
        <f t="shared" ca="1" si="73"/>
        <v>4510648331.9867439</v>
      </c>
      <c r="E543" s="47">
        <f t="shared" ca="1" si="74"/>
        <v>10982095539681.52</v>
      </c>
      <c r="F543" s="47">
        <f t="shared" ca="1" si="75"/>
        <v>502945099941.83258</v>
      </c>
      <c r="G543" s="47">
        <f t="shared" ca="1" si="76"/>
        <v>31516278921582.715</v>
      </c>
      <c r="H543" s="47">
        <f t="shared" ca="1" si="77"/>
        <v>502945099941.83258</v>
      </c>
      <c r="I543" s="47">
        <f t="shared" ca="1" si="78"/>
        <v>6804383292455.123</v>
      </c>
      <c r="J543" s="47">
        <f t="shared" ca="1" si="79"/>
        <v>1003288106382.3691</v>
      </c>
      <c r="K543" s="48">
        <f t="shared" ca="1" si="80"/>
        <v>6.7820830817881381</v>
      </c>
    </row>
    <row r="544" spans="2:11" ht="15" customHeight="1" x14ac:dyDescent="0.35">
      <c r="B544" s="5">
        <v>523</v>
      </c>
      <c r="C544" s="46">
        <f t="shared" ca="1" si="72"/>
        <v>3.5049698856605138</v>
      </c>
      <c r="D544" s="47">
        <f t="shared" ca="1" si="73"/>
        <v>10761477249.518024</v>
      </c>
      <c r="E544" s="47">
        <f t="shared" ca="1" si="74"/>
        <v>46724526404432.68</v>
      </c>
      <c r="F544" s="47">
        <f t="shared" ca="1" si="75"/>
        <v>4259435591822.8896</v>
      </c>
      <c r="G544" s="47">
        <f t="shared" ca="1" si="76"/>
        <v>41766197281875.531</v>
      </c>
      <c r="H544" s="47">
        <f t="shared" ca="1" si="77"/>
        <v>46724526404432.68</v>
      </c>
      <c r="I544" s="47">
        <f t="shared" ca="1" si="78"/>
        <v>3346664629788.1714</v>
      </c>
      <c r="J544" s="47">
        <f t="shared" ca="1" si="79"/>
        <v>1929433987552.9331</v>
      </c>
      <c r="K544" s="48">
        <f t="shared" ca="1" si="80"/>
        <v>1.7345318115976005</v>
      </c>
    </row>
    <row r="545" spans="2:11" ht="15" customHeight="1" x14ac:dyDescent="0.35">
      <c r="B545" s="5">
        <v>524</v>
      </c>
      <c r="C545" s="46">
        <f t="shared" ca="1" si="72"/>
        <v>3.3062789717070724</v>
      </c>
      <c r="D545" s="47">
        <f t="shared" ca="1" si="73"/>
        <v>7309281006.4551964</v>
      </c>
      <c r="E545" s="47">
        <f t="shared" ca="1" si="74"/>
        <v>12528425541818.402</v>
      </c>
      <c r="F545" s="47">
        <f t="shared" ca="1" si="75"/>
        <v>13947874798477.566</v>
      </c>
      <c r="G545" s="47">
        <f t="shared" ca="1" si="76"/>
        <v>33152836204652.457</v>
      </c>
      <c r="H545" s="47">
        <f t="shared" ca="1" si="77"/>
        <v>33152836204652.457</v>
      </c>
      <c r="I545" s="47">
        <f t="shared" ca="1" si="78"/>
        <v>14326643257781.92</v>
      </c>
      <c r="J545" s="47">
        <f t="shared" ca="1" si="79"/>
        <v>1090343670363.4084</v>
      </c>
      <c r="K545" s="48">
        <f t="shared" ca="1" si="80"/>
        <v>13.139566585466479</v>
      </c>
    </row>
    <row r="546" spans="2:11" ht="15" customHeight="1" x14ac:dyDescent="0.35">
      <c r="B546" s="5">
        <v>525</v>
      </c>
      <c r="C546" s="46">
        <f t="shared" ca="1" si="72"/>
        <v>2.5064712798606865</v>
      </c>
      <c r="D546" s="47">
        <f t="shared" ca="1" si="73"/>
        <v>2201906720.3397431</v>
      </c>
      <c r="E546" s="47">
        <f t="shared" ca="1" si="74"/>
        <v>17558501176727.725</v>
      </c>
      <c r="F546" s="47">
        <f t="shared" ca="1" si="75"/>
        <v>543098246992.10052</v>
      </c>
      <c r="G546" s="47">
        <f t="shared" ca="1" si="76"/>
        <v>14745076409907.436</v>
      </c>
      <c r="H546" s="47">
        <f t="shared" ca="1" si="77"/>
        <v>543098246992.10052</v>
      </c>
      <c r="I546" s="47">
        <f t="shared" ca="1" si="78"/>
        <v>8042261612549.2354</v>
      </c>
      <c r="J546" s="47">
        <f t="shared" ca="1" si="79"/>
        <v>1453423168413.9487</v>
      </c>
      <c r="K546" s="48">
        <f t="shared" ca="1" si="80"/>
        <v>5.5333242150841526</v>
      </c>
    </row>
    <row r="547" spans="2:11" ht="15" customHeight="1" x14ac:dyDescent="0.35">
      <c r="B547" s="5">
        <v>526</v>
      </c>
      <c r="C547" s="46">
        <f t="shared" ca="1" si="72"/>
        <v>3.0210572994836382</v>
      </c>
      <c r="D547" s="47">
        <f t="shared" ca="1" si="73"/>
        <v>5847947298.0779915</v>
      </c>
      <c r="E547" s="47">
        <f t="shared" ca="1" si="74"/>
        <v>15408115611592.475</v>
      </c>
      <c r="F547" s="47">
        <f t="shared" ca="1" si="75"/>
        <v>2986626793934.1235</v>
      </c>
      <c r="G547" s="47">
        <f t="shared" ca="1" si="76"/>
        <v>10033074703547.514</v>
      </c>
      <c r="H547" s="47">
        <f t="shared" ca="1" si="77"/>
        <v>10033074703547.514</v>
      </c>
      <c r="I547" s="47">
        <f t="shared" ca="1" si="78"/>
        <v>176411892257.24597</v>
      </c>
      <c r="J547" s="47">
        <f t="shared" ca="1" si="79"/>
        <v>1601277833797.9839</v>
      </c>
      <c r="K547" s="48">
        <f t="shared" ca="1" si="80"/>
        <v>0.11016944625956895</v>
      </c>
    </row>
    <row r="548" spans="2:11" ht="15" customHeight="1" x14ac:dyDescent="0.35">
      <c r="B548" s="5">
        <v>527</v>
      </c>
      <c r="C548" s="46">
        <f t="shared" ca="1" si="72"/>
        <v>3.285740507709705</v>
      </c>
      <c r="D548" s="47">
        <f t="shared" ca="1" si="73"/>
        <v>6415175150.1504269</v>
      </c>
      <c r="E548" s="47">
        <f t="shared" ca="1" si="74"/>
        <v>34061337391173.84</v>
      </c>
      <c r="F548" s="47">
        <f t="shared" ca="1" si="75"/>
        <v>3368039881448.1812</v>
      </c>
      <c r="G548" s="47">
        <f t="shared" ca="1" si="76"/>
        <v>25335162193605.91</v>
      </c>
      <c r="H548" s="47">
        <f t="shared" ca="1" si="77"/>
        <v>25335162193605.91</v>
      </c>
      <c r="I548" s="47">
        <f t="shared" ca="1" si="78"/>
        <v>12827888079558.982</v>
      </c>
      <c r="J548" s="47">
        <f t="shared" ca="1" si="79"/>
        <v>1013882668778.2549</v>
      </c>
      <c r="K548" s="48">
        <f t="shared" ca="1" si="80"/>
        <v>12.652241205599063</v>
      </c>
    </row>
    <row r="549" spans="2:11" ht="15" customHeight="1" x14ac:dyDescent="0.35">
      <c r="B549" s="5">
        <v>528</v>
      </c>
      <c r="C549" s="46">
        <f t="shared" ca="1" si="72"/>
        <v>2.0842638666810664</v>
      </c>
      <c r="D549" s="47">
        <f t="shared" ca="1" si="73"/>
        <v>849437076.32006586</v>
      </c>
      <c r="E549" s="47">
        <f t="shared" ca="1" si="74"/>
        <v>2606620065052.4624</v>
      </c>
      <c r="F549" s="47">
        <f t="shared" ca="1" si="75"/>
        <v>929493748102.09814</v>
      </c>
      <c r="G549" s="47">
        <f t="shared" ca="1" si="76"/>
        <v>15772786599080.016</v>
      </c>
      <c r="H549" s="47">
        <f t="shared" ca="1" si="77"/>
        <v>2606620065052.4624</v>
      </c>
      <c r="I549" s="47">
        <f t="shared" ca="1" si="78"/>
        <v>4335410485966.856</v>
      </c>
      <c r="J549" s="47">
        <f t="shared" ca="1" si="79"/>
        <v>677638238978.01514</v>
      </c>
      <c r="K549" s="48">
        <f t="shared" ca="1" si="80"/>
        <v>6.3978244387526528</v>
      </c>
    </row>
    <row r="550" spans="2:11" ht="15" customHeight="1" x14ac:dyDescent="0.35">
      <c r="B550" s="5">
        <v>529</v>
      </c>
      <c r="C550" s="46">
        <f t="shared" ca="1" si="72"/>
        <v>2.7881257499907766</v>
      </c>
      <c r="D550" s="47">
        <f t="shared" ca="1" si="73"/>
        <v>2920793415.9342327</v>
      </c>
      <c r="E550" s="47">
        <f t="shared" ca="1" si="74"/>
        <v>3154500406929.2554</v>
      </c>
      <c r="F550" s="47">
        <f t="shared" ca="1" si="75"/>
        <v>4821768256700.3232</v>
      </c>
      <c r="G550" s="47">
        <f t="shared" ca="1" si="76"/>
        <v>10612773444412.127</v>
      </c>
      <c r="H550" s="47">
        <f t="shared" ca="1" si="77"/>
        <v>4821768256700.3232</v>
      </c>
      <c r="I550" s="47">
        <f t="shared" ca="1" si="78"/>
        <v>5541588582445.1709</v>
      </c>
      <c r="J550" s="47">
        <f t="shared" ca="1" si="79"/>
        <v>1632954042567.9453</v>
      </c>
      <c r="K550" s="48">
        <f t="shared" ca="1" si="80"/>
        <v>3.3935973934273118</v>
      </c>
    </row>
    <row r="551" spans="2:11" ht="15" customHeight="1" x14ac:dyDescent="0.35">
      <c r="B551" s="5">
        <v>530</v>
      </c>
      <c r="C551" s="46">
        <f t="shared" ca="1" si="72"/>
        <v>2.9419291497897406</v>
      </c>
      <c r="D551" s="47">
        <f t="shared" ca="1" si="73"/>
        <v>3926380920.5407457</v>
      </c>
      <c r="E551" s="47">
        <f t="shared" ca="1" si="74"/>
        <v>5823976355236.708</v>
      </c>
      <c r="F551" s="47">
        <f t="shared" ca="1" si="75"/>
        <v>1863905847790.6914</v>
      </c>
      <c r="G551" s="47">
        <f t="shared" ca="1" si="76"/>
        <v>784328162829.0022</v>
      </c>
      <c r="H551" s="47">
        <f t="shared" ca="1" si="77"/>
        <v>5823976355236.708</v>
      </c>
      <c r="I551" s="47">
        <f t="shared" ca="1" si="78"/>
        <v>3733007720297.7271</v>
      </c>
      <c r="J551" s="47">
        <f t="shared" ca="1" si="79"/>
        <v>1005277863015.6255</v>
      </c>
      <c r="K551" s="48">
        <f t="shared" ca="1" si="80"/>
        <v>3.7134088570293158</v>
      </c>
    </row>
    <row r="552" spans="2:11" ht="15" customHeight="1" x14ac:dyDescent="0.35">
      <c r="B552" s="5">
        <v>531</v>
      </c>
      <c r="C552" s="46">
        <f t="shared" ca="1" si="72"/>
        <v>3.1722846297520961</v>
      </c>
      <c r="D552" s="47">
        <f t="shared" ca="1" si="73"/>
        <v>7470053883.0049143</v>
      </c>
      <c r="E552" s="47">
        <f t="shared" ca="1" si="74"/>
        <v>42755203474931.086</v>
      </c>
      <c r="F552" s="47">
        <f t="shared" ca="1" si="75"/>
        <v>2015532943831.7034</v>
      </c>
      <c r="G552" s="47">
        <f t="shared" ca="1" si="76"/>
        <v>1964958479409.6321</v>
      </c>
      <c r="H552" s="47">
        <f t="shared" ca="1" si="77"/>
        <v>42755203474931.086</v>
      </c>
      <c r="I552" s="47">
        <f t="shared" ca="1" si="78"/>
        <v>20223304423630.828</v>
      </c>
      <c r="J552" s="47">
        <f t="shared" ca="1" si="79"/>
        <v>1927208701287.1431</v>
      </c>
      <c r="K552" s="48">
        <f t="shared" ca="1" si="80"/>
        <v>10.493572600686214</v>
      </c>
    </row>
    <row r="553" spans="2:11" ht="15" customHeight="1" x14ac:dyDescent="0.35">
      <c r="B553" s="5">
        <v>532</v>
      </c>
      <c r="C553" s="46">
        <f t="shared" ca="1" si="72"/>
        <v>3.2685146059244223</v>
      </c>
      <c r="D553" s="47">
        <f t="shared" ca="1" si="73"/>
        <v>6943484512.4987631</v>
      </c>
      <c r="E553" s="47">
        <f t="shared" ca="1" si="74"/>
        <v>26205525850081.566</v>
      </c>
      <c r="F553" s="47">
        <f t="shared" ca="1" si="75"/>
        <v>29283940026134.199</v>
      </c>
      <c r="G553" s="47">
        <f t="shared" ca="1" si="76"/>
        <v>2615129256930.8398</v>
      </c>
      <c r="H553" s="47">
        <f t="shared" ca="1" si="77"/>
        <v>29283940026134.199</v>
      </c>
      <c r="I553" s="47">
        <f t="shared" ca="1" si="78"/>
        <v>1081548987671.8438</v>
      </c>
      <c r="J553" s="47">
        <f t="shared" ca="1" si="79"/>
        <v>907383048978.56287</v>
      </c>
      <c r="K553" s="48">
        <f t="shared" ca="1" si="80"/>
        <v>1.1919431257717881</v>
      </c>
    </row>
    <row r="554" spans="2:11" ht="15" customHeight="1" x14ac:dyDescent="0.35">
      <c r="B554" s="5">
        <v>533</v>
      </c>
      <c r="C554" s="46">
        <f t="shared" ca="1" si="72"/>
        <v>3.2623268988114154</v>
      </c>
      <c r="D554" s="47">
        <f t="shared" ca="1" si="73"/>
        <v>8299594889.7910833</v>
      </c>
      <c r="E554" s="47">
        <f t="shared" ca="1" si="74"/>
        <v>17795189054846.004</v>
      </c>
      <c r="F554" s="47">
        <f t="shared" ca="1" si="75"/>
        <v>8166055414267.3008</v>
      </c>
      <c r="G554" s="47">
        <f t="shared" ca="1" si="76"/>
        <v>68287816972241.859</v>
      </c>
      <c r="H554" s="47">
        <f t="shared" ca="1" si="77"/>
        <v>68287816972241.859</v>
      </c>
      <c r="I554" s="47">
        <f t="shared" ca="1" si="78"/>
        <v>8683088153034.6787</v>
      </c>
      <c r="J554" s="47">
        <f t="shared" ca="1" si="79"/>
        <v>1748966766060.1045</v>
      </c>
      <c r="K554" s="48">
        <f t="shared" ca="1" si="80"/>
        <v>4.9646959116296197</v>
      </c>
    </row>
    <row r="555" spans="2:11" ht="15" customHeight="1" x14ac:dyDescent="0.35">
      <c r="B555" s="5">
        <v>534</v>
      </c>
      <c r="C555" s="46">
        <f t="shared" ca="1" si="72"/>
        <v>3.0715303536094649</v>
      </c>
      <c r="D555" s="47">
        <f t="shared" ca="1" si="73"/>
        <v>6248857583.6503744</v>
      </c>
      <c r="E555" s="47">
        <f t="shared" ca="1" si="74"/>
        <v>37430035413204.266</v>
      </c>
      <c r="F555" s="47">
        <f t="shared" ca="1" si="75"/>
        <v>9008648449643.252</v>
      </c>
      <c r="G555" s="47">
        <f t="shared" ca="1" si="76"/>
        <v>3024415550350.1641</v>
      </c>
      <c r="H555" s="47">
        <f t="shared" ca="1" si="77"/>
        <v>3024415550350.1641</v>
      </c>
      <c r="I555" s="47">
        <f t="shared" ca="1" si="78"/>
        <v>8673238732461.8408</v>
      </c>
      <c r="J555" s="47">
        <f t="shared" ca="1" si="79"/>
        <v>1082919571934.7704</v>
      </c>
      <c r="K555" s="48">
        <f t="shared" ca="1" si="80"/>
        <v>8.0091254763878936</v>
      </c>
    </row>
    <row r="556" spans="2:11" ht="15" customHeight="1" x14ac:dyDescent="0.35">
      <c r="B556" s="5">
        <v>535</v>
      </c>
      <c r="C556" s="46">
        <f t="shared" ca="1" si="72"/>
        <v>3.6266506601426372</v>
      </c>
      <c r="D556" s="47">
        <f t="shared" ca="1" si="73"/>
        <v>13560239040.959696</v>
      </c>
      <c r="E556" s="47">
        <f t="shared" ca="1" si="74"/>
        <v>46461764419221.5</v>
      </c>
      <c r="F556" s="47">
        <f t="shared" ca="1" si="75"/>
        <v>5296667047352.7178</v>
      </c>
      <c r="G556" s="47">
        <f t="shared" ca="1" si="76"/>
        <v>2307656210567.6104</v>
      </c>
      <c r="H556" s="47">
        <f t="shared" ca="1" si="77"/>
        <v>46461764419221.5</v>
      </c>
      <c r="I556" s="47">
        <f t="shared" ca="1" si="78"/>
        <v>2384501177598.8496</v>
      </c>
      <c r="J556" s="47">
        <f t="shared" ca="1" si="79"/>
        <v>750617870996.74231</v>
      </c>
      <c r="K556" s="48">
        <f t="shared" ca="1" si="80"/>
        <v>3.1767178343788705</v>
      </c>
    </row>
    <row r="557" spans="2:11" ht="15" customHeight="1" x14ac:dyDescent="0.35">
      <c r="B557" s="5">
        <v>536</v>
      </c>
      <c r="C557" s="46">
        <f t="shared" ca="1" si="72"/>
        <v>3.4296037047266719</v>
      </c>
      <c r="D557" s="47">
        <f t="shared" ca="1" si="73"/>
        <v>9580498385.1113949</v>
      </c>
      <c r="E557" s="47">
        <f t="shared" ca="1" si="74"/>
        <v>40454438790543.484</v>
      </c>
      <c r="F557" s="47">
        <f t="shared" ca="1" si="75"/>
        <v>1186784979072.5496</v>
      </c>
      <c r="G557" s="47">
        <f t="shared" ca="1" si="76"/>
        <v>2836049305697.2212</v>
      </c>
      <c r="H557" s="47">
        <f t="shared" ca="1" si="77"/>
        <v>2836049305697.2212</v>
      </c>
      <c r="I557" s="47">
        <f t="shared" ca="1" si="78"/>
        <v>10909027284682.943</v>
      </c>
      <c r="J557" s="47">
        <f t="shared" ca="1" si="79"/>
        <v>1574423230386.251</v>
      </c>
      <c r="K557" s="48">
        <f t="shared" ca="1" si="80"/>
        <v>6.928903914868334</v>
      </c>
    </row>
    <row r="558" spans="2:11" ht="15" customHeight="1" x14ac:dyDescent="0.35">
      <c r="B558" s="5">
        <v>537</v>
      </c>
      <c r="C558" s="46">
        <f t="shared" ca="1" si="72"/>
        <v>2.3807209800926192</v>
      </c>
      <c r="D558" s="47">
        <f t="shared" ca="1" si="73"/>
        <v>1401336676.4255011</v>
      </c>
      <c r="E558" s="47">
        <f t="shared" ca="1" si="74"/>
        <v>2622060011951.3535</v>
      </c>
      <c r="F558" s="47">
        <f t="shared" ca="1" si="75"/>
        <v>2688015583918.4927</v>
      </c>
      <c r="G558" s="47">
        <f t="shared" ca="1" si="76"/>
        <v>3038098220908.5938</v>
      </c>
      <c r="H558" s="47">
        <f t="shared" ca="1" si="77"/>
        <v>2622060011951.3535</v>
      </c>
      <c r="I558" s="47">
        <f t="shared" ca="1" si="78"/>
        <v>4404895594895.4805</v>
      </c>
      <c r="J558" s="47">
        <f t="shared" ca="1" si="79"/>
        <v>1951313340842.3037</v>
      </c>
      <c r="K558" s="48">
        <f t="shared" ca="1" si="80"/>
        <v>2.2574004403588321</v>
      </c>
    </row>
    <row r="559" spans="2:11" ht="15" customHeight="1" x14ac:dyDescent="0.35">
      <c r="B559" s="5">
        <v>538</v>
      </c>
      <c r="C559" s="46">
        <f t="shared" ca="1" si="72"/>
        <v>3.4812275497872158</v>
      </c>
      <c r="D559" s="47">
        <f t="shared" ca="1" si="73"/>
        <v>8639713759.4477749</v>
      </c>
      <c r="E559" s="47">
        <f t="shared" ca="1" si="74"/>
        <v>17069967912413.922</v>
      </c>
      <c r="F559" s="47">
        <f t="shared" ca="1" si="75"/>
        <v>1759664650977.29</v>
      </c>
      <c r="G559" s="47">
        <f t="shared" ca="1" si="76"/>
        <v>12825674320702.418</v>
      </c>
      <c r="H559" s="47">
        <f t="shared" ca="1" si="77"/>
        <v>12825674320702.418</v>
      </c>
      <c r="I559" s="47">
        <f t="shared" ca="1" si="78"/>
        <v>3569433771101.7549</v>
      </c>
      <c r="J559" s="47">
        <f t="shared" ca="1" si="79"/>
        <v>1802762739078.9167</v>
      </c>
      <c r="K559" s="48">
        <f t="shared" ca="1" si="80"/>
        <v>1.9799797797715084</v>
      </c>
    </row>
    <row r="560" spans="2:11" ht="15" customHeight="1" x14ac:dyDescent="0.35">
      <c r="B560" s="5">
        <v>539</v>
      </c>
      <c r="C560" s="46">
        <f t="shared" ca="1" si="72"/>
        <v>2.7622930890811617</v>
      </c>
      <c r="D560" s="47">
        <f t="shared" ca="1" si="73"/>
        <v>2665935384.4177289</v>
      </c>
      <c r="E560" s="47">
        <f t="shared" ca="1" si="74"/>
        <v>10291163735930.479</v>
      </c>
      <c r="F560" s="47">
        <f t="shared" ca="1" si="75"/>
        <v>1429235582892.2007</v>
      </c>
      <c r="G560" s="47">
        <f t="shared" ca="1" si="76"/>
        <v>828057533471.0011</v>
      </c>
      <c r="H560" s="47">
        <f t="shared" ca="1" si="77"/>
        <v>828057533471.0011</v>
      </c>
      <c r="I560" s="47">
        <f t="shared" ca="1" si="78"/>
        <v>5887250053071.9678</v>
      </c>
      <c r="J560" s="47">
        <f t="shared" ca="1" si="79"/>
        <v>1251952690702.3953</v>
      </c>
      <c r="K560" s="48">
        <f t="shared" ca="1" si="80"/>
        <v>4.7024540917508526</v>
      </c>
    </row>
    <row r="561" spans="2:11" ht="15" customHeight="1" x14ac:dyDescent="0.35">
      <c r="B561" s="5">
        <v>540</v>
      </c>
      <c r="C561" s="46">
        <f t="shared" ca="1" si="72"/>
        <v>3.8414804568510714</v>
      </c>
      <c r="D561" s="47">
        <f t="shared" ca="1" si="73"/>
        <v>16243319424.876307</v>
      </c>
      <c r="E561" s="47">
        <f t="shared" ca="1" si="74"/>
        <v>54736954482995.328</v>
      </c>
      <c r="F561" s="47">
        <f t="shared" ca="1" si="75"/>
        <v>392443613937.90686</v>
      </c>
      <c r="G561" s="47">
        <f t="shared" ca="1" si="76"/>
        <v>1216047934849.4478</v>
      </c>
      <c r="H561" s="47">
        <f t="shared" ca="1" si="77"/>
        <v>1216047934849.4478</v>
      </c>
      <c r="I561" s="47">
        <f t="shared" ca="1" si="78"/>
        <v>98208805860.170029</v>
      </c>
      <c r="J561" s="47">
        <f t="shared" ca="1" si="79"/>
        <v>1062276347077.0172</v>
      </c>
      <c r="K561" s="48">
        <f t="shared" ca="1" si="80"/>
        <v>9.2451277984682168E-2</v>
      </c>
    </row>
    <row r="562" spans="2:11" ht="15" customHeight="1" x14ac:dyDescent="0.35">
      <c r="B562" s="5">
        <v>541</v>
      </c>
      <c r="C562" s="46">
        <f t="shared" ca="1" si="72"/>
        <v>2.316928304275546</v>
      </c>
      <c r="D562" s="47">
        <f t="shared" ca="1" si="73"/>
        <v>1221983320.1852551</v>
      </c>
      <c r="E562" s="47">
        <f t="shared" ca="1" si="74"/>
        <v>8932170912867.877</v>
      </c>
      <c r="F562" s="47">
        <f t="shared" ca="1" si="75"/>
        <v>1408141921474.2966</v>
      </c>
      <c r="G562" s="47">
        <f t="shared" ca="1" si="76"/>
        <v>32549649432261.719</v>
      </c>
      <c r="H562" s="47">
        <f t="shared" ca="1" si="77"/>
        <v>32549649432261.719</v>
      </c>
      <c r="I562" s="47">
        <f t="shared" ca="1" si="78"/>
        <v>9602380930167.3965</v>
      </c>
      <c r="J562" s="47">
        <f t="shared" ca="1" si="79"/>
        <v>626711052282.38123</v>
      </c>
      <c r="K562" s="48">
        <f t="shared" ca="1" si="80"/>
        <v>15.321863074214287</v>
      </c>
    </row>
    <row r="563" spans="2:11" ht="15" customHeight="1" x14ac:dyDescent="0.35">
      <c r="B563" s="5">
        <v>542</v>
      </c>
      <c r="C563" s="46">
        <f t="shared" ca="1" si="72"/>
        <v>2.9484359081584262</v>
      </c>
      <c r="D563" s="47">
        <f t="shared" ca="1" si="73"/>
        <v>5338176594.3568869</v>
      </c>
      <c r="E563" s="47">
        <f t="shared" ca="1" si="74"/>
        <v>15595551036150.895</v>
      </c>
      <c r="F563" s="47">
        <f t="shared" ca="1" si="75"/>
        <v>1254357869178.0771</v>
      </c>
      <c r="G563" s="47">
        <f t="shared" ca="1" si="76"/>
        <v>86023668201299.188</v>
      </c>
      <c r="H563" s="47">
        <f t="shared" ca="1" si="77"/>
        <v>15595551036150.895</v>
      </c>
      <c r="I563" s="47">
        <f t="shared" ca="1" si="78"/>
        <v>34240667414691.52</v>
      </c>
      <c r="J563" s="47">
        <f t="shared" ca="1" si="79"/>
        <v>1301604984036.7266</v>
      </c>
      <c r="K563" s="48">
        <f t="shared" ca="1" si="80"/>
        <v>26.306496851678752</v>
      </c>
    </row>
    <row r="564" spans="2:11" ht="15" customHeight="1" x14ac:dyDescent="0.35">
      <c r="B564" s="5">
        <v>543</v>
      </c>
      <c r="C564" s="46">
        <f t="shared" ca="1" si="72"/>
        <v>2.6737693446691511</v>
      </c>
      <c r="D564" s="47">
        <f t="shared" ca="1" si="73"/>
        <v>2271610062.9130688</v>
      </c>
      <c r="E564" s="47">
        <f t="shared" ca="1" si="74"/>
        <v>7607619268456.4941</v>
      </c>
      <c r="F564" s="47">
        <f t="shared" ca="1" si="75"/>
        <v>5962266901735.3896</v>
      </c>
      <c r="G564" s="47">
        <f t="shared" ca="1" si="76"/>
        <v>126136951456770.17</v>
      </c>
      <c r="H564" s="47">
        <f t="shared" ca="1" si="77"/>
        <v>5962266901735.3896</v>
      </c>
      <c r="I564" s="47">
        <f t="shared" ca="1" si="78"/>
        <v>98863911460013.781</v>
      </c>
      <c r="J564" s="47">
        <f t="shared" ca="1" si="79"/>
        <v>1364675732144.0071</v>
      </c>
      <c r="K564" s="48">
        <f t="shared" ca="1" si="80"/>
        <v>72.444983911812685</v>
      </c>
    </row>
    <row r="565" spans="2:11" ht="15" customHeight="1" x14ac:dyDescent="0.35">
      <c r="B565" s="5">
        <v>544</v>
      </c>
      <c r="C565" s="46">
        <f t="shared" ca="1" si="72"/>
        <v>3.2441982841800461</v>
      </c>
      <c r="D565" s="47">
        <f t="shared" ca="1" si="73"/>
        <v>7424252432.0825338</v>
      </c>
      <c r="E565" s="47">
        <f t="shared" ca="1" si="74"/>
        <v>28122492943873.184</v>
      </c>
      <c r="F565" s="47">
        <f t="shared" ca="1" si="75"/>
        <v>3895518538190.6191</v>
      </c>
      <c r="G565" s="47">
        <f t="shared" ca="1" si="76"/>
        <v>25629745575359.012</v>
      </c>
      <c r="H565" s="47">
        <f t="shared" ca="1" si="77"/>
        <v>3895518538190.6191</v>
      </c>
      <c r="I565" s="47">
        <f t="shared" ca="1" si="78"/>
        <v>28094333252655.129</v>
      </c>
      <c r="J565" s="47">
        <f t="shared" ca="1" si="79"/>
        <v>989427861119.75598</v>
      </c>
      <c r="K565" s="48">
        <f t="shared" ca="1" si="80"/>
        <v>28.394524104930895</v>
      </c>
    </row>
    <row r="566" spans="2:11" ht="15" customHeight="1" x14ac:dyDescent="0.35">
      <c r="B566" s="5">
        <v>545</v>
      </c>
      <c r="C566" s="46">
        <f t="shared" ca="1" si="72"/>
        <v>2.5335207042104506</v>
      </c>
      <c r="D566" s="47">
        <f t="shared" ca="1" si="73"/>
        <v>1967150428.3307805</v>
      </c>
      <c r="E566" s="47">
        <f t="shared" ca="1" si="74"/>
        <v>6460082619114.8262</v>
      </c>
      <c r="F566" s="47">
        <f t="shared" ca="1" si="75"/>
        <v>4689921338725.0205</v>
      </c>
      <c r="G566" s="47">
        <f t="shared" ca="1" si="76"/>
        <v>112335120825.42059</v>
      </c>
      <c r="H566" s="47">
        <f t="shared" ca="1" si="77"/>
        <v>6460082619114.8262</v>
      </c>
      <c r="I566" s="47">
        <f t="shared" ca="1" si="78"/>
        <v>1794654213118.3682</v>
      </c>
      <c r="J566" s="47">
        <f t="shared" ca="1" si="79"/>
        <v>1243410286756.595</v>
      </c>
      <c r="K566" s="48">
        <f t="shared" ca="1" si="80"/>
        <v>1.4433322872047964</v>
      </c>
    </row>
    <row r="567" spans="2:11" ht="15" customHeight="1" x14ac:dyDescent="0.35">
      <c r="B567" s="5">
        <v>546</v>
      </c>
      <c r="C567" s="46">
        <f t="shared" ca="1" si="72"/>
        <v>2.8458328152556023</v>
      </c>
      <c r="D567" s="47">
        <f t="shared" ca="1" si="73"/>
        <v>3745081798.1385703</v>
      </c>
      <c r="E567" s="47">
        <f t="shared" ca="1" si="74"/>
        <v>5646107891456.3604</v>
      </c>
      <c r="F567" s="47">
        <f t="shared" ca="1" si="75"/>
        <v>14297472714600.385</v>
      </c>
      <c r="G567" s="47">
        <f t="shared" ca="1" si="76"/>
        <v>2109949969844.2478</v>
      </c>
      <c r="H567" s="47">
        <f t="shared" ca="1" si="77"/>
        <v>2109949969844.2478</v>
      </c>
      <c r="I567" s="47">
        <f t="shared" ca="1" si="78"/>
        <v>25088829680719.988</v>
      </c>
      <c r="J567" s="47">
        <f t="shared" ca="1" si="79"/>
        <v>1671276812814.5125</v>
      </c>
      <c r="K567" s="48">
        <f t="shared" ca="1" si="80"/>
        <v>15.011773925391308</v>
      </c>
    </row>
    <row r="568" spans="2:11" ht="15" customHeight="1" x14ac:dyDescent="0.35">
      <c r="B568" s="5">
        <v>547</v>
      </c>
      <c r="C568" s="46">
        <f t="shared" ca="1" si="72"/>
        <v>2.5965192217055075</v>
      </c>
      <c r="D568" s="47">
        <f t="shared" ca="1" si="73"/>
        <v>2502713797.9763618</v>
      </c>
      <c r="E568" s="47">
        <f t="shared" ca="1" si="74"/>
        <v>9720296023223.9453</v>
      </c>
      <c r="F568" s="47">
        <f t="shared" ca="1" si="75"/>
        <v>2067374803321.6516</v>
      </c>
      <c r="G568" s="47">
        <f t="shared" ca="1" si="76"/>
        <v>171447718192125.25</v>
      </c>
      <c r="H568" s="47">
        <f t="shared" ca="1" si="77"/>
        <v>2067374803321.6516</v>
      </c>
      <c r="I568" s="47">
        <f t="shared" ca="1" si="78"/>
        <v>5834305271821.3496</v>
      </c>
      <c r="J568" s="47">
        <f t="shared" ca="1" si="79"/>
        <v>1116474564475.1387</v>
      </c>
      <c r="K568" s="48">
        <f t="shared" ca="1" si="80"/>
        <v>5.2256499677304262</v>
      </c>
    </row>
    <row r="569" spans="2:11" ht="15" customHeight="1" x14ac:dyDescent="0.35">
      <c r="B569" s="5">
        <v>548</v>
      </c>
      <c r="C569" s="46">
        <f t="shared" ca="1" si="72"/>
        <v>3.5052283369480559</v>
      </c>
      <c r="D569" s="47">
        <f t="shared" ca="1" si="73"/>
        <v>10417622070.634598</v>
      </c>
      <c r="E569" s="47">
        <f t="shared" ca="1" si="74"/>
        <v>70006303255275.063</v>
      </c>
      <c r="F569" s="47">
        <f t="shared" ca="1" si="75"/>
        <v>1439447706144.8667</v>
      </c>
      <c r="G569" s="47">
        <f t="shared" ca="1" si="76"/>
        <v>18948490161601.355</v>
      </c>
      <c r="H569" s="47">
        <f t="shared" ca="1" si="77"/>
        <v>1439447706144.8667</v>
      </c>
      <c r="I569" s="47">
        <f t="shared" ca="1" si="78"/>
        <v>6297692554521.2168</v>
      </c>
      <c r="J569" s="47">
        <f t="shared" ca="1" si="79"/>
        <v>1036209519134.7612</v>
      </c>
      <c r="K569" s="48">
        <f t="shared" ca="1" si="80"/>
        <v>6.0776246871190809</v>
      </c>
    </row>
    <row r="570" spans="2:11" ht="15" customHeight="1" x14ac:dyDescent="0.35">
      <c r="B570" s="5">
        <v>549</v>
      </c>
      <c r="C570" s="46">
        <f t="shared" ca="1" si="72"/>
        <v>2.7927616554598123</v>
      </c>
      <c r="D570" s="47">
        <f t="shared" ca="1" si="73"/>
        <v>3187315655.4952064</v>
      </c>
      <c r="E570" s="47">
        <f t="shared" ca="1" si="74"/>
        <v>11688120208992.664</v>
      </c>
      <c r="F570" s="47">
        <f t="shared" ca="1" si="75"/>
        <v>3369081132329.2061</v>
      </c>
      <c r="G570" s="47">
        <f t="shared" ca="1" si="76"/>
        <v>217915897980.53821</v>
      </c>
      <c r="H570" s="47">
        <f t="shared" ca="1" si="77"/>
        <v>3369081132329.2061</v>
      </c>
      <c r="I570" s="47">
        <f t="shared" ca="1" si="78"/>
        <v>45182567976428.961</v>
      </c>
      <c r="J570" s="47">
        <f t="shared" ca="1" si="79"/>
        <v>1583149510737.9111</v>
      </c>
      <c r="K570" s="48">
        <f t="shared" ca="1" si="80"/>
        <v>28.539672134547306</v>
      </c>
    </row>
    <row r="571" spans="2:11" ht="15" customHeight="1" x14ac:dyDescent="0.35">
      <c r="B571" s="5">
        <v>550</v>
      </c>
      <c r="C571" s="46">
        <f t="shared" ca="1" si="72"/>
        <v>3.3318530710735312</v>
      </c>
      <c r="D571" s="47">
        <f t="shared" ca="1" si="73"/>
        <v>6821075017.3804264</v>
      </c>
      <c r="E571" s="47">
        <f t="shared" ca="1" si="74"/>
        <v>5974079320197.8926</v>
      </c>
      <c r="F571" s="47">
        <f t="shared" ca="1" si="75"/>
        <v>4932640977177.3076</v>
      </c>
      <c r="G571" s="47">
        <f t="shared" ca="1" si="76"/>
        <v>3873957418332.6353</v>
      </c>
      <c r="H571" s="47">
        <f t="shared" ca="1" si="77"/>
        <v>5974079320197.8926</v>
      </c>
      <c r="I571" s="47">
        <f t="shared" ca="1" si="78"/>
        <v>13423031426520.25</v>
      </c>
      <c r="J571" s="47">
        <f t="shared" ca="1" si="79"/>
        <v>1893393205517.1021</v>
      </c>
      <c r="K571" s="48">
        <f t="shared" ca="1" si="80"/>
        <v>7.0894050889203992</v>
      </c>
    </row>
    <row r="572" spans="2:11" ht="15" customHeight="1" x14ac:dyDescent="0.35">
      <c r="B572" s="5">
        <v>551</v>
      </c>
      <c r="C572" s="46">
        <f t="shared" ca="1" si="72"/>
        <v>2.5683579158934133</v>
      </c>
      <c r="D572" s="47">
        <f t="shared" ca="1" si="73"/>
        <v>2296329083.4479651</v>
      </c>
      <c r="E572" s="47">
        <f t="shared" ca="1" si="74"/>
        <v>10928682706583.605</v>
      </c>
      <c r="F572" s="47">
        <f t="shared" ca="1" si="75"/>
        <v>375795172890.44794</v>
      </c>
      <c r="G572" s="47">
        <f t="shared" ca="1" si="76"/>
        <v>21844866742933.008</v>
      </c>
      <c r="H572" s="47">
        <f t="shared" ca="1" si="77"/>
        <v>21844866742933.008</v>
      </c>
      <c r="I572" s="47">
        <f t="shared" ca="1" si="78"/>
        <v>57789834335844.523</v>
      </c>
      <c r="J572" s="47">
        <f t="shared" ca="1" si="79"/>
        <v>1857833475814.8198</v>
      </c>
      <c r="K572" s="48">
        <f t="shared" ca="1" si="80"/>
        <v>31.106035652898711</v>
      </c>
    </row>
    <row r="573" spans="2:11" ht="15" customHeight="1" x14ac:dyDescent="0.35">
      <c r="B573" s="5">
        <v>552</v>
      </c>
      <c r="C573" s="46">
        <f t="shared" ca="1" si="72"/>
        <v>3.0096385764384337</v>
      </c>
      <c r="D573" s="47">
        <f t="shared" ca="1" si="73"/>
        <v>4017521273.2648044</v>
      </c>
      <c r="E573" s="47">
        <f t="shared" ca="1" si="74"/>
        <v>7209373005270.3262</v>
      </c>
      <c r="F573" s="47">
        <f t="shared" ca="1" si="75"/>
        <v>5286573185902.8721</v>
      </c>
      <c r="G573" s="47">
        <f t="shared" ca="1" si="76"/>
        <v>547866545678.43182</v>
      </c>
      <c r="H573" s="47">
        <f t="shared" ca="1" si="77"/>
        <v>5286573185902.8721</v>
      </c>
      <c r="I573" s="47">
        <f t="shared" ca="1" si="78"/>
        <v>7456541990073.0615</v>
      </c>
      <c r="J573" s="47">
        <f t="shared" ca="1" si="79"/>
        <v>1076218043671.5837</v>
      </c>
      <c r="K573" s="48">
        <f t="shared" ca="1" si="80"/>
        <v>6.9284677337638865</v>
      </c>
    </row>
    <row r="574" spans="2:11" ht="15" customHeight="1" x14ac:dyDescent="0.35">
      <c r="B574" s="5">
        <v>553</v>
      </c>
      <c r="C574" s="46">
        <f t="shared" ca="1" si="72"/>
        <v>3.4365127565124522</v>
      </c>
      <c r="D574" s="47">
        <f t="shared" ca="1" si="73"/>
        <v>11293118257.850866</v>
      </c>
      <c r="E574" s="47">
        <f t="shared" ca="1" si="74"/>
        <v>11607946402879.855</v>
      </c>
      <c r="F574" s="47">
        <f t="shared" ca="1" si="75"/>
        <v>7132063828998.1377</v>
      </c>
      <c r="G574" s="47">
        <f t="shared" ca="1" si="76"/>
        <v>11694121279376.24</v>
      </c>
      <c r="H574" s="47">
        <f t="shared" ca="1" si="77"/>
        <v>7132063828998.1377</v>
      </c>
      <c r="I574" s="47">
        <f t="shared" ca="1" si="78"/>
        <v>47732927231305.781</v>
      </c>
      <c r="J574" s="47">
        <f t="shared" ca="1" si="79"/>
        <v>905264544500.11829</v>
      </c>
      <c r="K574" s="48">
        <f t="shared" ca="1" si="80"/>
        <v>52.728152804950092</v>
      </c>
    </row>
    <row r="575" spans="2:11" ht="15" customHeight="1" x14ac:dyDescent="0.35">
      <c r="B575" s="5">
        <v>554</v>
      </c>
      <c r="C575" s="46">
        <f t="shared" ca="1" si="72"/>
        <v>3.7876499969836255</v>
      </c>
      <c r="D575" s="47">
        <f t="shared" ca="1" si="73"/>
        <v>15856969422.739014</v>
      </c>
      <c r="E575" s="47">
        <f t="shared" ca="1" si="74"/>
        <v>36901302456913.711</v>
      </c>
      <c r="F575" s="47">
        <f t="shared" ca="1" si="75"/>
        <v>4643081474388.2441</v>
      </c>
      <c r="G575" s="47">
        <f t="shared" ca="1" si="76"/>
        <v>17799757580860.504</v>
      </c>
      <c r="H575" s="47">
        <f t="shared" ca="1" si="77"/>
        <v>4643081474388.2441</v>
      </c>
      <c r="I575" s="47">
        <f t="shared" ca="1" si="78"/>
        <v>8344297984944.0674</v>
      </c>
      <c r="J575" s="47">
        <f t="shared" ca="1" si="79"/>
        <v>717727473404.74622</v>
      </c>
      <c r="K575" s="48">
        <f t="shared" ca="1" si="80"/>
        <v>11.625997741678322</v>
      </c>
    </row>
    <row r="576" spans="2:11" ht="15" customHeight="1" x14ac:dyDescent="0.35">
      <c r="B576" s="5">
        <v>555</v>
      </c>
      <c r="C576" s="46">
        <f t="shared" ca="1" si="72"/>
        <v>2.5656687442120245</v>
      </c>
      <c r="D576" s="47">
        <f t="shared" ca="1" si="73"/>
        <v>2235666546.6600175</v>
      </c>
      <c r="E576" s="47">
        <f t="shared" ca="1" si="74"/>
        <v>4939679003840.9336</v>
      </c>
      <c r="F576" s="47">
        <f t="shared" ca="1" si="75"/>
        <v>4411570045003.5938</v>
      </c>
      <c r="G576" s="47">
        <f t="shared" ca="1" si="76"/>
        <v>38251044504477.523</v>
      </c>
      <c r="H576" s="47">
        <f t="shared" ca="1" si="77"/>
        <v>4411570045003.5938</v>
      </c>
      <c r="I576" s="47">
        <f t="shared" ca="1" si="78"/>
        <v>3639131449661.9897</v>
      </c>
      <c r="J576" s="47">
        <f t="shared" ca="1" si="79"/>
        <v>1626860206918.1763</v>
      </c>
      <c r="K576" s="48">
        <f t="shared" ca="1" si="80"/>
        <v>2.2369048269708043</v>
      </c>
    </row>
    <row r="577" spans="2:11" ht="15" customHeight="1" x14ac:dyDescent="0.35">
      <c r="B577" s="5">
        <v>556</v>
      </c>
      <c r="C577" s="46">
        <f t="shared" ca="1" si="72"/>
        <v>3.0576999123589785</v>
      </c>
      <c r="D577" s="47">
        <f t="shared" ca="1" si="73"/>
        <v>5902620945.619421</v>
      </c>
      <c r="E577" s="47">
        <f t="shared" ca="1" si="74"/>
        <v>20815001665507.859</v>
      </c>
      <c r="F577" s="47">
        <f t="shared" ca="1" si="75"/>
        <v>924098764682.00208</v>
      </c>
      <c r="G577" s="47">
        <f t="shared" ca="1" si="76"/>
        <v>358184541542.24945</v>
      </c>
      <c r="H577" s="47">
        <f t="shared" ca="1" si="77"/>
        <v>358184541542.24945</v>
      </c>
      <c r="I577" s="47">
        <f t="shared" ca="1" si="78"/>
        <v>6053894226599.1621</v>
      </c>
      <c r="J577" s="47">
        <f t="shared" ca="1" si="79"/>
        <v>1879692205009.4321</v>
      </c>
      <c r="K577" s="48">
        <f t="shared" ca="1" si="80"/>
        <v>3.2206837962435366</v>
      </c>
    </row>
    <row r="578" spans="2:11" ht="15" customHeight="1" x14ac:dyDescent="0.35">
      <c r="B578" s="5">
        <v>557</v>
      </c>
      <c r="C578" s="46">
        <f t="shared" ca="1" si="72"/>
        <v>3.9012205272816365</v>
      </c>
      <c r="D578" s="47">
        <f t="shared" ca="1" si="73"/>
        <v>15363808584.038851</v>
      </c>
      <c r="E578" s="47">
        <f t="shared" ca="1" si="74"/>
        <v>22668568572393.547</v>
      </c>
      <c r="F578" s="47">
        <f t="shared" ca="1" si="75"/>
        <v>1116874662705.6523</v>
      </c>
      <c r="G578" s="47">
        <f t="shared" ca="1" si="76"/>
        <v>59081366517365.789</v>
      </c>
      <c r="H578" s="47">
        <f t="shared" ca="1" si="77"/>
        <v>1116874662705.6523</v>
      </c>
      <c r="I578" s="47">
        <f t="shared" ca="1" si="78"/>
        <v>13020558716542.611</v>
      </c>
      <c r="J578" s="47">
        <f t="shared" ca="1" si="79"/>
        <v>1449140096866.7925</v>
      </c>
      <c r="K578" s="48">
        <f t="shared" ca="1" si="80"/>
        <v>8.9850241151249328</v>
      </c>
    </row>
    <row r="579" spans="2:11" ht="15" customHeight="1" x14ac:dyDescent="0.35">
      <c r="B579" s="5">
        <v>558</v>
      </c>
      <c r="C579" s="46">
        <f t="shared" ca="1" si="72"/>
        <v>2.7059491758694967</v>
      </c>
      <c r="D579" s="47">
        <f t="shared" ca="1" si="73"/>
        <v>3113025668.8601489</v>
      </c>
      <c r="E579" s="47">
        <f t="shared" ca="1" si="74"/>
        <v>15121503918046.371</v>
      </c>
      <c r="F579" s="47">
        <f t="shared" ca="1" si="75"/>
        <v>7644637728877.5459</v>
      </c>
      <c r="G579" s="47">
        <f t="shared" ca="1" si="76"/>
        <v>4561242086261.2236</v>
      </c>
      <c r="H579" s="47">
        <f t="shared" ca="1" si="77"/>
        <v>4561242086261.2236</v>
      </c>
      <c r="I579" s="47">
        <f t="shared" ca="1" si="78"/>
        <v>1636617635384.0281</v>
      </c>
      <c r="J579" s="47">
        <f t="shared" ca="1" si="79"/>
        <v>1808991461528.9832</v>
      </c>
      <c r="K579" s="48">
        <f t="shared" ca="1" si="80"/>
        <v>0.90471274751111186</v>
      </c>
    </row>
    <row r="580" spans="2:11" ht="15" customHeight="1" x14ac:dyDescent="0.35">
      <c r="B580" s="5">
        <v>559</v>
      </c>
      <c r="C580" s="46">
        <f t="shared" ca="1" si="72"/>
        <v>2.8004942921584863</v>
      </c>
      <c r="D580" s="47">
        <f t="shared" ca="1" si="73"/>
        <v>3670796392.5622015</v>
      </c>
      <c r="E580" s="47">
        <f t="shared" ca="1" si="74"/>
        <v>7085154897195.6533</v>
      </c>
      <c r="F580" s="47">
        <f t="shared" ca="1" si="75"/>
        <v>1649186021519.3081</v>
      </c>
      <c r="G580" s="47">
        <f t="shared" ca="1" si="76"/>
        <v>14643753947618.383</v>
      </c>
      <c r="H580" s="47">
        <f t="shared" ca="1" si="77"/>
        <v>1649186021519.3081</v>
      </c>
      <c r="I580" s="47">
        <f t="shared" ca="1" si="78"/>
        <v>1473618719600.8052</v>
      </c>
      <c r="J580" s="47">
        <f t="shared" ca="1" si="79"/>
        <v>1056192523793.2235</v>
      </c>
      <c r="K580" s="48">
        <f t="shared" ca="1" si="80"/>
        <v>1.3952179043158077</v>
      </c>
    </row>
    <row r="581" spans="2:11" ht="15" customHeight="1" x14ac:dyDescent="0.35">
      <c r="B581" s="5">
        <v>560</v>
      </c>
      <c r="C581" s="46">
        <f t="shared" ca="1" si="72"/>
        <v>2.3254646209526939</v>
      </c>
      <c r="D581" s="47">
        <f t="shared" ca="1" si="73"/>
        <v>1145953171.408777</v>
      </c>
      <c r="E581" s="47">
        <f t="shared" ca="1" si="74"/>
        <v>1895681427795.6062</v>
      </c>
      <c r="F581" s="47">
        <f t="shared" ca="1" si="75"/>
        <v>3434352166353.9038</v>
      </c>
      <c r="G581" s="47">
        <f t="shared" ca="1" si="76"/>
        <v>59554254951595.148</v>
      </c>
      <c r="H581" s="47">
        <f t="shared" ca="1" si="77"/>
        <v>3434352166353.9038</v>
      </c>
      <c r="I581" s="47">
        <f t="shared" ca="1" si="78"/>
        <v>6081321784677.1504</v>
      </c>
      <c r="J581" s="47">
        <f t="shared" ca="1" si="79"/>
        <v>731929127973.34546</v>
      </c>
      <c r="K581" s="48">
        <f t="shared" ca="1" si="80"/>
        <v>8.308621084005571</v>
      </c>
    </row>
    <row r="582" spans="2:11" ht="15" customHeight="1" x14ac:dyDescent="0.35">
      <c r="B582" s="5">
        <v>561</v>
      </c>
      <c r="C582" s="46">
        <f t="shared" ca="1" si="72"/>
        <v>3.428226287754423</v>
      </c>
      <c r="D582" s="47">
        <f t="shared" ca="1" si="73"/>
        <v>8196518648.3881664</v>
      </c>
      <c r="E582" s="47">
        <f t="shared" ca="1" si="74"/>
        <v>10741637301672.576</v>
      </c>
      <c r="F582" s="47">
        <f t="shared" ca="1" si="75"/>
        <v>3851356641613.7944</v>
      </c>
      <c r="G582" s="47">
        <f t="shared" ca="1" si="76"/>
        <v>33776620438602.211</v>
      </c>
      <c r="H582" s="47">
        <f t="shared" ca="1" si="77"/>
        <v>10741637301672.576</v>
      </c>
      <c r="I582" s="47">
        <f t="shared" ca="1" si="78"/>
        <v>23665580852659.238</v>
      </c>
      <c r="J582" s="47">
        <f t="shared" ca="1" si="79"/>
        <v>1112831886775.6177</v>
      </c>
      <c r="K582" s="48">
        <f t="shared" ca="1" si="80"/>
        <v>21.266088017327789</v>
      </c>
    </row>
    <row r="583" spans="2:11" ht="15" customHeight="1" x14ac:dyDescent="0.35">
      <c r="B583" s="5">
        <v>562</v>
      </c>
      <c r="C583" s="46">
        <f t="shared" ca="1" si="72"/>
        <v>3.0680990452976853</v>
      </c>
      <c r="D583" s="47">
        <f t="shared" ca="1" si="73"/>
        <v>4377836211.4768038</v>
      </c>
      <c r="E583" s="47">
        <f t="shared" ca="1" si="74"/>
        <v>18866931038573.836</v>
      </c>
      <c r="F583" s="47">
        <f t="shared" ca="1" si="75"/>
        <v>9009061617871.1641</v>
      </c>
      <c r="G583" s="47">
        <f t="shared" ca="1" si="76"/>
        <v>502420651550.86047</v>
      </c>
      <c r="H583" s="47">
        <f t="shared" ca="1" si="77"/>
        <v>18866931038573.836</v>
      </c>
      <c r="I583" s="47">
        <f t="shared" ca="1" si="78"/>
        <v>47444057422559.406</v>
      </c>
      <c r="J583" s="47">
        <f t="shared" ca="1" si="79"/>
        <v>727954270866.172</v>
      </c>
      <c r="K583" s="48">
        <f t="shared" ca="1" si="80"/>
        <v>65.174502467177064</v>
      </c>
    </row>
    <row r="584" spans="2:11" ht="15" customHeight="1" x14ac:dyDescent="0.35">
      <c r="B584" s="5">
        <v>563</v>
      </c>
      <c r="C584" s="46">
        <f t="shared" ca="1" si="72"/>
        <v>3.0556483047098766</v>
      </c>
      <c r="D584" s="47">
        <f t="shared" ca="1" si="73"/>
        <v>5132654311.6755667</v>
      </c>
      <c r="E584" s="47">
        <f t="shared" ca="1" si="74"/>
        <v>12525425630949.244</v>
      </c>
      <c r="F584" s="47">
        <f t="shared" ca="1" si="75"/>
        <v>3360290296332.646</v>
      </c>
      <c r="G584" s="47">
        <f t="shared" ca="1" si="76"/>
        <v>19842105604901.539</v>
      </c>
      <c r="H584" s="47">
        <f t="shared" ca="1" si="77"/>
        <v>12525425630949.244</v>
      </c>
      <c r="I584" s="47">
        <f t="shared" ca="1" si="78"/>
        <v>45994962512359.75</v>
      </c>
      <c r="J584" s="47">
        <f t="shared" ca="1" si="79"/>
        <v>767384665312.43945</v>
      </c>
      <c r="K584" s="48">
        <f t="shared" ca="1" si="80"/>
        <v>59.937296888299137</v>
      </c>
    </row>
    <row r="585" spans="2:11" ht="15" customHeight="1" x14ac:dyDescent="0.35">
      <c r="B585" s="5">
        <v>564</v>
      </c>
      <c r="C585" s="46">
        <f t="shared" ca="1" si="72"/>
        <v>3.4428204945243617</v>
      </c>
      <c r="D585" s="47">
        <f t="shared" ca="1" si="73"/>
        <v>8561461874.4563417</v>
      </c>
      <c r="E585" s="47">
        <f t="shared" ca="1" si="74"/>
        <v>23534310571031.703</v>
      </c>
      <c r="F585" s="47">
        <f t="shared" ca="1" si="75"/>
        <v>2661580941403.4746</v>
      </c>
      <c r="G585" s="47">
        <f t="shared" ca="1" si="76"/>
        <v>30905595722153.395</v>
      </c>
      <c r="H585" s="47">
        <f t="shared" ca="1" si="77"/>
        <v>30905595722153.395</v>
      </c>
      <c r="I585" s="47">
        <f t="shared" ca="1" si="78"/>
        <v>910069807596.90149</v>
      </c>
      <c r="J585" s="47">
        <f t="shared" ca="1" si="79"/>
        <v>1867182006597.5947</v>
      </c>
      <c r="K585" s="48">
        <f t="shared" ca="1" si="80"/>
        <v>0.48740283720666494</v>
      </c>
    </row>
    <row r="586" spans="2:11" ht="15" customHeight="1" x14ac:dyDescent="0.35">
      <c r="B586" s="5">
        <v>565</v>
      </c>
      <c r="C586" s="46">
        <f t="shared" ca="1" si="72"/>
        <v>2.9179177893013248</v>
      </c>
      <c r="D586" s="47">
        <f t="shared" ca="1" si="73"/>
        <v>4620374665.8095779</v>
      </c>
      <c r="E586" s="47">
        <f t="shared" ca="1" si="74"/>
        <v>14602165165663.115</v>
      </c>
      <c r="F586" s="47">
        <f t="shared" ca="1" si="75"/>
        <v>4402500248417.1211</v>
      </c>
      <c r="G586" s="47">
        <f t="shared" ca="1" si="76"/>
        <v>31168792353797.402</v>
      </c>
      <c r="H586" s="47">
        <f t="shared" ca="1" si="77"/>
        <v>4402500248417.1211</v>
      </c>
      <c r="I586" s="47">
        <f t="shared" ca="1" si="78"/>
        <v>15638494694325.457</v>
      </c>
      <c r="J586" s="47">
        <f t="shared" ca="1" si="79"/>
        <v>1421050929772.8152</v>
      </c>
      <c r="K586" s="48">
        <f t="shared" ca="1" si="80"/>
        <v>11.004879815831512</v>
      </c>
    </row>
    <row r="587" spans="2:11" ht="15" customHeight="1" x14ac:dyDescent="0.35">
      <c r="B587" s="5">
        <v>566</v>
      </c>
      <c r="C587" s="46">
        <f t="shared" ca="1" si="72"/>
        <v>3.2403571783551381</v>
      </c>
      <c r="D587" s="47">
        <f t="shared" ca="1" si="73"/>
        <v>7305029447.9348373</v>
      </c>
      <c r="E587" s="47">
        <f t="shared" ca="1" si="74"/>
        <v>36011855662502.789</v>
      </c>
      <c r="F587" s="47">
        <f t="shared" ca="1" si="75"/>
        <v>4093357196921.002</v>
      </c>
      <c r="G587" s="47">
        <f t="shared" ca="1" si="76"/>
        <v>16251184721048.285</v>
      </c>
      <c r="H587" s="47">
        <f t="shared" ca="1" si="77"/>
        <v>16251184721048.285</v>
      </c>
      <c r="I587" s="47">
        <f t="shared" ca="1" si="78"/>
        <v>1225533113834.5874</v>
      </c>
      <c r="J587" s="47">
        <f t="shared" ca="1" si="79"/>
        <v>1383986914651.1257</v>
      </c>
      <c r="K587" s="48">
        <f t="shared" ca="1" si="80"/>
        <v>0.88550917704559273</v>
      </c>
    </row>
    <row r="588" spans="2:11" ht="15" customHeight="1" x14ac:dyDescent="0.35">
      <c r="B588" s="5">
        <v>567</v>
      </c>
      <c r="C588" s="46">
        <f t="shared" ca="1" si="72"/>
        <v>3.4268759691704584</v>
      </c>
      <c r="D588" s="47">
        <f t="shared" ca="1" si="73"/>
        <v>10747976671.314363</v>
      </c>
      <c r="E588" s="47">
        <f t="shared" ca="1" si="74"/>
        <v>75427911858848.047</v>
      </c>
      <c r="F588" s="47">
        <f t="shared" ca="1" si="75"/>
        <v>5848080793403.3164</v>
      </c>
      <c r="G588" s="47">
        <f t="shared" ca="1" si="76"/>
        <v>38396426216626.188</v>
      </c>
      <c r="H588" s="47">
        <f t="shared" ca="1" si="77"/>
        <v>38396426216626.188</v>
      </c>
      <c r="I588" s="47">
        <f t="shared" ca="1" si="78"/>
        <v>18085465681331.793</v>
      </c>
      <c r="J588" s="47">
        <f t="shared" ca="1" si="79"/>
        <v>1114801639139.2366</v>
      </c>
      <c r="K588" s="48">
        <f t="shared" ca="1" si="80"/>
        <v>16.223034705345416</v>
      </c>
    </row>
    <row r="589" spans="2:11" ht="15" customHeight="1" x14ac:dyDescent="0.35">
      <c r="B589" s="5">
        <v>568</v>
      </c>
      <c r="C589" s="46">
        <f t="shared" ca="1" si="72"/>
        <v>3.5336379683327661</v>
      </c>
      <c r="D589" s="47">
        <f t="shared" ca="1" si="73"/>
        <v>9662482569.6348152</v>
      </c>
      <c r="E589" s="47">
        <f t="shared" ca="1" si="74"/>
        <v>36076440264054.18</v>
      </c>
      <c r="F589" s="47">
        <f t="shared" ca="1" si="75"/>
        <v>4085422954753.0088</v>
      </c>
      <c r="G589" s="47">
        <f t="shared" ca="1" si="76"/>
        <v>1368493347624.2722</v>
      </c>
      <c r="H589" s="47">
        <f t="shared" ca="1" si="77"/>
        <v>36076440264054.18</v>
      </c>
      <c r="I589" s="47">
        <f t="shared" ca="1" si="78"/>
        <v>2215080234514.5986</v>
      </c>
      <c r="J589" s="47">
        <f t="shared" ca="1" si="79"/>
        <v>1137217083629.7261</v>
      </c>
      <c r="K589" s="48">
        <f t="shared" ca="1" si="80"/>
        <v>1.9478077373271514</v>
      </c>
    </row>
    <row r="590" spans="2:11" ht="15" customHeight="1" x14ac:dyDescent="0.35">
      <c r="B590" s="5">
        <v>569</v>
      </c>
      <c r="C590" s="46">
        <f t="shared" ca="1" si="72"/>
        <v>2.8992129303587122</v>
      </c>
      <c r="D590" s="47">
        <f t="shared" ca="1" si="73"/>
        <v>4085477931.6434283</v>
      </c>
      <c r="E590" s="47">
        <f t="shared" ca="1" si="74"/>
        <v>3118871766673.8696</v>
      </c>
      <c r="F590" s="47">
        <f t="shared" ca="1" si="75"/>
        <v>2591433221011.6973</v>
      </c>
      <c r="G590" s="47">
        <f t="shared" ca="1" si="76"/>
        <v>3400554048211.1772</v>
      </c>
      <c r="H590" s="47">
        <f t="shared" ca="1" si="77"/>
        <v>3118871766673.8696</v>
      </c>
      <c r="I590" s="47">
        <f t="shared" ca="1" si="78"/>
        <v>22061791326077.164</v>
      </c>
      <c r="J590" s="47">
        <f t="shared" ca="1" si="79"/>
        <v>884494540549.57434</v>
      </c>
      <c r="K590" s="48">
        <f t="shared" ca="1" si="80"/>
        <v>24.942823629379586</v>
      </c>
    </row>
    <row r="591" spans="2:11" ht="15" customHeight="1" x14ac:dyDescent="0.35">
      <c r="B591" s="5">
        <v>570</v>
      </c>
      <c r="C591" s="46">
        <f t="shared" ca="1" si="72"/>
        <v>3.0235060028380967</v>
      </c>
      <c r="D591" s="47">
        <f t="shared" ca="1" si="73"/>
        <v>4119351700.342227</v>
      </c>
      <c r="E591" s="47">
        <f t="shared" ca="1" si="74"/>
        <v>12256918929881.947</v>
      </c>
      <c r="F591" s="47">
        <f t="shared" ca="1" si="75"/>
        <v>12190352983069.488</v>
      </c>
      <c r="G591" s="47">
        <f t="shared" ca="1" si="76"/>
        <v>96993325784281.094</v>
      </c>
      <c r="H591" s="47">
        <f t="shared" ca="1" si="77"/>
        <v>12256918929881.947</v>
      </c>
      <c r="I591" s="47">
        <f t="shared" ca="1" si="78"/>
        <v>3925806874914.0771</v>
      </c>
      <c r="J591" s="47">
        <f t="shared" ca="1" si="79"/>
        <v>581800835186.00439</v>
      </c>
      <c r="K591" s="48">
        <f t="shared" ca="1" si="80"/>
        <v>6.7476817451782765</v>
      </c>
    </row>
    <row r="592" spans="2:11" ht="15" customHeight="1" x14ac:dyDescent="0.35">
      <c r="B592" s="5">
        <v>571</v>
      </c>
      <c r="C592" s="46">
        <f t="shared" ca="1" si="72"/>
        <v>2.5336146567754945</v>
      </c>
      <c r="D592" s="47">
        <f t="shared" ca="1" si="73"/>
        <v>1865570944.0139656</v>
      </c>
      <c r="E592" s="47">
        <f t="shared" ca="1" si="74"/>
        <v>2008353459258.5554</v>
      </c>
      <c r="F592" s="47">
        <f t="shared" ca="1" si="75"/>
        <v>1723934229036.6631</v>
      </c>
      <c r="G592" s="47">
        <f t="shared" ca="1" si="76"/>
        <v>169907329101.2449</v>
      </c>
      <c r="H592" s="47">
        <f t="shared" ca="1" si="77"/>
        <v>2008353459258.5554</v>
      </c>
      <c r="I592" s="47">
        <f t="shared" ca="1" si="78"/>
        <v>13443561540455.922</v>
      </c>
      <c r="J592" s="47">
        <f t="shared" ca="1" si="79"/>
        <v>1226203101998.0674</v>
      </c>
      <c r="K592" s="48">
        <f t="shared" ca="1" si="80"/>
        <v>10.963568366896132</v>
      </c>
    </row>
    <row r="593" spans="2:11" ht="15" customHeight="1" x14ac:dyDescent="0.35">
      <c r="B593" s="5">
        <v>572</v>
      </c>
      <c r="C593" s="46">
        <f t="shared" ca="1" si="72"/>
        <v>3.3268135535796031</v>
      </c>
      <c r="D593" s="47">
        <f t="shared" ca="1" si="73"/>
        <v>9055011558.7530136</v>
      </c>
      <c r="E593" s="47">
        <f t="shared" ca="1" si="74"/>
        <v>7229370048213.5176</v>
      </c>
      <c r="F593" s="47">
        <f t="shared" ca="1" si="75"/>
        <v>2847443358766.1138</v>
      </c>
      <c r="G593" s="47">
        <f t="shared" ca="1" si="76"/>
        <v>7247916707711.5615</v>
      </c>
      <c r="H593" s="47">
        <f t="shared" ca="1" si="77"/>
        <v>7229370048213.5176</v>
      </c>
      <c r="I593" s="47">
        <f t="shared" ca="1" si="78"/>
        <v>39316654979353.281</v>
      </c>
      <c r="J593" s="47">
        <f t="shared" ca="1" si="79"/>
        <v>1069802241444.6202</v>
      </c>
      <c r="K593" s="48">
        <f t="shared" ca="1" si="80"/>
        <v>36.751329784336185</v>
      </c>
    </row>
    <row r="594" spans="2:11" ht="15" customHeight="1" x14ac:dyDescent="0.35">
      <c r="B594" s="5">
        <v>573</v>
      </c>
      <c r="C594" s="46">
        <f t="shared" ca="1" si="72"/>
        <v>2.9397377231525725</v>
      </c>
      <c r="D594" s="47">
        <f t="shared" ca="1" si="73"/>
        <v>4167478275.510942</v>
      </c>
      <c r="E594" s="47">
        <f t="shared" ca="1" si="74"/>
        <v>30165973304988.383</v>
      </c>
      <c r="F594" s="47">
        <f t="shared" ca="1" si="75"/>
        <v>1898656938199.3447</v>
      </c>
      <c r="G594" s="47">
        <f t="shared" ca="1" si="76"/>
        <v>562707067740.0752</v>
      </c>
      <c r="H594" s="47">
        <f t="shared" ca="1" si="77"/>
        <v>30165973304988.383</v>
      </c>
      <c r="I594" s="47">
        <f t="shared" ca="1" si="78"/>
        <v>14775121118241.852</v>
      </c>
      <c r="J594" s="47">
        <f t="shared" ca="1" si="79"/>
        <v>1815890268924.3979</v>
      </c>
      <c r="K594" s="48">
        <f t="shared" ca="1" si="80"/>
        <v>8.1365715600169857</v>
      </c>
    </row>
    <row r="595" spans="2:11" ht="15" customHeight="1" x14ac:dyDescent="0.35">
      <c r="B595" s="5">
        <v>574</v>
      </c>
      <c r="C595" s="46">
        <f t="shared" ca="1" si="72"/>
        <v>3.0694534928272192</v>
      </c>
      <c r="D595" s="47">
        <f t="shared" ca="1" si="73"/>
        <v>5077810662.8750057</v>
      </c>
      <c r="E595" s="47">
        <f t="shared" ca="1" si="74"/>
        <v>27519294615515.305</v>
      </c>
      <c r="F595" s="47">
        <f t="shared" ca="1" si="75"/>
        <v>5533500932658.752</v>
      </c>
      <c r="G595" s="47">
        <f t="shared" ca="1" si="76"/>
        <v>1143383060082.8904</v>
      </c>
      <c r="H595" s="47">
        <f t="shared" ca="1" si="77"/>
        <v>1143383060082.8904</v>
      </c>
      <c r="I595" s="47">
        <f t="shared" ca="1" si="78"/>
        <v>16146634575073.336</v>
      </c>
      <c r="J595" s="47">
        <f t="shared" ca="1" si="79"/>
        <v>1644443434935.0295</v>
      </c>
      <c r="K595" s="48">
        <f t="shared" ca="1" si="80"/>
        <v>9.8189054314971163</v>
      </c>
    </row>
    <row r="596" spans="2:11" ht="15" customHeight="1" x14ac:dyDescent="0.35">
      <c r="B596" s="5">
        <v>575</v>
      </c>
      <c r="C596" s="46">
        <f t="shared" ca="1" si="72"/>
        <v>2.7871131851439861</v>
      </c>
      <c r="D596" s="47">
        <f t="shared" ca="1" si="73"/>
        <v>3343396052.7257156</v>
      </c>
      <c r="E596" s="47">
        <f t="shared" ca="1" si="74"/>
        <v>4934696072886.4453</v>
      </c>
      <c r="F596" s="47">
        <f t="shared" ca="1" si="75"/>
        <v>5090391937710.4512</v>
      </c>
      <c r="G596" s="47">
        <f t="shared" ca="1" si="76"/>
        <v>3199354279793.752</v>
      </c>
      <c r="H596" s="47">
        <f t="shared" ca="1" si="77"/>
        <v>5090391937710.4512</v>
      </c>
      <c r="I596" s="47">
        <f t="shared" ca="1" si="78"/>
        <v>82278282408892.828</v>
      </c>
      <c r="J596" s="47">
        <f t="shared" ca="1" si="79"/>
        <v>1638859606733.312</v>
      </c>
      <c r="K596" s="48">
        <f t="shared" ca="1" si="80"/>
        <v>50.204594750428669</v>
      </c>
    </row>
    <row r="597" spans="2:11" ht="15" customHeight="1" x14ac:dyDescent="0.35">
      <c r="B597" s="5">
        <v>576</v>
      </c>
      <c r="C597" s="46">
        <f t="shared" ca="1" si="72"/>
        <v>2.9509213983041631</v>
      </c>
      <c r="D597" s="47">
        <f t="shared" ca="1" si="73"/>
        <v>4361041305.5284824</v>
      </c>
      <c r="E597" s="47">
        <f t="shared" ca="1" si="74"/>
        <v>23487632139374.91</v>
      </c>
      <c r="F597" s="47">
        <f t="shared" ca="1" si="75"/>
        <v>2761845024055.1279</v>
      </c>
      <c r="G597" s="47">
        <f t="shared" ca="1" si="76"/>
        <v>2624718625859.6001</v>
      </c>
      <c r="H597" s="47">
        <f t="shared" ca="1" si="77"/>
        <v>2624718625859.6001</v>
      </c>
      <c r="I597" s="47">
        <f t="shared" ca="1" si="78"/>
        <v>10431662292759.275</v>
      </c>
      <c r="J597" s="47">
        <f t="shared" ca="1" si="79"/>
        <v>2419133150595.8691</v>
      </c>
      <c r="K597" s="48">
        <f t="shared" ca="1" si="80"/>
        <v>4.3121488745626912</v>
      </c>
    </row>
    <row r="598" spans="2:11" ht="15" customHeight="1" x14ac:dyDescent="0.35">
      <c r="B598" s="5">
        <v>577</v>
      </c>
      <c r="C598" s="46">
        <f t="shared" ref="C598:C661" ca="1" si="81">MEDIAN(1.8,NORMINV(RAND(),$C$7,$D$7),4.5)</f>
        <v>3.1590858941159738</v>
      </c>
      <c r="D598" s="47">
        <f t="shared" ref="D598:D661" ca="1" si="82">($C$8+RAND()*($D$8-$C$8))*C598^5</f>
        <v>6240531291.0895605</v>
      </c>
      <c r="E598" s="47">
        <f t="shared" ref="E598:E661" ca="1" si="83">D598*($C$10+RAND()*($D$10-$C$10))*EXP(NORMINV(RAND(),$C$9,$D$9))*($C$11+RAND()*($D$11-$C$11))</f>
        <v>19789698132869.211</v>
      </c>
      <c r="F598" s="47">
        <f t="shared" ref="F598:F661" ca="1" si="84">EXP(NORMINV(RAND(),$C$12,$D$12))*EXP(NORMINV(RAND(),$C$13,$D$13))</f>
        <v>1440246211199.1035</v>
      </c>
      <c r="G598" s="47">
        <f t="shared" ref="G598:G661" ca="1" si="85">EXP(NORMINV(RAND(),$C$14,$D$14))*($C$15+RAND()*($D$15-$C$15))*EXP(NORMINV(RAND(),$C$16,$D$16))/1000000*31536000</f>
        <v>3924022339403.9204</v>
      </c>
      <c r="H598" s="47">
        <f t="shared" ref="H598:H661" ca="1" si="86">CHOOSE(RANDBETWEEN(1,3),E598,F598,G598)</f>
        <v>3924022339403.9204</v>
      </c>
      <c r="I598" s="47">
        <f t="shared" ref="I598:I661" ca="1" si="87">EXP(NORMINV(RAND(),$C$14,$D$14))*($C$15+RAND()*($D$15-$C$15))*60</f>
        <v>18062419467073.809</v>
      </c>
      <c r="J598" s="47">
        <f t="shared" ref="J598:J661" ca="1" si="88">($C$17+RAND()*($D$17-$C$17))*($C$18+RAND()*($D$18-$C$18))</f>
        <v>2223248954002.4468</v>
      </c>
      <c r="K598" s="48">
        <f t="shared" ref="K598:K661" ca="1" si="89">I598/J598</f>
        <v>8.1243350793246023</v>
      </c>
    </row>
    <row r="599" spans="2:11" ht="15" customHeight="1" x14ac:dyDescent="0.35">
      <c r="B599" s="5">
        <v>578</v>
      </c>
      <c r="C599" s="46">
        <f t="shared" ca="1" si="81"/>
        <v>2.3380669465395423</v>
      </c>
      <c r="D599" s="47">
        <f t="shared" ca="1" si="82"/>
        <v>1444605022.0210023</v>
      </c>
      <c r="E599" s="47">
        <f t="shared" ca="1" si="83"/>
        <v>6012378601706.1436</v>
      </c>
      <c r="F599" s="47">
        <f t="shared" ca="1" si="84"/>
        <v>233916664744.58246</v>
      </c>
      <c r="G599" s="47">
        <f t="shared" ca="1" si="85"/>
        <v>1078837382207.7711</v>
      </c>
      <c r="H599" s="47">
        <f t="shared" ca="1" si="86"/>
        <v>1078837382207.7711</v>
      </c>
      <c r="I599" s="47">
        <f t="shared" ca="1" si="87"/>
        <v>25707383619183.328</v>
      </c>
      <c r="J599" s="47">
        <f t="shared" ca="1" si="88"/>
        <v>533474536763.42731</v>
      </c>
      <c r="K599" s="48">
        <f t="shared" ca="1" si="89"/>
        <v>48.188586047891228</v>
      </c>
    </row>
    <row r="600" spans="2:11" ht="15" customHeight="1" x14ac:dyDescent="0.35">
      <c r="B600" s="5">
        <v>579</v>
      </c>
      <c r="C600" s="46">
        <f t="shared" ca="1" si="81"/>
        <v>3.9315790452741441</v>
      </c>
      <c r="D600" s="47">
        <f t="shared" ca="1" si="82"/>
        <v>19335270890.64994</v>
      </c>
      <c r="E600" s="47">
        <f t="shared" ca="1" si="83"/>
        <v>36087962205186.234</v>
      </c>
      <c r="F600" s="47">
        <f t="shared" ca="1" si="84"/>
        <v>4949426707535.7119</v>
      </c>
      <c r="G600" s="47">
        <f t="shared" ca="1" si="85"/>
        <v>4695361052920.0635</v>
      </c>
      <c r="H600" s="47">
        <f t="shared" ca="1" si="86"/>
        <v>4695361052920.0635</v>
      </c>
      <c r="I600" s="47">
        <f t="shared" ca="1" si="87"/>
        <v>16534825338021.779</v>
      </c>
      <c r="J600" s="47">
        <f t="shared" ca="1" si="88"/>
        <v>1191836676048.8394</v>
      </c>
      <c r="K600" s="48">
        <f t="shared" ca="1" si="89"/>
        <v>13.873398654619193</v>
      </c>
    </row>
    <row r="601" spans="2:11" ht="15" customHeight="1" x14ac:dyDescent="0.35">
      <c r="B601" s="5">
        <v>580</v>
      </c>
      <c r="C601" s="46">
        <f t="shared" ca="1" si="81"/>
        <v>3.2498572321953958</v>
      </c>
      <c r="D601" s="47">
        <f t="shared" ca="1" si="82"/>
        <v>6796809056.3397169</v>
      </c>
      <c r="E601" s="47">
        <f t="shared" ca="1" si="83"/>
        <v>57185734907039.719</v>
      </c>
      <c r="F601" s="47">
        <f t="shared" ca="1" si="84"/>
        <v>503381998109.34949</v>
      </c>
      <c r="G601" s="47">
        <f t="shared" ca="1" si="85"/>
        <v>17525468688631.016</v>
      </c>
      <c r="H601" s="47">
        <f t="shared" ca="1" si="86"/>
        <v>17525468688631.016</v>
      </c>
      <c r="I601" s="47">
        <f t="shared" ca="1" si="87"/>
        <v>24949980578331.371</v>
      </c>
      <c r="J601" s="47">
        <f t="shared" ca="1" si="88"/>
        <v>1102753837919.7761</v>
      </c>
      <c r="K601" s="48">
        <f t="shared" ca="1" si="89"/>
        <v>22.625158689446746</v>
      </c>
    </row>
    <row r="602" spans="2:11" ht="15" customHeight="1" x14ac:dyDescent="0.35">
      <c r="B602" s="5">
        <v>581</v>
      </c>
      <c r="C602" s="46">
        <f t="shared" ca="1" si="81"/>
        <v>3.0025446581243824</v>
      </c>
      <c r="D602" s="47">
        <f t="shared" ca="1" si="82"/>
        <v>4732253064.8410673</v>
      </c>
      <c r="E602" s="47">
        <f t="shared" ca="1" si="83"/>
        <v>22829672945625.836</v>
      </c>
      <c r="F602" s="47">
        <f t="shared" ca="1" si="84"/>
        <v>1193476077692.2927</v>
      </c>
      <c r="G602" s="47">
        <f t="shared" ca="1" si="85"/>
        <v>2847824236906.3848</v>
      </c>
      <c r="H602" s="47">
        <f t="shared" ca="1" si="86"/>
        <v>1193476077692.2927</v>
      </c>
      <c r="I602" s="47">
        <f t="shared" ca="1" si="87"/>
        <v>20395797079892.684</v>
      </c>
      <c r="J602" s="47">
        <f t="shared" ca="1" si="88"/>
        <v>612568851237.67969</v>
      </c>
      <c r="K602" s="48">
        <f t="shared" ca="1" si="89"/>
        <v>33.295517783321003</v>
      </c>
    </row>
    <row r="603" spans="2:11" ht="15" customHeight="1" x14ac:dyDescent="0.35">
      <c r="B603" s="5">
        <v>582</v>
      </c>
      <c r="C603" s="46">
        <f t="shared" ca="1" si="81"/>
        <v>3.0330987907461329</v>
      </c>
      <c r="D603" s="47">
        <f t="shared" ca="1" si="82"/>
        <v>4133988718.7139044</v>
      </c>
      <c r="E603" s="47">
        <f t="shared" ca="1" si="83"/>
        <v>3277467812071.2813</v>
      </c>
      <c r="F603" s="47">
        <f t="shared" ca="1" si="84"/>
        <v>2295853143008.5093</v>
      </c>
      <c r="G603" s="47">
        <f t="shared" ca="1" si="85"/>
        <v>373458030769.93915</v>
      </c>
      <c r="H603" s="47">
        <f t="shared" ca="1" si="86"/>
        <v>3277467812071.2813</v>
      </c>
      <c r="I603" s="47">
        <f t="shared" ca="1" si="87"/>
        <v>85267189931826.859</v>
      </c>
      <c r="J603" s="47">
        <f t="shared" ca="1" si="88"/>
        <v>1635107332355.8394</v>
      </c>
      <c r="K603" s="48">
        <f t="shared" ca="1" si="89"/>
        <v>52.147763174038921</v>
      </c>
    </row>
    <row r="604" spans="2:11" ht="15" customHeight="1" x14ac:dyDescent="0.35">
      <c r="B604" s="5">
        <v>583</v>
      </c>
      <c r="C604" s="46">
        <f t="shared" ca="1" si="81"/>
        <v>3.3118334004826848</v>
      </c>
      <c r="D604" s="47">
        <f t="shared" ca="1" si="82"/>
        <v>6465097384.9586411</v>
      </c>
      <c r="E604" s="47">
        <f t="shared" ca="1" si="83"/>
        <v>7967726253954.9736</v>
      </c>
      <c r="F604" s="47">
        <f t="shared" ca="1" si="84"/>
        <v>782677993304.10815</v>
      </c>
      <c r="G604" s="47">
        <f t="shared" ca="1" si="85"/>
        <v>3524555399678.6201</v>
      </c>
      <c r="H604" s="47">
        <f t="shared" ca="1" si="86"/>
        <v>7967726253954.9736</v>
      </c>
      <c r="I604" s="47">
        <f t="shared" ca="1" si="87"/>
        <v>15063097756349.021</v>
      </c>
      <c r="J604" s="47">
        <f t="shared" ca="1" si="88"/>
        <v>930042360270.47485</v>
      </c>
      <c r="K604" s="48">
        <f t="shared" ca="1" si="89"/>
        <v>16.196141595064951</v>
      </c>
    </row>
    <row r="605" spans="2:11" ht="15" customHeight="1" x14ac:dyDescent="0.35">
      <c r="B605" s="5">
        <v>584</v>
      </c>
      <c r="C605" s="46">
        <f t="shared" ca="1" si="81"/>
        <v>2.5688586068446964</v>
      </c>
      <c r="D605" s="47">
        <f t="shared" ca="1" si="82"/>
        <v>2252286816.5292597</v>
      </c>
      <c r="E605" s="47">
        <f t="shared" ca="1" si="83"/>
        <v>4153307942715.2754</v>
      </c>
      <c r="F605" s="47">
        <f t="shared" ca="1" si="84"/>
        <v>1418130493962.0686</v>
      </c>
      <c r="G605" s="47">
        <f t="shared" ca="1" si="85"/>
        <v>17344265627787.525</v>
      </c>
      <c r="H605" s="47">
        <f t="shared" ca="1" si="86"/>
        <v>4153307942715.2754</v>
      </c>
      <c r="I605" s="47">
        <f t="shared" ca="1" si="87"/>
        <v>6566412479538.1533</v>
      </c>
      <c r="J605" s="47">
        <f t="shared" ca="1" si="88"/>
        <v>1607962700392.4724</v>
      </c>
      <c r="K605" s="48">
        <f t="shared" ca="1" si="89"/>
        <v>4.0836845767227183</v>
      </c>
    </row>
    <row r="606" spans="2:11" ht="15" customHeight="1" x14ac:dyDescent="0.35">
      <c r="B606" s="5">
        <v>585</v>
      </c>
      <c r="C606" s="46">
        <f t="shared" ca="1" si="81"/>
        <v>2.3736000045146146</v>
      </c>
      <c r="D606" s="47">
        <f t="shared" ca="1" si="82"/>
        <v>1687149835.4599745</v>
      </c>
      <c r="E606" s="47">
        <f t="shared" ca="1" si="83"/>
        <v>7495771992533.2129</v>
      </c>
      <c r="F606" s="47">
        <f t="shared" ca="1" si="84"/>
        <v>1431525423316.6582</v>
      </c>
      <c r="G606" s="47">
        <f t="shared" ca="1" si="85"/>
        <v>1603945975482.2593</v>
      </c>
      <c r="H606" s="47">
        <f t="shared" ca="1" si="86"/>
        <v>1603945975482.2593</v>
      </c>
      <c r="I606" s="47">
        <f t="shared" ca="1" si="87"/>
        <v>1315693376782.4609</v>
      </c>
      <c r="J606" s="47">
        <f t="shared" ca="1" si="88"/>
        <v>2016003212673.8953</v>
      </c>
      <c r="K606" s="48">
        <f t="shared" ca="1" si="89"/>
        <v>0.65262464291285083</v>
      </c>
    </row>
    <row r="607" spans="2:11" ht="15" customHeight="1" x14ac:dyDescent="0.35">
      <c r="B607" s="5">
        <v>586</v>
      </c>
      <c r="C607" s="46">
        <f t="shared" ca="1" si="81"/>
        <v>2.5470644546076633</v>
      </c>
      <c r="D607" s="47">
        <f t="shared" ca="1" si="82"/>
        <v>1959936567.2667823</v>
      </c>
      <c r="E607" s="47">
        <f t="shared" ca="1" si="83"/>
        <v>17420751395365.352</v>
      </c>
      <c r="F607" s="47">
        <f t="shared" ca="1" si="84"/>
        <v>1713521197507.4348</v>
      </c>
      <c r="G607" s="47">
        <f t="shared" ca="1" si="85"/>
        <v>34517217349416.121</v>
      </c>
      <c r="H607" s="47">
        <f t="shared" ca="1" si="86"/>
        <v>17420751395365.352</v>
      </c>
      <c r="I607" s="47">
        <f t="shared" ca="1" si="87"/>
        <v>8539820288501.168</v>
      </c>
      <c r="J607" s="47">
        <f t="shared" ca="1" si="88"/>
        <v>1177114522954.7146</v>
      </c>
      <c r="K607" s="48">
        <f t="shared" ca="1" si="89"/>
        <v>7.2548763284859312</v>
      </c>
    </row>
    <row r="608" spans="2:11" ht="15" customHeight="1" x14ac:dyDescent="0.35">
      <c r="B608" s="5">
        <v>587</v>
      </c>
      <c r="C608" s="46">
        <f t="shared" ca="1" si="81"/>
        <v>2.7526171904766654</v>
      </c>
      <c r="D608" s="47">
        <f t="shared" ca="1" si="82"/>
        <v>3461381287.96106</v>
      </c>
      <c r="E608" s="47">
        <f t="shared" ca="1" si="83"/>
        <v>19522002595446.438</v>
      </c>
      <c r="F608" s="47">
        <f t="shared" ca="1" si="84"/>
        <v>8208929373625.1777</v>
      </c>
      <c r="G608" s="47">
        <f t="shared" ca="1" si="85"/>
        <v>19375662767684.031</v>
      </c>
      <c r="H608" s="47">
        <f t="shared" ca="1" si="86"/>
        <v>19375662767684.031</v>
      </c>
      <c r="I608" s="47">
        <f t="shared" ca="1" si="87"/>
        <v>16606179813464.209</v>
      </c>
      <c r="J608" s="47">
        <f t="shared" ca="1" si="88"/>
        <v>1992423735789.51</v>
      </c>
      <c r="K608" s="48">
        <f t="shared" ca="1" si="89"/>
        <v>8.3346627101307398</v>
      </c>
    </row>
    <row r="609" spans="2:11" ht="15" customHeight="1" x14ac:dyDescent="0.35">
      <c r="B609" s="5">
        <v>588</v>
      </c>
      <c r="C609" s="46">
        <f t="shared" ca="1" si="81"/>
        <v>2.845665378637074</v>
      </c>
      <c r="D609" s="47">
        <f t="shared" ca="1" si="82"/>
        <v>4402182640.4902182</v>
      </c>
      <c r="E609" s="47">
        <f t="shared" ca="1" si="83"/>
        <v>4681647176041.7266</v>
      </c>
      <c r="F609" s="47">
        <f t="shared" ca="1" si="84"/>
        <v>887809981744.12708</v>
      </c>
      <c r="G609" s="47">
        <f t="shared" ca="1" si="85"/>
        <v>15710738033606.469</v>
      </c>
      <c r="H609" s="47">
        <f t="shared" ca="1" si="86"/>
        <v>4681647176041.7266</v>
      </c>
      <c r="I609" s="47">
        <f t="shared" ca="1" si="87"/>
        <v>17316356028739.223</v>
      </c>
      <c r="J609" s="47">
        <f t="shared" ca="1" si="88"/>
        <v>564947209344.99414</v>
      </c>
      <c r="K609" s="48">
        <f t="shared" ca="1" si="89"/>
        <v>30.651281645971828</v>
      </c>
    </row>
    <row r="610" spans="2:11" ht="15" customHeight="1" x14ac:dyDescent="0.35">
      <c r="B610" s="5">
        <v>589</v>
      </c>
      <c r="C610" s="46">
        <f t="shared" ca="1" si="81"/>
        <v>2.8277578126626173</v>
      </c>
      <c r="D610" s="47">
        <f t="shared" ca="1" si="82"/>
        <v>3924581874.2217464</v>
      </c>
      <c r="E610" s="47">
        <f t="shared" ca="1" si="83"/>
        <v>16654270531496.264</v>
      </c>
      <c r="F610" s="47">
        <f t="shared" ca="1" si="84"/>
        <v>2714537002535.5625</v>
      </c>
      <c r="G610" s="47">
        <f t="shared" ca="1" si="85"/>
        <v>2982030853381.5654</v>
      </c>
      <c r="H610" s="47">
        <f t="shared" ca="1" si="86"/>
        <v>16654270531496.264</v>
      </c>
      <c r="I610" s="47">
        <f t="shared" ca="1" si="87"/>
        <v>151962033966969.97</v>
      </c>
      <c r="J610" s="47">
        <f t="shared" ca="1" si="88"/>
        <v>1876294352974.491</v>
      </c>
      <c r="K610" s="48">
        <f t="shared" ca="1" si="89"/>
        <v>80.990508619324274</v>
      </c>
    </row>
    <row r="611" spans="2:11" ht="15" customHeight="1" x14ac:dyDescent="0.35">
      <c r="B611" s="5">
        <v>590</v>
      </c>
      <c r="C611" s="46">
        <f t="shared" ca="1" si="81"/>
        <v>2.8639965851834575</v>
      </c>
      <c r="D611" s="47">
        <f t="shared" ca="1" si="82"/>
        <v>3828457926.0067568</v>
      </c>
      <c r="E611" s="47">
        <f t="shared" ca="1" si="83"/>
        <v>28779894072180.117</v>
      </c>
      <c r="F611" s="47">
        <f t="shared" ca="1" si="84"/>
        <v>8797921482937.9121</v>
      </c>
      <c r="G611" s="47">
        <f t="shared" ca="1" si="85"/>
        <v>2121008695570.2654</v>
      </c>
      <c r="H611" s="47">
        <f t="shared" ca="1" si="86"/>
        <v>2121008695570.2654</v>
      </c>
      <c r="I611" s="47">
        <f t="shared" ca="1" si="87"/>
        <v>7116609865366.2266</v>
      </c>
      <c r="J611" s="47">
        <f t="shared" ca="1" si="88"/>
        <v>1366016794920.6809</v>
      </c>
      <c r="K611" s="48">
        <f t="shared" ca="1" si="89"/>
        <v>5.2097528316110191</v>
      </c>
    </row>
    <row r="612" spans="2:11" ht="15" customHeight="1" x14ac:dyDescent="0.35">
      <c r="B612" s="5">
        <v>591</v>
      </c>
      <c r="C612" s="46">
        <f t="shared" ca="1" si="81"/>
        <v>2.6316672651562878</v>
      </c>
      <c r="D612" s="47">
        <f t="shared" ca="1" si="82"/>
        <v>2108332300.2083929</v>
      </c>
      <c r="E612" s="47">
        <f t="shared" ca="1" si="83"/>
        <v>1726056445534.1619</v>
      </c>
      <c r="F612" s="47">
        <f t="shared" ca="1" si="84"/>
        <v>633179409292.75146</v>
      </c>
      <c r="G612" s="47">
        <f t="shared" ca="1" si="85"/>
        <v>669315553495.25757</v>
      </c>
      <c r="H612" s="47">
        <f t="shared" ca="1" si="86"/>
        <v>1726056445534.1619</v>
      </c>
      <c r="I612" s="47">
        <f t="shared" ca="1" si="87"/>
        <v>2287145248308.2285</v>
      </c>
      <c r="J612" s="47">
        <f t="shared" ca="1" si="88"/>
        <v>1667397941263.8938</v>
      </c>
      <c r="K612" s="48">
        <f t="shared" ca="1" si="89"/>
        <v>1.3716853018149728</v>
      </c>
    </row>
    <row r="613" spans="2:11" ht="15" customHeight="1" x14ac:dyDescent="0.35">
      <c r="B613" s="5">
        <v>592</v>
      </c>
      <c r="C613" s="46">
        <f t="shared" ca="1" si="81"/>
        <v>2.6796283006261197</v>
      </c>
      <c r="D613" s="47">
        <f t="shared" ca="1" si="82"/>
        <v>2364790936.5149913</v>
      </c>
      <c r="E613" s="47">
        <f t="shared" ca="1" si="83"/>
        <v>4801824529566.3643</v>
      </c>
      <c r="F613" s="47">
        <f t="shared" ca="1" si="84"/>
        <v>1258974682616.2178</v>
      </c>
      <c r="G613" s="47">
        <f t="shared" ca="1" si="85"/>
        <v>760720569225.02637</v>
      </c>
      <c r="H613" s="47">
        <f t="shared" ca="1" si="86"/>
        <v>760720569225.02637</v>
      </c>
      <c r="I613" s="47">
        <f t="shared" ca="1" si="87"/>
        <v>3571627839039.8208</v>
      </c>
      <c r="J613" s="47">
        <f t="shared" ca="1" si="88"/>
        <v>1069676994394.8156</v>
      </c>
      <c r="K613" s="48">
        <f t="shared" ca="1" si="89"/>
        <v>3.3389778949677407</v>
      </c>
    </row>
    <row r="614" spans="2:11" ht="15" customHeight="1" x14ac:dyDescent="0.35">
      <c r="B614" s="5">
        <v>593</v>
      </c>
      <c r="C614" s="46">
        <f t="shared" ca="1" si="81"/>
        <v>3.6397944447555872</v>
      </c>
      <c r="D614" s="47">
        <f t="shared" ca="1" si="82"/>
        <v>14033565101.856455</v>
      </c>
      <c r="E614" s="47">
        <f t="shared" ca="1" si="83"/>
        <v>43061357077441.523</v>
      </c>
      <c r="F614" s="47">
        <f t="shared" ca="1" si="84"/>
        <v>2145175790897.408</v>
      </c>
      <c r="G614" s="47">
        <f t="shared" ca="1" si="85"/>
        <v>1512847761186.814</v>
      </c>
      <c r="H614" s="47">
        <f t="shared" ca="1" si="86"/>
        <v>2145175790897.408</v>
      </c>
      <c r="I614" s="47">
        <f t="shared" ca="1" si="87"/>
        <v>1647694341924.6953</v>
      </c>
      <c r="J614" s="47">
        <f t="shared" ca="1" si="88"/>
        <v>1582439707782.595</v>
      </c>
      <c r="K614" s="48">
        <f t="shared" ca="1" si="89"/>
        <v>1.0412367269483769</v>
      </c>
    </row>
    <row r="615" spans="2:11" ht="15" customHeight="1" x14ac:dyDescent="0.35">
      <c r="B615" s="5">
        <v>594</v>
      </c>
      <c r="C615" s="46">
        <f t="shared" ca="1" si="81"/>
        <v>2.9170656403968538</v>
      </c>
      <c r="D615" s="47">
        <f t="shared" ca="1" si="82"/>
        <v>4759792256.9342422</v>
      </c>
      <c r="E615" s="47">
        <f t="shared" ca="1" si="83"/>
        <v>13333423489886.424</v>
      </c>
      <c r="F615" s="47">
        <f t="shared" ca="1" si="84"/>
        <v>607080512001.3114</v>
      </c>
      <c r="G615" s="47">
        <f t="shared" ca="1" si="85"/>
        <v>8358776067960.3828</v>
      </c>
      <c r="H615" s="47">
        <f t="shared" ca="1" si="86"/>
        <v>13333423489886.424</v>
      </c>
      <c r="I615" s="47">
        <f t="shared" ca="1" si="87"/>
        <v>2366767834389.2178</v>
      </c>
      <c r="J615" s="47">
        <f t="shared" ca="1" si="88"/>
        <v>735627498325.2041</v>
      </c>
      <c r="K615" s="48">
        <f t="shared" ca="1" si="89"/>
        <v>3.2173455176398584</v>
      </c>
    </row>
    <row r="616" spans="2:11" ht="15" customHeight="1" x14ac:dyDescent="0.35">
      <c r="B616" s="5">
        <v>595</v>
      </c>
      <c r="C616" s="46">
        <f t="shared" ca="1" si="81"/>
        <v>3.4278246780107189</v>
      </c>
      <c r="D616" s="47">
        <f t="shared" ca="1" si="82"/>
        <v>10812068163.755514</v>
      </c>
      <c r="E616" s="47">
        <f t="shared" ca="1" si="83"/>
        <v>70596362343516.563</v>
      </c>
      <c r="F616" s="47">
        <f t="shared" ca="1" si="84"/>
        <v>1572479993948.8843</v>
      </c>
      <c r="G616" s="47">
        <f t="shared" ca="1" si="85"/>
        <v>13635705045358.217</v>
      </c>
      <c r="H616" s="47">
        <f t="shared" ca="1" si="86"/>
        <v>70596362343516.563</v>
      </c>
      <c r="I616" s="47">
        <f t="shared" ca="1" si="87"/>
        <v>31631146509672.598</v>
      </c>
      <c r="J616" s="47">
        <f t="shared" ca="1" si="88"/>
        <v>528702685369.815</v>
      </c>
      <c r="K616" s="48">
        <f t="shared" ca="1" si="89"/>
        <v>59.827852940726714</v>
      </c>
    </row>
    <row r="617" spans="2:11" ht="15" customHeight="1" x14ac:dyDescent="0.35">
      <c r="B617" s="5">
        <v>596</v>
      </c>
      <c r="C617" s="46">
        <f t="shared" ca="1" si="81"/>
        <v>2.994942936539482</v>
      </c>
      <c r="D617" s="47">
        <f t="shared" ca="1" si="82"/>
        <v>4958611843.6812792</v>
      </c>
      <c r="E617" s="47">
        <f t="shared" ca="1" si="83"/>
        <v>30659422558849.047</v>
      </c>
      <c r="F617" s="47">
        <f t="shared" ca="1" si="84"/>
        <v>2895760030480.7769</v>
      </c>
      <c r="G617" s="47">
        <f t="shared" ca="1" si="85"/>
        <v>1379522947635.687</v>
      </c>
      <c r="H617" s="47">
        <f t="shared" ca="1" si="86"/>
        <v>2895760030480.7769</v>
      </c>
      <c r="I617" s="47">
        <f t="shared" ca="1" si="87"/>
        <v>1503820674271.9363</v>
      </c>
      <c r="J617" s="47">
        <f t="shared" ca="1" si="88"/>
        <v>521948437784.79126</v>
      </c>
      <c r="K617" s="48">
        <f t="shared" ca="1" si="89"/>
        <v>2.8811671142351205</v>
      </c>
    </row>
    <row r="618" spans="2:11" ht="15" customHeight="1" x14ac:dyDescent="0.35">
      <c r="B618" s="5">
        <v>597</v>
      </c>
      <c r="C618" s="46">
        <f t="shared" ca="1" si="81"/>
        <v>2.9291641117544724</v>
      </c>
      <c r="D618" s="47">
        <f t="shared" ca="1" si="82"/>
        <v>4498135954.4371395</v>
      </c>
      <c r="E618" s="47">
        <f t="shared" ca="1" si="83"/>
        <v>20549727876790.309</v>
      </c>
      <c r="F618" s="47">
        <f t="shared" ca="1" si="84"/>
        <v>449651420795.03943</v>
      </c>
      <c r="G618" s="47">
        <f t="shared" ca="1" si="85"/>
        <v>2890237153030.3076</v>
      </c>
      <c r="H618" s="47">
        <f t="shared" ca="1" si="86"/>
        <v>20549727876790.309</v>
      </c>
      <c r="I618" s="47">
        <f t="shared" ca="1" si="87"/>
        <v>74516715640207.219</v>
      </c>
      <c r="J618" s="47">
        <f t="shared" ca="1" si="88"/>
        <v>1626866633072.8359</v>
      </c>
      <c r="K618" s="48">
        <f t="shared" ca="1" si="89"/>
        <v>45.80382566422152</v>
      </c>
    </row>
    <row r="619" spans="2:11" ht="15" customHeight="1" x14ac:dyDescent="0.35">
      <c r="B619" s="5">
        <v>598</v>
      </c>
      <c r="C619" s="46">
        <f t="shared" ca="1" si="81"/>
        <v>3.4620562181065369</v>
      </c>
      <c r="D619" s="47">
        <f t="shared" ca="1" si="82"/>
        <v>7993634472.861867</v>
      </c>
      <c r="E619" s="47">
        <f t="shared" ca="1" si="83"/>
        <v>31526396284321.871</v>
      </c>
      <c r="F619" s="47">
        <f t="shared" ca="1" si="84"/>
        <v>2172730994992.875</v>
      </c>
      <c r="G619" s="47">
        <f t="shared" ca="1" si="85"/>
        <v>20689449554376.371</v>
      </c>
      <c r="H619" s="47">
        <f t="shared" ca="1" si="86"/>
        <v>2172730994992.875</v>
      </c>
      <c r="I619" s="47">
        <f t="shared" ca="1" si="87"/>
        <v>680806105297.00549</v>
      </c>
      <c r="J619" s="47">
        <f t="shared" ca="1" si="88"/>
        <v>1353847300290.9399</v>
      </c>
      <c r="K619" s="48">
        <f t="shared" ca="1" si="89"/>
        <v>0.50286772012670944</v>
      </c>
    </row>
    <row r="620" spans="2:11" ht="15" customHeight="1" x14ac:dyDescent="0.35">
      <c r="B620" s="5">
        <v>599</v>
      </c>
      <c r="C620" s="46">
        <f t="shared" ca="1" si="81"/>
        <v>3.3835475683091869</v>
      </c>
      <c r="D620" s="47">
        <f t="shared" ca="1" si="82"/>
        <v>8147270223.5906162</v>
      </c>
      <c r="E620" s="47">
        <f t="shared" ca="1" si="83"/>
        <v>24377848960975.813</v>
      </c>
      <c r="F620" s="47">
        <f t="shared" ca="1" si="84"/>
        <v>1597075784439.2661</v>
      </c>
      <c r="G620" s="47">
        <f t="shared" ca="1" si="85"/>
        <v>16104151144371.209</v>
      </c>
      <c r="H620" s="47">
        <f t="shared" ca="1" si="86"/>
        <v>1597075784439.2661</v>
      </c>
      <c r="I620" s="47">
        <f t="shared" ca="1" si="87"/>
        <v>32360973473004.645</v>
      </c>
      <c r="J620" s="47">
        <f t="shared" ca="1" si="88"/>
        <v>1610405902957.1616</v>
      </c>
      <c r="K620" s="48">
        <f t="shared" ca="1" si="89"/>
        <v>20.09491732089452</v>
      </c>
    </row>
    <row r="621" spans="2:11" ht="15" customHeight="1" x14ac:dyDescent="0.35">
      <c r="B621" s="5">
        <v>600</v>
      </c>
      <c r="C621" s="46">
        <f t="shared" ca="1" si="81"/>
        <v>3.4137556864169962</v>
      </c>
      <c r="D621" s="47">
        <f t="shared" ca="1" si="82"/>
        <v>9660498501.4083347</v>
      </c>
      <c r="E621" s="47">
        <f t="shared" ca="1" si="83"/>
        <v>57912043251181.906</v>
      </c>
      <c r="F621" s="47">
        <f t="shared" ca="1" si="84"/>
        <v>4094031681700.916</v>
      </c>
      <c r="G621" s="47">
        <f t="shared" ca="1" si="85"/>
        <v>5410974889480.5225</v>
      </c>
      <c r="H621" s="47">
        <f t="shared" ca="1" si="86"/>
        <v>57912043251181.906</v>
      </c>
      <c r="I621" s="47">
        <f t="shared" ca="1" si="87"/>
        <v>27385726329647.555</v>
      </c>
      <c r="J621" s="47">
        <f t="shared" ca="1" si="88"/>
        <v>979015205739.95154</v>
      </c>
      <c r="K621" s="48">
        <f t="shared" ca="1" si="89"/>
        <v>27.972728277441913</v>
      </c>
    </row>
    <row r="622" spans="2:11" ht="15" customHeight="1" x14ac:dyDescent="0.35">
      <c r="B622" s="5">
        <v>601</v>
      </c>
      <c r="C622" s="46">
        <f t="shared" ca="1" si="81"/>
        <v>3.288175384535724</v>
      </c>
      <c r="D622" s="47">
        <f t="shared" ca="1" si="82"/>
        <v>8889610324.844492</v>
      </c>
      <c r="E622" s="47">
        <f t="shared" ca="1" si="83"/>
        <v>20677573611418.121</v>
      </c>
      <c r="F622" s="47">
        <f t="shared" ca="1" si="84"/>
        <v>10884957468163.23</v>
      </c>
      <c r="G622" s="47">
        <f t="shared" ca="1" si="85"/>
        <v>547697579752.93445</v>
      </c>
      <c r="H622" s="47">
        <f t="shared" ca="1" si="86"/>
        <v>10884957468163.23</v>
      </c>
      <c r="I622" s="47">
        <f t="shared" ca="1" si="87"/>
        <v>2783323059347.6846</v>
      </c>
      <c r="J622" s="47">
        <f t="shared" ca="1" si="88"/>
        <v>1160058062498.874</v>
      </c>
      <c r="K622" s="48">
        <f t="shared" ca="1" si="89"/>
        <v>2.3992963363852198</v>
      </c>
    </row>
    <row r="623" spans="2:11" ht="15" customHeight="1" x14ac:dyDescent="0.35">
      <c r="B623" s="5">
        <v>602</v>
      </c>
      <c r="C623" s="46">
        <f t="shared" ca="1" si="81"/>
        <v>3.3057189818463666</v>
      </c>
      <c r="D623" s="47">
        <f t="shared" ca="1" si="82"/>
        <v>7945212129.1476374</v>
      </c>
      <c r="E623" s="47">
        <f t="shared" ca="1" si="83"/>
        <v>33411804344004.594</v>
      </c>
      <c r="F623" s="47">
        <f t="shared" ca="1" si="84"/>
        <v>1583070923697.449</v>
      </c>
      <c r="G623" s="47">
        <f t="shared" ca="1" si="85"/>
        <v>20816006359244.84</v>
      </c>
      <c r="H623" s="47">
        <f t="shared" ca="1" si="86"/>
        <v>20816006359244.84</v>
      </c>
      <c r="I623" s="47">
        <f t="shared" ca="1" si="87"/>
        <v>75522828413063.625</v>
      </c>
      <c r="J623" s="47">
        <f t="shared" ca="1" si="88"/>
        <v>803296287199.63293</v>
      </c>
      <c r="K623" s="48">
        <f t="shared" ca="1" si="89"/>
        <v>94.016155205127831</v>
      </c>
    </row>
    <row r="624" spans="2:11" ht="15" customHeight="1" x14ac:dyDescent="0.35">
      <c r="B624" s="5">
        <v>603</v>
      </c>
      <c r="C624" s="46">
        <f t="shared" ca="1" si="81"/>
        <v>3.2824588624515054</v>
      </c>
      <c r="D624" s="47">
        <f t="shared" ca="1" si="82"/>
        <v>6760800042.5143175</v>
      </c>
      <c r="E624" s="47">
        <f t="shared" ca="1" si="83"/>
        <v>73260915574423.547</v>
      </c>
      <c r="F624" s="47">
        <f t="shared" ca="1" si="84"/>
        <v>187543055966.04782</v>
      </c>
      <c r="G624" s="47">
        <f t="shared" ca="1" si="85"/>
        <v>1825012989247.2053</v>
      </c>
      <c r="H624" s="47">
        <f t="shared" ca="1" si="86"/>
        <v>1825012989247.2053</v>
      </c>
      <c r="I624" s="47">
        <f t="shared" ca="1" si="87"/>
        <v>29913602836944.996</v>
      </c>
      <c r="J624" s="47">
        <f t="shared" ca="1" si="88"/>
        <v>1390101401022.063</v>
      </c>
      <c r="K624" s="48">
        <f t="shared" ca="1" si="89"/>
        <v>21.519007760837603</v>
      </c>
    </row>
    <row r="625" spans="2:11" ht="15" customHeight="1" x14ac:dyDescent="0.35">
      <c r="B625" s="5">
        <v>604</v>
      </c>
      <c r="C625" s="46">
        <f t="shared" ca="1" si="81"/>
        <v>2.9120415202855714</v>
      </c>
      <c r="D625" s="47">
        <f t="shared" ca="1" si="82"/>
        <v>4993792005.3420563</v>
      </c>
      <c r="E625" s="47">
        <f t="shared" ca="1" si="83"/>
        <v>26393926717173.082</v>
      </c>
      <c r="F625" s="47">
        <f t="shared" ca="1" si="84"/>
        <v>1217403409911.0698</v>
      </c>
      <c r="G625" s="47">
        <f t="shared" ca="1" si="85"/>
        <v>573660501274.87183</v>
      </c>
      <c r="H625" s="47">
        <f t="shared" ca="1" si="86"/>
        <v>26393926717173.082</v>
      </c>
      <c r="I625" s="47">
        <f t="shared" ca="1" si="87"/>
        <v>69651736438631.281</v>
      </c>
      <c r="J625" s="47">
        <f t="shared" ca="1" si="88"/>
        <v>768271414192.42261</v>
      </c>
      <c r="K625" s="48">
        <f t="shared" ca="1" si="89"/>
        <v>90.660325442209128</v>
      </c>
    </row>
    <row r="626" spans="2:11" ht="15" customHeight="1" x14ac:dyDescent="0.35">
      <c r="B626" s="5">
        <v>605</v>
      </c>
      <c r="C626" s="46">
        <f t="shared" ca="1" si="81"/>
        <v>2.4598162597532318</v>
      </c>
      <c r="D626" s="47">
        <f t="shared" ca="1" si="82"/>
        <v>1598389067.0203869</v>
      </c>
      <c r="E626" s="47">
        <f t="shared" ca="1" si="83"/>
        <v>11180130888254.02</v>
      </c>
      <c r="F626" s="47">
        <f t="shared" ca="1" si="84"/>
        <v>941649248920.68604</v>
      </c>
      <c r="G626" s="47">
        <f t="shared" ca="1" si="85"/>
        <v>12531579065584.424</v>
      </c>
      <c r="H626" s="47">
        <f t="shared" ca="1" si="86"/>
        <v>12531579065584.424</v>
      </c>
      <c r="I626" s="47">
        <f t="shared" ca="1" si="87"/>
        <v>238684191618169.06</v>
      </c>
      <c r="J626" s="47">
        <f t="shared" ca="1" si="88"/>
        <v>587961185659.88733</v>
      </c>
      <c r="K626" s="48">
        <f t="shared" ca="1" si="89"/>
        <v>405.95229317779928</v>
      </c>
    </row>
    <row r="627" spans="2:11" ht="15" customHeight="1" x14ac:dyDescent="0.35">
      <c r="B627" s="5">
        <v>606</v>
      </c>
      <c r="C627" s="46">
        <f t="shared" ca="1" si="81"/>
        <v>3.0041250767824486</v>
      </c>
      <c r="D627" s="47">
        <f t="shared" ca="1" si="82"/>
        <v>4311673960.4995232</v>
      </c>
      <c r="E627" s="47">
        <f t="shared" ca="1" si="83"/>
        <v>11940612899440.76</v>
      </c>
      <c r="F627" s="47">
        <f t="shared" ca="1" si="84"/>
        <v>12543332409122.719</v>
      </c>
      <c r="G627" s="47">
        <f t="shared" ca="1" si="85"/>
        <v>208295030625.43311</v>
      </c>
      <c r="H627" s="47">
        <f t="shared" ca="1" si="86"/>
        <v>11940612899440.76</v>
      </c>
      <c r="I627" s="47">
        <f t="shared" ca="1" si="87"/>
        <v>108436687552302</v>
      </c>
      <c r="J627" s="47">
        <f t="shared" ca="1" si="88"/>
        <v>919990278414.69946</v>
      </c>
      <c r="K627" s="48">
        <f t="shared" ca="1" si="89"/>
        <v>117.8672102265656</v>
      </c>
    </row>
    <row r="628" spans="2:11" ht="15" customHeight="1" x14ac:dyDescent="0.35">
      <c r="B628" s="5">
        <v>607</v>
      </c>
      <c r="C628" s="46">
        <f t="shared" ca="1" si="81"/>
        <v>2.928109191966795</v>
      </c>
      <c r="D628" s="47">
        <f t="shared" ca="1" si="82"/>
        <v>4105293054.0536647</v>
      </c>
      <c r="E628" s="47">
        <f t="shared" ca="1" si="83"/>
        <v>17212515232944.342</v>
      </c>
      <c r="F628" s="47">
        <f t="shared" ca="1" si="84"/>
        <v>16320536952465.35</v>
      </c>
      <c r="G628" s="47">
        <f t="shared" ca="1" si="85"/>
        <v>88271196395909.859</v>
      </c>
      <c r="H628" s="47">
        <f t="shared" ca="1" si="86"/>
        <v>17212515232944.342</v>
      </c>
      <c r="I628" s="47">
        <f t="shared" ca="1" si="87"/>
        <v>72542658144884.906</v>
      </c>
      <c r="J628" s="47">
        <f t="shared" ca="1" si="88"/>
        <v>1512123820627.793</v>
      </c>
      <c r="K628" s="48">
        <f t="shared" ca="1" si="89"/>
        <v>47.974019822508417</v>
      </c>
    </row>
    <row r="629" spans="2:11" ht="15" customHeight="1" x14ac:dyDescent="0.35">
      <c r="B629" s="5">
        <v>608</v>
      </c>
      <c r="C629" s="46">
        <f t="shared" ca="1" si="81"/>
        <v>2.7251774811435223</v>
      </c>
      <c r="D629" s="47">
        <f t="shared" ca="1" si="82"/>
        <v>2785602353.2849941</v>
      </c>
      <c r="E629" s="47">
        <f t="shared" ca="1" si="83"/>
        <v>9341137136980.5918</v>
      </c>
      <c r="F629" s="47">
        <f t="shared" ca="1" si="84"/>
        <v>718901196322.63342</v>
      </c>
      <c r="G629" s="47">
        <f t="shared" ca="1" si="85"/>
        <v>420813314354.21631</v>
      </c>
      <c r="H629" s="47">
        <f t="shared" ca="1" si="86"/>
        <v>9341137136980.5918</v>
      </c>
      <c r="I629" s="47">
        <f t="shared" ca="1" si="87"/>
        <v>3513927077921.9951</v>
      </c>
      <c r="J629" s="47">
        <f t="shared" ca="1" si="88"/>
        <v>1935394426682.0046</v>
      </c>
      <c r="K629" s="48">
        <f t="shared" ca="1" si="89"/>
        <v>1.8156128949622896</v>
      </c>
    </row>
    <row r="630" spans="2:11" ht="15" customHeight="1" x14ac:dyDescent="0.35">
      <c r="B630" s="5">
        <v>609</v>
      </c>
      <c r="C630" s="46">
        <f t="shared" ca="1" si="81"/>
        <v>2.7474609601346871</v>
      </c>
      <c r="D630" s="47">
        <f t="shared" ca="1" si="82"/>
        <v>2916410565.038476</v>
      </c>
      <c r="E630" s="47">
        <f t="shared" ca="1" si="83"/>
        <v>4905395726230.0117</v>
      </c>
      <c r="F630" s="47">
        <f t="shared" ca="1" si="84"/>
        <v>21914379890367.848</v>
      </c>
      <c r="G630" s="47">
        <f t="shared" ca="1" si="85"/>
        <v>3570747235194.0894</v>
      </c>
      <c r="H630" s="47">
        <f t="shared" ca="1" si="86"/>
        <v>21914379890367.848</v>
      </c>
      <c r="I630" s="47">
        <f t="shared" ca="1" si="87"/>
        <v>1057836518015.9266</v>
      </c>
      <c r="J630" s="47">
        <f t="shared" ca="1" si="88"/>
        <v>483643179559.71594</v>
      </c>
      <c r="K630" s="48">
        <f t="shared" ca="1" si="89"/>
        <v>2.1872251335766317</v>
      </c>
    </row>
    <row r="631" spans="2:11" ht="15" customHeight="1" x14ac:dyDescent="0.35">
      <c r="B631" s="5">
        <v>610</v>
      </c>
      <c r="C631" s="46">
        <f t="shared" ca="1" si="81"/>
        <v>3.2510410955699056</v>
      </c>
      <c r="D631" s="47">
        <f t="shared" ca="1" si="82"/>
        <v>8523175522.8491421</v>
      </c>
      <c r="E631" s="47">
        <f t="shared" ca="1" si="83"/>
        <v>31243101131657.598</v>
      </c>
      <c r="F631" s="47">
        <f t="shared" ca="1" si="84"/>
        <v>1635190926969.4592</v>
      </c>
      <c r="G631" s="47">
        <f t="shared" ca="1" si="85"/>
        <v>1592553363335.1262</v>
      </c>
      <c r="H631" s="47">
        <f t="shared" ca="1" si="86"/>
        <v>1635190926969.4592</v>
      </c>
      <c r="I631" s="47">
        <f t="shared" ca="1" si="87"/>
        <v>9357495873613.2246</v>
      </c>
      <c r="J631" s="47">
        <f t="shared" ca="1" si="88"/>
        <v>1625392127704.7664</v>
      </c>
      <c r="K631" s="48">
        <f t="shared" ca="1" si="89"/>
        <v>5.7570697643448323</v>
      </c>
    </row>
    <row r="632" spans="2:11" ht="15" customHeight="1" x14ac:dyDescent="0.35">
      <c r="B632" s="5">
        <v>611</v>
      </c>
      <c r="C632" s="46">
        <f t="shared" ca="1" si="81"/>
        <v>2.5280968239837978</v>
      </c>
      <c r="D632" s="47">
        <f t="shared" ca="1" si="82"/>
        <v>1718845308.2084351</v>
      </c>
      <c r="E632" s="47">
        <f t="shared" ca="1" si="83"/>
        <v>8996872115873.4785</v>
      </c>
      <c r="F632" s="47">
        <f t="shared" ca="1" si="84"/>
        <v>672085398882.87769</v>
      </c>
      <c r="G632" s="47">
        <f t="shared" ca="1" si="85"/>
        <v>1692933237766.3787</v>
      </c>
      <c r="H632" s="47">
        <f t="shared" ca="1" si="86"/>
        <v>672085398882.87769</v>
      </c>
      <c r="I632" s="47">
        <f t="shared" ca="1" si="87"/>
        <v>8831385399671.4316</v>
      </c>
      <c r="J632" s="47">
        <f t="shared" ca="1" si="88"/>
        <v>1322074345435.6497</v>
      </c>
      <c r="K632" s="48">
        <f t="shared" ca="1" si="89"/>
        <v>6.67994612418057</v>
      </c>
    </row>
    <row r="633" spans="2:11" ht="15" customHeight="1" x14ac:dyDescent="0.35">
      <c r="B633" s="5">
        <v>612</v>
      </c>
      <c r="C633" s="46">
        <f t="shared" ca="1" si="81"/>
        <v>2.5838022446083251</v>
      </c>
      <c r="D633" s="47">
        <f t="shared" ca="1" si="82"/>
        <v>2512902620.1363716</v>
      </c>
      <c r="E633" s="47">
        <f t="shared" ca="1" si="83"/>
        <v>3261900300388.3496</v>
      </c>
      <c r="F633" s="47">
        <f t="shared" ca="1" si="84"/>
        <v>92074201964.931671</v>
      </c>
      <c r="G633" s="47">
        <f t="shared" ca="1" si="85"/>
        <v>2645636940245.4424</v>
      </c>
      <c r="H633" s="47">
        <f t="shared" ca="1" si="86"/>
        <v>92074201964.931671</v>
      </c>
      <c r="I633" s="47">
        <f t="shared" ca="1" si="87"/>
        <v>1615685492978.4954</v>
      </c>
      <c r="J633" s="47">
        <f t="shared" ca="1" si="88"/>
        <v>1110476412655.9121</v>
      </c>
      <c r="K633" s="48">
        <f t="shared" ca="1" si="89"/>
        <v>1.4549480516333357</v>
      </c>
    </row>
    <row r="634" spans="2:11" ht="15" customHeight="1" x14ac:dyDescent="0.35">
      <c r="B634" s="5">
        <v>613</v>
      </c>
      <c r="C634" s="46">
        <f t="shared" ca="1" si="81"/>
        <v>3.6955594403545318</v>
      </c>
      <c r="D634" s="47">
        <f t="shared" ca="1" si="82"/>
        <v>14745987103.94092</v>
      </c>
      <c r="E634" s="47">
        <f t="shared" ca="1" si="83"/>
        <v>118213047999731.19</v>
      </c>
      <c r="F634" s="47">
        <f t="shared" ca="1" si="84"/>
        <v>1000756224030.4856</v>
      </c>
      <c r="G634" s="47">
        <f t="shared" ca="1" si="85"/>
        <v>1525927944034.7192</v>
      </c>
      <c r="H634" s="47">
        <f t="shared" ca="1" si="86"/>
        <v>1000756224030.4856</v>
      </c>
      <c r="I634" s="47">
        <f t="shared" ca="1" si="87"/>
        <v>23627469221284.199</v>
      </c>
      <c r="J634" s="47">
        <f t="shared" ca="1" si="88"/>
        <v>434844021345.32538</v>
      </c>
      <c r="K634" s="48">
        <f t="shared" ca="1" si="89"/>
        <v>54.335504368176125</v>
      </c>
    </row>
    <row r="635" spans="2:11" ht="15" customHeight="1" x14ac:dyDescent="0.35">
      <c r="B635" s="5">
        <v>614</v>
      </c>
      <c r="C635" s="46">
        <f t="shared" ca="1" si="81"/>
        <v>2.9576339388592761</v>
      </c>
      <c r="D635" s="47">
        <f t="shared" ca="1" si="82"/>
        <v>3887811253.8966966</v>
      </c>
      <c r="E635" s="47">
        <f t="shared" ca="1" si="83"/>
        <v>17543828455245.234</v>
      </c>
      <c r="F635" s="47">
        <f t="shared" ca="1" si="84"/>
        <v>2001084170569.4346</v>
      </c>
      <c r="G635" s="47">
        <f t="shared" ca="1" si="85"/>
        <v>65241344426468.695</v>
      </c>
      <c r="H635" s="47">
        <f t="shared" ca="1" si="86"/>
        <v>65241344426468.695</v>
      </c>
      <c r="I635" s="47">
        <f t="shared" ca="1" si="87"/>
        <v>52072200269139.523</v>
      </c>
      <c r="J635" s="47">
        <f t="shared" ca="1" si="88"/>
        <v>555005091200.18518</v>
      </c>
      <c r="K635" s="48">
        <f t="shared" ca="1" si="89"/>
        <v>93.822923599736072</v>
      </c>
    </row>
    <row r="636" spans="2:11" ht="15" customHeight="1" x14ac:dyDescent="0.35">
      <c r="B636" s="5">
        <v>615</v>
      </c>
      <c r="C636" s="46">
        <f t="shared" ca="1" si="81"/>
        <v>3.7043189688849463</v>
      </c>
      <c r="D636" s="47">
        <f t="shared" ca="1" si="82"/>
        <v>13181624222.047518</v>
      </c>
      <c r="E636" s="47">
        <f t="shared" ca="1" si="83"/>
        <v>51125953221294.867</v>
      </c>
      <c r="F636" s="47">
        <f t="shared" ca="1" si="84"/>
        <v>2353636881489.7397</v>
      </c>
      <c r="G636" s="47">
        <f t="shared" ca="1" si="85"/>
        <v>35015518996337.219</v>
      </c>
      <c r="H636" s="47">
        <f t="shared" ca="1" si="86"/>
        <v>2353636881489.7397</v>
      </c>
      <c r="I636" s="47">
        <f t="shared" ca="1" si="87"/>
        <v>8758443065843.333</v>
      </c>
      <c r="J636" s="47">
        <f t="shared" ca="1" si="88"/>
        <v>2411414526283.8545</v>
      </c>
      <c r="K636" s="48">
        <f t="shared" ca="1" si="89"/>
        <v>3.6320769284494023</v>
      </c>
    </row>
    <row r="637" spans="2:11" ht="15" customHeight="1" x14ac:dyDescent="0.35">
      <c r="B637" s="5">
        <v>616</v>
      </c>
      <c r="C637" s="46">
        <f t="shared" ca="1" si="81"/>
        <v>2.4310575330611912</v>
      </c>
      <c r="D637" s="47">
        <f t="shared" ca="1" si="82"/>
        <v>1701114335.5777221</v>
      </c>
      <c r="E637" s="47">
        <f t="shared" ca="1" si="83"/>
        <v>2175897664020.3074</v>
      </c>
      <c r="F637" s="47">
        <f t="shared" ca="1" si="84"/>
        <v>3360270297762.7778</v>
      </c>
      <c r="G637" s="47">
        <f t="shared" ca="1" si="85"/>
        <v>56671478389987.328</v>
      </c>
      <c r="H637" s="47">
        <f t="shared" ca="1" si="86"/>
        <v>56671478389987.328</v>
      </c>
      <c r="I637" s="47">
        <f t="shared" ca="1" si="87"/>
        <v>3996938628063.396</v>
      </c>
      <c r="J637" s="47">
        <f t="shared" ca="1" si="88"/>
        <v>511212800101.21478</v>
      </c>
      <c r="K637" s="48">
        <f t="shared" ca="1" si="89"/>
        <v>7.8185417643534043</v>
      </c>
    </row>
    <row r="638" spans="2:11" ht="15" customHeight="1" x14ac:dyDescent="0.35">
      <c r="B638" s="5">
        <v>617</v>
      </c>
      <c r="C638" s="46">
        <f t="shared" ca="1" si="81"/>
        <v>2.9510234555420163</v>
      </c>
      <c r="D638" s="47">
        <f t="shared" ca="1" si="82"/>
        <v>4081802846.3041291</v>
      </c>
      <c r="E638" s="47">
        <f t="shared" ca="1" si="83"/>
        <v>10622393801115.035</v>
      </c>
      <c r="F638" s="47">
        <f t="shared" ca="1" si="84"/>
        <v>4723593390758.834</v>
      </c>
      <c r="G638" s="47">
        <f t="shared" ca="1" si="85"/>
        <v>9084576462372.5156</v>
      </c>
      <c r="H638" s="47">
        <f t="shared" ca="1" si="86"/>
        <v>9084576462372.5156</v>
      </c>
      <c r="I638" s="47">
        <f t="shared" ca="1" si="87"/>
        <v>41002215142814.828</v>
      </c>
      <c r="J638" s="47">
        <f t="shared" ca="1" si="88"/>
        <v>951390476653.48962</v>
      </c>
      <c r="K638" s="48">
        <f t="shared" ca="1" si="89"/>
        <v>43.097146911791548</v>
      </c>
    </row>
    <row r="639" spans="2:11" ht="15" customHeight="1" x14ac:dyDescent="0.35">
      <c r="B639" s="5">
        <v>618</v>
      </c>
      <c r="C639" s="46">
        <f t="shared" ca="1" si="81"/>
        <v>2.8220920876371562</v>
      </c>
      <c r="D639" s="47">
        <f t="shared" ca="1" si="82"/>
        <v>2957720181.0681653</v>
      </c>
      <c r="E639" s="47">
        <f t="shared" ca="1" si="83"/>
        <v>22815494541991.406</v>
      </c>
      <c r="F639" s="47">
        <f t="shared" ca="1" si="84"/>
        <v>1843668708762.8738</v>
      </c>
      <c r="G639" s="47">
        <f t="shared" ca="1" si="85"/>
        <v>3812098962967.1699</v>
      </c>
      <c r="H639" s="47">
        <f t="shared" ca="1" si="86"/>
        <v>3812098962967.1699</v>
      </c>
      <c r="I639" s="47">
        <f t="shared" ca="1" si="87"/>
        <v>45763845280278.945</v>
      </c>
      <c r="J639" s="47">
        <f t="shared" ca="1" si="88"/>
        <v>911585938236.37646</v>
      </c>
      <c r="K639" s="48">
        <f t="shared" ca="1" si="89"/>
        <v>50.20244758142843</v>
      </c>
    </row>
    <row r="640" spans="2:11" ht="15" customHeight="1" x14ac:dyDescent="0.35">
      <c r="B640" s="5">
        <v>619</v>
      </c>
      <c r="C640" s="46">
        <f t="shared" ca="1" si="81"/>
        <v>3.1573997547816686</v>
      </c>
      <c r="D640" s="47">
        <f t="shared" ca="1" si="82"/>
        <v>7529526000.1820049</v>
      </c>
      <c r="E640" s="47">
        <f t="shared" ca="1" si="83"/>
        <v>29418457782002.512</v>
      </c>
      <c r="F640" s="47">
        <f t="shared" ca="1" si="84"/>
        <v>7249326842720.6924</v>
      </c>
      <c r="G640" s="47">
        <f t="shared" ca="1" si="85"/>
        <v>62500964384972.297</v>
      </c>
      <c r="H640" s="47">
        <f t="shared" ca="1" si="86"/>
        <v>29418457782002.512</v>
      </c>
      <c r="I640" s="47">
        <f t="shared" ca="1" si="87"/>
        <v>13969010644356.938</v>
      </c>
      <c r="J640" s="47">
        <f t="shared" ca="1" si="88"/>
        <v>1377932888163.9014</v>
      </c>
      <c r="K640" s="48">
        <f t="shared" ca="1" si="89"/>
        <v>10.137656749720717</v>
      </c>
    </row>
    <row r="641" spans="2:11" ht="15" customHeight="1" x14ac:dyDescent="0.35">
      <c r="B641" s="5">
        <v>620</v>
      </c>
      <c r="C641" s="46">
        <f t="shared" ca="1" si="81"/>
        <v>2.74069857082414</v>
      </c>
      <c r="D641" s="47">
        <f t="shared" ca="1" si="82"/>
        <v>3620526772.711257</v>
      </c>
      <c r="E641" s="47">
        <f t="shared" ca="1" si="83"/>
        <v>33575979807663.438</v>
      </c>
      <c r="F641" s="47">
        <f t="shared" ca="1" si="84"/>
        <v>2454078539123.1157</v>
      </c>
      <c r="G641" s="47">
        <f t="shared" ca="1" si="85"/>
        <v>747587075794.40491</v>
      </c>
      <c r="H641" s="47">
        <f t="shared" ca="1" si="86"/>
        <v>747587075794.40491</v>
      </c>
      <c r="I641" s="47">
        <f t="shared" ca="1" si="87"/>
        <v>17766160419145.73</v>
      </c>
      <c r="J641" s="47">
        <f t="shared" ca="1" si="88"/>
        <v>1206818528063.7493</v>
      </c>
      <c r="K641" s="48">
        <f t="shared" ca="1" si="89"/>
        <v>14.721484635846796</v>
      </c>
    </row>
    <row r="642" spans="2:11" ht="15" customHeight="1" x14ac:dyDescent="0.35">
      <c r="B642" s="5">
        <v>621</v>
      </c>
      <c r="C642" s="46">
        <f t="shared" ca="1" si="81"/>
        <v>3.9368251920889428</v>
      </c>
      <c r="D642" s="47">
        <f t="shared" ca="1" si="82"/>
        <v>21067835584.0546</v>
      </c>
      <c r="E642" s="47">
        <f t="shared" ca="1" si="83"/>
        <v>72910493486620.5</v>
      </c>
      <c r="F642" s="47">
        <f t="shared" ca="1" si="84"/>
        <v>1944373509035.0742</v>
      </c>
      <c r="G642" s="47">
        <f t="shared" ca="1" si="85"/>
        <v>6232258486651.5195</v>
      </c>
      <c r="H642" s="47">
        <f t="shared" ca="1" si="86"/>
        <v>6232258486651.5195</v>
      </c>
      <c r="I642" s="47">
        <f t="shared" ca="1" si="87"/>
        <v>4426380898011.083</v>
      </c>
      <c r="J642" s="47">
        <f t="shared" ca="1" si="88"/>
        <v>2477127859092.9063</v>
      </c>
      <c r="K642" s="48">
        <f t="shared" ca="1" si="89"/>
        <v>1.7869004548000882</v>
      </c>
    </row>
    <row r="643" spans="2:11" ht="15" customHeight="1" x14ac:dyDescent="0.35">
      <c r="B643" s="5">
        <v>622</v>
      </c>
      <c r="C643" s="46">
        <f t="shared" ca="1" si="81"/>
        <v>3.9710262266375289</v>
      </c>
      <c r="D643" s="47">
        <f t="shared" ca="1" si="82"/>
        <v>16808166326.125923</v>
      </c>
      <c r="E643" s="47">
        <f t="shared" ca="1" si="83"/>
        <v>45573536056769.18</v>
      </c>
      <c r="F643" s="47">
        <f t="shared" ca="1" si="84"/>
        <v>3244920983463.1338</v>
      </c>
      <c r="G643" s="47">
        <f t="shared" ca="1" si="85"/>
        <v>2778977285699.6353</v>
      </c>
      <c r="H643" s="47">
        <f t="shared" ca="1" si="86"/>
        <v>2778977285699.6353</v>
      </c>
      <c r="I643" s="47">
        <f t="shared" ca="1" si="87"/>
        <v>12032391659469.457</v>
      </c>
      <c r="J643" s="47">
        <f t="shared" ca="1" si="88"/>
        <v>1022423224961.6691</v>
      </c>
      <c r="K643" s="48">
        <f t="shared" ca="1" si="89"/>
        <v>11.768503850174721</v>
      </c>
    </row>
    <row r="644" spans="2:11" ht="15" customHeight="1" x14ac:dyDescent="0.35">
      <c r="B644" s="5">
        <v>623</v>
      </c>
      <c r="C644" s="46">
        <f t="shared" ca="1" si="81"/>
        <v>2.966015462588222</v>
      </c>
      <c r="D644" s="47">
        <f t="shared" ca="1" si="82"/>
        <v>5397388790.6466427</v>
      </c>
      <c r="E644" s="47">
        <f t="shared" ca="1" si="83"/>
        <v>9652200103761.3594</v>
      </c>
      <c r="F644" s="47">
        <f t="shared" ca="1" si="84"/>
        <v>8971642436474.8926</v>
      </c>
      <c r="G644" s="47">
        <f t="shared" ca="1" si="85"/>
        <v>1388854645198.9258</v>
      </c>
      <c r="H644" s="47">
        <f t="shared" ca="1" si="86"/>
        <v>8971642436474.8926</v>
      </c>
      <c r="I644" s="47">
        <f t="shared" ca="1" si="87"/>
        <v>3509917764111.4502</v>
      </c>
      <c r="J644" s="47">
        <f t="shared" ca="1" si="88"/>
        <v>1817163664070.2664</v>
      </c>
      <c r="K644" s="48">
        <f t="shared" ca="1" si="89"/>
        <v>1.931536401211976</v>
      </c>
    </row>
    <row r="645" spans="2:11" ht="15" customHeight="1" x14ac:dyDescent="0.35">
      <c r="B645" s="5">
        <v>624</v>
      </c>
      <c r="C645" s="46">
        <f t="shared" ca="1" si="81"/>
        <v>2.6975393055848165</v>
      </c>
      <c r="D645" s="47">
        <f t="shared" ca="1" si="82"/>
        <v>3412667486.6071348</v>
      </c>
      <c r="E645" s="47">
        <f t="shared" ca="1" si="83"/>
        <v>28271492581416.691</v>
      </c>
      <c r="F645" s="47">
        <f t="shared" ca="1" si="84"/>
        <v>2165408438476.0344</v>
      </c>
      <c r="G645" s="47">
        <f t="shared" ca="1" si="85"/>
        <v>6221302749728.1768</v>
      </c>
      <c r="H645" s="47">
        <f t="shared" ca="1" si="86"/>
        <v>2165408438476.0344</v>
      </c>
      <c r="I645" s="47">
        <f t="shared" ca="1" si="87"/>
        <v>4831849449570.4697</v>
      </c>
      <c r="J645" s="47">
        <f t="shared" ca="1" si="88"/>
        <v>1918167762081.9343</v>
      </c>
      <c r="K645" s="48">
        <f t="shared" ca="1" si="89"/>
        <v>2.5189921054277824</v>
      </c>
    </row>
    <row r="646" spans="2:11" ht="15" customHeight="1" x14ac:dyDescent="0.35">
      <c r="B646" s="5">
        <v>625</v>
      </c>
      <c r="C646" s="46">
        <f t="shared" ca="1" si="81"/>
        <v>2.6255913758131371</v>
      </c>
      <c r="D646" s="47">
        <f t="shared" ca="1" si="82"/>
        <v>2023919866.5719981</v>
      </c>
      <c r="E646" s="47">
        <f t="shared" ca="1" si="83"/>
        <v>5056326874249.6738</v>
      </c>
      <c r="F646" s="47">
        <f t="shared" ca="1" si="84"/>
        <v>1325219974333.3364</v>
      </c>
      <c r="G646" s="47">
        <f t="shared" ca="1" si="85"/>
        <v>4241904862663.0635</v>
      </c>
      <c r="H646" s="47">
        <f t="shared" ca="1" si="86"/>
        <v>5056326874249.6738</v>
      </c>
      <c r="I646" s="47">
        <f t="shared" ca="1" si="87"/>
        <v>49959329546424.289</v>
      </c>
      <c r="J646" s="47">
        <f t="shared" ca="1" si="88"/>
        <v>766111197656.55847</v>
      </c>
      <c r="K646" s="48">
        <f t="shared" ca="1" si="89"/>
        <v>65.211590300786412</v>
      </c>
    </row>
    <row r="647" spans="2:11" ht="15" customHeight="1" x14ac:dyDescent="0.35">
      <c r="B647" s="5">
        <v>626</v>
      </c>
      <c r="C647" s="46">
        <f t="shared" ca="1" si="81"/>
        <v>3.3343585453307263</v>
      </c>
      <c r="D647" s="47">
        <f t="shared" ca="1" si="82"/>
        <v>9483147263.860981</v>
      </c>
      <c r="E647" s="47">
        <f t="shared" ca="1" si="83"/>
        <v>7777979575366.3262</v>
      </c>
      <c r="F647" s="47">
        <f t="shared" ca="1" si="84"/>
        <v>1440195103899.8538</v>
      </c>
      <c r="G647" s="47">
        <f t="shared" ca="1" si="85"/>
        <v>2191759813459.0708</v>
      </c>
      <c r="H647" s="47">
        <f t="shared" ca="1" si="86"/>
        <v>7777979575366.3262</v>
      </c>
      <c r="I647" s="47">
        <f t="shared" ca="1" si="87"/>
        <v>5315644738476.915</v>
      </c>
      <c r="J647" s="47">
        <f t="shared" ca="1" si="88"/>
        <v>1458759611953.8311</v>
      </c>
      <c r="K647" s="48">
        <f t="shared" ca="1" si="89"/>
        <v>3.6439483893835365</v>
      </c>
    </row>
    <row r="648" spans="2:11" ht="15" customHeight="1" x14ac:dyDescent="0.35">
      <c r="B648" s="5">
        <v>627</v>
      </c>
      <c r="C648" s="46">
        <f t="shared" ca="1" si="81"/>
        <v>3.2051898334644209</v>
      </c>
      <c r="D648" s="47">
        <f t="shared" ca="1" si="82"/>
        <v>7247248787.5171576</v>
      </c>
      <c r="E648" s="47">
        <f t="shared" ca="1" si="83"/>
        <v>26965044063219.855</v>
      </c>
      <c r="F648" s="47">
        <f t="shared" ca="1" si="84"/>
        <v>4020970190591.3477</v>
      </c>
      <c r="G648" s="47">
        <f t="shared" ca="1" si="85"/>
        <v>961880027789.88049</v>
      </c>
      <c r="H648" s="47">
        <f t="shared" ca="1" si="86"/>
        <v>26965044063219.855</v>
      </c>
      <c r="I648" s="47">
        <f t="shared" ca="1" si="87"/>
        <v>29985933754563.727</v>
      </c>
      <c r="J648" s="47">
        <f t="shared" ca="1" si="88"/>
        <v>1167942438544.1265</v>
      </c>
      <c r="K648" s="48">
        <f t="shared" ca="1" si="89"/>
        <v>25.674153763897859</v>
      </c>
    </row>
    <row r="649" spans="2:11" ht="15" customHeight="1" x14ac:dyDescent="0.35">
      <c r="B649" s="5">
        <v>628</v>
      </c>
      <c r="C649" s="46">
        <f t="shared" ca="1" si="81"/>
        <v>2.654581375939757</v>
      </c>
      <c r="D649" s="47">
        <f t="shared" ca="1" si="82"/>
        <v>2959479049.6471415</v>
      </c>
      <c r="E649" s="47">
        <f t="shared" ca="1" si="83"/>
        <v>2289415258841.2412</v>
      </c>
      <c r="F649" s="47">
        <f t="shared" ca="1" si="84"/>
        <v>3803688212899.647</v>
      </c>
      <c r="G649" s="47">
        <f t="shared" ca="1" si="85"/>
        <v>7983743791677.7939</v>
      </c>
      <c r="H649" s="47">
        <f t="shared" ca="1" si="86"/>
        <v>2289415258841.2412</v>
      </c>
      <c r="I649" s="47">
        <f t="shared" ca="1" si="87"/>
        <v>22085434029343.34</v>
      </c>
      <c r="J649" s="47">
        <f t="shared" ca="1" si="88"/>
        <v>817802932702.50391</v>
      </c>
      <c r="K649" s="48">
        <f t="shared" ca="1" si="89"/>
        <v>27.005814171343239</v>
      </c>
    </row>
    <row r="650" spans="2:11" ht="15" customHeight="1" x14ac:dyDescent="0.35">
      <c r="B650" s="5">
        <v>629</v>
      </c>
      <c r="C650" s="46">
        <f t="shared" ca="1" si="81"/>
        <v>2.5699756326170689</v>
      </c>
      <c r="D650" s="47">
        <f t="shared" ca="1" si="82"/>
        <v>2595307696.5048928</v>
      </c>
      <c r="E650" s="47">
        <f t="shared" ca="1" si="83"/>
        <v>7359143038476.0596</v>
      </c>
      <c r="F650" s="47">
        <f t="shared" ca="1" si="84"/>
        <v>5693807772888.0674</v>
      </c>
      <c r="G650" s="47">
        <f t="shared" ca="1" si="85"/>
        <v>5132811990425.7188</v>
      </c>
      <c r="H650" s="47">
        <f t="shared" ca="1" si="86"/>
        <v>5132811990425.7188</v>
      </c>
      <c r="I650" s="47">
        <f t="shared" ca="1" si="87"/>
        <v>1438230867431.4805</v>
      </c>
      <c r="J650" s="47">
        <f t="shared" ca="1" si="88"/>
        <v>1432308620270.6636</v>
      </c>
      <c r="K650" s="48">
        <f t="shared" ca="1" si="89"/>
        <v>1.0041347563485987</v>
      </c>
    </row>
    <row r="651" spans="2:11" ht="15" customHeight="1" x14ac:dyDescent="0.35">
      <c r="B651" s="5">
        <v>630</v>
      </c>
      <c r="C651" s="46">
        <f t="shared" ca="1" si="81"/>
        <v>2.8998489995174874</v>
      </c>
      <c r="D651" s="47">
        <f t="shared" ca="1" si="82"/>
        <v>3321166703.2826729</v>
      </c>
      <c r="E651" s="47">
        <f t="shared" ca="1" si="83"/>
        <v>12246981629718.74</v>
      </c>
      <c r="F651" s="47">
        <f t="shared" ca="1" si="84"/>
        <v>928074796336.63342</v>
      </c>
      <c r="G651" s="47">
        <f t="shared" ca="1" si="85"/>
        <v>36928111205244.063</v>
      </c>
      <c r="H651" s="47">
        <f t="shared" ca="1" si="86"/>
        <v>36928111205244.063</v>
      </c>
      <c r="I651" s="47">
        <f t="shared" ca="1" si="87"/>
        <v>2819968974159.0103</v>
      </c>
      <c r="J651" s="47">
        <f t="shared" ca="1" si="88"/>
        <v>1312227208739.4749</v>
      </c>
      <c r="K651" s="48">
        <f t="shared" ca="1" si="89"/>
        <v>2.1489944389035127</v>
      </c>
    </row>
    <row r="652" spans="2:11" ht="15" customHeight="1" x14ac:dyDescent="0.35">
      <c r="B652" s="5">
        <v>631</v>
      </c>
      <c r="C652" s="46">
        <f t="shared" ca="1" si="81"/>
        <v>3.7446855335561344</v>
      </c>
      <c r="D652" s="47">
        <f t="shared" ca="1" si="82"/>
        <v>17406621613.36216</v>
      </c>
      <c r="E652" s="47">
        <f t="shared" ca="1" si="83"/>
        <v>76316036197061.984</v>
      </c>
      <c r="F652" s="47">
        <f t="shared" ca="1" si="84"/>
        <v>4730130335681.3281</v>
      </c>
      <c r="G652" s="47">
        <f t="shared" ca="1" si="85"/>
        <v>7663591469395.4072</v>
      </c>
      <c r="H652" s="47">
        <f t="shared" ca="1" si="86"/>
        <v>4730130335681.3281</v>
      </c>
      <c r="I652" s="47">
        <f t="shared" ca="1" si="87"/>
        <v>5744534242598.5361</v>
      </c>
      <c r="J652" s="47">
        <f t="shared" ca="1" si="88"/>
        <v>1006780012320.0609</v>
      </c>
      <c r="K652" s="48">
        <f t="shared" ca="1" si="89"/>
        <v>5.7058485193410027</v>
      </c>
    </row>
    <row r="653" spans="2:11" ht="15" customHeight="1" x14ac:dyDescent="0.35">
      <c r="B653" s="5">
        <v>632</v>
      </c>
      <c r="C653" s="46">
        <f t="shared" ca="1" si="81"/>
        <v>3.1705741519743325</v>
      </c>
      <c r="D653" s="47">
        <f t="shared" ca="1" si="82"/>
        <v>6850144413.7966442</v>
      </c>
      <c r="E653" s="47">
        <f t="shared" ca="1" si="83"/>
        <v>20830146344130.078</v>
      </c>
      <c r="F653" s="47">
        <f t="shared" ca="1" si="84"/>
        <v>4180207120787.7461</v>
      </c>
      <c r="G653" s="47">
        <f t="shared" ca="1" si="85"/>
        <v>385802991424.83636</v>
      </c>
      <c r="H653" s="47">
        <f t="shared" ca="1" si="86"/>
        <v>4180207120787.7461</v>
      </c>
      <c r="I653" s="47">
        <f t="shared" ca="1" si="87"/>
        <v>6666851979686.4121</v>
      </c>
      <c r="J653" s="47">
        <f t="shared" ca="1" si="88"/>
        <v>1292115797720.4834</v>
      </c>
      <c r="K653" s="48">
        <f t="shared" ca="1" si="89"/>
        <v>5.1596397098835078</v>
      </c>
    </row>
    <row r="654" spans="2:11" ht="15" customHeight="1" x14ac:dyDescent="0.35">
      <c r="B654" s="5">
        <v>633</v>
      </c>
      <c r="C654" s="46">
        <f t="shared" ca="1" si="81"/>
        <v>2.4897444252453722</v>
      </c>
      <c r="D654" s="47">
        <f t="shared" ca="1" si="82"/>
        <v>1876464638.6044941</v>
      </c>
      <c r="E654" s="47">
        <f t="shared" ca="1" si="83"/>
        <v>3147936738855.54</v>
      </c>
      <c r="F654" s="47">
        <f t="shared" ca="1" si="84"/>
        <v>2266378134394.7417</v>
      </c>
      <c r="G654" s="47">
        <f t="shared" ca="1" si="85"/>
        <v>2504430007645.3706</v>
      </c>
      <c r="H654" s="47">
        <f t="shared" ca="1" si="86"/>
        <v>2504430007645.3706</v>
      </c>
      <c r="I654" s="47">
        <f t="shared" ca="1" si="87"/>
        <v>25203354642409.656</v>
      </c>
      <c r="J654" s="47">
        <f t="shared" ca="1" si="88"/>
        <v>963508944704.02051</v>
      </c>
      <c r="K654" s="48">
        <f t="shared" ca="1" si="89"/>
        <v>26.157883412438743</v>
      </c>
    </row>
    <row r="655" spans="2:11" ht="15" customHeight="1" x14ac:dyDescent="0.35">
      <c r="B655" s="5">
        <v>634</v>
      </c>
      <c r="C655" s="46">
        <f t="shared" ca="1" si="81"/>
        <v>3.6047366302925741</v>
      </c>
      <c r="D655" s="47">
        <f t="shared" ca="1" si="82"/>
        <v>14377323484.683773</v>
      </c>
      <c r="E655" s="47">
        <f t="shared" ca="1" si="83"/>
        <v>24640014861676.805</v>
      </c>
      <c r="F655" s="47">
        <f t="shared" ca="1" si="84"/>
        <v>4348041017347.1621</v>
      </c>
      <c r="G655" s="47">
        <f t="shared" ca="1" si="85"/>
        <v>3106089794165.1538</v>
      </c>
      <c r="H655" s="47">
        <f t="shared" ca="1" si="86"/>
        <v>3106089794165.1538</v>
      </c>
      <c r="I655" s="47">
        <f t="shared" ca="1" si="87"/>
        <v>3659527605539.8545</v>
      </c>
      <c r="J655" s="47">
        <f t="shared" ca="1" si="88"/>
        <v>769939909936.98035</v>
      </c>
      <c r="K655" s="48">
        <f t="shared" ca="1" si="89"/>
        <v>4.7530041738444071</v>
      </c>
    </row>
    <row r="656" spans="2:11" ht="15" customHeight="1" x14ac:dyDescent="0.35">
      <c r="B656" s="5">
        <v>635</v>
      </c>
      <c r="C656" s="46">
        <f t="shared" ca="1" si="81"/>
        <v>2.906793353040046</v>
      </c>
      <c r="D656" s="47">
        <f t="shared" ca="1" si="82"/>
        <v>4042121370.8629384</v>
      </c>
      <c r="E656" s="47">
        <f t="shared" ca="1" si="83"/>
        <v>7445022505379.9365</v>
      </c>
      <c r="F656" s="47">
        <f t="shared" ca="1" si="84"/>
        <v>1812793105440.9517</v>
      </c>
      <c r="G656" s="47">
        <f t="shared" ca="1" si="85"/>
        <v>2714558068109.1807</v>
      </c>
      <c r="H656" s="47">
        <f t="shared" ca="1" si="86"/>
        <v>1812793105440.9517</v>
      </c>
      <c r="I656" s="47">
        <f t="shared" ca="1" si="87"/>
        <v>17267294246166.727</v>
      </c>
      <c r="J656" s="47">
        <f t="shared" ca="1" si="88"/>
        <v>1597158033646.8772</v>
      </c>
      <c r="K656" s="48">
        <f t="shared" ca="1" si="89"/>
        <v>10.811262180949859</v>
      </c>
    </row>
    <row r="657" spans="2:11" ht="15" customHeight="1" x14ac:dyDescent="0.35">
      <c r="B657" s="5">
        <v>636</v>
      </c>
      <c r="C657" s="46">
        <f t="shared" ca="1" si="81"/>
        <v>3.3138282486195925</v>
      </c>
      <c r="D657" s="47">
        <f t="shared" ca="1" si="82"/>
        <v>6525001783.7565365</v>
      </c>
      <c r="E657" s="47">
        <f t="shared" ca="1" si="83"/>
        <v>7499439274249.3311</v>
      </c>
      <c r="F657" s="47">
        <f t="shared" ca="1" si="84"/>
        <v>14960566137227.494</v>
      </c>
      <c r="G657" s="47">
        <f t="shared" ca="1" si="85"/>
        <v>7521291579941.5596</v>
      </c>
      <c r="H657" s="47">
        <f t="shared" ca="1" si="86"/>
        <v>14960566137227.494</v>
      </c>
      <c r="I657" s="47">
        <f t="shared" ca="1" si="87"/>
        <v>12935571360317.229</v>
      </c>
      <c r="J657" s="47">
        <f t="shared" ca="1" si="88"/>
        <v>1777674406983.4182</v>
      </c>
      <c r="K657" s="48">
        <f t="shared" ca="1" si="89"/>
        <v>7.2766820006527153</v>
      </c>
    </row>
    <row r="658" spans="2:11" ht="15" customHeight="1" x14ac:dyDescent="0.35">
      <c r="B658" s="5">
        <v>637</v>
      </c>
      <c r="C658" s="46">
        <f t="shared" ca="1" si="81"/>
        <v>2.8451385406378176</v>
      </c>
      <c r="D658" s="47">
        <f t="shared" ca="1" si="82"/>
        <v>3375212527.3216248</v>
      </c>
      <c r="E658" s="47">
        <f t="shared" ca="1" si="83"/>
        <v>11785687235074.76</v>
      </c>
      <c r="F658" s="47">
        <f t="shared" ca="1" si="84"/>
        <v>111516670632.51231</v>
      </c>
      <c r="G658" s="47">
        <f t="shared" ca="1" si="85"/>
        <v>5336773262455.8906</v>
      </c>
      <c r="H658" s="47">
        <f t="shared" ca="1" si="86"/>
        <v>5336773262455.8906</v>
      </c>
      <c r="I658" s="47">
        <f t="shared" ca="1" si="87"/>
        <v>23690853859282.414</v>
      </c>
      <c r="J658" s="47">
        <f t="shared" ca="1" si="88"/>
        <v>1131537158912.4785</v>
      </c>
      <c r="K658" s="48">
        <f t="shared" ca="1" si="89"/>
        <v>20.936876595419736</v>
      </c>
    </row>
    <row r="659" spans="2:11" ht="15" customHeight="1" x14ac:dyDescent="0.35">
      <c r="B659" s="5">
        <v>638</v>
      </c>
      <c r="C659" s="46">
        <f t="shared" ca="1" si="81"/>
        <v>2.8861463433126788</v>
      </c>
      <c r="D659" s="47">
        <f t="shared" ca="1" si="82"/>
        <v>3634657798.9342575</v>
      </c>
      <c r="E659" s="47">
        <f t="shared" ca="1" si="83"/>
        <v>17995767591781.141</v>
      </c>
      <c r="F659" s="47">
        <f t="shared" ca="1" si="84"/>
        <v>1659457668014.656</v>
      </c>
      <c r="G659" s="47">
        <f t="shared" ca="1" si="85"/>
        <v>722362230981.36194</v>
      </c>
      <c r="H659" s="47">
        <f t="shared" ca="1" si="86"/>
        <v>722362230981.36194</v>
      </c>
      <c r="I659" s="47">
        <f t="shared" ca="1" si="87"/>
        <v>22551583054745.273</v>
      </c>
      <c r="J659" s="47">
        <f t="shared" ca="1" si="88"/>
        <v>1197897584833.7759</v>
      </c>
      <c r="K659" s="48">
        <f t="shared" ca="1" si="89"/>
        <v>18.825969214951378</v>
      </c>
    </row>
    <row r="660" spans="2:11" ht="15" customHeight="1" x14ac:dyDescent="0.35">
      <c r="B660" s="5">
        <v>639</v>
      </c>
      <c r="C660" s="46">
        <f t="shared" ca="1" si="81"/>
        <v>2.1005853481481176</v>
      </c>
      <c r="D660" s="47">
        <f t="shared" ca="1" si="82"/>
        <v>929885266.38062418</v>
      </c>
      <c r="E660" s="47">
        <f t="shared" ca="1" si="83"/>
        <v>3153230559373.0347</v>
      </c>
      <c r="F660" s="47">
        <f t="shared" ca="1" si="84"/>
        <v>735980099950.28247</v>
      </c>
      <c r="G660" s="47">
        <f t="shared" ca="1" si="85"/>
        <v>35406074684884.469</v>
      </c>
      <c r="H660" s="47">
        <f t="shared" ca="1" si="86"/>
        <v>35406074684884.469</v>
      </c>
      <c r="I660" s="47">
        <f t="shared" ca="1" si="87"/>
        <v>10557585874832.225</v>
      </c>
      <c r="J660" s="47">
        <f t="shared" ca="1" si="88"/>
        <v>1479376792372.6062</v>
      </c>
      <c r="K660" s="48">
        <f t="shared" ca="1" si="89"/>
        <v>7.136509055208375</v>
      </c>
    </row>
    <row r="661" spans="2:11" ht="15" customHeight="1" x14ac:dyDescent="0.35">
      <c r="B661" s="5">
        <v>640</v>
      </c>
      <c r="C661" s="46">
        <f t="shared" ca="1" si="81"/>
        <v>4.248641967019303</v>
      </c>
      <c r="D661" s="47">
        <f t="shared" ca="1" si="82"/>
        <v>24987832541.888935</v>
      </c>
      <c r="E661" s="47">
        <f t="shared" ca="1" si="83"/>
        <v>155247032846726.84</v>
      </c>
      <c r="F661" s="47">
        <f t="shared" ca="1" si="84"/>
        <v>5790142897085.377</v>
      </c>
      <c r="G661" s="47">
        <f t="shared" ca="1" si="85"/>
        <v>3360979668479.4932</v>
      </c>
      <c r="H661" s="47">
        <f t="shared" ca="1" si="86"/>
        <v>5790142897085.377</v>
      </c>
      <c r="I661" s="47">
        <f t="shared" ca="1" si="87"/>
        <v>12726085208380.674</v>
      </c>
      <c r="J661" s="47">
        <f t="shared" ca="1" si="88"/>
        <v>744338248549.03943</v>
      </c>
      <c r="K661" s="48">
        <f t="shared" ca="1" si="89"/>
        <v>17.097180258018458</v>
      </c>
    </row>
    <row r="662" spans="2:11" ht="15" customHeight="1" x14ac:dyDescent="0.35">
      <c r="B662" s="5">
        <v>641</v>
      </c>
      <c r="C662" s="46">
        <f t="shared" ref="C662:C725" ca="1" si="90">MEDIAN(1.8,NORMINV(RAND(),$C$7,$D$7),4.5)</f>
        <v>3.1286095877428264</v>
      </c>
      <c r="D662" s="47">
        <f t="shared" ref="D662:D725" ca="1" si="91">($C$8+RAND()*($D$8-$C$8))*C662^5</f>
        <v>6271074808.3811607</v>
      </c>
      <c r="E662" s="47">
        <f t="shared" ref="E662:E725" ca="1" si="92">D662*($C$10+RAND()*($D$10-$C$10))*EXP(NORMINV(RAND(),$C$9,$D$9))*($C$11+RAND()*($D$11-$C$11))</f>
        <v>10362532797136.547</v>
      </c>
      <c r="F662" s="47">
        <f t="shared" ref="F662:F725" ca="1" si="93">EXP(NORMINV(RAND(),$C$12,$D$12))*EXP(NORMINV(RAND(),$C$13,$D$13))</f>
        <v>891434621335.38586</v>
      </c>
      <c r="G662" s="47">
        <f t="shared" ref="G662:G725" ca="1" si="94">EXP(NORMINV(RAND(),$C$14,$D$14))*($C$15+RAND()*($D$15-$C$15))*EXP(NORMINV(RAND(),$C$16,$D$16))/1000000*31536000</f>
        <v>2716289799681.1025</v>
      </c>
      <c r="H662" s="47">
        <f t="shared" ref="H662:H725" ca="1" si="95">CHOOSE(RANDBETWEEN(1,3),E662,F662,G662)</f>
        <v>10362532797136.547</v>
      </c>
      <c r="I662" s="47">
        <f t="shared" ref="I662:I725" ca="1" si="96">EXP(NORMINV(RAND(),$C$14,$D$14))*($C$15+RAND()*($D$15-$C$15))*60</f>
        <v>49985870140659.766</v>
      </c>
      <c r="J662" s="47">
        <f t="shared" ref="J662:J725" ca="1" si="97">($C$17+RAND()*($D$17-$C$17))*($C$18+RAND()*($D$18-$C$18))</f>
        <v>701686325529.8811</v>
      </c>
      <c r="K662" s="48">
        <f t="shared" ref="K662:K725" ca="1" si="98">I662/J662</f>
        <v>71.236773928739098</v>
      </c>
    </row>
    <row r="663" spans="2:11" ht="15" customHeight="1" x14ac:dyDescent="0.35">
      <c r="B663" s="5">
        <v>642</v>
      </c>
      <c r="C663" s="46">
        <f t="shared" ca="1" si="90"/>
        <v>3.215418458497465</v>
      </c>
      <c r="D663" s="47">
        <f t="shared" ca="1" si="91"/>
        <v>6237080307.0570803</v>
      </c>
      <c r="E663" s="47">
        <f t="shared" ca="1" si="92"/>
        <v>15586482179857.299</v>
      </c>
      <c r="F663" s="47">
        <f t="shared" ca="1" si="93"/>
        <v>1835731263381.073</v>
      </c>
      <c r="G663" s="47">
        <f t="shared" ca="1" si="94"/>
        <v>1445324833564.6211</v>
      </c>
      <c r="H663" s="47">
        <f t="shared" ca="1" si="95"/>
        <v>1835731263381.073</v>
      </c>
      <c r="I663" s="47">
        <f t="shared" ca="1" si="96"/>
        <v>5921624804641.6631</v>
      </c>
      <c r="J663" s="47">
        <f t="shared" ca="1" si="97"/>
        <v>1251909237888.2053</v>
      </c>
      <c r="K663" s="48">
        <f t="shared" ca="1" si="98"/>
        <v>4.7300751727262682</v>
      </c>
    </row>
    <row r="664" spans="2:11" ht="15" customHeight="1" x14ac:dyDescent="0.35">
      <c r="B664" s="5">
        <v>643</v>
      </c>
      <c r="C664" s="46">
        <f t="shared" ca="1" si="90"/>
        <v>3.4603009804593201</v>
      </c>
      <c r="D664" s="47">
        <f t="shared" ca="1" si="91"/>
        <v>10588821198.43568</v>
      </c>
      <c r="E664" s="47">
        <f t="shared" ca="1" si="92"/>
        <v>14244740278127.176</v>
      </c>
      <c r="F664" s="47">
        <f t="shared" ca="1" si="93"/>
        <v>8317131387767.2998</v>
      </c>
      <c r="G664" s="47">
        <f t="shared" ca="1" si="94"/>
        <v>7774296252331.1289</v>
      </c>
      <c r="H664" s="47">
        <f t="shared" ca="1" si="95"/>
        <v>8317131387767.2998</v>
      </c>
      <c r="I664" s="47">
        <f t="shared" ca="1" si="96"/>
        <v>3042904422471.6768</v>
      </c>
      <c r="J664" s="47">
        <f t="shared" ca="1" si="97"/>
        <v>2117573686432.6458</v>
      </c>
      <c r="K664" s="48">
        <f t="shared" ca="1" si="98"/>
        <v>1.4369768768698115</v>
      </c>
    </row>
    <row r="665" spans="2:11" ht="15" customHeight="1" x14ac:dyDescent="0.35">
      <c r="B665" s="5">
        <v>644</v>
      </c>
      <c r="C665" s="46">
        <f t="shared" ca="1" si="90"/>
        <v>2.1028876535427456</v>
      </c>
      <c r="D665" s="47">
        <f t="shared" ca="1" si="91"/>
        <v>699052788.98385549</v>
      </c>
      <c r="E665" s="47">
        <f t="shared" ca="1" si="92"/>
        <v>2310213014319.1426</v>
      </c>
      <c r="F665" s="47">
        <f t="shared" ca="1" si="93"/>
        <v>12440353762249.301</v>
      </c>
      <c r="G665" s="47">
        <f t="shared" ca="1" si="94"/>
        <v>4859657969237.9111</v>
      </c>
      <c r="H665" s="47">
        <f t="shared" ca="1" si="95"/>
        <v>4859657969237.9111</v>
      </c>
      <c r="I665" s="47">
        <f t="shared" ca="1" si="96"/>
        <v>4993643200109.5195</v>
      </c>
      <c r="J665" s="47">
        <f t="shared" ca="1" si="97"/>
        <v>915939117197.66077</v>
      </c>
      <c r="K665" s="48">
        <f t="shared" ca="1" si="98"/>
        <v>5.45193791415711</v>
      </c>
    </row>
    <row r="666" spans="2:11" ht="15" customHeight="1" x14ac:dyDescent="0.35">
      <c r="B666" s="5">
        <v>645</v>
      </c>
      <c r="C666" s="46">
        <f t="shared" ca="1" si="90"/>
        <v>2.7870522393783608</v>
      </c>
      <c r="D666" s="47">
        <f t="shared" ca="1" si="91"/>
        <v>3463520215.7655902</v>
      </c>
      <c r="E666" s="47">
        <f t="shared" ca="1" si="92"/>
        <v>19467972184508.781</v>
      </c>
      <c r="F666" s="47">
        <f t="shared" ca="1" si="93"/>
        <v>1855140275483.4282</v>
      </c>
      <c r="G666" s="47">
        <f t="shared" ca="1" si="94"/>
        <v>3815783989536.8945</v>
      </c>
      <c r="H666" s="47">
        <f t="shared" ca="1" si="95"/>
        <v>1855140275483.4282</v>
      </c>
      <c r="I666" s="47">
        <f t="shared" ca="1" si="96"/>
        <v>627161757262.63245</v>
      </c>
      <c r="J666" s="47">
        <f t="shared" ca="1" si="97"/>
        <v>1289620132826.5417</v>
      </c>
      <c r="K666" s="48">
        <f t="shared" ca="1" si="98"/>
        <v>0.48631511039459541</v>
      </c>
    </row>
    <row r="667" spans="2:11" ht="15" customHeight="1" x14ac:dyDescent="0.35">
      <c r="B667" s="5">
        <v>646</v>
      </c>
      <c r="C667" s="46">
        <f t="shared" ca="1" si="90"/>
        <v>2.8465729667588158</v>
      </c>
      <c r="D667" s="47">
        <f t="shared" ca="1" si="91"/>
        <v>3171747050.9484043</v>
      </c>
      <c r="E667" s="47">
        <f t="shared" ca="1" si="92"/>
        <v>14195848894070.709</v>
      </c>
      <c r="F667" s="47">
        <f t="shared" ca="1" si="93"/>
        <v>11148867143376.861</v>
      </c>
      <c r="G667" s="47">
        <f t="shared" ca="1" si="94"/>
        <v>28147553400732.938</v>
      </c>
      <c r="H667" s="47">
        <f t="shared" ca="1" si="95"/>
        <v>11148867143376.861</v>
      </c>
      <c r="I667" s="47">
        <f t="shared" ca="1" si="96"/>
        <v>1585261704746.9451</v>
      </c>
      <c r="J667" s="47">
        <f t="shared" ca="1" si="97"/>
        <v>1946953758325.5508</v>
      </c>
      <c r="K667" s="48">
        <f t="shared" ca="1" si="98"/>
        <v>0.81422668513212471</v>
      </c>
    </row>
    <row r="668" spans="2:11" ht="15" customHeight="1" x14ac:dyDescent="0.35">
      <c r="B668" s="5">
        <v>647</v>
      </c>
      <c r="C668" s="46">
        <f t="shared" ca="1" si="90"/>
        <v>3.1190801444386067</v>
      </c>
      <c r="D668" s="47">
        <f t="shared" ca="1" si="91"/>
        <v>5894210742.6992807</v>
      </c>
      <c r="E668" s="47">
        <f t="shared" ca="1" si="92"/>
        <v>24692266975319.879</v>
      </c>
      <c r="F668" s="47">
        <f t="shared" ca="1" si="93"/>
        <v>7109840920999.4346</v>
      </c>
      <c r="G668" s="47">
        <f t="shared" ca="1" si="94"/>
        <v>534484369133.87268</v>
      </c>
      <c r="H668" s="47">
        <f t="shared" ca="1" si="95"/>
        <v>7109840920999.4346</v>
      </c>
      <c r="I668" s="47">
        <f t="shared" ca="1" si="96"/>
        <v>2241101059872.4839</v>
      </c>
      <c r="J668" s="47">
        <f t="shared" ca="1" si="97"/>
        <v>1522147167877.6782</v>
      </c>
      <c r="K668" s="48">
        <f t="shared" ca="1" si="98"/>
        <v>1.47232876502818</v>
      </c>
    </row>
    <row r="669" spans="2:11" ht="15" customHeight="1" x14ac:dyDescent="0.35">
      <c r="B669" s="5">
        <v>648</v>
      </c>
      <c r="C669" s="46">
        <f t="shared" ca="1" si="90"/>
        <v>2.5917743482427809</v>
      </c>
      <c r="D669" s="47">
        <f t="shared" ca="1" si="91"/>
        <v>1919720639.4217987</v>
      </c>
      <c r="E669" s="47">
        <f t="shared" ca="1" si="92"/>
        <v>9460753250079.8145</v>
      </c>
      <c r="F669" s="47">
        <f t="shared" ca="1" si="93"/>
        <v>10118695395360.826</v>
      </c>
      <c r="G669" s="47">
        <f t="shared" ca="1" si="94"/>
        <v>3774685798797.1777</v>
      </c>
      <c r="H669" s="47">
        <f t="shared" ca="1" si="95"/>
        <v>10118695395360.826</v>
      </c>
      <c r="I669" s="47">
        <f t="shared" ca="1" si="96"/>
        <v>2036353237356.7859</v>
      </c>
      <c r="J669" s="47">
        <f t="shared" ca="1" si="97"/>
        <v>2321921891785.9897</v>
      </c>
      <c r="K669" s="48">
        <f t="shared" ca="1" si="98"/>
        <v>0.87701194625046219</v>
      </c>
    </row>
    <row r="670" spans="2:11" ht="15" customHeight="1" x14ac:dyDescent="0.35">
      <c r="B670" s="5">
        <v>649</v>
      </c>
      <c r="C670" s="46">
        <f t="shared" ca="1" si="90"/>
        <v>2.5828093980851183</v>
      </c>
      <c r="D670" s="47">
        <f t="shared" ca="1" si="91"/>
        <v>2260788941.2190151</v>
      </c>
      <c r="E670" s="47">
        <f t="shared" ca="1" si="92"/>
        <v>7722193158008.4336</v>
      </c>
      <c r="F670" s="47">
        <f t="shared" ca="1" si="93"/>
        <v>1682795097597.0745</v>
      </c>
      <c r="G670" s="47">
        <f t="shared" ca="1" si="94"/>
        <v>31216993572087.289</v>
      </c>
      <c r="H670" s="47">
        <f t="shared" ca="1" si="95"/>
        <v>7722193158008.4336</v>
      </c>
      <c r="I670" s="47">
        <f t="shared" ca="1" si="96"/>
        <v>9760544600040.8359</v>
      </c>
      <c r="J670" s="47">
        <f t="shared" ca="1" si="97"/>
        <v>972854258569.56006</v>
      </c>
      <c r="K670" s="48">
        <f t="shared" ca="1" si="98"/>
        <v>10.032894972770423</v>
      </c>
    </row>
    <row r="671" spans="2:11" ht="15" customHeight="1" x14ac:dyDescent="0.35">
      <c r="B671" s="5">
        <v>650</v>
      </c>
      <c r="C671" s="46">
        <f t="shared" ca="1" si="90"/>
        <v>3.4054053377897882</v>
      </c>
      <c r="D671" s="47">
        <f t="shared" ca="1" si="91"/>
        <v>9179115746.7516575</v>
      </c>
      <c r="E671" s="47">
        <f t="shared" ca="1" si="92"/>
        <v>62783644662078.945</v>
      </c>
      <c r="F671" s="47">
        <f t="shared" ca="1" si="93"/>
        <v>5311703580155.374</v>
      </c>
      <c r="G671" s="47">
        <f t="shared" ca="1" si="94"/>
        <v>14873136607078.396</v>
      </c>
      <c r="H671" s="47">
        <f t="shared" ca="1" si="95"/>
        <v>14873136607078.396</v>
      </c>
      <c r="I671" s="47">
        <f t="shared" ca="1" si="96"/>
        <v>59286253071716.773</v>
      </c>
      <c r="J671" s="47">
        <f t="shared" ca="1" si="97"/>
        <v>1331046292995.6626</v>
      </c>
      <c r="K671" s="48">
        <f t="shared" ca="1" si="98"/>
        <v>44.541090256362679</v>
      </c>
    </row>
    <row r="672" spans="2:11" ht="15" customHeight="1" x14ac:dyDescent="0.35">
      <c r="B672" s="5">
        <v>651</v>
      </c>
      <c r="C672" s="46">
        <f t="shared" ca="1" si="90"/>
        <v>3.0192707337478115</v>
      </c>
      <c r="D672" s="47">
        <f t="shared" ca="1" si="91"/>
        <v>5942507898.4403019</v>
      </c>
      <c r="E672" s="47">
        <f t="shared" ca="1" si="92"/>
        <v>30564474157293.582</v>
      </c>
      <c r="F672" s="47">
        <f t="shared" ca="1" si="93"/>
        <v>11984368419960.182</v>
      </c>
      <c r="G672" s="47">
        <f t="shared" ca="1" si="94"/>
        <v>34365645838855.172</v>
      </c>
      <c r="H672" s="47">
        <f t="shared" ca="1" si="95"/>
        <v>34365645838855.172</v>
      </c>
      <c r="I672" s="47">
        <f t="shared" ca="1" si="96"/>
        <v>1540294201766.4199</v>
      </c>
      <c r="J672" s="47">
        <f t="shared" ca="1" si="97"/>
        <v>1316096831151.502</v>
      </c>
      <c r="K672" s="48">
        <f t="shared" ca="1" si="98"/>
        <v>1.1703502092765921</v>
      </c>
    </row>
    <row r="673" spans="2:11" ht="15" customHeight="1" x14ac:dyDescent="0.35">
      <c r="B673" s="5">
        <v>652</v>
      </c>
      <c r="C673" s="46">
        <f t="shared" ca="1" si="90"/>
        <v>3.402087527543681</v>
      </c>
      <c r="D673" s="47">
        <f t="shared" ca="1" si="91"/>
        <v>10604017524.478836</v>
      </c>
      <c r="E673" s="47">
        <f t="shared" ca="1" si="92"/>
        <v>59173646269448.727</v>
      </c>
      <c r="F673" s="47">
        <f t="shared" ca="1" si="93"/>
        <v>2613710916241.7451</v>
      </c>
      <c r="G673" s="47">
        <f t="shared" ca="1" si="94"/>
        <v>3623553627321.5581</v>
      </c>
      <c r="H673" s="47">
        <f t="shared" ca="1" si="95"/>
        <v>2613710916241.7451</v>
      </c>
      <c r="I673" s="47">
        <f t="shared" ca="1" si="96"/>
        <v>22139636138545.039</v>
      </c>
      <c r="J673" s="47">
        <f t="shared" ca="1" si="97"/>
        <v>1554456476014.5874</v>
      </c>
      <c r="K673" s="48">
        <f t="shared" ca="1" si="98"/>
        <v>14.242686418154351</v>
      </c>
    </row>
    <row r="674" spans="2:11" ht="15" customHeight="1" x14ac:dyDescent="0.35">
      <c r="B674" s="5">
        <v>653</v>
      </c>
      <c r="C674" s="46">
        <f t="shared" ca="1" si="90"/>
        <v>3.3970952332285238</v>
      </c>
      <c r="D674" s="47">
        <f t="shared" ca="1" si="91"/>
        <v>7697538351.914732</v>
      </c>
      <c r="E674" s="47">
        <f t="shared" ca="1" si="92"/>
        <v>27363674275519.691</v>
      </c>
      <c r="F674" s="47">
        <f t="shared" ca="1" si="93"/>
        <v>812510985616.86353</v>
      </c>
      <c r="G674" s="47">
        <f t="shared" ca="1" si="94"/>
        <v>8454519549095.9072</v>
      </c>
      <c r="H674" s="47">
        <f t="shared" ca="1" si="95"/>
        <v>8454519549095.9072</v>
      </c>
      <c r="I674" s="47">
        <f t="shared" ca="1" si="96"/>
        <v>11622197452599.273</v>
      </c>
      <c r="J674" s="47">
        <f t="shared" ca="1" si="97"/>
        <v>1490522570408.0681</v>
      </c>
      <c r="K674" s="48">
        <f t="shared" ca="1" si="98"/>
        <v>7.7973978276742253</v>
      </c>
    </row>
    <row r="675" spans="2:11" ht="15" customHeight="1" x14ac:dyDescent="0.35">
      <c r="B675" s="5">
        <v>654</v>
      </c>
      <c r="C675" s="46">
        <f t="shared" ca="1" si="90"/>
        <v>2.7894696014828533</v>
      </c>
      <c r="D675" s="47">
        <f t="shared" ca="1" si="91"/>
        <v>2753997182.9458389</v>
      </c>
      <c r="E675" s="47">
        <f t="shared" ca="1" si="92"/>
        <v>6231471614741.0059</v>
      </c>
      <c r="F675" s="47">
        <f t="shared" ca="1" si="93"/>
        <v>17632308456030.57</v>
      </c>
      <c r="G675" s="47">
        <f t="shared" ca="1" si="94"/>
        <v>3518031584189.9775</v>
      </c>
      <c r="H675" s="47">
        <f t="shared" ca="1" si="95"/>
        <v>17632308456030.57</v>
      </c>
      <c r="I675" s="47">
        <f t="shared" ca="1" si="96"/>
        <v>2303403851483.8228</v>
      </c>
      <c r="J675" s="47">
        <f t="shared" ca="1" si="97"/>
        <v>879635603076.8103</v>
      </c>
      <c r="K675" s="48">
        <f t="shared" ca="1" si="98"/>
        <v>2.6185887013064524</v>
      </c>
    </row>
    <row r="676" spans="2:11" ht="15" customHeight="1" x14ac:dyDescent="0.35">
      <c r="B676" s="5">
        <v>655</v>
      </c>
      <c r="C676" s="46">
        <f t="shared" ca="1" si="90"/>
        <v>3.5460276407264999</v>
      </c>
      <c r="D676" s="47">
        <f t="shared" ca="1" si="91"/>
        <v>10011149326.798594</v>
      </c>
      <c r="E676" s="47">
        <f t="shared" ca="1" si="92"/>
        <v>20879620961257.316</v>
      </c>
      <c r="F676" s="47">
        <f t="shared" ca="1" si="93"/>
        <v>1035326894953.9746</v>
      </c>
      <c r="G676" s="47">
        <f t="shared" ca="1" si="94"/>
        <v>41518092029499.867</v>
      </c>
      <c r="H676" s="47">
        <f t="shared" ca="1" si="95"/>
        <v>41518092029499.867</v>
      </c>
      <c r="I676" s="47">
        <f t="shared" ca="1" si="96"/>
        <v>7736461030722.2822</v>
      </c>
      <c r="J676" s="47">
        <f t="shared" ca="1" si="97"/>
        <v>1499407007903.241</v>
      </c>
      <c r="K676" s="48">
        <f t="shared" ca="1" si="98"/>
        <v>5.1596804536353931</v>
      </c>
    </row>
    <row r="677" spans="2:11" ht="15" customHeight="1" x14ac:dyDescent="0.35">
      <c r="B677" s="5">
        <v>656</v>
      </c>
      <c r="C677" s="46">
        <f t="shared" ca="1" si="90"/>
        <v>3.743274199565378</v>
      </c>
      <c r="D677" s="47">
        <f t="shared" ca="1" si="91"/>
        <v>13144414503.178396</v>
      </c>
      <c r="E677" s="47">
        <f t="shared" ca="1" si="92"/>
        <v>18820908755386.98</v>
      </c>
      <c r="F677" s="47">
        <f t="shared" ca="1" si="93"/>
        <v>7051946094932.0703</v>
      </c>
      <c r="G677" s="47">
        <f t="shared" ca="1" si="94"/>
        <v>1556593638449.2856</v>
      </c>
      <c r="H677" s="47">
        <f t="shared" ca="1" si="95"/>
        <v>7051946094932.0703</v>
      </c>
      <c r="I677" s="47">
        <f t="shared" ca="1" si="96"/>
        <v>10005561697476.373</v>
      </c>
      <c r="J677" s="47">
        <f t="shared" ca="1" si="97"/>
        <v>2457428849948.105</v>
      </c>
      <c r="K677" s="48">
        <f t="shared" ca="1" si="98"/>
        <v>4.0715570250132229</v>
      </c>
    </row>
    <row r="678" spans="2:11" ht="15" customHeight="1" x14ac:dyDescent="0.35">
      <c r="B678" s="5">
        <v>657</v>
      </c>
      <c r="C678" s="46">
        <f t="shared" ca="1" si="90"/>
        <v>3.4012457997195091</v>
      </c>
      <c r="D678" s="47">
        <f t="shared" ca="1" si="91"/>
        <v>9011344631.5231686</v>
      </c>
      <c r="E678" s="47">
        <f t="shared" ca="1" si="92"/>
        <v>62959576295067.016</v>
      </c>
      <c r="F678" s="47">
        <f t="shared" ca="1" si="93"/>
        <v>15297843914558.402</v>
      </c>
      <c r="G678" s="47">
        <f t="shared" ca="1" si="94"/>
        <v>20051301049522.516</v>
      </c>
      <c r="H678" s="47">
        <f t="shared" ca="1" si="95"/>
        <v>62959576295067.016</v>
      </c>
      <c r="I678" s="47">
        <f t="shared" ca="1" si="96"/>
        <v>3374272125314.1748</v>
      </c>
      <c r="J678" s="47">
        <f t="shared" ca="1" si="97"/>
        <v>649181072460.68604</v>
      </c>
      <c r="K678" s="48">
        <f t="shared" ca="1" si="98"/>
        <v>5.19773645359711</v>
      </c>
    </row>
    <row r="679" spans="2:11" ht="15" customHeight="1" x14ac:dyDescent="0.35">
      <c r="B679" s="5">
        <v>658</v>
      </c>
      <c r="C679" s="46">
        <f t="shared" ca="1" si="90"/>
        <v>3.1532697740431299</v>
      </c>
      <c r="D679" s="47">
        <f t="shared" ca="1" si="91"/>
        <v>5079734938.0679464</v>
      </c>
      <c r="E679" s="47">
        <f t="shared" ca="1" si="92"/>
        <v>11248732398095.078</v>
      </c>
      <c r="F679" s="47">
        <f t="shared" ca="1" si="93"/>
        <v>1108749758906.2546</v>
      </c>
      <c r="G679" s="47">
        <f t="shared" ca="1" si="94"/>
        <v>12587519011573.049</v>
      </c>
      <c r="H679" s="47">
        <f t="shared" ca="1" si="95"/>
        <v>1108749758906.2546</v>
      </c>
      <c r="I679" s="47">
        <f t="shared" ca="1" si="96"/>
        <v>658071608903.80359</v>
      </c>
      <c r="J679" s="47">
        <f t="shared" ca="1" si="97"/>
        <v>1753565851302.4084</v>
      </c>
      <c r="K679" s="48">
        <f t="shared" ca="1" si="98"/>
        <v>0.37527624549431127</v>
      </c>
    </row>
    <row r="680" spans="2:11" ht="15" customHeight="1" x14ac:dyDescent="0.35">
      <c r="B680" s="5">
        <v>659</v>
      </c>
      <c r="C680" s="46">
        <f t="shared" ca="1" si="90"/>
        <v>2.6283118788966648</v>
      </c>
      <c r="D680" s="47">
        <f t="shared" ca="1" si="91"/>
        <v>2824696507.3896494</v>
      </c>
      <c r="E680" s="47">
        <f t="shared" ca="1" si="92"/>
        <v>14789397702203.66</v>
      </c>
      <c r="F680" s="47">
        <f t="shared" ca="1" si="93"/>
        <v>22701565868350.754</v>
      </c>
      <c r="G680" s="47">
        <f t="shared" ca="1" si="94"/>
        <v>2247746431865.7661</v>
      </c>
      <c r="H680" s="47">
        <f t="shared" ca="1" si="95"/>
        <v>22701565868350.754</v>
      </c>
      <c r="I680" s="47">
        <f t="shared" ca="1" si="96"/>
        <v>1014133207983.9341</v>
      </c>
      <c r="J680" s="47">
        <f t="shared" ca="1" si="97"/>
        <v>969977169971.63489</v>
      </c>
      <c r="K680" s="48">
        <f t="shared" ca="1" si="98"/>
        <v>1.0455227601012407</v>
      </c>
    </row>
    <row r="681" spans="2:11" ht="15" customHeight="1" x14ac:dyDescent="0.35">
      <c r="B681" s="5">
        <v>660</v>
      </c>
      <c r="C681" s="46">
        <f t="shared" ca="1" si="90"/>
        <v>3.052572439379226</v>
      </c>
      <c r="D681" s="47">
        <f t="shared" ca="1" si="91"/>
        <v>5452679567.2263927</v>
      </c>
      <c r="E681" s="47">
        <f t="shared" ca="1" si="92"/>
        <v>5677055275236.7041</v>
      </c>
      <c r="F681" s="47">
        <f t="shared" ca="1" si="93"/>
        <v>5638303864557.9893</v>
      </c>
      <c r="G681" s="47">
        <f t="shared" ca="1" si="94"/>
        <v>5080451016047.0449</v>
      </c>
      <c r="H681" s="47">
        <f t="shared" ca="1" si="95"/>
        <v>5080451016047.0449</v>
      </c>
      <c r="I681" s="47">
        <f t="shared" ca="1" si="96"/>
        <v>10106986210696.557</v>
      </c>
      <c r="J681" s="47">
        <f t="shared" ca="1" si="97"/>
        <v>1602259221524.8701</v>
      </c>
      <c r="K681" s="48">
        <f t="shared" ca="1" si="98"/>
        <v>6.3079594580692993</v>
      </c>
    </row>
    <row r="682" spans="2:11" ht="15" customHeight="1" x14ac:dyDescent="0.35">
      <c r="B682" s="5">
        <v>661</v>
      </c>
      <c r="C682" s="46">
        <f t="shared" ca="1" si="90"/>
        <v>3.1713704752254626</v>
      </c>
      <c r="D682" s="47">
        <f t="shared" ca="1" si="91"/>
        <v>6850798419.8726006</v>
      </c>
      <c r="E682" s="47">
        <f t="shared" ca="1" si="92"/>
        <v>13812760384241.797</v>
      </c>
      <c r="F682" s="47">
        <f t="shared" ca="1" si="93"/>
        <v>2169178546548.8269</v>
      </c>
      <c r="G682" s="47">
        <f t="shared" ca="1" si="94"/>
        <v>1654797893220.7605</v>
      </c>
      <c r="H682" s="47">
        <f t="shared" ca="1" si="95"/>
        <v>2169178546548.8269</v>
      </c>
      <c r="I682" s="47">
        <f t="shared" ca="1" si="96"/>
        <v>7783726617735.002</v>
      </c>
      <c r="J682" s="47">
        <f t="shared" ca="1" si="97"/>
        <v>1708106631195.6462</v>
      </c>
      <c r="K682" s="48">
        <f t="shared" ca="1" si="98"/>
        <v>4.556932497994298</v>
      </c>
    </row>
    <row r="683" spans="2:11" ht="15" customHeight="1" x14ac:dyDescent="0.35">
      <c r="B683" s="5">
        <v>662</v>
      </c>
      <c r="C683" s="46">
        <f t="shared" ca="1" si="90"/>
        <v>3.7937263423913739</v>
      </c>
      <c r="D683" s="47">
        <f t="shared" ca="1" si="91"/>
        <v>13716351783.375057</v>
      </c>
      <c r="E683" s="47">
        <f t="shared" ca="1" si="92"/>
        <v>63508883258827.563</v>
      </c>
      <c r="F683" s="47">
        <f t="shared" ca="1" si="93"/>
        <v>1018561203721.6248</v>
      </c>
      <c r="G683" s="47">
        <f t="shared" ca="1" si="94"/>
        <v>1296275196963.2676</v>
      </c>
      <c r="H683" s="47">
        <f t="shared" ca="1" si="95"/>
        <v>1018561203721.6248</v>
      </c>
      <c r="I683" s="47">
        <f t="shared" ca="1" si="96"/>
        <v>5747482714550.4219</v>
      </c>
      <c r="J683" s="47">
        <f t="shared" ca="1" si="97"/>
        <v>849688375905.96533</v>
      </c>
      <c r="K683" s="48">
        <f t="shared" ca="1" si="98"/>
        <v>6.7642242468272782</v>
      </c>
    </row>
    <row r="684" spans="2:11" ht="15" customHeight="1" x14ac:dyDescent="0.35">
      <c r="B684" s="5">
        <v>663</v>
      </c>
      <c r="C684" s="46">
        <f t="shared" ca="1" si="90"/>
        <v>2.7546226087104935</v>
      </c>
      <c r="D684" s="47">
        <f t="shared" ca="1" si="91"/>
        <v>2912203857.4189148</v>
      </c>
      <c r="E684" s="47">
        <f t="shared" ca="1" si="92"/>
        <v>8326557307773.2295</v>
      </c>
      <c r="F684" s="47">
        <f t="shared" ca="1" si="93"/>
        <v>5041496794892.9434</v>
      </c>
      <c r="G684" s="47">
        <f t="shared" ca="1" si="94"/>
        <v>658846907259.06799</v>
      </c>
      <c r="H684" s="47">
        <f t="shared" ca="1" si="95"/>
        <v>658846907259.06799</v>
      </c>
      <c r="I684" s="47">
        <f t="shared" ca="1" si="96"/>
        <v>341420605410155.13</v>
      </c>
      <c r="J684" s="47">
        <f t="shared" ca="1" si="97"/>
        <v>730894311559.03601</v>
      </c>
      <c r="K684" s="48">
        <f t="shared" ca="1" si="98"/>
        <v>467.12718926747016</v>
      </c>
    </row>
    <row r="685" spans="2:11" ht="15" customHeight="1" x14ac:dyDescent="0.35">
      <c r="B685" s="5">
        <v>664</v>
      </c>
      <c r="C685" s="46">
        <f t="shared" ca="1" si="90"/>
        <v>2.450648956262337</v>
      </c>
      <c r="D685" s="47">
        <f t="shared" ca="1" si="91"/>
        <v>1637844574.0449109</v>
      </c>
      <c r="E685" s="47">
        <f t="shared" ca="1" si="92"/>
        <v>8560035289004.1982</v>
      </c>
      <c r="F685" s="47">
        <f t="shared" ca="1" si="93"/>
        <v>1748727652957.4546</v>
      </c>
      <c r="G685" s="47">
        <f t="shared" ca="1" si="94"/>
        <v>5134736381662.4971</v>
      </c>
      <c r="H685" s="47">
        <f t="shared" ca="1" si="95"/>
        <v>1748727652957.4546</v>
      </c>
      <c r="I685" s="47">
        <f t="shared" ca="1" si="96"/>
        <v>4733219082662.9932</v>
      </c>
      <c r="J685" s="47">
        <f t="shared" ca="1" si="97"/>
        <v>1336205801696.4949</v>
      </c>
      <c r="K685" s="48">
        <f t="shared" ca="1" si="98"/>
        <v>3.5422829901303587</v>
      </c>
    </row>
    <row r="686" spans="2:11" ht="15" customHeight="1" x14ac:dyDescent="0.35">
      <c r="B686" s="5">
        <v>665</v>
      </c>
      <c r="C686" s="46">
        <f t="shared" ca="1" si="90"/>
        <v>3.3911746701081977</v>
      </c>
      <c r="D686" s="47">
        <f t="shared" ca="1" si="91"/>
        <v>9641914665.4501495</v>
      </c>
      <c r="E686" s="47">
        <f t="shared" ca="1" si="92"/>
        <v>15733242653115.635</v>
      </c>
      <c r="F686" s="47">
        <f t="shared" ca="1" si="93"/>
        <v>1880708003725.2566</v>
      </c>
      <c r="G686" s="47">
        <f t="shared" ca="1" si="94"/>
        <v>2053210296056.0532</v>
      </c>
      <c r="H686" s="47">
        <f t="shared" ca="1" si="95"/>
        <v>2053210296056.0532</v>
      </c>
      <c r="I686" s="47">
        <f t="shared" ca="1" si="96"/>
        <v>24444342127154.27</v>
      </c>
      <c r="J686" s="47">
        <f t="shared" ca="1" si="97"/>
        <v>1587042437240.9924</v>
      </c>
      <c r="K686" s="48">
        <f t="shared" ca="1" si="98"/>
        <v>15.402450214028143</v>
      </c>
    </row>
    <row r="687" spans="2:11" ht="15" customHeight="1" x14ac:dyDescent="0.35">
      <c r="B687" s="5">
        <v>666</v>
      </c>
      <c r="C687" s="46">
        <f t="shared" ca="1" si="90"/>
        <v>3.006233496220116</v>
      </c>
      <c r="D687" s="47">
        <f t="shared" ca="1" si="91"/>
        <v>4659924881.0926018</v>
      </c>
      <c r="E687" s="47">
        <f t="shared" ca="1" si="92"/>
        <v>50243780481876</v>
      </c>
      <c r="F687" s="47">
        <f t="shared" ca="1" si="93"/>
        <v>5325905778819.6172</v>
      </c>
      <c r="G687" s="47">
        <f t="shared" ca="1" si="94"/>
        <v>10905883908087.412</v>
      </c>
      <c r="H687" s="47">
        <f t="shared" ca="1" si="95"/>
        <v>5325905778819.6172</v>
      </c>
      <c r="I687" s="47">
        <f t="shared" ca="1" si="96"/>
        <v>1830334702618.5977</v>
      </c>
      <c r="J687" s="47">
        <f t="shared" ca="1" si="97"/>
        <v>1473469450186.0686</v>
      </c>
      <c r="K687" s="48">
        <f t="shared" ca="1" si="98"/>
        <v>1.2421938591176522</v>
      </c>
    </row>
    <row r="688" spans="2:11" ht="15" customHeight="1" x14ac:dyDescent="0.35">
      <c r="B688" s="5">
        <v>667</v>
      </c>
      <c r="C688" s="46">
        <f t="shared" ca="1" si="90"/>
        <v>3.8725829804992427</v>
      </c>
      <c r="D688" s="47">
        <f t="shared" ca="1" si="91"/>
        <v>18426456692.618187</v>
      </c>
      <c r="E688" s="47">
        <f t="shared" ca="1" si="92"/>
        <v>99447261319762.094</v>
      </c>
      <c r="F688" s="47">
        <f t="shared" ca="1" si="93"/>
        <v>2426781856004.7217</v>
      </c>
      <c r="G688" s="47">
        <f t="shared" ca="1" si="94"/>
        <v>9063098852346.0059</v>
      </c>
      <c r="H688" s="47">
        <f t="shared" ca="1" si="95"/>
        <v>2426781856004.7217</v>
      </c>
      <c r="I688" s="47">
        <f t="shared" ca="1" si="96"/>
        <v>27874839980961.246</v>
      </c>
      <c r="J688" s="47">
        <f t="shared" ca="1" si="97"/>
        <v>1850631398260.3208</v>
      </c>
      <c r="K688" s="48">
        <f t="shared" ca="1" si="98"/>
        <v>15.062340348901941</v>
      </c>
    </row>
    <row r="689" spans="2:11" ht="15" customHeight="1" x14ac:dyDescent="0.35">
      <c r="B689" s="5">
        <v>668</v>
      </c>
      <c r="C689" s="46">
        <f t="shared" ca="1" si="90"/>
        <v>3.9090927141615137</v>
      </c>
      <c r="D689" s="47">
        <f t="shared" ca="1" si="91"/>
        <v>14894009632.78414</v>
      </c>
      <c r="E689" s="47">
        <f t="shared" ca="1" si="92"/>
        <v>100221015404138.69</v>
      </c>
      <c r="F689" s="47">
        <f t="shared" ca="1" si="93"/>
        <v>2972768804309.3467</v>
      </c>
      <c r="G689" s="47">
        <f t="shared" ca="1" si="94"/>
        <v>26625853117635.129</v>
      </c>
      <c r="H689" s="47">
        <f t="shared" ca="1" si="95"/>
        <v>2972768804309.3467</v>
      </c>
      <c r="I689" s="47">
        <f t="shared" ca="1" si="96"/>
        <v>2068141547419.1509</v>
      </c>
      <c r="J689" s="47">
        <f t="shared" ca="1" si="97"/>
        <v>1530144944518.2605</v>
      </c>
      <c r="K689" s="48">
        <f t="shared" ca="1" si="98"/>
        <v>1.351598457929271</v>
      </c>
    </row>
    <row r="690" spans="2:11" ht="15" customHeight="1" x14ac:dyDescent="0.35">
      <c r="B690" s="5">
        <v>669</v>
      </c>
      <c r="C690" s="46">
        <f t="shared" ca="1" si="90"/>
        <v>2.6470285783162182</v>
      </c>
      <c r="D690" s="47">
        <f t="shared" ca="1" si="91"/>
        <v>2341669166.7667475</v>
      </c>
      <c r="E690" s="47">
        <f t="shared" ca="1" si="92"/>
        <v>2261317781086.0488</v>
      </c>
      <c r="F690" s="47">
        <f t="shared" ca="1" si="93"/>
        <v>3566315580339.8706</v>
      </c>
      <c r="G690" s="47">
        <f t="shared" ca="1" si="94"/>
        <v>2255293820771.2554</v>
      </c>
      <c r="H690" s="47">
        <f t="shared" ca="1" si="95"/>
        <v>2261317781086.0488</v>
      </c>
      <c r="I690" s="47">
        <f t="shared" ca="1" si="96"/>
        <v>3570849996505.2368</v>
      </c>
      <c r="J690" s="47">
        <f t="shared" ca="1" si="97"/>
        <v>2203540540725.4917</v>
      </c>
      <c r="K690" s="48">
        <f t="shared" ca="1" si="98"/>
        <v>1.6205056954974713</v>
      </c>
    </row>
    <row r="691" spans="2:11" ht="15" customHeight="1" x14ac:dyDescent="0.35">
      <c r="B691" s="5">
        <v>670</v>
      </c>
      <c r="C691" s="46">
        <f t="shared" ca="1" si="90"/>
        <v>2.1403012753342141</v>
      </c>
      <c r="D691" s="47">
        <f t="shared" ca="1" si="91"/>
        <v>1052594947.0182874</v>
      </c>
      <c r="E691" s="47">
        <f t="shared" ca="1" si="92"/>
        <v>1102789657253.2249</v>
      </c>
      <c r="F691" s="47">
        <f t="shared" ca="1" si="93"/>
        <v>3079560419526.2065</v>
      </c>
      <c r="G691" s="47">
        <f t="shared" ca="1" si="94"/>
        <v>6051116906203.0527</v>
      </c>
      <c r="H691" s="47">
        <f t="shared" ca="1" si="95"/>
        <v>6051116906203.0527</v>
      </c>
      <c r="I691" s="47">
        <f t="shared" ca="1" si="96"/>
        <v>145235644094103.16</v>
      </c>
      <c r="J691" s="47">
        <f t="shared" ca="1" si="97"/>
        <v>558745514610.08533</v>
      </c>
      <c r="K691" s="48">
        <f t="shared" ca="1" si="98"/>
        <v>259.93165098686171</v>
      </c>
    </row>
    <row r="692" spans="2:11" ht="15" customHeight="1" x14ac:dyDescent="0.35">
      <c r="B692" s="5">
        <v>671</v>
      </c>
      <c r="C692" s="46">
        <f t="shared" ca="1" si="90"/>
        <v>3.1973377024073435</v>
      </c>
      <c r="D692" s="47">
        <f t="shared" ca="1" si="91"/>
        <v>7626398379.8484144</v>
      </c>
      <c r="E692" s="47">
        <f t="shared" ca="1" si="92"/>
        <v>40834751921322.898</v>
      </c>
      <c r="F692" s="47">
        <f t="shared" ca="1" si="93"/>
        <v>13936558653843.582</v>
      </c>
      <c r="G692" s="47">
        <f t="shared" ca="1" si="94"/>
        <v>3262592544744.9282</v>
      </c>
      <c r="H692" s="47">
        <f t="shared" ca="1" si="95"/>
        <v>40834751921322.898</v>
      </c>
      <c r="I692" s="47">
        <f t="shared" ca="1" si="96"/>
        <v>5151555271665.5166</v>
      </c>
      <c r="J692" s="47">
        <f t="shared" ca="1" si="97"/>
        <v>1157349421301.3853</v>
      </c>
      <c r="K692" s="48">
        <f t="shared" ca="1" si="98"/>
        <v>4.4511667581540184</v>
      </c>
    </row>
    <row r="693" spans="2:11" ht="15" customHeight="1" x14ac:dyDescent="0.35">
      <c r="B693" s="5">
        <v>672</v>
      </c>
      <c r="C693" s="46">
        <f t="shared" ca="1" si="90"/>
        <v>3.2767165379971885</v>
      </c>
      <c r="D693" s="47">
        <f t="shared" ca="1" si="91"/>
        <v>8830140929.5442944</v>
      </c>
      <c r="E693" s="47">
        <f t="shared" ca="1" si="92"/>
        <v>15782802466671.658</v>
      </c>
      <c r="F693" s="47">
        <f t="shared" ca="1" si="93"/>
        <v>7953970552840.876</v>
      </c>
      <c r="G693" s="47">
        <f t="shared" ca="1" si="94"/>
        <v>6758416369788.0791</v>
      </c>
      <c r="H693" s="47">
        <f t="shared" ca="1" si="95"/>
        <v>6758416369788.0791</v>
      </c>
      <c r="I693" s="47">
        <f t="shared" ca="1" si="96"/>
        <v>4376037692723.3096</v>
      </c>
      <c r="J693" s="47">
        <f t="shared" ca="1" si="97"/>
        <v>1549003887546.6667</v>
      </c>
      <c r="K693" s="48">
        <f t="shared" ca="1" si="98"/>
        <v>2.8250656618132424</v>
      </c>
    </row>
    <row r="694" spans="2:11" ht="15" customHeight="1" x14ac:dyDescent="0.35">
      <c r="B694" s="5">
        <v>673</v>
      </c>
      <c r="C694" s="46">
        <f t="shared" ca="1" si="90"/>
        <v>1.924747404913014</v>
      </c>
      <c r="D694" s="47">
        <f t="shared" ca="1" si="91"/>
        <v>423408752.94087112</v>
      </c>
      <c r="E694" s="47">
        <f t="shared" ca="1" si="92"/>
        <v>3347051040710.1646</v>
      </c>
      <c r="F694" s="47">
        <f t="shared" ca="1" si="93"/>
        <v>12140085703526.16</v>
      </c>
      <c r="G694" s="47">
        <f t="shared" ca="1" si="94"/>
        <v>9836461349517.6582</v>
      </c>
      <c r="H694" s="47">
        <f t="shared" ca="1" si="95"/>
        <v>9836461349517.6582</v>
      </c>
      <c r="I694" s="47">
        <f t="shared" ca="1" si="96"/>
        <v>2682210863419.7119</v>
      </c>
      <c r="J694" s="47">
        <f t="shared" ca="1" si="97"/>
        <v>655516726377.38599</v>
      </c>
      <c r="K694" s="48">
        <f t="shared" ca="1" si="98"/>
        <v>4.0917504550075243</v>
      </c>
    </row>
    <row r="695" spans="2:11" ht="15" customHeight="1" x14ac:dyDescent="0.35">
      <c r="B695" s="5">
        <v>674</v>
      </c>
      <c r="C695" s="46">
        <f t="shared" ca="1" si="90"/>
        <v>3.3141095553354121</v>
      </c>
      <c r="D695" s="47">
        <f t="shared" ca="1" si="91"/>
        <v>6458296699.6822147</v>
      </c>
      <c r="E695" s="47">
        <f t="shared" ca="1" si="92"/>
        <v>56407063452859.5</v>
      </c>
      <c r="F695" s="47">
        <f t="shared" ca="1" si="93"/>
        <v>1694221633444.468</v>
      </c>
      <c r="G695" s="47">
        <f t="shared" ca="1" si="94"/>
        <v>5146097631900.0576</v>
      </c>
      <c r="H695" s="47">
        <f t="shared" ca="1" si="95"/>
        <v>1694221633444.468</v>
      </c>
      <c r="I695" s="47">
        <f t="shared" ca="1" si="96"/>
        <v>7837273065926.3535</v>
      </c>
      <c r="J695" s="47">
        <f t="shared" ca="1" si="97"/>
        <v>1119105066227.8662</v>
      </c>
      <c r="K695" s="48">
        <f t="shared" ca="1" si="98"/>
        <v>7.003161099380252</v>
      </c>
    </row>
    <row r="696" spans="2:11" ht="15" customHeight="1" x14ac:dyDescent="0.35">
      <c r="B696" s="5">
        <v>675</v>
      </c>
      <c r="C696" s="46">
        <f t="shared" ca="1" si="90"/>
        <v>3.1830106444275654</v>
      </c>
      <c r="D696" s="47">
        <f t="shared" ca="1" si="91"/>
        <v>7384516147.7010775</v>
      </c>
      <c r="E696" s="47">
        <f t="shared" ca="1" si="92"/>
        <v>19340736936685.984</v>
      </c>
      <c r="F696" s="47">
        <f t="shared" ca="1" si="93"/>
        <v>5724478563014.1895</v>
      </c>
      <c r="G696" s="47">
        <f t="shared" ca="1" si="94"/>
        <v>11304833558237.533</v>
      </c>
      <c r="H696" s="47">
        <f t="shared" ca="1" si="95"/>
        <v>5724478563014.1895</v>
      </c>
      <c r="I696" s="47">
        <f t="shared" ca="1" si="96"/>
        <v>2837955075278.4502</v>
      </c>
      <c r="J696" s="47">
        <f t="shared" ca="1" si="97"/>
        <v>1282426336864.9587</v>
      </c>
      <c r="K696" s="48">
        <f t="shared" ca="1" si="98"/>
        <v>2.2129575740125267</v>
      </c>
    </row>
    <row r="697" spans="2:11" ht="15" customHeight="1" x14ac:dyDescent="0.35">
      <c r="B697" s="5">
        <v>676</v>
      </c>
      <c r="C697" s="46">
        <f t="shared" ca="1" si="90"/>
        <v>2.6270750596380799</v>
      </c>
      <c r="D697" s="47">
        <f t="shared" ca="1" si="91"/>
        <v>2828975919.4671164</v>
      </c>
      <c r="E697" s="47">
        <f t="shared" ca="1" si="92"/>
        <v>10022421074417.74</v>
      </c>
      <c r="F697" s="47">
        <f t="shared" ca="1" si="93"/>
        <v>1785957640564.9644</v>
      </c>
      <c r="G697" s="47">
        <f t="shared" ca="1" si="94"/>
        <v>5691416207366.4268</v>
      </c>
      <c r="H697" s="47">
        <f t="shared" ca="1" si="95"/>
        <v>1785957640564.9644</v>
      </c>
      <c r="I697" s="47">
        <f t="shared" ca="1" si="96"/>
        <v>10070793006353.783</v>
      </c>
      <c r="J697" s="47">
        <f t="shared" ca="1" si="97"/>
        <v>2511528770880.9473</v>
      </c>
      <c r="K697" s="48">
        <f t="shared" ca="1" si="98"/>
        <v>4.0098258571098659</v>
      </c>
    </row>
    <row r="698" spans="2:11" ht="15" customHeight="1" x14ac:dyDescent="0.35">
      <c r="B698" s="5">
        <v>677</v>
      </c>
      <c r="C698" s="46">
        <f t="shared" ca="1" si="90"/>
        <v>2.5519720969431079</v>
      </c>
      <c r="D698" s="47">
        <f t="shared" ca="1" si="91"/>
        <v>1846011010.3284822</v>
      </c>
      <c r="E698" s="47">
        <f t="shared" ca="1" si="92"/>
        <v>10401821132941.01</v>
      </c>
      <c r="F698" s="47">
        <f t="shared" ca="1" si="93"/>
        <v>9864335984829.1094</v>
      </c>
      <c r="G698" s="47">
        <f t="shared" ca="1" si="94"/>
        <v>1238811633067.4465</v>
      </c>
      <c r="H698" s="47">
        <f t="shared" ca="1" si="95"/>
        <v>1238811633067.4465</v>
      </c>
      <c r="I698" s="47">
        <f t="shared" ca="1" si="96"/>
        <v>7982451499312.4336</v>
      </c>
      <c r="J698" s="47">
        <f t="shared" ca="1" si="97"/>
        <v>1045281145655.6025</v>
      </c>
      <c r="K698" s="48">
        <f t="shared" ca="1" si="98"/>
        <v>7.6366550114187923</v>
      </c>
    </row>
    <row r="699" spans="2:11" ht="15" customHeight="1" x14ac:dyDescent="0.35">
      <c r="B699" s="5">
        <v>678</v>
      </c>
      <c r="C699" s="46">
        <f t="shared" ca="1" si="90"/>
        <v>3.3769577098382642</v>
      </c>
      <c r="D699" s="47">
        <f t="shared" ca="1" si="91"/>
        <v>9786980673.3379574</v>
      </c>
      <c r="E699" s="47">
        <f t="shared" ca="1" si="92"/>
        <v>21328352060003.688</v>
      </c>
      <c r="F699" s="47">
        <f t="shared" ca="1" si="93"/>
        <v>617887947875.01233</v>
      </c>
      <c r="G699" s="47">
        <f t="shared" ca="1" si="94"/>
        <v>566791349791.24756</v>
      </c>
      <c r="H699" s="47">
        <f t="shared" ca="1" si="95"/>
        <v>566791349791.24756</v>
      </c>
      <c r="I699" s="47">
        <f t="shared" ca="1" si="96"/>
        <v>1827282437410.1443</v>
      </c>
      <c r="J699" s="47">
        <f t="shared" ca="1" si="97"/>
        <v>1534104497754.252</v>
      </c>
      <c r="K699" s="48">
        <f t="shared" ca="1" si="98"/>
        <v>1.1911068901010786</v>
      </c>
    </row>
    <row r="700" spans="2:11" ht="15" customHeight="1" x14ac:dyDescent="0.35">
      <c r="B700" s="5">
        <v>679</v>
      </c>
      <c r="C700" s="46">
        <f t="shared" ca="1" si="90"/>
        <v>2.761026433371097</v>
      </c>
      <c r="D700" s="47">
        <f t="shared" ca="1" si="91"/>
        <v>2887204705.514895</v>
      </c>
      <c r="E700" s="47">
        <f t="shared" ca="1" si="92"/>
        <v>23543766776345.008</v>
      </c>
      <c r="F700" s="47">
        <f t="shared" ca="1" si="93"/>
        <v>11237172576317.23</v>
      </c>
      <c r="G700" s="47">
        <f t="shared" ca="1" si="94"/>
        <v>256480247042986.28</v>
      </c>
      <c r="H700" s="47">
        <f t="shared" ca="1" si="95"/>
        <v>11237172576317.23</v>
      </c>
      <c r="I700" s="47">
        <f t="shared" ca="1" si="96"/>
        <v>6901627121628.8154</v>
      </c>
      <c r="J700" s="47">
        <f t="shared" ca="1" si="97"/>
        <v>1105896400728.1096</v>
      </c>
      <c r="K700" s="48">
        <f t="shared" ca="1" si="98"/>
        <v>6.2407537605555659</v>
      </c>
    </row>
    <row r="701" spans="2:11" ht="15" customHeight="1" x14ac:dyDescent="0.35">
      <c r="B701" s="5">
        <v>680</v>
      </c>
      <c r="C701" s="46">
        <f t="shared" ca="1" si="90"/>
        <v>3.0181811374159628</v>
      </c>
      <c r="D701" s="47">
        <f t="shared" ca="1" si="91"/>
        <v>5947728060.6427927</v>
      </c>
      <c r="E701" s="47">
        <f t="shared" ca="1" si="92"/>
        <v>11462541158345.061</v>
      </c>
      <c r="F701" s="47">
        <f t="shared" ca="1" si="93"/>
        <v>4152452839651.1426</v>
      </c>
      <c r="G701" s="47">
        <f t="shared" ca="1" si="94"/>
        <v>11564236010330.473</v>
      </c>
      <c r="H701" s="47">
        <f t="shared" ca="1" si="95"/>
        <v>11564236010330.473</v>
      </c>
      <c r="I701" s="47">
        <f t="shared" ca="1" si="96"/>
        <v>21860112847242.891</v>
      </c>
      <c r="J701" s="47">
        <f t="shared" ca="1" si="97"/>
        <v>1984748897697.1521</v>
      </c>
      <c r="K701" s="48">
        <f t="shared" ca="1" si="98"/>
        <v>11.014044583980654</v>
      </c>
    </row>
    <row r="702" spans="2:11" ht="15" customHeight="1" x14ac:dyDescent="0.35">
      <c r="B702" s="5">
        <v>681</v>
      </c>
      <c r="C702" s="46">
        <f t="shared" ca="1" si="90"/>
        <v>2.7405786189232217</v>
      </c>
      <c r="D702" s="47">
        <f t="shared" ca="1" si="91"/>
        <v>3548365468.8500409</v>
      </c>
      <c r="E702" s="47">
        <f t="shared" ca="1" si="92"/>
        <v>6364572014815.6836</v>
      </c>
      <c r="F702" s="47">
        <f t="shared" ca="1" si="93"/>
        <v>572107585387.26697</v>
      </c>
      <c r="G702" s="47">
        <f t="shared" ca="1" si="94"/>
        <v>3829011313733.7227</v>
      </c>
      <c r="H702" s="47">
        <f t="shared" ca="1" si="95"/>
        <v>3829011313733.7227</v>
      </c>
      <c r="I702" s="47">
        <f t="shared" ca="1" si="96"/>
        <v>13779794374279.934</v>
      </c>
      <c r="J702" s="47">
        <f t="shared" ca="1" si="97"/>
        <v>648841383199.9043</v>
      </c>
      <c r="K702" s="48">
        <f t="shared" ca="1" si="98"/>
        <v>21.237539298621552</v>
      </c>
    </row>
    <row r="703" spans="2:11" ht="15" customHeight="1" x14ac:dyDescent="0.35">
      <c r="B703" s="5">
        <v>682</v>
      </c>
      <c r="C703" s="46">
        <f t="shared" ca="1" si="90"/>
        <v>3.1429029457845932</v>
      </c>
      <c r="D703" s="47">
        <f t="shared" ca="1" si="91"/>
        <v>6221234413.8721933</v>
      </c>
      <c r="E703" s="47">
        <f t="shared" ca="1" si="92"/>
        <v>19142850606550.879</v>
      </c>
      <c r="F703" s="47">
        <f t="shared" ca="1" si="93"/>
        <v>13779114172325.049</v>
      </c>
      <c r="G703" s="47">
        <f t="shared" ca="1" si="94"/>
        <v>3466203898868.1196</v>
      </c>
      <c r="H703" s="47">
        <f t="shared" ca="1" si="95"/>
        <v>13779114172325.049</v>
      </c>
      <c r="I703" s="47">
        <f t="shared" ca="1" si="96"/>
        <v>9521094018641.4688</v>
      </c>
      <c r="J703" s="47">
        <f t="shared" ca="1" si="97"/>
        <v>1665217753274.6541</v>
      </c>
      <c r="K703" s="48">
        <f t="shared" ca="1" si="98"/>
        <v>5.7176270189998988</v>
      </c>
    </row>
    <row r="704" spans="2:11" ht="15" customHeight="1" x14ac:dyDescent="0.35">
      <c r="B704" s="5">
        <v>683</v>
      </c>
      <c r="C704" s="46">
        <f t="shared" ca="1" si="90"/>
        <v>2.6535213112352922</v>
      </c>
      <c r="D704" s="47">
        <f t="shared" ca="1" si="91"/>
        <v>2762598085.2783775</v>
      </c>
      <c r="E704" s="47">
        <f t="shared" ca="1" si="92"/>
        <v>3014123119927.8467</v>
      </c>
      <c r="F704" s="47">
        <f t="shared" ca="1" si="93"/>
        <v>841684612594.08191</v>
      </c>
      <c r="G704" s="47">
        <f t="shared" ca="1" si="94"/>
        <v>107142684034330.98</v>
      </c>
      <c r="H704" s="47">
        <f t="shared" ca="1" si="95"/>
        <v>841684612594.08191</v>
      </c>
      <c r="I704" s="47">
        <f t="shared" ca="1" si="96"/>
        <v>13319750949950.648</v>
      </c>
      <c r="J704" s="47">
        <f t="shared" ca="1" si="97"/>
        <v>1983784142810.5142</v>
      </c>
      <c r="K704" s="48">
        <f t="shared" ca="1" si="98"/>
        <v>6.7143146587914408</v>
      </c>
    </row>
    <row r="705" spans="2:11" ht="15" customHeight="1" x14ac:dyDescent="0.35">
      <c r="B705" s="5">
        <v>684</v>
      </c>
      <c r="C705" s="46">
        <f t="shared" ca="1" si="90"/>
        <v>3.1431191449764606</v>
      </c>
      <c r="D705" s="47">
        <f t="shared" ca="1" si="91"/>
        <v>5837670169.6066217</v>
      </c>
      <c r="E705" s="47">
        <f t="shared" ca="1" si="92"/>
        <v>5142554807438.584</v>
      </c>
      <c r="F705" s="47">
        <f t="shared" ca="1" si="93"/>
        <v>4479381325969.9287</v>
      </c>
      <c r="G705" s="47">
        <f t="shared" ca="1" si="94"/>
        <v>90486475630600.172</v>
      </c>
      <c r="H705" s="47">
        <f t="shared" ca="1" si="95"/>
        <v>4479381325969.9287</v>
      </c>
      <c r="I705" s="47">
        <f t="shared" ca="1" si="96"/>
        <v>16475810640142.363</v>
      </c>
      <c r="J705" s="47">
        <f t="shared" ca="1" si="97"/>
        <v>1106919588290.8442</v>
      </c>
      <c r="K705" s="48">
        <f t="shared" ca="1" si="98"/>
        <v>14.884378968830143</v>
      </c>
    </row>
    <row r="706" spans="2:11" ht="15" customHeight="1" x14ac:dyDescent="0.35">
      <c r="B706" s="5">
        <v>685</v>
      </c>
      <c r="C706" s="46">
        <f t="shared" ca="1" si="90"/>
        <v>2.3028201822371193</v>
      </c>
      <c r="D706" s="47">
        <f t="shared" ca="1" si="91"/>
        <v>1253495328.7843845</v>
      </c>
      <c r="E706" s="47">
        <f t="shared" ca="1" si="92"/>
        <v>9527707987153.8828</v>
      </c>
      <c r="F706" s="47">
        <f t="shared" ca="1" si="93"/>
        <v>995938052971.79309</v>
      </c>
      <c r="G706" s="47">
        <f t="shared" ca="1" si="94"/>
        <v>63184813545913.656</v>
      </c>
      <c r="H706" s="47">
        <f t="shared" ca="1" si="95"/>
        <v>9527707987153.8828</v>
      </c>
      <c r="I706" s="47">
        <f t="shared" ca="1" si="96"/>
        <v>6778579020666.5625</v>
      </c>
      <c r="J706" s="47">
        <f t="shared" ca="1" si="97"/>
        <v>881002899571.81531</v>
      </c>
      <c r="K706" s="48">
        <f t="shared" ca="1" si="98"/>
        <v>7.6941619873908307</v>
      </c>
    </row>
    <row r="707" spans="2:11" ht="15" customHeight="1" x14ac:dyDescent="0.35">
      <c r="B707" s="5">
        <v>686</v>
      </c>
      <c r="C707" s="46">
        <f t="shared" ca="1" si="90"/>
        <v>2.7664890936101711</v>
      </c>
      <c r="D707" s="47">
        <f t="shared" ca="1" si="91"/>
        <v>3614440425.6038289</v>
      </c>
      <c r="E707" s="47">
        <f t="shared" ca="1" si="92"/>
        <v>25883642350583.078</v>
      </c>
      <c r="F707" s="47">
        <f t="shared" ca="1" si="93"/>
        <v>4146398325048.5737</v>
      </c>
      <c r="G707" s="47">
        <f t="shared" ca="1" si="94"/>
        <v>4836854495550.0742</v>
      </c>
      <c r="H707" s="47">
        <f t="shared" ca="1" si="95"/>
        <v>25883642350583.078</v>
      </c>
      <c r="I707" s="47">
        <f t="shared" ca="1" si="96"/>
        <v>1146996095642.8762</v>
      </c>
      <c r="J707" s="47">
        <f t="shared" ca="1" si="97"/>
        <v>776360670264.42993</v>
      </c>
      <c r="K707" s="48">
        <f t="shared" ca="1" si="98"/>
        <v>1.4774010837671712</v>
      </c>
    </row>
    <row r="708" spans="2:11" ht="15" customHeight="1" x14ac:dyDescent="0.35">
      <c r="B708" s="5">
        <v>687</v>
      </c>
      <c r="C708" s="46">
        <f t="shared" ca="1" si="90"/>
        <v>2.8432945059755519</v>
      </c>
      <c r="D708" s="47">
        <f t="shared" ca="1" si="91"/>
        <v>4270953482.5045066</v>
      </c>
      <c r="E708" s="47">
        <f t="shared" ca="1" si="92"/>
        <v>14144233390387.875</v>
      </c>
      <c r="F708" s="47">
        <f t="shared" ca="1" si="93"/>
        <v>3724960378019.4878</v>
      </c>
      <c r="G708" s="47">
        <f t="shared" ca="1" si="94"/>
        <v>46479322768797.766</v>
      </c>
      <c r="H708" s="47">
        <f t="shared" ca="1" si="95"/>
        <v>3724960378019.4878</v>
      </c>
      <c r="I708" s="47">
        <f t="shared" ca="1" si="96"/>
        <v>11521350155531.084</v>
      </c>
      <c r="J708" s="47">
        <f t="shared" ca="1" si="97"/>
        <v>2009103354034.21</v>
      </c>
      <c r="K708" s="48">
        <f t="shared" ca="1" si="98"/>
        <v>5.7345731529423869</v>
      </c>
    </row>
    <row r="709" spans="2:11" ht="15" customHeight="1" x14ac:dyDescent="0.35">
      <c r="B709" s="5">
        <v>688</v>
      </c>
      <c r="C709" s="46">
        <f t="shared" ca="1" si="90"/>
        <v>3.5916154867736623</v>
      </c>
      <c r="D709" s="47">
        <f t="shared" ca="1" si="91"/>
        <v>11344243790.467661</v>
      </c>
      <c r="E709" s="47">
        <f t="shared" ca="1" si="92"/>
        <v>15061528633568.395</v>
      </c>
      <c r="F709" s="47">
        <f t="shared" ca="1" si="93"/>
        <v>5937247771059.4287</v>
      </c>
      <c r="G709" s="47">
        <f t="shared" ca="1" si="94"/>
        <v>19392418671555.609</v>
      </c>
      <c r="H709" s="47">
        <f t="shared" ca="1" si="95"/>
        <v>5937247771059.4287</v>
      </c>
      <c r="I709" s="47">
        <f t="shared" ca="1" si="96"/>
        <v>6166957568431.0156</v>
      </c>
      <c r="J709" s="47">
        <f t="shared" ca="1" si="97"/>
        <v>2069777702476.7681</v>
      </c>
      <c r="K709" s="48">
        <f t="shared" ca="1" si="98"/>
        <v>2.9795265264725868</v>
      </c>
    </row>
    <row r="710" spans="2:11" ht="15" customHeight="1" x14ac:dyDescent="0.35">
      <c r="B710" s="5">
        <v>689</v>
      </c>
      <c r="C710" s="46">
        <f t="shared" ca="1" si="90"/>
        <v>2.6421404490339291</v>
      </c>
      <c r="D710" s="47">
        <f t="shared" ca="1" si="91"/>
        <v>2713699165.1449184</v>
      </c>
      <c r="E710" s="47">
        <f t="shared" ca="1" si="92"/>
        <v>13781118076445.066</v>
      </c>
      <c r="F710" s="47">
        <f t="shared" ca="1" si="93"/>
        <v>5076827239433.5117</v>
      </c>
      <c r="G710" s="47">
        <f t="shared" ca="1" si="94"/>
        <v>16506398090499.902</v>
      </c>
      <c r="H710" s="47">
        <f t="shared" ca="1" si="95"/>
        <v>16506398090499.902</v>
      </c>
      <c r="I710" s="47">
        <f t="shared" ca="1" si="96"/>
        <v>7518955943272.9717</v>
      </c>
      <c r="J710" s="47">
        <f t="shared" ca="1" si="97"/>
        <v>1876190139497.865</v>
      </c>
      <c r="K710" s="48">
        <f t="shared" ca="1" si="98"/>
        <v>4.0075660696550246</v>
      </c>
    </row>
    <row r="711" spans="2:11" ht="15" customHeight="1" x14ac:dyDescent="0.35">
      <c r="B711" s="5">
        <v>690</v>
      </c>
      <c r="C711" s="46">
        <f t="shared" ca="1" si="90"/>
        <v>2.1134669887318012</v>
      </c>
      <c r="D711" s="47">
        <f t="shared" ca="1" si="91"/>
        <v>1006203945.5928918</v>
      </c>
      <c r="E711" s="47">
        <f t="shared" ca="1" si="92"/>
        <v>2604614353405.9771</v>
      </c>
      <c r="F711" s="47">
        <f t="shared" ca="1" si="93"/>
        <v>796751354578.42261</v>
      </c>
      <c r="G711" s="47">
        <f t="shared" ca="1" si="94"/>
        <v>2998970072910.2417</v>
      </c>
      <c r="H711" s="47">
        <f t="shared" ca="1" si="95"/>
        <v>796751354578.42261</v>
      </c>
      <c r="I711" s="47">
        <f t="shared" ca="1" si="96"/>
        <v>14420621206142.904</v>
      </c>
      <c r="J711" s="47">
        <f t="shared" ca="1" si="97"/>
        <v>1580262700752.1816</v>
      </c>
      <c r="K711" s="48">
        <f t="shared" ca="1" si="98"/>
        <v>9.1254581907672065</v>
      </c>
    </row>
    <row r="712" spans="2:11" ht="15" customHeight="1" x14ac:dyDescent="0.35">
      <c r="B712" s="5">
        <v>691</v>
      </c>
      <c r="C712" s="46">
        <f t="shared" ca="1" si="90"/>
        <v>2.6973106088876504</v>
      </c>
      <c r="D712" s="47">
        <f t="shared" ca="1" si="91"/>
        <v>3330030599.9519491</v>
      </c>
      <c r="E712" s="47">
        <f t="shared" ca="1" si="92"/>
        <v>10379828208175.422</v>
      </c>
      <c r="F712" s="47">
        <f t="shared" ca="1" si="93"/>
        <v>1396186211072.1475</v>
      </c>
      <c r="G712" s="47">
        <f t="shared" ca="1" si="94"/>
        <v>16413900767403.176</v>
      </c>
      <c r="H712" s="47">
        <f t="shared" ca="1" si="95"/>
        <v>1396186211072.1475</v>
      </c>
      <c r="I712" s="47">
        <f t="shared" ca="1" si="96"/>
        <v>14386163263212.787</v>
      </c>
      <c r="J712" s="47">
        <f t="shared" ca="1" si="97"/>
        <v>1761773856884.3979</v>
      </c>
      <c r="K712" s="48">
        <f t="shared" ca="1" si="98"/>
        <v>8.1657263825301278</v>
      </c>
    </row>
    <row r="713" spans="2:11" ht="15" customHeight="1" x14ac:dyDescent="0.35">
      <c r="B713" s="5">
        <v>692</v>
      </c>
      <c r="C713" s="46">
        <f t="shared" ca="1" si="90"/>
        <v>3.1174001198236478</v>
      </c>
      <c r="D713" s="47">
        <f t="shared" ca="1" si="91"/>
        <v>5185787130.0131102</v>
      </c>
      <c r="E713" s="47">
        <f t="shared" ca="1" si="92"/>
        <v>30370962482388.664</v>
      </c>
      <c r="F713" s="47">
        <f t="shared" ca="1" si="93"/>
        <v>10928708586939.15</v>
      </c>
      <c r="G713" s="47">
        <f t="shared" ca="1" si="94"/>
        <v>1414690415423.5559</v>
      </c>
      <c r="H713" s="47">
        <f t="shared" ca="1" si="95"/>
        <v>1414690415423.5559</v>
      </c>
      <c r="I713" s="47">
        <f t="shared" ca="1" si="96"/>
        <v>15065114573491.834</v>
      </c>
      <c r="J713" s="47">
        <f t="shared" ca="1" si="97"/>
        <v>1608176309372.9697</v>
      </c>
      <c r="K713" s="48">
        <f t="shared" ca="1" si="98"/>
        <v>9.3678252102630122</v>
      </c>
    </row>
    <row r="714" spans="2:11" ht="15" customHeight="1" x14ac:dyDescent="0.35">
      <c r="B714" s="5">
        <v>693</v>
      </c>
      <c r="C714" s="46">
        <f t="shared" ca="1" si="90"/>
        <v>3.3272406699063248</v>
      </c>
      <c r="D714" s="47">
        <f t="shared" ca="1" si="91"/>
        <v>9750561615.1427174</v>
      </c>
      <c r="E714" s="47">
        <f t="shared" ca="1" si="92"/>
        <v>41603343759614.609</v>
      </c>
      <c r="F714" s="47">
        <f t="shared" ca="1" si="93"/>
        <v>3097733341386.4839</v>
      </c>
      <c r="G714" s="47">
        <f t="shared" ca="1" si="94"/>
        <v>8814588830329.6758</v>
      </c>
      <c r="H714" s="47">
        <f t="shared" ca="1" si="95"/>
        <v>41603343759614.609</v>
      </c>
      <c r="I714" s="47">
        <f t="shared" ca="1" si="96"/>
        <v>6122515887354.2441</v>
      </c>
      <c r="J714" s="47">
        <f t="shared" ca="1" si="97"/>
        <v>1509244034096.5229</v>
      </c>
      <c r="K714" s="48">
        <f t="shared" ca="1" si="98"/>
        <v>4.056677216563827</v>
      </c>
    </row>
    <row r="715" spans="2:11" ht="15" customHeight="1" x14ac:dyDescent="0.35">
      <c r="B715" s="5">
        <v>694</v>
      </c>
      <c r="C715" s="46">
        <f t="shared" ca="1" si="90"/>
        <v>2.4733045865663414</v>
      </c>
      <c r="D715" s="47">
        <f t="shared" ca="1" si="91"/>
        <v>2029523284.4730978</v>
      </c>
      <c r="E715" s="47">
        <f t="shared" ca="1" si="92"/>
        <v>6793115269283.1074</v>
      </c>
      <c r="F715" s="47">
        <f t="shared" ca="1" si="93"/>
        <v>901467086657.80701</v>
      </c>
      <c r="G715" s="47">
        <f t="shared" ca="1" si="94"/>
        <v>13628376255848.016</v>
      </c>
      <c r="H715" s="47">
        <f t="shared" ca="1" si="95"/>
        <v>13628376255848.016</v>
      </c>
      <c r="I715" s="47">
        <f t="shared" ca="1" si="96"/>
        <v>18033071415707.746</v>
      </c>
      <c r="J715" s="47">
        <f t="shared" ca="1" si="97"/>
        <v>692024127851.06213</v>
      </c>
      <c r="K715" s="48">
        <f t="shared" ca="1" si="98"/>
        <v>26.058443181317568</v>
      </c>
    </row>
    <row r="716" spans="2:11" ht="15" customHeight="1" x14ac:dyDescent="0.35">
      <c r="B716" s="5">
        <v>695</v>
      </c>
      <c r="C716" s="46">
        <f t="shared" ca="1" si="90"/>
        <v>2.629420752038635</v>
      </c>
      <c r="D716" s="47">
        <f t="shared" ca="1" si="91"/>
        <v>2111350594.065613</v>
      </c>
      <c r="E716" s="47">
        <f t="shared" ca="1" si="92"/>
        <v>3099337850376.0791</v>
      </c>
      <c r="F716" s="47">
        <f t="shared" ca="1" si="93"/>
        <v>442185863350.83923</v>
      </c>
      <c r="G716" s="47">
        <f t="shared" ca="1" si="94"/>
        <v>5019834937879.833</v>
      </c>
      <c r="H716" s="47">
        <f t="shared" ca="1" si="95"/>
        <v>442185863350.83923</v>
      </c>
      <c r="I716" s="47">
        <f t="shared" ca="1" si="96"/>
        <v>2072348761485.1882</v>
      </c>
      <c r="J716" s="47">
        <f t="shared" ca="1" si="97"/>
        <v>1868492678864.1572</v>
      </c>
      <c r="K716" s="48">
        <f t="shared" ca="1" si="98"/>
        <v>1.1091018899495788</v>
      </c>
    </row>
    <row r="717" spans="2:11" ht="15" customHeight="1" x14ac:dyDescent="0.35">
      <c r="B717" s="5">
        <v>696</v>
      </c>
      <c r="C717" s="46">
        <f t="shared" ca="1" si="90"/>
        <v>2.6414319304870522</v>
      </c>
      <c r="D717" s="47">
        <f t="shared" ca="1" si="91"/>
        <v>2392850740.7682743</v>
      </c>
      <c r="E717" s="47">
        <f t="shared" ca="1" si="92"/>
        <v>6889062732225.0127</v>
      </c>
      <c r="F717" s="47">
        <f t="shared" ca="1" si="93"/>
        <v>3487102677874.9443</v>
      </c>
      <c r="G717" s="47">
        <f t="shared" ca="1" si="94"/>
        <v>6004913406594.5293</v>
      </c>
      <c r="H717" s="47">
        <f t="shared" ca="1" si="95"/>
        <v>3487102677874.9443</v>
      </c>
      <c r="I717" s="47">
        <f t="shared" ca="1" si="96"/>
        <v>12735005392780.926</v>
      </c>
      <c r="J717" s="47">
        <f t="shared" ca="1" si="97"/>
        <v>803648429921.44128</v>
      </c>
      <c r="K717" s="48">
        <f t="shared" ca="1" si="98"/>
        <v>15.846488238676464</v>
      </c>
    </row>
    <row r="718" spans="2:11" ht="15" customHeight="1" x14ac:dyDescent="0.35">
      <c r="B718" s="5">
        <v>697</v>
      </c>
      <c r="C718" s="46">
        <f t="shared" ca="1" si="90"/>
        <v>3.2961968697286581</v>
      </c>
      <c r="D718" s="47">
        <f t="shared" ca="1" si="91"/>
        <v>6525330770.4188013</v>
      </c>
      <c r="E718" s="47">
        <f t="shared" ca="1" si="92"/>
        <v>25082874248808.617</v>
      </c>
      <c r="F718" s="47">
        <f t="shared" ca="1" si="93"/>
        <v>943619971885.41565</v>
      </c>
      <c r="G718" s="47">
        <f t="shared" ca="1" si="94"/>
        <v>45987440675936.805</v>
      </c>
      <c r="H718" s="47">
        <f t="shared" ca="1" si="95"/>
        <v>943619971885.41565</v>
      </c>
      <c r="I718" s="47">
        <f t="shared" ca="1" si="96"/>
        <v>2807275329606.8418</v>
      </c>
      <c r="J718" s="47">
        <f t="shared" ca="1" si="97"/>
        <v>2471816215472.8535</v>
      </c>
      <c r="K718" s="48">
        <f t="shared" ca="1" si="98"/>
        <v>1.1357136149662388</v>
      </c>
    </row>
    <row r="719" spans="2:11" ht="15" customHeight="1" x14ac:dyDescent="0.35">
      <c r="B719" s="5">
        <v>698</v>
      </c>
      <c r="C719" s="46">
        <f t="shared" ca="1" si="90"/>
        <v>2.6981881869840421</v>
      </c>
      <c r="D719" s="47">
        <f t="shared" ca="1" si="91"/>
        <v>3238280007.7490678</v>
      </c>
      <c r="E719" s="47">
        <f t="shared" ca="1" si="92"/>
        <v>7733804371834.3721</v>
      </c>
      <c r="F719" s="47">
        <f t="shared" ca="1" si="93"/>
        <v>3197601807221.1929</v>
      </c>
      <c r="G719" s="47">
        <f t="shared" ca="1" si="94"/>
        <v>1825164884154.8892</v>
      </c>
      <c r="H719" s="47">
        <f t="shared" ca="1" si="95"/>
        <v>7733804371834.3721</v>
      </c>
      <c r="I719" s="47">
        <f t="shared" ca="1" si="96"/>
        <v>209114786232373.72</v>
      </c>
      <c r="J719" s="47">
        <f t="shared" ca="1" si="97"/>
        <v>488352125373.89423</v>
      </c>
      <c r="K719" s="48">
        <f t="shared" ca="1" si="98"/>
        <v>428.20492707443503</v>
      </c>
    </row>
    <row r="720" spans="2:11" ht="15" customHeight="1" x14ac:dyDescent="0.35">
      <c r="B720" s="5">
        <v>699</v>
      </c>
      <c r="C720" s="46">
        <f t="shared" ca="1" si="90"/>
        <v>1.9563404790521779</v>
      </c>
      <c r="D720" s="47">
        <f t="shared" ca="1" si="91"/>
        <v>622303423.64247179</v>
      </c>
      <c r="E720" s="47">
        <f t="shared" ca="1" si="92"/>
        <v>5095514452715.2129</v>
      </c>
      <c r="F720" s="47">
        <f t="shared" ca="1" si="93"/>
        <v>4805632276832.1074</v>
      </c>
      <c r="G720" s="47">
        <f t="shared" ca="1" si="94"/>
        <v>1537089757120.9871</v>
      </c>
      <c r="H720" s="47">
        <f t="shared" ca="1" si="95"/>
        <v>4805632276832.1074</v>
      </c>
      <c r="I720" s="47">
        <f t="shared" ca="1" si="96"/>
        <v>3118050967821.0322</v>
      </c>
      <c r="J720" s="47">
        <f t="shared" ca="1" si="97"/>
        <v>1311081732509.9746</v>
      </c>
      <c r="K720" s="48">
        <f t="shared" ca="1" si="98"/>
        <v>2.3782277569009684</v>
      </c>
    </row>
    <row r="721" spans="2:11" ht="15" customHeight="1" x14ac:dyDescent="0.35">
      <c r="B721" s="5">
        <v>700</v>
      </c>
      <c r="C721" s="46">
        <f t="shared" ca="1" si="90"/>
        <v>3.9110860322791945</v>
      </c>
      <c r="D721" s="47">
        <f t="shared" ca="1" si="91"/>
        <v>20539103691.317688</v>
      </c>
      <c r="E721" s="47">
        <f t="shared" ca="1" si="92"/>
        <v>48295157442505.406</v>
      </c>
      <c r="F721" s="47">
        <f t="shared" ca="1" si="93"/>
        <v>3135759128498.2349</v>
      </c>
      <c r="G721" s="47">
        <f t="shared" ca="1" si="94"/>
        <v>286475827233.16199</v>
      </c>
      <c r="H721" s="47">
        <f t="shared" ca="1" si="95"/>
        <v>286475827233.16199</v>
      </c>
      <c r="I721" s="47">
        <f t="shared" ca="1" si="96"/>
        <v>7084830337718.4902</v>
      </c>
      <c r="J721" s="47">
        <f t="shared" ca="1" si="97"/>
        <v>1792952570165.5247</v>
      </c>
      <c r="K721" s="48">
        <f t="shared" ca="1" si="98"/>
        <v>3.9514878729136833</v>
      </c>
    </row>
    <row r="722" spans="2:11" ht="15" customHeight="1" x14ac:dyDescent="0.35">
      <c r="B722" s="5">
        <v>701</v>
      </c>
      <c r="C722" s="46">
        <f t="shared" ca="1" si="90"/>
        <v>2.5294912821929527</v>
      </c>
      <c r="D722" s="47">
        <f t="shared" ca="1" si="91"/>
        <v>1869185265.3467271</v>
      </c>
      <c r="E722" s="47">
        <f t="shared" ca="1" si="92"/>
        <v>5743498902605.9072</v>
      </c>
      <c r="F722" s="47">
        <f t="shared" ca="1" si="93"/>
        <v>8624127535237.1094</v>
      </c>
      <c r="G722" s="47">
        <f t="shared" ca="1" si="94"/>
        <v>3264070240766.9546</v>
      </c>
      <c r="H722" s="47">
        <f t="shared" ca="1" si="95"/>
        <v>8624127535237.1094</v>
      </c>
      <c r="I722" s="47">
        <f t="shared" ca="1" si="96"/>
        <v>12352464740666.533</v>
      </c>
      <c r="J722" s="47">
        <f t="shared" ca="1" si="97"/>
        <v>1763371760001.2922</v>
      </c>
      <c r="K722" s="48">
        <f t="shared" ca="1" si="98"/>
        <v>7.0050258379194421</v>
      </c>
    </row>
    <row r="723" spans="2:11" ht="15" customHeight="1" x14ac:dyDescent="0.35">
      <c r="B723" s="5">
        <v>702</v>
      </c>
      <c r="C723" s="46">
        <f t="shared" ca="1" si="90"/>
        <v>3.3930074481569665</v>
      </c>
      <c r="D723" s="47">
        <f t="shared" ca="1" si="91"/>
        <v>8123943973.8635054</v>
      </c>
      <c r="E723" s="47">
        <f t="shared" ca="1" si="92"/>
        <v>5918552868233.6953</v>
      </c>
      <c r="F723" s="47">
        <f t="shared" ca="1" si="93"/>
        <v>4950715921162.3047</v>
      </c>
      <c r="G723" s="47">
        <f t="shared" ca="1" si="94"/>
        <v>3147723987496.5869</v>
      </c>
      <c r="H723" s="47">
        <f t="shared" ca="1" si="95"/>
        <v>4950715921162.3047</v>
      </c>
      <c r="I723" s="47">
        <f t="shared" ca="1" si="96"/>
        <v>34129300525708.625</v>
      </c>
      <c r="J723" s="47">
        <f t="shared" ca="1" si="97"/>
        <v>1890177298276.1272</v>
      </c>
      <c r="K723" s="48">
        <f t="shared" ca="1" si="98"/>
        <v>18.056137144825044</v>
      </c>
    </row>
    <row r="724" spans="2:11" ht="15" customHeight="1" x14ac:dyDescent="0.35">
      <c r="B724" s="5">
        <v>703</v>
      </c>
      <c r="C724" s="46">
        <f t="shared" ca="1" si="90"/>
        <v>2.5123850378872223</v>
      </c>
      <c r="D724" s="47">
        <f t="shared" ca="1" si="91"/>
        <v>2177516938.9110866</v>
      </c>
      <c r="E724" s="47">
        <f t="shared" ca="1" si="92"/>
        <v>3011991837176.0542</v>
      </c>
      <c r="F724" s="47">
        <f t="shared" ca="1" si="93"/>
        <v>5640043069243.4531</v>
      </c>
      <c r="G724" s="47">
        <f t="shared" ca="1" si="94"/>
        <v>1501406192866.5574</v>
      </c>
      <c r="H724" s="47">
        <f t="shared" ca="1" si="95"/>
        <v>3011991837176.0542</v>
      </c>
      <c r="I724" s="47">
        <f t="shared" ca="1" si="96"/>
        <v>1068487977170.2355</v>
      </c>
      <c r="J724" s="47">
        <f t="shared" ca="1" si="97"/>
        <v>2419593078762.7949</v>
      </c>
      <c r="K724" s="48">
        <f t="shared" ca="1" si="98"/>
        <v>0.44159821192602478</v>
      </c>
    </row>
    <row r="725" spans="2:11" ht="15" customHeight="1" x14ac:dyDescent="0.35">
      <c r="B725" s="5">
        <v>704</v>
      </c>
      <c r="C725" s="46">
        <f t="shared" ca="1" si="90"/>
        <v>3.7230877322010736</v>
      </c>
      <c r="D725" s="47">
        <f t="shared" ca="1" si="91"/>
        <v>14409877631.858883</v>
      </c>
      <c r="E725" s="47">
        <f t="shared" ca="1" si="92"/>
        <v>20082636886283.43</v>
      </c>
      <c r="F725" s="47">
        <f t="shared" ca="1" si="93"/>
        <v>4054850001225.1421</v>
      </c>
      <c r="G725" s="47">
        <f t="shared" ca="1" si="94"/>
        <v>47341136005641.188</v>
      </c>
      <c r="H725" s="47">
        <f t="shared" ca="1" si="95"/>
        <v>20082636886283.43</v>
      </c>
      <c r="I725" s="47">
        <f t="shared" ca="1" si="96"/>
        <v>22497579210969.379</v>
      </c>
      <c r="J725" s="47">
        <f t="shared" ca="1" si="97"/>
        <v>1086351539429.7463</v>
      </c>
      <c r="K725" s="48">
        <f t="shared" ca="1" si="98"/>
        <v>20.709299333049163</v>
      </c>
    </row>
    <row r="726" spans="2:11" ht="15" customHeight="1" x14ac:dyDescent="0.35">
      <c r="B726" s="5">
        <v>705</v>
      </c>
      <c r="C726" s="46">
        <f t="shared" ref="C726:C789" ca="1" si="99">MEDIAN(1.8,NORMINV(RAND(),$C$7,$D$7),4.5)</f>
        <v>3.1782498865172775</v>
      </c>
      <c r="D726" s="47">
        <f t="shared" ref="D726:D789" ca="1" si="100">($C$8+RAND()*($D$8-$C$8))*C726^5</f>
        <v>6881466266.9885731</v>
      </c>
      <c r="E726" s="47">
        <f t="shared" ref="E726:E789" ca="1" si="101">D726*($C$10+RAND()*($D$10-$C$10))*EXP(NORMINV(RAND(),$C$9,$D$9))*($C$11+RAND()*($D$11-$C$11))</f>
        <v>18632089119056.258</v>
      </c>
      <c r="F726" s="47">
        <f t="shared" ref="F726:F789" ca="1" si="102">EXP(NORMINV(RAND(),$C$12,$D$12))*EXP(NORMINV(RAND(),$C$13,$D$13))</f>
        <v>1305136943613.7026</v>
      </c>
      <c r="G726" s="47">
        <f t="shared" ref="G726:G789" ca="1" si="103">EXP(NORMINV(RAND(),$C$14,$D$14))*($C$15+RAND()*($D$15-$C$15))*EXP(NORMINV(RAND(),$C$16,$D$16))/1000000*31536000</f>
        <v>2183498680920.5544</v>
      </c>
      <c r="H726" s="47">
        <f t="shared" ref="H726:H789" ca="1" si="104">CHOOSE(RANDBETWEEN(1,3),E726,F726,G726)</f>
        <v>2183498680920.5544</v>
      </c>
      <c r="I726" s="47">
        <f t="shared" ref="I726:I789" ca="1" si="105">EXP(NORMINV(RAND(),$C$14,$D$14))*($C$15+RAND()*($D$15-$C$15))*60</f>
        <v>4324479884372.6768</v>
      </c>
      <c r="J726" s="47">
        <f t="shared" ref="J726:J789" ca="1" si="106">($C$17+RAND()*($D$17-$C$17))*($C$18+RAND()*($D$18-$C$18))</f>
        <v>1163570709682.7957</v>
      </c>
      <c r="K726" s="48">
        <f t="shared" ref="K726:K789" ca="1" si="107">I726/J726</f>
        <v>3.7165595940031748</v>
      </c>
    </row>
    <row r="727" spans="2:11" ht="15" customHeight="1" x14ac:dyDescent="0.35">
      <c r="B727" s="5">
        <v>706</v>
      </c>
      <c r="C727" s="46">
        <f t="shared" ca="1" si="99"/>
        <v>2.6823274879822532</v>
      </c>
      <c r="D727" s="47">
        <f t="shared" ca="1" si="100"/>
        <v>2403993802.1586747</v>
      </c>
      <c r="E727" s="47">
        <f t="shared" ca="1" si="101"/>
        <v>3608735502199.8584</v>
      </c>
      <c r="F727" s="47">
        <f t="shared" ca="1" si="102"/>
        <v>13325142215968.092</v>
      </c>
      <c r="G727" s="47">
        <f t="shared" ca="1" si="103"/>
        <v>13497312632133.828</v>
      </c>
      <c r="H727" s="47">
        <f t="shared" ca="1" si="104"/>
        <v>3608735502199.8584</v>
      </c>
      <c r="I727" s="47">
        <f t="shared" ca="1" si="105"/>
        <v>6729315781495.9609</v>
      </c>
      <c r="J727" s="47">
        <f t="shared" ca="1" si="106"/>
        <v>2223793074287.6548</v>
      </c>
      <c r="K727" s="48">
        <f t="shared" ca="1" si="107"/>
        <v>3.0260530349261723</v>
      </c>
    </row>
    <row r="728" spans="2:11" ht="15" customHeight="1" x14ac:dyDescent="0.35">
      <c r="B728" s="5">
        <v>707</v>
      </c>
      <c r="C728" s="46">
        <f t="shared" ca="1" si="99"/>
        <v>2.7386066887804077</v>
      </c>
      <c r="D728" s="47">
        <f t="shared" ca="1" si="100"/>
        <v>2896406827.5569448</v>
      </c>
      <c r="E728" s="47">
        <f t="shared" ca="1" si="101"/>
        <v>5969070082309.0205</v>
      </c>
      <c r="F728" s="47">
        <f t="shared" ca="1" si="102"/>
        <v>4772509552623.8369</v>
      </c>
      <c r="G728" s="47">
        <f t="shared" ca="1" si="103"/>
        <v>923574546407.65894</v>
      </c>
      <c r="H728" s="47">
        <f t="shared" ca="1" si="104"/>
        <v>923574546407.65894</v>
      </c>
      <c r="I728" s="47">
        <f t="shared" ca="1" si="105"/>
        <v>2550859713791.27</v>
      </c>
      <c r="J728" s="47">
        <f t="shared" ca="1" si="106"/>
        <v>1023601643734.7611</v>
      </c>
      <c r="K728" s="48">
        <f t="shared" ca="1" si="107"/>
        <v>2.4920433934475557</v>
      </c>
    </row>
    <row r="729" spans="2:11" ht="15" customHeight="1" x14ac:dyDescent="0.35">
      <c r="B729" s="5">
        <v>708</v>
      </c>
      <c r="C729" s="46">
        <f t="shared" ca="1" si="99"/>
        <v>3.549899954546166</v>
      </c>
      <c r="D729" s="47">
        <f t="shared" ca="1" si="100"/>
        <v>9863785649.0416298</v>
      </c>
      <c r="E729" s="47">
        <f t="shared" ca="1" si="101"/>
        <v>26293882023731.02</v>
      </c>
      <c r="F729" s="47">
        <f t="shared" ca="1" si="102"/>
        <v>2677884195641.708</v>
      </c>
      <c r="G729" s="47">
        <f t="shared" ca="1" si="103"/>
        <v>46214347438146.734</v>
      </c>
      <c r="H729" s="47">
        <f t="shared" ca="1" si="104"/>
        <v>46214347438146.734</v>
      </c>
      <c r="I729" s="47">
        <f t="shared" ca="1" si="105"/>
        <v>4531913669422.9307</v>
      </c>
      <c r="J729" s="47">
        <f t="shared" ca="1" si="106"/>
        <v>1898818364961.4226</v>
      </c>
      <c r="K729" s="48">
        <f t="shared" ca="1" si="107"/>
        <v>2.3867020422013896</v>
      </c>
    </row>
    <row r="730" spans="2:11" ht="15" customHeight="1" x14ac:dyDescent="0.35">
      <c r="B730" s="5">
        <v>709</v>
      </c>
      <c r="C730" s="46">
        <f t="shared" ca="1" si="99"/>
        <v>3.3804451740608679</v>
      </c>
      <c r="D730" s="47">
        <f t="shared" ca="1" si="100"/>
        <v>9994431339.0872211</v>
      </c>
      <c r="E730" s="47">
        <f t="shared" ca="1" si="101"/>
        <v>37123078981110.219</v>
      </c>
      <c r="F730" s="47">
        <f t="shared" ca="1" si="102"/>
        <v>568343776003.7655</v>
      </c>
      <c r="G730" s="47">
        <f t="shared" ca="1" si="103"/>
        <v>890529266060.64282</v>
      </c>
      <c r="H730" s="47">
        <f t="shared" ca="1" si="104"/>
        <v>568343776003.7655</v>
      </c>
      <c r="I730" s="47">
        <f t="shared" ca="1" si="105"/>
        <v>22529092717288.219</v>
      </c>
      <c r="J730" s="47">
        <f t="shared" ca="1" si="106"/>
        <v>1236266383310.2656</v>
      </c>
      <c r="K730" s="48">
        <f t="shared" ca="1" si="107"/>
        <v>18.22349375622721</v>
      </c>
    </row>
    <row r="731" spans="2:11" ht="15" customHeight="1" x14ac:dyDescent="0.35">
      <c r="B731" s="5">
        <v>710</v>
      </c>
      <c r="C731" s="46">
        <f t="shared" ca="1" si="99"/>
        <v>3.4218975893637653</v>
      </c>
      <c r="D731" s="47">
        <f t="shared" ca="1" si="100"/>
        <v>10424262671.329128</v>
      </c>
      <c r="E731" s="47">
        <f t="shared" ca="1" si="101"/>
        <v>24579012754454.629</v>
      </c>
      <c r="F731" s="47">
        <f t="shared" ca="1" si="102"/>
        <v>3587793542714.8057</v>
      </c>
      <c r="G731" s="47">
        <f t="shared" ca="1" si="103"/>
        <v>53553723225301.922</v>
      </c>
      <c r="H731" s="47">
        <f t="shared" ca="1" si="104"/>
        <v>3587793542714.8057</v>
      </c>
      <c r="I731" s="47">
        <f t="shared" ca="1" si="105"/>
        <v>13054118774867.547</v>
      </c>
      <c r="J731" s="47">
        <f t="shared" ca="1" si="106"/>
        <v>825684841279.37061</v>
      </c>
      <c r="K731" s="48">
        <f t="shared" ca="1" si="107"/>
        <v>15.810050181665723</v>
      </c>
    </row>
    <row r="732" spans="2:11" ht="15" customHeight="1" x14ac:dyDescent="0.35">
      <c r="B732" s="5">
        <v>711</v>
      </c>
      <c r="C732" s="46">
        <f t="shared" ca="1" si="99"/>
        <v>2.5838643984032958</v>
      </c>
      <c r="D732" s="47">
        <f t="shared" ca="1" si="100"/>
        <v>2461211097.4646082</v>
      </c>
      <c r="E732" s="47">
        <f t="shared" ca="1" si="101"/>
        <v>33194659234806.074</v>
      </c>
      <c r="F732" s="47">
        <f t="shared" ca="1" si="102"/>
        <v>9574763221833.6777</v>
      </c>
      <c r="G732" s="47">
        <f t="shared" ca="1" si="103"/>
        <v>11845033545151.371</v>
      </c>
      <c r="H732" s="47">
        <f t="shared" ca="1" si="104"/>
        <v>33194659234806.074</v>
      </c>
      <c r="I732" s="47">
        <f t="shared" ca="1" si="105"/>
        <v>45948123682646.18</v>
      </c>
      <c r="J732" s="47">
        <f t="shared" ca="1" si="106"/>
        <v>2585347109857.5659</v>
      </c>
      <c r="K732" s="48">
        <f t="shared" ca="1" si="107"/>
        <v>17.77251631220134</v>
      </c>
    </row>
    <row r="733" spans="2:11" ht="15" customHeight="1" x14ac:dyDescent="0.35">
      <c r="B733" s="5">
        <v>712</v>
      </c>
      <c r="C733" s="46">
        <f t="shared" ca="1" si="99"/>
        <v>2.2489398423059201</v>
      </c>
      <c r="D733" s="47">
        <f t="shared" ca="1" si="100"/>
        <v>968321131.7324847</v>
      </c>
      <c r="E733" s="47">
        <f t="shared" ca="1" si="101"/>
        <v>1224744689093.2815</v>
      </c>
      <c r="F733" s="47">
        <f t="shared" ca="1" si="102"/>
        <v>1840441776125.8652</v>
      </c>
      <c r="G733" s="47">
        <f t="shared" ca="1" si="103"/>
        <v>16282482309952.336</v>
      </c>
      <c r="H733" s="47">
        <f t="shared" ca="1" si="104"/>
        <v>1840441776125.8652</v>
      </c>
      <c r="I733" s="47">
        <f t="shared" ca="1" si="105"/>
        <v>5757329499373.8496</v>
      </c>
      <c r="J733" s="47">
        <f t="shared" ca="1" si="106"/>
        <v>2665335102114.4941</v>
      </c>
      <c r="K733" s="48">
        <f t="shared" ca="1" si="107"/>
        <v>2.1600771680853108</v>
      </c>
    </row>
    <row r="734" spans="2:11" ht="15" customHeight="1" x14ac:dyDescent="0.35">
      <c r="B734" s="5">
        <v>713</v>
      </c>
      <c r="C734" s="46">
        <f t="shared" ca="1" si="99"/>
        <v>2.6286704957032128</v>
      </c>
      <c r="D734" s="47">
        <f t="shared" ca="1" si="100"/>
        <v>2073018842.4831734</v>
      </c>
      <c r="E734" s="47">
        <f t="shared" ca="1" si="101"/>
        <v>4907299761437.6016</v>
      </c>
      <c r="F734" s="47">
        <f t="shared" ca="1" si="102"/>
        <v>2526536879871.0938</v>
      </c>
      <c r="G734" s="47">
        <f t="shared" ca="1" si="103"/>
        <v>8562690750774.8018</v>
      </c>
      <c r="H734" s="47">
        <f t="shared" ca="1" si="104"/>
        <v>2526536879871.0938</v>
      </c>
      <c r="I734" s="47">
        <f t="shared" ca="1" si="105"/>
        <v>3288045333975.0864</v>
      </c>
      <c r="J734" s="47">
        <f t="shared" ca="1" si="106"/>
        <v>627812762289.17578</v>
      </c>
      <c r="K734" s="48">
        <f t="shared" ca="1" si="107"/>
        <v>5.2373024753207957</v>
      </c>
    </row>
    <row r="735" spans="2:11" ht="15" customHeight="1" x14ac:dyDescent="0.35">
      <c r="B735" s="5">
        <v>714</v>
      </c>
      <c r="C735" s="46">
        <f t="shared" ca="1" si="99"/>
        <v>3.445208214636033</v>
      </c>
      <c r="D735" s="47">
        <f t="shared" ca="1" si="100"/>
        <v>9260361811.4380512</v>
      </c>
      <c r="E735" s="47">
        <f t="shared" ca="1" si="101"/>
        <v>67855974188871.602</v>
      </c>
      <c r="F735" s="47">
        <f t="shared" ca="1" si="102"/>
        <v>4136421578610.3076</v>
      </c>
      <c r="G735" s="47">
        <f t="shared" ca="1" si="103"/>
        <v>2529874072430.0806</v>
      </c>
      <c r="H735" s="47">
        <f t="shared" ca="1" si="104"/>
        <v>2529874072430.0806</v>
      </c>
      <c r="I735" s="47">
        <f t="shared" ca="1" si="105"/>
        <v>21263977434946.336</v>
      </c>
      <c r="J735" s="47">
        <f t="shared" ca="1" si="106"/>
        <v>1960279758102.3596</v>
      </c>
      <c r="K735" s="48">
        <f t="shared" ca="1" si="107"/>
        <v>10.847419786413974</v>
      </c>
    </row>
    <row r="736" spans="2:11" ht="15" customHeight="1" x14ac:dyDescent="0.35">
      <c r="B736" s="5">
        <v>715</v>
      </c>
      <c r="C736" s="46">
        <f t="shared" ca="1" si="99"/>
        <v>2.7570377327254874</v>
      </c>
      <c r="D736" s="47">
        <f t="shared" ca="1" si="100"/>
        <v>3211271978.1582918</v>
      </c>
      <c r="E736" s="47">
        <f t="shared" ca="1" si="101"/>
        <v>9115944122822.543</v>
      </c>
      <c r="F736" s="47">
        <f t="shared" ca="1" si="102"/>
        <v>2842523810097.6187</v>
      </c>
      <c r="G736" s="47">
        <f t="shared" ca="1" si="103"/>
        <v>56544076887946.313</v>
      </c>
      <c r="H736" s="47">
        <f t="shared" ca="1" si="104"/>
        <v>56544076887946.313</v>
      </c>
      <c r="I736" s="47">
        <f t="shared" ca="1" si="105"/>
        <v>282906748621.11603</v>
      </c>
      <c r="J736" s="47">
        <f t="shared" ca="1" si="106"/>
        <v>1310017986049.1475</v>
      </c>
      <c r="K736" s="48">
        <f t="shared" ca="1" si="107"/>
        <v>0.21595638505264181</v>
      </c>
    </row>
    <row r="737" spans="2:11" ht="15" customHeight="1" x14ac:dyDescent="0.35">
      <c r="B737" s="5">
        <v>716</v>
      </c>
      <c r="C737" s="46">
        <f t="shared" ca="1" si="99"/>
        <v>2.0284538475014564</v>
      </c>
      <c r="D737" s="47">
        <f t="shared" ca="1" si="100"/>
        <v>582350740.46260452</v>
      </c>
      <c r="E737" s="47">
        <f t="shared" ca="1" si="101"/>
        <v>2026179472669.7004</v>
      </c>
      <c r="F737" s="47">
        <f t="shared" ca="1" si="102"/>
        <v>1020407139730.0336</v>
      </c>
      <c r="G737" s="47">
        <f t="shared" ca="1" si="103"/>
        <v>2348092578569.7861</v>
      </c>
      <c r="H737" s="47">
        <f t="shared" ca="1" si="104"/>
        <v>2026179472669.7004</v>
      </c>
      <c r="I737" s="47">
        <f t="shared" ca="1" si="105"/>
        <v>30914229523963.438</v>
      </c>
      <c r="J737" s="47">
        <f t="shared" ca="1" si="106"/>
        <v>1648769881739.657</v>
      </c>
      <c r="K737" s="48">
        <f t="shared" ca="1" si="107"/>
        <v>18.749875204746637</v>
      </c>
    </row>
    <row r="738" spans="2:11" ht="15" customHeight="1" x14ac:dyDescent="0.35">
      <c r="B738" s="5">
        <v>717</v>
      </c>
      <c r="C738" s="46">
        <f t="shared" ca="1" si="99"/>
        <v>2.3776042463541103</v>
      </c>
      <c r="D738" s="47">
        <f t="shared" ca="1" si="100"/>
        <v>1699353704.8247936</v>
      </c>
      <c r="E738" s="47">
        <f t="shared" ca="1" si="101"/>
        <v>16674774344479.332</v>
      </c>
      <c r="F738" s="47">
        <f t="shared" ca="1" si="102"/>
        <v>1178890369711.9004</v>
      </c>
      <c r="G738" s="47">
        <f t="shared" ca="1" si="103"/>
        <v>9051875168554.8281</v>
      </c>
      <c r="H738" s="47">
        <f t="shared" ca="1" si="104"/>
        <v>16674774344479.332</v>
      </c>
      <c r="I738" s="47">
        <f t="shared" ca="1" si="105"/>
        <v>13836964125618.477</v>
      </c>
      <c r="J738" s="47">
        <f t="shared" ca="1" si="106"/>
        <v>832797523778.17151</v>
      </c>
      <c r="K738" s="48">
        <f t="shared" ca="1" si="107"/>
        <v>16.615039947337987</v>
      </c>
    </row>
    <row r="739" spans="2:11" ht="15" customHeight="1" x14ac:dyDescent="0.35">
      <c r="B739" s="5">
        <v>718</v>
      </c>
      <c r="C739" s="46">
        <f t="shared" ca="1" si="99"/>
        <v>3.0952874212514536</v>
      </c>
      <c r="D739" s="47">
        <f t="shared" ca="1" si="100"/>
        <v>5961283709.1698713</v>
      </c>
      <c r="E739" s="47">
        <f t="shared" ca="1" si="101"/>
        <v>11810056497389.639</v>
      </c>
      <c r="F739" s="47">
        <f t="shared" ca="1" si="102"/>
        <v>230104369367.57693</v>
      </c>
      <c r="G739" s="47">
        <f t="shared" ca="1" si="103"/>
        <v>15202167625471.73</v>
      </c>
      <c r="H739" s="47">
        <f t="shared" ca="1" si="104"/>
        <v>15202167625471.73</v>
      </c>
      <c r="I739" s="47">
        <f t="shared" ca="1" si="105"/>
        <v>12410307852909.459</v>
      </c>
      <c r="J739" s="47">
        <f t="shared" ca="1" si="106"/>
        <v>1379261708618.7134</v>
      </c>
      <c r="K739" s="48">
        <f t="shared" ca="1" si="107"/>
        <v>8.9977904667113435</v>
      </c>
    </row>
    <row r="740" spans="2:11" ht="15" customHeight="1" x14ac:dyDescent="0.35">
      <c r="B740" s="5">
        <v>719</v>
      </c>
      <c r="C740" s="46">
        <f t="shared" ca="1" si="99"/>
        <v>2.6244515356357296</v>
      </c>
      <c r="D740" s="47">
        <f t="shared" ca="1" si="100"/>
        <v>2069657856.6347096</v>
      </c>
      <c r="E740" s="47">
        <f t="shared" ca="1" si="101"/>
        <v>17326945198692.494</v>
      </c>
      <c r="F740" s="47">
        <f t="shared" ca="1" si="102"/>
        <v>388467021912.54437</v>
      </c>
      <c r="G740" s="47">
        <f t="shared" ca="1" si="103"/>
        <v>3652286496523.9712</v>
      </c>
      <c r="H740" s="47">
        <f t="shared" ca="1" si="104"/>
        <v>3652286496523.9712</v>
      </c>
      <c r="I740" s="47">
        <f t="shared" ca="1" si="105"/>
        <v>5611316000621.2979</v>
      </c>
      <c r="J740" s="47">
        <f t="shared" ca="1" si="106"/>
        <v>689869516115.76294</v>
      </c>
      <c r="K740" s="48">
        <f t="shared" ca="1" si="107"/>
        <v>8.1338802042090759</v>
      </c>
    </row>
    <row r="741" spans="2:11" ht="15" customHeight="1" x14ac:dyDescent="0.35">
      <c r="B741" s="5">
        <v>720</v>
      </c>
      <c r="C741" s="46">
        <f t="shared" ca="1" si="99"/>
        <v>3.2194305567271106</v>
      </c>
      <c r="D741" s="47">
        <f t="shared" ca="1" si="100"/>
        <v>7864998193.5017786</v>
      </c>
      <c r="E741" s="47">
        <f t="shared" ca="1" si="101"/>
        <v>25518489981705.895</v>
      </c>
      <c r="F741" s="47">
        <f t="shared" ca="1" si="102"/>
        <v>3678037558497.8677</v>
      </c>
      <c r="G741" s="47">
        <f t="shared" ca="1" si="103"/>
        <v>11359810266213.602</v>
      </c>
      <c r="H741" s="47">
        <f t="shared" ca="1" si="104"/>
        <v>11359810266213.602</v>
      </c>
      <c r="I741" s="47">
        <f t="shared" ca="1" si="105"/>
        <v>82909278234802.156</v>
      </c>
      <c r="J741" s="47">
        <f t="shared" ca="1" si="106"/>
        <v>1746090931326.3435</v>
      </c>
      <c r="K741" s="48">
        <f t="shared" ca="1" si="107"/>
        <v>47.482795281356658</v>
      </c>
    </row>
    <row r="742" spans="2:11" ht="15" customHeight="1" x14ac:dyDescent="0.35">
      <c r="B742" s="5">
        <v>721</v>
      </c>
      <c r="C742" s="46">
        <f t="shared" ca="1" si="99"/>
        <v>3.3769474455182191</v>
      </c>
      <c r="D742" s="47">
        <f t="shared" ca="1" si="100"/>
        <v>8115742821.7478638</v>
      </c>
      <c r="E742" s="47">
        <f t="shared" ca="1" si="101"/>
        <v>49036261429103.344</v>
      </c>
      <c r="F742" s="47">
        <f t="shared" ca="1" si="102"/>
        <v>1467096968672.1187</v>
      </c>
      <c r="G742" s="47">
        <f t="shared" ca="1" si="103"/>
        <v>843217353471.2218</v>
      </c>
      <c r="H742" s="47">
        <f t="shared" ca="1" si="104"/>
        <v>843217353471.2218</v>
      </c>
      <c r="I742" s="47">
        <f t="shared" ca="1" si="105"/>
        <v>31237177696515.582</v>
      </c>
      <c r="J742" s="47">
        <f t="shared" ca="1" si="106"/>
        <v>1323356823804.7024</v>
      </c>
      <c r="K742" s="48">
        <f t="shared" ca="1" si="107"/>
        <v>23.604501170521402</v>
      </c>
    </row>
    <row r="743" spans="2:11" ht="15" customHeight="1" x14ac:dyDescent="0.35">
      <c r="B743" s="5">
        <v>722</v>
      </c>
      <c r="C743" s="46">
        <f t="shared" ca="1" si="99"/>
        <v>3.3376584539367888</v>
      </c>
      <c r="D743" s="47">
        <f t="shared" ca="1" si="100"/>
        <v>9700357027.4207573</v>
      </c>
      <c r="E743" s="47">
        <f t="shared" ca="1" si="101"/>
        <v>10750528259436.389</v>
      </c>
      <c r="F743" s="47">
        <f t="shared" ca="1" si="102"/>
        <v>3687444044103.6538</v>
      </c>
      <c r="G743" s="47">
        <f t="shared" ca="1" si="103"/>
        <v>885716395237.44067</v>
      </c>
      <c r="H743" s="47">
        <f t="shared" ca="1" si="104"/>
        <v>10750528259436.389</v>
      </c>
      <c r="I743" s="47">
        <f t="shared" ca="1" si="105"/>
        <v>9302748183147.1367</v>
      </c>
      <c r="J743" s="47">
        <f t="shared" ca="1" si="106"/>
        <v>2473280888306.397</v>
      </c>
      <c r="K743" s="48">
        <f t="shared" ca="1" si="107"/>
        <v>3.7612986972609019</v>
      </c>
    </row>
    <row r="744" spans="2:11" ht="15" customHeight="1" x14ac:dyDescent="0.35">
      <c r="B744" s="5">
        <v>723</v>
      </c>
      <c r="C744" s="46">
        <f t="shared" ca="1" si="99"/>
        <v>2.9454548408809695</v>
      </c>
      <c r="D744" s="47">
        <f t="shared" ca="1" si="100"/>
        <v>4468401292.4371052</v>
      </c>
      <c r="E744" s="47">
        <f t="shared" ca="1" si="101"/>
        <v>9764474154980.7051</v>
      </c>
      <c r="F744" s="47">
        <f t="shared" ca="1" si="102"/>
        <v>2296120289825.7236</v>
      </c>
      <c r="G744" s="47">
        <f t="shared" ca="1" si="103"/>
        <v>2839854091978.9888</v>
      </c>
      <c r="H744" s="47">
        <f t="shared" ca="1" si="104"/>
        <v>2296120289825.7236</v>
      </c>
      <c r="I744" s="47">
        <f t="shared" ca="1" si="105"/>
        <v>203329272218481.53</v>
      </c>
      <c r="J744" s="47">
        <f t="shared" ca="1" si="106"/>
        <v>2013785608721.9473</v>
      </c>
      <c r="K744" s="48">
        <f t="shared" ca="1" si="107"/>
        <v>100.96867875996234</v>
      </c>
    </row>
    <row r="745" spans="2:11" ht="15" customHeight="1" x14ac:dyDescent="0.35">
      <c r="B745" s="5">
        <v>724</v>
      </c>
      <c r="C745" s="46">
        <f t="shared" ca="1" si="99"/>
        <v>3.3650318002230981</v>
      </c>
      <c r="D745" s="47">
        <f t="shared" ca="1" si="100"/>
        <v>9337404102.7750359</v>
      </c>
      <c r="E745" s="47">
        <f t="shared" ca="1" si="101"/>
        <v>30045249581992.082</v>
      </c>
      <c r="F745" s="47">
        <f t="shared" ca="1" si="102"/>
        <v>1216163878437.8411</v>
      </c>
      <c r="G745" s="47">
        <f t="shared" ca="1" si="103"/>
        <v>695360811423.01111</v>
      </c>
      <c r="H745" s="47">
        <f t="shared" ca="1" si="104"/>
        <v>30045249581992.082</v>
      </c>
      <c r="I745" s="47">
        <f t="shared" ca="1" si="105"/>
        <v>9607746390982.6504</v>
      </c>
      <c r="J745" s="47">
        <f t="shared" ca="1" si="106"/>
        <v>1154195169135.366</v>
      </c>
      <c r="K745" s="48">
        <f t="shared" ca="1" si="107"/>
        <v>8.3241956368436654</v>
      </c>
    </row>
    <row r="746" spans="2:11" ht="15" customHeight="1" x14ac:dyDescent="0.35">
      <c r="B746" s="5">
        <v>725</v>
      </c>
      <c r="C746" s="46">
        <f t="shared" ca="1" si="99"/>
        <v>3.0254386571917049</v>
      </c>
      <c r="D746" s="47">
        <f t="shared" ca="1" si="100"/>
        <v>4650004357.9831142</v>
      </c>
      <c r="E746" s="47">
        <f t="shared" ca="1" si="101"/>
        <v>8468594166614.623</v>
      </c>
      <c r="F746" s="47">
        <f t="shared" ca="1" si="102"/>
        <v>1400298251591.1235</v>
      </c>
      <c r="G746" s="47">
        <f t="shared" ca="1" si="103"/>
        <v>16526104030759.688</v>
      </c>
      <c r="H746" s="47">
        <f t="shared" ca="1" si="104"/>
        <v>8468594166614.623</v>
      </c>
      <c r="I746" s="47">
        <f t="shared" ca="1" si="105"/>
        <v>3921802712594.0601</v>
      </c>
      <c r="J746" s="47">
        <f t="shared" ca="1" si="106"/>
        <v>1752450217280.2161</v>
      </c>
      <c r="K746" s="48">
        <f t="shared" ca="1" si="107"/>
        <v>2.2378967881214087</v>
      </c>
    </row>
    <row r="747" spans="2:11" ht="15" customHeight="1" x14ac:dyDescent="0.35">
      <c r="B747" s="5">
        <v>726</v>
      </c>
      <c r="C747" s="46">
        <f t="shared" ca="1" si="99"/>
        <v>2.6008719731883989</v>
      </c>
      <c r="D747" s="47">
        <f t="shared" ca="1" si="100"/>
        <v>2254527183.9297075</v>
      </c>
      <c r="E747" s="47">
        <f t="shared" ca="1" si="101"/>
        <v>14162855729717.639</v>
      </c>
      <c r="F747" s="47">
        <f t="shared" ca="1" si="102"/>
        <v>3355753870838.1216</v>
      </c>
      <c r="G747" s="47">
        <f t="shared" ca="1" si="103"/>
        <v>252585640092573.53</v>
      </c>
      <c r="H747" s="47">
        <f t="shared" ca="1" si="104"/>
        <v>3355753870838.1216</v>
      </c>
      <c r="I747" s="47">
        <f t="shared" ca="1" si="105"/>
        <v>150640490360918.75</v>
      </c>
      <c r="J747" s="47">
        <f t="shared" ca="1" si="106"/>
        <v>1381844842661.8594</v>
      </c>
      <c r="K747" s="48">
        <f t="shared" ca="1" si="107"/>
        <v>109.01404101978534</v>
      </c>
    </row>
    <row r="748" spans="2:11" ht="15" customHeight="1" x14ac:dyDescent="0.35">
      <c r="B748" s="5">
        <v>727</v>
      </c>
      <c r="C748" s="46">
        <f t="shared" ca="1" si="99"/>
        <v>2.7845059712712885</v>
      </c>
      <c r="D748" s="47">
        <f t="shared" ca="1" si="100"/>
        <v>2705133672.1663423</v>
      </c>
      <c r="E748" s="47">
        <f t="shared" ca="1" si="101"/>
        <v>4548773237524.4277</v>
      </c>
      <c r="F748" s="47">
        <f t="shared" ca="1" si="102"/>
        <v>936838905686.06274</v>
      </c>
      <c r="G748" s="47">
        <f t="shared" ca="1" si="103"/>
        <v>366868287268.68732</v>
      </c>
      <c r="H748" s="47">
        <f t="shared" ca="1" si="104"/>
        <v>366868287268.68732</v>
      </c>
      <c r="I748" s="47">
        <f t="shared" ca="1" si="105"/>
        <v>7674346478612.8018</v>
      </c>
      <c r="J748" s="47">
        <f t="shared" ca="1" si="106"/>
        <v>1436684431942.6538</v>
      </c>
      <c r="K748" s="48">
        <f t="shared" ca="1" si="107"/>
        <v>5.3417064373946861</v>
      </c>
    </row>
    <row r="749" spans="2:11" ht="15" customHeight="1" x14ac:dyDescent="0.35">
      <c r="B749" s="5">
        <v>728</v>
      </c>
      <c r="C749" s="46">
        <f t="shared" ca="1" si="99"/>
        <v>3.7820832970760279</v>
      </c>
      <c r="D749" s="47">
        <f t="shared" ca="1" si="100"/>
        <v>14015987965.299215</v>
      </c>
      <c r="E749" s="47">
        <f t="shared" ca="1" si="101"/>
        <v>36660536058973.984</v>
      </c>
      <c r="F749" s="47">
        <f t="shared" ca="1" si="102"/>
        <v>5754209502698.3574</v>
      </c>
      <c r="G749" s="47">
        <f t="shared" ca="1" si="103"/>
        <v>6774657096512.5674</v>
      </c>
      <c r="H749" s="47">
        <f t="shared" ca="1" si="104"/>
        <v>6774657096512.5674</v>
      </c>
      <c r="I749" s="47">
        <f t="shared" ca="1" si="105"/>
        <v>2053072387236.7554</v>
      </c>
      <c r="J749" s="47">
        <f t="shared" ca="1" si="106"/>
        <v>1567454013257.6863</v>
      </c>
      <c r="K749" s="48">
        <f t="shared" ca="1" si="107"/>
        <v>1.3098134745081254</v>
      </c>
    </row>
    <row r="750" spans="2:11" ht="15" customHeight="1" x14ac:dyDescent="0.35">
      <c r="B750" s="5">
        <v>729</v>
      </c>
      <c r="C750" s="46">
        <f t="shared" ca="1" si="99"/>
        <v>3.1118726559158216</v>
      </c>
      <c r="D750" s="47">
        <f t="shared" ca="1" si="100"/>
        <v>6605926546.0748081</v>
      </c>
      <c r="E750" s="47">
        <f t="shared" ca="1" si="101"/>
        <v>16037279727798.414</v>
      </c>
      <c r="F750" s="47">
        <f t="shared" ca="1" si="102"/>
        <v>1382614940604.8604</v>
      </c>
      <c r="G750" s="47">
        <f t="shared" ca="1" si="103"/>
        <v>28268628798376.844</v>
      </c>
      <c r="H750" s="47">
        <f t="shared" ca="1" si="104"/>
        <v>16037279727798.414</v>
      </c>
      <c r="I750" s="47">
        <f t="shared" ca="1" si="105"/>
        <v>16660891638810.615</v>
      </c>
      <c r="J750" s="47">
        <f t="shared" ca="1" si="106"/>
        <v>1415312647334.3032</v>
      </c>
      <c r="K750" s="48">
        <f t="shared" ca="1" si="107"/>
        <v>11.771880700840821</v>
      </c>
    </row>
    <row r="751" spans="2:11" ht="15" customHeight="1" x14ac:dyDescent="0.35">
      <c r="B751" s="5">
        <v>730</v>
      </c>
      <c r="C751" s="46">
        <f t="shared" ca="1" si="99"/>
        <v>2.3001735966864842</v>
      </c>
      <c r="D751" s="47">
        <f t="shared" ca="1" si="100"/>
        <v>1144701821.4539084</v>
      </c>
      <c r="E751" s="47">
        <f t="shared" ca="1" si="101"/>
        <v>8693353384783.7393</v>
      </c>
      <c r="F751" s="47">
        <f t="shared" ca="1" si="102"/>
        <v>1788538723749.8657</v>
      </c>
      <c r="G751" s="47">
        <f t="shared" ca="1" si="103"/>
        <v>24907130659251.496</v>
      </c>
      <c r="H751" s="47">
        <f t="shared" ca="1" si="104"/>
        <v>1788538723749.8657</v>
      </c>
      <c r="I751" s="47">
        <f t="shared" ca="1" si="105"/>
        <v>2995864056178.9805</v>
      </c>
      <c r="J751" s="47">
        <f t="shared" ca="1" si="106"/>
        <v>1253493711697.8652</v>
      </c>
      <c r="K751" s="48">
        <f t="shared" ca="1" si="107"/>
        <v>2.3900112367704369</v>
      </c>
    </row>
    <row r="752" spans="2:11" ht="15" customHeight="1" x14ac:dyDescent="0.35">
      <c r="B752" s="5">
        <v>731</v>
      </c>
      <c r="C752" s="46">
        <f t="shared" ca="1" si="99"/>
        <v>3.8639240025566224</v>
      </c>
      <c r="D752" s="47">
        <f t="shared" ca="1" si="100"/>
        <v>20475072916.932648</v>
      </c>
      <c r="E752" s="47">
        <f t="shared" ca="1" si="101"/>
        <v>24099265738434.379</v>
      </c>
      <c r="F752" s="47">
        <f t="shared" ca="1" si="102"/>
        <v>2069195399452.8079</v>
      </c>
      <c r="G752" s="47">
        <f t="shared" ca="1" si="103"/>
        <v>2195234667057.8267</v>
      </c>
      <c r="H752" s="47">
        <f t="shared" ca="1" si="104"/>
        <v>2069195399452.8079</v>
      </c>
      <c r="I752" s="47">
        <f t="shared" ca="1" si="105"/>
        <v>72909094527994.109</v>
      </c>
      <c r="J752" s="47">
        <f t="shared" ca="1" si="106"/>
        <v>1302774751425.4583</v>
      </c>
      <c r="K752" s="48">
        <f t="shared" ca="1" si="107"/>
        <v>55.964466956562596</v>
      </c>
    </row>
    <row r="753" spans="2:11" ht="15" customHeight="1" x14ac:dyDescent="0.35">
      <c r="B753" s="5">
        <v>732</v>
      </c>
      <c r="C753" s="46">
        <f t="shared" ca="1" si="99"/>
        <v>2.469801421307773</v>
      </c>
      <c r="D753" s="47">
        <f t="shared" ca="1" si="100"/>
        <v>1961734865.9856701</v>
      </c>
      <c r="E753" s="47">
        <f t="shared" ca="1" si="101"/>
        <v>2834218544545.0894</v>
      </c>
      <c r="F753" s="47">
        <f t="shared" ca="1" si="102"/>
        <v>2764896895738.0503</v>
      </c>
      <c r="G753" s="47">
        <f t="shared" ca="1" si="103"/>
        <v>7635834047630.9404</v>
      </c>
      <c r="H753" s="47">
        <f t="shared" ca="1" si="104"/>
        <v>2834218544545.0894</v>
      </c>
      <c r="I753" s="47">
        <f t="shared" ca="1" si="105"/>
        <v>6854896904524.9238</v>
      </c>
      <c r="J753" s="47">
        <f t="shared" ca="1" si="106"/>
        <v>1117869124266.3567</v>
      </c>
      <c r="K753" s="48">
        <f t="shared" ca="1" si="107"/>
        <v>6.1321104194766143</v>
      </c>
    </row>
    <row r="754" spans="2:11" ht="15" customHeight="1" x14ac:dyDescent="0.35">
      <c r="B754" s="5">
        <v>733</v>
      </c>
      <c r="C754" s="46">
        <f t="shared" ca="1" si="99"/>
        <v>3.0856450428318047</v>
      </c>
      <c r="D754" s="47">
        <f t="shared" ca="1" si="100"/>
        <v>5597831904.4226618</v>
      </c>
      <c r="E754" s="47">
        <f t="shared" ca="1" si="101"/>
        <v>12465117229893.992</v>
      </c>
      <c r="F754" s="47">
        <f t="shared" ca="1" si="102"/>
        <v>4920153728953.3408</v>
      </c>
      <c r="G754" s="47">
        <f t="shared" ca="1" si="103"/>
        <v>6426262620693.2422</v>
      </c>
      <c r="H754" s="47">
        <f t="shared" ca="1" si="104"/>
        <v>6426262620693.2422</v>
      </c>
      <c r="I754" s="47">
        <f t="shared" ca="1" si="105"/>
        <v>20434433649066.352</v>
      </c>
      <c r="J754" s="47">
        <f t="shared" ca="1" si="106"/>
        <v>1800493683279.9836</v>
      </c>
      <c r="K754" s="48">
        <f t="shared" ca="1" si="107"/>
        <v>11.349350369194669</v>
      </c>
    </row>
    <row r="755" spans="2:11" ht="15" customHeight="1" x14ac:dyDescent="0.35">
      <c r="B755" s="5">
        <v>734</v>
      </c>
      <c r="C755" s="46">
        <f t="shared" ca="1" si="99"/>
        <v>3.3877110632070511</v>
      </c>
      <c r="D755" s="47">
        <f t="shared" ca="1" si="100"/>
        <v>10601829774.928957</v>
      </c>
      <c r="E755" s="47">
        <f t="shared" ca="1" si="101"/>
        <v>35865764612337.617</v>
      </c>
      <c r="F755" s="47">
        <f t="shared" ca="1" si="102"/>
        <v>3778076695114.2715</v>
      </c>
      <c r="G755" s="47">
        <f t="shared" ca="1" si="103"/>
        <v>5893232156752.6758</v>
      </c>
      <c r="H755" s="47">
        <f t="shared" ca="1" si="104"/>
        <v>35865764612337.617</v>
      </c>
      <c r="I755" s="47">
        <f t="shared" ca="1" si="105"/>
        <v>2954693778253.2202</v>
      </c>
      <c r="J755" s="47">
        <f t="shared" ca="1" si="106"/>
        <v>732015269746.6593</v>
      </c>
      <c r="K755" s="48">
        <f t="shared" ca="1" si="107"/>
        <v>4.036382709988823</v>
      </c>
    </row>
    <row r="756" spans="2:11" ht="15" customHeight="1" x14ac:dyDescent="0.35">
      <c r="B756" s="5">
        <v>735</v>
      </c>
      <c r="C756" s="46">
        <f t="shared" ca="1" si="99"/>
        <v>2.7985510579728312</v>
      </c>
      <c r="D756" s="47">
        <f t="shared" ca="1" si="100"/>
        <v>4115734115.5147018</v>
      </c>
      <c r="E756" s="47">
        <f t="shared" ca="1" si="101"/>
        <v>4828308319578.2783</v>
      </c>
      <c r="F756" s="47">
        <f t="shared" ca="1" si="102"/>
        <v>10689931130324.656</v>
      </c>
      <c r="G756" s="47">
        <f t="shared" ca="1" si="103"/>
        <v>383919510122.76843</v>
      </c>
      <c r="H756" s="47">
        <f t="shared" ca="1" si="104"/>
        <v>383919510122.76843</v>
      </c>
      <c r="I756" s="47">
        <f t="shared" ca="1" si="105"/>
        <v>13551280886641.807</v>
      </c>
      <c r="J756" s="47">
        <f t="shared" ca="1" si="106"/>
        <v>901968952687.91992</v>
      </c>
      <c r="K756" s="48">
        <f t="shared" ca="1" si="107"/>
        <v>15.024110138445677</v>
      </c>
    </row>
    <row r="757" spans="2:11" ht="15" customHeight="1" x14ac:dyDescent="0.35">
      <c r="B757" s="5">
        <v>736</v>
      </c>
      <c r="C757" s="46">
        <f t="shared" ca="1" si="99"/>
        <v>3.3155161848818353</v>
      </c>
      <c r="D757" s="47">
        <f t="shared" ca="1" si="100"/>
        <v>8574795840.8500481</v>
      </c>
      <c r="E757" s="47">
        <f t="shared" ca="1" si="101"/>
        <v>27861405132910.484</v>
      </c>
      <c r="F757" s="47">
        <f t="shared" ca="1" si="102"/>
        <v>678136464926.96924</v>
      </c>
      <c r="G757" s="47">
        <f t="shared" ca="1" si="103"/>
        <v>19657607806009.672</v>
      </c>
      <c r="H757" s="47">
        <f t="shared" ca="1" si="104"/>
        <v>27861405132910.484</v>
      </c>
      <c r="I757" s="47">
        <f t="shared" ca="1" si="105"/>
        <v>6178298182604.1182</v>
      </c>
      <c r="J757" s="47">
        <f t="shared" ca="1" si="106"/>
        <v>1175440891218.2798</v>
      </c>
      <c r="K757" s="48">
        <f t="shared" ca="1" si="107"/>
        <v>5.2561538642752614</v>
      </c>
    </row>
    <row r="758" spans="2:11" ht="15" customHeight="1" x14ac:dyDescent="0.35">
      <c r="B758" s="5">
        <v>737</v>
      </c>
      <c r="C758" s="46">
        <f t="shared" ca="1" si="99"/>
        <v>2.796422386640403</v>
      </c>
      <c r="D758" s="47">
        <f t="shared" ca="1" si="100"/>
        <v>3771076316.7964978</v>
      </c>
      <c r="E758" s="47">
        <f t="shared" ca="1" si="101"/>
        <v>13007441506475.662</v>
      </c>
      <c r="F758" s="47">
        <f t="shared" ca="1" si="102"/>
        <v>2172626966630.1709</v>
      </c>
      <c r="G758" s="47">
        <f t="shared" ca="1" si="103"/>
        <v>4499218044419.3701</v>
      </c>
      <c r="H758" s="47">
        <f t="shared" ca="1" si="104"/>
        <v>13007441506475.662</v>
      </c>
      <c r="I758" s="47">
        <f t="shared" ca="1" si="105"/>
        <v>9938994511496.1895</v>
      </c>
      <c r="J758" s="47">
        <f t="shared" ca="1" si="106"/>
        <v>1100898535552.082</v>
      </c>
      <c r="K758" s="48">
        <f t="shared" ca="1" si="107"/>
        <v>9.0280749683366164</v>
      </c>
    </row>
    <row r="759" spans="2:11" ht="15" customHeight="1" x14ac:dyDescent="0.35">
      <c r="B759" s="5">
        <v>738</v>
      </c>
      <c r="C759" s="46">
        <f t="shared" ca="1" si="99"/>
        <v>2.7820493670211905</v>
      </c>
      <c r="D759" s="47">
        <f t="shared" ca="1" si="100"/>
        <v>3135819939.6136231</v>
      </c>
      <c r="E759" s="47">
        <f t="shared" ca="1" si="101"/>
        <v>3485882404819.0376</v>
      </c>
      <c r="F759" s="47">
        <f t="shared" ca="1" si="102"/>
        <v>2775502365460.0156</v>
      </c>
      <c r="G759" s="47">
        <f t="shared" ca="1" si="103"/>
        <v>20416010431522.383</v>
      </c>
      <c r="H759" s="47">
        <f t="shared" ca="1" si="104"/>
        <v>3485882404819.0376</v>
      </c>
      <c r="I759" s="47">
        <f t="shared" ca="1" si="105"/>
        <v>38503938559714.148</v>
      </c>
      <c r="J759" s="47">
        <f t="shared" ca="1" si="106"/>
        <v>2151523295750.8083</v>
      </c>
      <c r="K759" s="48">
        <f t="shared" ca="1" si="107"/>
        <v>17.89612905226647</v>
      </c>
    </row>
    <row r="760" spans="2:11" ht="15" customHeight="1" x14ac:dyDescent="0.35">
      <c r="B760" s="5">
        <v>739</v>
      </c>
      <c r="C760" s="46">
        <f t="shared" ca="1" si="99"/>
        <v>3.5855515973059977</v>
      </c>
      <c r="D760" s="47">
        <f t="shared" ca="1" si="100"/>
        <v>9996583175.4519978</v>
      </c>
      <c r="E760" s="47">
        <f t="shared" ca="1" si="101"/>
        <v>16247241764969.049</v>
      </c>
      <c r="F760" s="47">
        <f t="shared" ca="1" si="102"/>
        <v>3092109175739.083</v>
      </c>
      <c r="G760" s="47">
        <f t="shared" ca="1" si="103"/>
        <v>7958834844492.166</v>
      </c>
      <c r="H760" s="47">
        <f t="shared" ca="1" si="104"/>
        <v>3092109175739.083</v>
      </c>
      <c r="I760" s="47">
        <f t="shared" ca="1" si="105"/>
        <v>65459148377690.469</v>
      </c>
      <c r="J760" s="47">
        <f t="shared" ca="1" si="106"/>
        <v>919981948577.23462</v>
      </c>
      <c r="K760" s="48">
        <f t="shared" ca="1" si="107"/>
        <v>71.152644330602342</v>
      </c>
    </row>
    <row r="761" spans="2:11" ht="15" customHeight="1" x14ac:dyDescent="0.35">
      <c r="B761" s="5">
        <v>740</v>
      </c>
      <c r="C761" s="46">
        <f t="shared" ca="1" si="99"/>
        <v>2.5287095444052565</v>
      </c>
      <c r="D761" s="47">
        <f t="shared" ca="1" si="100"/>
        <v>1770584989.8566017</v>
      </c>
      <c r="E761" s="47">
        <f t="shared" ca="1" si="101"/>
        <v>6796220672150.7402</v>
      </c>
      <c r="F761" s="47">
        <f t="shared" ca="1" si="102"/>
        <v>1284525918370.1182</v>
      </c>
      <c r="G761" s="47">
        <f t="shared" ca="1" si="103"/>
        <v>35376416319703.844</v>
      </c>
      <c r="H761" s="47">
        <f t="shared" ca="1" si="104"/>
        <v>6796220672150.7402</v>
      </c>
      <c r="I761" s="47">
        <f t="shared" ca="1" si="105"/>
        <v>19871241088585.746</v>
      </c>
      <c r="J761" s="47">
        <f t="shared" ca="1" si="106"/>
        <v>2264339175923.873</v>
      </c>
      <c r="K761" s="48">
        <f t="shared" ca="1" si="107"/>
        <v>8.7757352343109467</v>
      </c>
    </row>
    <row r="762" spans="2:11" ht="15" customHeight="1" x14ac:dyDescent="0.35">
      <c r="B762" s="5">
        <v>741</v>
      </c>
      <c r="C762" s="46">
        <f t="shared" ca="1" si="99"/>
        <v>3.2662341814294802</v>
      </c>
      <c r="D762" s="47">
        <f t="shared" ca="1" si="100"/>
        <v>7442410739.8703175</v>
      </c>
      <c r="E762" s="47">
        <f t="shared" ca="1" si="101"/>
        <v>59565016172836.375</v>
      </c>
      <c r="F762" s="47">
        <f t="shared" ca="1" si="102"/>
        <v>1858855690712.1443</v>
      </c>
      <c r="G762" s="47">
        <f t="shared" ca="1" si="103"/>
        <v>3047167392993.0767</v>
      </c>
      <c r="H762" s="47">
        <f t="shared" ca="1" si="104"/>
        <v>3047167392993.0767</v>
      </c>
      <c r="I762" s="47">
        <f t="shared" ca="1" si="105"/>
        <v>9330335572068.3008</v>
      </c>
      <c r="J762" s="47">
        <f t="shared" ca="1" si="106"/>
        <v>1558511051218.0815</v>
      </c>
      <c r="K762" s="48">
        <f t="shared" ca="1" si="107"/>
        <v>5.9866983713564395</v>
      </c>
    </row>
    <row r="763" spans="2:11" ht="15" customHeight="1" x14ac:dyDescent="0.35">
      <c r="B763" s="5">
        <v>742</v>
      </c>
      <c r="C763" s="46">
        <f t="shared" ca="1" si="99"/>
        <v>3.2065410146656723</v>
      </c>
      <c r="D763" s="47">
        <f t="shared" ca="1" si="100"/>
        <v>6021193488.7616777</v>
      </c>
      <c r="E763" s="47">
        <f t="shared" ca="1" si="101"/>
        <v>8019876288002.6396</v>
      </c>
      <c r="F763" s="47">
        <f t="shared" ca="1" si="102"/>
        <v>1113462003304.8733</v>
      </c>
      <c r="G763" s="47">
        <f t="shared" ca="1" si="103"/>
        <v>10968402783462.057</v>
      </c>
      <c r="H763" s="47">
        <f t="shared" ca="1" si="104"/>
        <v>1113462003304.8733</v>
      </c>
      <c r="I763" s="47">
        <f t="shared" ca="1" si="105"/>
        <v>1557675504214.0962</v>
      </c>
      <c r="J763" s="47">
        <f t="shared" ca="1" si="106"/>
        <v>829367949257.42102</v>
      </c>
      <c r="K763" s="48">
        <f t="shared" ca="1" si="107"/>
        <v>1.8781476974228015</v>
      </c>
    </row>
    <row r="764" spans="2:11" ht="15" customHeight="1" x14ac:dyDescent="0.35">
      <c r="B764" s="5">
        <v>743</v>
      </c>
      <c r="C764" s="46">
        <f t="shared" ca="1" si="99"/>
        <v>3.4885536609841612</v>
      </c>
      <c r="D764" s="47">
        <f t="shared" ca="1" si="100"/>
        <v>8835353044.7417336</v>
      </c>
      <c r="E764" s="47">
        <f t="shared" ca="1" si="101"/>
        <v>24961905475742.125</v>
      </c>
      <c r="F764" s="47">
        <f t="shared" ca="1" si="102"/>
        <v>28622037498352.469</v>
      </c>
      <c r="G764" s="47">
        <f t="shared" ca="1" si="103"/>
        <v>3215806151941.001</v>
      </c>
      <c r="H764" s="47">
        <f t="shared" ca="1" si="104"/>
        <v>28622037498352.469</v>
      </c>
      <c r="I764" s="47">
        <f t="shared" ca="1" si="105"/>
        <v>7708314501258.3975</v>
      </c>
      <c r="J764" s="47">
        <f t="shared" ca="1" si="106"/>
        <v>1428639856246.8574</v>
      </c>
      <c r="K764" s="48">
        <f t="shared" ca="1" si="107"/>
        <v>5.3955617068592145</v>
      </c>
    </row>
    <row r="765" spans="2:11" ht="15" customHeight="1" x14ac:dyDescent="0.35">
      <c r="B765" s="5">
        <v>744</v>
      </c>
      <c r="C765" s="46">
        <f t="shared" ca="1" si="99"/>
        <v>3.2263826116406156</v>
      </c>
      <c r="D765" s="47">
        <f t="shared" ca="1" si="100"/>
        <v>5869839104.5990534</v>
      </c>
      <c r="E765" s="47">
        <f t="shared" ca="1" si="101"/>
        <v>6127693028751.1846</v>
      </c>
      <c r="F765" s="47">
        <f t="shared" ca="1" si="102"/>
        <v>4108236345288.0098</v>
      </c>
      <c r="G765" s="47">
        <f t="shared" ca="1" si="103"/>
        <v>10096477971696.08</v>
      </c>
      <c r="H765" s="47">
        <f t="shared" ca="1" si="104"/>
        <v>6127693028751.1846</v>
      </c>
      <c r="I765" s="47">
        <f t="shared" ca="1" si="105"/>
        <v>32169202242499.805</v>
      </c>
      <c r="J765" s="47">
        <f t="shared" ca="1" si="106"/>
        <v>1207923259126.0203</v>
      </c>
      <c r="K765" s="48">
        <f t="shared" ca="1" si="107"/>
        <v>26.631826152412597</v>
      </c>
    </row>
    <row r="766" spans="2:11" ht="15" customHeight="1" x14ac:dyDescent="0.35">
      <c r="B766" s="5">
        <v>745</v>
      </c>
      <c r="C766" s="46">
        <f t="shared" ca="1" si="99"/>
        <v>2.5273901465122095</v>
      </c>
      <c r="D766" s="47">
        <f t="shared" ca="1" si="100"/>
        <v>1839498071.8737414</v>
      </c>
      <c r="E766" s="47">
        <f t="shared" ca="1" si="101"/>
        <v>13072068036018.678</v>
      </c>
      <c r="F766" s="47">
        <f t="shared" ca="1" si="102"/>
        <v>4954143966981.7793</v>
      </c>
      <c r="G766" s="47">
        <f t="shared" ca="1" si="103"/>
        <v>2325916772487.4482</v>
      </c>
      <c r="H766" s="47">
        <f t="shared" ca="1" si="104"/>
        <v>4954143966981.7793</v>
      </c>
      <c r="I766" s="47">
        <f t="shared" ca="1" si="105"/>
        <v>170825138181846.91</v>
      </c>
      <c r="J766" s="47">
        <f t="shared" ca="1" si="106"/>
        <v>1362954582934.9678</v>
      </c>
      <c r="K766" s="48">
        <f t="shared" ca="1" si="107"/>
        <v>125.33443177100912</v>
      </c>
    </row>
    <row r="767" spans="2:11" ht="15" customHeight="1" x14ac:dyDescent="0.35">
      <c r="B767" s="5">
        <v>746</v>
      </c>
      <c r="C767" s="46">
        <f t="shared" ca="1" si="99"/>
        <v>3.290697275999547</v>
      </c>
      <c r="D767" s="47">
        <f t="shared" ca="1" si="100"/>
        <v>8894136184.5090046</v>
      </c>
      <c r="E767" s="47">
        <f t="shared" ca="1" si="101"/>
        <v>26655988095605.719</v>
      </c>
      <c r="F767" s="47">
        <f t="shared" ca="1" si="102"/>
        <v>929073066079.87646</v>
      </c>
      <c r="G767" s="47">
        <f t="shared" ca="1" si="103"/>
        <v>268337952632.55124</v>
      </c>
      <c r="H767" s="47">
        <f t="shared" ca="1" si="104"/>
        <v>26655988095605.719</v>
      </c>
      <c r="I767" s="47">
        <f t="shared" ca="1" si="105"/>
        <v>68924833054127.227</v>
      </c>
      <c r="J767" s="47">
        <f t="shared" ca="1" si="106"/>
        <v>1067045521356.0521</v>
      </c>
      <c r="K767" s="48">
        <f t="shared" ca="1" si="107"/>
        <v>64.59408870067162</v>
      </c>
    </row>
    <row r="768" spans="2:11" ht="15" customHeight="1" x14ac:dyDescent="0.35">
      <c r="B768" s="5">
        <v>747</v>
      </c>
      <c r="C768" s="46">
        <f t="shared" ca="1" si="99"/>
        <v>1.810048813900393</v>
      </c>
      <c r="D768" s="47">
        <f t="shared" ca="1" si="100"/>
        <v>376315030.28981233</v>
      </c>
      <c r="E768" s="47">
        <f t="shared" ca="1" si="101"/>
        <v>600985663014.02148</v>
      </c>
      <c r="F768" s="47">
        <f t="shared" ca="1" si="102"/>
        <v>16140684763314.314</v>
      </c>
      <c r="G768" s="47">
        <f t="shared" ca="1" si="103"/>
        <v>4600352341746.5898</v>
      </c>
      <c r="H768" s="47">
        <f t="shared" ca="1" si="104"/>
        <v>4600352341746.5898</v>
      </c>
      <c r="I768" s="47">
        <f t="shared" ca="1" si="105"/>
        <v>1001379529794.8055</v>
      </c>
      <c r="J768" s="47">
        <f t="shared" ca="1" si="106"/>
        <v>1489863595190.4878</v>
      </c>
      <c r="K768" s="48">
        <f t="shared" ca="1" si="107"/>
        <v>0.67212832975274717</v>
      </c>
    </row>
    <row r="769" spans="2:11" ht="15" customHeight="1" x14ac:dyDescent="0.35">
      <c r="B769" s="5">
        <v>748</v>
      </c>
      <c r="C769" s="46">
        <f t="shared" ca="1" si="99"/>
        <v>2.9008182756469556</v>
      </c>
      <c r="D769" s="47">
        <f t="shared" ca="1" si="100"/>
        <v>4474835441.4985075</v>
      </c>
      <c r="E769" s="47">
        <f t="shared" ca="1" si="101"/>
        <v>24305848460459.789</v>
      </c>
      <c r="F769" s="47">
        <f t="shared" ca="1" si="102"/>
        <v>15898636320136.352</v>
      </c>
      <c r="G769" s="47">
        <f t="shared" ca="1" si="103"/>
        <v>8479710733891.5234</v>
      </c>
      <c r="H769" s="47">
        <f t="shared" ca="1" si="104"/>
        <v>15898636320136.352</v>
      </c>
      <c r="I769" s="47">
        <f t="shared" ca="1" si="105"/>
        <v>4496904235135.0664</v>
      </c>
      <c r="J769" s="47">
        <f t="shared" ca="1" si="106"/>
        <v>650326543431.78003</v>
      </c>
      <c r="K769" s="48">
        <f t="shared" ca="1" si="107"/>
        <v>6.9148403683553425</v>
      </c>
    </row>
    <row r="770" spans="2:11" ht="15" customHeight="1" x14ac:dyDescent="0.35">
      <c r="B770" s="5">
        <v>749</v>
      </c>
      <c r="C770" s="46">
        <f t="shared" ca="1" si="99"/>
        <v>3.0369215688409383</v>
      </c>
      <c r="D770" s="47">
        <f t="shared" ca="1" si="100"/>
        <v>5089831969.4509363</v>
      </c>
      <c r="E770" s="47">
        <f t="shared" ca="1" si="101"/>
        <v>10472462797221.164</v>
      </c>
      <c r="F770" s="47">
        <f t="shared" ca="1" si="102"/>
        <v>1937776281739.4905</v>
      </c>
      <c r="G770" s="47">
        <f t="shared" ca="1" si="103"/>
        <v>140413014973365.83</v>
      </c>
      <c r="H770" s="47">
        <f t="shared" ca="1" si="104"/>
        <v>140413014973365.83</v>
      </c>
      <c r="I770" s="47">
        <f t="shared" ca="1" si="105"/>
        <v>722074871692.50488</v>
      </c>
      <c r="J770" s="47">
        <f t="shared" ca="1" si="106"/>
        <v>1139383398985.6785</v>
      </c>
      <c r="K770" s="48">
        <f t="shared" ca="1" si="107"/>
        <v>0.63374178729944886</v>
      </c>
    </row>
    <row r="771" spans="2:11" ht="15" customHeight="1" x14ac:dyDescent="0.35">
      <c r="B771" s="5">
        <v>750</v>
      </c>
      <c r="C771" s="46">
        <f t="shared" ca="1" si="99"/>
        <v>2.9689598311874104</v>
      </c>
      <c r="D771" s="47">
        <f t="shared" ca="1" si="100"/>
        <v>4760659288.0950718</v>
      </c>
      <c r="E771" s="47">
        <f t="shared" ca="1" si="101"/>
        <v>14717389198892.674</v>
      </c>
      <c r="F771" s="47">
        <f t="shared" ca="1" si="102"/>
        <v>4784019970931.9873</v>
      </c>
      <c r="G771" s="47">
        <f t="shared" ca="1" si="103"/>
        <v>9362731404131.6738</v>
      </c>
      <c r="H771" s="47">
        <f t="shared" ca="1" si="104"/>
        <v>14717389198892.674</v>
      </c>
      <c r="I771" s="47">
        <f t="shared" ca="1" si="105"/>
        <v>3726277582625.8423</v>
      </c>
      <c r="J771" s="47">
        <f t="shared" ca="1" si="106"/>
        <v>554955793915.49365</v>
      </c>
      <c r="K771" s="48">
        <f t="shared" ca="1" si="107"/>
        <v>6.7145484802223079</v>
      </c>
    </row>
    <row r="772" spans="2:11" ht="15" customHeight="1" x14ac:dyDescent="0.35">
      <c r="B772" s="5">
        <v>751</v>
      </c>
      <c r="C772" s="46">
        <f t="shared" ca="1" si="99"/>
        <v>3.1284261758173493</v>
      </c>
      <c r="D772" s="47">
        <f t="shared" ca="1" si="100"/>
        <v>5308236826.7350912</v>
      </c>
      <c r="E772" s="47">
        <f t="shared" ca="1" si="101"/>
        <v>13087953565471.275</v>
      </c>
      <c r="F772" s="47">
        <f t="shared" ca="1" si="102"/>
        <v>8266104586983.0186</v>
      </c>
      <c r="G772" s="47">
        <f t="shared" ca="1" si="103"/>
        <v>2733844687353.4258</v>
      </c>
      <c r="H772" s="47">
        <f t="shared" ca="1" si="104"/>
        <v>13087953565471.275</v>
      </c>
      <c r="I772" s="47">
        <f t="shared" ca="1" si="105"/>
        <v>45057476821247.102</v>
      </c>
      <c r="J772" s="47">
        <f t="shared" ca="1" si="106"/>
        <v>1479624940881.5903</v>
      </c>
      <c r="K772" s="48">
        <f t="shared" ca="1" si="107"/>
        <v>30.451958179618781</v>
      </c>
    </row>
    <row r="773" spans="2:11" ht="15" customHeight="1" x14ac:dyDescent="0.35">
      <c r="B773" s="5">
        <v>752</v>
      </c>
      <c r="C773" s="46">
        <f t="shared" ca="1" si="99"/>
        <v>3.1084878412101737</v>
      </c>
      <c r="D773" s="47">
        <f t="shared" ca="1" si="100"/>
        <v>5324863061.1581678</v>
      </c>
      <c r="E773" s="47">
        <f t="shared" ca="1" si="101"/>
        <v>24286375247495.543</v>
      </c>
      <c r="F773" s="47">
        <f t="shared" ca="1" si="102"/>
        <v>4280794211724.6768</v>
      </c>
      <c r="G773" s="47">
        <f t="shared" ca="1" si="103"/>
        <v>335791924656.86469</v>
      </c>
      <c r="H773" s="47">
        <f t="shared" ca="1" si="104"/>
        <v>335791924656.86469</v>
      </c>
      <c r="I773" s="47">
        <f t="shared" ca="1" si="105"/>
        <v>7321202666681.1855</v>
      </c>
      <c r="J773" s="47">
        <f t="shared" ca="1" si="106"/>
        <v>1821925287208.3335</v>
      </c>
      <c r="K773" s="48">
        <f t="shared" ca="1" si="107"/>
        <v>4.0183879756667658</v>
      </c>
    </row>
    <row r="774" spans="2:11" ht="15" customHeight="1" x14ac:dyDescent="0.35">
      <c r="B774" s="5">
        <v>753</v>
      </c>
      <c r="C774" s="46">
        <f t="shared" ca="1" si="99"/>
        <v>2.5554643345716759</v>
      </c>
      <c r="D774" s="47">
        <f t="shared" ca="1" si="100"/>
        <v>2159947104.81428</v>
      </c>
      <c r="E774" s="47">
        <f t="shared" ca="1" si="101"/>
        <v>5800648158786.8574</v>
      </c>
      <c r="F774" s="47">
        <f t="shared" ca="1" si="102"/>
        <v>13516071486073.324</v>
      </c>
      <c r="G774" s="47">
        <f t="shared" ca="1" si="103"/>
        <v>8099445428046.3564</v>
      </c>
      <c r="H774" s="47">
        <f t="shared" ca="1" si="104"/>
        <v>5800648158786.8574</v>
      </c>
      <c r="I774" s="47">
        <f t="shared" ca="1" si="105"/>
        <v>18230156092835.816</v>
      </c>
      <c r="J774" s="47">
        <f t="shared" ca="1" si="106"/>
        <v>1850674109556.3274</v>
      </c>
      <c r="K774" s="48">
        <f t="shared" ca="1" si="107"/>
        <v>9.8505490505868885</v>
      </c>
    </row>
    <row r="775" spans="2:11" ht="15" customHeight="1" x14ac:dyDescent="0.35">
      <c r="B775" s="5">
        <v>754</v>
      </c>
      <c r="C775" s="46">
        <f t="shared" ca="1" si="99"/>
        <v>2.0121098830691935</v>
      </c>
      <c r="D775" s="47">
        <f t="shared" ca="1" si="100"/>
        <v>760756325.62906301</v>
      </c>
      <c r="E775" s="47">
        <f t="shared" ca="1" si="101"/>
        <v>3639839543196.2188</v>
      </c>
      <c r="F775" s="47">
        <f t="shared" ca="1" si="102"/>
        <v>3636924201914.8398</v>
      </c>
      <c r="G775" s="47">
        <f t="shared" ca="1" si="103"/>
        <v>6349968308054.4463</v>
      </c>
      <c r="H775" s="47">
        <f t="shared" ca="1" si="104"/>
        <v>3636924201914.8398</v>
      </c>
      <c r="I775" s="47">
        <f t="shared" ca="1" si="105"/>
        <v>11771646153998.635</v>
      </c>
      <c r="J775" s="47">
        <f t="shared" ca="1" si="106"/>
        <v>1140707328677.1592</v>
      </c>
      <c r="K775" s="48">
        <f t="shared" ca="1" si="107"/>
        <v>10.31960245898466</v>
      </c>
    </row>
    <row r="776" spans="2:11" ht="15" customHeight="1" x14ac:dyDescent="0.35">
      <c r="B776" s="5">
        <v>755</v>
      </c>
      <c r="C776" s="46">
        <f t="shared" ca="1" si="99"/>
        <v>3.4273943396408857</v>
      </c>
      <c r="D776" s="47">
        <f t="shared" ca="1" si="100"/>
        <v>10755154960.567644</v>
      </c>
      <c r="E776" s="47">
        <f t="shared" ca="1" si="101"/>
        <v>62468466714153.094</v>
      </c>
      <c r="F776" s="47">
        <f t="shared" ca="1" si="102"/>
        <v>12871737914091.525</v>
      </c>
      <c r="G776" s="47">
        <f t="shared" ca="1" si="103"/>
        <v>23357361941216.574</v>
      </c>
      <c r="H776" s="47">
        <f t="shared" ca="1" si="104"/>
        <v>62468466714153.094</v>
      </c>
      <c r="I776" s="47">
        <f t="shared" ca="1" si="105"/>
        <v>13618146101201.293</v>
      </c>
      <c r="J776" s="47">
        <f t="shared" ca="1" si="106"/>
        <v>873730515639.33948</v>
      </c>
      <c r="K776" s="48">
        <f t="shared" ca="1" si="107"/>
        <v>15.586208627767126</v>
      </c>
    </row>
    <row r="777" spans="2:11" ht="15" customHeight="1" x14ac:dyDescent="0.35">
      <c r="B777" s="5">
        <v>756</v>
      </c>
      <c r="C777" s="46">
        <f t="shared" ca="1" si="99"/>
        <v>2.8370746351231433</v>
      </c>
      <c r="D777" s="47">
        <f t="shared" ca="1" si="100"/>
        <v>4016925462.2673507</v>
      </c>
      <c r="E777" s="47">
        <f t="shared" ca="1" si="101"/>
        <v>3962931867815.5239</v>
      </c>
      <c r="F777" s="47">
        <f t="shared" ca="1" si="102"/>
        <v>9077105097123.3125</v>
      </c>
      <c r="G777" s="47">
        <f t="shared" ca="1" si="103"/>
        <v>13489084381439.584</v>
      </c>
      <c r="H777" s="47">
        <f t="shared" ca="1" si="104"/>
        <v>13489084381439.584</v>
      </c>
      <c r="I777" s="47">
        <f t="shared" ca="1" si="105"/>
        <v>14297255819593.037</v>
      </c>
      <c r="J777" s="47">
        <f t="shared" ca="1" si="106"/>
        <v>1864446962680.1257</v>
      </c>
      <c r="K777" s="48">
        <f t="shared" ca="1" si="107"/>
        <v>7.6683628474155467</v>
      </c>
    </row>
    <row r="778" spans="2:11" ht="15" customHeight="1" x14ac:dyDescent="0.35">
      <c r="B778" s="5">
        <v>757</v>
      </c>
      <c r="C778" s="46">
        <f t="shared" ca="1" si="99"/>
        <v>2.2594255008898472</v>
      </c>
      <c r="D778" s="47">
        <f t="shared" ca="1" si="100"/>
        <v>946972563.98113191</v>
      </c>
      <c r="E778" s="47">
        <f t="shared" ca="1" si="101"/>
        <v>4829605357894.4336</v>
      </c>
      <c r="F778" s="47">
        <f t="shared" ca="1" si="102"/>
        <v>1241220011235.6099</v>
      </c>
      <c r="G778" s="47">
        <f t="shared" ca="1" si="103"/>
        <v>27630481130969.762</v>
      </c>
      <c r="H778" s="47">
        <f t="shared" ca="1" si="104"/>
        <v>27630481130969.762</v>
      </c>
      <c r="I778" s="47">
        <f t="shared" ca="1" si="105"/>
        <v>9762812116714.0566</v>
      </c>
      <c r="J778" s="47">
        <f t="shared" ca="1" si="106"/>
        <v>611797147370.63025</v>
      </c>
      <c r="K778" s="48">
        <f t="shared" ca="1" si="107"/>
        <v>15.957596662018577</v>
      </c>
    </row>
    <row r="779" spans="2:11" ht="15" customHeight="1" x14ac:dyDescent="0.35">
      <c r="B779" s="5">
        <v>758</v>
      </c>
      <c r="C779" s="46">
        <f t="shared" ca="1" si="99"/>
        <v>3.1014747401963256</v>
      </c>
      <c r="D779" s="47">
        <f t="shared" ca="1" si="100"/>
        <v>5097917990.322897</v>
      </c>
      <c r="E779" s="47">
        <f t="shared" ca="1" si="101"/>
        <v>9422365715540.6777</v>
      </c>
      <c r="F779" s="47">
        <f t="shared" ca="1" si="102"/>
        <v>53152132711338.391</v>
      </c>
      <c r="G779" s="47">
        <f t="shared" ca="1" si="103"/>
        <v>1140450773889.4788</v>
      </c>
      <c r="H779" s="47">
        <f t="shared" ca="1" si="104"/>
        <v>1140450773889.4788</v>
      </c>
      <c r="I779" s="47">
        <f t="shared" ca="1" si="105"/>
        <v>12249982357042.564</v>
      </c>
      <c r="J779" s="47">
        <f t="shared" ca="1" si="106"/>
        <v>1410824876729.5498</v>
      </c>
      <c r="K779" s="48">
        <f t="shared" ca="1" si="107"/>
        <v>8.6828511171701166</v>
      </c>
    </row>
    <row r="780" spans="2:11" ht="15" customHeight="1" x14ac:dyDescent="0.35">
      <c r="B780" s="5">
        <v>759</v>
      </c>
      <c r="C780" s="46">
        <f t="shared" ca="1" si="99"/>
        <v>2.460742536812472</v>
      </c>
      <c r="D780" s="47">
        <f t="shared" ca="1" si="100"/>
        <v>2146124648.3261657</v>
      </c>
      <c r="E780" s="47">
        <f t="shared" ca="1" si="101"/>
        <v>8449920689642.3193</v>
      </c>
      <c r="F780" s="47">
        <f t="shared" ca="1" si="102"/>
        <v>14593791829640.484</v>
      </c>
      <c r="G780" s="47">
        <f t="shared" ca="1" si="103"/>
        <v>935977907835.56323</v>
      </c>
      <c r="H780" s="47">
        <f t="shared" ca="1" si="104"/>
        <v>14593791829640.484</v>
      </c>
      <c r="I780" s="47">
        <f t="shared" ca="1" si="105"/>
        <v>7024219870420.9893</v>
      </c>
      <c r="J780" s="47">
        <f t="shared" ca="1" si="106"/>
        <v>876787514310.47778</v>
      </c>
      <c r="K780" s="48">
        <f t="shared" ca="1" si="107"/>
        <v>8.0113137513653676</v>
      </c>
    </row>
    <row r="781" spans="2:11" ht="15" customHeight="1" x14ac:dyDescent="0.35">
      <c r="B781" s="5">
        <v>760</v>
      </c>
      <c r="C781" s="46">
        <f t="shared" ca="1" si="99"/>
        <v>2.8708427812869415</v>
      </c>
      <c r="D781" s="47">
        <f t="shared" ca="1" si="100"/>
        <v>4340011421.7396812</v>
      </c>
      <c r="E781" s="47">
        <f t="shared" ca="1" si="101"/>
        <v>10390967301502.389</v>
      </c>
      <c r="F781" s="47">
        <f t="shared" ca="1" si="102"/>
        <v>1720341616509.6509</v>
      </c>
      <c r="G781" s="47">
        <f t="shared" ca="1" si="103"/>
        <v>34694967559623.652</v>
      </c>
      <c r="H781" s="47">
        <f t="shared" ca="1" si="104"/>
        <v>10390967301502.389</v>
      </c>
      <c r="I781" s="47">
        <f t="shared" ca="1" si="105"/>
        <v>6090377537775.8135</v>
      </c>
      <c r="J781" s="47">
        <f t="shared" ca="1" si="106"/>
        <v>1055070565376.0543</v>
      </c>
      <c r="K781" s="48">
        <f t="shared" ca="1" si="107"/>
        <v>5.7724836021797712</v>
      </c>
    </row>
    <row r="782" spans="2:11" ht="15" customHeight="1" x14ac:dyDescent="0.35">
      <c r="B782" s="5">
        <v>761</v>
      </c>
      <c r="C782" s="46">
        <f t="shared" ca="1" si="99"/>
        <v>2.2338208740230208</v>
      </c>
      <c r="D782" s="47">
        <f t="shared" ca="1" si="100"/>
        <v>1005269263.6773823</v>
      </c>
      <c r="E782" s="47">
        <f t="shared" ca="1" si="101"/>
        <v>1356874914394.5471</v>
      </c>
      <c r="F782" s="47">
        <f t="shared" ca="1" si="102"/>
        <v>2485033016802.8652</v>
      </c>
      <c r="G782" s="47">
        <f t="shared" ca="1" si="103"/>
        <v>12142178678264.428</v>
      </c>
      <c r="H782" s="47">
        <f t="shared" ca="1" si="104"/>
        <v>12142178678264.428</v>
      </c>
      <c r="I782" s="47">
        <f t="shared" ca="1" si="105"/>
        <v>2180193372011.4775</v>
      </c>
      <c r="J782" s="47">
        <f t="shared" ca="1" si="106"/>
        <v>535591707382.96368</v>
      </c>
      <c r="K782" s="48">
        <f t="shared" ca="1" si="107"/>
        <v>4.0706257060335247</v>
      </c>
    </row>
    <row r="783" spans="2:11" ht="15" customHeight="1" x14ac:dyDescent="0.35">
      <c r="B783" s="5">
        <v>762</v>
      </c>
      <c r="C783" s="46">
        <f t="shared" ca="1" si="99"/>
        <v>2.729101518197186</v>
      </c>
      <c r="D783" s="47">
        <f t="shared" ca="1" si="100"/>
        <v>2470634555.1685166</v>
      </c>
      <c r="E783" s="47">
        <f t="shared" ca="1" si="101"/>
        <v>13107356171742.848</v>
      </c>
      <c r="F783" s="47">
        <f t="shared" ca="1" si="102"/>
        <v>6312671992813.3496</v>
      </c>
      <c r="G783" s="47">
        <f t="shared" ca="1" si="103"/>
        <v>7497487982191.2979</v>
      </c>
      <c r="H783" s="47">
        <f t="shared" ca="1" si="104"/>
        <v>7497487982191.2979</v>
      </c>
      <c r="I783" s="47">
        <f t="shared" ca="1" si="105"/>
        <v>14849176802808.807</v>
      </c>
      <c r="J783" s="47">
        <f t="shared" ca="1" si="106"/>
        <v>1273761756711.0266</v>
      </c>
      <c r="K783" s="48">
        <f t="shared" ca="1" si="107"/>
        <v>11.657734835084691</v>
      </c>
    </row>
    <row r="784" spans="2:11" ht="15" customHeight="1" x14ac:dyDescent="0.35">
      <c r="B784" s="5">
        <v>763</v>
      </c>
      <c r="C784" s="46">
        <f t="shared" ca="1" si="99"/>
        <v>2.9264132074538494</v>
      </c>
      <c r="D784" s="47">
        <f t="shared" ca="1" si="100"/>
        <v>3689374563.7408962</v>
      </c>
      <c r="E784" s="47">
        <f t="shared" ca="1" si="101"/>
        <v>28788353290708.504</v>
      </c>
      <c r="F784" s="47">
        <f t="shared" ca="1" si="102"/>
        <v>8331893704083.626</v>
      </c>
      <c r="G784" s="47">
        <f t="shared" ca="1" si="103"/>
        <v>4915913527629.501</v>
      </c>
      <c r="H784" s="47">
        <f t="shared" ca="1" si="104"/>
        <v>4915913527629.501</v>
      </c>
      <c r="I784" s="47">
        <f t="shared" ca="1" si="105"/>
        <v>4075472268172.9258</v>
      </c>
      <c r="J784" s="47">
        <f t="shared" ca="1" si="106"/>
        <v>1089123873579.9357</v>
      </c>
      <c r="K784" s="48">
        <f t="shared" ca="1" si="107"/>
        <v>3.7419731281593367</v>
      </c>
    </row>
    <row r="785" spans="2:11" ht="15" customHeight="1" x14ac:dyDescent="0.35">
      <c r="B785" s="5">
        <v>764</v>
      </c>
      <c r="C785" s="46">
        <f t="shared" ca="1" si="99"/>
        <v>3.2915511811510472</v>
      </c>
      <c r="D785" s="47">
        <f t="shared" ca="1" si="100"/>
        <v>8796182473.0542068</v>
      </c>
      <c r="E785" s="47">
        <f t="shared" ca="1" si="101"/>
        <v>47131113543484.078</v>
      </c>
      <c r="F785" s="47">
        <f t="shared" ca="1" si="102"/>
        <v>5103858857314.6982</v>
      </c>
      <c r="G785" s="47">
        <f t="shared" ca="1" si="103"/>
        <v>3500201513912.0649</v>
      </c>
      <c r="H785" s="47">
        <f t="shared" ca="1" si="104"/>
        <v>5103858857314.6982</v>
      </c>
      <c r="I785" s="47">
        <f t="shared" ca="1" si="105"/>
        <v>17263082038658.207</v>
      </c>
      <c r="J785" s="47">
        <f t="shared" ca="1" si="106"/>
        <v>1751270655076.095</v>
      </c>
      <c r="K785" s="48">
        <f t="shared" ca="1" si="107"/>
        <v>9.8574609176604415</v>
      </c>
    </row>
    <row r="786" spans="2:11" ht="15" customHeight="1" x14ac:dyDescent="0.35">
      <c r="B786" s="5">
        <v>765</v>
      </c>
      <c r="C786" s="46">
        <f t="shared" ca="1" si="99"/>
        <v>3.8727158924828697</v>
      </c>
      <c r="D786" s="47">
        <f t="shared" ca="1" si="100"/>
        <v>20200977132.950474</v>
      </c>
      <c r="E786" s="47">
        <f t="shared" ca="1" si="101"/>
        <v>163118910271479.34</v>
      </c>
      <c r="F786" s="47">
        <f t="shared" ca="1" si="102"/>
        <v>2057113381853.5225</v>
      </c>
      <c r="G786" s="47">
        <f t="shared" ca="1" si="103"/>
        <v>2254520485307.2847</v>
      </c>
      <c r="H786" s="47">
        <f t="shared" ca="1" si="104"/>
        <v>2254520485307.2847</v>
      </c>
      <c r="I786" s="47">
        <f t="shared" ca="1" si="105"/>
        <v>17774940494311.207</v>
      </c>
      <c r="J786" s="47">
        <f t="shared" ca="1" si="106"/>
        <v>1242625284530.4392</v>
      </c>
      <c r="K786" s="48">
        <f t="shared" ca="1" si="107"/>
        <v>14.304344773595981</v>
      </c>
    </row>
    <row r="787" spans="2:11" ht="15" customHeight="1" x14ac:dyDescent="0.35">
      <c r="B787" s="5">
        <v>766</v>
      </c>
      <c r="C787" s="46">
        <f t="shared" ca="1" si="99"/>
        <v>2.0463539333779108</v>
      </c>
      <c r="D787" s="47">
        <f t="shared" ca="1" si="100"/>
        <v>839530120.84972739</v>
      </c>
      <c r="E787" s="47">
        <f t="shared" ca="1" si="101"/>
        <v>1675129554258.7363</v>
      </c>
      <c r="F787" s="47">
        <f t="shared" ca="1" si="102"/>
        <v>6410798058272.8652</v>
      </c>
      <c r="G787" s="47">
        <f t="shared" ca="1" si="103"/>
        <v>174100427810254.38</v>
      </c>
      <c r="H787" s="47">
        <f t="shared" ca="1" si="104"/>
        <v>1675129554258.7363</v>
      </c>
      <c r="I787" s="47">
        <f t="shared" ca="1" si="105"/>
        <v>49406629882677.742</v>
      </c>
      <c r="J787" s="47">
        <f t="shared" ca="1" si="106"/>
        <v>1771008740089.3262</v>
      </c>
      <c r="K787" s="48">
        <f t="shared" ca="1" si="107"/>
        <v>27.897451189419748</v>
      </c>
    </row>
    <row r="788" spans="2:11" ht="15" customHeight="1" x14ac:dyDescent="0.35">
      <c r="B788" s="5">
        <v>767</v>
      </c>
      <c r="C788" s="46">
        <f t="shared" ca="1" si="99"/>
        <v>3.4455190745153872</v>
      </c>
      <c r="D788" s="47">
        <f t="shared" ca="1" si="100"/>
        <v>10930640594.002722</v>
      </c>
      <c r="E788" s="47">
        <f t="shared" ca="1" si="101"/>
        <v>18802904854778.305</v>
      </c>
      <c r="F788" s="47">
        <f t="shared" ca="1" si="102"/>
        <v>1665631680962.2209</v>
      </c>
      <c r="G788" s="47">
        <f t="shared" ca="1" si="103"/>
        <v>3223384194555.5991</v>
      </c>
      <c r="H788" s="47">
        <f t="shared" ca="1" si="104"/>
        <v>3223384194555.5991</v>
      </c>
      <c r="I788" s="47">
        <f t="shared" ca="1" si="105"/>
        <v>24723570851148.738</v>
      </c>
      <c r="J788" s="47">
        <f t="shared" ca="1" si="106"/>
        <v>1632980536506.01</v>
      </c>
      <c r="K788" s="48">
        <f t="shared" ca="1" si="107"/>
        <v>15.140150356016044</v>
      </c>
    </row>
    <row r="789" spans="2:11" ht="15" customHeight="1" x14ac:dyDescent="0.35">
      <c r="B789" s="5">
        <v>768</v>
      </c>
      <c r="C789" s="46">
        <f t="shared" ca="1" si="99"/>
        <v>3.2816548294886632</v>
      </c>
      <c r="D789" s="47">
        <f t="shared" ca="1" si="100"/>
        <v>6574745048.8647861</v>
      </c>
      <c r="E789" s="47">
        <f t="shared" ca="1" si="101"/>
        <v>14101017630936.801</v>
      </c>
      <c r="F789" s="47">
        <f t="shared" ca="1" si="102"/>
        <v>12249970922648.787</v>
      </c>
      <c r="G789" s="47">
        <f t="shared" ca="1" si="103"/>
        <v>4886487225933.4775</v>
      </c>
      <c r="H789" s="47">
        <f t="shared" ca="1" si="104"/>
        <v>4886487225933.4775</v>
      </c>
      <c r="I789" s="47">
        <f t="shared" ca="1" si="105"/>
        <v>7685392339908.1885</v>
      </c>
      <c r="J789" s="47">
        <f t="shared" ca="1" si="106"/>
        <v>1256361956703.9524</v>
      </c>
      <c r="K789" s="48">
        <f t="shared" ca="1" si="107"/>
        <v>6.1171800840505428</v>
      </c>
    </row>
    <row r="790" spans="2:11" ht="15" customHeight="1" x14ac:dyDescent="0.35">
      <c r="B790" s="5">
        <v>769</v>
      </c>
      <c r="C790" s="46">
        <f t="shared" ref="C790:C853" ca="1" si="108">MEDIAN(1.8,NORMINV(RAND(),$C$7,$D$7),4.5)</f>
        <v>3.0901392491576969</v>
      </c>
      <c r="D790" s="47">
        <f t="shared" ref="D790:D853" ca="1" si="109">($C$8+RAND()*($D$8-$C$8))*C790^5</f>
        <v>5487422022.1276932</v>
      </c>
      <c r="E790" s="47">
        <f t="shared" ref="E790:E853" ca="1" si="110">D790*($C$10+RAND()*($D$10-$C$10))*EXP(NORMINV(RAND(),$C$9,$D$9))*($C$11+RAND()*($D$11-$C$11))</f>
        <v>18264397693607.313</v>
      </c>
      <c r="F790" s="47">
        <f t="shared" ref="F790:F853" ca="1" si="111">EXP(NORMINV(RAND(),$C$12,$D$12))*EXP(NORMINV(RAND(),$C$13,$D$13))</f>
        <v>16700364456020.008</v>
      </c>
      <c r="G790" s="47">
        <f t="shared" ref="G790:G853" ca="1" si="112">EXP(NORMINV(RAND(),$C$14,$D$14))*($C$15+RAND()*($D$15-$C$15))*EXP(NORMINV(RAND(),$C$16,$D$16))/1000000*31536000</f>
        <v>105057284473.1794</v>
      </c>
      <c r="H790" s="47">
        <f t="shared" ref="H790:H853" ca="1" si="113">CHOOSE(RANDBETWEEN(1,3),E790,F790,G790)</f>
        <v>105057284473.1794</v>
      </c>
      <c r="I790" s="47">
        <f t="shared" ref="I790:I853" ca="1" si="114">EXP(NORMINV(RAND(),$C$14,$D$14))*($C$15+RAND()*($D$15-$C$15))*60</f>
        <v>3847064255690.4751</v>
      </c>
      <c r="J790" s="47">
        <f t="shared" ref="J790:J853" ca="1" si="115">($C$17+RAND()*($D$17-$C$17))*($C$18+RAND()*($D$18-$C$18))</f>
        <v>1889802887138.9385</v>
      </c>
      <c r="K790" s="48">
        <f t="shared" ref="K790:K853" ca="1" si="116">I790/J790</f>
        <v>2.0356960410377649</v>
      </c>
    </row>
    <row r="791" spans="2:11" ht="15" customHeight="1" x14ac:dyDescent="0.35">
      <c r="B791" s="5">
        <v>770</v>
      </c>
      <c r="C791" s="46">
        <f t="shared" ca="1" si="108"/>
        <v>2.8583601198125779</v>
      </c>
      <c r="D791" s="47">
        <f t="shared" ca="1" si="109"/>
        <v>3460117225.0787539</v>
      </c>
      <c r="E791" s="47">
        <f t="shared" ca="1" si="110"/>
        <v>9715635729759.4219</v>
      </c>
      <c r="F791" s="47">
        <f t="shared" ca="1" si="111"/>
        <v>3547300607463.8042</v>
      </c>
      <c r="G791" s="47">
        <f t="shared" ca="1" si="112"/>
        <v>624506338181.83276</v>
      </c>
      <c r="H791" s="47">
        <f t="shared" ca="1" si="113"/>
        <v>3547300607463.8042</v>
      </c>
      <c r="I791" s="47">
        <f t="shared" ca="1" si="114"/>
        <v>26353939680113.371</v>
      </c>
      <c r="J791" s="47">
        <f t="shared" ca="1" si="115"/>
        <v>1422358995234.3521</v>
      </c>
      <c r="K791" s="48">
        <f t="shared" ca="1" si="116"/>
        <v>18.528331995236702</v>
      </c>
    </row>
    <row r="792" spans="2:11" ht="15" customHeight="1" x14ac:dyDescent="0.35">
      <c r="B792" s="5">
        <v>771</v>
      </c>
      <c r="C792" s="46">
        <f t="shared" ca="1" si="108"/>
        <v>2.9509260173326655</v>
      </c>
      <c r="D792" s="47">
        <f t="shared" ca="1" si="109"/>
        <v>3936205629.6015496</v>
      </c>
      <c r="E792" s="47">
        <f t="shared" ca="1" si="110"/>
        <v>16593015983627.021</v>
      </c>
      <c r="F792" s="47">
        <f t="shared" ca="1" si="111"/>
        <v>5082146460956.2119</v>
      </c>
      <c r="G792" s="47">
        <f t="shared" ca="1" si="112"/>
        <v>604746404224.29346</v>
      </c>
      <c r="H792" s="47">
        <f t="shared" ca="1" si="113"/>
        <v>16593015983627.021</v>
      </c>
      <c r="I792" s="47">
        <f t="shared" ca="1" si="114"/>
        <v>79906271423223.484</v>
      </c>
      <c r="J792" s="47">
        <f t="shared" ca="1" si="115"/>
        <v>1802498514328.0078</v>
      </c>
      <c r="K792" s="48">
        <f t="shared" ca="1" si="116"/>
        <v>44.330838992682033</v>
      </c>
    </row>
    <row r="793" spans="2:11" ht="15" customHeight="1" x14ac:dyDescent="0.35">
      <c r="B793" s="5">
        <v>772</v>
      </c>
      <c r="C793" s="46">
        <f t="shared" ca="1" si="108"/>
        <v>2.351782579037982</v>
      </c>
      <c r="D793" s="47">
        <f t="shared" ca="1" si="109"/>
        <v>1412416882.6350162</v>
      </c>
      <c r="E793" s="47">
        <f t="shared" ca="1" si="110"/>
        <v>3716216491650.8154</v>
      </c>
      <c r="F793" s="47">
        <f t="shared" ca="1" si="111"/>
        <v>2567514825333.3296</v>
      </c>
      <c r="G793" s="47">
        <f t="shared" ca="1" si="112"/>
        <v>5656319929628.1611</v>
      </c>
      <c r="H793" s="47">
        <f t="shared" ca="1" si="113"/>
        <v>5656319929628.1611</v>
      </c>
      <c r="I793" s="47">
        <f t="shared" ca="1" si="114"/>
        <v>10440078035669.828</v>
      </c>
      <c r="J793" s="47">
        <f t="shared" ca="1" si="115"/>
        <v>856762325540.09595</v>
      </c>
      <c r="K793" s="48">
        <f t="shared" ca="1" si="116"/>
        <v>12.185500837806435</v>
      </c>
    </row>
    <row r="794" spans="2:11" ht="15" customHeight="1" x14ac:dyDescent="0.35">
      <c r="B794" s="5">
        <v>773</v>
      </c>
      <c r="C794" s="46">
        <f t="shared" ca="1" si="108"/>
        <v>3.3169012523175967</v>
      </c>
      <c r="D794" s="47">
        <f t="shared" ca="1" si="109"/>
        <v>7263132818.8590136</v>
      </c>
      <c r="E794" s="47">
        <f t="shared" ca="1" si="110"/>
        <v>13606964879106.324</v>
      </c>
      <c r="F794" s="47">
        <f t="shared" ca="1" si="111"/>
        <v>623540844202.39099</v>
      </c>
      <c r="G794" s="47">
        <f t="shared" ca="1" si="112"/>
        <v>513683844681.6283</v>
      </c>
      <c r="H794" s="47">
        <f t="shared" ca="1" si="113"/>
        <v>513683844681.6283</v>
      </c>
      <c r="I794" s="47">
        <f t="shared" ca="1" si="114"/>
        <v>38273622648502.258</v>
      </c>
      <c r="J794" s="47">
        <f t="shared" ca="1" si="115"/>
        <v>1784099084056.2051</v>
      </c>
      <c r="K794" s="48">
        <f t="shared" ca="1" si="116"/>
        <v>21.452632866940316</v>
      </c>
    </row>
    <row r="795" spans="2:11" ht="15" customHeight="1" x14ac:dyDescent="0.35">
      <c r="B795" s="5">
        <v>774</v>
      </c>
      <c r="C795" s="46">
        <f t="shared" ca="1" si="108"/>
        <v>2.2469871525283907</v>
      </c>
      <c r="D795" s="47">
        <f t="shared" ca="1" si="109"/>
        <v>1149197543.817215</v>
      </c>
      <c r="E795" s="47">
        <f t="shared" ca="1" si="110"/>
        <v>2839671174528.9453</v>
      </c>
      <c r="F795" s="47">
        <f t="shared" ca="1" si="111"/>
        <v>24073049517152.539</v>
      </c>
      <c r="G795" s="47">
        <f t="shared" ca="1" si="112"/>
        <v>542854897581.76373</v>
      </c>
      <c r="H795" s="47">
        <f t="shared" ca="1" si="113"/>
        <v>2839671174528.9453</v>
      </c>
      <c r="I795" s="47">
        <f t="shared" ca="1" si="114"/>
        <v>13488179805474.639</v>
      </c>
      <c r="J795" s="47">
        <f t="shared" ca="1" si="115"/>
        <v>811745623394.67419</v>
      </c>
      <c r="K795" s="48">
        <f t="shared" ca="1" si="116"/>
        <v>16.616264278787035</v>
      </c>
    </row>
    <row r="796" spans="2:11" ht="15" customHeight="1" x14ac:dyDescent="0.35">
      <c r="B796" s="5">
        <v>775</v>
      </c>
      <c r="C796" s="46">
        <f t="shared" ca="1" si="108"/>
        <v>3.3343928164048799</v>
      </c>
      <c r="D796" s="47">
        <f t="shared" ca="1" si="109"/>
        <v>9597294896.6177311</v>
      </c>
      <c r="E796" s="47">
        <f t="shared" ca="1" si="110"/>
        <v>41198713581682.781</v>
      </c>
      <c r="F796" s="47">
        <f t="shared" ca="1" si="111"/>
        <v>1822538059652.9097</v>
      </c>
      <c r="G796" s="47">
        <f t="shared" ca="1" si="112"/>
        <v>43331553084755.297</v>
      </c>
      <c r="H796" s="47">
        <f t="shared" ca="1" si="113"/>
        <v>41198713581682.781</v>
      </c>
      <c r="I796" s="47">
        <f t="shared" ca="1" si="114"/>
        <v>22467201105959.398</v>
      </c>
      <c r="J796" s="47">
        <f t="shared" ca="1" si="115"/>
        <v>1106440862290.7341</v>
      </c>
      <c r="K796" s="48">
        <f t="shared" ca="1" si="116"/>
        <v>20.305830950100791</v>
      </c>
    </row>
    <row r="797" spans="2:11" ht="15" customHeight="1" x14ac:dyDescent="0.35">
      <c r="B797" s="5">
        <v>776</v>
      </c>
      <c r="C797" s="46">
        <f t="shared" ca="1" si="108"/>
        <v>3.3289298551055757</v>
      </c>
      <c r="D797" s="47">
        <f t="shared" ca="1" si="109"/>
        <v>8283592450.9335938</v>
      </c>
      <c r="E797" s="47">
        <f t="shared" ca="1" si="110"/>
        <v>13415895645221.451</v>
      </c>
      <c r="F797" s="47">
        <f t="shared" ca="1" si="111"/>
        <v>1243553689850.0378</v>
      </c>
      <c r="G797" s="47">
        <f t="shared" ca="1" si="112"/>
        <v>1314962974651.7595</v>
      </c>
      <c r="H797" s="47">
        <f t="shared" ca="1" si="113"/>
        <v>1314962974651.7595</v>
      </c>
      <c r="I797" s="47">
        <f t="shared" ca="1" si="114"/>
        <v>64904362567641.023</v>
      </c>
      <c r="J797" s="47">
        <f t="shared" ca="1" si="115"/>
        <v>1530889815234.5349</v>
      </c>
      <c r="K797" s="48">
        <f t="shared" ca="1" si="116"/>
        <v>42.396495111372573</v>
      </c>
    </row>
    <row r="798" spans="2:11" ht="15" customHeight="1" x14ac:dyDescent="0.35">
      <c r="B798" s="5">
        <v>777</v>
      </c>
      <c r="C798" s="46">
        <f t="shared" ca="1" si="108"/>
        <v>3.2525080308343011</v>
      </c>
      <c r="D798" s="47">
        <f t="shared" ca="1" si="109"/>
        <v>6061138193.8185301</v>
      </c>
      <c r="E798" s="47">
        <f t="shared" ca="1" si="110"/>
        <v>11173275320018.23</v>
      </c>
      <c r="F798" s="47">
        <f t="shared" ca="1" si="111"/>
        <v>824044567744.67578</v>
      </c>
      <c r="G798" s="47">
        <f t="shared" ca="1" si="112"/>
        <v>1415872069874.8416</v>
      </c>
      <c r="H798" s="47">
        <f t="shared" ca="1" si="113"/>
        <v>11173275320018.23</v>
      </c>
      <c r="I798" s="47">
        <f t="shared" ca="1" si="114"/>
        <v>5406777193211.7217</v>
      </c>
      <c r="J798" s="47">
        <f t="shared" ca="1" si="115"/>
        <v>1600627450403.9014</v>
      </c>
      <c r="K798" s="48">
        <f t="shared" ca="1" si="116"/>
        <v>3.3779110759642283</v>
      </c>
    </row>
    <row r="799" spans="2:11" ht="15" customHeight="1" x14ac:dyDescent="0.35">
      <c r="B799" s="5">
        <v>778</v>
      </c>
      <c r="C799" s="46">
        <f t="shared" ca="1" si="108"/>
        <v>2.932389700645925</v>
      </c>
      <c r="D799" s="47">
        <f t="shared" ca="1" si="109"/>
        <v>4886648706.1919832</v>
      </c>
      <c r="E799" s="47">
        <f t="shared" ca="1" si="110"/>
        <v>8705427475934.5703</v>
      </c>
      <c r="F799" s="47">
        <f t="shared" ca="1" si="111"/>
        <v>336771233822.60675</v>
      </c>
      <c r="G799" s="47">
        <f t="shared" ca="1" si="112"/>
        <v>20963902984554.691</v>
      </c>
      <c r="H799" s="47">
        <f t="shared" ca="1" si="113"/>
        <v>8705427475934.5703</v>
      </c>
      <c r="I799" s="47">
        <f t="shared" ca="1" si="114"/>
        <v>17266211099053.199</v>
      </c>
      <c r="J799" s="47">
        <f t="shared" ca="1" si="115"/>
        <v>1548831914090.6736</v>
      </c>
      <c r="K799" s="48">
        <f t="shared" ca="1" si="116"/>
        <v>11.147892125654108</v>
      </c>
    </row>
    <row r="800" spans="2:11" ht="15" customHeight="1" x14ac:dyDescent="0.35">
      <c r="B800" s="5">
        <v>779</v>
      </c>
      <c r="C800" s="46">
        <f t="shared" ca="1" si="108"/>
        <v>2.7961121433477056</v>
      </c>
      <c r="D800" s="47">
        <f t="shared" ca="1" si="109"/>
        <v>2803909419.0709019</v>
      </c>
      <c r="E800" s="47">
        <f t="shared" ca="1" si="110"/>
        <v>3241270558153.6689</v>
      </c>
      <c r="F800" s="47">
        <f t="shared" ca="1" si="111"/>
        <v>5622007664387.4619</v>
      </c>
      <c r="G800" s="47">
        <f t="shared" ca="1" si="112"/>
        <v>5908515514282.5088</v>
      </c>
      <c r="H800" s="47">
        <f t="shared" ca="1" si="113"/>
        <v>5622007664387.4619</v>
      </c>
      <c r="I800" s="47">
        <f t="shared" ca="1" si="114"/>
        <v>2367217495741.7827</v>
      </c>
      <c r="J800" s="47">
        <f t="shared" ca="1" si="115"/>
        <v>633404809787.00171</v>
      </c>
      <c r="K800" s="48">
        <f t="shared" ca="1" si="116"/>
        <v>3.7372900539511518</v>
      </c>
    </row>
    <row r="801" spans="2:11" ht="15" customHeight="1" x14ac:dyDescent="0.35">
      <c r="B801" s="5">
        <v>780</v>
      </c>
      <c r="C801" s="46">
        <f t="shared" ca="1" si="108"/>
        <v>3.1764338249398447</v>
      </c>
      <c r="D801" s="47">
        <f t="shared" ca="1" si="109"/>
        <v>6766651158.607275</v>
      </c>
      <c r="E801" s="47">
        <f t="shared" ca="1" si="110"/>
        <v>57260933176601.672</v>
      </c>
      <c r="F801" s="47">
        <f t="shared" ca="1" si="111"/>
        <v>4278119242593.0469</v>
      </c>
      <c r="G801" s="47">
        <f t="shared" ca="1" si="112"/>
        <v>48317230014577.117</v>
      </c>
      <c r="H801" s="47">
        <f t="shared" ca="1" si="113"/>
        <v>48317230014577.117</v>
      </c>
      <c r="I801" s="47">
        <f t="shared" ca="1" si="114"/>
        <v>1251235296242.0161</v>
      </c>
      <c r="J801" s="47">
        <f t="shared" ca="1" si="115"/>
        <v>1168651940237.894</v>
      </c>
      <c r="K801" s="48">
        <f t="shared" ca="1" si="116"/>
        <v>1.0706654848725201</v>
      </c>
    </row>
    <row r="802" spans="2:11" ht="15" customHeight="1" x14ac:dyDescent="0.35">
      <c r="B802" s="5">
        <v>781</v>
      </c>
      <c r="C802" s="46">
        <f t="shared" ca="1" si="108"/>
        <v>3.1475152960896389</v>
      </c>
      <c r="D802" s="47">
        <f t="shared" ca="1" si="109"/>
        <v>6256260626.0320263</v>
      </c>
      <c r="E802" s="47">
        <f t="shared" ca="1" si="110"/>
        <v>73094989551623.188</v>
      </c>
      <c r="F802" s="47">
        <f t="shared" ca="1" si="111"/>
        <v>2324327202283.519</v>
      </c>
      <c r="G802" s="47">
        <f t="shared" ca="1" si="112"/>
        <v>967904679317.92407</v>
      </c>
      <c r="H802" s="47">
        <f t="shared" ca="1" si="113"/>
        <v>967904679317.92407</v>
      </c>
      <c r="I802" s="47">
        <f t="shared" ca="1" si="114"/>
        <v>39719888586746.219</v>
      </c>
      <c r="J802" s="47">
        <f t="shared" ca="1" si="115"/>
        <v>1249538818395.8584</v>
      </c>
      <c r="K802" s="48">
        <f t="shared" ca="1" si="116"/>
        <v>31.787638768788387</v>
      </c>
    </row>
    <row r="803" spans="2:11" ht="15" customHeight="1" x14ac:dyDescent="0.35">
      <c r="B803" s="5">
        <v>782</v>
      </c>
      <c r="C803" s="46">
        <f t="shared" ca="1" si="108"/>
        <v>2.9127142895665092</v>
      </c>
      <c r="D803" s="47">
        <f t="shared" ca="1" si="109"/>
        <v>4847870892.7775888</v>
      </c>
      <c r="E803" s="47">
        <f t="shared" ca="1" si="110"/>
        <v>15710082653073.592</v>
      </c>
      <c r="F803" s="47">
        <f t="shared" ca="1" si="111"/>
        <v>7688564574471.3174</v>
      </c>
      <c r="G803" s="47">
        <f t="shared" ca="1" si="112"/>
        <v>10053971831469.615</v>
      </c>
      <c r="H803" s="47">
        <f t="shared" ca="1" si="113"/>
        <v>7688564574471.3174</v>
      </c>
      <c r="I803" s="47">
        <f t="shared" ca="1" si="114"/>
        <v>959552110765.87695</v>
      </c>
      <c r="J803" s="47">
        <f t="shared" ca="1" si="115"/>
        <v>1466857164235.532</v>
      </c>
      <c r="K803" s="48">
        <f t="shared" ca="1" si="116"/>
        <v>0.65415511077791788</v>
      </c>
    </row>
    <row r="804" spans="2:11" ht="15" customHeight="1" x14ac:dyDescent="0.35">
      <c r="B804" s="5">
        <v>783</v>
      </c>
      <c r="C804" s="46">
        <f t="shared" ca="1" si="108"/>
        <v>2.3842812463123542</v>
      </c>
      <c r="D804" s="47">
        <f t="shared" ca="1" si="109"/>
        <v>1611344827.1119959</v>
      </c>
      <c r="E804" s="47">
        <f t="shared" ca="1" si="110"/>
        <v>3330400141724.4971</v>
      </c>
      <c r="F804" s="47">
        <f t="shared" ca="1" si="111"/>
        <v>392053406254.63623</v>
      </c>
      <c r="G804" s="47">
        <f t="shared" ca="1" si="112"/>
        <v>10351836556674.617</v>
      </c>
      <c r="H804" s="47">
        <f t="shared" ca="1" si="113"/>
        <v>392053406254.63623</v>
      </c>
      <c r="I804" s="47">
        <f t="shared" ca="1" si="114"/>
        <v>11185286820897.139</v>
      </c>
      <c r="J804" s="47">
        <f t="shared" ca="1" si="115"/>
        <v>1917000668047.8533</v>
      </c>
      <c r="K804" s="48">
        <f t="shared" ca="1" si="116"/>
        <v>5.834785040678935</v>
      </c>
    </row>
    <row r="805" spans="2:11" ht="15" customHeight="1" x14ac:dyDescent="0.35">
      <c r="B805" s="5">
        <v>784</v>
      </c>
      <c r="C805" s="46">
        <f t="shared" ca="1" si="108"/>
        <v>3.4670176648435742</v>
      </c>
      <c r="D805" s="47">
        <f t="shared" ca="1" si="109"/>
        <v>11702906756.948885</v>
      </c>
      <c r="E805" s="47">
        <f t="shared" ca="1" si="110"/>
        <v>16078677057407.199</v>
      </c>
      <c r="F805" s="47">
        <f t="shared" ca="1" si="111"/>
        <v>2259095673391.6006</v>
      </c>
      <c r="G805" s="47">
        <f t="shared" ca="1" si="112"/>
        <v>14056039355860.023</v>
      </c>
      <c r="H805" s="47">
        <f t="shared" ca="1" si="113"/>
        <v>14056039355860.023</v>
      </c>
      <c r="I805" s="47">
        <f t="shared" ca="1" si="114"/>
        <v>23175036118443.387</v>
      </c>
      <c r="J805" s="47">
        <f t="shared" ca="1" si="115"/>
        <v>1556137468830.9258</v>
      </c>
      <c r="K805" s="48">
        <f t="shared" ca="1" si="116"/>
        <v>14.892666350264042</v>
      </c>
    </row>
    <row r="806" spans="2:11" ht="15" customHeight="1" x14ac:dyDescent="0.35">
      <c r="B806" s="5">
        <v>785</v>
      </c>
      <c r="C806" s="46">
        <f t="shared" ca="1" si="108"/>
        <v>2.7824752565109714</v>
      </c>
      <c r="D806" s="47">
        <f t="shared" ca="1" si="109"/>
        <v>3098703995.3716631</v>
      </c>
      <c r="E806" s="47">
        <f t="shared" ca="1" si="110"/>
        <v>13871524733982.412</v>
      </c>
      <c r="F806" s="47">
        <f t="shared" ca="1" si="111"/>
        <v>4206871287570.5264</v>
      </c>
      <c r="G806" s="47">
        <f t="shared" ca="1" si="112"/>
        <v>940329523756.60315</v>
      </c>
      <c r="H806" s="47">
        <f t="shared" ca="1" si="113"/>
        <v>940329523756.60315</v>
      </c>
      <c r="I806" s="47">
        <f t="shared" ca="1" si="114"/>
        <v>3380298461874.0854</v>
      </c>
      <c r="J806" s="47">
        <f t="shared" ca="1" si="115"/>
        <v>1422838445497.0425</v>
      </c>
      <c r="K806" s="48">
        <f t="shared" ca="1" si="116"/>
        <v>2.3757429893548037</v>
      </c>
    </row>
    <row r="807" spans="2:11" ht="15" customHeight="1" x14ac:dyDescent="0.35">
      <c r="B807" s="5">
        <v>786</v>
      </c>
      <c r="C807" s="46">
        <f t="shared" ca="1" si="108"/>
        <v>3.3459536556225489</v>
      </c>
      <c r="D807" s="47">
        <f t="shared" ca="1" si="109"/>
        <v>6900802168.5003309</v>
      </c>
      <c r="E807" s="47">
        <f t="shared" ca="1" si="110"/>
        <v>10590115340196.266</v>
      </c>
      <c r="F807" s="47">
        <f t="shared" ca="1" si="111"/>
        <v>3917180998061.1157</v>
      </c>
      <c r="G807" s="47">
        <f t="shared" ca="1" si="112"/>
        <v>7302360426034.3213</v>
      </c>
      <c r="H807" s="47">
        <f t="shared" ca="1" si="113"/>
        <v>7302360426034.3213</v>
      </c>
      <c r="I807" s="47">
        <f t="shared" ca="1" si="114"/>
        <v>39069749015683.688</v>
      </c>
      <c r="J807" s="47">
        <f t="shared" ca="1" si="115"/>
        <v>1625219668252.0806</v>
      </c>
      <c r="K807" s="48">
        <f t="shared" ca="1" si="116"/>
        <v>24.039672777097941</v>
      </c>
    </row>
    <row r="808" spans="2:11" ht="15" customHeight="1" x14ac:dyDescent="0.35">
      <c r="B808" s="5">
        <v>787</v>
      </c>
      <c r="C808" s="46">
        <f t="shared" ca="1" si="108"/>
        <v>2.6596703980980569</v>
      </c>
      <c r="D808" s="47">
        <f t="shared" ca="1" si="109"/>
        <v>2868525021.8720646</v>
      </c>
      <c r="E808" s="47">
        <f t="shared" ca="1" si="110"/>
        <v>8733388114658.9707</v>
      </c>
      <c r="F808" s="47">
        <f t="shared" ca="1" si="111"/>
        <v>1160447926099.8918</v>
      </c>
      <c r="G808" s="47">
        <f t="shared" ca="1" si="112"/>
        <v>2262420090310.9736</v>
      </c>
      <c r="H808" s="47">
        <f t="shared" ca="1" si="113"/>
        <v>1160447926099.8918</v>
      </c>
      <c r="I808" s="47">
        <f t="shared" ca="1" si="114"/>
        <v>7081339486694.5596</v>
      </c>
      <c r="J808" s="47">
        <f t="shared" ca="1" si="115"/>
        <v>1942748940013.8223</v>
      </c>
      <c r="K808" s="48">
        <f t="shared" ca="1" si="116"/>
        <v>3.6450100889743258</v>
      </c>
    </row>
    <row r="809" spans="2:11" ht="15" customHeight="1" x14ac:dyDescent="0.35">
      <c r="B809" s="5">
        <v>788</v>
      </c>
      <c r="C809" s="46">
        <f t="shared" ca="1" si="108"/>
        <v>2.6607420286716437</v>
      </c>
      <c r="D809" s="47">
        <f t="shared" ca="1" si="109"/>
        <v>2676864094.3921781</v>
      </c>
      <c r="E809" s="47">
        <f t="shared" ca="1" si="110"/>
        <v>8086490681551.2471</v>
      </c>
      <c r="F809" s="47">
        <f t="shared" ca="1" si="111"/>
        <v>3262975121612.0625</v>
      </c>
      <c r="G809" s="47">
        <f t="shared" ca="1" si="112"/>
        <v>5672219656888.4307</v>
      </c>
      <c r="H809" s="47">
        <f t="shared" ca="1" si="113"/>
        <v>3262975121612.0625</v>
      </c>
      <c r="I809" s="47">
        <f t="shared" ca="1" si="114"/>
        <v>58985505378570.719</v>
      </c>
      <c r="J809" s="47">
        <f t="shared" ca="1" si="115"/>
        <v>1344744879579.24</v>
      </c>
      <c r="K809" s="48">
        <f t="shared" ca="1" si="116"/>
        <v>43.863714429629816</v>
      </c>
    </row>
    <row r="810" spans="2:11" ht="15" customHeight="1" x14ac:dyDescent="0.35">
      <c r="B810" s="5">
        <v>789</v>
      </c>
      <c r="C810" s="46">
        <f t="shared" ca="1" si="108"/>
        <v>2.856623589450364</v>
      </c>
      <c r="D810" s="47">
        <f t="shared" ca="1" si="109"/>
        <v>3978231278.229362</v>
      </c>
      <c r="E810" s="47">
        <f t="shared" ca="1" si="110"/>
        <v>24328754083751.652</v>
      </c>
      <c r="F810" s="47">
        <f t="shared" ca="1" si="111"/>
        <v>2565507476411.6938</v>
      </c>
      <c r="G810" s="47">
        <f t="shared" ca="1" si="112"/>
        <v>271548112917.43182</v>
      </c>
      <c r="H810" s="47">
        <f t="shared" ca="1" si="113"/>
        <v>271548112917.43182</v>
      </c>
      <c r="I810" s="47">
        <f t="shared" ca="1" si="114"/>
        <v>4995480286004.9785</v>
      </c>
      <c r="J810" s="47">
        <f t="shared" ca="1" si="115"/>
        <v>633059808700.07678</v>
      </c>
      <c r="K810" s="48">
        <f t="shared" ca="1" si="116"/>
        <v>7.8910084281968293</v>
      </c>
    </row>
    <row r="811" spans="2:11" ht="15" customHeight="1" x14ac:dyDescent="0.35">
      <c r="B811" s="5">
        <v>790</v>
      </c>
      <c r="C811" s="46">
        <f t="shared" ca="1" si="108"/>
        <v>2.1443795562531829</v>
      </c>
      <c r="D811" s="47">
        <f t="shared" ca="1" si="109"/>
        <v>936090236.50748396</v>
      </c>
      <c r="E811" s="47">
        <f t="shared" ca="1" si="110"/>
        <v>3814654934163.5342</v>
      </c>
      <c r="F811" s="47">
        <f t="shared" ca="1" si="111"/>
        <v>3664825476256.2974</v>
      </c>
      <c r="G811" s="47">
        <f t="shared" ca="1" si="112"/>
        <v>23754562302605.938</v>
      </c>
      <c r="H811" s="47">
        <f t="shared" ca="1" si="113"/>
        <v>3664825476256.2974</v>
      </c>
      <c r="I811" s="47">
        <f t="shared" ca="1" si="114"/>
        <v>11465270671365.32</v>
      </c>
      <c r="J811" s="47">
        <f t="shared" ca="1" si="115"/>
        <v>2479680518677.7886</v>
      </c>
      <c r="K811" s="48">
        <f t="shared" ca="1" si="116"/>
        <v>4.6236886506164971</v>
      </c>
    </row>
    <row r="812" spans="2:11" ht="15" customHeight="1" x14ac:dyDescent="0.35">
      <c r="B812" s="5">
        <v>791</v>
      </c>
      <c r="C812" s="46">
        <f t="shared" ca="1" si="108"/>
        <v>3.2559926131157413</v>
      </c>
      <c r="D812" s="47">
        <f t="shared" ca="1" si="109"/>
        <v>7538264954.8667965</v>
      </c>
      <c r="E812" s="47">
        <f t="shared" ca="1" si="110"/>
        <v>29112160524478.773</v>
      </c>
      <c r="F812" s="47">
        <f t="shared" ca="1" si="111"/>
        <v>1227351341578.9128</v>
      </c>
      <c r="G812" s="47">
        <f t="shared" ca="1" si="112"/>
        <v>20587660085424.273</v>
      </c>
      <c r="H812" s="47">
        <f t="shared" ca="1" si="113"/>
        <v>29112160524478.773</v>
      </c>
      <c r="I812" s="47">
        <f t="shared" ca="1" si="114"/>
        <v>8620311729292.0518</v>
      </c>
      <c r="J812" s="47">
        <f t="shared" ca="1" si="115"/>
        <v>994305250067.97754</v>
      </c>
      <c r="K812" s="48">
        <f t="shared" ca="1" si="116"/>
        <v>8.6696834082920802</v>
      </c>
    </row>
    <row r="813" spans="2:11" ht="15" customHeight="1" x14ac:dyDescent="0.35">
      <c r="B813" s="5">
        <v>792</v>
      </c>
      <c r="C813" s="46">
        <f t="shared" ca="1" si="108"/>
        <v>2.3167585611586325</v>
      </c>
      <c r="D813" s="47">
        <f t="shared" ca="1" si="109"/>
        <v>1476210200.4012992</v>
      </c>
      <c r="E813" s="47">
        <f t="shared" ca="1" si="110"/>
        <v>11128443031495.332</v>
      </c>
      <c r="F813" s="47">
        <f t="shared" ca="1" si="111"/>
        <v>748828398453.41333</v>
      </c>
      <c r="G813" s="47">
        <f t="shared" ca="1" si="112"/>
        <v>2531735415160.0176</v>
      </c>
      <c r="H813" s="47">
        <f t="shared" ca="1" si="113"/>
        <v>748828398453.41333</v>
      </c>
      <c r="I813" s="47">
        <f t="shared" ca="1" si="114"/>
        <v>11142018406868.203</v>
      </c>
      <c r="J813" s="47">
        <f t="shared" ca="1" si="115"/>
        <v>777271808868.43115</v>
      </c>
      <c r="K813" s="48">
        <f t="shared" ca="1" si="116"/>
        <v>14.334777461039003</v>
      </c>
    </row>
    <row r="814" spans="2:11" ht="15" customHeight="1" x14ac:dyDescent="0.35">
      <c r="B814" s="5">
        <v>793</v>
      </c>
      <c r="C814" s="46">
        <f t="shared" ca="1" si="108"/>
        <v>3.4743812272231791</v>
      </c>
      <c r="D814" s="47">
        <f t="shared" ca="1" si="109"/>
        <v>9339883642.2790565</v>
      </c>
      <c r="E814" s="47">
        <f t="shared" ca="1" si="110"/>
        <v>20185130354897.492</v>
      </c>
      <c r="F814" s="47">
        <f t="shared" ca="1" si="111"/>
        <v>1866841166502.0608</v>
      </c>
      <c r="G814" s="47">
        <f t="shared" ca="1" si="112"/>
        <v>9735715698634.3867</v>
      </c>
      <c r="H814" s="47">
        <f t="shared" ca="1" si="113"/>
        <v>9735715698634.3867</v>
      </c>
      <c r="I814" s="47">
        <f t="shared" ca="1" si="114"/>
        <v>22562391102495.797</v>
      </c>
      <c r="J814" s="47">
        <f t="shared" ca="1" si="115"/>
        <v>2255515661755.252</v>
      </c>
      <c r="K814" s="48">
        <f t="shared" ca="1" si="116"/>
        <v>10.003207463847822</v>
      </c>
    </row>
    <row r="815" spans="2:11" ht="15" customHeight="1" x14ac:dyDescent="0.35">
      <c r="B815" s="5">
        <v>794</v>
      </c>
      <c r="C815" s="46">
        <f t="shared" ca="1" si="108"/>
        <v>2.8609972374938755</v>
      </c>
      <c r="D815" s="47">
        <f t="shared" ca="1" si="109"/>
        <v>4130081441.5618353</v>
      </c>
      <c r="E815" s="47">
        <f t="shared" ca="1" si="110"/>
        <v>11327744289682.4</v>
      </c>
      <c r="F815" s="47">
        <f t="shared" ca="1" si="111"/>
        <v>830290286110.15698</v>
      </c>
      <c r="G815" s="47">
        <f t="shared" ca="1" si="112"/>
        <v>2700333059414.7109</v>
      </c>
      <c r="H815" s="47">
        <f t="shared" ca="1" si="113"/>
        <v>11327744289682.4</v>
      </c>
      <c r="I815" s="47">
        <f t="shared" ca="1" si="114"/>
        <v>4795311201596.0811</v>
      </c>
      <c r="J815" s="47">
        <f t="shared" ca="1" si="115"/>
        <v>1633842965991.8813</v>
      </c>
      <c r="K815" s="48">
        <f t="shared" ca="1" si="116"/>
        <v>2.9349890420374152</v>
      </c>
    </row>
    <row r="816" spans="2:11" ht="15" customHeight="1" x14ac:dyDescent="0.35">
      <c r="B816" s="5">
        <v>795</v>
      </c>
      <c r="C816" s="46">
        <f t="shared" ca="1" si="108"/>
        <v>3.3897512537518031</v>
      </c>
      <c r="D816" s="47">
        <f t="shared" ca="1" si="109"/>
        <v>9742378006.5335159</v>
      </c>
      <c r="E816" s="47">
        <f t="shared" ca="1" si="110"/>
        <v>28064742976010.008</v>
      </c>
      <c r="F816" s="47">
        <f t="shared" ca="1" si="111"/>
        <v>1250727839153.9485</v>
      </c>
      <c r="G816" s="47">
        <f t="shared" ca="1" si="112"/>
        <v>989214255820.26062</v>
      </c>
      <c r="H816" s="47">
        <f t="shared" ca="1" si="113"/>
        <v>989214255820.26062</v>
      </c>
      <c r="I816" s="47">
        <f t="shared" ca="1" si="114"/>
        <v>6453883054563.7451</v>
      </c>
      <c r="J816" s="47">
        <f t="shared" ca="1" si="115"/>
        <v>1808165620137.8879</v>
      </c>
      <c r="K816" s="48">
        <f t="shared" ca="1" si="116"/>
        <v>3.5692986210364857</v>
      </c>
    </row>
    <row r="817" spans="2:11" ht="15" customHeight="1" x14ac:dyDescent="0.35">
      <c r="B817" s="5">
        <v>796</v>
      </c>
      <c r="C817" s="46">
        <f t="shared" ca="1" si="108"/>
        <v>3.1027538480915302</v>
      </c>
      <c r="D817" s="47">
        <f t="shared" ca="1" si="109"/>
        <v>5030410650.7189503</v>
      </c>
      <c r="E817" s="47">
        <f t="shared" ca="1" si="110"/>
        <v>7513435905026.501</v>
      </c>
      <c r="F817" s="47">
        <f t="shared" ca="1" si="111"/>
        <v>4302684205164.1372</v>
      </c>
      <c r="G817" s="47">
        <f t="shared" ca="1" si="112"/>
        <v>797137264665.80627</v>
      </c>
      <c r="H817" s="47">
        <f t="shared" ca="1" si="113"/>
        <v>4302684205164.1372</v>
      </c>
      <c r="I817" s="47">
        <f t="shared" ca="1" si="114"/>
        <v>8473172504273.2744</v>
      </c>
      <c r="J817" s="47">
        <f t="shared" ca="1" si="115"/>
        <v>1010132091166.0203</v>
      </c>
      <c r="K817" s="48">
        <f t="shared" ca="1" si="116"/>
        <v>8.3881826727160842</v>
      </c>
    </row>
    <row r="818" spans="2:11" ht="15" customHeight="1" x14ac:dyDescent="0.35">
      <c r="B818" s="5">
        <v>797</v>
      </c>
      <c r="C818" s="46">
        <f t="shared" ca="1" si="108"/>
        <v>2.4253359101646783</v>
      </c>
      <c r="D818" s="47">
        <f t="shared" ca="1" si="109"/>
        <v>1749436710.3089242</v>
      </c>
      <c r="E818" s="47">
        <f t="shared" ca="1" si="110"/>
        <v>8646311784091.8936</v>
      </c>
      <c r="F818" s="47">
        <f t="shared" ca="1" si="111"/>
        <v>5496143382367.0967</v>
      </c>
      <c r="G818" s="47">
        <f t="shared" ca="1" si="112"/>
        <v>5968290221997.4268</v>
      </c>
      <c r="H818" s="47">
        <f t="shared" ca="1" si="113"/>
        <v>5968290221997.4268</v>
      </c>
      <c r="I818" s="47">
        <f t="shared" ca="1" si="114"/>
        <v>2397782405349.1006</v>
      </c>
      <c r="J818" s="47">
        <f t="shared" ca="1" si="115"/>
        <v>1545834216417.4216</v>
      </c>
      <c r="K818" s="48">
        <f t="shared" ca="1" si="116"/>
        <v>1.5511251982157104</v>
      </c>
    </row>
    <row r="819" spans="2:11" ht="15" customHeight="1" x14ac:dyDescent="0.35">
      <c r="B819" s="5">
        <v>798</v>
      </c>
      <c r="C819" s="46">
        <f t="shared" ca="1" si="108"/>
        <v>3.6970846878300101</v>
      </c>
      <c r="D819" s="47">
        <f t="shared" ca="1" si="109"/>
        <v>13705742220.600965</v>
      </c>
      <c r="E819" s="47">
        <f t="shared" ca="1" si="110"/>
        <v>60486387390427.438</v>
      </c>
      <c r="F819" s="47">
        <f t="shared" ca="1" si="111"/>
        <v>1578976373330.7915</v>
      </c>
      <c r="G819" s="47">
        <f t="shared" ca="1" si="112"/>
        <v>23622624220239.918</v>
      </c>
      <c r="H819" s="47">
        <f t="shared" ca="1" si="113"/>
        <v>1578976373330.7915</v>
      </c>
      <c r="I819" s="47">
        <f t="shared" ca="1" si="114"/>
        <v>7297874953227.249</v>
      </c>
      <c r="J819" s="47">
        <f t="shared" ca="1" si="115"/>
        <v>1335824404351.7341</v>
      </c>
      <c r="K819" s="48">
        <f t="shared" ca="1" si="116"/>
        <v>5.4631993018340275</v>
      </c>
    </row>
    <row r="820" spans="2:11" ht="15" customHeight="1" x14ac:dyDescent="0.35">
      <c r="B820" s="5">
        <v>799</v>
      </c>
      <c r="C820" s="46">
        <f t="shared" ca="1" si="108"/>
        <v>2.1106817054496609</v>
      </c>
      <c r="D820" s="47">
        <f t="shared" ca="1" si="109"/>
        <v>909170683.52960634</v>
      </c>
      <c r="E820" s="47">
        <f t="shared" ca="1" si="110"/>
        <v>1305842152148.4739</v>
      </c>
      <c r="F820" s="47">
        <f t="shared" ca="1" si="111"/>
        <v>2756500662745.0391</v>
      </c>
      <c r="G820" s="47">
        <f t="shared" ca="1" si="112"/>
        <v>40011340119797.414</v>
      </c>
      <c r="H820" s="47">
        <f t="shared" ca="1" si="113"/>
        <v>40011340119797.414</v>
      </c>
      <c r="I820" s="47">
        <f t="shared" ca="1" si="114"/>
        <v>3098605107585.6133</v>
      </c>
      <c r="J820" s="47">
        <f t="shared" ca="1" si="115"/>
        <v>1189583312308.9578</v>
      </c>
      <c r="K820" s="48">
        <f t="shared" ca="1" si="116"/>
        <v>2.6047819228157141</v>
      </c>
    </row>
    <row r="821" spans="2:11" ht="15" customHeight="1" x14ac:dyDescent="0.35">
      <c r="B821" s="5">
        <v>800</v>
      </c>
      <c r="C821" s="46">
        <f t="shared" ca="1" si="108"/>
        <v>3.221663534663628</v>
      </c>
      <c r="D821" s="47">
        <f t="shared" ca="1" si="109"/>
        <v>7087693685.4254704</v>
      </c>
      <c r="E821" s="47">
        <f t="shared" ca="1" si="110"/>
        <v>19673001791817.684</v>
      </c>
      <c r="F821" s="47">
        <f t="shared" ca="1" si="111"/>
        <v>14382728959310.309</v>
      </c>
      <c r="G821" s="47">
        <f t="shared" ca="1" si="112"/>
        <v>2397237149544.584</v>
      </c>
      <c r="H821" s="47">
        <f t="shared" ca="1" si="113"/>
        <v>2397237149544.584</v>
      </c>
      <c r="I821" s="47">
        <f t="shared" ca="1" si="114"/>
        <v>61234837943225.461</v>
      </c>
      <c r="J821" s="47">
        <f t="shared" ca="1" si="115"/>
        <v>1644639250441.447</v>
      </c>
      <c r="K821" s="48">
        <f t="shared" ca="1" si="116"/>
        <v>37.23299071622489</v>
      </c>
    </row>
    <row r="822" spans="2:11" ht="15" customHeight="1" x14ac:dyDescent="0.35">
      <c r="B822" s="5">
        <v>801</v>
      </c>
      <c r="C822" s="46">
        <f t="shared" ca="1" si="108"/>
        <v>2.8916002351577634</v>
      </c>
      <c r="D822" s="47">
        <f t="shared" ca="1" si="109"/>
        <v>4314345005.803853</v>
      </c>
      <c r="E822" s="47">
        <f t="shared" ca="1" si="110"/>
        <v>16965388877650.939</v>
      </c>
      <c r="F822" s="47">
        <f t="shared" ca="1" si="111"/>
        <v>847685817198.77563</v>
      </c>
      <c r="G822" s="47">
        <f t="shared" ca="1" si="112"/>
        <v>4088220578967.1934</v>
      </c>
      <c r="H822" s="47">
        <f t="shared" ca="1" si="113"/>
        <v>16965388877650.939</v>
      </c>
      <c r="I822" s="47">
        <f t="shared" ca="1" si="114"/>
        <v>32201318230999.07</v>
      </c>
      <c r="J822" s="47">
        <f t="shared" ca="1" si="115"/>
        <v>1744375903461.9153</v>
      </c>
      <c r="K822" s="48">
        <f t="shared" ca="1" si="116"/>
        <v>18.46007971509572</v>
      </c>
    </row>
    <row r="823" spans="2:11" ht="15" customHeight="1" x14ac:dyDescent="0.35">
      <c r="B823" s="5">
        <v>802</v>
      </c>
      <c r="C823" s="46">
        <f t="shared" ca="1" si="108"/>
        <v>3.4817896019764545</v>
      </c>
      <c r="D823" s="47">
        <f t="shared" ca="1" si="109"/>
        <v>11799222964.061335</v>
      </c>
      <c r="E823" s="47">
        <f t="shared" ca="1" si="110"/>
        <v>24986322053900.18</v>
      </c>
      <c r="F823" s="47">
        <f t="shared" ca="1" si="111"/>
        <v>7697722483510.6631</v>
      </c>
      <c r="G823" s="47">
        <f t="shared" ca="1" si="112"/>
        <v>4058356063478.7104</v>
      </c>
      <c r="H823" s="47">
        <f t="shared" ca="1" si="113"/>
        <v>7697722483510.6631</v>
      </c>
      <c r="I823" s="47">
        <f t="shared" ca="1" si="114"/>
        <v>5141185165910.4736</v>
      </c>
      <c r="J823" s="47">
        <f t="shared" ca="1" si="115"/>
        <v>704339306080.49768</v>
      </c>
      <c r="K823" s="48">
        <f t="shared" ca="1" si="116"/>
        <v>7.2993018017411293</v>
      </c>
    </row>
    <row r="824" spans="2:11" ht="15" customHeight="1" x14ac:dyDescent="0.35">
      <c r="B824" s="5">
        <v>803</v>
      </c>
      <c r="C824" s="46">
        <f t="shared" ca="1" si="108"/>
        <v>3.881193785544955</v>
      </c>
      <c r="D824" s="47">
        <f t="shared" ca="1" si="109"/>
        <v>14526262358.118479</v>
      </c>
      <c r="E824" s="47">
        <f t="shared" ca="1" si="110"/>
        <v>57238308192582.297</v>
      </c>
      <c r="F824" s="47">
        <f t="shared" ca="1" si="111"/>
        <v>10350827214166.025</v>
      </c>
      <c r="G824" s="47">
        <f t="shared" ca="1" si="112"/>
        <v>5018300857478.6084</v>
      </c>
      <c r="H824" s="47">
        <f t="shared" ca="1" si="113"/>
        <v>10350827214166.025</v>
      </c>
      <c r="I824" s="47">
        <f t="shared" ca="1" si="114"/>
        <v>1406270221833.3481</v>
      </c>
      <c r="J824" s="47">
        <f t="shared" ca="1" si="115"/>
        <v>879016907010.89014</v>
      </c>
      <c r="K824" s="48">
        <f t="shared" ca="1" si="116"/>
        <v>1.5998215854748352</v>
      </c>
    </row>
    <row r="825" spans="2:11" ht="15" customHeight="1" x14ac:dyDescent="0.35">
      <c r="B825" s="5">
        <v>804</v>
      </c>
      <c r="C825" s="46">
        <f t="shared" ca="1" si="108"/>
        <v>2.808734711215465</v>
      </c>
      <c r="D825" s="47">
        <f t="shared" ca="1" si="109"/>
        <v>3786588181.3794427</v>
      </c>
      <c r="E825" s="47">
        <f t="shared" ca="1" si="110"/>
        <v>8224567222087.416</v>
      </c>
      <c r="F825" s="47">
        <f t="shared" ca="1" si="111"/>
        <v>2155206783459.8169</v>
      </c>
      <c r="G825" s="47">
        <f t="shared" ca="1" si="112"/>
        <v>46536902763144.938</v>
      </c>
      <c r="H825" s="47">
        <f t="shared" ca="1" si="113"/>
        <v>46536902763144.938</v>
      </c>
      <c r="I825" s="47">
        <f t="shared" ca="1" si="114"/>
        <v>1863020641875.0034</v>
      </c>
      <c r="J825" s="47">
        <f t="shared" ca="1" si="115"/>
        <v>1344424698047.5513</v>
      </c>
      <c r="K825" s="48">
        <f t="shared" ca="1" si="116"/>
        <v>1.385738185694287</v>
      </c>
    </row>
    <row r="826" spans="2:11" ht="15" customHeight="1" x14ac:dyDescent="0.35">
      <c r="B826" s="5">
        <v>805</v>
      </c>
      <c r="C826" s="46">
        <f t="shared" ca="1" si="108"/>
        <v>2.8114437281421587</v>
      </c>
      <c r="D826" s="47">
        <f t="shared" ca="1" si="109"/>
        <v>4152505241.7939448</v>
      </c>
      <c r="E826" s="47">
        <f t="shared" ca="1" si="110"/>
        <v>26879875199051.773</v>
      </c>
      <c r="F826" s="47">
        <f t="shared" ca="1" si="111"/>
        <v>2488688325416.5054</v>
      </c>
      <c r="G826" s="47">
        <f t="shared" ca="1" si="112"/>
        <v>8379164071263.1064</v>
      </c>
      <c r="H826" s="47">
        <f t="shared" ca="1" si="113"/>
        <v>26879875199051.773</v>
      </c>
      <c r="I826" s="47">
        <f t="shared" ca="1" si="114"/>
        <v>555655040103.66028</v>
      </c>
      <c r="J826" s="47">
        <f t="shared" ca="1" si="115"/>
        <v>1095998824907.1901</v>
      </c>
      <c r="K826" s="48">
        <f t="shared" ca="1" si="116"/>
        <v>0.5069850692136586</v>
      </c>
    </row>
    <row r="827" spans="2:11" ht="15" customHeight="1" x14ac:dyDescent="0.35">
      <c r="B827" s="5">
        <v>806</v>
      </c>
      <c r="C827" s="46">
        <f t="shared" ca="1" si="108"/>
        <v>3.0686018349387516</v>
      </c>
      <c r="D827" s="47">
        <f t="shared" ca="1" si="109"/>
        <v>5883315879.7927437</v>
      </c>
      <c r="E827" s="47">
        <f t="shared" ca="1" si="110"/>
        <v>10404567873245.121</v>
      </c>
      <c r="F827" s="47">
        <f t="shared" ca="1" si="111"/>
        <v>49920566673053.977</v>
      </c>
      <c r="G827" s="47">
        <f t="shared" ca="1" si="112"/>
        <v>2976580953084.1348</v>
      </c>
      <c r="H827" s="47">
        <f t="shared" ca="1" si="113"/>
        <v>10404567873245.121</v>
      </c>
      <c r="I827" s="47">
        <f t="shared" ca="1" si="114"/>
        <v>44048073545028.5</v>
      </c>
      <c r="J827" s="47">
        <f t="shared" ca="1" si="115"/>
        <v>1800721203950.0039</v>
      </c>
      <c r="K827" s="48">
        <f t="shared" ca="1" si="116"/>
        <v>24.461351067786655</v>
      </c>
    </row>
    <row r="828" spans="2:11" ht="15" customHeight="1" x14ac:dyDescent="0.35">
      <c r="B828" s="5">
        <v>807</v>
      </c>
      <c r="C828" s="46">
        <f t="shared" ca="1" si="108"/>
        <v>3.2157883392716693</v>
      </c>
      <c r="D828" s="47">
        <f t="shared" ca="1" si="109"/>
        <v>7194406077.385067</v>
      </c>
      <c r="E828" s="47">
        <f t="shared" ca="1" si="110"/>
        <v>13386247979573.633</v>
      </c>
      <c r="F828" s="47">
        <f t="shared" ca="1" si="111"/>
        <v>1385563725662.1577</v>
      </c>
      <c r="G828" s="47">
        <f t="shared" ca="1" si="112"/>
        <v>1216761944961.0151</v>
      </c>
      <c r="H828" s="47">
        <f t="shared" ca="1" si="113"/>
        <v>1385563725662.1577</v>
      </c>
      <c r="I828" s="47">
        <f t="shared" ca="1" si="114"/>
        <v>78924762682941.203</v>
      </c>
      <c r="J828" s="47">
        <f t="shared" ca="1" si="115"/>
        <v>986921809998.11353</v>
      </c>
      <c r="K828" s="48">
        <f t="shared" ca="1" si="116"/>
        <v>79.970633826698048</v>
      </c>
    </row>
    <row r="829" spans="2:11" ht="15" customHeight="1" x14ac:dyDescent="0.35">
      <c r="B829" s="5">
        <v>808</v>
      </c>
      <c r="C829" s="46">
        <f t="shared" ca="1" si="108"/>
        <v>3.0864957028081754</v>
      </c>
      <c r="D829" s="47">
        <f t="shared" ca="1" si="109"/>
        <v>4915533964.9309492</v>
      </c>
      <c r="E829" s="47">
        <f t="shared" ca="1" si="110"/>
        <v>14670748032190.5</v>
      </c>
      <c r="F829" s="47">
        <f t="shared" ca="1" si="111"/>
        <v>1200698000985.092</v>
      </c>
      <c r="G829" s="47">
        <f t="shared" ca="1" si="112"/>
        <v>60868437154102.227</v>
      </c>
      <c r="H829" s="47">
        <f t="shared" ca="1" si="113"/>
        <v>60868437154102.227</v>
      </c>
      <c r="I829" s="47">
        <f t="shared" ca="1" si="114"/>
        <v>168677242755022.44</v>
      </c>
      <c r="J829" s="47">
        <f t="shared" ca="1" si="115"/>
        <v>615834836384.76807</v>
      </c>
      <c r="K829" s="48">
        <f t="shared" ca="1" si="116"/>
        <v>273.90013164119608</v>
      </c>
    </row>
    <row r="830" spans="2:11" ht="15" customHeight="1" x14ac:dyDescent="0.35">
      <c r="B830" s="5">
        <v>809</v>
      </c>
      <c r="C830" s="46">
        <f t="shared" ca="1" si="108"/>
        <v>3.396037133051248</v>
      </c>
      <c r="D830" s="47">
        <f t="shared" ca="1" si="109"/>
        <v>10728414184.281591</v>
      </c>
      <c r="E830" s="47">
        <f t="shared" ca="1" si="110"/>
        <v>22959450087828.871</v>
      </c>
      <c r="F830" s="47">
        <f t="shared" ca="1" si="111"/>
        <v>2702415961427.1162</v>
      </c>
      <c r="G830" s="47">
        <f t="shared" ca="1" si="112"/>
        <v>106064346414497.77</v>
      </c>
      <c r="H830" s="47">
        <f t="shared" ca="1" si="113"/>
        <v>22959450087828.871</v>
      </c>
      <c r="I830" s="47">
        <f t="shared" ca="1" si="114"/>
        <v>6319470484010.7568</v>
      </c>
      <c r="J830" s="47">
        <f t="shared" ca="1" si="115"/>
        <v>997253484079.10388</v>
      </c>
      <c r="K830" s="48">
        <f t="shared" ca="1" si="116"/>
        <v>6.3368748115694578</v>
      </c>
    </row>
    <row r="831" spans="2:11" ht="15" customHeight="1" x14ac:dyDescent="0.35">
      <c r="B831" s="5">
        <v>810</v>
      </c>
      <c r="C831" s="46">
        <f t="shared" ca="1" si="108"/>
        <v>3.339479402304375</v>
      </c>
      <c r="D831" s="47">
        <f t="shared" ca="1" si="109"/>
        <v>8626748303.7215157</v>
      </c>
      <c r="E831" s="47">
        <f t="shared" ca="1" si="110"/>
        <v>28848695240784.199</v>
      </c>
      <c r="F831" s="47">
        <f t="shared" ca="1" si="111"/>
        <v>4863757927969.1094</v>
      </c>
      <c r="G831" s="47">
        <f t="shared" ca="1" si="112"/>
        <v>1068147452491.8201</v>
      </c>
      <c r="H831" s="47">
        <f t="shared" ca="1" si="113"/>
        <v>28848695240784.199</v>
      </c>
      <c r="I831" s="47">
        <f t="shared" ca="1" si="114"/>
        <v>54940788851300.625</v>
      </c>
      <c r="J831" s="47">
        <f t="shared" ca="1" si="115"/>
        <v>1157099071627.9341</v>
      </c>
      <c r="K831" s="48">
        <f t="shared" ca="1" si="116"/>
        <v>47.481490737006546</v>
      </c>
    </row>
    <row r="832" spans="2:11" ht="15" customHeight="1" x14ac:dyDescent="0.35">
      <c r="B832" s="5">
        <v>811</v>
      </c>
      <c r="C832" s="46">
        <f t="shared" ca="1" si="108"/>
        <v>3.1406204113422684</v>
      </c>
      <c r="D832" s="47">
        <f t="shared" ca="1" si="109"/>
        <v>6265366018.0052557</v>
      </c>
      <c r="E832" s="47">
        <f t="shared" ca="1" si="110"/>
        <v>6983002975909.6016</v>
      </c>
      <c r="F832" s="47">
        <f t="shared" ca="1" si="111"/>
        <v>6044197066997.0049</v>
      </c>
      <c r="G832" s="47">
        <f t="shared" ca="1" si="112"/>
        <v>298886177555.29858</v>
      </c>
      <c r="H832" s="47">
        <f t="shared" ca="1" si="113"/>
        <v>6983002975909.6016</v>
      </c>
      <c r="I832" s="47">
        <f t="shared" ca="1" si="114"/>
        <v>22763511659022.523</v>
      </c>
      <c r="J832" s="47">
        <f t="shared" ca="1" si="115"/>
        <v>1872724498055.3608</v>
      </c>
      <c r="K832" s="48">
        <f t="shared" ca="1" si="116"/>
        <v>12.155291225516716</v>
      </c>
    </row>
    <row r="833" spans="2:11" ht="15" customHeight="1" x14ac:dyDescent="0.35">
      <c r="B833" s="5">
        <v>812</v>
      </c>
      <c r="C833" s="46">
        <f t="shared" ca="1" si="108"/>
        <v>2.5164535362316114</v>
      </c>
      <c r="D833" s="47">
        <f t="shared" ca="1" si="109"/>
        <v>2141378644.812603</v>
      </c>
      <c r="E833" s="47">
        <f t="shared" ca="1" si="110"/>
        <v>13920192869092.203</v>
      </c>
      <c r="F833" s="47">
        <f t="shared" ca="1" si="111"/>
        <v>2119711588759.3884</v>
      </c>
      <c r="G833" s="47">
        <f t="shared" ca="1" si="112"/>
        <v>13733670607042.729</v>
      </c>
      <c r="H833" s="47">
        <f t="shared" ca="1" si="113"/>
        <v>13733670607042.729</v>
      </c>
      <c r="I833" s="47">
        <f t="shared" ca="1" si="114"/>
        <v>671931866526.17444</v>
      </c>
      <c r="J833" s="47">
        <f t="shared" ca="1" si="115"/>
        <v>995989668001.7616</v>
      </c>
      <c r="K833" s="48">
        <f t="shared" ca="1" si="116"/>
        <v>0.67463738642415916</v>
      </c>
    </row>
    <row r="834" spans="2:11" ht="15" customHeight="1" x14ac:dyDescent="0.35">
      <c r="B834" s="5">
        <v>813</v>
      </c>
      <c r="C834" s="46">
        <f t="shared" ca="1" si="108"/>
        <v>3.1717003251323534</v>
      </c>
      <c r="D834" s="47">
        <f t="shared" ca="1" si="109"/>
        <v>6723270616.0127916</v>
      </c>
      <c r="E834" s="47">
        <f t="shared" ca="1" si="110"/>
        <v>17366031224720.389</v>
      </c>
      <c r="F834" s="47">
        <f t="shared" ca="1" si="111"/>
        <v>585018814277.09521</v>
      </c>
      <c r="G834" s="47">
        <f t="shared" ca="1" si="112"/>
        <v>14171141947833.258</v>
      </c>
      <c r="H834" s="47">
        <f t="shared" ca="1" si="113"/>
        <v>585018814277.09521</v>
      </c>
      <c r="I834" s="47">
        <f t="shared" ca="1" si="114"/>
        <v>4200591470820.5742</v>
      </c>
      <c r="J834" s="47">
        <f t="shared" ca="1" si="115"/>
        <v>506084324743.98676</v>
      </c>
      <c r="K834" s="48">
        <f t="shared" ca="1" si="116"/>
        <v>8.3001809489861795</v>
      </c>
    </row>
    <row r="835" spans="2:11" ht="15" customHeight="1" x14ac:dyDescent="0.35">
      <c r="B835" s="5">
        <v>814</v>
      </c>
      <c r="C835" s="46">
        <f t="shared" ca="1" si="108"/>
        <v>3.6991304970221157</v>
      </c>
      <c r="D835" s="47">
        <f t="shared" ca="1" si="109"/>
        <v>13469428342.874958</v>
      </c>
      <c r="E835" s="47">
        <f t="shared" ca="1" si="110"/>
        <v>42548454726826.016</v>
      </c>
      <c r="F835" s="47">
        <f t="shared" ca="1" si="111"/>
        <v>3969760773712.5889</v>
      </c>
      <c r="G835" s="47">
        <f t="shared" ca="1" si="112"/>
        <v>4937620610120.7412</v>
      </c>
      <c r="H835" s="47">
        <f t="shared" ca="1" si="113"/>
        <v>4937620610120.7412</v>
      </c>
      <c r="I835" s="47">
        <f t="shared" ca="1" si="114"/>
        <v>30221823221379.809</v>
      </c>
      <c r="J835" s="47">
        <f t="shared" ca="1" si="115"/>
        <v>1623060542312.2361</v>
      </c>
      <c r="K835" s="48">
        <f t="shared" ca="1" si="116"/>
        <v>18.620268581186352</v>
      </c>
    </row>
    <row r="836" spans="2:11" ht="15" customHeight="1" x14ac:dyDescent="0.35">
      <c r="B836" s="5">
        <v>815</v>
      </c>
      <c r="C836" s="46">
        <f t="shared" ca="1" si="108"/>
        <v>3.546350985084727</v>
      </c>
      <c r="D836" s="47">
        <f t="shared" ca="1" si="109"/>
        <v>10041383336.21607</v>
      </c>
      <c r="E836" s="47">
        <f t="shared" ca="1" si="110"/>
        <v>49279722889133.914</v>
      </c>
      <c r="F836" s="47">
        <f t="shared" ca="1" si="111"/>
        <v>5167373785337.5469</v>
      </c>
      <c r="G836" s="47">
        <f t="shared" ca="1" si="112"/>
        <v>4377388959591.2827</v>
      </c>
      <c r="H836" s="47">
        <f t="shared" ca="1" si="113"/>
        <v>49279722889133.914</v>
      </c>
      <c r="I836" s="47">
        <f t="shared" ca="1" si="114"/>
        <v>8462105695432.207</v>
      </c>
      <c r="J836" s="47">
        <f t="shared" ca="1" si="115"/>
        <v>994460285949.28821</v>
      </c>
      <c r="K836" s="48">
        <f t="shared" ca="1" si="116"/>
        <v>8.5092444766202817</v>
      </c>
    </row>
    <row r="837" spans="2:11" ht="15" customHeight="1" x14ac:dyDescent="0.35">
      <c r="B837" s="5">
        <v>816</v>
      </c>
      <c r="C837" s="46">
        <f t="shared" ca="1" si="108"/>
        <v>3.2703418688670958</v>
      </c>
      <c r="D837" s="47">
        <f t="shared" ca="1" si="109"/>
        <v>8161230810.6640615</v>
      </c>
      <c r="E837" s="47">
        <f t="shared" ca="1" si="110"/>
        <v>23513834882618.355</v>
      </c>
      <c r="F837" s="47">
        <f t="shared" ca="1" si="111"/>
        <v>5262542772591.1895</v>
      </c>
      <c r="G837" s="47">
        <f t="shared" ca="1" si="112"/>
        <v>40442473750578.008</v>
      </c>
      <c r="H837" s="47">
        <f t="shared" ca="1" si="113"/>
        <v>23513834882618.355</v>
      </c>
      <c r="I837" s="47">
        <f t="shared" ca="1" si="114"/>
        <v>17746153622678.945</v>
      </c>
      <c r="J837" s="47">
        <f t="shared" ca="1" si="115"/>
        <v>1883207332001.9895</v>
      </c>
      <c r="K837" s="48">
        <f t="shared" ca="1" si="116"/>
        <v>9.4233668917449798</v>
      </c>
    </row>
    <row r="838" spans="2:11" ht="15" customHeight="1" x14ac:dyDescent="0.35">
      <c r="B838" s="5">
        <v>817</v>
      </c>
      <c r="C838" s="46">
        <f t="shared" ca="1" si="108"/>
        <v>3.2056087623752711</v>
      </c>
      <c r="D838" s="47">
        <f t="shared" ca="1" si="109"/>
        <v>6215939717.1541386</v>
      </c>
      <c r="E838" s="47">
        <f t="shared" ca="1" si="110"/>
        <v>17550583931735.92</v>
      </c>
      <c r="F838" s="47">
        <f t="shared" ca="1" si="111"/>
        <v>10435371024603.297</v>
      </c>
      <c r="G838" s="47">
        <f t="shared" ca="1" si="112"/>
        <v>14297877544422.967</v>
      </c>
      <c r="H838" s="47">
        <f t="shared" ca="1" si="113"/>
        <v>17550583931735.92</v>
      </c>
      <c r="I838" s="47">
        <f t="shared" ca="1" si="114"/>
        <v>209943949470654.59</v>
      </c>
      <c r="J838" s="47">
        <f t="shared" ca="1" si="115"/>
        <v>735066072595.92432</v>
      </c>
      <c r="K838" s="48">
        <f t="shared" ca="1" si="116"/>
        <v>285.61235145736839</v>
      </c>
    </row>
    <row r="839" spans="2:11" ht="15" customHeight="1" x14ac:dyDescent="0.35">
      <c r="B839" s="5">
        <v>818</v>
      </c>
      <c r="C839" s="46">
        <f t="shared" ca="1" si="108"/>
        <v>3.0335838719030508</v>
      </c>
      <c r="D839" s="47">
        <f t="shared" ca="1" si="109"/>
        <v>5869520388.5212784</v>
      </c>
      <c r="E839" s="47">
        <f t="shared" ca="1" si="110"/>
        <v>27398638019457.352</v>
      </c>
      <c r="F839" s="47">
        <f t="shared" ca="1" si="111"/>
        <v>1206215431663.7813</v>
      </c>
      <c r="G839" s="47">
        <f t="shared" ca="1" si="112"/>
        <v>518281243430.33966</v>
      </c>
      <c r="H839" s="47">
        <f t="shared" ca="1" si="113"/>
        <v>1206215431663.7813</v>
      </c>
      <c r="I839" s="47">
        <f t="shared" ca="1" si="114"/>
        <v>5426417591106.667</v>
      </c>
      <c r="J839" s="47">
        <f t="shared" ca="1" si="115"/>
        <v>1966086434218.3613</v>
      </c>
      <c r="K839" s="48">
        <f t="shared" ca="1" si="116"/>
        <v>2.7600096804818235</v>
      </c>
    </row>
    <row r="840" spans="2:11" ht="15" customHeight="1" x14ac:dyDescent="0.35">
      <c r="B840" s="5">
        <v>819</v>
      </c>
      <c r="C840" s="46">
        <f t="shared" ca="1" si="108"/>
        <v>3.1304323277379171</v>
      </c>
      <c r="D840" s="47">
        <f t="shared" ca="1" si="109"/>
        <v>6475258765.0474272</v>
      </c>
      <c r="E840" s="47">
        <f t="shared" ca="1" si="110"/>
        <v>75614695035326.859</v>
      </c>
      <c r="F840" s="47">
        <f t="shared" ca="1" si="111"/>
        <v>149655246216.04453</v>
      </c>
      <c r="G840" s="47">
        <f t="shared" ca="1" si="112"/>
        <v>15680987472819.275</v>
      </c>
      <c r="H840" s="47">
        <f t="shared" ca="1" si="113"/>
        <v>75614695035326.859</v>
      </c>
      <c r="I840" s="47">
        <f t="shared" ca="1" si="114"/>
        <v>32023095040752.336</v>
      </c>
      <c r="J840" s="47">
        <f t="shared" ca="1" si="115"/>
        <v>908235021166.37781</v>
      </c>
      <c r="K840" s="48">
        <f t="shared" ca="1" si="116"/>
        <v>35.25859969551437</v>
      </c>
    </row>
    <row r="841" spans="2:11" ht="15" customHeight="1" x14ac:dyDescent="0.35">
      <c r="B841" s="5">
        <v>820</v>
      </c>
      <c r="C841" s="46">
        <f t="shared" ca="1" si="108"/>
        <v>2.4490506645997963</v>
      </c>
      <c r="D841" s="47">
        <f t="shared" ca="1" si="109"/>
        <v>2050354136.8210609</v>
      </c>
      <c r="E841" s="47">
        <f t="shared" ca="1" si="110"/>
        <v>30374053975319.328</v>
      </c>
      <c r="F841" s="47">
        <f t="shared" ca="1" si="111"/>
        <v>2313076978064.4102</v>
      </c>
      <c r="G841" s="47">
        <f t="shared" ca="1" si="112"/>
        <v>5822157496485.6846</v>
      </c>
      <c r="H841" s="47">
        <f t="shared" ca="1" si="113"/>
        <v>5822157496485.6846</v>
      </c>
      <c r="I841" s="47">
        <f t="shared" ca="1" si="114"/>
        <v>5441132294237.7432</v>
      </c>
      <c r="J841" s="47">
        <f t="shared" ca="1" si="115"/>
        <v>1068633675665.4683</v>
      </c>
      <c r="K841" s="48">
        <f t="shared" ca="1" si="116"/>
        <v>5.0916721212714888</v>
      </c>
    </row>
    <row r="842" spans="2:11" ht="15" customHeight="1" x14ac:dyDescent="0.35">
      <c r="B842" s="5">
        <v>821</v>
      </c>
      <c r="C842" s="46">
        <f t="shared" ca="1" si="108"/>
        <v>1.8</v>
      </c>
      <c r="D842" s="47">
        <f t="shared" ca="1" si="109"/>
        <v>331347581.95821798</v>
      </c>
      <c r="E842" s="47">
        <f t="shared" ca="1" si="110"/>
        <v>1353232539892.4224</v>
      </c>
      <c r="F842" s="47">
        <f t="shared" ca="1" si="111"/>
        <v>3795335442239.4624</v>
      </c>
      <c r="G842" s="47">
        <f t="shared" ca="1" si="112"/>
        <v>1971658959378.2673</v>
      </c>
      <c r="H842" s="47">
        <f t="shared" ca="1" si="113"/>
        <v>1971658959378.2673</v>
      </c>
      <c r="I842" s="47">
        <f t="shared" ca="1" si="114"/>
        <v>37907104754275.539</v>
      </c>
      <c r="J842" s="47">
        <f t="shared" ca="1" si="115"/>
        <v>792324324816.5365</v>
      </c>
      <c r="K842" s="48">
        <f t="shared" ca="1" si="116"/>
        <v>47.842914280150325</v>
      </c>
    </row>
    <row r="843" spans="2:11" ht="15" customHeight="1" x14ac:dyDescent="0.35">
      <c r="B843" s="5">
        <v>822</v>
      </c>
      <c r="C843" s="46">
        <f t="shared" ca="1" si="108"/>
        <v>3.0326853058558374</v>
      </c>
      <c r="D843" s="47">
        <f t="shared" ca="1" si="109"/>
        <v>4220080634.8262401</v>
      </c>
      <c r="E843" s="47">
        <f t="shared" ca="1" si="110"/>
        <v>7488057051130.293</v>
      </c>
      <c r="F843" s="47">
        <f t="shared" ca="1" si="111"/>
        <v>2430241819659.3691</v>
      </c>
      <c r="G843" s="47">
        <f t="shared" ca="1" si="112"/>
        <v>4942220318076.2783</v>
      </c>
      <c r="H843" s="47">
        <f t="shared" ca="1" si="113"/>
        <v>4942220318076.2783</v>
      </c>
      <c r="I843" s="47">
        <f t="shared" ca="1" si="114"/>
        <v>1588048708961.6072</v>
      </c>
      <c r="J843" s="47">
        <f t="shared" ca="1" si="115"/>
        <v>928809428686.30786</v>
      </c>
      <c r="K843" s="48">
        <f t="shared" ca="1" si="116"/>
        <v>1.7097680750374338</v>
      </c>
    </row>
    <row r="844" spans="2:11" ht="15" customHeight="1" x14ac:dyDescent="0.35">
      <c r="B844" s="5">
        <v>823</v>
      </c>
      <c r="C844" s="46">
        <f t="shared" ca="1" si="108"/>
        <v>2.7268083071040508</v>
      </c>
      <c r="D844" s="47">
        <f t="shared" ca="1" si="109"/>
        <v>3209121848.0797091</v>
      </c>
      <c r="E844" s="47">
        <f t="shared" ca="1" si="110"/>
        <v>25838041794864.586</v>
      </c>
      <c r="F844" s="47">
        <f t="shared" ca="1" si="111"/>
        <v>4641108323955.1465</v>
      </c>
      <c r="G844" s="47">
        <f t="shared" ca="1" si="112"/>
        <v>12705272536906.516</v>
      </c>
      <c r="H844" s="47">
        <f t="shared" ca="1" si="113"/>
        <v>25838041794864.586</v>
      </c>
      <c r="I844" s="47">
        <f t="shared" ca="1" si="114"/>
        <v>60084741457413.43</v>
      </c>
      <c r="J844" s="47">
        <f t="shared" ca="1" si="115"/>
        <v>1794279930474.1184</v>
      </c>
      <c r="K844" s="48">
        <f t="shared" ca="1" si="116"/>
        <v>33.486826908628863</v>
      </c>
    </row>
    <row r="845" spans="2:11" ht="15" customHeight="1" x14ac:dyDescent="0.35">
      <c r="B845" s="5">
        <v>824</v>
      </c>
      <c r="C845" s="46">
        <f t="shared" ca="1" si="108"/>
        <v>2.8352767878218565</v>
      </c>
      <c r="D845" s="47">
        <f t="shared" ca="1" si="109"/>
        <v>3064487287.9738226</v>
      </c>
      <c r="E845" s="47">
        <f t="shared" ca="1" si="110"/>
        <v>7553005822157.7305</v>
      </c>
      <c r="F845" s="47">
        <f t="shared" ca="1" si="111"/>
        <v>2047575736492.1128</v>
      </c>
      <c r="G845" s="47">
        <f t="shared" ca="1" si="112"/>
        <v>10404138988531.4</v>
      </c>
      <c r="H845" s="47">
        <f t="shared" ca="1" si="113"/>
        <v>2047575736492.1128</v>
      </c>
      <c r="I845" s="47">
        <f t="shared" ca="1" si="114"/>
        <v>49240890237010.141</v>
      </c>
      <c r="J845" s="47">
        <f t="shared" ca="1" si="115"/>
        <v>847723943062.08203</v>
      </c>
      <c r="K845" s="48">
        <f t="shared" ca="1" si="116"/>
        <v>58.085996791769325</v>
      </c>
    </row>
    <row r="846" spans="2:11" ht="15" customHeight="1" x14ac:dyDescent="0.35">
      <c r="B846" s="5">
        <v>825</v>
      </c>
      <c r="C846" s="46">
        <f t="shared" ca="1" si="108"/>
        <v>3.5428652158972058</v>
      </c>
      <c r="D846" s="47">
        <f t="shared" ca="1" si="109"/>
        <v>10725679828.257992</v>
      </c>
      <c r="E846" s="47">
        <f t="shared" ca="1" si="110"/>
        <v>17199136821358.035</v>
      </c>
      <c r="F846" s="47">
        <f t="shared" ca="1" si="111"/>
        <v>1184820828654.6216</v>
      </c>
      <c r="G846" s="47">
        <f t="shared" ca="1" si="112"/>
        <v>4701627457703.6572</v>
      </c>
      <c r="H846" s="47">
        <f t="shared" ca="1" si="113"/>
        <v>17199136821358.035</v>
      </c>
      <c r="I846" s="47">
        <f t="shared" ca="1" si="114"/>
        <v>8578764891914.2617</v>
      </c>
      <c r="J846" s="47">
        <f t="shared" ca="1" si="115"/>
        <v>1068731639006.3149</v>
      </c>
      <c r="K846" s="48">
        <f t="shared" ca="1" si="116"/>
        <v>8.0270524225245392</v>
      </c>
    </row>
    <row r="847" spans="2:11" ht="15" customHeight="1" x14ac:dyDescent="0.35">
      <c r="B847" s="5">
        <v>826</v>
      </c>
      <c r="C847" s="46">
        <f t="shared" ca="1" si="108"/>
        <v>2.9262834416957624</v>
      </c>
      <c r="D847" s="47">
        <f t="shared" ca="1" si="109"/>
        <v>4070175555.9251585</v>
      </c>
      <c r="E847" s="47">
        <f t="shared" ca="1" si="110"/>
        <v>13686896202037.58</v>
      </c>
      <c r="F847" s="47">
        <f t="shared" ca="1" si="111"/>
        <v>2332622706101.333</v>
      </c>
      <c r="G847" s="47">
        <f t="shared" ca="1" si="112"/>
        <v>46556962441467.688</v>
      </c>
      <c r="H847" s="47">
        <f t="shared" ca="1" si="113"/>
        <v>2332622706101.333</v>
      </c>
      <c r="I847" s="47">
        <f t="shared" ca="1" si="114"/>
        <v>38399829650165.711</v>
      </c>
      <c r="J847" s="47">
        <f t="shared" ca="1" si="115"/>
        <v>1692997849895.1675</v>
      </c>
      <c r="K847" s="48">
        <f t="shared" ca="1" si="116"/>
        <v>22.681558427580683</v>
      </c>
    </row>
    <row r="848" spans="2:11" ht="15" customHeight="1" x14ac:dyDescent="0.35">
      <c r="B848" s="5">
        <v>827</v>
      </c>
      <c r="C848" s="46">
        <f t="shared" ca="1" si="108"/>
        <v>2.0523823557498133</v>
      </c>
      <c r="D848" s="47">
        <f t="shared" ca="1" si="109"/>
        <v>670099542.97659791</v>
      </c>
      <c r="E848" s="47">
        <f t="shared" ca="1" si="110"/>
        <v>412264272305.7356</v>
      </c>
      <c r="F848" s="47">
        <f t="shared" ca="1" si="111"/>
        <v>2193090510507.8447</v>
      </c>
      <c r="G848" s="47">
        <f t="shared" ca="1" si="112"/>
        <v>4841242723432.9346</v>
      </c>
      <c r="H848" s="47">
        <f t="shared" ca="1" si="113"/>
        <v>4841242723432.9346</v>
      </c>
      <c r="I848" s="47">
        <f t="shared" ca="1" si="114"/>
        <v>13354885775445.646</v>
      </c>
      <c r="J848" s="47">
        <f t="shared" ca="1" si="115"/>
        <v>1587403814156.6189</v>
      </c>
      <c r="K848" s="48">
        <f t="shared" ca="1" si="116"/>
        <v>8.4130362144436717</v>
      </c>
    </row>
    <row r="849" spans="2:11" ht="15" customHeight="1" x14ac:dyDescent="0.35">
      <c r="B849" s="5">
        <v>828</v>
      </c>
      <c r="C849" s="46">
        <f t="shared" ca="1" si="108"/>
        <v>2.8526176611217391</v>
      </c>
      <c r="D849" s="47">
        <f t="shared" ca="1" si="109"/>
        <v>3279792185.9798412</v>
      </c>
      <c r="E849" s="47">
        <f t="shared" ca="1" si="110"/>
        <v>5007124917910.9629</v>
      </c>
      <c r="F849" s="47">
        <f t="shared" ca="1" si="111"/>
        <v>4200301588580.4424</v>
      </c>
      <c r="G849" s="47">
        <f t="shared" ca="1" si="112"/>
        <v>11127317230279.047</v>
      </c>
      <c r="H849" s="47">
        <f t="shared" ca="1" si="113"/>
        <v>5007124917910.9629</v>
      </c>
      <c r="I849" s="47">
        <f t="shared" ca="1" si="114"/>
        <v>9477684770710.2734</v>
      </c>
      <c r="J849" s="47">
        <f t="shared" ca="1" si="115"/>
        <v>2072403874728.3525</v>
      </c>
      <c r="K849" s="48">
        <f t="shared" ca="1" si="116"/>
        <v>4.5732807616722839</v>
      </c>
    </row>
    <row r="850" spans="2:11" ht="15" customHeight="1" x14ac:dyDescent="0.35">
      <c r="B850" s="5">
        <v>829</v>
      </c>
      <c r="C850" s="46">
        <f t="shared" ca="1" si="108"/>
        <v>3.5505965483704376</v>
      </c>
      <c r="D850" s="47">
        <f t="shared" ca="1" si="109"/>
        <v>12151828867.694584</v>
      </c>
      <c r="E850" s="47">
        <f t="shared" ca="1" si="110"/>
        <v>15930821579973.666</v>
      </c>
      <c r="F850" s="47">
        <f t="shared" ca="1" si="111"/>
        <v>3469684443402.8794</v>
      </c>
      <c r="G850" s="47">
        <f t="shared" ca="1" si="112"/>
        <v>673384450202.47266</v>
      </c>
      <c r="H850" s="47">
        <f t="shared" ca="1" si="113"/>
        <v>673384450202.47266</v>
      </c>
      <c r="I850" s="47">
        <f t="shared" ca="1" si="114"/>
        <v>19959437088381.672</v>
      </c>
      <c r="J850" s="47">
        <f t="shared" ca="1" si="115"/>
        <v>1528098550307.3071</v>
      </c>
      <c r="K850" s="48">
        <f t="shared" ca="1" si="116"/>
        <v>13.061616401879148</v>
      </c>
    </row>
    <row r="851" spans="2:11" ht="15" customHeight="1" x14ac:dyDescent="0.35">
      <c r="B851" s="5">
        <v>830</v>
      </c>
      <c r="C851" s="46">
        <f t="shared" ca="1" si="108"/>
        <v>2.8858569128723666</v>
      </c>
      <c r="D851" s="47">
        <f t="shared" ca="1" si="109"/>
        <v>3306824184.7157636</v>
      </c>
      <c r="E851" s="47">
        <f t="shared" ca="1" si="110"/>
        <v>10500830942790.418</v>
      </c>
      <c r="F851" s="47">
        <f t="shared" ca="1" si="111"/>
        <v>5258058105982.1289</v>
      </c>
      <c r="G851" s="47">
        <f t="shared" ca="1" si="112"/>
        <v>1153896625364.0376</v>
      </c>
      <c r="H851" s="47">
        <f t="shared" ca="1" si="113"/>
        <v>10500830942790.418</v>
      </c>
      <c r="I851" s="47">
        <f t="shared" ca="1" si="114"/>
        <v>34445360347173.34</v>
      </c>
      <c r="J851" s="47">
        <f t="shared" ca="1" si="115"/>
        <v>1029810904849.1875</v>
      </c>
      <c r="K851" s="48">
        <f t="shared" ca="1" si="116"/>
        <v>33.448238103691232</v>
      </c>
    </row>
    <row r="852" spans="2:11" ht="15" customHeight="1" x14ac:dyDescent="0.35">
      <c r="B852" s="5">
        <v>831</v>
      </c>
      <c r="C852" s="46">
        <f t="shared" ca="1" si="108"/>
        <v>2.8315357757004236</v>
      </c>
      <c r="D852" s="47">
        <f t="shared" ca="1" si="109"/>
        <v>2916509239.0554323</v>
      </c>
      <c r="E852" s="47">
        <f t="shared" ca="1" si="110"/>
        <v>9018121232635.6074</v>
      </c>
      <c r="F852" s="47">
        <f t="shared" ca="1" si="111"/>
        <v>1165618457159.823</v>
      </c>
      <c r="G852" s="47">
        <f t="shared" ca="1" si="112"/>
        <v>22201795244496.734</v>
      </c>
      <c r="H852" s="47">
        <f t="shared" ca="1" si="113"/>
        <v>22201795244496.734</v>
      </c>
      <c r="I852" s="47">
        <f t="shared" ca="1" si="114"/>
        <v>546080191083.28503</v>
      </c>
      <c r="J852" s="47">
        <f t="shared" ca="1" si="115"/>
        <v>1287749668106.1897</v>
      </c>
      <c r="K852" s="48">
        <f t="shared" ca="1" si="116"/>
        <v>0.42405772224843197</v>
      </c>
    </row>
    <row r="853" spans="2:11" ht="15" customHeight="1" x14ac:dyDescent="0.35">
      <c r="B853" s="5">
        <v>832</v>
      </c>
      <c r="C853" s="46">
        <f t="shared" ca="1" si="108"/>
        <v>2.6269916233257287</v>
      </c>
      <c r="D853" s="47">
        <f t="shared" ca="1" si="109"/>
        <v>2009132471.8015516</v>
      </c>
      <c r="E853" s="47">
        <f t="shared" ca="1" si="110"/>
        <v>6693311782268.002</v>
      </c>
      <c r="F853" s="47">
        <f t="shared" ca="1" si="111"/>
        <v>10391045067353.861</v>
      </c>
      <c r="G853" s="47">
        <f t="shared" ca="1" si="112"/>
        <v>2283189367226.5317</v>
      </c>
      <c r="H853" s="47">
        <f t="shared" ca="1" si="113"/>
        <v>10391045067353.861</v>
      </c>
      <c r="I853" s="47">
        <f t="shared" ca="1" si="114"/>
        <v>1206877195469.2703</v>
      </c>
      <c r="J853" s="47">
        <f t="shared" ca="1" si="115"/>
        <v>979046401387.00574</v>
      </c>
      <c r="K853" s="48">
        <f t="shared" ca="1" si="116"/>
        <v>1.2327068397978878</v>
      </c>
    </row>
    <row r="854" spans="2:11" ht="15" customHeight="1" x14ac:dyDescent="0.35">
      <c r="B854" s="5">
        <v>833</v>
      </c>
      <c r="C854" s="46">
        <f t="shared" ref="C854:C917" ca="1" si="117">MEDIAN(1.8,NORMINV(RAND(),$C$7,$D$7),4.5)</f>
        <v>3.5487478177347329</v>
      </c>
      <c r="D854" s="47">
        <f t="shared" ref="D854:D917" ca="1" si="118">($C$8+RAND()*($D$8-$C$8))*C854^5</f>
        <v>13279936099.356791</v>
      </c>
      <c r="E854" s="47">
        <f t="shared" ref="E854:E917" ca="1" si="119">D854*($C$10+RAND()*($D$10-$C$10))*EXP(NORMINV(RAND(),$C$9,$D$9))*($C$11+RAND()*($D$11-$C$11))</f>
        <v>57242521394391.297</v>
      </c>
      <c r="F854" s="47">
        <f t="shared" ref="F854:F917" ca="1" si="120">EXP(NORMINV(RAND(),$C$12,$D$12))*EXP(NORMINV(RAND(),$C$13,$D$13))</f>
        <v>12118108646816.17</v>
      </c>
      <c r="G854" s="47">
        <f t="shared" ref="G854:G917" ca="1" si="121">EXP(NORMINV(RAND(),$C$14,$D$14))*($C$15+RAND()*($D$15-$C$15))*EXP(NORMINV(RAND(),$C$16,$D$16))/1000000*31536000</f>
        <v>2777626491714.9355</v>
      </c>
      <c r="H854" s="47">
        <f t="shared" ref="H854:H917" ca="1" si="122">CHOOSE(RANDBETWEEN(1,3),E854,F854,G854)</f>
        <v>2777626491714.9355</v>
      </c>
      <c r="I854" s="47">
        <f t="shared" ref="I854:I917" ca="1" si="123">EXP(NORMINV(RAND(),$C$14,$D$14))*($C$15+RAND()*($D$15-$C$15))*60</f>
        <v>3329021604652.8813</v>
      </c>
      <c r="J854" s="47">
        <f t="shared" ref="J854:J917" ca="1" si="124">($C$17+RAND()*($D$17-$C$17))*($C$18+RAND()*($D$18-$C$18))</f>
        <v>1602324965911.7798</v>
      </c>
      <c r="K854" s="48">
        <f t="shared" ref="K854:K917" ca="1" si="125">I854/J854</f>
        <v>2.0776195063268892</v>
      </c>
    </row>
    <row r="855" spans="2:11" ht="15" customHeight="1" x14ac:dyDescent="0.35">
      <c r="B855" s="5">
        <v>834</v>
      </c>
      <c r="C855" s="46">
        <f t="shared" ca="1" si="117"/>
        <v>2.9969426907356422</v>
      </c>
      <c r="D855" s="47">
        <f t="shared" ca="1" si="118"/>
        <v>4809538821.8592186</v>
      </c>
      <c r="E855" s="47">
        <f t="shared" ca="1" si="119"/>
        <v>7320377811837.3018</v>
      </c>
      <c r="F855" s="47">
        <f t="shared" ca="1" si="120"/>
        <v>1714722245827.3611</v>
      </c>
      <c r="G855" s="47">
        <f t="shared" ca="1" si="121"/>
        <v>128182301959266.14</v>
      </c>
      <c r="H855" s="47">
        <f t="shared" ca="1" si="122"/>
        <v>128182301959266.14</v>
      </c>
      <c r="I855" s="47">
        <f t="shared" ca="1" si="123"/>
        <v>48429253995723.336</v>
      </c>
      <c r="J855" s="47">
        <f t="shared" ca="1" si="124"/>
        <v>1076733074930.5707</v>
      </c>
      <c r="K855" s="48">
        <f t="shared" ca="1" si="125"/>
        <v>44.977957047382539</v>
      </c>
    </row>
    <row r="856" spans="2:11" ht="15" customHeight="1" x14ac:dyDescent="0.35">
      <c r="B856" s="5">
        <v>835</v>
      </c>
      <c r="C856" s="46">
        <f t="shared" ca="1" si="117"/>
        <v>3.8607432994601463</v>
      </c>
      <c r="D856" s="47">
        <f t="shared" ca="1" si="118"/>
        <v>18490862954.930119</v>
      </c>
      <c r="E856" s="47">
        <f t="shared" ca="1" si="119"/>
        <v>24045021268245.414</v>
      </c>
      <c r="F856" s="47">
        <f t="shared" ca="1" si="120"/>
        <v>6406776096125.5889</v>
      </c>
      <c r="G856" s="47">
        <f t="shared" ca="1" si="121"/>
        <v>56192109360409.594</v>
      </c>
      <c r="H856" s="47">
        <f t="shared" ca="1" si="122"/>
        <v>24045021268245.414</v>
      </c>
      <c r="I856" s="47">
        <f t="shared" ca="1" si="123"/>
        <v>3445448640907.3643</v>
      </c>
      <c r="J856" s="47">
        <f t="shared" ca="1" si="124"/>
        <v>1770243452151.874</v>
      </c>
      <c r="K856" s="48">
        <f t="shared" ca="1" si="125"/>
        <v>1.9463134501184811</v>
      </c>
    </row>
    <row r="857" spans="2:11" ht="15" customHeight="1" x14ac:dyDescent="0.35">
      <c r="B857" s="5">
        <v>836</v>
      </c>
      <c r="C857" s="46">
        <f t="shared" ca="1" si="117"/>
        <v>2.4859722143645668</v>
      </c>
      <c r="D857" s="47">
        <f t="shared" ca="1" si="118"/>
        <v>1969598980.2023532</v>
      </c>
      <c r="E857" s="47">
        <f t="shared" ca="1" si="119"/>
        <v>6792807634172.5254</v>
      </c>
      <c r="F857" s="47">
        <f t="shared" ca="1" si="120"/>
        <v>1070726121064.7382</v>
      </c>
      <c r="G857" s="47">
        <f t="shared" ca="1" si="121"/>
        <v>10730426963053.254</v>
      </c>
      <c r="H857" s="47">
        <f t="shared" ca="1" si="122"/>
        <v>6792807634172.5254</v>
      </c>
      <c r="I857" s="47">
        <f t="shared" ca="1" si="123"/>
        <v>30498803935519.074</v>
      </c>
      <c r="J857" s="47">
        <f t="shared" ca="1" si="124"/>
        <v>1438245023239.6909</v>
      </c>
      <c r="K857" s="48">
        <f t="shared" ca="1" si="125"/>
        <v>21.205568900088792</v>
      </c>
    </row>
    <row r="858" spans="2:11" ht="15" customHeight="1" x14ac:dyDescent="0.35">
      <c r="B858" s="5">
        <v>837</v>
      </c>
      <c r="C858" s="46">
        <f t="shared" ca="1" si="117"/>
        <v>2.7354121046050031</v>
      </c>
      <c r="D858" s="47">
        <f t="shared" ca="1" si="118"/>
        <v>2888130987.2042246</v>
      </c>
      <c r="E858" s="47">
        <f t="shared" ca="1" si="119"/>
        <v>4434309562402.5557</v>
      </c>
      <c r="F858" s="47">
        <f t="shared" ca="1" si="120"/>
        <v>6842701848971.4678</v>
      </c>
      <c r="G858" s="47">
        <f t="shared" ca="1" si="121"/>
        <v>855333424314.40405</v>
      </c>
      <c r="H858" s="47">
        <f t="shared" ca="1" si="122"/>
        <v>4434309562402.5557</v>
      </c>
      <c r="I858" s="47">
        <f t="shared" ca="1" si="123"/>
        <v>11935352823580.508</v>
      </c>
      <c r="J858" s="47">
        <f t="shared" ca="1" si="124"/>
        <v>1916021699710.8298</v>
      </c>
      <c r="K858" s="48">
        <f t="shared" ca="1" si="125"/>
        <v>6.2292367698037125</v>
      </c>
    </row>
    <row r="859" spans="2:11" ht="15" customHeight="1" x14ac:dyDescent="0.35">
      <c r="B859" s="5">
        <v>838</v>
      </c>
      <c r="C859" s="46">
        <f t="shared" ca="1" si="117"/>
        <v>2.9844683064106214</v>
      </c>
      <c r="D859" s="47">
        <f t="shared" ca="1" si="118"/>
        <v>3852363841.5201774</v>
      </c>
      <c r="E859" s="47">
        <f t="shared" ca="1" si="119"/>
        <v>19255476296265.676</v>
      </c>
      <c r="F859" s="47">
        <f t="shared" ca="1" si="120"/>
        <v>7038557630651.9033</v>
      </c>
      <c r="G859" s="47">
        <f t="shared" ca="1" si="121"/>
        <v>15601967939146.842</v>
      </c>
      <c r="H859" s="47">
        <f t="shared" ca="1" si="122"/>
        <v>19255476296265.676</v>
      </c>
      <c r="I859" s="47">
        <f t="shared" ca="1" si="123"/>
        <v>7854071449491.4326</v>
      </c>
      <c r="J859" s="47">
        <f t="shared" ca="1" si="124"/>
        <v>2044739711063.939</v>
      </c>
      <c r="K859" s="48">
        <f t="shared" ca="1" si="125"/>
        <v>3.8411106347637398</v>
      </c>
    </row>
    <row r="860" spans="2:11" ht="15" customHeight="1" x14ac:dyDescent="0.35">
      <c r="B860" s="5">
        <v>839</v>
      </c>
      <c r="C860" s="46">
        <f t="shared" ca="1" si="117"/>
        <v>3.4193387633840757</v>
      </c>
      <c r="D860" s="47">
        <f t="shared" ca="1" si="118"/>
        <v>10017483497.93482</v>
      </c>
      <c r="E860" s="47">
        <f t="shared" ca="1" si="119"/>
        <v>58901338528799.344</v>
      </c>
      <c r="F860" s="47">
        <f t="shared" ca="1" si="120"/>
        <v>1762416406545.5378</v>
      </c>
      <c r="G860" s="47">
        <f t="shared" ca="1" si="121"/>
        <v>2675114438935.2607</v>
      </c>
      <c r="H860" s="47">
        <f t="shared" ca="1" si="122"/>
        <v>1762416406545.5378</v>
      </c>
      <c r="I860" s="47">
        <f t="shared" ca="1" si="123"/>
        <v>9257591606786.5098</v>
      </c>
      <c r="J860" s="47">
        <f t="shared" ca="1" si="124"/>
        <v>807581971417.85876</v>
      </c>
      <c r="K860" s="48">
        <f t="shared" ca="1" si="125"/>
        <v>11.463346055798031</v>
      </c>
    </row>
    <row r="861" spans="2:11" ht="15" customHeight="1" x14ac:dyDescent="0.35">
      <c r="B861" s="5">
        <v>840</v>
      </c>
      <c r="C861" s="46">
        <f t="shared" ca="1" si="117"/>
        <v>3.5296675720043935</v>
      </c>
      <c r="D861" s="47">
        <f t="shared" ca="1" si="118"/>
        <v>9501202741.7001305</v>
      </c>
      <c r="E861" s="47">
        <f t="shared" ca="1" si="119"/>
        <v>42961711155945.992</v>
      </c>
      <c r="F861" s="47">
        <f t="shared" ca="1" si="120"/>
        <v>3325786413601.7856</v>
      </c>
      <c r="G861" s="47">
        <f t="shared" ca="1" si="121"/>
        <v>1883740718877.3579</v>
      </c>
      <c r="H861" s="47">
        <f t="shared" ca="1" si="122"/>
        <v>1883740718877.3579</v>
      </c>
      <c r="I861" s="47">
        <f t="shared" ca="1" si="123"/>
        <v>9136459685007.8945</v>
      </c>
      <c r="J861" s="47">
        <f t="shared" ca="1" si="124"/>
        <v>1784062515847.9402</v>
      </c>
      <c r="K861" s="48">
        <f t="shared" ca="1" si="125"/>
        <v>5.1211544460175276</v>
      </c>
    </row>
    <row r="862" spans="2:11" ht="15" customHeight="1" x14ac:dyDescent="0.35">
      <c r="B862" s="5">
        <v>841</v>
      </c>
      <c r="C862" s="46">
        <f t="shared" ca="1" si="117"/>
        <v>3.6805399076717933</v>
      </c>
      <c r="D862" s="47">
        <f t="shared" ca="1" si="118"/>
        <v>13700945420.878906</v>
      </c>
      <c r="E862" s="47">
        <f t="shared" ca="1" si="119"/>
        <v>65935911243121.5</v>
      </c>
      <c r="F862" s="47">
        <f t="shared" ca="1" si="120"/>
        <v>3154646857448.3159</v>
      </c>
      <c r="G862" s="47">
        <f t="shared" ca="1" si="121"/>
        <v>4326512326759.8687</v>
      </c>
      <c r="H862" s="47">
        <f t="shared" ca="1" si="122"/>
        <v>4326512326759.8687</v>
      </c>
      <c r="I862" s="47">
        <f t="shared" ca="1" si="123"/>
        <v>31171008559314.906</v>
      </c>
      <c r="J862" s="47">
        <f t="shared" ca="1" si="124"/>
        <v>1341327913175.8445</v>
      </c>
      <c r="K862" s="48">
        <f t="shared" ca="1" si="125"/>
        <v>23.238917384125497</v>
      </c>
    </row>
    <row r="863" spans="2:11" ht="15" customHeight="1" x14ac:dyDescent="0.35">
      <c r="B863" s="5">
        <v>842</v>
      </c>
      <c r="C863" s="46">
        <f t="shared" ca="1" si="117"/>
        <v>3.6051667671421823</v>
      </c>
      <c r="D863" s="47">
        <f t="shared" ca="1" si="118"/>
        <v>11088100752.414097</v>
      </c>
      <c r="E863" s="47">
        <f t="shared" ca="1" si="119"/>
        <v>41225877942556.953</v>
      </c>
      <c r="F863" s="47">
        <f t="shared" ca="1" si="120"/>
        <v>3751837349718.0708</v>
      </c>
      <c r="G863" s="47">
        <f t="shared" ca="1" si="121"/>
        <v>12686065579452.26</v>
      </c>
      <c r="H863" s="47">
        <f t="shared" ca="1" si="122"/>
        <v>3751837349718.0708</v>
      </c>
      <c r="I863" s="47">
        <f t="shared" ca="1" si="123"/>
        <v>9816415286351.1074</v>
      </c>
      <c r="J863" s="47">
        <f t="shared" ca="1" si="124"/>
        <v>649594825060.88171</v>
      </c>
      <c r="K863" s="48">
        <f t="shared" ca="1" si="125"/>
        <v>15.11159711814374</v>
      </c>
    </row>
    <row r="864" spans="2:11" ht="15" customHeight="1" x14ac:dyDescent="0.35">
      <c r="B864" s="5">
        <v>843</v>
      </c>
      <c r="C864" s="46">
        <f t="shared" ca="1" si="117"/>
        <v>2.5616190067456555</v>
      </c>
      <c r="D864" s="47">
        <f t="shared" ca="1" si="118"/>
        <v>2335270885.9337873</v>
      </c>
      <c r="E864" s="47">
        <f t="shared" ca="1" si="119"/>
        <v>4261115809665.4077</v>
      </c>
      <c r="F864" s="47">
        <f t="shared" ca="1" si="120"/>
        <v>2896709901506.5889</v>
      </c>
      <c r="G864" s="47">
        <f t="shared" ca="1" si="121"/>
        <v>3442034498404.0532</v>
      </c>
      <c r="H864" s="47">
        <f t="shared" ca="1" si="122"/>
        <v>4261115809665.4077</v>
      </c>
      <c r="I864" s="47">
        <f t="shared" ca="1" si="123"/>
        <v>18865787805432.676</v>
      </c>
      <c r="J864" s="47">
        <f t="shared" ca="1" si="124"/>
        <v>659422681483.47803</v>
      </c>
      <c r="K864" s="48">
        <f t="shared" ca="1" si="125"/>
        <v>28.609552469428309</v>
      </c>
    </row>
    <row r="865" spans="2:11" ht="15" customHeight="1" x14ac:dyDescent="0.35">
      <c r="B865" s="5">
        <v>844</v>
      </c>
      <c r="C865" s="46">
        <f t="shared" ca="1" si="117"/>
        <v>3.3513071826319707</v>
      </c>
      <c r="D865" s="47">
        <f t="shared" ca="1" si="118"/>
        <v>8670438393.3130684</v>
      </c>
      <c r="E865" s="47">
        <f t="shared" ca="1" si="119"/>
        <v>47527170390427.477</v>
      </c>
      <c r="F865" s="47">
        <f t="shared" ca="1" si="120"/>
        <v>2480789894683.3018</v>
      </c>
      <c r="G865" s="47">
        <f t="shared" ca="1" si="121"/>
        <v>1000135238094.6582</v>
      </c>
      <c r="H865" s="47">
        <f t="shared" ca="1" si="122"/>
        <v>47527170390427.477</v>
      </c>
      <c r="I865" s="47">
        <f t="shared" ca="1" si="123"/>
        <v>45615424527602.719</v>
      </c>
      <c r="J865" s="47">
        <f t="shared" ca="1" si="124"/>
        <v>2135537983803.3533</v>
      </c>
      <c r="K865" s="48">
        <f t="shared" ca="1" si="125"/>
        <v>21.360156023243615</v>
      </c>
    </row>
    <row r="866" spans="2:11" ht="15" customHeight="1" x14ac:dyDescent="0.35">
      <c r="B866" s="5">
        <v>845</v>
      </c>
      <c r="C866" s="46">
        <f t="shared" ca="1" si="117"/>
        <v>3.339655864398416</v>
      </c>
      <c r="D866" s="47">
        <f t="shared" ca="1" si="118"/>
        <v>7560502283.5597258</v>
      </c>
      <c r="E866" s="47">
        <f t="shared" ca="1" si="119"/>
        <v>30374616420923.84</v>
      </c>
      <c r="F866" s="47">
        <f t="shared" ca="1" si="120"/>
        <v>1952426928550.3374</v>
      </c>
      <c r="G866" s="47">
        <f t="shared" ca="1" si="121"/>
        <v>14214457628784.328</v>
      </c>
      <c r="H866" s="47">
        <f t="shared" ca="1" si="122"/>
        <v>1952426928550.3374</v>
      </c>
      <c r="I866" s="47">
        <f t="shared" ca="1" si="123"/>
        <v>7111472743860.623</v>
      </c>
      <c r="J866" s="47">
        <f t="shared" ca="1" si="124"/>
        <v>675413631422.7373</v>
      </c>
      <c r="K866" s="48">
        <f t="shared" ca="1" si="125"/>
        <v>10.529063100015515</v>
      </c>
    </row>
    <row r="867" spans="2:11" ht="15" customHeight="1" x14ac:dyDescent="0.35">
      <c r="B867" s="5">
        <v>846</v>
      </c>
      <c r="C867" s="46">
        <f t="shared" ca="1" si="117"/>
        <v>2.1072385603463761</v>
      </c>
      <c r="D867" s="47">
        <f t="shared" ca="1" si="118"/>
        <v>749110475.13364887</v>
      </c>
      <c r="E867" s="47">
        <f t="shared" ca="1" si="119"/>
        <v>1816481609578.1194</v>
      </c>
      <c r="F867" s="47">
        <f t="shared" ca="1" si="120"/>
        <v>1324986167001.8569</v>
      </c>
      <c r="G867" s="47">
        <f t="shared" ca="1" si="121"/>
        <v>21916786036504.586</v>
      </c>
      <c r="H867" s="47">
        <f t="shared" ca="1" si="122"/>
        <v>1324986167001.8569</v>
      </c>
      <c r="I867" s="47">
        <f t="shared" ca="1" si="123"/>
        <v>3456939770343.6953</v>
      </c>
      <c r="J867" s="47">
        <f t="shared" ca="1" si="124"/>
        <v>1014924517821.9988</v>
      </c>
      <c r="K867" s="48">
        <f t="shared" ca="1" si="125"/>
        <v>3.4061052912212593</v>
      </c>
    </row>
    <row r="868" spans="2:11" ht="15" customHeight="1" x14ac:dyDescent="0.35">
      <c r="B868" s="5">
        <v>847</v>
      </c>
      <c r="C868" s="46">
        <f t="shared" ca="1" si="117"/>
        <v>3.3487135390579965</v>
      </c>
      <c r="D868" s="47">
        <f t="shared" ca="1" si="118"/>
        <v>9921077028.8551331</v>
      </c>
      <c r="E868" s="47">
        <f t="shared" ca="1" si="119"/>
        <v>17385702800093.865</v>
      </c>
      <c r="F868" s="47">
        <f t="shared" ca="1" si="120"/>
        <v>1469823375339.5293</v>
      </c>
      <c r="G868" s="47">
        <f t="shared" ca="1" si="121"/>
        <v>1413112653346.5969</v>
      </c>
      <c r="H868" s="47">
        <f t="shared" ca="1" si="122"/>
        <v>17385702800093.865</v>
      </c>
      <c r="I868" s="47">
        <f t="shared" ca="1" si="123"/>
        <v>7114003919049.2441</v>
      </c>
      <c r="J868" s="47">
        <f t="shared" ca="1" si="124"/>
        <v>1343575456832.6843</v>
      </c>
      <c r="K868" s="48">
        <f t="shared" ca="1" si="125"/>
        <v>5.2948302105931901</v>
      </c>
    </row>
    <row r="869" spans="2:11" ht="15" customHeight="1" x14ac:dyDescent="0.35">
      <c r="B869" s="5">
        <v>848</v>
      </c>
      <c r="C869" s="46">
        <f t="shared" ca="1" si="117"/>
        <v>2.8652721511575119</v>
      </c>
      <c r="D869" s="47">
        <f t="shared" ca="1" si="118"/>
        <v>3411050479.6702218</v>
      </c>
      <c r="E869" s="47">
        <f t="shared" ca="1" si="119"/>
        <v>9940879683301.5098</v>
      </c>
      <c r="F869" s="47">
        <f t="shared" ca="1" si="120"/>
        <v>951613410992.2312</v>
      </c>
      <c r="G869" s="47">
        <f t="shared" ca="1" si="121"/>
        <v>2346375555308.9634</v>
      </c>
      <c r="H869" s="47">
        <f t="shared" ca="1" si="122"/>
        <v>2346375555308.9634</v>
      </c>
      <c r="I869" s="47">
        <f t="shared" ca="1" si="123"/>
        <v>12687723430095.535</v>
      </c>
      <c r="J869" s="47">
        <f t="shared" ca="1" si="124"/>
        <v>1927955162457.2373</v>
      </c>
      <c r="K869" s="48">
        <f t="shared" ca="1" si="125"/>
        <v>6.5809224597965477</v>
      </c>
    </row>
    <row r="870" spans="2:11" ht="15" customHeight="1" x14ac:dyDescent="0.35">
      <c r="B870" s="5">
        <v>849</v>
      </c>
      <c r="C870" s="46">
        <f t="shared" ca="1" si="117"/>
        <v>2.4423409186804697</v>
      </c>
      <c r="D870" s="47">
        <f t="shared" ca="1" si="118"/>
        <v>1546669184.6272292</v>
      </c>
      <c r="E870" s="47">
        <f t="shared" ca="1" si="119"/>
        <v>5176213131263.5605</v>
      </c>
      <c r="F870" s="47">
        <f t="shared" ca="1" si="120"/>
        <v>10088074969828.393</v>
      </c>
      <c r="G870" s="47">
        <f t="shared" ca="1" si="121"/>
        <v>1796508212139.3223</v>
      </c>
      <c r="H870" s="47">
        <f t="shared" ca="1" si="122"/>
        <v>10088074969828.393</v>
      </c>
      <c r="I870" s="47">
        <f t="shared" ca="1" si="123"/>
        <v>6181266401971.2188</v>
      </c>
      <c r="J870" s="47">
        <f t="shared" ca="1" si="124"/>
        <v>2051017733082.9888</v>
      </c>
      <c r="K870" s="48">
        <f t="shared" ca="1" si="125"/>
        <v>3.013755708820637</v>
      </c>
    </row>
    <row r="871" spans="2:11" ht="15" customHeight="1" x14ac:dyDescent="0.35">
      <c r="B871" s="5">
        <v>850</v>
      </c>
      <c r="C871" s="46">
        <f t="shared" ca="1" si="117"/>
        <v>3.0849626155027838</v>
      </c>
      <c r="D871" s="47">
        <f t="shared" ca="1" si="118"/>
        <v>5147767341.421423</v>
      </c>
      <c r="E871" s="47">
        <f t="shared" ca="1" si="119"/>
        <v>13925564445204.898</v>
      </c>
      <c r="F871" s="47">
        <f t="shared" ca="1" si="120"/>
        <v>8655831984051.4199</v>
      </c>
      <c r="G871" s="47">
        <f t="shared" ca="1" si="121"/>
        <v>45713566475395.117</v>
      </c>
      <c r="H871" s="47">
        <f t="shared" ca="1" si="122"/>
        <v>13925564445204.898</v>
      </c>
      <c r="I871" s="47">
        <f t="shared" ca="1" si="123"/>
        <v>8876507763377.9473</v>
      </c>
      <c r="J871" s="47">
        <f t="shared" ca="1" si="124"/>
        <v>1933305982138.3848</v>
      </c>
      <c r="K871" s="48">
        <f t="shared" ca="1" si="125"/>
        <v>4.5913620737674687</v>
      </c>
    </row>
    <row r="872" spans="2:11" ht="15" customHeight="1" x14ac:dyDescent="0.35">
      <c r="B872" s="5">
        <v>851</v>
      </c>
      <c r="C872" s="46">
        <f t="shared" ca="1" si="117"/>
        <v>3.6840385427751658</v>
      </c>
      <c r="D872" s="47">
        <f t="shared" ca="1" si="118"/>
        <v>11257460628.338608</v>
      </c>
      <c r="E872" s="47">
        <f t="shared" ca="1" si="119"/>
        <v>28293796067274.68</v>
      </c>
      <c r="F872" s="47">
        <f t="shared" ca="1" si="120"/>
        <v>1854358091885.4348</v>
      </c>
      <c r="G872" s="47">
        <f t="shared" ca="1" si="121"/>
        <v>7453035147797.3555</v>
      </c>
      <c r="H872" s="47">
        <f t="shared" ca="1" si="122"/>
        <v>1854358091885.4348</v>
      </c>
      <c r="I872" s="47">
        <f t="shared" ca="1" si="123"/>
        <v>2267741985854.2871</v>
      </c>
      <c r="J872" s="47">
        <f t="shared" ca="1" si="124"/>
        <v>698613285647.59839</v>
      </c>
      <c r="K872" s="48">
        <f t="shared" ca="1" si="125"/>
        <v>3.2460619235893038</v>
      </c>
    </row>
    <row r="873" spans="2:11" ht="15" customHeight="1" x14ac:dyDescent="0.35">
      <c r="B873" s="5">
        <v>852</v>
      </c>
      <c r="C873" s="46">
        <f t="shared" ca="1" si="117"/>
        <v>3.4082559312264427</v>
      </c>
      <c r="D873" s="47">
        <f t="shared" ca="1" si="118"/>
        <v>7590234564.9552679</v>
      </c>
      <c r="E873" s="47">
        <f t="shared" ca="1" si="119"/>
        <v>18559966660470.707</v>
      </c>
      <c r="F873" s="47">
        <f t="shared" ca="1" si="120"/>
        <v>16053319797186.318</v>
      </c>
      <c r="G873" s="47">
        <f t="shared" ca="1" si="121"/>
        <v>8089882419397.999</v>
      </c>
      <c r="H873" s="47">
        <f t="shared" ca="1" si="122"/>
        <v>16053319797186.318</v>
      </c>
      <c r="I873" s="47">
        <f t="shared" ca="1" si="123"/>
        <v>17983570583269.012</v>
      </c>
      <c r="J873" s="47">
        <f t="shared" ca="1" si="124"/>
        <v>2319082195609.5605</v>
      </c>
      <c r="K873" s="48">
        <f t="shared" ca="1" si="125"/>
        <v>7.7546068083809807</v>
      </c>
    </row>
    <row r="874" spans="2:11" ht="15" customHeight="1" x14ac:dyDescent="0.35">
      <c r="B874" s="5">
        <v>853</v>
      </c>
      <c r="C874" s="46">
        <f t="shared" ca="1" si="117"/>
        <v>3.6978561104140208</v>
      </c>
      <c r="D874" s="47">
        <f t="shared" ca="1" si="118"/>
        <v>16231838432.44104</v>
      </c>
      <c r="E874" s="47">
        <f t="shared" ca="1" si="119"/>
        <v>136375344713932.55</v>
      </c>
      <c r="F874" s="47">
        <f t="shared" ca="1" si="120"/>
        <v>977764608338.91199</v>
      </c>
      <c r="G874" s="47">
        <f t="shared" ca="1" si="121"/>
        <v>5697079761073.5811</v>
      </c>
      <c r="H874" s="47">
        <f t="shared" ca="1" si="122"/>
        <v>977764608338.91199</v>
      </c>
      <c r="I874" s="47">
        <f t="shared" ca="1" si="123"/>
        <v>5431639311116.2686</v>
      </c>
      <c r="J874" s="47">
        <f t="shared" ca="1" si="124"/>
        <v>2162538101766.6616</v>
      </c>
      <c r="K874" s="48">
        <f t="shared" ca="1" si="125"/>
        <v>2.5116964675345841</v>
      </c>
    </row>
    <row r="875" spans="2:11" ht="15" customHeight="1" x14ac:dyDescent="0.35">
      <c r="B875" s="5">
        <v>854</v>
      </c>
      <c r="C875" s="46">
        <f t="shared" ca="1" si="117"/>
        <v>3.0744745209313571</v>
      </c>
      <c r="D875" s="47">
        <f t="shared" ca="1" si="118"/>
        <v>5323229946.7407179</v>
      </c>
      <c r="E875" s="47">
        <f t="shared" ca="1" si="119"/>
        <v>22671509675328.383</v>
      </c>
      <c r="F875" s="47">
        <f t="shared" ca="1" si="120"/>
        <v>1236750352116.1763</v>
      </c>
      <c r="G875" s="47">
        <f t="shared" ca="1" si="121"/>
        <v>115207783806033.16</v>
      </c>
      <c r="H875" s="47">
        <f t="shared" ca="1" si="122"/>
        <v>115207783806033.16</v>
      </c>
      <c r="I875" s="47">
        <f t="shared" ca="1" si="123"/>
        <v>39133929584273.148</v>
      </c>
      <c r="J875" s="47">
        <f t="shared" ca="1" si="124"/>
        <v>2214343454318.6064</v>
      </c>
      <c r="K875" s="48">
        <f t="shared" ca="1" si="125"/>
        <v>17.672926712408021</v>
      </c>
    </row>
    <row r="876" spans="2:11" ht="15" customHeight="1" x14ac:dyDescent="0.35">
      <c r="B876" s="5">
        <v>855</v>
      </c>
      <c r="C876" s="46">
        <f t="shared" ca="1" si="117"/>
        <v>3.0633800256847654</v>
      </c>
      <c r="D876" s="47">
        <f t="shared" ca="1" si="118"/>
        <v>6029837220.5395203</v>
      </c>
      <c r="E876" s="47">
        <f t="shared" ca="1" si="119"/>
        <v>42827823719898.602</v>
      </c>
      <c r="F876" s="47">
        <f t="shared" ca="1" si="120"/>
        <v>1090933313370.8433</v>
      </c>
      <c r="G876" s="47">
        <f t="shared" ca="1" si="121"/>
        <v>21124634055043.367</v>
      </c>
      <c r="H876" s="47">
        <f t="shared" ca="1" si="122"/>
        <v>21124634055043.367</v>
      </c>
      <c r="I876" s="47">
        <f t="shared" ca="1" si="123"/>
        <v>28198884459876.023</v>
      </c>
      <c r="J876" s="47">
        <f t="shared" ca="1" si="124"/>
        <v>499477908536.98517</v>
      </c>
      <c r="K876" s="48">
        <f t="shared" ca="1" si="125"/>
        <v>56.456720062901368</v>
      </c>
    </row>
    <row r="877" spans="2:11" ht="15" customHeight="1" x14ac:dyDescent="0.35">
      <c r="B877" s="5">
        <v>856</v>
      </c>
      <c r="C877" s="46">
        <f t="shared" ca="1" si="117"/>
        <v>2.7152542337582801</v>
      </c>
      <c r="D877" s="47">
        <f t="shared" ca="1" si="118"/>
        <v>3086861090.7373328</v>
      </c>
      <c r="E877" s="47">
        <f t="shared" ca="1" si="119"/>
        <v>4247286901640.1987</v>
      </c>
      <c r="F877" s="47">
        <f t="shared" ca="1" si="120"/>
        <v>1392043782870.7605</v>
      </c>
      <c r="G877" s="47">
        <f t="shared" ca="1" si="121"/>
        <v>5026594703477.8018</v>
      </c>
      <c r="H877" s="47">
        <f t="shared" ca="1" si="122"/>
        <v>4247286901640.1987</v>
      </c>
      <c r="I877" s="47">
        <f t="shared" ca="1" si="123"/>
        <v>31885411720073.879</v>
      </c>
      <c r="J877" s="47">
        <f t="shared" ca="1" si="124"/>
        <v>1562050374689.1028</v>
      </c>
      <c r="K877" s="48">
        <f t="shared" ca="1" si="125"/>
        <v>20.412537416675875</v>
      </c>
    </row>
    <row r="878" spans="2:11" ht="15" customHeight="1" x14ac:dyDescent="0.35">
      <c r="B878" s="5">
        <v>857</v>
      </c>
      <c r="C878" s="46">
        <f t="shared" ca="1" si="117"/>
        <v>3.3459835608911392</v>
      </c>
      <c r="D878" s="47">
        <f t="shared" ca="1" si="118"/>
        <v>7030076993.8293352</v>
      </c>
      <c r="E878" s="47">
        <f t="shared" ca="1" si="119"/>
        <v>31466526630959.176</v>
      </c>
      <c r="F878" s="47">
        <f t="shared" ca="1" si="120"/>
        <v>1982759051360.8989</v>
      </c>
      <c r="G878" s="47">
        <f t="shared" ca="1" si="121"/>
        <v>3629200740888.9653</v>
      </c>
      <c r="H878" s="47">
        <f t="shared" ca="1" si="122"/>
        <v>31466526630959.176</v>
      </c>
      <c r="I878" s="47">
        <f t="shared" ca="1" si="123"/>
        <v>2270951601283.2798</v>
      </c>
      <c r="J878" s="47">
        <f t="shared" ca="1" si="124"/>
        <v>838259007198.78955</v>
      </c>
      <c r="K878" s="48">
        <f t="shared" ca="1" si="125"/>
        <v>2.7091287797456776</v>
      </c>
    </row>
    <row r="879" spans="2:11" ht="15" customHeight="1" x14ac:dyDescent="0.35">
      <c r="B879" s="5">
        <v>858</v>
      </c>
      <c r="C879" s="46">
        <f t="shared" ca="1" si="117"/>
        <v>2.5183485552800629</v>
      </c>
      <c r="D879" s="47">
        <f t="shared" ca="1" si="118"/>
        <v>1753565647.6757975</v>
      </c>
      <c r="E879" s="47">
        <f t="shared" ca="1" si="119"/>
        <v>4978240790146.4434</v>
      </c>
      <c r="F879" s="47">
        <f t="shared" ca="1" si="120"/>
        <v>3316131158032.9282</v>
      </c>
      <c r="G879" s="47">
        <f t="shared" ca="1" si="121"/>
        <v>28143543379159.59</v>
      </c>
      <c r="H879" s="47">
        <f t="shared" ca="1" si="122"/>
        <v>4978240790146.4434</v>
      </c>
      <c r="I879" s="47">
        <f t="shared" ca="1" si="123"/>
        <v>72090359682055.516</v>
      </c>
      <c r="J879" s="47">
        <f t="shared" ca="1" si="124"/>
        <v>764091247119.77734</v>
      </c>
      <c r="K879" s="48">
        <f t="shared" ca="1" si="125"/>
        <v>94.347841247754516</v>
      </c>
    </row>
    <row r="880" spans="2:11" ht="15" customHeight="1" x14ac:dyDescent="0.35">
      <c r="B880" s="5">
        <v>859</v>
      </c>
      <c r="C880" s="46">
        <f t="shared" ca="1" si="117"/>
        <v>3.3373321260088238</v>
      </c>
      <c r="D880" s="47">
        <f t="shared" ca="1" si="118"/>
        <v>9679207314.6735401</v>
      </c>
      <c r="E880" s="47">
        <f t="shared" ca="1" si="119"/>
        <v>10707897174868.248</v>
      </c>
      <c r="F880" s="47">
        <f t="shared" ca="1" si="120"/>
        <v>705920984385.37866</v>
      </c>
      <c r="G880" s="47">
        <f t="shared" ca="1" si="121"/>
        <v>10352678183064.373</v>
      </c>
      <c r="H880" s="47">
        <f t="shared" ca="1" si="122"/>
        <v>705920984385.37866</v>
      </c>
      <c r="I880" s="47">
        <f t="shared" ca="1" si="123"/>
        <v>12399039244736.957</v>
      </c>
      <c r="J880" s="47">
        <f t="shared" ca="1" si="124"/>
        <v>1115284029550.6721</v>
      </c>
      <c r="K880" s="48">
        <f t="shared" ca="1" si="125"/>
        <v>11.117382582562675</v>
      </c>
    </row>
    <row r="881" spans="2:11" ht="15" customHeight="1" x14ac:dyDescent="0.35">
      <c r="B881" s="5">
        <v>860</v>
      </c>
      <c r="C881" s="46">
        <f t="shared" ca="1" si="117"/>
        <v>2.3198960723160971</v>
      </c>
      <c r="D881" s="47">
        <f t="shared" ca="1" si="118"/>
        <v>1423610957.7492619</v>
      </c>
      <c r="E881" s="47">
        <f t="shared" ca="1" si="119"/>
        <v>4035719759496.1958</v>
      </c>
      <c r="F881" s="47">
        <f t="shared" ca="1" si="120"/>
        <v>338122978431.91699</v>
      </c>
      <c r="G881" s="47">
        <f t="shared" ca="1" si="121"/>
        <v>8099749734179.8291</v>
      </c>
      <c r="H881" s="47">
        <f t="shared" ca="1" si="122"/>
        <v>4035719759496.1958</v>
      </c>
      <c r="I881" s="47">
        <f t="shared" ca="1" si="123"/>
        <v>6581871363757.8301</v>
      </c>
      <c r="J881" s="47">
        <f t="shared" ca="1" si="124"/>
        <v>2363995459520.7324</v>
      </c>
      <c r="K881" s="48">
        <f t="shared" ca="1" si="125"/>
        <v>2.7842148923129546</v>
      </c>
    </row>
    <row r="882" spans="2:11" ht="15" customHeight="1" x14ac:dyDescent="0.35">
      <c r="B882" s="5">
        <v>861</v>
      </c>
      <c r="C882" s="46">
        <f t="shared" ca="1" si="117"/>
        <v>2.5026028065051849</v>
      </c>
      <c r="D882" s="47">
        <f t="shared" ca="1" si="118"/>
        <v>1624354390.3721697</v>
      </c>
      <c r="E882" s="47">
        <f t="shared" ca="1" si="119"/>
        <v>3832443385258.4922</v>
      </c>
      <c r="F882" s="47">
        <f t="shared" ca="1" si="120"/>
        <v>4484668739694.9688</v>
      </c>
      <c r="G882" s="47">
        <f t="shared" ca="1" si="121"/>
        <v>7266282392286.9951</v>
      </c>
      <c r="H882" s="47">
        <f t="shared" ca="1" si="122"/>
        <v>7266282392286.9951</v>
      </c>
      <c r="I882" s="47">
        <f t="shared" ca="1" si="123"/>
        <v>18811311509572.332</v>
      </c>
      <c r="J882" s="47">
        <f t="shared" ca="1" si="124"/>
        <v>1544688357852.8296</v>
      </c>
      <c r="K882" s="48">
        <f t="shared" ca="1" si="125"/>
        <v>12.178062593622903</v>
      </c>
    </row>
    <row r="883" spans="2:11" ht="15" customHeight="1" x14ac:dyDescent="0.35">
      <c r="B883" s="5">
        <v>862</v>
      </c>
      <c r="C883" s="46">
        <f t="shared" ca="1" si="117"/>
        <v>3.2596060702909386</v>
      </c>
      <c r="D883" s="47">
        <f t="shared" ca="1" si="118"/>
        <v>7292252323.9143877</v>
      </c>
      <c r="E883" s="47">
        <f t="shared" ca="1" si="119"/>
        <v>6456829344401.0557</v>
      </c>
      <c r="F883" s="47">
        <f t="shared" ca="1" si="120"/>
        <v>48132045599642.992</v>
      </c>
      <c r="G883" s="47">
        <f t="shared" ca="1" si="121"/>
        <v>2916470185960.4189</v>
      </c>
      <c r="H883" s="47">
        <f t="shared" ca="1" si="122"/>
        <v>48132045599642.992</v>
      </c>
      <c r="I883" s="47">
        <f t="shared" ca="1" si="123"/>
        <v>28173296632508.828</v>
      </c>
      <c r="J883" s="47">
        <f t="shared" ca="1" si="124"/>
        <v>1843080165488.7036</v>
      </c>
      <c r="K883" s="48">
        <f t="shared" ca="1" si="125"/>
        <v>15.285985471520991</v>
      </c>
    </row>
    <row r="884" spans="2:11" ht="15" customHeight="1" x14ac:dyDescent="0.35">
      <c r="B884" s="5">
        <v>863</v>
      </c>
      <c r="C884" s="46">
        <f t="shared" ca="1" si="117"/>
        <v>2.46813783375074</v>
      </c>
      <c r="D884" s="47">
        <f t="shared" ca="1" si="118"/>
        <v>1604265999.674922</v>
      </c>
      <c r="E884" s="47">
        <f t="shared" ca="1" si="119"/>
        <v>5139591194517.0996</v>
      </c>
      <c r="F884" s="47">
        <f t="shared" ca="1" si="120"/>
        <v>1099632138136.6941</v>
      </c>
      <c r="G884" s="47">
        <f t="shared" ca="1" si="121"/>
        <v>5743725476137.8535</v>
      </c>
      <c r="H884" s="47">
        <f t="shared" ca="1" si="122"/>
        <v>5139591194517.0996</v>
      </c>
      <c r="I884" s="47">
        <f t="shared" ca="1" si="123"/>
        <v>6686200641384.8438</v>
      </c>
      <c r="J884" s="47">
        <f t="shared" ca="1" si="124"/>
        <v>629768246654.36743</v>
      </c>
      <c r="K884" s="48">
        <f t="shared" ca="1" si="125"/>
        <v>10.616922458229936</v>
      </c>
    </row>
    <row r="885" spans="2:11" ht="15" customHeight="1" x14ac:dyDescent="0.35">
      <c r="B885" s="5">
        <v>864</v>
      </c>
      <c r="C885" s="46">
        <f t="shared" ca="1" si="117"/>
        <v>3.4257690708194457</v>
      </c>
      <c r="D885" s="47">
        <f t="shared" ca="1" si="118"/>
        <v>8967141501.6166019</v>
      </c>
      <c r="E885" s="47">
        <f t="shared" ca="1" si="119"/>
        <v>38818666949271.914</v>
      </c>
      <c r="F885" s="47">
        <f t="shared" ca="1" si="120"/>
        <v>23776076689703.758</v>
      </c>
      <c r="G885" s="47">
        <f t="shared" ca="1" si="121"/>
        <v>1439135179542.5027</v>
      </c>
      <c r="H885" s="47">
        <f t="shared" ca="1" si="122"/>
        <v>23776076689703.758</v>
      </c>
      <c r="I885" s="47">
        <f t="shared" ca="1" si="123"/>
        <v>5531192907035.1885</v>
      </c>
      <c r="J885" s="47">
        <f t="shared" ca="1" si="124"/>
        <v>1406585201441.1653</v>
      </c>
      <c r="K885" s="48">
        <f t="shared" ca="1" si="125"/>
        <v>3.932355396152337</v>
      </c>
    </row>
    <row r="886" spans="2:11" ht="15" customHeight="1" x14ac:dyDescent="0.35">
      <c r="B886" s="5">
        <v>865</v>
      </c>
      <c r="C886" s="46">
        <f t="shared" ca="1" si="117"/>
        <v>3.2643819903594147</v>
      </c>
      <c r="D886" s="47">
        <f t="shared" ca="1" si="118"/>
        <v>6855692848.0524187</v>
      </c>
      <c r="E886" s="47">
        <f t="shared" ca="1" si="119"/>
        <v>17834843645058.438</v>
      </c>
      <c r="F886" s="47">
        <f t="shared" ca="1" si="120"/>
        <v>1002867353820.2864</v>
      </c>
      <c r="G886" s="47">
        <f t="shared" ca="1" si="121"/>
        <v>700936467510.90747</v>
      </c>
      <c r="H886" s="47">
        <f t="shared" ca="1" si="122"/>
        <v>17834843645058.438</v>
      </c>
      <c r="I886" s="47">
        <f t="shared" ca="1" si="123"/>
        <v>15673608006588.758</v>
      </c>
      <c r="J886" s="47">
        <f t="shared" ca="1" si="124"/>
        <v>861016182948.30493</v>
      </c>
      <c r="K886" s="48">
        <f t="shared" ca="1" si="125"/>
        <v>18.203616049258152</v>
      </c>
    </row>
    <row r="887" spans="2:11" ht="15" customHeight="1" x14ac:dyDescent="0.35">
      <c r="B887" s="5">
        <v>866</v>
      </c>
      <c r="C887" s="46">
        <f t="shared" ca="1" si="117"/>
        <v>3.2263069197545859</v>
      </c>
      <c r="D887" s="47">
        <f t="shared" ca="1" si="118"/>
        <v>6417729482.285759</v>
      </c>
      <c r="E887" s="47">
        <f t="shared" ca="1" si="119"/>
        <v>9418547211002.9961</v>
      </c>
      <c r="F887" s="47">
        <f t="shared" ca="1" si="120"/>
        <v>16071228791964.018</v>
      </c>
      <c r="G887" s="47">
        <f t="shared" ca="1" si="121"/>
        <v>4582498067108.3574</v>
      </c>
      <c r="H887" s="47">
        <f t="shared" ca="1" si="122"/>
        <v>16071228791964.018</v>
      </c>
      <c r="I887" s="47">
        <f t="shared" ca="1" si="123"/>
        <v>95611760481572.766</v>
      </c>
      <c r="J887" s="47">
        <f t="shared" ca="1" si="124"/>
        <v>902199855139.92688</v>
      </c>
      <c r="K887" s="48">
        <f t="shared" ca="1" si="125"/>
        <v>105.97625341753556</v>
      </c>
    </row>
    <row r="888" spans="2:11" ht="15" customHeight="1" x14ac:dyDescent="0.35">
      <c r="B888" s="5">
        <v>867</v>
      </c>
      <c r="C888" s="46">
        <f t="shared" ca="1" si="117"/>
        <v>2.9453664985467976</v>
      </c>
      <c r="D888" s="47">
        <f t="shared" ca="1" si="118"/>
        <v>3928625067.5517354</v>
      </c>
      <c r="E888" s="47">
        <f t="shared" ca="1" si="119"/>
        <v>8231343033368.2334</v>
      </c>
      <c r="F888" s="47">
        <f t="shared" ca="1" si="120"/>
        <v>620481455058.80945</v>
      </c>
      <c r="G888" s="47">
        <f t="shared" ca="1" si="121"/>
        <v>567471555910.14795</v>
      </c>
      <c r="H888" s="47">
        <f t="shared" ca="1" si="122"/>
        <v>620481455058.80945</v>
      </c>
      <c r="I888" s="47">
        <f t="shared" ca="1" si="123"/>
        <v>50143165966169.938</v>
      </c>
      <c r="J888" s="47">
        <f t="shared" ca="1" si="124"/>
        <v>673749930259.96997</v>
      </c>
      <c r="K888" s="48">
        <f t="shared" ca="1" si="125"/>
        <v>74.424001716515107</v>
      </c>
    </row>
    <row r="889" spans="2:11" ht="15" customHeight="1" x14ac:dyDescent="0.35">
      <c r="B889" s="5">
        <v>868</v>
      </c>
      <c r="C889" s="46">
        <f t="shared" ca="1" si="117"/>
        <v>3.3261504164929927</v>
      </c>
      <c r="D889" s="47">
        <f t="shared" ca="1" si="118"/>
        <v>9533556642.1718941</v>
      </c>
      <c r="E889" s="47">
        <f t="shared" ca="1" si="119"/>
        <v>73465837922953.297</v>
      </c>
      <c r="F889" s="47">
        <f t="shared" ca="1" si="120"/>
        <v>1567074375876.7422</v>
      </c>
      <c r="G889" s="47">
        <f t="shared" ca="1" si="121"/>
        <v>358279709538.90741</v>
      </c>
      <c r="H889" s="47">
        <f t="shared" ca="1" si="122"/>
        <v>73465837922953.297</v>
      </c>
      <c r="I889" s="47">
        <f t="shared" ca="1" si="123"/>
        <v>1264388505746.4614</v>
      </c>
      <c r="J889" s="47">
        <f t="shared" ca="1" si="124"/>
        <v>1203927176105.1526</v>
      </c>
      <c r="K889" s="48">
        <f t="shared" ca="1" si="125"/>
        <v>1.0502200887572855</v>
      </c>
    </row>
    <row r="890" spans="2:11" ht="15" customHeight="1" x14ac:dyDescent="0.35">
      <c r="B890" s="5">
        <v>869</v>
      </c>
      <c r="C890" s="46">
        <f t="shared" ca="1" si="117"/>
        <v>3.9470804821835492</v>
      </c>
      <c r="D890" s="47">
        <f t="shared" ca="1" si="118"/>
        <v>16355047683.566429</v>
      </c>
      <c r="E890" s="47">
        <f t="shared" ca="1" si="119"/>
        <v>91737452101872.844</v>
      </c>
      <c r="F890" s="47">
        <f t="shared" ca="1" si="120"/>
        <v>4416652098696.5273</v>
      </c>
      <c r="G890" s="47">
        <f t="shared" ca="1" si="121"/>
        <v>1312327502248.4509</v>
      </c>
      <c r="H890" s="47">
        <f t="shared" ca="1" si="122"/>
        <v>91737452101872.844</v>
      </c>
      <c r="I890" s="47">
        <f t="shared" ca="1" si="123"/>
        <v>17247804521770.184</v>
      </c>
      <c r="J890" s="47">
        <f t="shared" ca="1" si="124"/>
        <v>2458555858692.1802</v>
      </c>
      <c r="K890" s="48">
        <f t="shared" ca="1" si="125"/>
        <v>7.0154210492272853</v>
      </c>
    </row>
    <row r="891" spans="2:11" ht="15" customHeight="1" x14ac:dyDescent="0.35">
      <c r="B891" s="5">
        <v>870</v>
      </c>
      <c r="C891" s="46">
        <f t="shared" ca="1" si="117"/>
        <v>3.0918484411149576</v>
      </c>
      <c r="D891" s="47">
        <f t="shared" ca="1" si="118"/>
        <v>6772387896.6291142</v>
      </c>
      <c r="E891" s="47">
        <f t="shared" ca="1" si="119"/>
        <v>25514846776788.813</v>
      </c>
      <c r="F891" s="47">
        <f t="shared" ca="1" si="120"/>
        <v>76906892318848.875</v>
      </c>
      <c r="G891" s="47">
        <f t="shared" ca="1" si="121"/>
        <v>1179748446546.5415</v>
      </c>
      <c r="H891" s="47">
        <f t="shared" ca="1" si="122"/>
        <v>25514846776788.813</v>
      </c>
      <c r="I891" s="47">
        <f t="shared" ca="1" si="123"/>
        <v>10562944518392.574</v>
      </c>
      <c r="J891" s="47">
        <f t="shared" ca="1" si="124"/>
        <v>2164397721832.738</v>
      </c>
      <c r="K891" s="48">
        <f t="shared" ca="1" si="125"/>
        <v>4.8803158550029488</v>
      </c>
    </row>
    <row r="892" spans="2:11" ht="15" customHeight="1" x14ac:dyDescent="0.35">
      <c r="B892" s="5">
        <v>871</v>
      </c>
      <c r="C892" s="46">
        <f t="shared" ca="1" si="117"/>
        <v>2.7515358284203226</v>
      </c>
      <c r="D892" s="47">
        <f t="shared" ca="1" si="118"/>
        <v>2928597955.3222642</v>
      </c>
      <c r="E892" s="47">
        <f t="shared" ca="1" si="119"/>
        <v>5896604252366.9697</v>
      </c>
      <c r="F892" s="47">
        <f t="shared" ca="1" si="120"/>
        <v>2811026042841.0205</v>
      </c>
      <c r="G892" s="47">
        <f t="shared" ca="1" si="121"/>
        <v>15651539944855.295</v>
      </c>
      <c r="H892" s="47">
        <f t="shared" ca="1" si="122"/>
        <v>5896604252366.9697</v>
      </c>
      <c r="I892" s="47">
        <f t="shared" ca="1" si="123"/>
        <v>7083370142384.748</v>
      </c>
      <c r="J892" s="47">
        <f t="shared" ca="1" si="124"/>
        <v>644822441706.41284</v>
      </c>
      <c r="K892" s="48">
        <f t="shared" ca="1" si="125"/>
        <v>10.98499320780433</v>
      </c>
    </row>
    <row r="893" spans="2:11" ht="15" customHeight="1" x14ac:dyDescent="0.35">
      <c r="B893" s="5">
        <v>872</v>
      </c>
      <c r="C893" s="46">
        <f t="shared" ca="1" si="117"/>
        <v>2.6889450592759867</v>
      </c>
      <c r="D893" s="47">
        <f t="shared" ca="1" si="118"/>
        <v>2456461112.7528214</v>
      </c>
      <c r="E893" s="47">
        <f t="shared" ca="1" si="119"/>
        <v>11666535064652.443</v>
      </c>
      <c r="F893" s="47">
        <f t="shared" ca="1" si="120"/>
        <v>617890023659.57886</v>
      </c>
      <c r="G893" s="47">
        <f t="shared" ca="1" si="121"/>
        <v>13918823519039.482</v>
      </c>
      <c r="H893" s="47">
        <f t="shared" ca="1" si="122"/>
        <v>11666535064652.443</v>
      </c>
      <c r="I893" s="47">
        <f t="shared" ca="1" si="123"/>
        <v>4073104626223.9565</v>
      </c>
      <c r="J893" s="47">
        <f t="shared" ca="1" si="124"/>
        <v>720465546616.67847</v>
      </c>
      <c r="K893" s="48">
        <f t="shared" ca="1" si="125"/>
        <v>5.6534342903020729</v>
      </c>
    </row>
    <row r="894" spans="2:11" ht="15" customHeight="1" x14ac:dyDescent="0.35">
      <c r="B894" s="5">
        <v>873</v>
      </c>
      <c r="C894" s="46">
        <f t="shared" ca="1" si="117"/>
        <v>1.9668211475952371</v>
      </c>
      <c r="D894" s="47">
        <f t="shared" ca="1" si="118"/>
        <v>514646212.75399363</v>
      </c>
      <c r="E894" s="47">
        <f t="shared" ca="1" si="119"/>
        <v>7746740983763.1855</v>
      </c>
      <c r="F894" s="47">
        <f t="shared" ca="1" si="120"/>
        <v>2650281789359.1294</v>
      </c>
      <c r="G894" s="47">
        <f t="shared" ca="1" si="121"/>
        <v>760897529873.5155</v>
      </c>
      <c r="H894" s="47">
        <f t="shared" ca="1" si="122"/>
        <v>2650281789359.1294</v>
      </c>
      <c r="I894" s="47">
        <f t="shared" ca="1" si="123"/>
        <v>4490695998118.168</v>
      </c>
      <c r="J894" s="47">
        <f t="shared" ca="1" si="124"/>
        <v>1832389477667.0913</v>
      </c>
      <c r="K894" s="48">
        <f t="shared" ca="1" si="125"/>
        <v>2.4507322558059559</v>
      </c>
    </row>
    <row r="895" spans="2:11" ht="15" customHeight="1" x14ac:dyDescent="0.35">
      <c r="B895" s="5">
        <v>874</v>
      </c>
      <c r="C895" s="46">
        <f t="shared" ca="1" si="117"/>
        <v>3.0404804918423038</v>
      </c>
      <c r="D895" s="47">
        <f t="shared" ca="1" si="118"/>
        <v>4661898688.4466619</v>
      </c>
      <c r="E895" s="47">
        <f t="shared" ca="1" si="119"/>
        <v>43718262445081.82</v>
      </c>
      <c r="F895" s="47">
        <f t="shared" ca="1" si="120"/>
        <v>101084045345.4639</v>
      </c>
      <c r="G895" s="47">
        <f t="shared" ca="1" si="121"/>
        <v>21924926269940.738</v>
      </c>
      <c r="H895" s="47">
        <f t="shared" ca="1" si="122"/>
        <v>43718262445081.82</v>
      </c>
      <c r="I895" s="47">
        <f t="shared" ca="1" si="123"/>
        <v>39728292933154.789</v>
      </c>
      <c r="J895" s="47">
        <f t="shared" ca="1" si="124"/>
        <v>1598737144060.8323</v>
      </c>
      <c r="K895" s="48">
        <f t="shared" ca="1" si="125"/>
        <v>24.849796654029024</v>
      </c>
    </row>
    <row r="896" spans="2:11" ht="15" customHeight="1" x14ac:dyDescent="0.35">
      <c r="B896" s="5">
        <v>875</v>
      </c>
      <c r="C896" s="46">
        <f t="shared" ca="1" si="117"/>
        <v>2.9081630083751113</v>
      </c>
      <c r="D896" s="47">
        <f t="shared" ca="1" si="118"/>
        <v>4750834593.5091267</v>
      </c>
      <c r="E896" s="47">
        <f t="shared" ca="1" si="119"/>
        <v>9194492644558.9707</v>
      </c>
      <c r="F896" s="47">
        <f t="shared" ca="1" si="120"/>
        <v>2804539057231.4517</v>
      </c>
      <c r="G896" s="47">
        <f t="shared" ca="1" si="121"/>
        <v>2335144523189.2554</v>
      </c>
      <c r="H896" s="47">
        <f t="shared" ca="1" si="122"/>
        <v>9194492644558.9707</v>
      </c>
      <c r="I896" s="47">
        <f t="shared" ca="1" si="123"/>
        <v>39734664979743</v>
      </c>
      <c r="J896" s="47">
        <f t="shared" ca="1" si="124"/>
        <v>1735393691365.1807</v>
      </c>
      <c r="K896" s="48">
        <f t="shared" ca="1" si="125"/>
        <v>22.89662868860896</v>
      </c>
    </row>
    <row r="897" spans="2:11" ht="15" customHeight="1" x14ac:dyDescent="0.35">
      <c r="B897" s="5">
        <v>876</v>
      </c>
      <c r="C897" s="46">
        <f t="shared" ca="1" si="117"/>
        <v>1.8</v>
      </c>
      <c r="D897" s="47">
        <f t="shared" ca="1" si="118"/>
        <v>424312975.15123916</v>
      </c>
      <c r="E897" s="47">
        <f t="shared" ca="1" si="119"/>
        <v>2732354499235.877</v>
      </c>
      <c r="F897" s="47">
        <f t="shared" ca="1" si="120"/>
        <v>4779943969156.3525</v>
      </c>
      <c r="G897" s="47">
        <f t="shared" ca="1" si="121"/>
        <v>16434828913823.887</v>
      </c>
      <c r="H897" s="47">
        <f t="shared" ca="1" si="122"/>
        <v>2732354499235.877</v>
      </c>
      <c r="I897" s="47">
        <f t="shared" ca="1" si="123"/>
        <v>126017047450634.05</v>
      </c>
      <c r="J897" s="47">
        <f t="shared" ca="1" si="124"/>
        <v>2006391487691.3069</v>
      </c>
      <c r="K897" s="48">
        <f t="shared" ca="1" si="125"/>
        <v>62.807806065623808</v>
      </c>
    </row>
    <row r="898" spans="2:11" ht="15" customHeight="1" x14ac:dyDescent="0.35">
      <c r="B898" s="5">
        <v>877</v>
      </c>
      <c r="C898" s="46">
        <f t="shared" ca="1" si="117"/>
        <v>3.4541092592056244</v>
      </c>
      <c r="D898" s="47">
        <f t="shared" ca="1" si="118"/>
        <v>9465660963.5257664</v>
      </c>
      <c r="E898" s="47">
        <f t="shared" ca="1" si="119"/>
        <v>26814563975983.258</v>
      </c>
      <c r="F898" s="47">
        <f t="shared" ca="1" si="120"/>
        <v>9605638491045.3633</v>
      </c>
      <c r="G898" s="47">
        <f t="shared" ca="1" si="121"/>
        <v>17893821258146.578</v>
      </c>
      <c r="H898" s="47">
        <f t="shared" ca="1" si="122"/>
        <v>9605638491045.3633</v>
      </c>
      <c r="I898" s="47">
        <f t="shared" ca="1" si="123"/>
        <v>12834649369732.848</v>
      </c>
      <c r="J898" s="47">
        <f t="shared" ca="1" si="124"/>
        <v>1348765248453.4629</v>
      </c>
      <c r="K898" s="48">
        <f t="shared" ca="1" si="125"/>
        <v>9.5158511716174949</v>
      </c>
    </row>
    <row r="899" spans="2:11" ht="15" customHeight="1" x14ac:dyDescent="0.35">
      <c r="B899" s="5">
        <v>878</v>
      </c>
      <c r="C899" s="46">
        <f t="shared" ca="1" si="117"/>
        <v>3.9892277236888511</v>
      </c>
      <c r="D899" s="47">
        <f t="shared" ca="1" si="118"/>
        <v>20881543631.2346</v>
      </c>
      <c r="E899" s="47">
        <f t="shared" ca="1" si="119"/>
        <v>138036865296261.23</v>
      </c>
      <c r="F899" s="47">
        <f t="shared" ca="1" si="120"/>
        <v>1423325877628.4783</v>
      </c>
      <c r="G899" s="47">
        <f t="shared" ca="1" si="121"/>
        <v>722052026542.17224</v>
      </c>
      <c r="H899" s="47">
        <f t="shared" ca="1" si="122"/>
        <v>1423325877628.4783</v>
      </c>
      <c r="I899" s="47">
        <f t="shared" ca="1" si="123"/>
        <v>21729684156535.402</v>
      </c>
      <c r="J899" s="47">
        <f t="shared" ca="1" si="124"/>
        <v>1593324984856.7041</v>
      </c>
      <c r="K899" s="48">
        <f t="shared" ca="1" si="125"/>
        <v>13.637948543491687</v>
      </c>
    </row>
    <row r="900" spans="2:11" ht="15" customHeight="1" x14ac:dyDescent="0.35">
      <c r="B900" s="5">
        <v>879</v>
      </c>
      <c r="C900" s="46">
        <f t="shared" ca="1" si="117"/>
        <v>3.1960221480239346</v>
      </c>
      <c r="D900" s="47">
        <f t="shared" ca="1" si="118"/>
        <v>5574948281.2512159</v>
      </c>
      <c r="E900" s="47">
        <f t="shared" ca="1" si="119"/>
        <v>9321488466392.4043</v>
      </c>
      <c r="F900" s="47">
        <f t="shared" ca="1" si="120"/>
        <v>3905625036591.8105</v>
      </c>
      <c r="G900" s="47">
        <f t="shared" ca="1" si="121"/>
        <v>755544822798.328</v>
      </c>
      <c r="H900" s="47">
        <f t="shared" ca="1" si="122"/>
        <v>3905625036591.8105</v>
      </c>
      <c r="I900" s="47">
        <f t="shared" ca="1" si="123"/>
        <v>34859559096077.203</v>
      </c>
      <c r="J900" s="47">
        <f t="shared" ca="1" si="124"/>
        <v>1880678291403.6545</v>
      </c>
      <c r="K900" s="48">
        <f t="shared" ca="1" si="125"/>
        <v>18.53563113660422</v>
      </c>
    </row>
    <row r="901" spans="2:11" ht="15" customHeight="1" x14ac:dyDescent="0.35">
      <c r="B901" s="5">
        <v>880</v>
      </c>
      <c r="C901" s="46">
        <f t="shared" ca="1" si="117"/>
        <v>2.8952807043490862</v>
      </c>
      <c r="D901" s="47">
        <f t="shared" ca="1" si="118"/>
        <v>4324482840.4889412</v>
      </c>
      <c r="E901" s="47">
        <f t="shared" ca="1" si="119"/>
        <v>4998677626156.9521</v>
      </c>
      <c r="F901" s="47">
        <f t="shared" ca="1" si="120"/>
        <v>6857097166770.5117</v>
      </c>
      <c r="G901" s="47">
        <f t="shared" ca="1" si="121"/>
        <v>848868725895.37073</v>
      </c>
      <c r="H901" s="47">
        <f t="shared" ca="1" si="122"/>
        <v>4998677626156.9521</v>
      </c>
      <c r="I901" s="47">
        <f t="shared" ca="1" si="123"/>
        <v>11519627676019.961</v>
      </c>
      <c r="J901" s="47">
        <f t="shared" ca="1" si="124"/>
        <v>892347124272.04285</v>
      </c>
      <c r="K901" s="48">
        <f t="shared" ca="1" si="125"/>
        <v>12.909357090624816</v>
      </c>
    </row>
    <row r="902" spans="2:11" ht="15" customHeight="1" x14ac:dyDescent="0.35">
      <c r="B902" s="5">
        <v>881</v>
      </c>
      <c r="C902" s="46">
        <f t="shared" ca="1" si="117"/>
        <v>3.0638969256560582</v>
      </c>
      <c r="D902" s="47">
        <f t="shared" ca="1" si="118"/>
        <v>6075425485.5950184</v>
      </c>
      <c r="E902" s="47">
        <f t="shared" ca="1" si="119"/>
        <v>3004892825333.1665</v>
      </c>
      <c r="F902" s="47">
        <f t="shared" ca="1" si="120"/>
        <v>2280086247625.5898</v>
      </c>
      <c r="G902" s="47">
        <f t="shared" ca="1" si="121"/>
        <v>9436190341528.3164</v>
      </c>
      <c r="H902" s="47">
        <f t="shared" ca="1" si="122"/>
        <v>2280086247625.5898</v>
      </c>
      <c r="I902" s="47">
        <f t="shared" ca="1" si="123"/>
        <v>4493869934457.8799</v>
      </c>
      <c r="J902" s="47">
        <f t="shared" ca="1" si="124"/>
        <v>1154661340982.8928</v>
      </c>
      <c r="K902" s="48">
        <f t="shared" ca="1" si="125"/>
        <v>3.8919376400291728</v>
      </c>
    </row>
    <row r="903" spans="2:11" ht="15" customHeight="1" x14ac:dyDescent="0.35">
      <c r="B903" s="5">
        <v>882</v>
      </c>
      <c r="C903" s="46">
        <f t="shared" ca="1" si="117"/>
        <v>2.9876356528289341</v>
      </c>
      <c r="D903" s="47">
        <f t="shared" ca="1" si="118"/>
        <v>4513560788.9591789</v>
      </c>
      <c r="E903" s="47">
        <f t="shared" ca="1" si="119"/>
        <v>30246258834468.262</v>
      </c>
      <c r="F903" s="47">
        <f t="shared" ca="1" si="120"/>
        <v>3533915554460.6899</v>
      </c>
      <c r="G903" s="47">
        <f t="shared" ca="1" si="121"/>
        <v>16680077613211.84</v>
      </c>
      <c r="H903" s="47">
        <f t="shared" ca="1" si="122"/>
        <v>3533915554460.6899</v>
      </c>
      <c r="I903" s="47">
        <f t="shared" ca="1" si="123"/>
        <v>54827596551709.898</v>
      </c>
      <c r="J903" s="47">
        <f t="shared" ca="1" si="124"/>
        <v>1199711896278.5256</v>
      </c>
      <c r="K903" s="48">
        <f t="shared" ca="1" si="125"/>
        <v>45.700635895821023</v>
      </c>
    </row>
    <row r="904" spans="2:11" ht="15" customHeight="1" x14ac:dyDescent="0.35">
      <c r="B904" s="5">
        <v>883</v>
      </c>
      <c r="C904" s="46">
        <f t="shared" ca="1" si="117"/>
        <v>2.6394365456303781</v>
      </c>
      <c r="D904" s="47">
        <f t="shared" ca="1" si="118"/>
        <v>2882651187.6110954</v>
      </c>
      <c r="E904" s="47">
        <f t="shared" ca="1" si="119"/>
        <v>23463425611434.285</v>
      </c>
      <c r="F904" s="47">
        <f t="shared" ca="1" si="120"/>
        <v>1871316181905.1284</v>
      </c>
      <c r="G904" s="47">
        <f t="shared" ca="1" si="121"/>
        <v>4096731542316.3872</v>
      </c>
      <c r="H904" s="47">
        <f t="shared" ca="1" si="122"/>
        <v>1871316181905.1284</v>
      </c>
      <c r="I904" s="47">
        <f t="shared" ca="1" si="123"/>
        <v>39859917681694.992</v>
      </c>
      <c r="J904" s="47">
        <f t="shared" ca="1" si="124"/>
        <v>1592520347840.7864</v>
      </c>
      <c r="K904" s="48">
        <f t="shared" ca="1" si="125"/>
        <v>25.029455815581215</v>
      </c>
    </row>
    <row r="905" spans="2:11" ht="15" customHeight="1" x14ac:dyDescent="0.35">
      <c r="B905" s="5">
        <v>884</v>
      </c>
      <c r="C905" s="46">
        <f t="shared" ca="1" si="117"/>
        <v>2.7365987800689791</v>
      </c>
      <c r="D905" s="47">
        <f t="shared" ca="1" si="118"/>
        <v>3555126560.9785585</v>
      </c>
      <c r="E905" s="47">
        <f t="shared" ca="1" si="119"/>
        <v>14158035115046.365</v>
      </c>
      <c r="F905" s="47">
        <f t="shared" ca="1" si="120"/>
        <v>6213804886616.2217</v>
      </c>
      <c r="G905" s="47">
        <f t="shared" ca="1" si="121"/>
        <v>2474323711272.6641</v>
      </c>
      <c r="H905" s="47">
        <f t="shared" ca="1" si="122"/>
        <v>2474323711272.6641</v>
      </c>
      <c r="I905" s="47">
        <f t="shared" ca="1" si="123"/>
        <v>11743973384993.451</v>
      </c>
      <c r="J905" s="47">
        <f t="shared" ca="1" si="124"/>
        <v>1790713728924.8838</v>
      </c>
      <c r="K905" s="48">
        <f t="shared" ca="1" si="125"/>
        <v>6.5582640012730273</v>
      </c>
    </row>
    <row r="906" spans="2:11" ht="15" customHeight="1" x14ac:dyDescent="0.35">
      <c r="B906" s="5">
        <v>885</v>
      </c>
      <c r="C906" s="46">
        <f t="shared" ca="1" si="117"/>
        <v>3.0274404852336136</v>
      </c>
      <c r="D906" s="47">
        <f t="shared" ca="1" si="118"/>
        <v>5857636067.9708376</v>
      </c>
      <c r="E906" s="47">
        <f t="shared" ca="1" si="119"/>
        <v>13880372647828.791</v>
      </c>
      <c r="F906" s="47">
        <f t="shared" ca="1" si="120"/>
        <v>2777247523179.9727</v>
      </c>
      <c r="G906" s="47">
        <f t="shared" ca="1" si="121"/>
        <v>2559891226948.4102</v>
      </c>
      <c r="H906" s="47">
        <f t="shared" ca="1" si="122"/>
        <v>2559891226948.4102</v>
      </c>
      <c r="I906" s="47">
        <f t="shared" ca="1" si="123"/>
        <v>14606974481287.078</v>
      </c>
      <c r="J906" s="47">
        <f t="shared" ca="1" si="124"/>
        <v>1742697641000.4558</v>
      </c>
      <c r="K906" s="48">
        <f t="shared" ca="1" si="125"/>
        <v>8.3818180145704684</v>
      </c>
    </row>
    <row r="907" spans="2:11" ht="15" customHeight="1" x14ac:dyDescent="0.35">
      <c r="B907" s="5">
        <v>886</v>
      </c>
      <c r="C907" s="46">
        <f t="shared" ca="1" si="117"/>
        <v>3.4777415930695703</v>
      </c>
      <c r="D907" s="47">
        <f t="shared" ca="1" si="118"/>
        <v>10570076882.927208</v>
      </c>
      <c r="E907" s="47">
        <f t="shared" ca="1" si="119"/>
        <v>25147930575823.371</v>
      </c>
      <c r="F907" s="47">
        <f t="shared" ca="1" si="120"/>
        <v>345806746276.54712</v>
      </c>
      <c r="G907" s="47">
        <f t="shared" ca="1" si="121"/>
        <v>3308898256449.7847</v>
      </c>
      <c r="H907" s="47">
        <f t="shared" ca="1" si="122"/>
        <v>3308898256449.7847</v>
      </c>
      <c r="I907" s="47">
        <f t="shared" ca="1" si="123"/>
        <v>15966919552429.355</v>
      </c>
      <c r="J907" s="47">
        <f t="shared" ca="1" si="124"/>
        <v>942324664189.14575</v>
      </c>
      <c r="K907" s="48">
        <f t="shared" ca="1" si="125"/>
        <v>16.944180874400242</v>
      </c>
    </row>
    <row r="908" spans="2:11" ht="15" customHeight="1" x14ac:dyDescent="0.35">
      <c r="B908" s="5">
        <v>887</v>
      </c>
      <c r="C908" s="46">
        <f t="shared" ca="1" si="117"/>
        <v>2.208028562539571</v>
      </c>
      <c r="D908" s="47">
        <f t="shared" ca="1" si="118"/>
        <v>1168852220.899801</v>
      </c>
      <c r="E908" s="47">
        <f t="shared" ca="1" si="119"/>
        <v>11897967155015.436</v>
      </c>
      <c r="F908" s="47">
        <f t="shared" ca="1" si="120"/>
        <v>765028561283.24194</v>
      </c>
      <c r="G908" s="47">
        <f t="shared" ca="1" si="121"/>
        <v>409180811191.86914</v>
      </c>
      <c r="H908" s="47">
        <f t="shared" ca="1" si="122"/>
        <v>11897967155015.436</v>
      </c>
      <c r="I908" s="47">
        <f t="shared" ca="1" si="123"/>
        <v>22375257687492.98</v>
      </c>
      <c r="J908" s="47">
        <f t="shared" ca="1" si="124"/>
        <v>2584532438137.2891</v>
      </c>
      <c r="K908" s="48">
        <f t="shared" ca="1" si="125"/>
        <v>8.6573715838595398</v>
      </c>
    </row>
    <row r="909" spans="2:11" ht="15" customHeight="1" x14ac:dyDescent="0.35">
      <c r="B909" s="5">
        <v>888</v>
      </c>
      <c r="C909" s="46">
        <f t="shared" ca="1" si="117"/>
        <v>3.3762109773535718</v>
      </c>
      <c r="D909" s="47">
        <f t="shared" ca="1" si="118"/>
        <v>9212844958.070137</v>
      </c>
      <c r="E909" s="47">
        <f t="shared" ca="1" si="119"/>
        <v>13352097489904.254</v>
      </c>
      <c r="F909" s="47">
        <f t="shared" ca="1" si="120"/>
        <v>645311528471.06018</v>
      </c>
      <c r="G909" s="47">
        <f t="shared" ca="1" si="121"/>
        <v>7913956160542.0557</v>
      </c>
      <c r="H909" s="47">
        <f t="shared" ca="1" si="122"/>
        <v>7913956160542.0557</v>
      </c>
      <c r="I909" s="47">
        <f t="shared" ca="1" si="123"/>
        <v>70049391793936.906</v>
      </c>
      <c r="J909" s="47">
        <f t="shared" ca="1" si="124"/>
        <v>496790295755.23218</v>
      </c>
      <c r="K909" s="48">
        <f t="shared" ca="1" si="125"/>
        <v>141.00394551275642</v>
      </c>
    </row>
    <row r="910" spans="2:11" ht="15" customHeight="1" x14ac:dyDescent="0.35">
      <c r="B910" s="5">
        <v>889</v>
      </c>
      <c r="C910" s="46">
        <f t="shared" ca="1" si="117"/>
        <v>3.2966786801071106</v>
      </c>
      <c r="D910" s="47">
        <f t="shared" ca="1" si="118"/>
        <v>7225086150.4037132</v>
      </c>
      <c r="E910" s="47">
        <f t="shared" ca="1" si="119"/>
        <v>12209897639610.643</v>
      </c>
      <c r="F910" s="47">
        <f t="shared" ca="1" si="120"/>
        <v>1137608698557.4119</v>
      </c>
      <c r="G910" s="47">
        <f t="shared" ca="1" si="121"/>
        <v>99378187057947.531</v>
      </c>
      <c r="H910" s="47">
        <f t="shared" ca="1" si="122"/>
        <v>99378187057947.531</v>
      </c>
      <c r="I910" s="47">
        <f t="shared" ca="1" si="123"/>
        <v>26117216401993.793</v>
      </c>
      <c r="J910" s="47">
        <f t="shared" ca="1" si="124"/>
        <v>2441300313104.1426</v>
      </c>
      <c r="K910" s="48">
        <f t="shared" ca="1" si="125"/>
        <v>10.698076046525157</v>
      </c>
    </row>
    <row r="911" spans="2:11" ht="15" customHeight="1" x14ac:dyDescent="0.35">
      <c r="B911" s="5">
        <v>890</v>
      </c>
      <c r="C911" s="46">
        <f t="shared" ca="1" si="117"/>
        <v>3.7236912785520628</v>
      </c>
      <c r="D911" s="47">
        <f t="shared" ca="1" si="118"/>
        <v>15081654443.452034</v>
      </c>
      <c r="E911" s="47">
        <f t="shared" ca="1" si="119"/>
        <v>26607336379559.406</v>
      </c>
      <c r="F911" s="47">
        <f t="shared" ca="1" si="120"/>
        <v>2938949839530.8384</v>
      </c>
      <c r="G911" s="47">
        <f t="shared" ca="1" si="121"/>
        <v>3065626579554.2729</v>
      </c>
      <c r="H911" s="47">
        <f t="shared" ca="1" si="122"/>
        <v>2938949839530.8384</v>
      </c>
      <c r="I911" s="47">
        <f t="shared" ca="1" si="123"/>
        <v>41325928831392.711</v>
      </c>
      <c r="J911" s="47">
        <f t="shared" ca="1" si="124"/>
        <v>1434166897666.2847</v>
      </c>
      <c r="K911" s="48">
        <f t="shared" ca="1" si="125"/>
        <v>28.815285653740428</v>
      </c>
    </row>
    <row r="912" spans="2:11" ht="15" customHeight="1" x14ac:dyDescent="0.35">
      <c r="B912" s="5">
        <v>891</v>
      </c>
      <c r="C912" s="46">
        <f t="shared" ca="1" si="117"/>
        <v>2.5705889636026744</v>
      </c>
      <c r="D912" s="47">
        <f t="shared" ca="1" si="118"/>
        <v>2365659827.8876901</v>
      </c>
      <c r="E912" s="47">
        <f t="shared" ca="1" si="119"/>
        <v>22569564445871.16</v>
      </c>
      <c r="F912" s="47">
        <f t="shared" ca="1" si="120"/>
        <v>2541926405824.7852</v>
      </c>
      <c r="G912" s="47">
        <f t="shared" ca="1" si="121"/>
        <v>15139787290555.791</v>
      </c>
      <c r="H912" s="47">
        <f t="shared" ca="1" si="122"/>
        <v>15139787290555.791</v>
      </c>
      <c r="I912" s="47">
        <f t="shared" ca="1" si="123"/>
        <v>41927771310087.57</v>
      </c>
      <c r="J912" s="47">
        <f t="shared" ca="1" si="124"/>
        <v>2069351443137.0327</v>
      </c>
      <c r="K912" s="48">
        <f t="shared" ca="1" si="125"/>
        <v>20.261310107154721</v>
      </c>
    </row>
    <row r="913" spans="2:11" ht="15" customHeight="1" x14ac:dyDescent="0.35">
      <c r="B913" s="5">
        <v>892</v>
      </c>
      <c r="C913" s="46">
        <f t="shared" ca="1" si="117"/>
        <v>3.6971288722606892</v>
      </c>
      <c r="D913" s="47">
        <f t="shared" ca="1" si="118"/>
        <v>14661944989.730988</v>
      </c>
      <c r="E913" s="47">
        <f t="shared" ca="1" si="119"/>
        <v>55417489014784.367</v>
      </c>
      <c r="F913" s="47">
        <f t="shared" ca="1" si="120"/>
        <v>7214867577221.458</v>
      </c>
      <c r="G913" s="47">
        <f t="shared" ca="1" si="121"/>
        <v>5971851516751.5645</v>
      </c>
      <c r="H913" s="47">
        <f t="shared" ca="1" si="122"/>
        <v>5971851516751.5645</v>
      </c>
      <c r="I913" s="47">
        <f t="shared" ca="1" si="123"/>
        <v>6993432885348.3555</v>
      </c>
      <c r="J913" s="47">
        <f t="shared" ca="1" si="124"/>
        <v>1837406486809.9768</v>
      </c>
      <c r="K913" s="48">
        <f t="shared" ca="1" si="125"/>
        <v>3.8061435700545729</v>
      </c>
    </row>
    <row r="914" spans="2:11" ht="15" customHeight="1" x14ac:dyDescent="0.35">
      <c r="B914" s="5">
        <v>893</v>
      </c>
      <c r="C914" s="46">
        <f t="shared" ca="1" si="117"/>
        <v>3.9795244016699769</v>
      </c>
      <c r="D914" s="47">
        <f t="shared" ca="1" si="118"/>
        <v>22798470182.267452</v>
      </c>
      <c r="E914" s="47">
        <f t="shared" ca="1" si="119"/>
        <v>34124293763981.137</v>
      </c>
      <c r="F914" s="47">
        <f t="shared" ca="1" si="120"/>
        <v>8462749598714.5781</v>
      </c>
      <c r="G914" s="47">
        <f t="shared" ca="1" si="121"/>
        <v>46148192349465.852</v>
      </c>
      <c r="H914" s="47">
        <f t="shared" ca="1" si="122"/>
        <v>34124293763981.137</v>
      </c>
      <c r="I914" s="47">
        <f t="shared" ca="1" si="123"/>
        <v>83633009294461.25</v>
      </c>
      <c r="J914" s="47">
        <f t="shared" ca="1" si="124"/>
        <v>679619097657.18787</v>
      </c>
      <c r="K914" s="48">
        <f t="shared" ca="1" si="125"/>
        <v>123.05865091602716</v>
      </c>
    </row>
    <row r="915" spans="2:11" ht="15" customHeight="1" x14ac:dyDescent="0.35">
      <c r="B915" s="5">
        <v>894</v>
      </c>
      <c r="C915" s="46">
        <f t="shared" ca="1" si="117"/>
        <v>3.0241990159940055</v>
      </c>
      <c r="D915" s="47">
        <f t="shared" ca="1" si="118"/>
        <v>4854834556.0073185</v>
      </c>
      <c r="E915" s="47">
        <f t="shared" ca="1" si="119"/>
        <v>40972749974499.242</v>
      </c>
      <c r="F915" s="47">
        <f t="shared" ca="1" si="120"/>
        <v>16472682716064.873</v>
      </c>
      <c r="G915" s="47">
        <f t="shared" ca="1" si="121"/>
        <v>5327482416622.0479</v>
      </c>
      <c r="H915" s="47">
        <f t="shared" ca="1" si="122"/>
        <v>40972749974499.242</v>
      </c>
      <c r="I915" s="47">
        <f t="shared" ca="1" si="123"/>
        <v>4239624782649.3706</v>
      </c>
      <c r="J915" s="47">
        <f t="shared" ca="1" si="124"/>
        <v>1311295694518.3896</v>
      </c>
      <c r="K915" s="48">
        <f t="shared" ca="1" si="125"/>
        <v>3.2331569457386897</v>
      </c>
    </row>
    <row r="916" spans="2:11" ht="15" customHeight="1" x14ac:dyDescent="0.35">
      <c r="B916" s="5">
        <v>895</v>
      </c>
      <c r="C916" s="46">
        <f t="shared" ca="1" si="117"/>
        <v>2.8791588698326516</v>
      </c>
      <c r="D916" s="47">
        <f t="shared" ca="1" si="118"/>
        <v>4357497489.2612581</v>
      </c>
      <c r="E916" s="47">
        <f t="shared" ca="1" si="119"/>
        <v>10393619270977.822</v>
      </c>
      <c r="F916" s="47">
        <f t="shared" ca="1" si="120"/>
        <v>1829939181118.1602</v>
      </c>
      <c r="G916" s="47">
        <f t="shared" ca="1" si="121"/>
        <v>51001531650297.633</v>
      </c>
      <c r="H916" s="47">
        <f t="shared" ca="1" si="122"/>
        <v>51001531650297.633</v>
      </c>
      <c r="I916" s="47">
        <f t="shared" ca="1" si="123"/>
        <v>93207827716293.813</v>
      </c>
      <c r="J916" s="47">
        <f t="shared" ca="1" si="124"/>
        <v>1770048236066.6094</v>
      </c>
      <c r="K916" s="48">
        <f t="shared" ca="1" si="125"/>
        <v>52.658354623950636</v>
      </c>
    </row>
    <row r="917" spans="2:11" ht="15" customHeight="1" x14ac:dyDescent="0.35">
      <c r="B917" s="5">
        <v>896</v>
      </c>
      <c r="C917" s="46">
        <f t="shared" ca="1" si="117"/>
        <v>2.5705361157976951</v>
      </c>
      <c r="D917" s="47">
        <f t="shared" ca="1" si="118"/>
        <v>2439016340.9122005</v>
      </c>
      <c r="E917" s="47">
        <f t="shared" ca="1" si="119"/>
        <v>6626136388699.3838</v>
      </c>
      <c r="F917" s="47">
        <f t="shared" ca="1" si="120"/>
        <v>1419565495853.6355</v>
      </c>
      <c r="G917" s="47">
        <f t="shared" ca="1" si="121"/>
        <v>17138267721211.227</v>
      </c>
      <c r="H917" s="47">
        <f t="shared" ca="1" si="122"/>
        <v>17138267721211.227</v>
      </c>
      <c r="I917" s="47">
        <f t="shared" ca="1" si="123"/>
        <v>7374936213957.9219</v>
      </c>
      <c r="J917" s="47">
        <f t="shared" ca="1" si="124"/>
        <v>1241691118554.3457</v>
      </c>
      <c r="K917" s="48">
        <f t="shared" ca="1" si="125"/>
        <v>5.9394289801672118</v>
      </c>
    </row>
    <row r="918" spans="2:11" ht="15" customHeight="1" x14ac:dyDescent="0.35">
      <c r="B918" s="5">
        <v>897</v>
      </c>
      <c r="C918" s="46">
        <f t="shared" ref="C918:C981" ca="1" si="126">MEDIAN(1.8,NORMINV(RAND(),$C$7,$D$7),4.5)</f>
        <v>3.6297968939014664</v>
      </c>
      <c r="D918" s="47">
        <f t="shared" ref="D918:D981" ca="1" si="127">($C$8+RAND()*($D$8-$C$8))*C918^5</f>
        <v>15089548325.015842</v>
      </c>
      <c r="E918" s="47">
        <f t="shared" ref="E918:E981" ca="1" si="128">D918*($C$10+RAND()*($D$10-$C$10))*EXP(NORMINV(RAND(),$C$9,$D$9))*($C$11+RAND()*($D$11-$C$11))</f>
        <v>45743826310926.656</v>
      </c>
      <c r="F918" s="47">
        <f t="shared" ref="F918:F981" ca="1" si="129">EXP(NORMINV(RAND(),$C$12,$D$12))*EXP(NORMINV(RAND(),$C$13,$D$13))</f>
        <v>1465091327669.1089</v>
      </c>
      <c r="G918" s="47">
        <f t="shared" ref="G918:G981" ca="1" si="130">EXP(NORMINV(RAND(),$C$14,$D$14))*($C$15+RAND()*($D$15-$C$15))*EXP(NORMINV(RAND(),$C$16,$D$16))/1000000*31536000</f>
        <v>1247206060167.3242</v>
      </c>
      <c r="H918" s="47">
        <f t="shared" ref="H918:H981" ca="1" si="131">CHOOSE(RANDBETWEEN(1,3),E918,F918,G918)</f>
        <v>1465091327669.1089</v>
      </c>
      <c r="I918" s="47">
        <f t="shared" ref="I918:I981" ca="1" si="132">EXP(NORMINV(RAND(),$C$14,$D$14))*($C$15+RAND()*($D$15-$C$15))*60</f>
        <v>2059320780604.7429</v>
      </c>
      <c r="J918" s="47">
        <f t="shared" ref="J918:J981" ca="1" si="133">($C$17+RAND()*($D$17-$C$17))*($C$18+RAND()*($D$18-$C$18))</f>
        <v>2138672883252.4375</v>
      </c>
      <c r="K918" s="48">
        <f t="shared" ref="K918:K981" ca="1" si="134">I918/J918</f>
        <v>0.96289656858274741</v>
      </c>
    </row>
    <row r="919" spans="2:11" ht="15" customHeight="1" x14ac:dyDescent="0.35">
      <c r="B919" s="5">
        <v>898</v>
      </c>
      <c r="C919" s="46">
        <f t="shared" ca="1" si="126"/>
        <v>3.5841061047759326</v>
      </c>
      <c r="D919" s="47">
        <f t="shared" ca="1" si="127"/>
        <v>10529654330.919487</v>
      </c>
      <c r="E919" s="47">
        <f t="shared" ca="1" si="128"/>
        <v>15141336536475.99</v>
      </c>
      <c r="F919" s="47">
        <f t="shared" ca="1" si="129"/>
        <v>655229907178.01746</v>
      </c>
      <c r="G919" s="47">
        <f t="shared" ca="1" si="130"/>
        <v>1836322988739.2161</v>
      </c>
      <c r="H919" s="47">
        <f t="shared" ca="1" si="131"/>
        <v>655229907178.01746</v>
      </c>
      <c r="I919" s="47">
        <f t="shared" ca="1" si="132"/>
        <v>45014128390412.406</v>
      </c>
      <c r="J919" s="47">
        <f t="shared" ca="1" si="133"/>
        <v>727097304996.78076</v>
      </c>
      <c r="K919" s="48">
        <f t="shared" ca="1" si="134"/>
        <v>61.909359422824032</v>
      </c>
    </row>
    <row r="920" spans="2:11" ht="15" customHeight="1" x14ac:dyDescent="0.35">
      <c r="B920" s="5">
        <v>899</v>
      </c>
      <c r="C920" s="46">
        <f t="shared" ca="1" si="126"/>
        <v>3.1884377446268601</v>
      </c>
      <c r="D920" s="47">
        <f t="shared" ca="1" si="127"/>
        <v>5946333103.5825634</v>
      </c>
      <c r="E920" s="47">
        <f t="shared" ca="1" si="128"/>
        <v>14806321278230.971</v>
      </c>
      <c r="F920" s="47">
        <f t="shared" ca="1" si="129"/>
        <v>1594240552112.2815</v>
      </c>
      <c r="G920" s="47">
        <f t="shared" ca="1" si="130"/>
        <v>64893820036844.516</v>
      </c>
      <c r="H920" s="47">
        <f t="shared" ca="1" si="131"/>
        <v>64893820036844.516</v>
      </c>
      <c r="I920" s="47">
        <f t="shared" ca="1" si="132"/>
        <v>25021960645912.559</v>
      </c>
      <c r="J920" s="47">
        <f t="shared" ca="1" si="133"/>
        <v>1390277881476.2957</v>
      </c>
      <c r="K920" s="48">
        <f t="shared" ca="1" si="134"/>
        <v>17.997812508778797</v>
      </c>
    </row>
    <row r="921" spans="2:11" ht="15" customHeight="1" x14ac:dyDescent="0.35">
      <c r="B921" s="5">
        <v>900</v>
      </c>
      <c r="C921" s="46">
        <f t="shared" ca="1" si="126"/>
        <v>3.8360939732410899</v>
      </c>
      <c r="D921" s="47">
        <f t="shared" ca="1" si="127"/>
        <v>19762627531.236908</v>
      </c>
      <c r="E921" s="47">
        <f t="shared" ca="1" si="128"/>
        <v>99424340269571.438</v>
      </c>
      <c r="F921" s="47">
        <f t="shared" ca="1" si="129"/>
        <v>8198543677017.9209</v>
      </c>
      <c r="G921" s="47">
        <f t="shared" ca="1" si="130"/>
        <v>2911774315030.7393</v>
      </c>
      <c r="H921" s="47">
        <f t="shared" ca="1" si="131"/>
        <v>8198543677017.9209</v>
      </c>
      <c r="I921" s="47">
        <f t="shared" ca="1" si="132"/>
        <v>5271149472230.0605</v>
      </c>
      <c r="J921" s="47">
        <f t="shared" ca="1" si="133"/>
        <v>574421163249.33923</v>
      </c>
      <c r="K921" s="48">
        <f t="shared" ca="1" si="134"/>
        <v>9.1764541585004427</v>
      </c>
    </row>
    <row r="922" spans="2:11" ht="15" customHeight="1" x14ac:dyDescent="0.35">
      <c r="B922" s="5">
        <v>901</v>
      </c>
      <c r="C922" s="46">
        <f t="shared" ca="1" si="126"/>
        <v>2.6615454909984928</v>
      </c>
      <c r="D922" s="47">
        <f t="shared" ca="1" si="127"/>
        <v>2824969536.7953086</v>
      </c>
      <c r="E922" s="47">
        <f t="shared" ca="1" si="128"/>
        <v>11956473547694.268</v>
      </c>
      <c r="F922" s="47">
        <f t="shared" ca="1" si="129"/>
        <v>815583430147.33313</v>
      </c>
      <c r="G922" s="47">
        <f t="shared" ca="1" si="130"/>
        <v>519233936480.75476</v>
      </c>
      <c r="H922" s="47">
        <f t="shared" ca="1" si="131"/>
        <v>815583430147.33313</v>
      </c>
      <c r="I922" s="47">
        <f t="shared" ca="1" si="132"/>
        <v>7826391793282.8945</v>
      </c>
      <c r="J922" s="47">
        <f t="shared" ca="1" si="133"/>
        <v>1154382769799.0264</v>
      </c>
      <c r="K922" s="48">
        <f t="shared" ca="1" si="134"/>
        <v>6.7797198624555346</v>
      </c>
    </row>
    <row r="923" spans="2:11" ht="15" customHeight="1" x14ac:dyDescent="0.35">
      <c r="B923" s="5">
        <v>902</v>
      </c>
      <c r="C923" s="46">
        <f t="shared" ca="1" si="126"/>
        <v>3.1180062937365225</v>
      </c>
      <c r="D923" s="47">
        <f t="shared" ca="1" si="127"/>
        <v>6205688599.229969</v>
      </c>
      <c r="E923" s="47">
        <f t="shared" ca="1" si="128"/>
        <v>18965338594693.262</v>
      </c>
      <c r="F923" s="47">
        <f t="shared" ca="1" si="129"/>
        <v>1154472975280.4927</v>
      </c>
      <c r="G923" s="47">
        <f t="shared" ca="1" si="130"/>
        <v>72346715216691.016</v>
      </c>
      <c r="H923" s="47">
        <f t="shared" ca="1" si="131"/>
        <v>18965338594693.262</v>
      </c>
      <c r="I923" s="47">
        <f t="shared" ca="1" si="132"/>
        <v>1692728461201.6782</v>
      </c>
      <c r="J923" s="47">
        <f t="shared" ca="1" si="133"/>
        <v>1885676242395.0791</v>
      </c>
      <c r="K923" s="48">
        <f t="shared" ca="1" si="134"/>
        <v>0.89767714263169085</v>
      </c>
    </row>
    <row r="924" spans="2:11" ht="15" customHeight="1" x14ac:dyDescent="0.35">
      <c r="B924" s="5">
        <v>903</v>
      </c>
      <c r="C924" s="46">
        <f t="shared" ca="1" si="126"/>
        <v>2.8234571319291217</v>
      </c>
      <c r="D924" s="47">
        <f t="shared" ca="1" si="127"/>
        <v>3997843549.6368432</v>
      </c>
      <c r="E924" s="47">
        <f t="shared" ca="1" si="128"/>
        <v>49755948564238.031</v>
      </c>
      <c r="F924" s="47">
        <f t="shared" ca="1" si="129"/>
        <v>1334496230250.7437</v>
      </c>
      <c r="G924" s="47">
        <f t="shared" ca="1" si="130"/>
        <v>4885958997548.2549</v>
      </c>
      <c r="H924" s="47">
        <f t="shared" ca="1" si="131"/>
        <v>1334496230250.7437</v>
      </c>
      <c r="I924" s="47">
        <f t="shared" ca="1" si="132"/>
        <v>106116999078.2933</v>
      </c>
      <c r="J924" s="47">
        <f t="shared" ca="1" si="133"/>
        <v>1671091236884.9048</v>
      </c>
      <c r="K924" s="48">
        <f t="shared" ca="1" si="134"/>
        <v>6.3501619023571029E-2</v>
      </c>
    </row>
    <row r="925" spans="2:11" ht="15" customHeight="1" x14ac:dyDescent="0.35">
      <c r="B925" s="5">
        <v>904</v>
      </c>
      <c r="C925" s="46">
        <f t="shared" ca="1" si="126"/>
        <v>2.5488487961223987</v>
      </c>
      <c r="D925" s="47">
        <f t="shared" ca="1" si="127"/>
        <v>2544596305.8690858</v>
      </c>
      <c r="E925" s="47">
        <f t="shared" ca="1" si="128"/>
        <v>8361058253802.6064</v>
      </c>
      <c r="F925" s="47">
        <f t="shared" ca="1" si="129"/>
        <v>14318452641669.057</v>
      </c>
      <c r="G925" s="47">
        <f t="shared" ca="1" si="130"/>
        <v>13628099623670.553</v>
      </c>
      <c r="H925" s="47">
        <f t="shared" ca="1" si="131"/>
        <v>14318452641669.057</v>
      </c>
      <c r="I925" s="47">
        <f t="shared" ca="1" si="132"/>
        <v>765940575912.69348</v>
      </c>
      <c r="J925" s="47">
        <f t="shared" ca="1" si="133"/>
        <v>898820568564.24976</v>
      </c>
      <c r="K925" s="48">
        <f t="shared" ca="1" si="134"/>
        <v>0.85216182484139746</v>
      </c>
    </row>
    <row r="926" spans="2:11" ht="15" customHeight="1" x14ac:dyDescent="0.35">
      <c r="B926" s="5">
        <v>905</v>
      </c>
      <c r="C926" s="46">
        <f t="shared" ca="1" si="126"/>
        <v>2.4160741672964843</v>
      </c>
      <c r="D926" s="47">
        <f t="shared" ca="1" si="127"/>
        <v>1763469001.07551</v>
      </c>
      <c r="E926" s="47">
        <f t="shared" ca="1" si="128"/>
        <v>9305951227623.9551</v>
      </c>
      <c r="F926" s="47">
        <f t="shared" ca="1" si="129"/>
        <v>2524644176430.5522</v>
      </c>
      <c r="G926" s="47">
        <f t="shared" ca="1" si="130"/>
        <v>6164697158783.0557</v>
      </c>
      <c r="H926" s="47">
        <f t="shared" ca="1" si="131"/>
        <v>2524644176430.5522</v>
      </c>
      <c r="I926" s="47">
        <f t="shared" ca="1" si="132"/>
        <v>40457713363141.703</v>
      </c>
      <c r="J926" s="47">
        <f t="shared" ca="1" si="133"/>
        <v>2113134391702.6392</v>
      </c>
      <c r="K926" s="48">
        <f t="shared" ca="1" si="134"/>
        <v>19.145830725202131</v>
      </c>
    </row>
    <row r="927" spans="2:11" ht="15" customHeight="1" x14ac:dyDescent="0.35">
      <c r="B927" s="5">
        <v>906</v>
      </c>
      <c r="C927" s="46">
        <f t="shared" ca="1" si="126"/>
        <v>2.6222780945015276</v>
      </c>
      <c r="D927" s="47">
        <f t="shared" ca="1" si="127"/>
        <v>2831099296.1216364</v>
      </c>
      <c r="E927" s="47">
        <f t="shared" ca="1" si="128"/>
        <v>4185310812049.146</v>
      </c>
      <c r="F927" s="47">
        <f t="shared" ca="1" si="129"/>
        <v>1213437603634.8264</v>
      </c>
      <c r="G927" s="47">
        <f t="shared" ca="1" si="130"/>
        <v>7824169405410.7441</v>
      </c>
      <c r="H927" s="47">
        <f t="shared" ca="1" si="131"/>
        <v>7824169405410.7441</v>
      </c>
      <c r="I927" s="47">
        <f t="shared" ca="1" si="132"/>
        <v>4649798379264.332</v>
      </c>
      <c r="J927" s="47">
        <f t="shared" ca="1" si="133"/>
        <v>1492171249544.9663</v>
      </c>
      <c r="K927" s="48">
        <f t="shared" ca="1" si="134"/>
        <v>3.1161291846912853</v>
      </c>
    </row>
    <row r="928" spans="2:11" ht="15" customHeight="1" x14ac:dyDescent="0.35">
      <c r="B928" s="5">
        <v>907</v>
      </c>
      <c r="C928" s="46">
        <f t="shared" ca="1" si="126"/>
        <v>3.0664390825222871</v>
      </c>
      <c r="D928" s="47">
        <f t="shared" ca="1" si="127"/>
        <v>5389357047.2425785</v>
      </c>
      <c r="E928" s="47">
        <f t="shared" ca="1" si="128"/>
        <v>15179454826974.234</v>
      </c>
      <c r="F928" s="47">
        <f t="shared" ca="1" si="129"/>
        <v>5214539136639.8633</v>
      </c>
      <c r="G928" s="47">
        <f t="shared" ca="1" si="130"/>
        <v>257502665818033.16</v>
      </c>
      <c r="H928" s="47">
        <f t="shared" ca="1" si="131"/>
        <v>5214539136639.8633</v>
      </c>
      <c r="I928" s="47">
        <f t="shared" ca="1" si="132"/>
        <v>38549836599175.289</v>
      </c>
      <c r="J928" s="47">
        <f t="shared" ca="1" si="133"/>
        <v>1837503314421.5273</v>
      </c>
      <c r="K928" s="48">
        <f t="shared" ca="1" si="134"/>
        <v>20.979465069052861</v>
      </c>
    </row>
    <row r="929" spans="2:11" ht="15" customHeight="1" x14ac:dyDescent="0.35">
      <c r="B929" s="5">
        <v>908</v>
      </c>
      <c r="C929" s="46">
        <f t="shared" ca="1" si="126"/>
        <v>2.8192179314262775</v>
      </c>
      <c r="D929" s="47">
        <f t="shared" ca="1" si="127"/>
        <v>3121203932.1802335</v>
      </c>
      <c r="E929" s="47">
        <f t="shared" ca="1" si="128"/>
        <v>29558846083197.258</v>
      </c>
      <c r="F929" s="47">
        <f t="shared" ca="1" si="129"/>
        <v>648153942410.61755</v>
      </c>
      <c r="G929" s="47">
        <f t="shared" ca="1" si="130"/>
        <v>33969813669981.668</v>
      </c>
      <c r="H929" s="47">
        <f t="shared" ca="1" si="131"/>
        <v>33969813669981.668</v>
      </c>
      <c r="I929" s="47">
        <f t="shared" ca="1" si="132"/>
        <v>2796763625560.2026</v>
      </c>
      <c r="J929" s="47">
        <f t="shared" ca="1" si="133"/>
        <v>2251916751457.2607</v>
      </c>
      <c r="K929" s="48">
        <f t="shared" ca="1" si="134"/>
        <v>1.2419480532530167</v>
      </c>
    </row>
    <row r="930" spans="2:11" ht="15" customHeight="1" x14ac:dyDescent="0.35">
      <c r="B930" s="5">
        <v>909</v>
      </c>
      <c r="C930" s="46">
        <f t="shared" ca="1" si="126"/>
        <v>3.367523649938664</v>
      </c>
      <c r="D930" s="47">
        <f t="shared" ca="1" si="127"/>
        <v>9616584638.5862865</v>
      </c>
      <c r="E930" s="47">
        <f t="shared" ca="1" si="128"/>
        <v>30358690702391.074</v>
      </c>
      <c r="F930" s="47">
        <f t="shared" ca="1" si="129"/>
        <v>1987684992589.834</v>
      </c>
      <c r="G930" s="47">
        <f t="shared" ca="1" si="130"/>
        <v>16847486532863.365</v>
      </c>
      <c r="H930" s="47">
        <f t="shared" ca="1" si="131"/>
        <v>30358690702391.074</v>
      </c>
      <c r="I930" s="47">
        <f t="shared" ca="1" si="132"/>
        <v>14695366100168.082</v>
      </c>
      <c r="J930" s="47">
        <f t="shared" ca="1" si="133"/>
        <v>763338762574.34851</v>
      </c>
      <c r="K930" s="48">
        <f t="shared" ca="1" si="134"/>
        <v>19.251434383612565</v>
      </c>
    </row>
    <row r="931" spans="2:11" ht="15" customHeight="1" x14ac:dyDescent="0.35">
      <c r="B931" s="5">
        <v>910</v>
      </c>
      <c r="C931" s="46">
        <f t="shared" ca="1" si="126"/>
        <v>1.8</v>
      </c>
      <c r="D931" s="47">
        <f t="shared" ca="1" si="127"/>
        <v>358144842.74947554</v>
      </c>
      <c r="E931" s="47">
        <f t="shared" ca="1" si="128"/>
        <v>978556983913.84875</v>
      </c>
      <c r="F931" s="47">
        <f t="shared" ca="1" si="129"/>
        <v>1839492649759.2798</v>
      </c>
      <c r="G931" s="47">
        <f t="shared" ca="1" si="130"/>
        <v>5734296470081.2637</v>
      </c>
      <c r="H931" s="47">
        <f t="shared" ca="1" si="131"/>
        <v>5734296470081.2637</v>
      </c>
      <c r="I931" s="47">
        <f t="shared" ca="1" si="132"/>
        <v>5668068292217.125</v>
      </c>
      <c r="J931" s="47">
        <f t="shared" ca="1" si="133"/>
        <v>1354216832605.2532</v>
      </c>
      <c r="K931" s="48">
        <f t="shared" ca="1" si="134"/>
        <v>4.1854953769204375</v>
      </c>
    </row>
    <row r="932" spans="2:11" ht="15" customHeight="1" x14ac:dyDescent="0.35">
      <c r="B932" s="5">
        <v>911</v>
      </c>
      <c r="C932" s="46">
        <f t="shared" ca="1" si="126"/>
        <v>3.3492271862731644</v>
      </c>
      <c r="D932" s="47">
        <f t="shared" ca="1" si="127"/>
        <v>7869705276.6806641</v>
      </c>
      <c r="E932" s="47">
        <f t="shared" ca="1" si="128"/>
        <v>23866585295021.645</v>
      </c>
      <c r="F932" s="47">
        <f t="shared" ca="1" si="129"/>
        <v>6826442384893.4473</v>
      </c>
      <c r="G932" s="47">
        <f t="shared" ca="1" si="130"/>
        <v>11990084184761.676</v>
      </c>
      <c r="H932" s="47">
        <f t="shared" ca="1" si="131"/>
        <v>6826442384893.4473</v>
      </c>
      <c r="I932" s="47">
        <f t="shared" ca="1" si="132"/>
        <v>286985808962.0675</v>
      </c>
      <c r="J932" s="47">
        <f t="shared" ca="1" si="133"/>
        <v>1341324056487.166</v>
      </c>
      <c r="K932" s="48">
        <f t="shared" ca="1" si="134"/>
        <v>0.21395710274045429</v>
      </c>
    </row>
    <row r="933" spans="2:11" ht="15" customHeight="1" x14ac:dyDescent="0.35">
      <c r="B933" s="5">
        <v>912</v>
      </c>
      <c r="C933" s="46">
        <f t="shared" ca="1" si="126"/>
        <v>2.6445065916152428</v>
      </c>
      <c r="D933" s="47">
        <f t="shared" ca="1" si="127"/>
        <v>2744519673.697257</v>
      </c>
      <c r="E933" s="47">
        <f t="shared" ca="1" si="128"/>
        <v>7351643375983.8506</v>
      </c>
      <c r="F933" s="47">
        <f t="shared" ca="1" si="129"/>
        <v>2603472470890.645</v>
      </c>
      <c r="G933" s="47">
        <f t="shared" ca="1" si="130"/>
        <v>65910812282998.813</v>
      </c>
      <c r="H933" s="47">
        <f t="shared" ca="1" si="131"/>
        <v>65910812282998.813</v>
      </c>
      <c r="I933" s="47">
        <f t="shared" ca="1" si="132"/>
        <v>7123768614990.5605</v>
      </c>
      <c r="J933" s="47">
        <f t="shared" ca="1" si="133"/>
        <v>1334630000075.2444</v>
      </c>
      <c r="K933" s="48">
        <f t="shared" ca="1" si="134"/>
        <v>5.3376356103106728</v>
      </c>
    </row>
    <row r="934" spans="2:11" ht="15" customHeight="1" x14ac:dyDescent="0.35">
      <c r="B934" s="5">
        <v>913</v>
      </c>
      <c r="C934" s="46">
        <f t="shared" ca="1" si="126"/>
        <v>3.1712514167070545</v>
      </c>
      <c r="D934" s="47">
        <f t="shared" ca="1" si="127"/>
        <v>6594387924.3586483</v>
      </c>
      <c r="E934" s="47">
        <f t="shared" ca="1" si="128"/>
        <v>8355265402185.6895</v>
      </c>
      <c r="F934" s="47">
        <f t="shared" ca="1" si="129"/>
        <v>2916824651677.2651</v>
      </c>
      <c r="G934" s="47">
        <f t="shared" ca="1" si="130"/>
        <v>44961221906.157074</v>
      </c>
      <c r="H934" s="47">
        <f t="shared" ca="1" si="131"/>
        <v>44961221906.157074</v>
      </c>
      <c r="I934" s="47">
        <f t="shared" ca="1" si="132"/>
        <v>8109588982290.2354</v>
      </c>
      <c r="J934" s="47">
        <f t="shared" ca="1" si="133"/>
        <v>2525821324240.8638</v>
      </c>
      <c r="K934" s="48">
        <f t="shared" ca="1" si="134"/>
        <v>3.2106740506387856</v>
      </c>
    </row>
    <row r="935" spans="2:11" ht="15" customHeight="1" x14ac:dyDescent="0.35">
      <c r="B935" s="5">
        <v>914</v>
      </c>
      <c r="C935" s="46">
        <f t="shared" ca="1" si="126"/>
        <v>2.9016225589799891</v>
      </c>
      <c r="D935" s="47">
        <f t="shared" ca="1" si="127"/>
        <v>4627285130.5639563</v>
      </c>
      <c r="E935" s="47">
        <f t="shared" ca="1" si="128"/>
        <v>15976580913926.93</v>
      </c>
      <c r="F935" s="47">
        <f t="shared" ca="1" si="129"/>
        <v>3689414567124.167</v>
      </c>
      <c r="G935" s="47">
        <f t="shared" ca="1" si="130"/>
        <v>15329512927128.758</v>
      </c>
      <c r="H935" s="47">
        <f t="shared" ca="1" si="131"/>
        <v>3689414567124.167</v>
      </c>
      <c r="I935" s="47">
        <f t="shared" ca="1" si="132"/>
        <v>31185109050289.852</v>
      </c>
      <c r="J935" s="47">
        <f t="shared" ca="1" si="133"/>
        <v>2194209369565.6995</v>
      </c>
      <c r="K935" s="48">
        <f t="shared" ca="1" si="134"/>
        <v>14.212458247073446</v>
      </c>
    </row>
    <row r="936" spans="2:11" ht="15" customHeight="1" x14ac:dyDescent="0.35">
      <c r="B936" s="5">
        <v>915</v>
      </c>
      <c r="C936" s="46">
        <f t="shared" ca="1" si="126"/>
        <v>2.7513064880448659</v>
      </c>
      <c r="D936" s="47">
        <f t="shared" ca="1" si="127"/>
        <v>2737726358.8135929</v>
      </c>
      <c r="E936" s="47">
        <f t="shared" ca="1" si="128"/>
        <v>4810772002733.3477</v>
      </c>
      <c r="F936" s="47">
        <f t="shared" ca="1" si="129"/>
        <v>2823842273828.0249</v>
      </c>
      <c r="G936" s="47">
        <f t="shared" ca="1" si="130"/>
        <v>9053036321515.1035</v>
      </c>
      <c r="H936" s="47">
        <f t="shared" ca="1" si="131"/>
        <v>4810772002733.3477</v>
      </c>
      <c r="I936" s="47">
        <f t="shared" ca="1" si="132"/>
        <v>400333323329.82623</v>
      </c>
      <c r="J936" s="47">
        <f t="shared" ca="1" si="133"/>
        <v>1278913604976.5996</v>
      </c>
      <c r="K936" s="48">
        <f t="shared" ca="1" si="134"/>
        <v>0.31302608852702851</v>
      </c>
    </row>
    <row r="937" spans="2:11" ht="15" customHeight="1" x14ac:dyDescent="0.35">
      <c r="B937" s="5">
        <v>916</v>
      </c>
      <c r="C937" s="46">
        <f t="shared" ca="1" si="126"/>
        <v>2.6015859887880284</v>
      </c>
      <c r="D937" s="47">
        <f t="shared" ca="1" si="127"/>
        <v>1974541569.0688677</v>
      </c>
      <c r="E937" s="47">
        <f t="shared" ca="1" si="128"/>
        <v>6665811782922.3311</v>
      </c>
      <c r="F937" s="47">
        <f t="shared" ca="1" si="129"/>
        <v>1353950742473.1909</v>
      </c>
      <c r="G937" s="47">
        <f t="shared" ca="1" si="130"/>
        <v>3025076086407.5317</v>
      </c>
      <c r="H937" s="47">
        <f t="shared" ca="1" si="131"/>
        <v>1353950742473.1909</v>
      </c>
      <c r="I937" s="47">
        <f t="shared" ca="1" si="132"/>
        <v>23178847027334.102</v>
      </c>
      <c r="J937" s="47">
        <f t="shared" ca="1" si="133"/>
        <v>808331919990.3877</v>
      </c>
      <c r="K937" s="48">
        <f t="shared" ca="1" si="134"/>
        <v>28.674912438951729</v>
      </c>
    </row>
    <row r="938" spans="2:11" ht="15" customHeight="1" x14ac:dyDescent="0.35">
      <c r="B938" s="5">
        <v>917</v>
      </c>
      <c r="C938" s="46">
        <f t="shared" ca="1" si="126"/>
        <v>1.8</v>
      </c>
      <c r="D938" s="47">
        <f t="shared" ca="1" si="127"/>
        <v>419915794.29186165</v>
      </c>
      <c r="E938" s="47">
        <f t="shared" ca="1" si="128"/>
        <v>1191889830502.9033</v>
      </c>
      <c r="F938" s="47">
        <f t="shared" ca="1" si="129"/>
        <v>6478849402263.3369</v>
      </c>
      <c r="G938" s="47">
        <f t="shared" ca="1" si="130"/>
        <v>435650059879.52136</v>
      </c>
      <c r="H938" s="47">
        <f t="shared" ca="1" si="131"/>
        <v>6478849402263.3369</v>
      </c>
      <c r="I938" s="47">
        <f t="shared" ca="1" si="132"/>
        <v>41065506600014.469</v>
      </c>
      <c r="J938" s="47">
        <f t="shared" ca="1" si="133"/>
        <v>1547699191782.8833</v>
      </c>
      <c r="K938" s="48">
        <f t="shared" ca="1" si="134"/>
        <v>26.533260996737202</v>
      </c>
    </row>
    <row r="939" spans="2:11" ht="15" customHeight="1" x14ac:dyDescent="0.35">
      <c r="B939" s="5">
        <v>918</v>
      </c>
      <c r="C939" s="46">
        <f t="shared" ca="1" si="126"/>
        <v>2.7773049847683673</v>
      </c>
      <c r="D939" s="47">
        <f t="shared" ca="1" si="127"/>
        <v>3500957336.0820417</v>
      </c>
      <c r="E939" s="47">
        <f t="shared" ca="1" si="128"/>
        <v>6443585177265.2217</v>
      </c>
      <c r="F939" s="47">
        <f t="shared" ca="1" si="129"/>
        <v>10814270009977.01</v>
      </c>
      <c r="G939" s="47">
        <f t="shared" ca="1" si="130"/>
        <v>3665778442971.8511</v>
      </c>
      <c r="H939" s="47">
        <f t="shared" ca="1" si="131"/>
        <v>3665778442971.8511</v>
      </c>
      <c r="I939" s="47">
        <f t="shared" ca="1" si="132"/>
        <v>13535425228580.758</v>
      </c>
      <c r="J939" s="47">
        <f t="shared" ca="1" si="133"/>
        <v>1077960781246.1904</v>
      </c>
      <c r="K939" s="48">
        <f t="shared" ca="1" si="134"/>
        <v>12.556509906541271</v>
      </c>
    </row>
    <row r="940" spans="2:11" ht="15" customHeight="1" x14ac:dyDescent="0.35">
      <c r="B940" s="5">
        <v>919</v>
      </c>
      <c r="C940" s="46">
        <f t="shared" ca="1" si="126"/>
        <v>3.8421942480189393</v>
      </c>
      <c r="D940" s="47">
        <f t="shared" ca="1" si="127"/>
        <v>19741876234.992989</v>
      </c>
      <c r="E940" s="47">
        <f t="shared" ca="1" si="128"/>
        <v>54214974924573.258</v>
      </c>
      <c r="F940" s="47">
        <f t="shared" ca="1" si="129"/>
        <v>2707852889312.2803</v>
      </c>
      <c r="G940" s="47">
        <f t="shared" ca="1" si="130"/>
        <v>11551391772438.531</v>
      </c>
      <c r="H940" s="47">
        <f t="shared" ca="1" si="131"/>
        <v>2707852889312.2803</v>
      </c>
      <c r="I940" s="47">
        <f t="shared" ca="1" si="132"/>
        <v>1955579586581.3389</v>
      </c>
      <c r="J940" s="47">
        <f t="shared" ca="1" si="133"/>
        <v>660459306879.06921</v>
      </c>
      <c r="K940" s="48">
        <f t="shared" ca="1" si="134"/>
        <v>2.9609387985192059</v>
      </c>
    </row>
    <row r="941" spans="2:11" ht="15" customHeight="1" x14ac:dyDescent="0.35">
      <c r="B941" s="5">
        <v>920</v>
      </c>
      <c r="C941" s="46">
        <f t="shared" ca="1" si="126"/>
        <v>3.8793487660815549</v>
      </c>
      <c r="D941" s="47">
        <f t="shared" ca="1" si="127"/>
        <v>20879716529.499908</v>
      </c>
      <c r="E941" s="47">
        <f t="shared" ca="1" si="128"/>
        <v>73566368863678.594</v>
      </c>
      <c r="F941" s="47">
        <f t="shared" ca="1" si="129"/>
        <v>1275351163656.9707</v>
      </c>
      <c r="G941" s="47">
        <f t="shared" ca="1" si="130"/>
        <v>974040500068.17786</v>
      </c>
      <c r="H941" s="47">
        <f t="shared" ca="1" si="131"/>
        <v>73566368863678.594</v>
      </c>
      <c r="I941" s="47">
        <f t="shared" ca="1" si="132"/>
        <v>4619221756134.082</v>
      </c>
      <c r="J941" s="47">
        <f t="shared" ca="1" si="133"/>
        <v>965801942408.01257</v>
      </c>
      <c r="K941" s="48">
        <f t="shared" ca="1" si="134"/>
        <v>4.7827836674433257</v>
      </c>
    </row>
    <row r="942" spans="2:11" ht="15" customHeight="1" x14ac:dyDescent="0.35">
      <c r="B942" s="5">
        <v>921</v>
      </c>
      <c r="C942" s="46">
        <f t="shared" ca="1" si="126"/>
        <v>3.4398997391627351</v>
      </c>
      <c r="D942" s="47">
        <f t="shared" ca="1" si="127"/>
        <v>11277905792.389734</v>
      </c>
      <c r="E942" s="47">
        <f t="shared" ca="1" si="128"/>
        <v>52325605922039</v>
      </c>
      <c r="F942" s="47">
        <f t="shared" ca="1" si="129"/>
        <v>1476432211422.7588</v>
      </c>
      <c r="G942" s="47">
        <f t="shared" ca="1" si="130"/>
        <v>3039276461109.4761</v>
      </c>
      <c r="H942" s="47">
        <f t="shared" ca="1" si="131"/>
        <v>1476432211422.7588</v>
      </c>
      <c r="I942" s="47">
        <f t="shared" ca="1" si="132"/>
        <v>38795887039848.945</v>
      </c>
      <c r="J942" s="47">
        <f t="shared" ca="1" si="133"/>
        <v>2151178052508.752</v>
      </c>
      <c r="K942" s="48">
        <f t="shared" ca="1" si="134"/>
        <v>18.034716835551716</v>
      </c>
    </row>
    <row r="943" spans="2:11" ht="15" customHeight="1" x14ac:dyDescent="0.35">
      <c r="B943" s="5">
        <v>922</v>
      </c>
      <c r="C943" s="46">
        <f t="shared" ca="1" si="126"/>
        <v>2.872300599288673</v>
      </c>
      <c r="D943" s="47">
        <f t="shared" ca="1" si="127"/>
        <v>3304295227.2363772</v>
      </c>
      <c r="E943" s="47">
        <f t="shared" ca="1" si="128"/>
        <v>18660099845058.785</v>
      </c>
      <c r="F943" s="47">
        <f t="shared" ca="1" si="129"/>
        <v>12010369020779.443</v>
      </c>
      <c r="G943" s="47">
        <f t="shared" ca="1" si="130"/>
        <v>8138331144137.3037</v>
      </c>
      <c r="H943" s="47">
        <f t="shared" ca="1" si="131"/>
        <v>18660099845058.785</v>
      </c>
      <c r="I943" s="47">
        <f t="shared" ca="1" si="132"/>
        <v>1058535429606.2347</v>
      </c>
      <c r="J943" s="47">
        <f t="shared" ca="1" si="133"/>
        <v>1062391788563.5977</v>
      </c>
      <c r="K943" s="48">
        <f t="shared" ca="1" si="134"/>
        <v>0.996370115997812</v>
      </c>
    </row>
    <row r="944" spans="2:11" ht="15" customHeight="1" x14ac:dyDescent="0.35">
      <c r="B944" s="5">
        <v>923</v>
      </c>
      <c r="C944" s="46">
        <f t="shared" ca="1" si="126"/>
        <v>3.5780867153667861</v>
      </c>
      <c r="D944" s="47">
        <f t="shared" ca="1" si="127"/>
        <v>12483564216.626421</v>
      </c>
      <c r="E944" s="47">
        <f t="shared" ca="1" si="128"/>
        <v>38927646866418.336</v>
      </c>
      <c r="F944" s="47">
        <f t="shared" ca="1" si="129"/>
        <v>1163222433606.7666</v>
      </c>
      <c r="G944" s="47">
        <f t="shared" ca="1" si="130"/>
        <v>372753966372886.31</v>
      </c>
      <c r="H944" s="47">
        <f t="shared" ca="1" si="131"/>
        <v>1163222433606.7666</v>
      </c>
      <c r="I944" s="47">
        <f t="shared" ca="1" si="132"/>
        <v>89650317687714.406</v>
      </c>
      <c r="J944" s="47">
        <f t="shared" ca="1" si="133"/>
        <v>870555400696.77258</v>
      </c>
      <c r="K944" s="48">
        <f t="shared" ca="1" si="134"/>
        <v>102.98060021907894</v>
      </c>
    </row>
    <row r="945" spans="2:11" ht="15" customHeight="1" x14ac:dyDescent="0.35">
      <c r="B945" s="5">
        <v>924</v>
      </c>
      <c r="C945" s="46">
        <f t="shared" ca="1" si="126"/>
        <v>2.8458464177291223</v>
      </c>
      <c r="D945" s="47">
        <f t="shared" ca="1" si="127"/>
        <v>3870688765.2417293</v>
      </c>
      <c r="E945" s="47">
        <f t="shared" ca="1" si="128"/>
        <v>4736098065677.3672</v>
      </c>
      <c r="F945" s="47">
        <f t="shared" ca="1" si="129"/>
        <v>3389450324214.4146</v>
      </c>
      <c r="G945" s="47">
        <f t="shared" ca="1" si="130"/>
        <v>8944860034265.6211</v>
      </c>
      <c r="H945" s="47">
        <f t="shared" ca="1" si="131"/>
        <v>8944860034265.6211</v>
      </c>
      <c r="I945" s="47">
        <f t="shared" ca="1" si="132"/>
        <v>5175258575273.4131</v>
      </c>
      <c r="J945" s="47">
        <f t="shared" ca="1" si="133"/>
        <v>1500893766082.5967</v>
      </c>
      <c r="K945" s="48">
        <f t="shared" ca="1" si="134"/>
        <v>3.4481178429976969</v>
      </c>
    </row>
    <row r="946" spans="2:11" ht="15" customHeight="1" x14ac:dyDescent="0.35">
      <c r="B946" s="5">
        <v>925</v>
      </c>
      <c r="C946" s="46">
        <f t="shared" ca="1" si="126"/>
        <v>3.3908229647988959</v>
      </c>
      <c r="D946" s="47">
        <f t="shared" ca="1" si="127"/>
        <v>8956053963.7434063</v>
      </c>
      <c r="E946" s="47">
        <f t="shared" ca="1" si="128"/>
        <v>12765325880032.828</v>
      </c>
      <c r="F946" s="47">
        <f t="shared" ca="1" si="129"/>
        <v>860461434343.85266</v>
      </c>
      <c r="G946" s="47">
        <f t="shared" ca="1" si="130"/>
        <v>9979088040563.5176</v>
      </c>
      <c r="H946" s="47">
        <f t="shared" ca="1" si="131"/>
        <v>860461434343.85266</v>
      </c>
      <c r="I946" s="47">
        <f t="shared" ca="1" si="132"/>
        <v>4986585866896.0146</v>
      </c>
      <c r="J946" s="47">
        <f t="shared" ca="1" si="133"/>
        <v>1564063375835.5488</v>
      </c>
      <c r="K946" s="48">
        <f t="shared" ca="1" si="134"/>
        <v>3.1882249427598142</v>
      </c>
    </row>
    <row r="947" spans="2:11" ht="15" customHeight="1" x14ac:dyDescent="0.35">
      <c r="B947" s="5">
        <v>926</v>
      </c>
      <c r="C947" s="46">
        <f t="shared" ca="1" si="126"/>
        <v>3.2173658022035125</v>
      </c>
      <c r="D947" s="47">
        <f t="shared" ca="1" si="127"/>
        <v>7601027142.1767435</v>
      </c>
      <c r="E947" s="47">
        <f t="shared" ca="1" si="128"/>
        <v>18968301976056.832</v>
      </c>
      <c r="F947" s="47">
        <f t="shared" ca="1" si="129"/>
        <v>8151013045677.8252</v>
      </c>
      <c r="G947" s="47">
        <f t="shared" ca="1" si="130"/>
        <v>58797580628111.914</v>
      </c>
      <c r="H947" s="47">
        <f t="shared" ca="1" si="131"/>
        <v>58797580628111.914</v>
      </c>
      <c r="I947" s="47">
        <f t="shared" ca="1" si="132"/>
        <v>2614655033476.1357</v>
      </c>
      <c r="J947" s="47">
        <f t="shared" ca="1" si="133"/>
        <v>1327615358450.8171</v>
      </c>
      <c r="K947" s="48">
        <f t="shared" ca="1" si="134"/>
        <v>1.9694371693071961</v>
      </c>
    </row>
    <row r="948" spans="2:11" ht="15" customHeight="1" x14ac:dyDescent="0.35">
      <c r="B948" s="5">
        <v>927</v>
      </c>
      <c r="C948" s="46">
        <f t="shared" ca="1" si="126"/>
        <v>2.8760263715516801</v>
      </c>
      <c r="D948" s="47">
        <f t="shared" ca="1" si="127"/>
        <v>4670450094.9600172</v>
      </c>
      <c r="E948" s="47">
        <f t="shared" ca="1" si="128"/>
        <v>7169890999170.3887</v>
      </c>
      <c r="F948" s="47">
        <f t="shared" ca="1" si="129"/>
        <v>5257283810861.1758</v>
      </c>
      <c r="G948" s="47">
        <f t="shared" ca="1" si="130"/>
        <v>30363206848542.047</v>
      </c>
      <c r="H948" s="47">
        <f t="shared" ca="1" si="131"/>
        <v>7169890999170.3887</v>
      </c>
      <c r="I948" s="47">
        <f t="shared" ca="1" si="132"/>
        <v>3725587171692.5376</v>
      </c>
      <c r="J948" s="47">
        <f t="shared" ca="1" si="133"/>
        <v>723759910975.75525</v>
      </c>
      <c r="K948" s="48">
        <f t="shared" ca="1" si="134"/>
        <v>5.147545636604538</v>
      </c>
    </row>
    <row r="949" spans="2:11" ht="15" customHeight="1" x14ac:dyDescent="0.35">
      <c r="B949" s="5">
        <v>928</v>
      </c>
      <c r="C949" s="46">
        <f t="shared" ca="1" si="126"/>
        <v>3.5224496183595768</v>
      </c>
      <c r="D949" s="47">
        <f t="shared" ca="1" si="127"/>
        <v>11876109365.102243</v>
      </c>
      <c r="E949" s="47">
        <f t="shared" ca="1" si="128"/>
        <v>13487272659759.629</v>
      </c>
      <c r="F949" s="47">
        <f t="shared" ca="1" si="129"/>
        <v>2989608494575.1992</v>
      </c>
      <c r="G949" s="47">
        <f t="shared" ca="1" si="130"/>
        <v>1169671457197.0488</v>
      </c>
      <c r="H949" s="47">
        <f t="shared" ca="1" si="131"/>
        <v>2989608494575.1992</v>
      </c>
      <c r="I949" s="47">
        <f t="shared" ca="1" si="132"/>
        <v>4689357993439.0342</v>
      </c>
      <c r="J949" s="47">
        <f t="shared" ca="1" si="133"/>
        <v>1514292596570</v>
      </c>
      <c r="K949" s="48">
        <f t="shared" ca="1" si="134"/>
        <v>3.0967317703730601</v>
      </c>
    </row>
    <row r="950" spans="2:11" ht="15" customHeight="1" x14ac:dyDescent="0.35">
      <c r="B950" s="5">
        <v>929</v>
      </c>
      <c r="C950" s="46">
        <f t="shared" ca="1" si="126"/>
        <v>2.9796671799077883</v>
      </c>
      <c r="D950" s="47">
        <f t="shared" ca="1" si="127"/>
        <v>5147517936.1149426</v>
      </c>
      <c r="E950" s="47">
        <f t="shared" ca="1" si="128"/>
        <v>10158873597059.529</v>
      </c>
      <c r="F950" s="47">
        <f t="shared" ca="1" si="129"/>
        <v>1475258747959.0818</v>
      </c>
      <c r="G950" s="47">
        <f t="shared" ca="1" si="130"/>
        <v>14298195544679.889</v>
      </c>
      <c r="H950" s="47">
        <f t="shared" ca="1" si="131"/>
        <v>14298195544679.889</v>
      </c>
      <c r="I950" s="47">
        <f t="shared" ca="1" si="132"/>
        <v>3505813251029.8569</v>
      </c>
      <c r="J950" s="47">
        <f t="shared" ca="1" si="133"/>
        <v>1261899178857.9387</v>
      </c>
      <c r="K950" s="48">
        <f t="shared" ca="1" si="134"/>
        <v>2.7782039245026975</v>
      </c>
    </row>
    <row r="951" spans="2:11" ht="15" customHeight="1" x14ac:dyDescent="0.35">
      <c r="B951" s="5">
        <v>930</v>
      </c>
      <c r="C951" s="46">
        <f t="shared" ca="1" si="126"/>
        <v>2.3675834526662838</v>
      </c>
      <c r="D951" s="47">
        <f t="shared" ca="1" si="127"/>
        <v>1422672906.2038639</v>
      </c>
      <c r="E951" s="47">
        <f t="shared" ca="1" si="128"/>
        <v>6247796823419.292</v>
      </c>
      <c r="F951" s="47">
        <f t="shared" ca="1" si="129"/>
        <v>1556645189750.877</v>
      </c>
      <c r="G951" s="47">
        <f t="shared" ca="1" si="130"/>
        <v>7776853612584.8691</v>
      </c>
      <c r="H951" s="47">
        <f t="shared" ca="1" si="131"/>
        <v>6247796823419.292</v>
      </c>
      <c r="I951" s="47">
        <f t="shared" ca="1" si="132"/>
        <v>5080067103623.6738</v>
      </c>
      <c r="J951" s="47">
        <f t="shared" ca="1" si="133"/>
        <v>1686000131202.7456</v>
      </c>
      <c r="K951" s="48">
        <f t="shared" ca="1" si="134"/>
        <v>3.013088201837621</v>
      </c>
    </row>
    <row r="952" spans="2:11" ht="15" customHeight="1" x14ac:dyDescent="0.35">
      <c r="B952" s="5">
        <v>931</v>
      </c>
      <c r="C952" s="46">
        <f t="shared" ca="1" si="126"/>
        <v>2.9514637893704792</v>
      </c>
      <c r="D952" s="47">
        <f t="shared" ca="1" si="127"/>
        <v>3825094143.5749183</v>
      </c>
      <c r="E952" s="47">
        <f t="shared" ca="1" si="128"/>
        <v>20737018374882.859</v>
      </c>
      <c r="F952" s="47">
        <f t="shared" ca="1" si="129"/>
        <v>3887343798010.0625</v>
      </c>
      <c r="G952" s="47">
        <f t="shared" ca="1" si="130"/>
        <v>1359602014656.5181</v>
      </c>
      <c r="H952" s="47">
        <f t="shared" ca="1" si="131"/>
        <v>3887343798010.0625</v>
      </c>
      <c r="I952" s="47">
        <f t="shared" ca="1" si="132"/>
        <v>4037625773082.4751</v>
      </c>
      <c r="J952" s="47">
        <f t="shared" ca="1" si="133"/>
        <v>1206904995938.7561</v>
      </c>
      <c r="K952" s="48">
        <f t="shared" ca="1" si="134"/>
        <v>3.3454379480316301</v>
      </c>
    </row>
    <row r="953" spans="2:11" ht="15" customHeight="1" x14ac:dyDescent="0.35">
      <c r="B953" s="5">
        <v>932</v>
      </c>
      <c r="C953" s="46">
        <f t="shared" ca="1" si="126"/>
        <v>1.8803380658375604</v>
      </c>
      <c r="D953" s="47">
        <f t="shared" ca="1" si="127"/>
        <v>469320462.57753628</v>
      </c>
      <c r="E953" s="47">
        <f t="shared" ca="1" si="128"/>
        <v>4012711574755.2134</v>
      </c>
      <c r="F953" s="47">
        <f t="shared" ca="1" si="129"/>
        <v>2628414628972.8228</v>
      </c>
      <c r="G953" s="47">
        <f t="shared" ca="1" si="130"/>
        <v>7786663291158.7207</v>
      </c>
      <c r="H953" s="47">
        <f t="shared" ca="1" si="131"/>
        <v>4012711574755.2134</v>
      </c>
      <c r="I953" s="47">
        <f t="shared" ca="1" si="132"/>
        <v>18850029380605.809</v>
      </c>
      <c r="J953" s="47">
        <f t="shared" ca="1" si="133"/>
        <v>2437197375635.2759</v>
      </c>
      <c r="K953" s="48">
        <f t="shared" ca="1" si="134"/>
        <v>7.7343056286905734</v>
      </c>
    </row>
    <row r="954" spans="2:11" ht="15" customHeight="1" x14ac:dyDescent="0.35">
      <c r="B954" s="5">
        <v>933</v>
      </c>
      <c r="C954" s="46">
        <f t="shared" ca="1" si="126"/>
        <v>2.2983301800890015</v>
      </c>
      <c r="D954" s="47">
        <f t="shared" ca="1" si="127"/>
        <v>1268020830.0571694</v>
      </c>
      <c r="E954" s="47">
        <f t="shared" ca="1" si="128"/>
        <v>1836798605710.9944</v>
      </c>
      <c r="F954" s="47">
        <f t="shared" ca="1" si="129"/>
        <v>856419749128.62488</v>
      </c>
      <c r="G954" s="47">
        <f t="shared" ca="1" si="130"/>
        <v>12260853010317.895</v>
      </c>
      <c r="H954" s="47">
        <f t="shared" ca="1" si="131"/>
        <v>856419749128.62488</v>
      </c>
      <c r="I954" s="47">
        <f t="shared" ca="1" si="132"/>
        <v>4548122250768.3311</v>
      </c>
      <c r="J954" s="47">
        <f t="shared" ca="1" si="133"/>
        <v>1438244271666.6594</v>
      </c>
      <c r="K954" s="48">
        <f t="shared" ca="1" si="134"/>
        <v>3.1622738503925327</v>
      </c>
    </row>
    <row r="955" spans="2:11" ht="15" customHeight="1" x14ac:dyDescent="0.35">
      <c r="B955" s="5">
        <v>934</v>
      </c>
      <c r="C955" s="46">
        <f t="shared" ca="1" si="126"/>
        <v>3.7948233733121799</v>
      </c>
      <c r="D955" s="47">
        <f t="shared" ca="1" si="127"/>
        <v>15017883091.093536</v>
      </c>
      <c r="E955" s="47">
        <f t="shared" ca="1" si="128"/>
        <v>18214927027495.113</v>
      </c>
      <c r="F955" s="47">
        <f t="shared" ca="1" si="129"/>
        <v>2322925232965.5938</v>
      </c>
      <c r="G955" s="47">
        <f t="shared" ca="1" si="130"/>
        <v>10732615962500.779</v>
      </c>
      <c r="H955" s="47">
        <f t="shared" ca="1" si="131"/>
        <v>18214927027495.113</v>
      </c>
      <c r="I955" s="47">
        <f t="shared" ca="1" si="132"/>
        <v>2533996496172.4868</v>
      </c>
      <c r="J955" s="47">
        <f t="shared" ca="1" si="133"/>
        <v>832104515016.8313</v>
      </c>
      <c r="K955" s="48">
        <f t="shared" ca="1" si="134"/>
        <v>3.045286319737408</v>
      </c>
    </row>
    <row r="956" spans="2:11" ht="15" customHeight="1" x14ac:dyDescent="0.35">
      <c r="B956" s="5">
        <v>935</v>
      </c>
      <c r="C956" s="46">
        <f t="shared" ca="1" si="126"/>
        <v>2.9637906658211444</v>
      </c>
      <c r="D956" s="47">
        <f t="shared" ca="1" si="127"/>
        <v>5081059027.9175291</v>
      </c>
      <c r="E956" s="47">
        <f t="shared" ca="1" si="128"/>
        <v>7596622961152.2871</v>
      </c>
      <c r="F956" s="47">
        <f t="shared" ca="1" si="129"/>
        <v>3572690054236.2251</v>
      </c>
      <c r="G956" s="47">
        <f t="shared" ca="1" si="130"/>
        <v>55552281081579.297</v>
      </c>
      <c r="H956" s="47">
        <f t="shared" ca="1" si="131"/>
        <v>55552281081579.297</v>
      </c>
      <c r="I956" s="47">
        <f t="shared" ca="1" si="132"/>
        <v>32253162690491.262</v>
      </c>
      <c r="J956" s="47">
        <f t="shared" ca="1" si="133"/>
        <v>1142146389345.1023</v>
      </c>
      <c r="K956" s="48">
        <f t="shared" ca="1" si="134"/>
        <v>28.239079500995462</v>
      </c>
    </row>
    <row r="957" spans="2:11" ht="15" customHeight="1" x14ac:dyDescent="0.35">
      <c r="B957" s="5">
        <v>936</v>
      </c>
      <c r="C957" s="46">
        <f t="shared" ca="1" si="126"/>
        <v>3.5078887627032218</v>
      </c>
      <c r="D957" s="47">
        <f t="shared" ca="1" si="127"/>
        <v>10134754897.297937</v>
      </c>
      <c r="E957" s="47">
        <f t="shared" ca="1" si="128"/>
        <v>14122316799692.33</v>
      </c>
      <c r="F957" s="47">
        <f t="shared" ca="1" si="129"/>
        <v>1506345550346.8748</v>
      </c>
      <c r="G957" s="47">
        <f t="shared" ca="1" si="130"/>
        <v>2417851755603.916</v>
      </c>
      <c r="H957" s="47">
        <f t="shared" ca="1" si="131"/>
        <v>14122316799692.33</v>
      </c>
      <c r="I957" s="47">
        <f t="shared" ca="1" si="132"/>
        <v>3198419166500.7803</v>
      </c>
      <c r="J957" s="47">
        <f t="shared" ca="1" si="133"/>
        <v>1663476916430.1467</v>
      </c>
      <c r="K957" s="48">
        <f t="shared" ca="1" si="134"/>
        <v>1.9227313195091693</v>
      </c>
    </row>
    <row r="958" spans="2:11" ht="15" customHeight="1" x14ac:dyDescent="0.35">
      <c r="B958" s="5">
        <v>937</v>
      </c>
      <c r="C958" s="46">
        <f t="shared" ca="1" si="126"/>
        <v>3.3037990228368579</v>
      </c>
      <c r="D958" s="47">
        <f t="shared" ca="1" si="127"/>
        <v>7163053533.1761398</v>
      </c>
      <c r="E958" s="47">
        <f t="shared" ca="1" si="128"/>
        <v>93723339919170.438</v>
      </c>
      <c r="F958" s="47">
        <f t="shared" ca="1" si="129"/>
        <v>8098966778079.1055</v>
      </c>
      <c r="G958" s="47">
        <f t="shared" ca="1" si="130"/>
        <v>9421311945535.6895</v>
      </c>
      <c r="H958" s="47">
        <f t="shared" ca="1" si="131"/>
        <v>9421311945535.6895</v>
      </c>
      <c r="I958" s="47">
        <f t="shared" ca="1" si="132"/>
        <v>7769182255480.8223</v>
      </c>
      <c r="J958" s="47">
        <f t="shared" ca="1" si="133"/>
        <v>1557050903482.9609</v>
      </c>
      <c r="K958" s="48">
        <f t="shared" ca="1" si="134"/>
        <v>4.9896777543380049</v>
      </c>
    </row>
    <row r="959" spans="2:11" ht="15" customHeight="1" x14ac:dyDescent="0.35">
      <c r="B959" s="5">
        <v>938</v>
      </c>
      <c r="C959" s="46">
        <f t="shared" ca="1" si="126"/>
        <v>2.9748870357159629</v>
      </c>
      <c r="D959" s="47">
        <f t="shared" ca="1" si="127"/>
        <v>4383356022.0285521</v>
      </c>
      <c r="E959" s="47">
        <f t="shared" ca="1" si="128"/>
        <v>12066000927106.314</v>
      </c>
      <c r="F959" s="47">
        <f t="shared" ca="1" si="129"/>
        <v>5447694565867.374</v>
      </c>
      <c r="G959" s="47">
        <f t="shared" ca="1" si="130"/>
        <v>12219092695754.48</v>
      </c>
      <c r="H959" s="47">
        <f t="shared" ca="1" si="131"/>
        <v>12219092695754.48</v>
      </c>
      <c r="I959" s="47">
        <f t="shared" ca="1" si="132"/>
        <v>350513626903193.69</v>
      </c>
      <c r="J959" s="47">
        <f t="shared" ca="1" si="133"/>
        <v>812647352453.87781</v>
      </c>
      <c r="K959" s="48">
        <f t="shared" ca="1" si="134"/>
        <v>431.32316354046975</v>
      </c>
    </row>
    <row r="960" spans="2:11" ht="15" customHeight="1" x14ac:dyDescent="0.35">
      <c r="B960" s="5">
        <v>939</v>
      </c>
      <c r="C960" s="46">
        <f t="shared" ca="1" si="126"/>
        <v>3.1361421969968366</v>
      </c>
      <c r="D960" s="47">
        <f t="shared" ca="1" si="127"/>
        <v>5277630378.9405832</v>
      </c>
      <c r="E960" s="47">
        <f t="shared" ca="1" si="128"/>
        <v>14916960264018.688</v>
      </c>
      <c r="F960" s="47">
        <f t="shared" ca="1" si="129"/>
        <v>253851861782.67038</v>
      </c>
      <c r="G960" s="47">
        <f t="shared" ca="1" si="130"/>
        <v>26525683457761.105</v>
      </c>
      <c r="H960" s="47">
        <f t="shared" ca="1" si="131"/>
        <v>26525683457761.105</v>
      </c>
      <c r="I960" s="47">
        <f t="shared" ca="1" si="132"/>
        <v>9203509399104.7871</v>
      </c>
      <c r="J960" s="47">
        <f t="shared" ca="1" si="133"/>
        <v>612701531140.27808</v>
      </c>
      <c r="K960" s="48">
        <f t="shared" ca="1" si="134"/>
        <v>15.021195364040379</v>
      </c>
    </row>
    <row r="961" spans="2:11" ht="15" customHeight="1" x14ac:dyDescent="0.35">
      <c r="B961" s="5">
        <v>940</v>
      </c>
      <c r="C961" s="46">
        <f t="shared" ca="1" si="126"/>
        <v>2.4310723047645548</v>
      </c>
      <c r="D961" s="47">
        <f t="shared" ca="1" si="127"/>
        <v>1787100697.2862217</v>
      </c>
      <c r="E961" s="47">
        <f t="shared" ca="1" si="128"/>
        <v>4302638260660.4595</v>
      </c>
      <c r="F961" s="47">
        <f t="shared" ca="1" si="129"/>
        <v>5686670807406.624</v>
      </c>
      <c r="G961" s="47">
        <f t="shared" ca="1" si="130"/>
        <v>38922241905173.961</v>
      </c>
      <c r="H961" s="47">
        <f t="shared" ca="1" si="131"/>
        <v>4302638260660.4595</v>
      </c>
      <c r="I961" s="47">
        <f t="shared" ca="1" si="132"/>
        <v>53160239147802.727</v>
      </c>
      <c r="J961" s="47">
        <f t="shared" ca="1" si="133"/>
        <v>2384543488090.2129</v>
      </c>
      <c r="K961" s="48">
        <f t="shared" ca="1" si="134"/>
        <v>22.293675671387692</v>
      </c>
    </row>
    <row r="962" spans="2:11" ht="15" customHeight="1" x14ac:dyDescent="0.35">
      <c r="B962" s="5">
        <v>941</v>
      </c>
      <c r="C962" s="46">
        <f t="shared" ca="1" si="126"/>
        <v>3.3055267291452681</v>
      </c>
      <c r="D962" s="47">
        <f t="shared" ca="1" si="127"/>
        <v>8980671925.1725082</v>
      </c>
      <c r="E962" s="47">
        <f t="shared" ca="1" si="128"/>
        <v>50795260751648.688</v>
      </c>
      <c r="F962" s="47">
        <f t="shared" ca="1" si="129"/>
        <v>7084147130864.5498</v>
      </c>
      <c r="G962" s="47">
        <f t="shared" ca="1" si="130"/>
        <v>1224378039703.0054</v>
      </c>
      <c r="H962" s="47">
        <f t="shared" ca="1" si="131"/>
        <v>50795260751648.688</v>
      </c>
      <c r="I962" s="47">
        <f t="shared" ca="1" si="132"/>
        <v>20001606658158.332</v>
      </c>
      <c r="J962" s="47">
        <f t="shared" ca="1" si="133"/>
        <v>559150155476.76038</v>
      </c>
      <c r="K962" s="48">
        <f t="shared" ca="1" si="134"/>
        <v>35.771440752089084</v>
      </c>
    </row>
    <row r="963" spans="2:11" ht="15" customHeight="1" x14ac:dyDescent="0.35">
      <c r="B963" s="5">
        <v>942</v>
      </c>
      <c r="C963" s="46">
        <f t="shared" ca="1" si="126"/>
        <v>2.1108227987605699</v>
      </c>
      <c r="D963" s="47">
        <f t="shared" ca="1" si="127"/>
        <v>919982599.08178353</v>
      </c>
      <c r="E963" s="47">
        <f t="shared" ca="1" si="128"/>
        <v>1822850071318.5588</v>
      </c>
      <c r="F963" s="47">
        <f t="shared" ca="1" si="129"/>
        <v>1243626868692.385</v>
      </c>
      <c r="G963" s="47">
        <f t="shared" ca="1" si="130"/>
        <v>2903667945254.5444</v>
      </c>
      <c r="H963" s="47">
        <f t="shared" ca="1" si="131"/>
        <v>1822850071318.5588</v>
      </c>
      <c r="I963" s="47">
        <f t="shared" ca="1" si="132"/>
        <v>1657745101911.3442</v>
      </c>
      <c r="J963" s="47">
        <f t="shared" ca="1" si="133"/>
        <v>2228993879264.7422</v>
      </c>
      <c r="K963" s="48">
        <f t="shared" ca="1" si="134"/>
        <v>0.74371900135417579</v>
      </c>
    </row>
    <row r="964" spans="2:11" ht="15" customHeight="1" x14ac:dyDescent="0.35">
      <c r="B964" s="5">
        <v>943</v>
      </c>
      <c r="C964" s="46">
        <f t="shared" ca="1" si="126"/>
        <v>4.2710730677764346</v>
      </c>
      <c r="D964" s="47">
        <f t="shared" ca="1" si="127"/>
        <v>27284193656.692604</v>
      </c>
      <c r="E964" s="47">
        <f t="shared" ca="1" si="128"/>
        <v>70317025433244.922</v>
      </c>
      <c r="F964" s="47">
        <f t="shared" ca="1" si="129"/>
        <v>638147930897.80188</v>
      </c>
      <c r="G964" s="47">
        <f t="shared" ca="1" si="130"/>
        <v>14131651875952.51</v>
      </c>
      <c r="H964" s="47">
        <f t="shared" ca="1" si="131"/>
        <v>70317025433244.922</v>
      </c>
      <c r="I964" s="47">
        <f t="shared" ca="1" si="132"/>
        <v>9157440322171.0117</v>
      </c>
      <c r="J964" s="47">
        <f t="shared" ca="1" si="133"/>
        <v>1454946187540.9429</v>
      </c>
      <c r="K964" s="48">
        <f t="shared" ca="1" si="134"/>
        <v>6.2940061980218891</v>
      </c>
    </row>
    <row r="965" spans="2:11" ht="15" customHeight="1" x14ac:dyDescent="0.35">
      <c r="B965" s="5">
        <v>944</v>
      </c>
      <c r="C965" s="46">
        <f t="shared" ca="1" si="126"/>
        <v>2.8800446599710519</v>
      </c>
      <c r="D965" s="47">
        <f t="shared" ca="1" si="127"/>
        <v>3611092448.8761873</v>
      </c>
      <c r="E965" s="47">
        <f t="shared" ca="1" si="128"/>
        <v>20252574161324.645</v>
      </c>
      <c r="F965" s="47">
        <f t="shared" ca="1" si="129"/>
        <v>2600971098822.9478</v>
      </c>
      <c r="G965" s="47">
        <f t="shared" ca="1" si="130"/>
        <v>1869603013965.3003</v>
      </c>
      <c r="H965" s="47">
        <f t="shared" ca="1" si="131"/>
        <v>1869603013965.3003</v>
      </c>
      <c r="I965" s="47">
        <f t="shared" ca="1" si="132"/>
        <v>15464809750785.947</v>
      </c>
      <c r="J965" s="47">
        <f t="shared" ca="1" si="133"/>
        <v>1597772217926.1211</v>
      </c>
      <c r="K965" s="48">
        <f t="shared" ca="1" si="134"/>
        <v>9.6789827594192275</v>
      </c>
    </row>
    <row r="966" spans="2:11" ht="15" customHeight="1" x14ac:dyDescent="0.35">
      <c r="B966" s="5">
        <v>945</v>
      </c>
      <c r="C966" s="46">
        <f t="shared" ca="1" si="126"/>
        <v>2.8689329218826822</v>
      </c>
      <c r="D966" s="47">
        <f t="shared" ca="1" si="127"/>
        <v>3640292050.3810987</v>
      </c>
      <c r="E966" s="47">
        <f t="shared" ca="1" si="128"/>
        <v>5791364679194.1045</v>
      </c>
      <c r="F966" s="47">
        <f t="shared" ca="1" si="129"/>
        <v>5602809343569.6836</v>
      </c>
      <c r="G966" s="47">
        <f t="shared" ca="1" si="130"/>
        <v>2382993178727.5234</v>
      </c>
      <c r="H966" s="47">
        <f t="shared" ca="1" si="131"/>
        <v>5791364679194.1045</v>
      </c>
      <c r="I966" s="47">
        <f t="shared" ca="1" si="132"/>
        <v>11500618039509.092</v>
      </c>
      <c r="J966" s="47">
        <f t="shared" ca="1" si="133"/>
        <v>848294747857.64807</v>
      </c>
      <c r="K966" s="48">
        <f t="shared" ca="1" si="134"/>
        <v>13.557337315306595</v>
      </c>
    </row>
    <row r="967" spans="2:11" ht="15" customHeight="1" x14ac:dyDescent="0.35">
      <c r="B967" s="5">
        <v>946</v>
      </c>
      <c r="C967" s="46">
        <f t="shared" ca="1" si="126"/>
        <v>3.2042533495940262</v>
      </c>
      <c r="D967" s="47">
        <f t="shared" ca="1" si="127"/>
        <v>7832695649.4436264</v>
      </c>
      <c r="E967" s="47">
        <f t="shared" ca="1" si="128"/>
        <v>23189516619797.582</v>
      </c>
      <c r="F967" s="47">
        <f t="shared" ca="1" si="129"/>
        <v>16109699167724.691</v>
      </c>
      <c r="G967" s="47">
        <f t="shared" ca="1" si="130"/>
        <v>10694668199916.676</v>
      </c>
      <c r="H967" s="47">
        <f t="shared" ca="1" si="131"/>
        <v>10694668199916.676</v>
      </c>
      <c r="I967" s="47">
        <f t="shared" ca="1" si="132"/>
        <v>10607647064192.176</v>
      </c>
      <c r="J967" s="47">
        <f t="shared" ca="1" si="133"/>
        <v>405848751716.69379</v>
      </c>
      <c r="K967" s="48">
        <f t="shared" ca="1" si="134"/>
        <v>26.136946385378895</v>
      </c>
    </row>
    <row r="968" spans="2:11" ht="15" customHeight="1" x14ac:dyDescent="0.35">
      <c r="B968" s="5">
        <v>947</v>
      </c>
      <c r="C968" s="46">
        <f t="shared" ca="1" si="126"/>
        <v>3.3639114476330678</v>
      </c>
      <c r="D968" s="47">
        <f t="shared" ca="1" si="127"/>
        <v>7076160860.7100763</v>
      </c>
      <c r="E968" s="47">
        <f t="shared" ca="1" si="128"/>
        <v>18401664781242.594</v>
      </c>
      <c r="F968" s="47">
        <f t="shared" ca="1" si="129"/>
        <v>3425270021027.0059</v>
      </c>
      <c r="G968" s="47">
        <f t="shared" ca="1" si="130"/>
        <v>1499475220985.752</v>
      </c>
      <c r="H968" s="47">
        <f t="shared" ca="1" si="131"/>
        <v>3425270021027.0059</v>
      </c>
      <c r="I968" s="47">
        <f t="shared" ca="1" si="132"/>
        <v>12149091025237.398</v>
      </c>
      <c r="J968" s="47">
        <f t="shared" ca="1" si="133"/>
        <v>1804682588966.834</v>
      </c>
      <c r="K968" s="48">
        <f t="shared" ca="1" si="134"/>
        <v>6.7319821776485655</v>
      </c>
    </row>
    <row r="969" spans="2:11" ht="15" customHeight="1" x14ac:dyDescent="0.35">
      <c r="B969" s="5">
        <v>948</v>
      </c>
      <c r="C969" s="46">
        <f t="shared" ca="1" si="126"/>
        <v>2.7543639139131324</v>
      </c>
      <c r="D969" s="47">
        <f t="shared" ca="1" si="127"/>
        <v>2651025613.7318892</v>
      </c>
      <c r="E969" s="47">
        <f t="shared" ca="1" si="128"/>
        <v>18173572261867.781</v>
      </c>
      <c r="F969" s="47">
        <f t="shared" ca="1" si="129"/>
        <v>1358630176089.2974</v>
      </c>
      <c r="G969" s="47">
        <f t="shared" ca="1" si="130"/>
        <v>46834693786608.461</v>
      </c>
      <c r="H969" s="47">
        <f t="shared" ca="1" si="131"/>
        <v>18173572261867.781</v>
      </c>
      <c r="I969" s="47">
        <f t="shared" ca="1" si="132"/>
        <v>1150831187698.0417</v>
      </c>
      <c r="J969" s="47">
        <f t="shared" ca="1" si="133"/>
        <v>744653775172.00635</v>
      </c>
      <c r="K969" s="48">
        <f t="shared" ca="1" si="134"/>
        <v>1.5454580720177147</v>
      </c>
    </row>
    <row r="970" spans="2:11" ht="15" customHeight="1" x14ac:dyDescent="0.35">
      <c r="B970" s="5">
        <v>949</v>
      </c>
      <c r="C970" s="46">
        <f t="shared" ca="1" si="126"/>
        <v>3.2414603211857589</v>
      </c>
      <c r="D970" s="47">
        <f t="shared" ca="1" si="127"/>
        <v>6336505079.6908083</v>
      </c>
      <c r="E970" s="47">
        <f t="shared" ca="1" si="128"/>
        <v>29776204507465.688</v>
      </c>
      <c r="F970" s="47">
        <f t="shared" ca="1" si="129"/>
        <v>1643235413444.4568</v>
      </c>
      <c r="G970" s="47">
        <f t="shared" ca="1" si="130"/>
        <v>8755580207626.7559</v>
      </c>
      <c r="H970" s="47">
        <f t="shared" ca="1" si="131"/>
        <v>29776204507465.688</v>
      </c>
      <c r="I970" s="47">
        <f t="shared" ca="1" si="132"/>
        <v>1265210459012.3621</v>
      </c>
      <c r="J970" s="47">
        <f t="shared" ca="1" si="133"/>
        <v>1745624027483.7009</v>
      </c>
      <c r="K970" s="48">
        <f t="shared" ca="1" si="134"/>
        <v>0.72478978238867964</v>
      </c>
    </row>
    <row r="971" spans="2:11" ht="15" customHeight="1" x14ac:dyDescent="0.35">
      <c r="B971" s="5">
        <v>950</v>
      </c>
      <c r="C971" s="46">
        <f t="shared" ca="1" si="126"/>
        <v>3.8309856883852786</v>
      </c>
      <c r="D971" s="47">
        <f t="shared" ca="1" si="127"/>
        <v>14796155626.737295</v>
      </c>
      <c r="E971" s="47">
        <f t="shared" ca="1" si="128"/>
        <v>14965173573035.355</v>
      </c>
      <c r="F971" s="47">
        <f t="shared" ca="1" si="129"/>
        <v>3424666141402.6548</v>
      </c>
      <c r="G971" s="47">
        <f t="shared" ca="1" si="130"/>
        <v>3153383506420.5503</v>
      </c>
      <c r="H971" s="47">
        <f t="shared" ca="1" si="131"/>
        <v>3153383506420.5503</v>
      </c>
      <c r="I971" s="47">
        <f t="shared" ca="1" si="132"/>
        <v>14599901754195.217</v>
      </c>
      <c r="J971" s="47">
        <f t="shared" ca="1" si="133"/>
        <v>1059772689558.7407</v>
      </c>
      <c r="K971" s="48">
        <f t="shared" ca="1" si="134"/>
        <v>13.776446494648019</v>
      </c>
    </row>
    <row r="972" spans="2:11" ht="15" customHeight="1" x14ac:dyDescent="0.35">
      <c r="B972" s="5">
        <v>951</v>
      </c>
      <c r="C972" s="46">
        <f t="shared" ca="1" si="126"/>
        <v>2.7501979180664091</v>
      </c>
      <c r="D972" s="47">
        <f t="shared" ca="1" si="127"/>
        <v>3600757180.769186</v>
      </c>
      <c r="E972" s="47">
        <f t="shared" ca="1" si="128"/>
        <v>4133195141183.0835</v>
      </c>
      <c r="F972" s="47">
        <f t="shared" ca="1" si="129"/>
        <v>2905499451791.4868</v>
      </c>
      <c r="G972" s="47">
        <f t="shared" ca="1" si="130"/>
        <v>51513537965932.734</v>
      </c>
      <c r="H972" s="47">
        <f t="shared" ca="1" si="131"/>
        <v>51513537965932.734</v>
      </c>
      <c r="I972" s="47">
        <f t="shared" ca="1" si="132"/>
        <v>14067375780876.053</v>
      </c>
      <c r="J972" s="47">
        <f t="shared" ca="1" si="133"/>
        <v>2145118018363.792</v>
      </c>
      <c r="K972" s="48">
        <f t="shared" ca="1" si="134"/>
        <v>6.5578563325882042</v>
      </c>
    </row>
    <row r="973" spans="2:11" ht="15" customHeight="1" x14ac:dyDescent="0.35">
      <c r="B973" s="5">
        <v>952</v>
      </c>
      <c r="C973" s="46">
        <f t="shared" ca="1" si="126"/>
        <v>3.3002666534822458</v>
      </c>
      <c r="D973" s="47">
        <f t="shared" ca="1" si="127"/>
        <v>9092265191.4831982</v>
      </c>
      <c r="E973" s="47">
        <f t="shared" ca="1" si="128"/>
        <v>30886433833439.945</v>
      </c>
      <c r="F973" s="47">
        <f t="shared" ca="1" si="129"/>
        <v>723216866444.30273</v>
      </c>
      <c r="G973" s="47">
        <f t="shared" ca="1" si="130"/>
        <v>16669062516641.166</v>
      </c>
      <c r="H973" s="47">
        <f t="shared" ca="1" si="131"/>
        <v>30886433833439.945</v>
      </c>
      <c r="I973" s="47">
        <f t="shared" ca="1" si="132"/>
        <v>1255296980376.8469</v>
      </c>
      <c r="J973" s="47">
        <f t="shared" ca="1" si="133"/>
        <v>1067321179711.4288</v>
      </c>
      <c r="K973" s="48">
        <f t="shared" ca="1" si="134"/>
        <v>1.1761192453018134</v>
      </c>
    </row>
    <row r="974" spans="2:11" ht="15" customHeight="1" x14ac:dyDescent="0.35">
      <c r="B974" s="5">
        <v>953</v>
      </c>
      <c r="C974" s="46">
        <f t="shared" ca="1" si="126"/>
        <v>3.1884697327591693</v>
      </c>
      <c r="D974" s="47">
        <f t="shared" ca="1" si="127"/>
        <v>7379935314.8563671</v>
      </c>
      <c r="E974" s="47">
        <f t="shared" ca="1" si="128"/>
        <v>16839952069224.273</v>
      </c>
      <c r="F974" s="47">
        <f t="shared" ca="1" si="129"/>
        <v>1814107654264.0872</v>
      </c>
      <c r="G974" s="47">
        <f t="shared" ca="1" si="130"/>
        <v>1444301188177.9587</v>
      </c>
      <c r="H974" s="47">
        <f t="shared" ca="1" si="131"/>
        <v>16839952069224.273</v>
      </c>
      <c r="I974" s="47">
        <f t="shared" ca="1" si="132"/>
        <v>1809547428340.4766</v>
      </c>
      <c r="J974" s="47">
        <f t="shared" ca="1" si="133"/>
        <v>1504516083858.3357</v>
      </c>
      <c r="K974" s="48">
        <f t="shared" ca="1" si="134"/>
        <v>1.2027438242467221</v>
      </c>
    </row>
    <row r="975" spans="2:11" ht="15" customHeight="1" x14ac:dyDescent="0.35">
      <c r="B975" s="5">
        <v>954</v>
      </c>
      <c r="C975" s="46">
        <f t="shared" ca="1" si="126"/>
        <v>3.3177894820551872</v>
      </c>
      <c r="D975" s="47">
        <f t="shared" ca="1" si="127"/>
        <v>9127312041.836628</v>
      </c>
      <c r="E975" s="47">
        <f t="shared" ca="1" si="128"/>
        <v>47866389256358.898</v>
      </c>
      <c r="F975" s="47">
        <f t="shared" ca="1" si="129"/>
        <v>3744710337312.6821</v>
      </c>
      <c r="G975" s="47">
        <f t="shared" ca="1" si="130"/>
        <v>1393937964668.0815</v>
      </c>
      <c r="H975" s="47">
        <f t="shared" ca="1" si="131"/>
        <v>3744710337312.6821</v>
      </c>
      <c r="I975" s="47">
        <f t="shared" ca="1" si="132"/>
        <v>1528254151960.4534</v>
      </c>
      <c r="J975" s="47">
        <f t="shared" ca="1" si="133"/>
        <v>984376928031.36731</v>
      </c>
      <c r="K975" s="48">
        <f t="shared" ca="1" si="134"/>
        <v>1.5525091135737745</v>
      </c>
    </row>
    <row r="976" spans="2:11" ht="15" customHeight="1" x14ac:dyDescent="0.35">
      <c r="B976" s="5">
        <v>955</v>
      </c>
      <c r="C976" s="46">
        <f t="shared" ca="1" si="126"/>
        <v>3.7607459360760993</v>
      </c>
      <c r="D976" s="47">
        <f t="shared" ca="1" si="127"/>
        <v>12926095712.978189</v>
      </c>
      <c r="E976" s="47">
        <f t="shared" ca="1" si="128"/>
        <v>23129649565197.867</v>
      </c>
      <c r="F976" s="47">
        <f t="shared" ca="1" si="129"/>
        <v>2401608284938.2622</v>
      </c>
      <c r="G976" s="47">
        <f t="shared" ca="1" si="130"/>
        <v>53272446347532.133</v>
      </c>
      <c r="H976" s="47">
        <f t="shared" ca="1" si="131"/>
        <v>23129649565197.867</v>
      </c>
      <c r="I976" s="47">
        <f t="shared" ca="1" si="132"/>
        <v>7153053501988.668</v>
      </c>
      <c r="J976" s="47">
        <f t="shared" ca="1" si="133"/>
        <v>1998062668676.1804</v>
      </c>
      <c r="K976" s="48">
        <f t="shared" ca="1" si="134"/>
        <v>3.5799945688029569</v>
      </c>
    </row>
    <row r="977" spans="2:11" ht="15" customHeight="1" x14ac:dyDescent="0.35">
      <c r="B977" s="5">
        <v>956</v>
      </c>
      <c r="C977" s="46">
        <f t="shared" ca="1" si="126"/>
        <v>2.9276456495941336</v>
      </c>
      <c r="D977" s="47">
        <f t="shared" ca="1" si="127"/>
        <v>4059729421.2868261</v>
      </c>
      <c r="E977" s="47">
        <f t="shared" ca="1" si="128"/>
        <v>39668162309006.938</v>
      </c>
      <c r="F977" s="47">
        <f t="shared" ca="1" si="129"/>
        <v>10500184608066.152</v>
      </c>
      <c r="G977" s="47">
        <f t="shared" ca="1" si="130"/>
        <v>4089138088761.0698</v>
      </c>
      <c r="H977" s="47">
        <f t="shared" ca="1" si="131"/>
        <v>4089138088761.0698</v>
      </c>
      <c r="I977" s="47">
        <f t="shared" ca="1" si="132"/>
        <v>35973706404019.242</v>
      </c>
      <c r="J977" s="47">
        <f t="shared" ca="1" si="133"/>
        <v>889728788154.90271</v>
      </c>
      <c r="K977" s="48">
        <f t="shared" ca="1" si="134"/>
        <v>40.432215842560986</v>
      </c>
    </row>
    <row r="978" spans="2:11" ht="15" customHeight="1" x14ac:dyDescent="0.35">
      <c r="B978" s="5">
        <v>957</v>
      </c>
      <c r="C978" s="46">
        <f t="shared" ca="1" si="126"/>
        <v>2.5565889188752364</v>
      </c>
      <c r="D978" s="47">
        <f t="shared" ca="1" si="127"/>
        <v>2282814534.7302194</v>
      </c>
      <c r="E978" s="47">
        <f t="shared" ca="1" si="128"/>
        <v>9317475514333.8398</v>
      </c>
      <c r="F978" s="47">
        <f t="shared" ca="1" si="129"/>
        <v>4511047861580.9639</v>
      </c>
      <c r="G978" s="47">
        <f t="shared" ca="1" si="130"/>
        <v>54035358195736.383</v>
      </c>
      <c r="H978" s="47">
        <f t="shared" ca="1" si="131"/>
        <v>4511047861580.9639</v>
      </c>
      <c r="I978" s="47">
        <f t="shared" ca="1" si="132"/>
        <v>6107797340548.7334</v>
      </c>
      <c r="J978" s="47">
        <f t="shared" ca="1" si="133"/>
        <v>594271530389.16736</v>
      </c>
      <c r="K978" s="48">
        <f t="shared" ca="1" si="134"/>
        <v>10.277788903245884</v>
      </c>
    </row>
    <row r="979" spans="2:11" ht="15" customHeight="1" x14ac:dyDescent="0.35">
      <c r="B979" s="5">
        <v>958</v>
      </c>
      <c r="C979" s="46">
        <f t="shared" ca="1" si="126"/>
        <v>3.176424492610554</v>
      </c>
      <c r="D979" s="47">
        <f t="shared" ca="1" si="127"/>
        <v>6841368073.8353395</v>
      </c>
      <c r="E979" s="47">
        <f t="shared" ca="1" si="128"/>
        <v>12039915607657</v>
      </c>
      <c r="F979" s="47">
        <f t="shared" ca="1" si="129"/>
        <v>27041890521371.309</v>
      </c>
      <c r="G979" s="47">
        <f t="shared" ca="1" si="130"/>
        <v>3112082231988.0513</v>
      </c>
      <c r="H979" s="47">
        <f t="shared" ca="1" si="131"/>
        <v>12039915607657</v>
      </c>
      <c r="I979" s="47">
        <f t="shared" ca="1" si="132"/>
        <v>5251734281891.8789</v>
      </c>
      <c r="J979" s="47">
        <f t="shared" ca="1" si="133"/>
        <v>1551330784013.8733</v>
      </c>
      <c r="K979" s="48">
        <f t="shared" ca="1" si="134"/>
        <v>3.3853091397462487</v>
      </c>
    </row>
    <row r="980" spans="2:11" ht="15" customHeight="1" x14ac:dyDescent="0.35">
      <c r="B980" s="5">
        <v>959</v>
      </c>
      <c r="C980" s="46">
        <f t="shared" ca="1" si="126"/>
        <v>3.4544531804991787</v>
      </c>
      <c r="D980" s="47">
        <f t="shared" ca="1" si="127"/>
        <v>10383506082.12595</v>
      </c>
      <c r="E980" s="47">
        <f t="shared" ca="1" si="128"/>
        <v>143222932574137.28</v>
      </c>
      <c r="F980" s="47">
        <f t="shared" ca="1" si="129"/>
        <v>441765268576.03381</v>
      </c>
      <c r="G980" s="47">
        <f t="shared" ca="1" si="130"/>
        <v>8480010381108.3027</v>
      </c>
      <c r="H980" s="47">
        <f t="shared" ca="1" si="131"/>
        <v>143222932574137.28</v>
      </c>
      <c r="I980" s="47">
        <f t="shared" ca="1" si="132"/>
        <v>2554306301933.2573</v>
      </c>
      <c r="J980" s="47">
        <f t="shared" ca="1" si="133"/>
        <v>2250901395624.2134</v>
      </c>
      <c r="K980" s="48">
        <f t="shared" ca="1" si="134"/>
        <v>1.1347926243676723</v>
      </c>
    </row>
    <row r="981" spans="2:11" ht="15" customHeight="1" x14ac:dyDescent="0.35">
      <c r="B981" s="5">
        <v>960</v>
      </c>
      <c r="C981" s="46">
        <f t="shared" ca="1" si="126"/>
        <v>2.7424068653429665</v>
      </c>
      <c r="D981" s="47">
        <f t="shared" ca="1" si="127"/>
        <v>3104593147.6770744</v>
      </c>
      <c r="E981" s="47">
        <f t="shared" ca="1" si="128"/>
        <v>4892529456963.1748</v>
      </c>
      <c r="F981" s="47">
        <f t="shared" ca="1" si="129"/>
        <v>21569009999004.277</v>
      </c>
      <c r="G981" s="47">
        <f t="shared" ca="1" si="130"/>
        <v>10225128199858.447</v>
      </c>
      <c r="H981" s="47">
        <f t="shared" ca="1" si="131"/>
        <v>4892529456963.1748</v>
      </c>
      <c r="I981" s="47">
        <f t="shared" ca="1" si="132"/>
        <v>7910334729454.3564</v>
      </c>
      <c r="J981" s="47">
        <f t="shared" ca="1" si="133"/>
        <v>2532537607634.2539</v>
      </c>
      <c r="K981" s="48">
        <f t="shared" ca="1" si="134"/>
        <v>3.1234816437113921</v>
      </c>
    </row>
    <row r="982" spans="2:11" ht="15" customHeight="1" x14ac:dyDescent="0.35">
      <c r="B982" s="5">
        <v>961</v>
      </c>
      <c r="C982" s="46">
        <f t="shared" ref="C982:C1045" ca="1" si="135">MEDIAN(1.8,NORMINV(RAND(),$C$7,$D$7),4.5)</f>
        <v>2.8207488533468608</v>
      </c>
      <c r="D982" s="47">
        <f t="shared" ref="D982:D1045" ca="1" si="136">($C$8+RAND()*($D$8-$C$8))*C982^5</f>
        <v>3631219865.6524172</v>
      </c>
      <c r="E982" s="47">
        <f t="shared" ref="E982:E1045" ca="1" si="137">D982*($C$10+RAND()*($D$10-$C$10))*EXP(NORMINV(RAND(),$C$9,$D$9))*($C$11+RAND()*($D$11-$C$11))</f>
        <v>33923226705517.605</v>
      </c>
      <c r="F982" s="47">
        <f t="shared" ref="F982:F1045" ca="1" si="138">EXP(NORMINV(RAND(),$C$12,$D$12))*EXP(NORMINV(RAND(),$C$13,$D$13))</f>
        <v>7653213960314.4082</v>
      </c>
      <c r="G982" s="47">
        <f t="shared" ref="G982:G1045" ca="1" si="139">EXP(NORMINV(RAND(),$C$14,$D$14))*($C$15+RAND()*($D$15-$C$15))*EXP(NORMINV(RAND(),$C$16,$D$16))/1000000*31536000</f>
        <v>24894681259821.613</v>
      </c>
      <c r="H982" s="47">
        <f t="shared" ref="H982:H1045" ca="1" si="140">CHOOSE(RANDBETWEEN(1,3),E982,F982,G982)</f>
        <v>7653213960314.4082</v>
      </c>
      <c r="I982" s="47">
        <f t="shared" ref="I982:I1045" ca="1" si="141">EXP(NORMINV(RAND(),$C$14,$D$14))*($C$15+RAND()*($D$15-$C$15))*60</f>
        <v>11278525389035.686</v>
      </c>
      <c r="J982" s="47">
        <f t="shared" ref="J982:J1045" ca="1" si="142">($C$17+RAND()*($D$17-$C$17))*($C$18+RAND()*($D$18-$C$18))</f>
        <v>1599240336374.6409</v>
      </c>
      <c r="K982" s="48">
        <f t="shared" ref="K982:K1045" ca="1" si="143">I982/J982</f>
        <v>7.0524267882107488</v>
      </c>
    </row>
    <row r="983" spans="2:11" ht="15" customHeight="1" x14ac:dyDescent="0.35">
      <c r="B983" s="5">
        <v>962</v>
      </c>
      <c r="C983" s="46">
        <f t="shared" ca="1" si="135"/>
        <v>2.8272687427775871</v>
      </c>
      <c r="D983" s="47">
        <f t="shared" ca="1" si="136"/>
        <v>3414099595.3648677</v>
      </c>
      <c r="E983" s="47">
        <f t="shared" ca="1" si="137"/>
        <v>16698794300139.188</v>
      </c>
      <c r="F983" s="47">
        <f t="shared" ca="1" si="138"/>
        <v>6058639385105.7168</v>
      </c>
      <c r="G983" s="47">
        <f t="shared" ca="1" si="139"/>
        <v>4580874834792.2373</v>
      </c>
      <c r="H983" s="47">
        <f t="shared" ca="1" si="140"/>
        <v>4580874834792.2373</v>
      </c>
      <c r="I983" s="47">
        <f t="shared" ca="1" si="141"/>
        <v>12694269318986.271</v>
      </c>
      <c r="J983" s="47">
        <f t="shared" ca="1" si="142"/>
        <v>1720789808677.3552</v>
      </c>
      <c r="K983" s="48">
        <f t="shared" ca="1" si="143"/>
        <v>7.3770016854896552</v>
      </c>
    </row>
    <row r="984" spans="2:11" ht="15" customHeight="1" x14ac:dyDescent="0.35">
      <c r="B984" s="5">
        <v>963</v>
      </c>
      <c r="C984" s="46">
        <f t="shared" ca="1" si="135"/>
        <v>2.7364634682357423</v>
      </c>
      <c r="D984" s="47">
        <f t="shared" ca="1" si="136"/>
        <v>2744925052.4670587</v>
      </c>
      <c r="E984" s="47">
        <f t="shared" ca="1" si="137"/>
        <v>12731840242979.244</v>
      </c>
      <c r="F984" s="47">
        <f t="shared" ca="1" si="138"/>
        <v>41194532398245.234</v>
      </c>
      <c r="G984" s="47">
        <f t="shared" ca="1" si="139"/>
        <v>83149769122115.141</v>
      </c>
      <c r="H984" s="47">
        <f t="shared" ca="1" si="140"/>
        <v>12731840242979.244</v>
      </c>
      <c r="I984" s="47">
        <f t="shared" ca="1" si="141"/>
        <v>850280902226.87439</v>
      </c>
      <c r="J984" s="47">
        <f t="shared" ca="1" si="142"/>
        <v>974032632259.79041</v>
      </c>
      <c r="K984" s="48">
        <f t="shared" ca="1" si="143"/>
        <v>0.87294909232578011</v>
      </c>
    </row>
    <row r="985" spans="2:11" ht="15" customHeight="1" x14ac:dyDescent="0.35">
      <c r="B985" s="5">
        <v>964</v>
      </c>
      <c r="C985" s="46">
        <f t="shared" ca="1" si="135"/>
        <v>2.7167034300680086</v>
      </c>
      <c r="D985" s="47">
        <f t="shared" ca="1" si="136"/>
        <v>3183460145.3151646</v>
      </c>
      <c r="E985" s="47">
        <f t="shared" ca="1" si="137"/>
        <v>7888371380648.3545</v>
      </c>
      <c r="F985" s="47">
        <f t="shared" ca="1" si="138"/>
        <v>1968932480808.699</v>
      </c>
      <c r="G985" s="47">
        <f t="shared" ca="1" si="139"/>
        <v>7192852693462.8398</v>
      </c>
      <c r="H985" s="47">
        <f t="shared" ca="1" si="140"/>
        <v>1968932480808.699</v>
      </c>
      <c r="I985" s="47">
        <f t="shared" ca="1" si="141"/>
        <v>19462264456582.781</v>
      </c>
      <c r="J985" s="47">
        <f t="shared" ca="1" si="142"/>
        <v>1829407699079.292</v>
      </c>
      <c r="K985" s="48">
        <f t="shared" ca="1" si="143"/>
        <v>10.638560484017745</v>
      </c>
    </row>
    <row r="986" spans="2:11" ht="15" customHeight="1" x14ac:dyDescent="0.35">
      <c r="B986" s="5">
        <v>965</v>
      </c>
      <c r="C986" s="46">
        <f t="shared" ca="1" si="135"/>
        <v>2.8966558496819017</v>
      </c>
      <c r="D986" s="47">
        <f t="shared" ca="1" si="136"/>
        <v>3776466437.9767318</v>
      </c>
      <c r="E986" s="47">
        <f t="shared" ca="1" si="137"/>
        <v>2988366118979.9771</v>
      </c>
      <c r="F986" s="47">
        <f t="shared" ca="1" si="138"/>
        <v>4248455327890.3511</v>
      </c>
      <c r="G986" s="47">
        <f t="shared" ca="1" si="139"/>
        <v>3864159756192.4463</v>
      </c>
      <c r="H986" s="47">
        <f t="shared" ca="1" si="140"/>
        <v>4248455327890.3511</v>
      </c>
      <c r="I986" s="47">
        <f t="shared" ca="1" si="141"/>
        <v>12515801112723.604</v>
      </c>
      <c r="J986" s="47">
        <f t="shared" ca="1" si="142"/>
        <v>2122299969502.5125</v>
      </c>
      <c r="K986" s="48">
        <f t="shared" ca="1" si="143"/>
        <v>5.8972818605173085</v>
      </c>
    </row>
    <row r="987" spans="2:11" ht="15" customHeight="1" x14ac:dyDescent="0.35">
      <c r="B987" s="5">
        <v>966</v>
      </c>
      <c r="C987" s="46">
        <f t="shared" ca="1" si="135"/>
        <v>2.7674596662425426</v>
      </c>
      <c r="D987" s="47">
        <f t="shared" ca="1" si="136"/>
        <v>3159709441.5702868</v>
      </c>
      <c r="E987" s="47">
        <f t="shared" ca="1" si="137"/>
        <v>6886461582321.8291</v>
      </c>
      <c r="F987" s="47">
        <f t="shared" ca="1" si="138"/>
        <v>1863909599607.1809</v>
      </c>
      <c r="G987" s="47">
        <f t="shared" ca="1" si="139"/>
        <v>12849077361213.594</v>
      </c>
      <c r="H987" s="47">
        <f t="shared" ca="1" si="140"/>
        <v>12849077361213.594</v>
      </c>
      <c r="I987" s="47">
        <f t="shared" ca="1" si="141"/>
        <v>19989962410510.418</v>
      </c>
      <c r="J987" s="47">
        <f t="shared" ca="1" si="142"/>
        <v>2490837009695.8262</v>
      </c>
      <c r="K987" s="48">
        <f t="shared" ca="1" si="143"/>
        <v>8.0253996277948083</v>
      </c>
    </row>
    <row r="988" spans="2:11" ht="15" customHeight="1" x14ac:dyDescent="0.35">
      <c r="B988" s="5">
        <v>967</v>
      </c>
      <c r="C988" s="46">
        <f t="shared" ca="1" si="135"/>
        <v>3.3430823197373143</v>
      </c>
      <c r="D988" s="47">
        <f t="shared" ca="1" si="136"/>
        <v>9121592018.9837894</v>
      </c>
      <c r="E988" s="47">
        <f t="shared" ca="1" si="137"/>
        <v>26787110938910.32</v>
      </c>
      <c r="F988" s="47">
        <f t="shared" ca="1" si="138"/>
        <v>2476256913002.1924</v>
      </c>
      <c r="G988" s="47">
        <f t="shared" ca="1" si="139"/>
        <v>724585031729.54346</v>
      </c>
      <c r="H988" s="47">
        <f t="shared" ca="1" si="140"/>
        <v>2476256913002.1924</v>
      </c>
      <c r="I988" s="47">
        <f t="shared" ca="1" si="141"/>
        <v>197757543592872.78</v>
      </c>
      <c r="J988" s="47">
        <f t="shared" ca="1" si="142"/>
        <v>1591989612075.5083</v>
      </c>
      <c r="K988" s="48">
        <f t="shared" ca="1" si="143"/>
        <v>124.22037310598552</v>
      </c>
    </row>
    <row r="989" spans="2:11" ht="15" customHeight="1" x14ac:dyDescent="0.35">
      <c r="B989" s="5">
        <v>968</v>
      </c>
      <c r="C989" s="46">
        <f t="shared" ca="1" si="135"/>
        <v>3.1634264596634742</v>
      </c>
      <c r="D989" s="47">
        <f t="shared" ca="1" si="136"/>
        <v>5187444739.5519104</v>
      </c>
      <c r="E989" s="47">
        <f t="shared" ca="1" si="137"/>
        <v>11103804417646.584</v>
      </c>
      <c r="F989" s="47">
        <f t="shared" ca="1" si="138"/>
        <v>1370523298408.2334</v>
      </c>
      <c r="G989" s="47">
        <f t="shared" ca="1" si="139"/>
        <v>911924001495.31714</v>
      </c>
      <c r="H989" s="47">
        <f t="shared" ca="1" si="140"/>
        <v>11103804417646.584</v>
      </c>
      <c r="I989" s="47">
        <f t="shared" ca="1" si="141"/>
        <v>18977171819792.938</v>
      </c>
      <c r="J989" s="47">
        <f t="shared" ca="1" si="142"/>
        <v>1101358335259.6533</v>
      </c>
      <c r="K989" s="48">
        <f t="shared" ca="1" si="143"/>
        <v>17.230697051308855</v>
      </c>
    </row>
    <row r="990" spans="2:11" ht="15" customHeight="1" x14ac:dyDescent="0.35">
      <c r="B990" s="5">
        <v>969</v>
      </c>
      <c r="C990" s="46">
        <f t="shared" ca="1" si="135"/>
        <v>3.0605922068876237</v>
      </c>
      <c r="D990" s="47">
        <f t="shared" ca="1" si="136"/>
        <v>6010318898.0635567</v>
      </c>
      <c r="E990" s="47">
        <f t="shared" ca="1" si="137"/>
        <v>26620948232561.855</v>
      </c>
      <c r="F990" s="47">
        <f t="shared" ca="1" si="138"/>
        <v>3741996293485.5898</v>
      </c>
      <c r="G990" s="47">
        <f t="shared" ca="1" si="139"/>
        <v>5149997505287.0254</v>
      </c>
      <c r="H990" s="47">
        <f t="shared" ca="1" si="140"/>
        <v>5149997505287.0254</v>
      </c>
      <c r="I990" s="47">
        <f t="shared" ca="1" si="141"/>
        <v>131744034221447.14</v>
      </c>
      <c r="J990" s="47">
        <f t="shared" ca="1" si="142"/>
        <v>528623986535.33899</v>
      </c>
      <c r="K990" s="48">
        <f t="shared" ca="1" si="143"/>
        <v>249.22068914222442</v>
      </c>
    </row>
    <row r="991" spans="2:11" ht="15" customHeight="1" x14ac:dyDescent="0.35">
      <c r="B991" s="5">
        <v>970</v>
      </c>
      <c r="C991" s="46">
        <f t="shared" ca="1" si="135"/>
        <v>2.113119792926109</v>
      </c>
      <c r="D991" s="47">
        <f t="shared" ca="1" si="136"/>
        <v>749389597.97286475</v>
      </c>
      <c r="E991" s="47">
        <f t="shared" ca="1" si="137"/>
        <v>1458565289015.781</v>
      </c>
      <c r="F991" s="47">
        <f t="shared" ca="1" si="138"/>
        <v>12258795299557.506</v>
      </c>
      <c r="G991" s="47">
        <f t="shared" ca="1" si="139"/>
        <v>2135984618010.3613</v>
      </c>
      <c r="H991" s="47">
        <f t="shared" ca="1" si="140"/>
        <v>12258795299557.506</v>
      </c>
      <c r="I991" s="47">
        <f t="shared" ca="1" si="141"/>
        <v>98196870962294.422</v>
      </c>
      <c r="J991" s="47">
        <f t="shared" ca="1" si="142"/>
        <v>1029724785590.9884</v>
      </c>
      <c r="K991" s="48">
        <f t="shared" ca="1" si="143"/>
        <v>95.362248570074414</v>
      </c>
    </row>
    <row r="992" spans="2:11" ht="15" customHeight="1" x14ac:dyDescent="0.35">
      <c r="B992" s="5">
        <v>971</v>
      </c>
      <c r="C992" s="46">
        <f t="shared" ca="1" si="135"/>
        <v>2.9076109837112467</v>
      </c>
      <c r="D992" s="47">
        <f t="shared" ca="1" si="136"/>
        <v>3647455985.0119882</v>
      </c>
      <c r="E992" s="47">
        <f t="shared" ca="1" si="137"/>
        <v>10059217786135.035</v>
      </c>
      <c r="F992" s="47">
        <f t="shared" ca="1" si="138"/>
        <v>7185399405648.6523</v>
      </c>
      <c r="G992" s="47">
        <f t="shared" ca="1" si="139"/>
        <v>10657645210537.646</v>
      </c>
      <c r="H992" s="47">
        <f t="shared" ca="1" si="140"/>
        <v>10657645210537.646</v>
      </c>
      <c r="I992" s="47">
        <f t="shared" ca="1" si="141"/>
        <v>4770014978595.6191</v>
      </c>
      <c r="J992" s="47">
        <f t="shared" ca="1" si="142"/>
        <v>628159172244.2218</v>
      </c>
      <c r="K992" s="48">
        <f t="shared" ca="1" si="143"/>
        <v>7.5936405760880721</v>
      </c>
    </row>
    <row r="993" spans="2:11" ht="15" customHeight="1" x14ac:dyDescent="0.35">
      <c r="B993" s="5">
        <v>972</v>
      </c>
      <c r="C993" s="46">
        <f t="shared" ca="1" si="135"/>
        <v>3.0172831693843327</v>
      </c>
      <c r="D993" s="47">
        <f t="shared" ca="1" si="136"/>
        <v>4557572122.3369875</v>
      </c>
      <c r="E993" s="47">
        <f t="shared" ca="1" si="137"/>
        <v>14529041305207.965</v>
      </c>
      <c r="F993" s="47">
        <f t="shared" ca="1" si="138"/>
        <v>1268878617488.7891</v>
      </c>
      <c r="G993" s="47">
        <f t="shared" ca="1" si="139"/>
        <v>1924508019098.8359</v>
      </c>
      <c r="H993" s="47">
        <f t="shared" ca="1" si="140"/>
        <v>1268878617488.7891</v>
      </c>
      <c r="I993" s="47">
        <f t="shared" ca="1" si="141"/>
        <v>1286750069611.9976</v>
      </c>
      <c r="J993" s="47">
        <f t="shared" ca="1" si="142"/>
        <v>695692237898.75562</v>
      </c>
      <c r="K993" s="48">
        <f t="shared" ca="1" si="143"/>
        <v>1.8495967031319083</v>
      </c>
    </row>
    <row r="994" spans="2:11" ht="15" customHeight="1" x14ac:dyDescent="0.35">
      <c r="B994" s="5">
        <v>973</v>
      </c>
      <c r="C994" s="46">
        <f t="shared" ca="1" si="135"/>
        <v>3.3909178130449975</v>
      </c>
      <c r="D994" s="47">
        <f t="shared" ca="1" si="136"/>
        <v>7445110613.0055037</v>
      </c>
      <c r="E994" s="47">
        <f t="shared" ca="1" si="137"/>
        <v>22157590509092.664</v>
      </c>
      <c r="F994" s="47">
        <f t="shared" ca="1" si="138"/>
        <v>2569346434624.4023</v>
      </c>
      <c r="G994" s="47">
        <f t="shared" ca="1" si="139"/>
        <v>672916168190.92285</v>
      </c>
      <c r="H994" s="47">
        <f t="shared" ca="1" si="140"/>
        <v>22157590509092.664</v>
      </c>
      <c r="I994" s="47">
        <f t="shared" ca="1" si="141"/>
        <v>5117017461781.4678</v>
      </c>
      <c r="J994" s="47">
        <f t="shared" ca="1" si="142"/>
        <v>431603165822.51941</v>
      </c>
      <c r="K994" s="48">
        <f t="shared" ca="1" si="143"/>
        <v>11.855838573449317</v>
      </c>
    </row>
    <row r="995" spans="2:11" ht="15" customHeight="1" x14ac:dyDescent="0.35">
      <c r="B995" s="5">
        <v>974</v>
      </c>
      <c r="C995" s="46">
        <f t="shared" ca="1" si="135"/>
        <v>3.1961599302545634</v>
      </c>
      <c r="D995" s="47">
        <f t="shared" ca="1" si="136"/>
        <v>5581325481.8284807</v>
      </c>
      <c r="E995" s="47">
        <f t="shared" ca="1" si="137"/>
        <v>21571884200854.051</v>
      </c>
      <c r="F995" s="47">
        <f t="shared" ca="1" si="138"/>
        <v>926949676319.91956</v>
      </c>
      <c r="G995" s="47">
        <f t="shared" ca="1" si="139"/>
        <v>19065697461856.387</v>
      </c>
      <c r="H995" s="47">
        <f t="shared" ca="1" si="140"/>
        <v>926949676319.91956</v>
      </c>
      <c r="I995" s="47">
        <f t="shared" ca="1" si="141"/>
        <v>2303619098249.8359</v>
      </c>
      <c r="J995" s="47">
        <f t="shared" ca="1" si="142"/>
        <v>1115647714374.8843</v>
      </c>
      <c r="K995" s="48">
        <f t="shared" ca="1" si="143"/>
        <v>2.0648266191631932</v>
      </c>
    </row>
    <row r="996" spans="2:11" ht="15" customHeight="1" x14ac:dyDescent="0.35">
      <c r="B996" s="5">
        <v>975</v>
      </c>
      <c r="C996" s="46">
        <f t="shared" ca="1" si="135"/>
        <v>3.2196326191987592</v>
      </c>
      <c r="D996" s="47">
        <f t="shared" ca="1" si="136"/>
        <v>7385359652.7961025</v>
      </c>
      <c r="E996" s="47">
        <f t="shared" ca="1" si="137"/>
        <v>18569822679981.074</v>
      </c>
      <c r="F996" s="47">
        <f t="shared" ca="1" si="138"/>
        <v>1285295969780.6262</v>
      </c>
      <c r="G996" s="47">
        <f t="shared" ca="1" si="139"/>
        <v>8644736042837.999</v>
      </c>
      <c r="H996" s="47">
        <f t="shared" ca="1" si="140"/>
        <v>8644736042837.999</v>
      </c>
      <c r="I996" s="47">
        <f t="shared" ca="1" si="141"/>
        <v>768500337284.35718</v>
      </c>
      <c r="J996" s="47">
        <f t="shared" ca="1" si="142"/>
        <v>1262411971986.1028</v>
      </c>
      <c r="K996" s="48">
        <f t="shared" ca="1" si="143"/>
        <v>0.60875558402326146</v>
      </c>
    </row>
    <row r="997" spans="2:11" ht="15" customHeight="1" x14ac:dyDescent="0.35">
      <c r="B997" s="5">
        <v>976</v>
      </c>
      <c r="C997" s="46">
        <f t="shared" ca="1" si="135"/>
        <v>2.4583806515354256</v>
      </c>
      <c r="D997" s="47">
        <f t="shared" ca="1" si="136"/>
        <v>1563327175.2260988</v>
      </c>
      <c r="E997" s="47">
        <f t="shared" ca="1" si="137"/>
        <v>9588470799903.8105</v>
      </c>
      <c r="F997" s="47">
        <f t="shared" ca="1" si="138"/>
        <v>895221711891.42847</v>
      </c>
      <c r="G997" s="47">
        <f t="shared" ca="1" si="139"/>
        <v>3030328555576.1021</v>
      </c>
      <c r="H997" s="47">
        <f t="shared" ca="1" si="140"/>
        <v>9588470799903.8105</v>
      </c>
      <c r="I997" s="47">
        <f t="shared" ca="1" si="141"/>
        <v>22475272853934.891</v>
      </c>
      <c r="J997" s="47">
        <f t="shared" ca="1" si="142"/>
        <v>1433210503456.3513</v>
      </c>
      <c r="K997" s="48">
        <f t="shared" ca="1" si="143"/>
        <v>15.681766774478135</v>
      </c>
    </row>
    <row r="998" spans="2:11" ht="15" customHeight="1" x14ac:dyDescent="0.35">
      <c r="B998" s="5">
        <v>977</v>
      </c>
      <c r="C998" s="46">
        <f t="shared" ca="1" si="135"/>
        <v>3.5360812467669813</v>
      </c>
      <c r="D998" s="47">
        <f t="shared" ca="1" si="136"/>
        <v>10270141301.992704</v>
      </c>
      <c r="E998" s="47">
        <f t="shared" ca="1" si="137"/>
        <v>63687072402035.336</v>
      </c>
      <c r="F998" s="47">
        <f t="shared" ca="1" si="138"/>
        <v>7084551327323.5732</v>
      </c>
      <c r="G998" s="47">
        <f t="shared" ca="1" si="139"/>
        <v>52704451658187.039</v>
      </c>
      <c r="H998" s="47">
        <f t="shared" ca="1" si="140"/>
        <v>63687072402035.336</v>
      </c>
      <c r="I998" s="47">
        <f t="shared" ca="1" si="141"/>
        <v>1283094721023.373</v>
      </c>
      <c r="J998" s="47">
        <f t="shared" ca="1" si="142"/>
        <v>762861591086.56702</v>
      </c>
      <c r="K998" s="48">
        <f t="shared" ca="1" si="143"/>
        <v>1.6819495646593272</v>
      </c>
    </row>
    <row r="999" spans="2:11" ht="15" customHeight="1" x14ac:dyDescent="0.35">
      <c r="B999" s="5">
        <v>978</v>
      </c>
      <c r="C999" s="46">
        <f t="shared" ca="1" si="135"/>
        <v>4.0794780914900564</v>
      </c>
      <c r="D999" s="47">
        <f t="shared" ca="1" si="136"/>
        <v>24665561353.753391</v>
      </c>
      <c r="E999" s="47">
        <f t="shared" ca="1" si="137"/>
        <v>271213333173382.19</v>
      </c>
      <c r="F999" s="47">
        <f t="shared" ca="1" si="138"/>
        <v>2736321907490.8496</v>
      </c>
      <c r="G999" s="47">
        <f t="shared" ca="1" si="139"/>
        <v>4298638080675.6968</v>
      </c>
      <c r="H999" s="47">
        <f t="shared" ca="1" si="140"/>
        <v>2736321907490.8496</v>
      </c>
      <c r="I999" s="47">
        <f t="shared" ca="1" si="141"/>
        <v>6213107341447.9346</v>
      </c>
      <c r="J999" s="47">
        <f t="shared" ca="1" si="142"/>
        <v>1958278196076.8162</v>
      </c>
      <c r="K999" s="48">
        <f t="shared" ca="1" si="143"/>
        <v>3.1727398864447229</v>
      </c>
    </row>
    <row r="1000" spans="2:11" ht="15" customHeight="1" x14ac:dyDescent="0.35">
      <c r="B1000" s="5">
        <v>979</v>
      </c>
      <c r="C1000" s="46">
        <f t="shared" ca="1" si="135"/>
        <v>3.1139000342244967</v>
      </c>
      <c r="D1000" s="47">
        <f t="shared" ca="1" si="136"/>
        <v>4969979701.0002289</v>
      </c>
      <c r="E1000" s="47">
        <f t="shared" ca="1" si="137"/>
        <v>8648599700613.084</v>
      </c>
      <c r="F1000" s="47">
        <f t="shared" ca="1" si="138"/>
        <v>2878974036933.7002</v>
      </c>
      <c r="G1000" s="47">
        <f t="shared" ca="1" si="139"/>
        <v>7824535975287.374</v>
      </c>
      <c r="H1000" s="47">
        <f t="shared" ca="1" si="140"/>
        <v>8648599700613.084</v>
      </c>
      <c r="I1000" s="47">
        <f t="shared" ca="1" si="141"/>
        <v>2056193846211.2004</v>
      </c>
      <c r="J1000" s="47">
        <f t="shared" ca="1" si="142"/>
        <v>999089334463.4281</v>
      </c>
      <c r="K1000" s="48">
        <f t="shared" ca="1" si="143"/>
        <v>2.0580680578634163</v>
      </c>
    </row>
    <row r="1001" spans="2:11" ht="15" customHeight="1" x14ac:dyDescent="0.35">
      <c r="B1001" s="5">
        <v>980</v>
      </c>
      <c r="C1001" s="46">
        <f t="shared" ca="1" si="135"/>
        <v>2.7862007502330202</v>
      </c>
      <c r="D1001" s="47">
        <f t="shared" ca="1" si="136"/>
        <v>3968214273.4317765</v>
      </c>
      <c r="E1001" s="47">
        <f t="shared" ca="1" si="137"/>
        <v>6316334313193.041</v>
      </c>
      <c r="F1001" s="47">
        <f t="shared" ca="1" si="138"/>
        <v>6804303371275.7031</v>
      </c>
      <c r="G1001" s="47">
        <f t="shared" ca="1" si="139"/>
        <v>1239314467107.0542</v>
      </c>
      <c r="H1001" s="47">
        <f t="shared" ca="1" si="140"/>
        <v>6316334313193.041</v>
      </c>
      <c r="I1001" s="47">
        <f t="shared" ca="1" si="141"/>
        <v>8996165754915.2383</v>
      </c>
      <c r="J1001" s="47">
        <f t="shared" ca="1" si="142"/>
        <v>587030828470.01648</v>
      </c>
      <c r="K1001" s="48">
        <f t="shared" ca="1" si="143"/>
        <v>15.324860839697333</v>
      </c>
    </row>
    <row r="1002" spans="2:11" ht="15" customHeight="1" x14ac:dyDescent="0.35">
      <c r="B1002" s="5">
        <v>981</v>
      </c>
      <c r="C1002" s="46">
        <f t="shared" ca="1" si="135"/>
        <v>2.6934855891325813</v>
      </c>
      <c r="D1002" s="47">
        <f t="shared" ca="1" si="136"/>
        <v>3345999398.7061725</v>
      </c>
      <c r="E1002" s="47">
        <f t="shared" ca="1" si="137"/>
        <v>3998937067124.4004</v>
      </c>
      <c r="F1002" s="47">
        <f t="shared" ca="1" si="138"/>
        <v>1950093676693.6873</v>
      </c>
      <c r="G1002" s="47">
        <f t="shared" ca="1" si="139"/>
        <v>4023082220512.6704</v>
      </c>
      <c r="H1002" s="47">
        <f t="shared" ca="1" si="140"/>
        <v>1950093676693.6873</v>
      </c>
      <c r="I1002" s="47">
        <f t="shared" ca="1" si="141"/>
        <v>7766415185964.8682</v>
      </c>
      <c r="J1002" s="47">
        <f t="shared" ca="1" si="142"/>
        <v>1731670118680.8425</v>
      </c>
      <c r="K1002" s="48">
        <f t="shared" ca="1" si="143"/>
        <v>4.4849276442335295</v>
      </c>
    </row>
    <row r="1003" spans="2:11" ht="15" customHeight="1" x14ac:dyDescent="0.35">
      <c r="B1003" s="5">
        <v>982</v>
      </c>
      <c r="C1003" s="46">
        <f t="shared" ca="1" si="135"/>
        <v>3.2288837143130844</v>
      </c>
      <c r="D1003" s="47">
        <f t="shared" ca="1" si="136"/>
        <v>7777352936.4008083</v>
      </c>
      <c r="E1003" s="47">
        <f t="shared" ca="1" si="137"/>
        <v>40289750076126.055</v>
      </c>
      <c r="F1003" s="47">
        <f t="shared" ca="1" si="138"/>
        <v>3218899116359.7075</v>
      </c>
      <c r="G1003" s="47">
        <f t="shared" ca="1" si="139"/>
        <v>11737161857557.301</v>
      </c>
      <c r="H1003" s="47">
        <f t="shared" ca="1" si="140"/>
        <v>3218899116359.7075</v>
      </c>
      <c r="I1003" s="47">
        <f t="shared" ca="1" si="141"/>
        <v>6735816311697.2861</v>
      </c>
      <c r="J1003" s="47">
        <f t="shared" ca="1" si="142"/>
        <v>1056549986700.8649</v>
      </c>
      <c r="K1003" s="48">
        <f t="shared" ca="1" si="143"/>
        <v>6.375293546432423</v>
      </c>
    </row>
    <row r="1004" spans="2:11" ht="15" customHeight="1" x14ac:dyDescent="0.35">
      <c r="B1004" s="5">
        <v>983</v>
      </c>
      <c r="C1004" s="46">
        <f t="shared" ca="1" si="135"/>
        <v>2.7066873021545432</v>
      </c>
      <c r="D1004" s="47">
        <f t="shared" ca="1" si="136"/>
        <v>3055119752.2013698</v>
      </c>
      <c r="E1004" s="47">
        <f t="shared" ca="1" si="137"/>
        <v>10000529119654.299</v>
      </c>
      <c r="F1004" s="47">
        <f t="shared" ca="1" si="138"/>
        <v>2305071147543.8423</v>
      </c>
      <c r="G1004" s="47">
        <f t="shared" ca="1" si="139"/>
        <v>867476231288.41296</v>
      </c>
      <c r="H1004" s="47">
        <f t="shared" ca="1" si="140"/>
        <v>867476231288.41296</v>
      </c>
      <c r="I1004" s="47">
        <f t="shared" ca="1" si="141"/>
        <v>26800200888744.477</v>
      </c>
      <c r="J1004" s="47">
        <f t="shared" ca="1" si="142"/>
        <v>1126102078945.6765</v>
      </c>
      <c r="K1004" s="48">
        <f t="shared" ca="1" si="143"/>
        <v>23.799086592430779</v>
      </c>
    </row>
    <row r="1005" spans="2:11" ht="15" customHeight="1" x14ac:dyDescent="0.35">
      <c r="B1005" s="5">
        <v>984</v>
      </c>
      <c r="C1005" s="46">
        <f t="shared" ca="1" si="135"/>
        <v>3.8791843896420195</v>
      </c>
      <c r="D1005" s="47">
        <f t="shared" ca="1" si="136"/>
        <v>15212420286.342257</v>
      </c>
      <c r="E1005" s="47">
        <f t="shared" ca="1" si="137"/>
        <v>85163040355655.313</v>
      </c>
      <c r="F1005" s="47">
        <f t="shared" ca="1" si="138"/>
        <v>3526777421898.6479</v>
      </c>
      <c r="G1005" s="47">
        <f t="shared" ca="1" si="139"/>
        <v>11125015226585.1</v>
      </c>
      <c r="H1005" s="47">
        <f t="shared" ca="1" si="140"/>
        <v>3526777421898.6479</v>
      </c>
      <c r="I1005" s="47">
        <f t="shared" ca="1" si="141"/>
        <v>34509949083381.898</v>
      </c>
      <c r="J1005" s="47">
        <f t="shared" ca="1" si="142"/>
        <v>1079582913623.792</v>
      </c>
      <c r="K1005" s="48">
        <f t="shared" ca="1" si="143"/>
        <v>31.966001543636661</v>
      </c>
    </row>
    <row r="1006" spans="2:11" ht="15" customHeight="1" x14ac:dyDescent="0.35">
      <c r="B1006" s="5">
        <v>985</v>
      </c>
      <c r="C1006" s="46">
        <f t="shared" ca="1" si="135"/>
        <v>3.2603885820190373</v>
      </c>
      <c r="D1006" s="47">
        <f t="shared" ca="1" si="136"/>
        <v>6184360606.3035898</v>
      </c>
      <c r="E1006" s="47">
        <f t="shared" ca="1" si="137"/>
        <v>72593657792930.859</v>
      </c>
      <c r="F1006" s="47">
        <f t="shared" ca="1" si="138"/>
        <v>7987762048022.2715</v>
      </c>
      <c r="G1006" s="47">
        <f t="shared" ca="1" si="139"/>
        <v>1237951434399.4016</v>
      </c>
      <c r="H1006" s="47">
        <f t="shared" ca="1" si="140"/>
        <v>7987762048022.2715</v>
      </c>
      <c r="I1006" s="47">
        <f t="shared" ca="1" si="141"/>
        <v>42071754832701.352</v>
      </c>
      <c r="J1006" s="47">
        <f t="shared" ca="1" si="142"/>
        <v>2071436297165.2373</v>
      </c>
      <c r="K1006" s="48">
        <f t="shared" ca="1" si="143"/>
        <v>20.310426581921245</v>
      </c>
    </row>
    <row r="1007" spans="2:11" ht="15" customHeight="1" x14ac:dyDescent="0.35">
      <c r="B1007" s="5">
        <v>986</v>
      </c>
      <c r="C1007" s="46">
        <f t="shared" ca="1" si="135"/>
        <v>3.3207663748791263</v>
      </c>
      <c r="D1007" s="47">
        <f t="shared" ca="1" si="136"/>
        <v>9229290889.2795429</v>
      </c>
      <c r="E1007" s="47">
        <f t="shared" ca="1" si="137"/>
        <v>36005167310101.273</v>
      </c>
      <c r="F1007" s="47">
        <f t="shared" ca="1" si="138"/>
        <v>634707936212.60388</v>
      </c>
      <c r="G1007" s="47">
        <f t="shared" ca="1" si="139"/>
        <v>899959559746.05237</v>
      </c>
      <c r="H1007" s="47">
        <f t="shared" ca="1" si="140"/>
        <v>899959559746.05237</v>
      </c>
      <c r="I1007" s="47">
        <f t="shared" ca="1" si="141"/>
        <v>3473947138478.9194</v>
      </c>
      <c r="J1007" s="47">
        <f t="shared" ca="1" si="142"/>
        <v>1658635775965.4229</v>
      </c>
      <c r="K1007" s="48">
        <f t="shared" ca="1" si="143"/>
        <v>2.0944605131629213</v>
      </c>
    </row>
    <row r="1008" spans="2:11" ht="15" customHeight="1" x14ac:dyDescent="0.35">
      <c r="B1008" s="5">
        <v>987</v>
      </c>
      <c r="C1008" s="46">
        <f t="shared" ca="1" si="135"/>
        <v>2.8610971859067824</v>
      </c>
      <c r="D1008" s="47">
        <f t="shared" ca="1" si="136"/>
        <v>4350605824.1547546</v>
      </c>
      <c r="E1008" s="47">
        <f t="shared" ca="1" si="137"/>
        <v>19590390238711.992</v>
      </c>
      <c r="F1008" s="47">
        <f t="shared" ca="1" si="138"/>
        <v>3168346769925.0537</v>
      </c>
      <c r="G1008" s="47">
        <f t="shared" ca="1" si="139"/>
        <v>56766743631572.133</v>
      </c>
      <c r="H1008" s="47">
        <f t="shared" ca="1" si="140"/>
        <v>56766743631572.133</v>
      </c>
      <c r="I1008" s="47">
        <f t="shared" ca="1" si="141"/>
        <v>5532058242968.1748</v>
      </c>
      <c r="J1008" s="47">
        <f t="shared" ca="1" si="142"/>
        <v>1940517510921.332</v>
      </c>
      <c r="K1008" s="48">
        <f t="shared" ca="1" si="143"/>
        <v>2.8508159353540834</v>
      </c>
    </row>
    <row r="1009" spans="2:11" ht="15" customHeight="1" x14ac:dyDescent="0.35">
      <c r="B1009" s="5">
        <v>988</v>
      </c>
      <c r="C1009" s="46">
        <f t="shared" ca="1" si="135"/>
        <v>3.4090830596479029</v>
      </c>
      <c r="D1009" s="47">
        <f t="shared" ca="1" si="136"/>
        <v>8968023710.9088268</v>
      </c>
      <c r="E1009" s="47">
        <f t="shared" ca="1" si="137"/>
        <v>48776045085969.484</v>
      </c>
      <c r="F1009" s="47">
        <f t="shared" ca="1" si="138"/>
        <v>13268073837705.414</v>
      </c>
      <c r="G1009" s="47">
        <f t="shared" ca="1" si="139"/>
        <v>1538189978431.8242</v>
      </c>
      <c r="H1009" s="47">
        <f t="shared" ca="1" si="140"/>
        <v>1538189978431.8242</v>
      </c>
      <c r="I1009" s="47">
        <f t="shared" ca="1" si="141"/>
        <v>23278582199123.793</v>
      </c>
      <c r="J1009" s="47">
        <f t="shared" ca="1" si="142"/>
        <v>1584043611881.7676</v>
      </c>
      <c r="K1009" s="48">
        <f t="shared" ca="1" si="143"/>
        <v>14.695670008397027</v>
      </c>
    </row>
    <row r="1010" spans="2:11" ht="15" customHeight="1" x14ac:dyDescent="0.35">
      <c r="B1010" s="5">
        <v>989</v>
      </c>
      <c r="C1010" s="46">
        <f t="shared" ca="1" si="135"/>
        <v>2.9387094362702642</v>
      </c>
      <c r="D1010" s="47">
        <f t="shared" ca="1" si="136"/>
        <v>5110923350.4911089</v>
      </c>
      <c r="E1010" s="47">
        <f t="shared" ca="1" si="137"/>
        <v>24497943129005.637</v>
      </c>
      <c r="F1010" s="47">
        <f t="shared" ca="1" si="138"/>
        <v>1564236530794.908</v>
      </c>
      <c r="G1010" s="47">
        <f t="shared" ca="1" si="139"/>
        <v>4493589514593.3398</v>
      </c>
      <c r="H1010" s="47">
        <f t="shared" ca="1" si="140"/>
        <v>1564236530794.908</v>
      </c>
      <c r="I1010" s="47">
        <f t="shared" ca="1" si="141"/>
        <v>84093412083515.031</v>
      </c>
      <c r="J1010" s="47">
        <f t="shared" ca="1" si="142"/>
        <v>985125392055.0343</v>
      </c>
      <c r="K1010" s="48">
        <f t="shared" ca="1" si="143"/>
        <v>85.363155555345926</v>
      </c>
    </row>
    <row r="1011" spans="2:11" ht="15" customHeight="1" x14ac:dyDescent="0.35">
      <c r="B1011" s="5">
        <v>990</v>
      </c>
      <c r="C1011" s="46">
        <f t="shared" ca="1" si="135"/>
        <v>2.9991940148648051</v>
      </c>
      <c r="D1011" s="47">
        <f t="shared" ca="1" si="136"/>
        <v>4610421960.1232824</v>
      </c>
      <c r="E1011" s="47">
        <f t="shared" ca="1" si="137"/>
        <v>25696389793610.813</v>
      </c>
      <c r="F1011" s="47">
        <f t="shared" ca="1" si="138"/>
        <v>7743524212516.7861</v>
      </c>
      <c r="G1011" s="47">
        <f t="shared" ca="1" si="139"/>
        <v>1086494334703.9254</v>
      </c>
      <c r="H1011" s="47">
        <f t="shared" ca="1" si="140"/>
        <v>25696389793610.813</v>
      </c>
      <c r="I1011" s="47">
        <f t="shared" ca="1" si="141"/>
        <v>2644511856954.7861</v>
      </c>
      <c r="J1011" s="47">
        <f t="shared" ca="1" si="142"/>
        <v>1832506778553.5083</v>
      </c>
      <c r="K1011" s="48">
        <f t="shared" ca="1" si="143"/>
        <v>1.4431116369688057</v>
      </c>
    </row>
    <row r="1012" spans="2:11" ht="15" customHeight="1" x14ac:dyDescent="0.35">
      <c r="B1012" s="5">
        <v>991</v>
      </c>
      <c r="C1012" s="46">
        <f t="shared" ca="1" si="135"/>
        <v>3.221984785318428</v>
      </c>
      <c r="D1012" s="47">
        <f t="shared" ca="1" si="136"/>
        <v>6096747579.249588</v>
      </c>
      <c r="E1012" s="47">
        <f t="shared" ca="1" si="137"/>
        <v>24197055951478.391</v>
      </c>
      <c r="F1012" s="47">
        <f t="shared" ca="1" si="138"/>
        <v>2679446825224.0396</v>
      </c>
      <c r="G1012" s="47">
        <f t="shared" ca="1" si="139"/>
        <v>64027755067963.938</v>
      </c>
      <c r="H1012" s="47">
        <f t="shared" ca="1" si="140"/>
        <v>24197055951478.391</v>
      </c>
      <c r="I1012" s="47">
        <f t="shared" ca="1" si="141"/>
        <v>2118806792816.3301</v>
      </c>
      <c r="J1012" s="47">
        <f t="shared" ca="1" si="142"/>
        <v>698867651380.44507</v>
      </c>
      <c r="K1012" s="48">
        <f t="shared" ca="1" si="143"/>
        <v>3.0317711638693488</v>
      </c>
    </row>
    <row r="1013" spans="2:11" ht="15" customHeight="1" x14ac:dyDescent="0.35">
      <c r="B1013" s="5">
        <v>992</v>
      </c>
      <c r="C1013" s="46">
        <f t="shared" ca="1" si="135"/>
        <v>3.7403844428453561</v>
      </c>
      <c r="D1013" s="47">
        <f t="shared" ca="1" si="136"/>
        <v>15858756526.840897</v>
      </c>
      <c r="E1013" s="47">
        <f t="shared" ca="1" si="137"/>
        <v>113165754041333.39</v>
      </c>
      <c r="F1013" s="47">
        <f t="shared" ca="1" si="138"/>
        <v>1229777273222.2278</v>
      </c>
      <c r="G1013" s="47">
        <f t="shared" ca="1" si="139"/>
        <v>5228637866103.2002</v>
      </c>
      <c r="H1013" s="47">
        <f t="shared" ca="1" si="140"/>
        <v>1229777273222.2278</v>
      </c>
      <c r="I1013" s="47">
        <f t="shared" ca="1" si="141"/>
        <v>188762464240402.88</v>
      </c>
      <c r="J1013" s="47">
        <f t="shared" ca="1" si="142"/>
        <v>2655507285787.6465</v>
      </c>
      <c r="K1013" s="48">
        <f t="shared" ca="1" si="143"/>
        <v>71.083391580458155</v>
      </c>
    </row>
    <row r="1014" spans="2:11" ht="15" customHeight="1" x14ac:dyDescent="0.35">
      <c r="B1014" s="5">
        <v>993</v>
      </c>
      <c r="C1014" s="46">
        <f t="shared" ca="1" si="135"/>
        <v>2.7405368509547334</v>
      </c>
      <c r="D1014" s="47">
        <f t="shared" ca="1" si="136"/>
        <v>3638133060.480442</v>
      </c>
      <c r="E1014" s="47">
        <f t="shared" ca="1" si="137"/>
        <v>23754468220106.367</v>
      </c>
      <c r="F1014" s="47">
        <f t="shared" ca="1" si="138"/>
        <v>841952156412.24646</v>
      </c>
      <c r="G1014" s="47">
        <f t="shared" ca="1" si="139"/>
        <v>5693951210213.4854</v>
      </c>
      <c r="H1014" s="47">
        <f t="shared" ca="1" si="140"/>
        <v>23754468220106.367</v>
      </c>
      <c r="I1014" s="47">
        <f t="shared" ca="1" si="141"/>
        <v>30018962429553.445</v>
      </c>
      <c r="J1014" s="47">
        <f t="shared" ca="1" si="142"/>
        <v>629973346501.63416</v>
      </c>
      <c r="K1014" s="48">
        <f t="shared" ca="1" si="143"/>
        <v>47.651162698000867</v>
      </c>
    </row>
    <row r="1015" spans="2:11" ht="15" customHeight="1" x14ac:dyDescent="0.35">
      <c r="B1015" s="5">
        <v>994</v>
      </c>
      <c r="C1015" s="46">
        <f t="shared" ca="1" si="135"/>
        <v>3.0403044212020109</v>
      </c>
      <c r="D1015" s="47">
        <f t="shared" ca="1" si="136"/>
        <v>5457022522.8553209</v>
      </c>
      <c r="E1015" s="47">
        <f t="shared" ca="1" si="137"/>
        <v>10010855547041.215</v>
      </c>
      <c r="F1015" s="47">
        <f t="shared" ca="1" si="138"/>
        <v>5215533329145.1113</v>
      </c>
      <c r="G1015" s="47">
        <f t="shared" ca="1" si="139"/>
        <v>60570929871984.406</v>
      </c>
      <c r="H1015" s="47">
        <f t="shared" ca="1" si="140"/>
        <v>60570929871984.406</v>
      </c>
      <c r="I1015" s="47">
        <f t="shared" ca="1" si="141"/>
        <v>14253883004519.828</v>
      </c>
      <c r="J1015" s="47">
        <f t="shared" ca="1" si="142"/>
        <v>1564486546362.5818</v>
      </c>
      <c r="K1015" s="48">
        <f t="shared" ca="1" si="143"/>
        <v>9.1109016166741661</v>
      </c>
    </row>
    <row r="1016" spans="2:11" ht="15" customHeight="1" x14ac:dyDescent="0.35">
      <c r="B1016" s="5">
        <v>995</v>
      </c>
      <c r="C1016" s="46">
        <f t="shared" ca="1" si="135"/>
        <v>2.9485388415240434</v>
      </c>
      <c r="D1016" s="47">
        <f t="shared" ca="1" si="136"/>
        <v>3761473067.1994042</v>
      </c>
      <c r="E1016" s="47">
        <f t="shared" ca="1" si="137"/>
        <v>26696483875606.184</v>
      </c>
      <c r="F1016" s="47">
        <f t="shared" ca="1" si="138"/>
        <v>2066816178471.731</v>
      </c>
      <c r="G1016" s="47">
        <f t="shared" ca="1" si="139"/>
        <v>1783887444204.541</v>
      </c>
      <c r="H1016" s="47">
        <f t="shared" ca="1" si="140"/>
        <v>26696483875606.184</v>
      </c>
      <c r="I1016" s="47">
        <f t="shared" ca="1" si="141"/>
        <v>11036508663632.828</v>
      </c>
      <c r="J1016" s="47">
        <f t="shared" ca="1" si="142"/>
        <v>813694869669.26965</v>
      </c>
      <c r="K1016" s="48">
        <f t="shared" ca="1" si="143"/>
        <v>13.56344875090422</v>
      </c>
    </row>
    <row r="1017" spans="2:11" ht="15" customHeight="1" x14ac:dyDescent="0.35">
      <c r="B1017" s="5">
        <v>996</v>
      </c>
      <c r="C1017" s="46">
        <f t="shared" ca="1" si="135"/>
        <v>2.5650324810598151</v>
      </c>
      <c r="D1017" s="47">
        <f t="shared" ca="1" si="136"/>
        <v>2265725018.7250981</v>
      </c>
      <c r="E1017" s="47">
        <f t="shared" ca="1" si="137"/>
        <v>8273569776739.0732</v>
      </c>
      <c r="F1017" s="47">
        <f t="shared" ca="1" si="138"/>
        <v>4129060741247.3057</v>
      </c>
      <c r="G1017" s="47">
        <f t="shared" ca="1" si="139"/>
        <v>21095691987021.301</v>
      </c>
      <c r="H1017" s="47">
        <f t="shared" ca="1" si="140"/>
        <v>4129060741247.3057</v>
      </c>
      <c r="I1017" s="47">
        <f t="shared" ca="1" si="141"/>
        <v>2929070829931.6309</v>
      </c>
      <c r="J1017" s="47">
        <f t="shared" ca="1" si="142"/>
        <v>1309528974745.1565</v>
      </c>
      <c r="K1017" s="48">
        <f t="shared" ca="1" si="143"/>
        <v>2.2367361749301109</v>
      </c>
    </row>
    <row r="1018" spans="2:11" ht="15" customHeight="1" x14ac:dyDescent="0.35">
      <c r="B1018" s="5">
        <v>997</v>
      </c>
      <c r="C1018" s="46">
        <f t="shared" ca="1" si="135"/>
        <v>2.6844953511092542</v>
      </c>
      <c r="D1018" s="47">
        <f t="shared" ca="1" si="136"/>
        <v>2751100256.3254013</v>
      </c>
      <c r="E1018" s="47">
        <f t="shared" ca="1" si="137"/>
        <v>8542564408704.46</v>
      </c>
      <c r="F1018" s="47">
        <f t="shared" ca="1" si="138"/>
        <v>3658410003358.917</v>
      </c>
      <c r="G1018" s="47">
        <f t="shared" ca="1" si="139"/>
        <v>1066740479410.0249</v>
      </c>
      <c r="H1018" s="47">
        <f t="shared" ca="1" si="140"/>
        <v>3658410003358.917</v>
      </c>
      <c r="I1018" s="47">
        <f t="shared" ca="1" si="141"/>
        <v>18686213322216.75</v>
      </c>
      <c r="J1018" s="47">
        <f t="shared" ca="1" si="142"/>
        <v>759830590707.31165</v>
      </c>
      <c r="K1018" s="48">
        <f t="shared" ca="1" si="143"/>
        <v>24.592604655232574</v>
      </c>
    </row>
    <row r="1019" spans="2:11" ht="15" customHeight="1" x14ac:dyDescent="0.35">
      <c r="B1019" s="5">
        <v>998</v>
      </c>
      <c r="C1019" s="46">
        <f t="shared" ca="1" si="135"/>
        <v>2.3061943219236953</v>
      </c>
      <c r="D1019" s="47">
        <f t="shared" ca="1" si="136"/>
        <v>1055608098.608654</v>
      </c>
      <c r="E1019" s="47">
        <f t="shared" ca="1" si="137"/>
        <v>3982251722936.373</v>
      </c>
      <c r="F1019" s="47">
        <f t="shared" ca="1" si="138"/>
        <v>28230923918805.895</v>
      </c>
      <c r="G1019" s="47">
        <f t="shared" ca="1" si="139"/>
        <v>10258353247772.406</v>
      </c>
      <c r="H1019" s="47">
        <f t="shared" ca="1" si="140"/>
        <v>28230923918805.895</v>
      </c>
      <c r="I1019" s="47">
        <f t="shared" ca="1" si="141"/>
        <v>27817652372687.168</v>
      </c>
      <c r="J1019" s="47">
        <f t="shared" ca="1" si="142"/>
        <v>815833726612.59155</v>
      </c>
      <c r="K1019" s="48">
        <f t="shared" ca="1" si="143"/>
        <v>34.097208126205246</v>
      </c>
    </row>
    <row r="1020" spans="2:11" ht="15" customHeight="1" x14ac:dyDescent="0.35">
      <c r="B1020" s="5">
        <v>999</v>
      </c>
      <c r="C1020" s="46">
        <f t="shared" ca="1" si="135"/>
        <v>3.0402663446610818</v>
      </c>
      <c r="D1020" s="47">
        <f t="shared" ca="1" si="136"/>
        <v>4250265489.3316588</v>
      </c>
      <c r="E1020" s="47">
        <f t="shared" ca="1" si="137"/>
        <v>17198254802267.158</v>
      </c>
      <c r="F1020" s="47">
        <f t="shared" ca="1" si="138"/>
        <v>3288702593159.0132</v>
      </c>
      <c r="G1020" s="47">
        <f t="shared" ca="1" si="139"/>
        <v>2618357228801.48</v>
      </c>
      <c r="H1020" s="47">
        <f t="shared" ca="1" si="140"/>
        <v>3288702593159.0132</v>
      </c>
      <c r="I1020" s="47">
        <f t="shared" ca="1" si="141"/>
        <v>16902142268675.559</v>
      </c>
      <c r="J1020" s="47">
        <f t="shared" ca="1" si="142"/>
        <v>860808196064.06921</v>
      </c>
      <c r="K1020" s="48">
        <f t="shared" ca="1" si="143"/>
        <v>19.635201367689518</v>
      </c>
    </row>
    <row r="1021" spans="2:11" ht="15" customHeight="1" x14ac:dyDescent="0.35">
      <c r="B1021" s="5">
        <v>1000</v>
      </c>
      <c r="C1021" s="46">
        <f t="shared" ca="1" si="135"/>
        <v>2.5100044360221179</v>
      </c>
      <c r="D1021" s="47">
        <f t="shared" ca="1" si="136"/>
        <v>2268167842.3488464</v>
      </c>
      <c r="E1021" s="47">
        <f t="shared" ca="1" si="137"/>
        <v>9352390973104.377</v>
      </c>
      <c r="F1021" s="47">
        <f t="shared" ca="1" si="138"/>
        <v>8291096171440.0381</v>
      </c>
      <c r="G1021" s="47">
        <f t="shared" ca="1" si="139"/>
        <v>25459929083537.477</v>
      </c>
      <c r="H1021" s="47">
        <f t="shared" ca="1" si="140"/>
        <v>25459929083537.477</v>
      </c>
      <c r="I1021" s="47">
        <f t="shared" ca="1" si="141"/>
        <v>11188137607289.434</v>
      </c>
      <c r="J1021" s="47">
        <f t="shared" ca="1" si="142"/>
        <v>2530478970909.6777</v>
      </c>
      <c r="K1021" s="48">
        <f t="shared" ca="1" si="143"/>
        <v>4.4213517424598194</v>
      </c>
    </row>
    <row r="1022" spans="2:11" ht="15" customHeight="1" x14ac:dyDescent="0.35">
      <c r="B1022" s="5">
        <v>1001</v>
      </c>
      <c r="C1022" s="46">
        <f t="shared" ca="1" si="135"/>
        <v>2.748267840199706</v>
      </c>
      <c r="D1022" s="47">
        <f t="shared" ca="1" si="136"/>
        <v>3052007496.3736553</v>
      </c>
      <c r="E1022" s="47">
        <f t="shared" ca="1" si="137"/>
        <v>4344553093311.5923</v>
      </c>
      <c r="F1022" s="47">
        <f t="shared" ca="1" si="138"/>
        <v>667328803430.23413</v>
      </c>
      <c r="G1022" s="47">
        <f t="shared" ca="1" si="139"/>
        <v>1720983914515.0667</v>
      </c>
      <c r="H1022" s="47">
        <f t="shared" ca="1" si="140"/>
        <v>4344553093311.5923</v>
      </c>
      <c r="I1022" s="47">
        <f t="shared" ca="1" si="141"/>
        <v>1921451340632.9487</v>
      </c>
      <c r="J1022" s="47">
        <f t="shared" ca="1" si="142"/>
        <v>1554076555966.7068</v>
      </c>
      <c r="K1022" s="48">
        <f t="shared" ca="1" si="143"/>
        <v>1.2363942646555903</v>
      </c>
    </row>
    <row r="1023" spans="2:11" ht="15" customHeight="1" x14ac:dyDescent="0.35">
      <c r="B1023" s="5">
        <v>1002</v>
      </c>
      <c r="C1023" s="46">
        <f t="shared" ca="1" si="135"/>
        <v>3.0906982735232242</v>
      </c>
      <c r="D1023" s="47">
        <f t="shared" ca="1" si="136"/>
        <v>5767422248.5898113</v>
      </c>
      <c r="E1023" s="47">
        <f t="shared" ca="1" si="137"/>
        <v>6510826332587.6035</v>
      </c>
      <c r="F1023" s="47">
        <f t="shared" ca="1" si="138"/>
        <v>4395859959617.9106</v>
      </c>
      <c r="G1023" s="47">
        <f t="shared" ca="1" si="139"/>
        <v>1620244799220.7993</v>
      </c>
      <c r="H1023" s="47">
        <f t="shared" ca="1" si="140"/>
        <v>1620244799220.7993</v>
      </c>
      <c r="I1023" s="47">
        <f t="shared" ca="1" si="141"/>
        <v>135836667410381.84</v>
      </c>
      <c r="J1023" s="47">
        <f t="shared" ca="1" si="142"/>
        <v>1892976824155.5029</v>
      </c>
      <c r="K1023" s="48">
        <f t="shared" ca="1" si="143"/>
        <v>71.758230569453204</v>
      </c>
    </row>
    <row r="1024" spans="2:11" ht="15" customHeight="1" x14ac:dyDescent="0.35">
      <c r="B1024" s="5">
        <v>1003</v>
      </c>
      <c r="C1024" s="46">
        <f t="shared" ca="1" si="135"/>
        <v>2.3989433304756922</v>
      </c>
      <c r="D1024" s="47">
        <f t="shared" ca="1" si="136"/>
        <v>1653639454.6900709</v>
      </c>
      <c r="E1024" s="47">
        <f t="shared" ca="1" si="137"/>
        <v>5786362581064.707</v>
      </c>
      <c r="F1024" s="47">
        <f t="shared" ca="1" si="138"/>
        <v>31087918668039.273</v>
      </c>
      <c r="G1024" s="47">
        <f t="shared" ca="1" si="139"/>
        <v>8843395526631.1113</v>
      </c>
      <c r="H1024" s="47">
        <f t="shared" ca="1" si="140"/>
        <v>8843395526631.1113</v>
      </c>
      <c r="I1024" s="47">
        <f t="shared" ca="1" si="141"/>
        <v>7078525149001.5391</v>
      </c>
      <c r="J1024" s="47">
        <f t="shared" ca="1" si="142"/>
        <v>784705553578.52771</v>
      </c>
      <c r="K1024" s="48">
        <f t="shared" ca="1" si="143"/>
        <v>9.020613039784191</v>
      </c>
    </row>
    <row r="1025" spans="2:11" ht="15" customHeight="1" x14ac:dyDescent="0.35">
      <c r="B1025" s="5">
        <v>1004</v>
      </c>
      <c r="C1025" s="46">
        <f t="shared" ca="1" si="135"/>
        <v>2.1413270252501899</v>
      </c>
      <c r="D1025" s="47">
        <f t="shared" ca="1" si="136"/>
        <v>756860102.7144475</v>
      </c>
      <c r="E1025" s="47">
        <f t="shared" ca="1" si="137"/>
        <v>2823974226849.9287</v>
      </c>
      <c r="F1025" s="47">
        <f t="shared" ca="1" si="138"/>
        <v>13990393213632.143</v>
      </c>
      <c r="G1025" s="47">
        <f t="shared" ca="1" si="139"/>
        <v>262142531375455.22</v>
      </c>
      <c r="H1025" s="47">
        <f t="shared" ca="1" si="140"/>
        <v>262142531375455.22</v>
      </c>
      <c r="I1025" s="47">
        <f t="shared" ca="1" si="141"/>
        <v>17406890954227.25</v>
      </c>
      <c r="J1025" s="47">
        <f t="shared" ca="1" si="142"/>
        <v>1121867197934.1602</v>
      </c>
      <c r="K1025" s="48">
        <f t="shared" ca="1" si="143"/>
        <v>15.515999564191572</v>
      </c>
    </row>
    <row r="1026" spans="2:11" ht="15" customHeight="1" x14ac:dyDescent="0.35">
      <c r="B1026" s="5">
        <v>1005</v>
      </c>
      <c r="C1026" s="46">
        <f t="shared" ca="1" si="135"/>
        <v>3.051305613502564</v>
      </c>
      <c r="D1026" s="47">
        <f t="shared" ca="1" si="136"/>
        <v>5433519500.4974804</v>
      </c>
      <c r="E1026" s="47">
        <f t="shared" ca="1" si="137"/>
        <v>16465767791446.588</v>
      </c>
      <c r="F1026" s="47">
        <f t="shared" ca="1" si="138"/>
        <v>5256288515085.3262</v>
      </c>
      <c r="G1026" s="47">
        <f t="shared" ca="1" si="139"/>
        <v>7070921737710.7529</v>
      </c>
      <c r="H1026" s="47">
        <f t="shared" ca="1" si="140"/>
        <v>5256288515085.3262</v>
      </c>
      <c r="I1026" s="47">
        <f t="shared" ca="1" si="141"/>
        <v>50770611404744.07</v>
      </c>
      <c r="J1026" s="47">
        <f t="shared" ca="1" si="142"/>
        <v>1700818736710.5811</v>
      </c>
      <c r="K1026" s="48">
        <f t="shared" ca="1" si="143"/>
        <v>29.850689146884338</v>
      </c>
    </row>
    <row r="1027" spans="2:11" ht="15" customHeight="1" x14ac:dyDescent="0.35">
      <c r="B1027" s="5">
        <v>1006</v>
      </c>
      <c r="C1027" s="46">
        <f t="shared" ca="1" si="135"/>
        <v>2.6730370618933001</v>
      </c>
      <c r="D1027" s="47">
        <f t="shared" ca="1" si="136"/>
        <v>3046815936.4171662</v>
      </c>
      <c r="E1027" s="47">
        <f t="shared" ca="1" si="137"/>
        <v>20104397970120.371</v>
      </c>
      <c r="F1027" s="47">
        <f t="shared" ca="1" si="138"/>
        <v>3550625092737.7085</v>
      </c>
      <c r="G1027" s="47">
        <f t="shared" ca="1" si="139"/>
        <v>8637270873572.165</v>
      </c>
      <c r="H1027" s="47">
        <f t="shared" ca="1" si="140"/>
        <v>8637270873572.165</v>
      </c>
      <c r="I1027" s="47">
        <f t="shared" ca="1" si="141"/>
        <v>2362437330471.5073</v>
      </c>
      <c r="J1027" s="47">
        <f t="shared" ca="1" si="142"/>
        <v>1905917509910.0391</v>
      </c>
      <c r="K1027" s="48">
        <f t="shared" ca="1" si="143"/>
        <v>1.2395275861561377</v>
      </c>
    </row>
    <row r="1028" spans="2:11" ht="15" customHeight="1" x14ac:dyDescent="0.35">
      <c r="B1028" s="5">
        <v>1007</v>
      </c>
      <c r="C1028" s="46">
        <f t="shared" ca="1" si="135"/>
        <v>3.4627773134935724</v>
      </c>
      <c r="D1028" s="47">
        <f t="shared" ca="1" si="136"/>
        <v>11695705424.628674</v>
      </c>
      <c r="E1028" s="47">
        <f t="shared" ca="1" si="137"/>
        <v>93246062182874.922</v>
      </c>
      <c r="F1028" s="47">
        <f t="shared" ca="1" si="138"/>
        <v>326631689135.17719</v>
      </c>
      <c r="G1028" s="47">
        <f t="shared" ca="1" si="139"/>
        <v>25388589232753.691</v>
      </c>
      <c r="H1028" s="47">
        <f t="shared" ca="1" si="140"/>
        <v>93246062182874.922</v>
      </c>
      <c r="I1028" s="47">
        <f t="shared" ca="1" si="141"/>
        <v>8966675619852.9043</v>
      </c>
      <c r="J1028" s="47">
        <f t="shared" ca="1" si="142"/>
        <v>1081890850564.8187</v>
      </c>
      <c r="K1028" s="48">
        <f t="shared" ca="1" si="143"/>
        <v>8.2879669563447234</v>
      </c>
    </row>
    <row r="1029" spans="2:11" ht="15" customHeight="1" x14ac:dyDescent="0.35">
      <c r="B1029" s="5">
        <v>1008</v>
      </c>
      <c r="C1029" s="46">
        <f t="shared" ca="1" si="135"/>
        <v>2.3191908726077739</v>
      </c>
      <c r="D1029" s="47">
        <f t="shared" ca="1" si="136"/>
        <v>1415622835.6649036</v>
      </c>
      <c r="E1029" s="47">
        <f t="shared" ca="1" si="137"/>
        <v>1716351051098.519</v>
      </c>
      <c r="F1029" s="47">
        <f t="shared" ca="1" si="138"/>
        <v>12401889019866.266</v>
      </c>
      <c r="G1029" s="47">
        <f t="shared" ca="1" si="139"/>
        <v>2439980316251.7686</v>
      </c>
      <c r="H1029" s="47">
        <f t="shared" ca="1" si="140"/>
        <v>12401889019866.266</v>
      </c>
      <c r="I1029" s="47">
        <f t="shared" ca="1" si="141"/>
        <v>6197394278471.8994</v>
      </c>
      <c r="J1029" s="47">
        <f t="shared" ca="1" si="142"/>
        <v>1284125204054.7698</v>
      </c>
      <c r="K1029" s="48">
        <f t="shared" ca="1" si="143"/>
        <v>4.826160454528055</v>
      </c>
    </row>
    <row r="1030" spans="2:11" ht="15" customHeight="1" x14ac:dyDescent="0.35">
      <c r="B1030" s="5">
        <v>1009</v>
      </c>
      <c r="C1030" s="46">
        <f t="shared" ca="1" si="135"/>
        <v>3.736045923892001</v>
      </c>
      <c r="D1030" s="47">
        <f t="shared" ca="1" si="136"/>
        <v>13024456727.938749</v>
      </c>
      <c r="E1030" s="47">
        <f t="shared" ca="1" si="137"/>
        <v>79003757853343.141</v>
      </c>
      <c r="F1030" s="47">
        <f t="shared" ca="1" si="138"/>
        <v>377439579282.27057</v>
      </c>
      <c r="G1030" s="47">
        <f t="shared" ca="1" si="139"/>
        <v>372554615450.44672</v>
      </c>
      <c r="H1030" s="47">
        <f t="shared" ca="1" si="140"/>
        <v>79003757853343.141</v>
      </c>
      <c r="I1030" s="47">
        <f t="shared" ca="1" si="141"/>
        <v>1899993645888.5383</v>
      </c>
      <c r="J1030" s="47">
        <f t="shared" ca="1" si="142"/>
        <v>1655462844388.3525</v>
      </c>
      <c r="K1030" s="48">
        <f t="shared" ca="1" si="143"/>
        <v>1.1477114405370621</v>
      </c>
    </row>
    <row r="1031" spans="2:11" ht="15" customHeight="1" x14ac:dyDescent="0.35">
      <c r="B1031" s="5">
        <v>1010</v>
      </c>
      <c r="C1031" s="46">
        <f t="shared" ca="1" si="135"/>
        <v>2.5843949131864479</v>
      </c>
      <c r="D1031" s="47">
        <f t="shared" ca="1" si="136"/>
        <v>2222017402.1965327</v>
      </c>
      <c r="E1031" s="47">
        <f t="shared" ca="1" si="137"/>
        <v>6621749590789.2744</v>
      </c>
      <c r="F1031" s="47">
        <f t="shared" ca="1" si="138"/>
        <v>4135060187962.2578</v>
      </c>
      <c r="G1031" s="47">
        <f t="shared" ca="1" si="139"/>
        <v>104925875897167.55</v>
      </c>
      <c r="H1031" s="47">
        <f t="shared" ca="1" si="140"/>
        <v>4135060187962.2578</v>
      </c>
      <c r="I1031" s="47">
        <f t="shared" ca="1" si="141"/>
        <v>5548330009506.6279</v>
      </c>
      <c r="J1031" s="47">
        <f t="shared" ca="1" si="142"/>
        <v>839850113910.1217</v>
      </c>
      <c r="K1031" s="48">
        <f t="shared" ca="1" si="143"/>
        <v>6.6063335797801583</v>
      </c>
    </row>
    <row r="1032" spans="2:11" ht="15" customHeight="1" x14ac:dyDescent="0.35">
      <c r="B1032" s="5">
        <v>1011</v>
      </c>
      <c r="C1032" s="46">
        <f t="shared" ca="1" si="135"/>
        <v>3.3352941995620826</v>
      </c>
      <c r="D1032" s="47">
        <f t="shared" ca="1" si="136"/>
        <v>9845054940.0150051</v>
      </c>
      <c r="E1032" s="47">
        <f t="shared" ca="1" si="137"/>
        <v>21057563550356.926</v>
      </c>
      <c r="F1032" s="47">
        <f t="shared" ca="1" si="138"/>
        <v>2299389294131.6045</v>
      </c>
      <c r="G1032" s="47">
        <f t="shared" ca="1" si="139"/>
        <v>2733376667096.7925</v>
      </c>
      <c r="H1032" s="47">
        <f t="shared" ca="1" si="140"/>
        <v>2299389294131.6045</v>
      </c>
      <c r="I1032" s="47">
        <f t="shared" ca="1" si="141"/>
        <v>183347763577205.97</v>
      </c>
      <c r="J1032" s="47">
        <f t="shared" ca="1" si="142"/>
        <v>842960127428.10852</v>
      </c>
      <c r="K1032" s="48">
        <f t="shared" ca="1" si="143"/>
        <v>217.50466909580217</v>
      </c>
    </row>
    <row r="1033" spans="2:11" ht="15" customHeight="1" x14ac:dyDescent="0.35">
      <c r="B1033" s="5">
        <v>1012</v>
      </c>
      <c r="C1033" s="46">
        <f t="shared" ca="1" si="135"/>
        <v>3.2825897140392968</v>
      </c>
      <c r="D1033" s="47">
        <f t="shared" ca="1" si="136"/>
        <v>6539846908.0150013</v>
      </c>
      <c r="E1033" s="47">
        <f t="shared" ca="1" si="137"/>
        <v>18244484967039.863</v>
      </c>
      <c r="F1033" s="47">
        <f t="shared" ca="1" si="138"/>
        <v>5180005678185.4785</v>
      </c>
      <c r="G1033" s="47">
        <f t="shared" ca="1" si="139"/>
        <v>4956682572058.7871</v>
      </c>
      <c r="H1033" s="47">
        <f t="shared" ca="1" si="140"/>
        <v>18244484967039.863</v>
      </c>
      <c r="I1033" s="47">
        <f t="shared" ca="1" si="141"/>
        <v>3108172712430.3286</v>
      </c>
      <c r="J1033" s="47">
        <f t="shared" ca="1" si="142"/>
        <v>792545068531.42358</v>
      </c>
      <c r="K1033" s="48">
        <f t="shared" ca="1" si="143"/>
        <v>3.9217614692748453</v>
      </c>
    </row>
    <row r="1034" spans="2:11" ht="15" customHeight="1" x14ac:dyDescent="0.35">
      <c r="B1034" s="5">
        <v>1013</v>
      </c>
      <c r="C1034" s="46">
        <f t="shared" ca="1" si="135"/>
        <v>2.2305850768053275</v>
      </c>
      <c r="D1034" s="47">
        <f t="shared" ca="1" si="136"/>
        <v>905183043.38559282</v>
      </c>
      <c r="E1034" s="47">
        <f t="shared" ca="1" si="137"/>
        <v>4128451045629.2129</v>
      </c>
      <c r="F1034" s="47">
        <f t="shared" ca="1" si="138"/>
        <v>392600842948.67102</v>
      </c>
      <c r="G1034" s="47">
        <f t="shared" ca="1" si="139"/>
        <v>3971366740693.6597</v>
      </c>
      <c r="H1034" s="47">
        <f t="shared" ca="1" si="140"/>
        <v>3971366740693.6597</v>
      </c>
      <c r="I1034" s="47">
        <f t="shared" ca="1" si="141"/>
        <v>672578279894.1488</v>
      </c>
      <c r="J1034" s="47">
        <f t="shared" ca="1" si="142"/>
        <v>721597288455.10132</v>
      </c>
      <c r="K1034" s="48">
        <f t="shared" ca="1" si="143"/>
        <v>0.93206874617572444</v>
      </c>
    </row>
    <row r="1035" spans="2:11" ht="15" customHeight="1" x14ac:dyDescent="0.35">
      <c r="B1035" s="5">
        <v>1014</v>
      </c>
      <c r="C1035" s="46">
        <f t="shared" ca="1" si="135"/>
        <v>2.9851354426374073</v>
      </c>
      <c r="D1035" s="47">
        <f t="shared" ca="1" si="136"/>
        <v>4893821163.3160353</v>
      </c>
      <c r="E1035" s="47">
        <f t="shared" ca="1" si="137"/>
        <v>7422578863306.8184</v>
      </c>
      <c r="F1035" s="47">
        <f t="shared" ca="1" si="138"/>
        <v>8042765047832.5068</v>
      </c>
      <c r="G1035" s="47">
        <f t="shared" ca="1" si="139"/>
        <v>4137126684863.3037</v>
      </c>
      <c r="H1035" s="47">
        <f t="shared" ca="1" si="140"/>
        <v>8042765047832.5068</v>
      </c>
      <c r="I1035" s="47">
        <f t="shared" ca="1" si="141"/>
        <v>38653866566310.039</v>
      </c>
      <c r="J1035" s="47">
        <f t="shared" ca="1" si="142"/>
        <v>976276961111.99646</v>
      </c>
      <c r="K1035" s="48">
        <f t="shared" ca="1" si="143"/>
        <v>39.593136073069481</v>
      </c>
    </row>
    <row r="1036" spans="2:11" ht="15" customHeight="1" x14ac:dyDescent="0.35">
      <c r="B1036" s="5">
        <v>1015</v>
      </c>
      <c r="C1036" s="46">
        <f t="shared" ca="1" si="135"/>
        <v>2.6125856833290033</v>
      </c>
      <c r="D1036" s="47">
        <f t="shared" ca="1" si="136"/>
        <v>2518913042.520936</v>
      </c>
      <c r="E1036" s="47">
        <f t="shared" ca="1" si="137"/>
        <v>7042846296077.9551</v>
      </c>
      <c r="F1036" s="47">
        <f t="shared" ca="1" si="138"/>
        <v>4152631556695.083</v>
      </c>
      <c r="G1036" s="47">
        <f t="shared" ca="1" si="139"/>
        <v>6027434176358.8262</v>
      </c>
      <c r="H1036" s="47">
        <f t="shared" ca="1" si="140"/>
        <v>6027434176358.8262</v>
      </c>
      <c r="I1036" s="47">
        <f t="shared" ca="1" si="141"/>
        <v>2142586809541.4873</v>
      </c>
      <c r="J1036" s="47">
        <f t="shared" ca="1" si="142"/>
        <v>1661593268737.7588</v>
      </c>
      <c r="K1036" s="48">
        <f t="shared" ca="1" si="143"/>
        <v>1.2894773046168626</v>
      </c>
    </row>
    <row r="1037" spans="2:11" ht="15" customHeight="1" x14ac:dyDescent="0.35">
      <c r="B1037" s="5">
        <v>1016</v>
      </c>
      <c r="C1037" s="46">
        <f t="shared" ca="1" si="135"/>
        <v>3.0247852999902558</v>
      </c>
      <c r="D1037" s="47">
        <f t="shared" ca="1" si="136"/>
        <v>5899600993.1543427</v>
      </c>
      <c r="E1037" s="47">
        <f t="shared" ca="1" si="137"/>
        <v>16659786730492</v>
      </c>
      <c r="F1037" s="47">
        <f t="shared" ca="1" si="138"/>
        <v>7131771777443.4834</v>
      </c>
      <c r="G1037" s="47">
        <f t="shared" ca="1" si="139"/>
        <v>3683108755850.0586</v>
      </c>
      <c r="H1037" s="47">
        <f t="shared" ca="1" si="140"/>
        <v>16659786730492</v>
      </c>
      <c r="I1037" s="47">
        <f t="shared" ca="1" si="141"/>
        <v>24037597937032.645</v>
      </c>
      <c r="J1037" s="47">
        <f t="shared" ca="1" si="142"/>
        <v>1562032375377.6167</v>
      </c>
      <c r="K1037" s="48">
        <f t="shared" ca="1" si="143"/>
        <v>15.388668196599719</v>
      </c>
    </row>
    <row r="1038" spans="2:11" ht="15" customHeight="1" x14ac:dyDescent="0.35">
      <c r="B1038" s="5">
        <v>1017</v>
      </c>
      <c r="C1038" s="46">
        <f t="shared" ca="1" si="135"/>
        <v>3.203414367195013</v>
      </c>
      <c r="D1038" s="47">
        <f t="shared" ca="1" si="136"/>
        <v>5629111718.2911587</v>
      </c>
      <c r="E1038" s="47">
        <f t="shared" ca="1" si="137"/>
        <v>4519546460692.0205</v>
      </c>
      <c r="F1038" s="47">
        <f t="shared" ca="1" si="138"/>
        <v>2969933715378.3301</v>
      </c>
      <c r="G1038" s="47">
        <f t="shared" ca="1" si="139"/>
        <v>11491354899920.67</v>
      </c>
      <c r="H1038" s="47">
        <f t="shared" ca="1" si="140"/>
        <v>11491354899920.67</v>
      </c>
      <c r="I1038" s="47">
        <f t="shared" ca="1" si="141"/>
        <v>31231737962842.285</v>
      </c>
      <c r="J1038" s="47">
        <f t="shared" ca="1" si="142"/>
        <v>727012334408.27747</v>
      </c>
      <c r="K1038" s="48">
        <f t="shared" ca="1" si="143"/>
        <v>42.959020754802054</v>
      </c>
    </row>
    <row r="1039" spans="2:11" ht="15" customHeight="1" x14ac:dyDescent="0.35">
      <c r="B1039" s="5">
        <v>1018</v>
      </c>
      <c r="C1039" s="46">
        <f t="shared" ca="1" si="135"/>
        <v>3.5209415960288957</v>
      </c>
      <c r="D1039" s="47">
        <f t="shared" ca="1" si="136"/>
        <v>11956135864.702936</v>
      </c>
      <c r="E1039" s="47">
        <f t="shared" ca="1" si="137"/>
        <v>34488894921625.461</v>
      </c>
      <c r="F1039" s="47">
        <f t="shared" ca="1" si="138"/>
        <v>4732721874140.8828</v>
      </c>
      <c r="G1039" s="47">
        <f t="shared" ca="1" si="139"/>
        <v>15042044979244.844</v>
      </c>
      <c r="H1039" s="47">
        <f t="shared" ca="1" si="140"/>
        <v>34488894921625.461</v>
      </c>
      <c r="I1039" s="47">
        <f t="shared" ca="1" si="141"/>
        <v>425776111967.37561</v>
      </c>
      <c r="J1039" s="47">
        <f t="shared" ca="1" si="142"/>
        <v>1990980787012.7961</v>
      </c>
      <c r="K1039" s="48">
        <f t="shared" ca="1" si="143"/>
        <v>0.21385244636448575</v>
      </c>
    </row>
    <row r="1040" spans="2:11" ht="15" customHeight="1" x14ac:dyDescent="0.35">
      <c r="B1040" s="5">
        <v>1019</v>
      </c>
      <c r="C1040" s="46">
        <f t="shared" ca="1" si="135"/>
        <v>2.9940253857282677</v>
      </c>
      <c r="D1040" s="47">
        <f t="shared" ca="1" si="136"/>
        <v>3880998495.3049831</v>
      </c>
      <c r="E1040" s="47">
        <f t="shared" ca="1" si="137"/>
        <v>16558039975715.039</v>
      </c>
      <c r="F1040" s="47">
        <f t="shared" ca="1" si="138"/>
        <v>3397164401583.3721</v>
      </c>
      <c r="G1040" s="47">
        <f t="shared" ca="1" si="139"/>
        <v>1409834252375.9314</v>
      </c>
      <c r="H1040" s="47">
        <f t="shared" ca="1" si="140"/>
        <v>1409834252375.9314</v>
      </c>
      <c r="I1040" s="47">
        <f t="shared" ca="1" si="141"/>
        <v>2795094845585.1045</v>
      </c>
      <c r="J1040" s="47">
        <f t="shared" ca="1" si="142"/>
        <v>2054825058084.7251</v>
      </c>
      <c r="K1040" s="48">
        <f t="shared" ca="1" si="143"/>
        <v>1.3602592758871526</v>
      </c>
    </row>
    <row r="1041" spans="2:11" ht="15" customHeight="1" x14ac:dyDescent="0.35">
      <c r="B1041" s="5">
        <v>1020</v>
      </c>
      <c r="C1041" s="46">
        <f t="shared" ca="1" si="135"/>
        <v>3.1145118896066135</v>
      </c>
      <c r="D1041" s="47">
        <f t="shared" ca="1" si="136"/>
        <v>6113509334.1072578</v>
      </c>
      <c r="E1041" s="47">
        <f t="shared" ca="1" si="137"/>
        <v>15874991205008.479</v>
      </c>
      <c r="F1041" s="47">
        <f t="shared" ca="1" si="138"/>
        <v>15685172736274.064</v>
      </c>
      <c r="G1041" s="47">
        <f t="shared" ca="1" si="139"/>
        <v>5496519735830.6543</v>
      </c>
      <c r="H1041" s="47">
        <f t="shared" ca="1" si="140"/>
        <v>15685172736274.064</v>
      </c>
      <c r="I1041" s="47">
        <f t="shared" ca="1" si="141"/>
        <v>41686983232851.789</v>
      </c>
      <c r="J1041" s="47">
        <f t="shared" ca="1" si="142"/>
        <v>696839537015.24121</v>
      </c>
      <c r="K1041" s="48">
        <f t="shared" ca="1" si="143"/>
        <v>59.8229305578854</v>
      </c>
    </row>
    <row r="1042" spans="2:11" ht="15" customHeight="1" x14ac:dyDescent="0.35">
      <c r="B1042" s="5">
        <v>1021</v>
      </c>
      <c r="C1042" s="46">
        <f t="shared" ca="1" si="135"/>
        <v>2.1319171823136727</v>
      </c>
      <c r="D1042" s="47">
        <f t="shared" ca="1" si="136"/>
        <v>804720220.40595341</v>
      </c>
      <c r="E1042" s="47">
        <f t="shared" ca="1" si="137"/>
        <v>1186226817387.105</v>
      </c>
      <c r="F1042" s="47">
        <f t="shared" ca="1" si="138"/>
        <v>1491782017585.3271</v>
      </c>
      <c r="G1042" s="47">
        <f t="shared" ca="1" si="139"/>
        <v>2849340252106.6802</v>
      </c>
      <c r="H1042" s="47">
        <f t="shared" ca="1" si="140"/>
        <v>1186226817387.105</v>
      </c>
      <c r="I1042" s="47">
        <f t="shared" ca="1" si="141"/>
        <v>1980564536769.665</v>
      </c>
      <c r="J1042" s="47">
        <f t="shared" ca="1" si="142"/>
        <v>1040934182732.1377</v>
      </c>
      <c r="K1042" s="48">
        <f t="shared" ca="1" si="143"/>
        <v>1.9026798904530944</v>
      </c>
    </row>
    <row r="1043" spans="2:11" ht="15" customHeight="1" x14ac:dyDescent="0.35">
      <c r="B1043" s="5">
        <v>1022</v>
      </c>
      <c r="C1043" s="46">
        <f t="shared" ca="1" si="135"/>
        <v>2.7297986055390822</v>
      </c>
      <c r="D1043" s="47">
        <f t="shared" ca="1" si="136"/>
        <v>3263492720.549768</v>
      </c>
      <c r="E1043" s="47">
        <f t="shared" ca="1" si="137"/>
        <v>15758978629382.389</v>
      </c>
      <c r="F1043" s="47">
        <f t="shared" ca="1" si="138"/>
        <v>36065099744341.977</v>
      </c>
      <c r="G1043" s="47">
        <f t="shared" ca="1" si="139"/>
        <v>387244820692004</v>
      </c>
      <c r="H1043" s="47">
        <f t="shared" ca="1" si="140"/>
        <v>36065099744341.977</v>
      </c>
      <c r="I1043" s="47">
        <f t="shared" ca="1" si="141"/>
        <v>6216267590233.5508</v>
      </c>
      <c r="J1043" s="47">
        <f t="shared" ca="1" si="142"/>
        <v>1404904545512.4458</v>
      </c>
      <c r="K1043" s="48">
        <f t="shared" ca="1" si="143"/>
        <v>4.424690353582803</v>
      </c>
    </row>
    <row r="1044" spans="2:11" ht="15" customHeight="1" x14ac:dyDescent="0.35">
      <c r="B1044" s="5">
        <v>1023</v>
      </c>
      <c r="C1044" s="46">
        <f t="shared" ca="1" si="135"/>
        <v>2.5924819670832151</v>
      </c>
      <c r="D1044" s="47">
        <f t="shared" ca="1" si="136"/>
        <v>2355558891.6587849</v>
      </c>
      <c r="E1044" s="47">
        <f t="shared" ca="1" si="137"/>
        <v>32629180499894.238</v>
      </c>
      <c r="F1044" s="47">
        <f t="shared" ca="1" si="138"/>
        <v>3038864556277.3501</v>
      </c>
      <c r="G1044" s="47">
        <f t="shared" ca="1" si="139"/>
        <v>6045112874448.3496</v>
      </c>
      <c r="H1044" s="47">
        <f t="shared" ca="1" si="140"/>
        <v>6045112874448.3496</v>
      </c>
      <c r="I1044" s="47">
        <f t="shared" ca="1" si="141"/>
        <v>85594319915963.797</v>
      </c>
      <c r="J1044" s="47">
        <f t="shared" ca="1" si="142"/>
        <v>1976495897281.4773</v>
      </c>
      <c r="K1044" s="48">
        <f t="shared" ca="1" si="143"/>
        <v>43.306095415473614</v>
      </c>
    </row>
    <row r="1045" spans="2:11" ht="15" customHeight="1" x14ac:dyDescent="0.35">
      <c r="B1045" s="5">
        <v>1024</v>
      </c>
      <c r="C1045" s="46">
        <f t="shared" ca="1" si="135"/>
        <v>2.7173371899872647</v>
      </c>
      <c r="D1045" s="47">
        <f t="shared" ca="1" si="136"/>
        <v>3200880724.663867</v>
      </c>
      <c r="E1045" s="47">
        <f t="shared" ca="1" si="137"/>
        <v>5226684409854.9756</v>
      </c>
      <c r="F1045" s="47">
        <f t="shared" ca="1" si="138"/>
        <v>5499199242014.0635</v>
      </c>
      <c r="G1045" s="47">
        <f t="shared" ca="1" si="139"/>
        <v>3365638989939.5591</v>
      </c>
      <c r="H1045" s="47">
        <f t="shared" ca="1" si="140"/>
        <v>5226684409854.9756</v>
      </c>
      <c r="I1045" s="47">
        <f t="shared" ca="1" si="141"/>
        <v>5158851127519.0537</v>
      </c>
      <c r="J1045" s="47">
        <f t="shared" ca="1" si="142"/>
        <v>1346936778205.1753</v>
      </c>
      <c r="K1045" s="48">
        <f t="shared" ca="1" si="143"/>
        <v>3.8300618195260383</v>
      </c>
    </row>
    <row r="1046" spans="2:11" ht="15" customHeight="1" x14ac:dyDescent="0.35">
      <c r="B1046" s="5">
        <v>1025</v>
      </c>
      <c r="C1046" s="46">
        <f t="shared" ref="C1046:C1109" ca="1" si="144">MEDIAN(1.8,NORMINV(RAND(),$C$7,$D$7),4.5)</f>
        <v>3.281438583748312</v>
      </c>
      <c r="D1046" s="47">
        <f t="shared" ref="D1046:D1109" ca="1" si="145">($C$8+RAND()*($D$8-$C$8))*C1046^5</f>
        <v>8995395914.7002277</v>
      </c>
      <c r="E1046" s="47">
        <f t="shared" ref="E1046:E1109" ca="1" si="146">D1046*($C$10+RAND()*($D$10-$C$10))*EXP(NORMINV(RAND(),$C$9,$D$9))*($C$11+RAND()*($D$11-$C$11))</f>
        <v>16782316022017.588</v>
      </c>
      <c r="F1046" s="47">
        <f t="shared" ref="F1046:F1109" ca="1" si="147">EXP(NORMINV(RAND(),$C$12,$D$12))*EXP(NORMINV(RAND(),$C$13,$D$13))</f>
        <v>3867014120273.4053</v>
      </c>
      <c r="G1046" s="47">
        <f t="shared" ref="G1046:G1109" ca="1" si="148">EXP(NORMINV(RAND(),$C$14,$D$14))*($C$15+RAND()*($D$15-$C$15))*EXP(NORMINV(RAND(),$C$16,$D$16))/1000000*31536000</f>
        <v>3867191757895.5996</v>
      </c>
      <c r="H1046" s="47">
        <f t="shared" ref="H1046:H1109" ca="1" si="149">CHOOSE(RANDBETWEEN(1,3),E1046,F1046,G1046)</f>
        <v>3867014120273.4053</v>
      </c>
      <c r="I1046" s="47">
        <f t="shared" ref="I1046:I1109" ca="1" si="150">EXP(NORMINV(RAND(),$C$14,$D$14))*($C$15+RAND()*($D$15-$C$15))*60</f>
        <v>5434995138722.3682</v>
      </c>
      <c r="J1046" s="47">
        <f t="shared" ref="J1046:J1109" ca="1" si="151">($C$17+RAND()*($D$17-$C$17))*($C$18+RAND()*($D$18-$C$18))</f>
        <v>1233098787277.1646</v>
      </c>
      <c r="K1046" s="48">
        <f t="shared" ref="K1046:K1109" ca="1" si="152">I1046/J1046</f>
        <v>4.4075910176860305</v>
      </c>
    </row>
    <row r="1047" spans="2:11" ht="15" customHeight="1" x14ac:dyDescent="0.35">
      <c r="B1047" s="5">
        <v>1026</v>
      </c>
      <c r="C1047" s="46">
        <f t="shared" ca="1" si="144"/>
        <v>3.8968046195957191</v>
      </c>
      <c r="D1047" s="47">
        <f t="shared" ca="1" si="145"/>
        <v>17811681892.053341</v>
      </c>
      <c r="E1047" s="47">
        <f t="shared" ca="1" si="146"/>
        <v>86197626237104.328</v>
      </c>
      <c r="F1047" s="47">
        <f t="shared" ca="1" si="147"/>
        <v>1237028869671.7917</v>
      </c>
      <c r="G1047" s="47">
        <f t="shared" ca="1" si="148"/>
        <v>317231278420.39899</v>
      </c>
      <c r="H1047" s="47">
        <f t="shared" ca="1" si="149"/>
        <v>86197626237104.328</v>
      </c>
      <c r="I1047" s="47">
        <f t="shared" ca="1" si="150"/>
        <v>1445495167501.1006</v>
      </c>
      <c r="J1047" s="47">
        <f t="shared" ca="1" si="151"/>
        <v>1152477900769.1663</v>
      </c>
      <c r="K1047" s="48">
        <f t="shared" ca="1" si="152"/>
        <v>1.2542497921533888</v>
      </c>
    </row>
    <row r="1048" spans="2:11" ht="15" customHeight="1" x14ac:dyDescent="0.35">
      <c r="B1048" s="5">
        <v>1027</v>
      </c>
      <c r="C1048" s="46">
        <f t="shared" ca="1" si="144"/>
        <v>3.5991208955397993</v>
      </c>
      <c r="D1048" s="47">
        <f t="shared" ca="1" si="145"/>
        <v>13832054812.404787</v>
      </c>
      <c r="E1048" s="47">
        <f t="shared" ca="1" si="146"/>
        <v>26631614706460.855</v>
      </c>
      <c r="F1048" s="47">
        <f t="shared" ca="1" si="147"/>
        <v>4091984533396.6719</v>
      </c>
      <c r="G1048" s="47">
        <f t="shared" ca="1" si="148"/>
        <v>1489545669240.9939</v>
      </c>
      <c r="H1048" s="47">
        <f t="shared" ca="1" si="149"/>
        <v>4091984533396.6719</v>
      </c>
      <c r="I1048" s="47">
        <f t="shared" ca="1" si="150"/>
        <v>56315884561043.664</v>
      </c>
      <c r="J1048" s="47">
        <f t="shared" ca="1" si="151"/>
        <v>1904572778519.4114</v>
      </c>
      <c r="K1048" s="48">
        <f t="shared" ca="1" si="152"/>
        <v>29.568775316017515</v>
      </c>
    </row>
    <row r="1049" spans="2:11" ht="15" customHeight="1" x14ac:dyDescent="0.35">
      <c r="B1049" s="5">
        <v>1028</v>
      </c>
      <c r="C1049" s="46">
        <f t="shared" ca="1" si="144"/>
        <v>4.0704113387822733</v>
      </c>
      <c r="D1049" s="47">
        <f t="shared" ca="1" si="145"/>
        <v>19314079361.944378</v>
      </c>
      <c r="E1049" s="47">
        <f t="shared" ca="1" si="146"/>
        <v>55669498166903.336</v>
      </c>
      <c r="F1049" s="47">
        <f t="shared" ca="1" si="147"/>
        <v>5945553750343.0234</v>
      </c>
      <c r="G1049" s="47">
        <f t="shared" ca="1" si="148"/>
        <v>2813238616569.1592</v>
      </c>
      <c r="H1049" s="47">
        <f t="shared" ca="1" si="149"/>
        <v>2813238616569.1592</v>
      </c>
      <c r="I1049" s="47">
        <f t="shared" ca="1" si="150"/>
        <v>14936180483438.174</v>
      </c>
      <c r="J1049" s="47">
        <f t="shared" ca="1" si="151"/>
        <v>738640573529.89111</v>
      </c>
      <c r="K1049" s="48">
        <f t="shared" ca="1" si="152"/>
        <v>20.221175249092568</v>
      </c>
    </row>
    <row r="1050" spans="2:11" ht="15" customHeight="1" x14ac:dyDescent="0.35">
      <c r="B1050" s="5">
        <v>1029</v>
      </c>
      <c r="C1050" s="46">
        <f t="shared" ca="1" si="144"/>
        <v>2.9534374062419246</v>
      </c>
      <c r="D1050" s="47">
        <f t="shared" ca="1" si="145"/>
        <v>4476603391.9849844</v>
      </c>
      <c r="E1050" s="47">
        <f t="shared" ca="1" si="146"/>
        <v>24600562804407.711</v>
      </c>
      <c r="F1050" s="47">
        <f t="shared" ca="1" si="147"/>
        <v>6502775729970.8037</v>
      </c>
      <c r="G1050" s="47">
        <f t="shared" ca="1" si="148"/>
        <v>28149589006575.961</v>
      </c>
      <c r="H1050" s="47">
        <f t="shared" ca="1" si="149"/>
        <v>6502775729970.8037</v>
      </c>
      <c r="I1050" s="47">
        <f t="shared" ca="1" si="150"/>
        <v>56134621643859.82</v>
      </c>
      <c r="J1050" s="47">
        <f t="shared" ca="1" si="151"/>
        <v>1213051134039.4175</v>
      </c>
      <c r="K1050" s="48">
        <f t="shared" ca="1" si="152"/>
        <v>46.275560913028876</v>
      </c>
    </row>
    <row r="1051" spans="2:11" ht="15" customHeight="1" x14ac:dyDescent="0.35">
      <c r="B1051" s="5">
        <v>1030</v>
      </c>
      <c r="C1051" s="46">
        <f t="shared" ca="1" si="144"/>
        <v>2.2232788487341235</v>
      </c>
      <c r="D1051" s="47">
        <f t="shared" ca="1" si="145"/>
        <v>1265682104.1882303</v>
      </c>
      <c r="E1051" s="47">
        <f t="shared" ca="1" si="146"/>
        <v>3469717905948.9424</v>
      </c>
      <c r="F1051" s="47">
        <f t="shared" ca="1" si="147"/>
        <v>3242577568245.6514</v>
      </c>
      <c r="G1051" s="47">
        <f t="shared" ca="1" si="148"/>
        <v>2817887361840.7715</v>
      </c>
      <c r="H1051" s="47">
        <f t="shared" ca="1" si="149"/>
        <v>3469717905948.9424</v>
      </c>
      <c r="I1051" s="47">
        <f t="shared" ca="1" si="150"/>
        <v>44749881029124.617</v>
      </c>
      <c r="J1051" s="47">
        <f t="shared" ca="1" si="151"/>
        <v>835280970653.66882</v>
      </c>
      <c r="K1051" s="48">
        <f t="shared" ca="1" si="152"/>
        <v>53.574644462574724</v>
      </c>
    </row>
    <row r="1052" spans="2:11" ht="15" customHeight="1" x14ac:dyDescent="0.35">
      <c r="B1052" s="5">
        <v>1031</v>
      </c>
      <c r="C1052" s="46">
        <f t="shared" ca="1" si="144"/>
        <v>4.2348439492921441</v>
      </c>
      <c r="D1052" s="47">
        <f t="shared" ca="1" si="145"/>
        <v>26162844578.853661</v>
      </c>
      <c r="E1052" s="47">
        <f t="shared" ca="1" si="146"/>
        <v>43612367899639.539</v>
      </c>
      <c r="F1052" s="47">
        <f t="shared" ca="1" si="147"/>
        <v>11783590979454.912</v>
      </c>
      <c r="G1052" s="47">
        <f t="shared" ca="1" si="148"/>
        <v>4829358003188.7861</v>
      </c>
      <c r="H1052" s="47">
        <f t="shared" ca="1" si="149"/>
        <v>4829358003188.7861</v>
      </c>
      <c r="I1052" s="47">
        <f t="shared" ca="1" si="150"/>
        <v>399691925399.04401</v>
      </c>
      <c r="J1052" s="47">
        <f t="shared" ca="1" si="151"/>
        <v>1149484074658.0349</v>
      </c>
      <c r="K1052" s="48">
        <f t="shared" ca="1" si="152"/>
        <v>0.34771419127137548</v>
      </c>
    </row>
    <row r="1053" spans="2:11" ht="15" customHeight="1" x14ac:dyDescent="0.35">
      <c r="B1053" s="5">
        <v>1032</v>
      </c>
      <c r="C1053" s="46">
        <f t="shared" ca="1" si="144"/>
        <v>2.3406427863279449</v>
      </c>
      <c r="D1053" s="47">
        <f t="shared" ca="1" si="145"/>
        <v>1310134761.7100716</v>
      </c>
      <c r="E1053" s="47">
        <f t="shared" ca="1" si="146"/>
        <v>2357373140574.0962</v>
      </c>
      <c r="F1053" s="47">
        <f t="shared" ca="1" si="147"/>
        <v>10372410059006.145</v>
      </c>
      <c r="G1053" s="47">
        <f t="shared" ca="1" si="148"/>
        <v>22919541680499.91</v>
      </c>
      <c r="H1053" s="47">
        <f t="shared" ca="1" si="149"/>
        <v>2357373140574.0962</v>
      </c>
      <c r="I1053" s="47">
        <f t="shared" ca="1" si="150"/>
        <v>3779234457849.8643</v>
      </c>
      <c r="J1053" s="47">
        <f t="shared" ca="1" si="151"/>
        <v>882382856258.45435</v>
      </c>
      <c r="K1053" s="48">
        <f t="shared" ca="1" si="152"/>
        <v>4.2829871761956664</v>
      </c>
    </row>
    <row r="1054" spans="2:11" ht="15" customHeight="1" x14ac:dyDescent="0.35">
      <c r="B1054" s="5">
        <v>1033</v>
      </c>
      <c r="C1054" s="46">
        <f t="shared" ca="1" si="144"/>
        <v>3.2629909792821876</v>
      </c>
      <c r="D1054" s="47">
        <f t="shared" ca="1" si="145"/>
        <v>7077611476.8009624</v>
      </c>
      <c r="E1054" s="47">
        <f t="shared" ca="1" si="146"/>
        <v>31429065718586.754</v>
      </c>
      <c r="F1054" s="47">
        <f t="shared" ca="1" si="147"/>
        <v>4922523662602.6895</v>
      </c>
      <c r="G1054" s="47">
        <f t="shared" ca="1" si="148"/>
        <v>5009208410073.5879</v>
      </c>
      <c r="H1054" s="47">
        <f t="shared" ca="1" si="149"/>
        <v>31429065718586.754</v>
      </c>
      <c r="I1054" s="47">
        <f t="shared" ca="1" si="150"/>
        <v>3055824150483.5693</v>
      </c>
      <c r="J1054" s="47">
        <f t="shared" ca="1" si="151"/>
        <v>1478793309580.4695</v>
      </c>
      <c r="K1054" s="48">
        <f t="shared" ca="1" si="152"/>
        <v>2.06643087352789</v>
      </c>
    </row>
    <row r="1055" spans="2:11" ht="15" customHeight="1" x14ac:dyDescent="0.35">
      <c r="B1055" s="5">
        <v>1034</v>
      </c>
      <c r="C1055" s="46">
        <f t="shared" ca="1" si="144"/>
        <v>2.9035957408186719</v>
      </c>
      <c r="D1055" s="47">
        <f t="shared" ca="1" si="145"/>
        <v>3988479873.3204174</v>
      </c>
      <c r="E1055" s="47">
        <f t="shared" ca="1" si="146"/>
        <v>59844699397689.758</v>
      </c>
      <c r="F1055" s="47">
        <f t="shared" ca="1" si="147"/>
        <v>543380938012.02057</v>
      </c>
      <c r="G1055" s="47">
        <f t="shared" ca="1" si="148"/>
        <v>19684777093779.453</v>
      </c>
      <c r="H1055" s="47">
        <f t="shared" ca="1" si="149"/>
        <v>543380938012.02057</v>
      </c>
      <c r="I1055" s="47">
        <f t="shared" ca="1" si="150"/>
        <v>12750119393301.164</v>
      </c>
      <c r="J1055" s="47">
        <f t="shared" ca="1" si="151"/>
        <v>1575059849251.7788</v>
      </c>
      <c r="K1055" s="48">
        <f t="shared" ca="1" si="152"/>
        <v>8.0950062941151213</v>
      </c>
    </row>
    <row r="1056" spans="2:11" ht="15" customHeight="1" x14ac:dyDescent="0.35">
      <c r="B1056" s="5">
        <v>1035</v>
      </c>
      <c r="C1056" s="46">
        <f t="shared" ca="1" si="144"/>
        <v>2.436646367839308</v>
      </c>
      <c r="D1056" s="47">
        <f t="shared" ca="1" si="145"/>
        <v>1415001583.2962449</v>
      </c>
      <c r="E1056" s="47">
        <f t="shared" ca="1" si="146"/>
        <v>4355460905027.0547</v>
      </c>
      <c r="F1056" s="47">
        <f t="shared" ca="1" si="147"/>
        <v>3251360957871.7686</v>
      </c>
      <c r="G1056" s="47">
        <f t="shared" ca="1" si="148"/>
        <v>33993480778947.945</v>
      </c>
      <c r="H1056" s="47">
        <f t="shared" ca="1" si="149"/>
        <v>4355460905027.0547</v>
      </c>
      <c r="I1056" s="47">
        <f t="shared" ca="1" si="150"/>
        <v>1085938693042.3965</v>
      </c>
      <c r="J1056" s="47">
        <f t="shared" ca="1" si="151"/>
        <v>1508786486126.1799</v>
      </c>
      <c r="K1056" s="48">
        <f t="shared" ca="1" si="152"/>
        <v>0.71974312006899788</v>
      </c>
    </row>
    <row r="1057" spans="2:11" ht="15" customHeight="1" x14ac:dyDescent="0.35">
      <c r="B1057" s="5">
        <v>1036</v>
      </c>
      <c r="C1057" s="46">
        <f t="shared" ca="1" si="144"/>
        <v>2.8721467482519558</v>
      </c>
      <c r="D1057" s="47">
        <f t="shared" ca="1" si="145"/>
        <v>4173310551.4077187</v>
      </c>
      <c r="E1057" s="47">
        <f t="shared" ca="1" si="146"/>
        <v>10128751088705.504</v>
      </c>
      <c r="F1057" s="47">
        <f t="shared" ca="1" si="147"/>
        <v>5552066630504.8623</v>
      </c>
      <c r="G1057" s="47">
        <f t="shared" ca="1" si="148"/>
        <v>3099305090938.3325</v>
      </c>
      <c r="H1057" s="47">
        <f t="shared" ca="1" si="149"/>
        <v>5552066630504.8623</v>
      </c>
      <c r="I1057" s="47">
        <f t="shared" ca="1" si="150"/>
        <v>124708381562903.42</v>
      </c>
      <c r="J1057" s="47">
        <f t="shared" ca="1" si="151"/>
        <v>1637202822977.3877</v>
      </c>
      <c r="K1057" s="48">
        <f t="shared" ca="1" si="152"/>
        <v>76.171614055802195</v>
      </c>
    </row>
    <row r="1058" spans="2:11" ht="15" customHeight="1" x14ac:dyDescent="0.35">
      <c r="B1058" s="5">
        <v>1037</v>
      </c>
      <c r="C1058" s="46">
        <f t="shared" ca="1" si="144"/>
        <v>3.5942207577225544</v>
      </c>
      <c r="D1058" s="47">
        <f t="shared" ca="1" si="145"/>
        <v>12779748449.54352</v>
      </c>
      <c r="E1058" s="47">
        <f t="shared" ca="1" si="146"/>
        <v>101026572815472.48</v>
      </c>
      <c r="F1058" s="47">
        <f t="shared" ca="1" si="147"/>
        <v>6298764132069.3711</v>
      </c>
      <c r="G1058" s="47">
        <f t="shared" ca="1" si="148"/>
        <v>2837745750773.77</v>
      </c>
      <c r="H1058" s="47">
        <f t="shared" ca="1" si="149"/>
        <v>101026572815472.48</v>
      </c>
      <c r="I1058" s="47">
        <f t="shared" ca="1" si="150"/>
        <v>41703585166178.477</v>
      </c>
      <c r="J1058" s="47">
        <f t="shared" ca="1" si="151"/>
        <v>1231623727273.3779</v>
      </c>
      <c r="K1058" s="48">
        <f t="shared" ca="1" si="152"/>
        <v>33.860654226355059</v>
      </c>
    </row>
    <row r="1059" spans="2:11" ht="15" customHeight="1" x14ac:dyDescent="0.35">
      <c r="B1059" s="5">
        <v>1038</v>
      </c>
      <c r="C1059" s="46">
        <f t="shared" ca="1" si="144"/>
        <v>3.5495932242166006</v>
      </c>
      <c r="D1059" s="47">
        <f t="shared" ca="1" si="145"/>
        <v>11381727005.662243</v>
      </c>
      <c r="E1059" s="47">
        <f t="shared" ca="1" si="146"/>
        <v>40194857101764.313</v>
      </c>
      <c r="F1059" s="47">
        <f t="shared" ca="1" si="147"/>
        <v>258049035873.42728</v>
      </c>
      <c r="G1059" s="47">
        <f t="shared" ca="1" si="148"/>
        <v>6064618545267.6436</v>
      </c>
      <c r="H1059" s="47">
        <f t="shared" ca="1" si="149"/>
        <v>40194857101764.313</v>
      </c>
      <c r="I1059" s="47">
        <f t="shared" ca="1" si="150"/>
        <v>16327827343798.193</v>
      </c>
      <c r="J1059" s="47">
        <f t="shared" ca="1" si="151"/>
        <v>905049310528.44543</v>
      </c>
      <c r="K1059" s="48">
        <f t="shared" ca="1" si="152"/>
        <v>18.040815184163399</v>
      </c>
    </row>
    <row r="1060" spans="2:11" ht="15" customHeight="1" x14ac:dyDescent="0.35">
      <c r="B1060" s="5">
        <v>1039</v>
      </c>
      <c r="C1060" s="46">
        <f t="shared" ca="1" si="144"/>
        <v>2.7799182815797434</v>
      </c>
      <c r="D1060" s="47">
        <f t="shared" ca="1" si="145"/>
        <v>2665901127.1674738</v>
      </c>
      <c r="E1060" s="47">
        <f t="shared" ca="1" si="146"/>
        <v>20744430789011.023</v>
      </c>
      <c r="F1060" s="47">
        <f t="shared" ca="1" si="147"/>
        <v>3035009343376.0747</v>
      </c>
      <c r="G1060" s="47">
        <f t="shared" ca="1" si="148"/>
        <v>112125369663801.38</v>
      </c>
      <c r="H1060" s="47">
        <f t="shared" ca="1" si="149"/>
        <v>20744430789011.023</v>
      </c>
      <c r="I1060" s="47">
        <f t="shared" ca="1" si="150"/>
        <v>5211118137700.7852</v>
      </c>
      <c r="J1060" s="47">
        <f t="shared" ca="1" si="151"/>
        <v>1253589370239.6709</v>
      </c>
      <c r="K1060" s="48">
        <f t="shared" ca="1" si="152"/>
        <v>4.1569578216066745</v>
      </c>
    </row>
    <row r="1061" spans="2:11" ht="15" customHeight="1" x14ac:dyDescent="0.35">
      <c r="B1061" s="5">
        <v>1040</v>
      </c>
      <c r="C1061" s="46">
        <f t="shared" ca="1" si="144"/>
        <v>2.8248164428841718</v>
      </c>
      <c r="D1061" s="47">
        <f t="shared" ca="1" si="145"/>
        <v>3262455292.7890096</v>
      </c>
      <c r="E1061" s="47">
        <f t="shared" ca="1" si="146"/>
        <v>20130670887197.363</v>
      </c>
      <c r="F1061" s="47">
        <f t="shared" ca="1" si="147"/>
        <v>438572698910.96198</v>
      </c>
      <c r="G1061" s="47">
        <f t="shared" ca="1" si="148"/>
        <v>3645179555195.6348</v>
      </c>
      <c r="H1061" s="47">
        <f t="shared" ca="1" si="149"/>
        <v>438572698910.96198</v>
      </c>
      <c r="I1061" s="47">
        <f t="shared" ca="1" si="150"/>
        <v>3387007354135.6528</v>
      </c>
      <c r="J1061" s="47">
        <f t="shared" ca="1" si="151"/>
        <v>546337252035.70605</v>
      </c>
      <c r="K1061" s="48">
        <f t="shared" ca="1" si="152"/>
        <v>6.1994808911809178</v>
      </c>
    </row>
    <row r="1062" spans="2:11" ht="15" customHeight="1" x14ac:dyDescent="0.35">
      <c r="B1062" s="5">
        <v>1041</v>
      </c>
      <c r="C1062" s="46">
        <f t="shared" ca="1" si="144"/>
        <v>2.5534283274145877</v>
      </c>
      <c r="D1062" s="47">
        <f t="shared" ca="1" si="145"/>
        <v>2467842599.4980435</v>
      </c>
      <c r="E1062" s="47">
        <f t="shared" ca="1" si="146"/>
        <v>14360829659635.047</v>
      </c>
      <c r="F1062" s="47">
        <f t="shared" ca="1" si="147"/>
        <v>2935794272228.3403</v>
      </c>
      <c r="G1062" s="47">
        <f t="shared" ca="1" si="148"/>
        <v>4842980833693.5869</v>
      </c>
      <c r="H1062" s="47">
        <f t="shared" ca="1" si="149"/>
        <v>2935794272228.3403</v>
      </c>
      <c r="I1062" s="47">
        <f t="shared" ca="1" si="150"/>
        <v>1735344527116.2727</v>
      </c>
      <c r="J1062" s="47">
        <f t="shared" ca="1" si="151"/>
        <v>1039679480467.8</v>
      </c>
      <c r="K1062" s="48">
        <f t="shared" ca="1" si="152"/>
        <v>1.6691149144690829</v>
      </c>
    </row>
    <row r="1063" spans="2:11" ht="15" customHeight="1" x14ac:dyDescent="0.35">
      <c r="B1063" s="5">
        <v>1042</v>
      </c>
      <c r="C1063" s="46">
        <f t="shared" ca="1" si="144"/>
        <v>2.4673675694628985</v>
      </c>
      <c r="D1063" s="47">
        <f t="shared" ca="1" si="145"/>
        <v>1527016462.6601334</v>
      </c>
      <c r="E1063" s="47">
        <f t="shared" ca="1" si="146"/>
        <v>8567392092749.6016</v>
      </c>
      <c r="F1063" s="47">
        <f t="shared" ca="1" si="147"/>
        <v>1030734634687.4377</v>
      </c>
      <c r="G1063" s="47">
        <f t="shared" ca="1" si="148"/>
        <v>8827078553785.2441</v>
      </c>
      <c r="H1063" s="47">
        <f t="shared" ca="1" si="149"/>
        <v>1030734634687.4377</v>
      </c>
      <c r="I1063" s="47">
        <f t="shared" ca="1" si="150"/>
        <v>10249488627047.152</v>
      </c>
      <c r="J1063" s="47">
        <f t="shared" ca="1" si="151"/>
        <v>1780247171328.4822</v>
      </c>
      <c r="K1063" s="48">
        <f t="shared" ca="1" si="152"/>
        <v>5.7573402121451647</v>
      </c>
    </row>
    <row r="1064" spans="2:11" ht="15" customHeight="1" x14ac:dyDescent="0.35">
      <c r="B1064" s="5">
        <v>1043</v>
      </c>
      <c r="C1064" s="46">
        <f t="shared" ca="1" si="144"/>
        <v>3.4189784487661359</v>
      </c>
      <c r="D1064" s="47">
        <f t="shared" ca="1" si="145"/>
        <v>8768518917.7212887</v>
      </c>
      <c r="E1064" s="47">
        <f t="shared" ca="1" si="146"/>
        <v>59543712359082.273</v>
      </c>
      <c r="F1064" s="47">
        <f t="shared" ca="1" si="147"/>
        <v>1774767867086.4526</v>
      </c>
      <c r="G1064" s="47">
        <f t="shared" ca="1" si="148"/>
        <v>1603287984416.1096</v>
      </c>
      <c r="H1064" s="47">
        <f t="shared" ca="1" si="149"/>
        <v>1774767867086.4526</v>
      </c>
      <c r="I1064" s="47">
        <f t="shared" ca="1" si="150"/>
        <v>14955008525211.092</v>
      </c>
      <c r="J1064" s="47">
        <f t="shared" ca="1" si="151"/>
        <v>841485638237.12695</v>
      </c>
      <c r="K1064" s="48">
        <f t="shared" ca="1" si="152"/>
        <v>17.772149452890407</v>
      </c>
    </row>
    <row r="1065" spans="2:11" ht="15" customHeight="1" x14ac:dyDescent="0.35">
      <c r="B1065" s="5">
        <v>1044</v>
      </c>
      <c r="C1065" s="46">
        <f t="shared" ca="1" si="144"/>
        <v>2.6116489095904898</v>
      </c>
      <c r="D1065" s="47">
        <f t="shared" ca="1" si="145"/>
        <v>2826865894.5702724</v>
      </c>
      <c r="E1065" s="47">
        <f t="shared" ca="1" si="146"/>
        <v>13810553608320.131</v>
      </c>
      <c r="F1065" s="47">
        <f t="shared" ca="1" si="147"/>
        <v>3262956565241.2646</v>
      </c>
      <c r="G1065" s="47">
        <f t="shared" ca="1" si="148"/>
        <v>955858089711.26489</v>
      </c>
      <c r="H1065" s="47">
        <f t="shared" ca="1" si="149"/>
        <v>13810553608320.131</v>
      </c>
      <c r="I1065" s="47">
        <f t="shared" ca="1" si="150"/>
        <v>49137938498654.68</v>
      </c>
      <c r="J1065" s="47">
        <f t="shared" ca="1" si="151"/>
        <v>1057729524241.265</v>
      </c>
      <c r="K1065" s="48">
        <f t="shared" ca="1" si="152"/>
        <v>46.45605267934873</v>
      </c>
    </row>
    <row r="1066" spans="2:11" ht="15" customHeight="1" x14ac:dyDescent="0.35">
      <c r="B1066" s="5">
        <v>1045</v>
      </c>
      <c r="C1066" s="46">
        <f t="shared" ca="1" si="144"/>
        <v>2.5755463801869807</v>
      </c>
      <c r="D1066" s="47">
        <f t="shared" ca="1" si="145"/>
        <v>2302174724.9097314</v>
      </c>
      <c r="E1066" s="47">
        <f t="shared" ca="1" si="146"/>
        <v>16550751702981.482</v>
      </c>
      <c r="F1066" s="47">
        <f t="shared" ca="1" si="147"/>
        <v>464321655774.73517</v>
      </c>
      <c r="G1066" s="47">
        <f t="shared" ca="1" si="148"/>
        <v>2963344735946.4551</v>
      </c>
      <c r="H1066" s="47">
        <f t="shared" ca="1" si="149"/>
        <v>464321655774.73517</v>
      </c>
      <c r="I1066" s="47">
        <f t="shared" ca="1" si="150"/>
        <v>16161400898758.525</v>
      </c>
      <c r="J1066" s="47">
        <f t="shared" ca="1" si="151"/>
        <v>1110209551136.5789</v>
      </c>
      <c r="K1066" s="48">
        <f t="shared" ca="1" si="152"/>
        <v>14.557072475383826</v>
      </c>
    </row>
    <row r="1067" spans="2:11" ht="15" customHeight="1" x14ac:dyDescent="0.35">
      <c r="B1067" s="5">
        <v>1046</v>
      </c>
      <c r="C1067" s="46">
        <f t="shared" ca="1" si="144"/>
        <v>2.9785527008737644</v>
      </c>
      <c r="D1067" s="47">
        <f t="shared" ca="1" si="145"/>
        <v>5566583087.2169809</v>
      </c>
      <c r="E1067" s="47">
        <f t="shared" ca="1" si="146"/>
        <v>23141673093268.492</v>
      </c>
      <c r="F1067" s="47">
        <f t="shared" ca="1" si="147"/>
        <v>4455050155192.4229</v>
      </c>
      <c r="G1067" s="47">
        <f t="shared" ca="1" si="148"/>
        <v>38988327108626.445</v>
      </c>
      <c r="H1067" s="47">
        <f t="shared" ca="1" si="149"/>
        <v>23141673093268.492</v>
      </c>
      <c r="I1067" s="47">
        <f t="shared" ca="1" si="150"/>
        <v>19571914028467.703</v>
      </c>
      <c r="J1067" s="47">
        <f t="shared" ca="1" si="151"/>
        <v>1139158170918.4788</v>
      </c>
      <c r="K1067" s="48">
        <f t="shared" ca="1" si="152"/>
        <v>17.181032913706172</v>
      </c>
    </row>
    <row r="1068" spans="2:11" ht="15" customHeight="1" x14ac:dyDescent="0.35">
      <c r="B1068" s="5">
        <v>1047</v>
      </c>
      <c r="C1068" s="46">
        <f t="shared" ca="1" si="144"/>
        <v>2.4763488354641394</v>
      </c>
      <c r="D1068" s="47">
        <f t="shared" ca="1" si="145"/>
        <v>1974391012.9413183</v>
      </c>
      <c r="E1068" s="47">
        <f t="shared" ca="1" si="146"/>
        <v>8858672435804.4258</v>
      </c>
      <c r="F1068" s="47">
        <f t="shared" ca="1" si="147"/>
        <v>8520540884161.3418</v>
      </c>
      <c r="G1068" s="47">
        <f t="shared" ca="1" si="148"/>
        <v>9743580548938.9258</v>
      </c>
      <c r="H1068" s="47">
        <f t="shared" ca="1" si="149"/>
        <v>8858672435804.4258</v>
      </c>
      <c r="I1068" s="47">
        <f t="shared" ca="1" si="150"/>
        <v>169692574749866.47</v>
      </c>
      <c r="J1068" s="47">
        <f t="shared" ca="1" si="151"/>
        <v>1907544675295.5535</v>
      </c>
      <c r="K1068" s="48">
        <f t="shared" ca="1" si="152"/>
        <v>88.958637219636515</v>
      </c>
    </row>
    <row r="1069" spans="2:11" ht="15" customHeight="1" x14ac:dyDescent="0.35">
      <c r="B1069" s="5">
        <v>1048</v>
      </c>
      <c r="C1069" s="46">
        <f t="shared" ca="1" si="144"/>
        <v>2.6280933226401353</v>
      </c>
      <c r="D1069" s="47">
        <f t="shared" ca="1" si="145"/>
        <v>2728607861.7629375</v>
      </c>
      <c r="E1069" s="47">
        <f t="shared" ca="1" si="146"/>
        <v>15783414331299.113</v>
      </c>
      <c r="F1069" s="47">
        <f t="shared" ca="1" si="147"/>
        <v>1548363299518.5376</v>
      </c>
      <c r="G1069" s="47">
        <f t="shared" ca="1" si="148"/>
        <v>8658877624870.0898</v>
      </c>
      <c r="H1069" s="47">
        <f t="shared" ca="1" si="149"/>
        <v>8658877624870.0898</v>
      </c>
      <c r="I1069" s="47">
        <f t="shared" ca="1" si="150"/>
        <v>38744695527837.453</v>
      </c>
      <c r="J1069" s="47">
        <f t="shared" ca="1" si="151"/>
        <v>1383933492683.9561</v>
      </c>
      <c r="K1069" s="48">
        <f t="shared" ca="1" si="152"/>
        <v>27.996067536957458</v>
      </c>
    </row>
    <row r="1070" spans="2:11" ht="15" customHeight="1" x14ac:dyDescent="0.35">
      <c r="B1070" s="5">
        <v>1049</v>
      </c>
      <c r="C1070" s="46">
        <f t="shared" ca="1" si="144"/>
        <v>2.5919469099097956</v>
      </c>
      <c r="D1070" s="47">
        <f t="shared" ca="1" si="145"/>
        <v>1960736503.341856</v>
      </c>
      <c r="E1070" s="47">
        <f t="shared" ca="1" si="146"/>
        <v>3207203001492.1323</v>
      </c>
      <c r="F1070" s="47">
        <f t="shared" ca="1" si="147"/>
        <v>1568537063542.2842</v>
      </c>
      <c r="G1070" s="47">
        <f t="shared" ca="1" si="148"/>
        <v>17587630738141.061</v>
      </c>
      <c r="H1070" s="47">
        <f t="shared" ca="1" si="149"/>
        <v>1568537063542.2842</v>
      </c>
      <c r="I1070" s="47">
        <f t="shared" ca="1" si="150"/>
        <v>2536710167234.7656</v>
      </c>
      <c r="J1070" s="47">
        <f t="shared" ca="1" si="151"/>
        <v>1607323145847.5059</v>
      </c>
      <c r="K1070" s="48">
        <f t="shared" ca="1" si="152"/>
        <v>1.5782203931974206</v>
      </c>
    </row>
    <row r="1071" spans="2:11" ht="15" customHeight="1" x14ac:dyDescent="0.35">
      <c r="B1071" s="5">
        <v>1050</v>
      </c>
      <c r="C1071" s="46">
        <f t="shared" ca="1" si="144"/>
        <v>2.9972157040632168</v>
      </c>
      <c r="D1071" s="47">
        <f t="shared" ca="1" si="145"/>
        <v>4192275008.6825442</v>
      </c>
      <c r="E1071" s="47">
        <f t="shared" ca="1" si="146"/>
        <v>10454224074402.848</v>
      </c>
      <c r="F1071" s="47">
        <f t="shared" ca="1" si="147"/>
        <v>414614671325.88928</v>
      </c>
      <c r="G1071" s="47">
        <f t="shared" ca="1" si="148"/>
        <v>1520589071981.9446</v>
      </c>
      <c r="H1071" s="47">
        <f t="shared" ca="1" si="149"/>
        <v>10454224074402.848</v>
      </c>
      <c r="I1071" s="47">
        <f t="shared" ca="1" si="150"/>
        <v>15195540784267.021</v>
      </c>
      <c r="J1071" s="47">
        <f t="shared" ca="1" si="151"/>
        <v>1758815365867.4966</v>
      </c>
      <c r="K1071" s="48">
        <f t="shared" ca="1" si="152"/>
        <v>8.6396452289192727</v>
      </c>
    </row>
    <row r="1072" spans="2:11" ht="15" customHeight="1" x14ac:dyDescent="0.35">
      <c r="B1072" s="5">
        <v>1051</v>
      </c>
      <c r="C1072" s="46">
        <f t="shared" ca="1" si="144"/>
        <v>2.8969587479794194</v>
      </c>
      <c r="D1072" s="47">
        <f t="shared" ca="1" si="145"/>
        <v>3352700508.3005457</v>
      </c>
      <c r="E1072" s="47">
        <f t="shared" ca="1" si="146"/>
        <v>16328066573557.922</v>
      </c>
      <c r="F1072" s="47">
        <f t="shared" ca="1" si="147"/>
        <v>675171979323.03552</v>
      </c>
      <c r="G1072" s="47">
        <f t="shared" ca="1" si="148"/>
        <v>20264577874722.043</v>
      </c>
      <c r="H1072" s="47">
        <f t="shared" ca="1" si="149"/>
        <v>16328066573557.922</v>
      </c>
      <c r="I1072" s="47">
        <f t="shared" ca="1" si="150"/>
        <v>1384141078983.0383</v>
      </c>
      <c r="J1072" s="47">
        <f t="shared" ca="1" si="151"/>
        <v>1581697626666.7148</v>
      </c>
      <c r="K1072" s="48">
        <f t="shared" ca="1" si="152"/>
        <v>0.87509841049707515</v>
      </c>
    </row>
    <row r="1073" spans="2:11" ht="15" customHeight="1" x14ac:dyDescent="0.35">
      <c r="B1073" s="5">
        <v>1052</v>
      </c>
      <c r="C1073" s="46">
        <f t="shared" ca="1" si="144"/>
        <v>2.4958081453916208</v>
      </c>
      <c r="D1073" s="47">
        <f t="shared" ca="1" si="145"/>
        <v>1866306064.4805667</v>
      </c>
      <c r="E1073" s="47">
        <f t="shared" ca="1" si="146"/>
        <v>8007071459119.8584</v>
      </c>
      <c r="F1073" s="47">
        <f t="shared" ca="1" si="147"/>
        <v>2646544931429.8804</v>
      </c>
      <c r="G1073" s="47">
        <f t="shared" ca="1" si="148"/>
        <v>1813408459432.198</v>
      </c>
      <c r="H1073" s="47">
        <f t="shared" ca="1" si="149"/>
        <v>2646544931429.8804</v>
      </c>
      <c r="I1073" s="47">
        <f t="shared" ca="1" si="150"/>
        <v>11621347221981.689</v>
      </c>
      <c r="J1073" s="47">
        <f t="shared" ca="1" si="151"/>
        <v>1422719343755.697</v>
      </c>
      <c r="K1073" s="48">
        <f t="shared" ca="1" si="152"/>
        <v>8.1684045929281019</v>
      </c>
    </row>
    <row r="1074" spans="2:11" ht="15" customHeight="1" x14ac:dyDescent="0.35">
      <c r="B1074" s="5">
        <v>1053</v>
      </c>
      <c r="C1074" s="46">
        <f t="shared" ca="1" si="144"/>
        <v>3.1541501643964471</v>
      </c>
      <c r="D1074" s="47">
        <f t="shared" ca="1" si="145"/>
        <v>6995339542.338479</v>
      </c>
      <c r="E1074" s="47">
        <f t="shared" ca="1" si="146"/>
        <v>25675023155290.625</v>
      </c>
      <c r="F1074" s="47">
        <f t="shared" ca="1" si="147"/>
        <v>6858718226743.2734</v>
      </c>
      <c r="G1074" s="47">
        <f t="shared" ca="1" si="148"/>
        <v>4808721374753.7305</v>
      </c>
      <c r="H1074" s="47">
        <f t="shared" ca="1" si="149"/>
        <v>25675023155290.625</v>
      </c>
      <c r="I1074" s="47">
        <f t="shared" ca="1" si="150"/>
        <v>20021022904909.852</v>
      </c>
      <c r="J1074" s="47">
        <f t="shared" ca="1" si="151"/>
        <v>1567201041955.1289</v>
      </c>
      <c r="K1074" s="48">
        <f t="shared" ca="1" si="152"/>
        <v>12.775018883303602</v>
      </c>
    </row>
    <row r="1075" spans="2:11" ht="15" customHeight="1" x14ac:dyDescent="0.35">
      <c r="B1075" s="5">
        <v>1054</v>
      </c>
      <c r="C1075" s="46">
        <f t="shared" ca="1" si="144"/>
        <v>2.6884422073975385</v>
      </c>
      <c r="D1075" s="47">
        <f t="shared" ca="1" si="145"/>
        <v>2739811370.4253821</v>
      </c>
      <c r="E1075" s="47">
        <f t="shared" ca="1" si="146"/>
        <v>3659038933810.2607</v>
      </c>
      <c r="F1075" s="47">
        <f t="shared" ca="1" si="147"/>
        <v>1104505343728.3188</v>
      </c>
      <c r="G1075" s="47">
        <f t="shared" ca="1" si="148"/>
        <v>2843767840989.4292</v>
      </c>
      <c r="H1075" s="47">
        <f t="shared" ca="1" si="149"/>
        <v>1104505343728.3188</v>
      </c>
      <c r="I1075" s="47">
        <f t="shared" ca="1" si="150"/>
        <v>63021794772098.453</v>
      </c>
      <c r="J1075" s="47">
        <f t="shared" ca="1" si="151"/>
        <v>739549710415.84546</v>
      </c>
      <c r="K1075" s="48">
        <f t="shared" ca="1" si="152"/>
        <v>85.21644168674149</v>
      </c>
    </row>
    <row r="1076" spans="2:11" ht="15" customHeight="1" x14ac:dyDescent="0.35">
      <c r="B1076" s="5">
        <v>1055</v>
      </c>
      <c r="C1076" s="46">
        <f t="shared" ca="1" si="144"/>
        <v>3.8260849431109309</v>
      </c>
      <c r="D1076" s="47">
        <f t="shared" ca="1" si="145"/>
        <v>16567811966.194624</v>
      </c>
      <c r="E1076" s="47">
        <f t="shared" ca="1" si="146"/>
        <v>46264408840982.625</v>
      </c>
      <c r="F1076" s="47">
        <f t="shared" ca="1" si="147"/>
        <v>3724460117230.7998</v>
      </c>
      <c r="G1076" s="47">
        <f t="shared" ca="1" si="148"/>
        <v>86817010018541.438</v>
      </c>
      <c r="H1076" s="47">
        <f t="shared" ca="1" si="149"/>
        <v>3724460117230.7998</v>
      </c>
      <c r="I1076" s="47">
        <f t="shared" ca="1" si="150"/>
        <v>15778138996272.172</v>
      </c>
      <c r="J1076" s="47">
        <f t="shared" ca="1" si="151"/>
        <v>640902687498.22778</v>
      </c>
      <c r="K1076" s="48">
        <f t="shared" ca="1" si="152"/>
        <v>24.618618869991558</v>
      </c>
    </row>
    <row r="1077" spans="2:11" ht="15" customHeight="1" x14ac:dyDescent="0.35">
      <c r="B1077" s="5">
        <v>1056</v>
      </c>
      <c r="C1077" s="46">
        <f t="shared" ca="1" si="144"/>
        <v>3.1726596684764328</v>
      </c>
      <c r="D1077" s="47">
        <f t="shared" ca="1" si="145"/>
        <v>5540870069.833952</v>
      </c>
      <c r="E1077" s="47">
        <f t="shared" ca="1" si="146"/>
        <v>10983734487270.074</v>
      </c>
      <c r="F1077" s="47">
        <f t="shared" ca="1" si="147"/>
        <v>19390964934285.207</v>
      </c>
      <c r="G1077" s="47">
        <f t="shared" ca="1" si="148"/>
        <v>5789088127154.334</v>
      </c>
      <c r="H1077" s="47">
        <f t="shared" ca="1" si="149"/>
        <v>5789088127154.334</v>
      </c>
      <c r="I1077" s="47">
        <f t="shared" ca="1" si="150"/>
        <v>54551343728864.359</v>
      </c>
      <c r="J1077" s="47">
        <f t="shared" ca="1" si="151"/>
        <v>1181902416122.1238</v>
      </c>
      <c r="K1077" s="48">
        <f t="shared" ca="1" si="152"/>
        <v>46.155539564636669</v>
      </c>
    </row>
    <row r="1078" spans="2:11" ht="15" customHeight="1" x14ac:dyDescent="0.35">
      <c r="B1078" s="5">
        <v>1057</v>
      </c>
      <c r="C1078" s="46">
        <f t="shared" ca="1" si="144"/>
        <v>2.6867670808004114</v>
      </c>
      <c r="D1078" s="47">
        <f t="shared" ca="1" si="145"/>
        <v>2489931619.3333654</v>
      </c>
      <c r="E1078" s="47">
        <f t="shared" ca="1" si="146"/>
        <v>5081249157817.7568</v>
      </c>
      <c r="F1078" s="47">
        <f t="shared" ca="1" si="147"/>
        <v>1334616437741.8752</v>
      </c>
      <c r="G1078" s="47">
        <f t="shared" ca="1" si="148"/>
        <v>200495737788.26657</v>
      </c>
      <c r="H1078" s="47">
        <f t="shared" ca="1" si="149"/>
        <v>200495737788.26657</v>
      </c>
      <c r="I1078" s="47">
        <f t="shared" ca="1" si="150"/>
        <v>81724478189900.75</v>
      </c>
      <c r="J1078" s="47">
        <f t="shared" ca="1" si="151"/>
        <v>1058808422175.1178</v>
      </c>
      <c r="K1078" s="48">
        <f t="shared" ca="1" si="152"/>
        <v>77.185330677681577</v>
      </c>
    </row>
    <row r="1079" spans="2:11" ht="15" customHeight="1" x14ac:dyDescent="0.35">
      <c r="B1079" s="5">
        <v>1058</v>
      </c>
      <c r="C1079" s="46">
        <f t="shared" ca="1" si="144"/>
        <v>3.0691375570777675</v>
      </c>
      <c r="D1079" s="47">
        <f t="shared" ca="1" si="145"/>
        <v>5077893596.0072584</v>
      </c>
      <c r="E1079" s="47">
        <f t="shared" ca="1" si="146"/>
        <v>7156443259961.0264</v>
      </c>
      <c r="F1079" s="47">
        <f t="shared" ca="1" si="147"/>
        <v>3360392523091.5698</v>
      </c>
      <c r="G1079" s="47">
        <f t="shared" ca="1" si="148"/>
        <v>2997147318902.6143</v>
      </c>
      <c r="H1079" s="47">
        <f t="shared" ca="1" si="149"/>
        <v>2997147318902.6143</v>
      </c>
      <c r="I1079" s="47">
        <f t="shared" ca="1" si="150"/>
        <v>75195346180595.984</v>
      </c>
      <c r="J1079" s="47">
        <f t="shared" ca="1" si="151"/>
        <v>2640162877536.7983</v>
      </c>
      <c r="K1079" s="48">
        <f t="shared" ca="1" si="152"/>
        <v>28.481328489381397</v>
      </c>
    </row>
    <row r="1080" spans="2:11" ht="15" customHeight="1" x14ac:dyDescent="0.35">
      <c r="B1080" s="5">
        <v>1059</v>
      </c>
      <c r="C1080" s="46">
        <f t="shared" ca="1" si="144"/>
        <v>2.8014183779696213</v>
      </c>
      <c r="D1080" s="47">
        <f t="shared" ca="1" si="145"/>
        <v>2990268016.077765</v>
      </c>
      <c r="E1080" s="47">
        <f t="shared" ca="1" si="146"/>
        <v>13957731951119.92</v>
      </c>
      <c r="F1080" s="47">
        <f t="shared" ca="1" si="147"/>
        <v>15734165884390.215</v>
      </c>
      <c r="G1080" s="47">
        <f t="shared" ca="1" si="148"/>
        <v>6423402882159.8252</v>
      </c>
      <c r="H1080" s="47">
        <f t="shared" ca="1" si="149"/>
        <v>15734165884390.215</v>
      </c>
      <c r="I1080" s="47">
        <f t="shared" ca="1" si="150"/>
        <v>1724762311008.6064</v>
      </c>
      <c r="J1080" s="47">
        <f t="shared" ca="1" si="151"/>
        <v>2535558052912.9927</v>
      </c>
      <c r="K1080" s="48">
        <f t="shared" ca="1" si="152"/>
        <v>0.68022986459611989</v>
      </c>
    </row>
    <row r="1081" spans="2:11" ht="15" customHeight="1" x14ac:dyDescent="0.35">
      <c r="B1081" s="5">
        <v>1060</v>
      </c>
      <c r="C1081" s="46">
        <f t="shared" ca="1" si="144"/>
        <v>2.9743220997941275</v>
      </c>
      <c r="D1081" s="47">
        <f t="shared" ca="1" si="145"/>
        <v>3975078142.658864</v>
      </c>
      <c r="E1081" s="47">
        <f t="shared" ca="1" si="146"/>
        <v>8751762619739.6455</v>
      </c>
      <c r="F1081" s="47">
        <f t="shared" ca="1" si="147"/>
        <v>3421819870139.2339</v>
      </c>
      <c r="G1081" s="47">
        <f t="shared" ca="1" si="148"/>
        <v>2590793252021.9082</v>
      </c>
      <c r="H1081" s="47">
        <f t="shared" ca="1" si="149"/>
        <v>8751762619739.6455</v>
      </c>
      <c r="I1081" s="47">
        <f t="shared" ca="1" si="150"/>
        <v>222763267204745.5</v>
      </c>
      <c r="J1081" s="47">
        <f t="shared" ca="1" si="151"/>
        <v>1737379822104.8105</v>
      </c>
      <c r="K1081" s="48">
        <f t="shared" ca="1" si="152"/>
        <v>128.21794311785607</v>
      </c>
    </row>
    <row r="1082" spans="2:11" ht="15" customHeight="1" x14ac:dyDescent="0.35">
      <c r="B1082" s="5">
        <v>1061</v>
      </c>
      <c r="C1082" s="46">
        <f t="shared" ca="1" si="144"/>
        <v>2.1876199620120049</v>
      </c>
      <c r="D1082" s="47">
        <f t="shared" ca="1" si="145"/>
        <v>1136581369.8730438</v>
      </c>
      <c r="E1082" s="47">
        <f t="shared" ca="1" si="146"/>
        <v>3050328819077.2529</v>
      </c>
      <c r="F1082" s="47">
        <f t="shared" ca="1" si="147"/>
        <v>2528804454219.4463</v>
      </c>
      <c r="G1082" s="47">
        <f t="shared" ca="1" si="148"/>
        <v>12779695747621.533</v>
      </c>
      <c r="H1082" s="47">
        <f t="shared" ca="1" si="149"/>
        <v>2528804454219.4463</v>
      </c>
      <c r="I1082" s="47">
        <f t="shared" ca="1" si="150"/>
        <v>3298504712568.4517</v>
      </c>
      <c r="J1082" s="47">
        <f t="shared" ca="1" si="151"/>
        <v>1257143980940.1111</v>
      </c>
      <c r="K1082" s="48">
        <f t="shared" ca="1" si="152"/>
        <v>2.6238082213158913</v>
      </c>
    </row>
    <row r="1083" spans="2:11" ht="15" customHeight="1" x14ac:dyDescent="0.35">
      <c r="B1083" s="5">
        <v>1062</v>
      </c>
      <c r="C1083" s="46">
        <f t="shared" ca="1" si="144"/>
        <v>2.560052859909077</v>
      </c>
      <c r="D1083" s="47">
        <f t="shared" ca="1" si="145"/>
        <v>2233618349.4331517</v>
      </c>
      <c r="E1083" s="47">
        <f t="shared" ca="1" si="146"/>
        <v>4027501263400.0801</v>
      </c>
      <c r="F1083" s="47">
        <f t="shared" ca="1" si="147"/>
        <v>4313098289040.1836</v>
      </c>
      <c r="G1083" s="47">
        <f t="shared" ca="1" si="148"/>
        <v>8698900608720.043</v>
      </c>
      <c r="H1083" s="47">
        <f t="shared" ca="1" si="149"/>
        <v>4027501263400.0801</v>
      </c>
      <c r="I1083" s="47">
        <f t="shared" ca="1" si="150"/>
        <v>5120468738629.4688</v>
      </c>
      <c r="J1083" s="47">
        <f t="shared" ca="1" si="151"/>
        <v>968112672653.88086</v>
      </c>
      <c r="K1083" s="48">
        <f t="shared" ca="1" si="152"/>
        <v>5.2891247922545643</v>
      </c>
    </row>
    <row r="1084" spans="2:11" ht="15" customHeight="1" x14ac:dyDescent="0.35">
      <c r="B1084" s="5">
        <v>1063</v>
      </c>
      <c r="C1084" s="46">
        <f t="shared" ca="1" si="144"/>
        <v>3.0579831980496248</v>
      </c>
      <c r="D1084" s="47">
        <f t="shared" ca="1" si="145"/>
        <v>5452955017.1138783</v>
      </c>
      <c r="E1084" s="47">
        <f t="shared" ca="1" si="146"/>
        <v>16098815605947.205</v>
      </c>
      <c r="F1084" s="47">
        <f t="shared" ca="1" si="147"/>
        <v>8829061544881.9648</v>
      </c>
      <c r="G1084" s="47">
        <f t="shared" ca="1" si="148"/>
        <v>2654836110565.8198</v>
      </c>
      <c r="H1084" s="47">
        <f t="shared" ca="1" si="149"/>
        <v>2654836110565.8198</v>
      </c>
      <c r="I1084" s="47">
        <f t="shared" ca="1" si="150"/>
        <v>482508067933.5777</v>
      </c>
      <c r="J1084" s="47">
        <f t="shared" ca="1" si="151"/>
        <v>1427785965492.0769</v>
      </c>
      <c r="K1084" s="48">
        <f t="shared" ca="1" si="152"/>
        <v>0.33794145592913466</v>
      </c>
    </row>
    <row r="1085" spans="2:11" ht="15" customHeight="1" x14ac:dyDescent="0.35">
      <c r="B1085" s="5">
        <v>1064</v>
      </c>
      <c r="C1085" s="46">
        <f t="shared" ca="1" si="144"/>
        <v>3.1623805832642264</v>
      </c>
      <c r="D1085" s="47">
        <f t="shared" ca="1" si="145"/>
        <v>6261106404.5797443</v>
      </c>
      <c r="E1085" s="47">
        <f t="shared" ca="1" si="146"/>
        <v>45318407419099.32</v>
      </c>
      <c r="F1085" s="47">
        <f t="shared" ca="1" si="147"/>
        <v>524599192470.7735</v>
      </c>
      <c r="G1085" s="47">
        <f t="shared" ca="1" si="148"/>
        <v>153853427751251.84</v>
      </c>
      <c r="H1085" s="47">
        <f t="shared" ca="1" si="149"/>
        <v>153853427751251.84</v>
      </c>
      <c r="I1085" s="47">
        <f t="shared" ca="1" si="150"/>
        <v>13830849162255.447</v>
      </c>
      <c r="J1085" s="47">
        <f t="shared" ca="1" si="151"/>
        <v>1250343019222.1912</v>
      </c>
      <c r="K1085" s="48">
        <f t="shared" ca="1" si="152"/>
        <v>11.061643844630165</v>
      </c>
    </row>
    <row r="1086" spans="2:11" ht="15" customHeight="1" x14ac:dyDescent="0.35">
      <c r="B1086" s="5">
        <v>1065</v>
      </c>
      <c r="C1086" s="46">
        <f t="shared" ca="1" si="144"/>
        <v>2.5832664196656081</v>
      </c>
      <c r="D1086" s="47">
        <f t="shared" ca="1" si="145"/>
        <v>2717694971.2179499</v>
      </c>
      <c r="E1086" s="47">
        <f t="shared" ca="1" si="146"/>
        <v>7378847485888.0889</v>
      </c>
      <c r="F1086" s="47">
        <f t="shared" ca="1" si="147"/>
        <v>965338944475.37634</v>
      </c>
      <c r="G1086" s="47">
        <f t="shared" ca="1" si="148"/>
        <v>57423015342173.57</v>
      </c>
      <c r="H1086" s="47">
        <f t="shared" ca="1" si="149"/>
        <v>965338944475.37634</v>
      </c>
      <c r="I1086" s="47">
        <f t="shared" ca="1" si="150"/>
        <v>44516787900903.984</v>
      </c>
      <c r="J1086" s="47">
        <f t="shared" ca="1" si="151"/>
        <v>1546693783146.967</v>
      </c>
      <c r="K1086" s="48">
        <f t="shared" ca="1" si="152"/>
        <v>28.781901360156947</v>
      </c>
    </row>
    <row r="1087" spans="2:11" ht="15" customHeight="1" x14ac:dyDescent="0.35">
      <c r="B1087" s="5">
        <v>1066</v>
      </c>
      <c r="C1087" s="46">
        <f t="shared" ca="1" si="144"/>
        <v>3.7187638407601034</v>
      </c>
      <c r="D1087" s="47">
        <f t="shared" ca="1" si="145"/>
        <v>16283318557.177588</v>
      </c>
      <c r="E1087" s="47">
        <f t="shared" ca="1" si="146"/>
        <v>156837198464981.94</v>
      </c>
      <c r="F1087" s="47">
        <f t="shared" ca="1" si="147"/>
        <v>14491989564427.588</v>
      </c>
      <c r="G1087" s="47">
        <f t="shared" ca="1" si="148"/>
        <v>8523023702913.1162</v>
      </c>
      <c r="H1087" s="47">
        <f t="shared" ca="1" si="149"/>
        <v>156837198464981.94</v>
      </c>
      <c r="I1087" s="47">
        <f t="shared" ca="1" si="150"/>
        <v>5115698394533.5508</v>
      </c>
      <c r="J1087" s="47">
        <f t="shared" ca="1" si="151"/>
        <v>914792525217.9989</v>
      </c>
      <c r="K1087" s="48">
        <f t="shared" ca="1" si="152"/>
        <v>5.5921952284365881</v>
      </c>
    </row>
    <row r="1088" spans="2:11" ht="15" customHeight="1" x14ac:dyDescent="0.35">
      <c r="B1088" s="5">
        <v>1067</v>
      </c>
      <c r="C1088" s="46">
        <f t="shared" ca="1" si="144"/>
        <v>2.6044080700774428</v>
      </c>
      <c r="D1088" s="47">
        <f t="shared" ca="1" si="145"/>
        <v>2265977729.5266714</v>
      </c>
      <c r="E1088" s="47">
        <f t="shared" ca="1" si="146"/>
        <v>9184007745422.1035</v>
      </c>
      <c r="F1088" s="47">
        <f t="shared" ca="1" si="147"/>
        <v>2125010427885.0137</v>
      </c>
      <c r="G1088" s="47">
        <f t="shared" ca="1" si="148"/>
        <v>3623433460432.9512</v>
      </c>
      <c r="H1088" s="47">
        <f t="shared" ca="1" si="149"/>
        <v>3623433460432.9512</v>
      </c>
      <c r="I1088" s="47">
        <f t="shared" ca="1" si="150"/>
        <v>9267119787070.6191</v>
      </c>
      <c r="J1088" s="47">
        <f t="shared" ca="1" si="151"/>
        <v>2200118725147.0059</v>
      </c>
      <c r="K1088" s="48">
        <f t="shared" ca="1" si="152"/>
        <v>4.2120998658612914</v>
      </c>
    </row>
    <row r="1089" spans="2:11" ht="15" customHeight="1" x14ac:dyDescent="0.35">
      <c r="B1089" s="5">
        <v>1068</v>
      </c>
      <c r="C1089" s="46">
        <f t="shared" ca="1" si="144"/>
        <v>3.2054379237702748</v>
      </c>
      <c r="D1089" s="47">
        <f t="shared" ca="1" si="145"/>
        <v>6179300267.6140537</v>
      </c>
      <c r="E1089" s="47">
        <f t="shared" ca="1" si="146"/>
        <v>16812055734983.26</v>
      </c>
      <c r="F1089" s="47">
        <f t="shared" ca="1" si="147"/>
        <v>3359722451236.8237</v>
      </c>
      <c r="G1089" s="47">
        <f t="shared" ca="1" si="148"/>
        <v>853730195861.91541</v>
      </c>
      <c r="H1089" s="47">
        <f t="shared" ca="1" si="149"/>
        <v>853730195861.91541</v>
      </c>
      <c r="I1089" s="47">
        <f t="shared" ca="1" si="150"/>
        <v>23811372454370.695</v>
      </c>
      <c r="J1089" s="47">
        <f t="shared" ca="1" si="151"/>
        <v>692764385112.55249</v>
      </c>
      <c r="K1089" s="48">
        <f t="shared" ca="1" si="152"/>
        <v>34.371530878427151</v>
      </c>
    </row>
    <row r="1090" spans="2:11" ht="15" customHeight="1" x14ac:dyDescent="0.35">
      <c r="B1090" s="5">
        <v>1069</v>
      </c>
      <c r="C1090" s="46">
        <f t="shared" ca="1" si="144"/>
        <v>3.3254675462172334</v>
      </c>
      <c r="D1090" s="47">
        <f t="shared" ca="1" si="145"/>
        <v>6665892808.9601955</v>
      </c>
      <c r="E1090" s="47">
        <f t="shared" ca="1" si="146"/>
        <v>12358384573045.596</v>
      </c>
      <c r="F1090" s="47">
        <f t="shared" ca="1" si="147"/>
        <v>9727017585806.9121</v>
      </c>
      <c r="G1090" s="47">
        <f t="shared" ca="1" si="148"/>
        <v>2763522835402.9648</v>
      </c>
      <c r="H1090" s="47">
        <f t="shared" ca="1" si="149"/>
        <v>9727017585806.9121</v>
      </c>
      <c r="I1090" s="47">
        <f t="shared" ca="1" si="150"/>
        <v>676724898559.4718</v>
      </c>
      <c r="J1090" s="47">
        <f t="shared" ca="1" si="151"/>
        <v>1731583653222.3816</v>
      </c>
      <c r="K1090" s="48">
        <f t="shared" ca="1" si="152"/>
        <v>0.39081270910598176</v>
      </c>
    </row>
    <row r="1091" spans="2:11" ht="15" customHeight="1" x14ac:dyDescent="0.35">
      <c r="B1091" s="5">
        <v>1070</v>
      </c>
      <c r="C1091" s="46">
        <f t="shared" ca="1" si="144"/>
        <v>2.7587022835696118</v>
      </c>
      <c r="D1091" s="47">
        <f t="shared" ca="1" si="145"/>
        <v>3806066190.3976922</v>
      </c>
      <c r="E1091" s="47">
        <f t="shared" ca="1" si="146"/>
        <v>11361046481096.957</v>
      </c>
      <c r="F1091" s="47">
        <f t="shared" ca="1" si="147"/>
        <v>6007603920517.7285</v>
      </c>
      <c r="G1091" s="47">
        <f t="shared" ca="1" si="148"/>
        <v>1568819977149.394</v>
      </c>
      <c r="H1091" s="47">
        <f t="shared" ca="1" si="149"/>
        <v>11361046481096.957</v>
      </c>
      <c r="I1091" s="47">
        <f t="shared" ca="1" si="150"/>
        <v>10817913133493.189</v>
      </c>
      <c r="J1091" s="47">
        <f t="shared" ca="1" si="151"/>
        <v>2077926687870.2776</v>
      </c>
      <c r="K1091" s="48">
        <f t="shared" ca="1" si="152"/>
        <v>5.2061091455448585</v>
      </c>
    </row>
    <row r="1092" spans="2:11" ht="15" customHeight="1" x14ac:dyDescent="0.35">
      <c r="B1092" s="5">
        <v>1071</v>
      </c>
      <c r="C1092" s="46">
        <f t="shared" ca="1" si="144"/>
        <v>3.1526917740763616</v>
      </c>
      <c r="D1092" s="47">
        <f t="shared" ca="1" si="145"/>
        <v>7230588302.9847507</v>
      </c>
      <c r="E1092" s="47">
        <f t="shared" ca="1" si="146"/>
        <v>14039912035418.633</v>
      </c>
      <c r="F1092" s="47">
        <f t="shared" ca="1" si="147"/>
        <v>6261647683691.165</v>
      </c>
      <c r="G1092" s="47">
        <f t="shared" ca="1" si="148"/>
        <v>41695954706507.508</v>
      </c>
      <c r="H1092" s="47">
        <f t="shared" ca="1" si="149"/>
        <v>41695954706507.508</v>
      </c>
      <c r="I1092" s="47">
        <f t="shared" ca="1" si="150"/>
        <v>38735377168549.813</v>
      </c>
      <c r="J1092" s="47">
        <f t="shared" ca="1" si="151"/>
        <v>1595992601676.2039</v>
      </c>
      <c r="K1092" s="48">
        <f t="shared" ca="1" si="152"/>
        <v>24.270398952894691</v>
      </c>
    </row>
    <row r="1093" spans="2:11" ht="15" customHeight="1" x14ac:dyDescent="0.35">
      <c r="B1093" s="5">
        <v>1072</v>
      </c>
      <c r="C1093" s="46">
        <f t="shared" ca="1" si="144"/>
        <v>2.9093294897727233</v>
      </c>
      <c r="D1093" s="47">
        <f t="shared" ca="1" si="145"/>
        <v>3494652602.8205633</v>
      </c>
      <c r="E1093" s="47">
        <f t="shared" ca="1" si="146"/>
        <v>11583285914955.508</v>
      </c>
      <c r="F1093" s="47">
        <f t="shared" ca="1" si="147"/>
        <v>5282007662482.2959</v>
      </c>
      <c r="G1093" s="47">
        <f t="shared" ca="1" si="148"/>
        <v>27141855226242.422</v>
      </c>
      <c r="H1093" s="47">
        <f t="shared" ca="1" si="149"/>
        <v>5282007662482.2959</v>
      </c>
      <c r="I1093" s="47">
        <f t="shared" ca="1" si="150"/>
        <v>56802522584882.305</v>
      </c>
      <c r="J1093" s="47">
        <f t="shared" ca="1" si="151"/>
        <v>1936816624589.3738</v>
      </c>
      <c r="K1093" s="48">
        <f t="shared" ca="1" si="152"/>
        <v>29.327775207900778</v>
      </c>
    </row>
    <row r="1094" spans="2:11" ht="15" customHeight="1" x14ac:dyDescent="0.35">
      <c r="B1094" s="5">
        <v>1073</v>
      </c>
      <c r="C1094" s="46">
        <f t="shared" ca="1" si="144"/>
        <v>2.7664255914313665</v>
      </c>
      <c r="D1094" s="47">
        <f t="shared" ca="1" si="145"/>
        <v>3400818094.9790382</v>
      </c>
      <c r="E1094" s="47">
        <f t="shared" ca="1" si="146"/>
        <v>13165604620964.041</v>
      </c>
      <c r="F1094" s="47">
        <f t="shared" ca="1" si="147"/>
        <v>9732319571876.9746</v>
      </c>
      <c r="G1094" s="47">
        <f t="shared" ca="1" si="148"/>
        <v>35651769270892.102</v>
      </c>
      <c r="H1094" s="47">
        <f t="shared" ca="1" si="149"/>
        <v>9732319571876.9746</v>
      </c>
      <c r="I1094" s="47">
        <f t="shared" ca="1" si="150"/>
        <v>6674088764911.4932</v>
      </c>
      <c r="J1094" s="47">
        <f t="shared" ca="1" si="151"/>
        <v>1081224616259.5657</v>
      </c>
      <c r="K1094" s="48">
        <f t="shared" ca="1" si="152"/>
        <v>6.1727125562495226</v>
      </c>
    </row>
    <row r="1095" spans="2:11" ht="15" customHeight="1" x14ac:dyDescent="0.35">
      <c r="B1095" s="5">
        <v>1074</v>
      </c>
      <c r="C1095" s="46">
        <f t="shared" ca="1" si="144"/>
        <v>3.1059760695522614</v>
      </c>
      <c r="D1095" s="47">
        <f t="shared" ca="1" si="145"/>
        <v>5741656563.5606937</v>
      </c>
      <c r="E1095" s="47">
        <f t="shared" ca="1" si="146"/>
        <v>28022965810068.934</v>
      </c>
      <c r="F1095" s="47">
        <f t="shared" ca="1" si="147"/>
        <v>5342363819136.3174</v>
      </c>
      <c r="G1095" s="47">
        <f t="shared" ca="1" si="148"/>
        <v>9422678974617.4355</v>
      </c>
      <c r="H1095" s="47">
        <f t="shared" ca="1" si="149"/>
        <v>9422678974617.4355</v>
      </c>
      <c r="I1095" s="47">
        <f t="shared" ca="1" si="150"/>
        <v>4608902660881.457</v>
      </c>
      <c r="J1095" s="47">
        <f t="shared" ca="1" si="151"/>
        <v>914297655923.08496</v>
      </c>
      <c r="K1095" s="48">
        <f t="shared" ca="1" si="152"/>
        <v>5.0409214450279416</v>
      </c>
    </row>
    <row r="1096" spans="2:11" ht="15" customHeight="1" x14ac:dyDescent="0.35">
      <c r="B1096" s="5">
        <v>1075</v>
      </c>
      <c r="C1096" s="46">
        <f t="shared" ca="1" si="144"/>
        <v>2.7860303648329272</v>
      </c>
      <c r="D1096" s="47">
        <f t="shared" ca="1" si="145"/>
        <v>3021384050.1030631</v>
      </c>
      <c r="E1096" s="47">
        <f t="shared" ca="1" si="146"/>
        <v>23995712217550.926</v>
      </c>
      <c r="F1096" s="47">
        <f t="shared" ca="1" si="147"/>
        <v>2415835860057.9048</v>
      </c>
      <c r="G1096" s="47">
        <f t="shared" ca="1" si="148"/>
        <v>21935612791410.082</v>
      </c>
      <c r="H1096" s="47">
        <f t="shared" ca="1" si="149"/>
        <v>23995712217550.926</v>
      </c>
      <c r="I1096" s="47">
        <f t="shared" ca="1" si="150"/>
        <v>6008395457415.0342</v>
      </c>
      <c r="J1096" s="47">
        <f t="shared" ca="1" si="151"/>
        <v>1176188657248.0911</v>
      </c>
      <c r="K1096" s="48">
        <f t="shared" ca="1" si="152"/>
        <v>5.1083603131089328</v>
      </c>
    </row>
    <row r="1097" spans="2:11" ht="15" customHeight="1" x14ac:dyDescent="0.35">
      <c r="B1097" s="5">
        <v>1076</v>
      </c>
      <c r="C1097" s="46">
        <f t="shared" ca="1" si="144"/>
        <v>2.9800366453693221</v>
      </c>
      <c r="D1097" s="47">
        <f t="shared" ca="1" si="145"/>
        <v>5386037097.6031399</v>
      </c>
      <c r="E1097" s="47">
        <f t="shared" ca="1" si="146"/>
        <v>17408185354579.609</v>
      </c>
      <c r="F1097" s="47">
        <f t="shared" ca="1" si="147"/>
        <v>1746774746798.3445</v>
      </c>
      <c r="G1097" s="47">
        <f t="shared" ca="1" si="148"/>
        <v>2738340689762.3438</v>
      </c>
      <c r="H1097" s="47">
        <f t="shared" ca="1" si="149"/>
        <v>1746774746798.3445</v>
      </c>
      <c r="I1097" s="47">
        <f t="shared" ca="1" si="150"/>
        <v>15174561898021.617</v>
      </c>
      <c r="J1097" s="47">
        <f t="shared" ca="1" si="151"/>
        <v>1348366601414.665</v>
      </c>
      <c r="K1097" s="48">
        <f t="shared" ca="1" si="152"/>
        <v>11.254032754965104</v>
      </c>
    </row>
    <row r="1098" spans="2:11" ht="15" customHeight="1" x14ac:dyDescent="0.35">
      <c r="B1098" s="5">
        <v>1077</v>
      </c>
      <c r="C1098" s="46">
        <f t="shared" ca="1" si="144"/>
        <v>3.0195524133171778</v>
      </c>
      <c r="D1098" s="47">
        <f t="shared" ca="1" si="145"/>
        <v>5741916766.238925</v>
      </c>
      <c r="E1098" s="47">
        <f t="shared" ca="1" si="146"/>
        <v>47765026826123.344</v>
      </c>
      <c r="F1098" s="47">
        <f t="shared" ca="1" si="147"/>
        <v>2455492649520.1826</v>
      </c>
      <c r="G1098" s="47">
        <f t="shared" ca="1" si="148"/>
        <v>8494377817437.7227</v>
      </c>
      <c r="H1098" s="47">
        <f t="shared" ca="1" si="149"/>
        <v>2455492649520.1826</v>
      </c>
      <c r="I1098" s="47">
        <f t="shared" ca="1" si="150"/>
        <v>1992312969710.4124</v>
      </c>
      <c r="J1098" s="47">
        <f t="shared" ca="1" si="151"/>
        <v>1354939569302.3955</v>
      </c>
      <c r="K1098" s="48">
        <f t="shared" ca="1" si="152"/>
        <v>1.4704072527280128</v>
      </c>
    </row>
    <row r="1099" spans="2:11" ht="15" customHeight="1" x14ac:dyDescent="0.35">
      <c r="B1099" s="5">
        <v>1078</v>
      </c>
      <c r="C1099" s="46">
        <f t="shared" ca="1" si="144"/>
        <v>2.9867504079148333</v>
      </c>
      <c r="D1099" s="47">
        <f t="shared" ca="1" si="145"/>
        <v>5270367181.0665159</v>
      </c>
      <c r="E1099" s="47">
        <f t="shared" ca="1" si="146"/>
        <v>36461037224090.234</v>
      </c>
      <c r="F1099" s="47">
        <f t="shared" ca="1" si="147"/>
        <v>3858165902399.6128</v>
      </c>
      <c r="G1099" s="47">
        <f t="shared" ca="1" si="148"/>
        <v>385443839658.92328</v>
      </c>
      <c r="H1099" s="47">
        <f t="shared" ca="1" si="149"/>
        <v>3858165902399.6128</v>
      </c>
      <c r="I1099" s="47">
        <f t="shared" ca="1" si="150"/>
        <v>4805976497751.3555</v>
      </c>
      <c r="J1099" s="47">
        <f t="shared" ca="1" si="151"/>
        <v>734120658021.53564</v>
      </c>
      <c r="K1099" s="48">
        <f t="shared" ca="1" si="152"/>
        <v>6.5465757505088087</v>
      </c>
    </row>
    <row r="1100" spans="2:11" ht="15" customHeight="1" x14ac:dyDescent="0.35">
      <c r="B1100" s="5">
        <v>1079</v>
      </c>
      <c r="C1100" s="46">
        <f t="shared" ca="1" si="144"/>
        <v>2.7712862032857579</v>
      </c>
      <c r="D1100" s="47">
        <f t="shared" ca="1" si="145"/>
        <v>3746678650.0278935</v>
      </c>
      <c r="E1100" s="47">
        <f t="shared" ca="1" si="146"/>
        <v>5682356587795.7842</v>
      </c>
      <c r="F1100" s="47">
        <f t="shared" ca="1" si="147"/>
        <v>8917734366090.166</v>
      </c>
      <c r="G1100" s="47">
        <f t="shared" ca="1" si="148"/>
        <v>457884074981.87268</v>
      </c>
      <c r="H1100" s="47">
        <f t="shared" ca="1" si="149"/>
        <v>457884074981.87268</v>
      </c>
      <c r="I1100" s="47">
        <f t="shared" ca="1" si="150"/>
        <v>19589576023454.043</v>
      </c>
      <c r="J1100" s="47">
        <f t="shared" ca="1" si="151"/>
        <v>2344606159671.9849</v>
      </c>
      <c r="K1100" s="48">
        <f t="shared" ca="1" si="152"/>
        <v>8.3551670043358861</v>
      </c>
    </row>
    <row r="1101" spans="2:11" ht="15" customHeight="1" x14ac:dyDescent="0.35">
      <c r="B1101" s="5">
        <v>1080</v>
      </c>
      <c r="C1101" s="46">
        <f t="shared" ca="1" si="144"/>
        <v>2.942598148541312</v>
      </c>
      <c r="D1101" s="47">
        <f t="shared" ca="1" si="145"/>
        <v>4460248801.3820534</v>
      </c>
      <c r="E1101" s="47">
        <f t="shared" ca="1" si="146"/>
        <v>26211412050047.238</v>
      </c>
      <c r="F1101" s="47">
        <f t="shared" ca="1" si="147"/>
        <v>1455841446582.292</v>
      </c>
      <c r="G1101" s="47">
        <f t="shared" ca="1" si="148"/>
        <v>173662578896591.09</v>
      </c>
      <c r="H1101" s="47">
        <f t="shared" ca="1" si="149"/>
        <v>1455841446582.292</v>
      </c>
      <c r="I1101" s="47">
        <f t="shared" ca="1" si="150"/>
        <v>16739556700104.793</v>
      </c>
      <c r="J1101" s="47">
        <f t="shared" ca="1" si="151"/>
        <v>1485293003776.6821</v>
      </c>
      <c r="K1101" s="48">
        <f t="shared" ca="1" si="152"/>
        <v>11.270205042062955</v>
      </c>
    </row>
    <row r="1102" spans="2:11" ht="15" customHeight="1" x14ac:dyDescent="0.35">
      <c r="B1102" s="5">
        <v>1081</v>
      </c>
      <c r="C1102" s="46">
        <f t="shared" ca="1" si="144"/>
        <v>3.6320979327852876</v>
      </c>
      <c r="D1102" s="47">
        <f t="shared" ca="1" si="145"/>
        <v>11737400730.875004</v>
      </c>
      <c r="E1102" s="47">
        <f t="shared" ca="1" si="146"/>
        <v>33601914264118.902</v>
      </c>
      <c r="F1102" s="47">
        <f t="shared" ca="1" si="147"/>
        <v>1074194297403.9298</v>
      </c>
      <c r="G1102" s="47">
        <f t="shared" ca="1" si="148"/>
        <v>16389828861899.283</v>
      </c>
      <c r="H1102" s="47">
        <f t="shared" ca="1" si="149"/>
        <v>33601914264118.902</v>
      </c>
      <c r="I1102" s="47">
        <f t="shared" ca="1" si="150"/>
        <v>8136911325442.1064</v>
      </c>
      <c r="J1102" s="47">
        <f t="shared" ca="1" si="151"/>
        <v>1170736480895.0713</v>
      </c>
      <c r="K1102" s="48">
        <f t="shared" ca="1" si="152"/>
        <v>6.9502500846485429</v>
      </c>
    </row>
    <row r="1103" spans="2:11" ht="15" customHeight="1" x14ac:dyDescent="0.35">
      <c r="B1103" s="5">
        <v>1082</v>
      </c>
      <c r="C1103" s="46">
        <f t="shared" ca="1" si="144"/>
        <v>2.5361858605339664</v>
      </c>
      <c r="D1103" s="47">
        <f t="shared" ca="1" si="145"/>
        <v>2448217328.2875638</v>
      </c>
      <c r="E1103" s="47">
        <f t="shared" ca="1" si="146"/>
        <v>3715187852957.7905</v>
      </c>
      <c r="F1103" s="47">
        <f t="shared" ca="1" si="147"/>
        <v>13481162606610.342</v>
      </c>
      <c r="G1103" s="47">
        <f t="shared" ca="1" si="148"/>
        <v>8566462158798.002</v>
      </c>
      <c r="H1103" s="47">
        <f t="shared" ca="1" si="149"/>
        <v>3715187852957.7905</v>
      </c>
      <c r="I1103" s="47">
        <f t="shared" ca="1" si="150"/>
        <v>7747038549790.2842</v>
      </c>
      <c r="J1103" s="47">
        <f t="shared" ca="1" si="151"/>
        <v>1384916015067.9587</v>
      </c>
      <c r="K1103" s="48">
        <f t="shared" ca="1" si="152"/>
        <v>5.5938688451155878</v>
      </c>
    </row>
    <row r="1104" spans="2:11" ht="15" customHeight="1" x14ac:dyDescent="0.35">
      <c r="B1104" s="5">
        <v>1083</v>
      </c>
      <c r="C1104" s="46">
        <f t="shared" ca="1" si="144"/>
        <v>3.4116420997565746</v>
      </c>
      <c r="D1104" s="47">
        <f t="shared" ca="1" si="145"/>
        <v>9447638536.7212811</v>
      </c>
      <c r="E1104" s="47">
        <f t="shared" ca="1" si="146"/>
        <v>51071041095198.102</v>
      </c>
      <c r="F1104" s="47">
        <f t="shared" ca="1" si="147"/>
        <v>2748412945371.8052</v>
      </c>
      <c r="G1104" s="47">
        <f t="shared" ca="1" si="148"/>
        <v>2384706625342.6563</v>
      </c>
      <c r="H1104" s="47">
        <f t="shared" ca="1" si="149"/>
        <v>51071041095198.102</v>
      </c>
      <c r="I1104" s="47">
        <f t="shared" ca="1" si="150"/>
        <v>36708961635017.766</v>
      </c>
      <c r="J1104" s="47">
        <f t="shared" ca="1" si="151"/>
        <v>735118004071.72717</v>
      </c>
      <c r="K1104" s="48">
        <f t="shared" ca="1" si="152"/>
        <v>49.936148253329932</v>
      </c>
    </row>
    <row r="1105" spans="2:11" ht="15" customHeight="1" x14ac:dyDescent="0.35">
      <c r="B1105" s="5">
        <v>1084</v>
      </c>
      <c r="C1105" s="46">
        <f t="shared" ca="1" si="144"/>
        <v>2.3336738921154061</v>
      </c>
      <c r="D1105" s="47">
        <f t="shared" ca="1" si="145"/>
        <v>1377165472.249423</v>
      </c>
      <c r="E1105" s="47">
        <f t="shared" ca="1" si="146"/>
        <v>7401494743585.6699</v>
      </c>
      <c r="F1105" s="47">
        <f t="shared" ca="1" si="147"/>
        <v>19700299812129.633</v>
      </c>
      <c r="G1105" s="47">
        <f t="shared" ca="1" si="148"/>
        <v>22115975089662.297</v>
      </c>
      <c r="H1105" s="47">
        <f t="shared" ca="1" si="149"/>
        <v>19700299812129.633</v>
      </c>
      <c r="I1105" s="47">
        <f t="shared" ca="1" si="150"/>
        <v>13275840132523.182</v>
      </c>
      <c r="J1105" s="47">
        <f t="shared" ca="1" si="151"/>
        <v>1061244899640.506</v>
      </c>
      <c r="K1105" s="48">
        <f t="shared" ca="1" si="152"/>
        <v>12.509685688025769</v>
      </c>
    </row>
    <row r="1106" spans="2:11" ht="15" customHeight="1" x14ac:dyDescent="0.35">
      <c r="B1106" s="5">
        <v>1085</v>
      </c>
      <c r="C1106" s="46">
        <f t="shared" ca="1" si="144"/>
        <v>2.8122911846566505</v>
      </c>
      <c r="D1106" s="47">
        <f t="shared" ca="1" si="145"/>
        <v>3715194454.1735353</v>
      </c>
      <c r="E1106" s="47">
        <f t="shared" ca="1" si="146"/>
        <v>6997156299233.1768</v>
      </c>
      <c r="F1106" s="47">
        <f t="shared" ca="1" si="147"/>
        <v>6148603590080.0273</v>
      </c>
      <c r="G1106" s="47">
        <f t="shared" ca="1" si="148"/>
        <v>4344648060108.0161</v>
      </c>
      <c r="H1106" s="47">
        <f t="shared" ca="1" si="149"/>
        <v>6997156299233.1768</v>
      </c>
      <c r="I1106" s="47">
        <f t="shared" ca="1" si="150"/>
        <v>7611164869485.2432</v>
      </c>
      <c r="J1106" s="47">
        <f t="shared" ca="1" si="151"/>
        <v>1641255178082.0789</v>
      </c>
      <c r="K1106" s="48">
        <f t="shared" ca="1" si="152"/>
        <v>4.6374049392973857</v>
      </c>
    </row>
    <row r="1107" spans="2:11" ht="15" customHeight="1" x14ac:dyDescent="0.35">
      <c r="B1107" s="5">
        <v>1086</v>
      </c>
      <c r="C1107" s="46">
        <f t="shared" ca="1" si="144"/>
        <v>2.6459796376534856</v>
      </c>
      <c r="D1107" s="47">
        <f t="shared" ca="1" si="145"/>
        <v>2086302963.6541581</v>
      </c>
      <c r="E1107" s="47">
        <f t="shared" ca="1" si="146"/>
        <v>4007756361065.9253</v>
      </c>
      <c r="F1107" s="47">
        <f t="shared" ca="1" si="147"/>
        <v>7502409339808.4492</v>
      </c>
      <c r="G1107" s="47">
        <f t="shared" ca="1" si="148"/>
        <v>3718516743551.0347</v>
      </c>
      <c r="H1107" s="47">
        <f t="shared" ca="1" si="149"/>
        <v>4007756361065.9253</v>
      </c>
      <c r="I1107" s="47">
        <f t="shared" ca="1" si="150"/>
        <v>8169455154257.4492</v>
      </c>
      <c r="J1107" s="47">
        <f t="shared" ca="1" si="151"/>
        <v>1639564322176.188</v>
      </c>
      <c r="K1107" s="48">
        <f t="shared" ca="1" si="152"/>
        <v>4.9826987839148389</v>
      </c>
    </row>
    <row r="1108" spans="2:11" ht="15" customHeight="1" x14ac:dyDescent="0.35">
      <c r="B1108" s="5">
        <v>1087</v>
      </c>
      <c r="C1108" s="46">
        <f t="shared" ca="1" si="144"/>
        <v>2.9989888469783015</v>
      </c>
      <c r="D1108" s="47">
        <f t="shared" ca="1" si="145"/>
        <v>4886379305.6476755</v>
      </c>
      <c r="E1108" s="47">
        <f t="shared" ca="1" si="146"/>
        <v>23476505143896.77</v>
      </c>
      <c r="F1108" s="47">
        <f t="shared" ca="1" si="147"/>
        <v>3524857134922.335</v>
      </c>
      <c r="G1108" s="47">
        <f t="shared" ca="1" si="148"/>
        <v>12652041355270.791</v>
      </c>
      <c r="H1108" s="47">
        <f t="shared" ca="1" si="149"/>
        <v>3524857134922.335</v>
      </c>
      <c r="I1108" s="47">
        <f t="shared" ca="1" si="150"/>
        <v>30354356096126.719</v>
      </c>
      <c r="J1108" s="47">
        <f t="shared" ca="1" si="151"/>
        <v>2083488104623.1641</v>
      </c>
      <c r="K1108" s="48">
        <f t="shared" ca="1" si="152"/>
        <v>14.569008591300234</v>
      </c>
    </row>
    <row r="1109" spans="2:11" ht="15" customHeight="1" x14ac:dyDescent="0.35">
      <c r="B1109" s="5">
        <v>1088</v>
      </c>
      <c r="C1109" s="46">
        <f t="shared" ca="1" si="144"/>
        <v>3.0872872449134889</v>
      </c>
      <c r="D1109" s="47">
        <f t="shared" ca="1" si="145"/>
        <v>6070880746.9473515</v>
      </c>
      <c r="E1109" s="47">
        <f t="shared" ca="1" si="146"/>
        <v>29779299054744.516</v>
      </c>
      <c r="F1109" s="47">
        <f t="shared" ca="1" si="147"/>
        <v>3263849610987.2871</v>
      </c>
      <c r="G1109" s="47">
        <f t="shared" ca="1" si="148"/>
        <v>4732550696812.7754</v>
      </c>
      <c r="H1109" s="47">
        <f t="shared" ca="1" si="149"/>
        <v>4732550696812.7754</v>
      </c>
      <c r="I1109" s="47">
        <f t="shared" ca="1" si="150"/>
        <v>3744072577124.687</v>
      </c>
      <c r="J1109" s="47">
        <f t="shared" ca="1" si="151"/>
        <v>1647565870393.9414</v>
      </c>
      <c r="K1109" s="48">
        <f t="shared" ca="1" si="152"/>
        <v>2.2724873368671203</v>
      </c>
    </row>
    <row r="1110" spans="2:11" ht="15" customHeight="1" x14ac:dyDescent="0.35">
      <c r="B1110" s="5">
        <v>1089</v>
      </c>
      <c r="C1110" s="46">
        <f t="shared" ref="C1110:C1173" ca="1" si="153">MEDIAN(1.8,NORMINV(RAND(),$C$7,$D$7),4.5)</f>
        <v>2.626963542846017</v>
      </c>
      <c r="D1110" s="47">
        <f t="shared" ref="D1110:D1173" ca="1" si="154">($C$8+RAND()*($D$8-$C$8))*C1110^5</f>
        <v>2219086317.3410444</v>
      </c>
      <c r="E1110" s="47">
        <f t="shared" ref="E1110:E1173" ca="1" si="155">D1110*($C$10+RAND()*($D$10-$C$10))*EXP(NORMINV(RAND(),$C$9,$D$9))*($C$11+RAND()*($D$11-$C$11))</f>
        <v>7194838225954.7422</v>
      </c>
      <c r="F1110" s="47">
        <f t="shared" ref="F1110:F1173" ca="1" si="156">EXP(NORMINV(RAND(),$C$12,$D$12))*EXP(NORMINV(RAND(),$C$13,$D$13))</f>
        <v>6706171067447.9863</v>
      </c>
      <c r="G1110" s="47">
        <f t="shared" ref="G1110:G1173" ca="1" si="157">EXP(NORMINV(RAND(),$C$14,$D$14))*($C$15+RAND()*($D$15-$C$15))*EXP(NORMINV(RAND(),$C$16,$D$16))/1000000*31536000</f>
        <v>2167135785785.6982</v>
      </c>
      <c r="H1110" s="47">
        <f t="shared" ref="H1110:H1173" ca="1" si="158">CHOOSE(RANDBETWEEN(1,3),E1110,F1110,G1110)</f>
        <v>2167135785785.6982</v>
      </c>
      <c r="I1110" s="47">
        <f t="shared" ref="I1110:I1173" ca="1" si="159">EXP(NORMINV(RAND(),$C$14,$D$14))*($C$15+RAND()*($D$15-$C$15))*60</f>
        <v>57144199976695.219</v>
      </c>
      <c r="J1110" s="47">
        <f t="shared" ref="J1110:J1173" ca="1" si="160">($C$17+RAND()*($D$17-$C$17))*($C$18+RAND()*($D$18-$C$18))</f>
        <v>2254607278949.1436</v>
      </c>
      <c r="K1110" s="48">
        <f t="shared" ref="K1110:K1173" ca="1" si="161">I1110/J1110</f>
        <v>25.345522703772041</v>
      </c>
    </row>
    <row r="1111" spans="2:11" ht="15" customHeight="1" x14ac:dyDescent="0.35">
      <c r="B1111" s="5">
        <v>1090</v>
      </c>
      <c r="C1111" s="46">
        <f t="shared" ca="1" si="153"/>
        <v>2.9216531676459492</v>
      </c>
      <c r="D1111" s="47">
        <f t="shared" ca="1" si="154"/>
        <v>3922634110.4950342</v>
      </c>
      <c r="E1111" s="47">
        <f t="shared" ca="1" si="155"/>
        <v>13845544206402.736</v>
      </c>
      <c r="F1111" s="47">
        <f t="shared" ca="1" si="156"/>
        <v>2028966590939.2334</v>
      </c>
      <c r="G1111" s="47">
        <f t="shared" ca="1" si="157"/>
        <v>6475598217735.9688</v>
      </c>
      <c r="H1111" s="47">
        <f t="shared" ca="1" si="158"/>
        <v>2028966590939.2334</v>
      </c>
      <c r="I1111" s="47">
        <f t="shared" ca="1" si="159"/>
        <v>1726597970079.1946</v>
      </c>
      <c r="J1111" s="47">
        <f t="shared" ca="1" si="160"/>
        <v>1884703185702.092</v>
      </c>
      <c r="K1111" s="48">
        <f t="shared" ca="1" si="161"/>
        <v>0.91611134484075274</v>
      </c>
    </row>
    <row r="1112" spans="2:11" ht="15" customHeight="1" x14ac:dyDescent="0.35">
      <c r="B1112" s="5">
        <v>1091</v>
      </c>
      <c r="C1112" s="46">
        <f t="shared" ca="1" si="153"/>
        <v>3.4428920883561673</v>
      </c>
      <c r="D1112" s="47">
        <f t="shared" ca="1" si="154"/>
        <v>10417908597.588722</v>
      </c>
      <c r="E1112" s="47">
        <f t="shared" ca="1" si="155"/>
        <v>25753272624388.012</v>
      </c>
      <c r="F1112" s="47">
        <f t="shared" ca="1" si="156"/>
        <v>5404988572767.542</v>
      </c>
      <c r="G1112" s="47">
        <f t="shared" ca="1" si="157"/>
        <v>33502033221289.609</v>
      </c>
      <c r="H1112" s="47">
        <f t="shared" ca="1" si="158"/>
        <v>25753272624388.012</v>
      </c>
      <c r="I1112" s="47">
        <f t="shared" ca="1" si="159"/>
        <v>20076524139623.758</v>
      </c>
      <c r="J1112" s="47">
        <f t="shared" ca="1" si="160"/>
        <v>978376965196.53259</v>
      </c>
      <c r="K1112" s="48">
        <f t="shared" ca="1" si="161"/>
        <v>20.520233870787077</v>
      </c>
    </row>
    <row r="1113" spans="2:11" ht="15" customHeight="1" x14ac:dyDescent="0.35">
      <c r="B1113" s="5">
        <v>1092</v>
      </c>
      <c r="C1113" s="46">
        <f t="shared" ca="1" si="153"/>
        <v>2.464324665054483</v>
      </c>
      <c r="D1113" s="47">
        <f t="shared" ca="1" si="154"/>
        <v>1785087284.8236363</v>
      </c>
      <c r="E1113" s="47">
        <f t="shared" ca="1" si="155"/>
        <v>13753715052298.523</v>
      </c>
      <c r="F1113" s="47">
        <f t="shared" ca="1" si="156"/>
        <v>2625011380194.144</v>
      </c>
      <c r="G1113" s="47">
        <f t="shared" ca="1" si="157"/>
        <v>2286796809849.3447</v>
      </c>
      <c r="H1113" s="47">
        <f t="shared" ca="1" si="158"/>
        <v>2286796809849.3447</v>
      </c>
      <c r="I1113" s="47">
        <f t="shared" ca="1" si="159"/>
        <v>7762010374549.6211</v>
      </c>
      <c r="J1113" s="47">
        <f t="shared" ca="1" si="160"/>
        <v>421709323360.11768</v>
      </c>
      <c r="K1113" s="48">
        <f t="shared" ca="1" si="161"/>
        <v>18.406067745201998</v>
      </c>
    </row>
    <row r="1114" spans="2:11" ht="15" customHeight="1" x14ac:dyDescent="0.35">
      <c r="B1114" s="5">
        <v>1093</v>
      </c>
      <c r="C1114" s="46">
        <f t="shared" ca="1" si="153"/>
        <v>2.3792438752505802</v>
      </c>
      <c r="D1114" s="47">
        <f t="shared" ca="1" si="154"/>
        <v>1706220763.6063929</v>
      </c>
      <c r="E1114" s="47">
        <f t="shared" ca="1" si="155"/>
        <v>9024618759958.5469</v>
      </c>
      <c r="F1114" s="47">
        <f t="shared" ca="1" si="156"/>
        <v>2937404362690.6997</v>
      </c>
      <c r="G1114" s="47">
        <f t="shared" ca="1" si="157"/>
        <v>8906150944518.3418</v>
      </c>
      <c r="H1114" s="47">
        <f t="shared" ca="1" si="158"/>
        <v>2937404362690.6997</v>
      </c>
      <c r="I1114" s="47">
        <f t="shared" ca="1" si="159"/>
        <v>43919119514094.289</v>
      </c>
      <c r="J1114" s="47">
        <f t="shared" ca="1" si="160"/>
        <v>2279972648874.5776</v>
      </c>
      <c r="K1114" s="48">
        <f t="shared" ca="1" si="161"/>
        <v>19.263002797763079</v>
      </c>
    </row>
    <row r="1115" spans="2:11" ht="15" customHeight="1" x14ac:dyDescent="0.35">
      <c r="B1115" s="5">
        <v>1094</v>
      </c>
      <c r="C1115" s="46">
        <f t="shared" ca="1" si="153"/>
        <v>3.3005352329133686</v>
      </c>
      <c r="D1115" s="47">
        <f t="shared" ca="1" si="154"/>
        <v>8666956526.5227547</v>
      </c>
      <c r="E1115" s="47">
        <f t="shared" ca="1" si="155"/>
        <v>14846973406779.791</v>
      </c>
      <c r="F1115" s="47">
        <f t="shared" ca="1" si="156"/>
        <v>709650094957.27954</v>
      </c>
      <c r="G1115" s="47">
        <f t="shared" ca="1" si="157"/>
        <v>6152464448253.6348</v>
      </c>
      <c r="H1115" s="47">
        <f t="shared" ca="1" si="158"/>
        <v>14846973406779.791</v>
      </c>
      <c r="I1115" s="47">
        <f t="shared" ca="1" si="159"/>
        <v>7972849685593.0537</v>
      </c>
      <c r="J1115" s="47">
        <f t="shared" ca="1" si="160"/>
        <v>1267253024260.1064</v>
      </c>
      <c r="K1115" s="48">
        <f t="shared" ca="1" si="161"/>
        <v>6.2914426187683015</v>
      </c>
    </row>
    <row r="1116" spans="2:11" ht="15" customHeight="1" x14ac:dyDescent="0.35">
      <c r="B1116" s="5">
        <v>1095</v>
      </c>
      <c r="C1116" s="46">
        <f t="shared" ca="1" si="153"/>
        <v>4.1064422889202454</v>
      </c>
      <c r="D1116" s="47">
        <f t="shared" ca="1" si="154"/>
        <v>24182439218.946003</v>
      </c>
      <c r="E1116" s="47">
        <f t="shared" ca="1" si="155"/>
        <v>75056595946191.266</v>
      </c>
      <c r="F1116" s="47">
        <f t="shared" ca="1" si="156"/>
        <v>14885641180575.895</v>
      </c>
      <c r="G1116" s="47">
        <f t="shared" ca="1" si="157"/>
        <v>10379655169141.598</v>
      </c>
      <c r="H1116" s="47">
        <f t="shared" ca="1" si="158"/>
        <v>14885641180575.895</v>
      </c>
      <c r="I1116" s="47">
        <f t="shared" ca="1" si="159"/>
        <v>16779994268309.711</v>
      </c>
      <c r="J1116" s="47">
        <f t="shared" ca="1" si="160"/>
        <v>2216967272605.0371</v>
      </c>
      <c r="K1116" s="48">
        <f t="shared" ca="1" si="161"/>
        <v>7.5688957954676779</v>
      </c>
    </row>
    <row r="1117" spans="2:11" ht="15" customHeight="1" x14ac:dyDescent="0.35">
      <c r="B1117" s="5">
        <v>1096</v>
      </c>
      <c r="C1117" s="46">
        <f t="shared" ca="1" si="153"/>
        <v>2.261386571127677</v>
      </c>
      <c r="D1117" s="47">
        <f t="shared" ca="1" si="154"/>
        <v>1379906406.6553273</v>
      </c>
      <c r="E1117" s="47">
        <f t="shared" ca="1" si="155"/>
        <v>1742229989184.8208</v>
      </c>
      <c r="F1117" s="47">
        <f t="shared" ca="1" si="156"/>
        <v>597584252576.34021</v>
      </c>
      <c r="G1117" s="47">
        <f t="shared" ca="1" si="157"/>
        <v>1053351504770.2897</v>
      </c>
      <c r="H1117" s="47">
        <f t="shared" ca="1" si="158"/>
        <v>1742229989184.8208</v>
      </c>
      <c r="I1117" s="47">
        <f t="shared" ca="1" si="159"/>
        <v>6444378341102.957</v>
      </c>
      <c r="J1117" s="47">
        <f t="shared" ca="1" si="160"/>
        <v>1038265027977.5154</v>
      </c>
      <c r="K1117" s="48">
        <f t="shared" ca="1" si="161"/>
        <v>6.2068722026169567</v>
      </c>
    </row>
    <row r="1118" spans="2:11" ht="15" customHeight="1" x14ac:dyDescent="0.35">
      <c r="B1118" s="5">
        <v>1097</v>
      </c>
      <c r="C1118" s="46">
        <f t="shared" ca="1" si="153"/>
        <v>2.9407280158227547</v>
      </c>
      <c r="D1118" s="47">
        <f t="shared" ca="1" si="154"/>
        <v>4672263174.0960598</v>
      </c>
      <c r="E1118" s="47">
        <f t="shared" ca="1" si="155"/>
        <v>15695336810907.602</v>
      </c>
      <c r="F1118" s="47">
        <f t="shared" ca="1" si="156"/>
        <v>13273785331869.773</v>
      </c>
      <c r="G1118" s="47">
        <f t="shared" ca="1" si="157"/>
        <v>3302676458283.8535</v>
      </c>
      <c r="H1118" s="47">
        <f t="shared" ca="1" si="158"/>
        <v>3302676458283.8535</v>
      </c>
      <c r="I1118" s="47">
        <f t="shared" ca="1" si="159"/>
        <v>2729367113186.165</v>
      </c>
      <c r="J1118" s="47">
        <f t="shared" ca="1" si="160"/>
        <v>1148078238922.6814</v>
      </c>
      <c r="K1118" s="48">
        <f t="shared" ca="1" si="161"/>
        <v>2.3773354643036462</v>
      </c>
    </row>
    <row r="1119" spans="2:11" ht="15" customHeight="1" x14ac:dyDescent="0.35">
      <c r="B1119" s="5">
        <v>1098</v>
      </c>
      <c r="C1119" s="46">
        <f t="shared" ca="1" si="153"/>
        <v>3.4393758936796917</v>
      </c>
      <c r="D1119" s="47">
        <f t="shared" ca="1" si="154"/>
        <v>9509450899.4817677</v>
      </c>
      <c r="E1119" s="47">
        <f t="shared" ca="1" si="155"/>
        <v>16840495395299.52</v>
      </c>
      <c r="F1119" s="47">
        <f t="shared" ca="1" si="156"/>
        <v>571625026504.86487</v>
      </c>
      <c r="G1119" s="47">
        <f t="shared" ca="1" si="157"/>
        <v>25171305470762.832</v>
      </c>
      <c r="H1119" s="47">
        <f t="shared" ca="1" si="158"/>
        <v>25171305470762.832</v>
      </c>
      <c r="I1119" s="47">
        <f t="shared" ca="1" si="159"/>
        <v>2872091847784.4985</v>
      </c>
      <c r="J1119" s="47">
        <f t="shared" ca="1" si="160"/>
        <v>1597511872535.1882</v>
      </c>
      <c r="K1119" s="48">
        <f t="shared" ca="1" si="161"/>
        <v>1.7978532098334907</v>
      </c>
    </row>
    <row r="1120" spans="2:11" ht="15" customHeight="1" x14ac:dyDescent="0.35">
      <c r="B1120" s="5">
        <v>1099</v>
      </c>
      <c r="C1120" s="46">
        <f t="shared" ca="1" si="153"/>
        <v>3.0508610636141986</v>
      </c>
      <c r="D1120" s="47">
        <f t="shared" ca="1" si="154"/>
        <v>4777174496.8825226</v>
      </c>
      <c r="E1120" s="47">
        <f t="shared" ca="1" si="155"/>
        <v>6729333506053.3281</v>
      </c>
      <c r="F1120" s="47">
        <f t="shared" ca="1" si="156"/>
        <v>1480505189801.9146</v>
      </c>
      <c r="G1120" s="47">
        <f t="shared" ca="1" si="157"/>
        <v>13028120968390.695</v>
      </c>
      <c r="H1120" s="47">
        <f t="shared" ca="1" si="158"/>
        <v>13028120968390.695</v>
      </c>
      <c r="I1120" s="47">
        <f t="shared" ca="1" si="159"/>
        <v>2176989644681.938</v>
      </c>
      <c r="J1120" s="47">
        <f t="shared" ca="1" si="160"/>
        <v>2475281233014.4434</v>
      </c>
      <c r="K1120" s="48">
        <f t="shared" ca="1" si="161"/>
        <v>0.87949183941040898</v>
      </c>
    </row>
    <row r="1121" spans="2:11" ht="15" customHeight="1" x14ac:dyDescent="0.35">
      <c r="B1121" s="5">
        <v>1100</v>
      </c>
      <c r="C1121" s="46">
        <f t="shared" ca="1" si="153"/>
        <v>3.2333758015954244</v>
      </c>
      <c r="D1121" s="47">
        <f t="shared" ca="1" si="154"/>
        <v>5803161486.6334791</v>
      </c>
      <c r="E1121" s="47">
        <f t="shared" ca="1" si="155"/>
        <v>25921067843922.801</v>
      </c>
      <c r="F1121" s="47">
        <f t="shared" ca="1" si="156"/>
        <v>2400113412998.1626</v>
      </c>
      <c r="G1121" s="47">
        <f t="shared" ca="1" si="157"/>
        <v>12336487769713.637</v>
      </c>
      <c r="H1121" s="47">
        <f t="shared" ca="1" si="158"/>
        <v>25921067843922.801</v>
      </c>
      <c r="I1121" s="47">
        <f t="shared" ca="1" si="159"/>
        <v>3759036566482.4922</v>
      </c>
      <c r="J1121" s="47">
        <f t="shared" ca="1" si="160"/>
        <v>1412550992479.2192</v>
      </c>
      <c r="K1121" s="48">
        <f t="shared" ca="1" si="161"/>
        <v>2.6611687553203804</v>
      </c>
    </row>
    <row r="1122" spans="2:11" ht="15" customHeight="1" x14ac:dyDescent="0.35">
      <c r="B1122" s="5">
        <v>1101</v>
      </c>
      <c r="C1122" s="46">
        <f t="shared" ca="1" si="153"/>
        <v>2.7080600019201726</v>
      </c>
      <c r="D1122" s="47">
        <f t="shared" ca="1" si="154"/>
        <v>3484183929.2305484</v>
      </c>
      <c r="E1122" s="47">
        <f t="shared" ca="1" si="155"/>
        <v>8520060177723.5107</v>
      </c>
      <c r="F1122" s="47">
        <f t="shared" ca="1" si="156"/>
        <v>10383461382389.311</v>
      </c>
      <c r="G1122" s="47">
        <f t="shared" ca="1" si="157"/>
        <v>2666146797709.1758</v>
      </c>
      <c r="H1122" s="47">
        <f t="shared" ca="1" si="158"/>
        <v>10383461382389.311</v>
      </c>
      <c r="I1122" s="47">
        <f t="shared" ca="1" si="159"/>
        <v>20947145010154.438</v>
      </c>
      <c r="J1122" s="47">
        <f t="shared" ca="1" si="160"/>
        <v>1000607107246.0741</v>
      </c>
      <c r="K1122" s="48">
        <f t="shared" ca="1" si="161"/>
        <v>20.934435562631894</v>
      </c>
    </row>
    <row r="1123" spans="2:11" ht="15" customHeight="1" x14ac:dyDescent="0.35">
      <c r="B1123" s="5">
        <v>1102</v>
      </c>
      <c r="C1123" s="46">
        <f t="shared" ca="1" si="153"/>
        <v>3.5103453232264572</v>
      </c>
      <c r="D1123" s="47">
        <f t="shared" ca="1" si="154"/>
        <v>11522305022.76202</v>
      </c>
      <c r="E1123" s="47">
        <f t="shared" ca="1" si="155"/>
        <v>47392251989242.594</v>
      </c>
      <c r="F1123" s="47">
        <f t="shared" ca="1" si="156"/>
        <v>5929906460969.9043</v>
      </c>
      <c r="G1123" s="47">
        <f t="shared" ca="1" si="157"/>
        <v>25084748000289.383</v>
      </c>
      <c r="H1123" s="47">
        <f t="shared" ca="1" si="158"/>
        <v>5929906460969.9043</v>
      </c>
      <c r="I1123" s="47">
        <f t="shared" ca="1" si="159"/>
        <v>28351766797461.387</v>
      </c>
      <c r="J1123" s="47">
        <f t="shared" ca="1" si="160"/>
        <v>2058732978228.1455</v>
      </c>
      <c r="K1123" s="48">
        <f t="shared" ca="1" si="161"/>
        <v>13.771463855338062</v>
      </c>
    </row>
    <row r="1124" spans="2:11" ht="15" customHeight="1" x14ac:dyDescent="0.35">
      <c r="B1124" s="5">
        <v>1103</v>
      </c>
      <c r="C1124" s="46">
        <f t="shared" ca="1" si="153"/>
        <v>2.805356765432975</v>
      </c>
      <c r="D1124" s="47">
        <f t="shared" ca="1" si="154"/>
        <v>3427655872.2913818</v>
      </c>
      <c r="E1124" s="47">
        <f t="shared" ca="1" si="155"/>
        <v>6060965347418.1221</v>
      </c>
      <c r="F1124" s="47">
        <f t="shared" ca="1" si="156"/>
        <v>3520441560998.3472</v>
      </c>
      <c r="G1124" s="47">
        <f t="shared" ca="1" si="157"/>
        <v>9338547199679.5488</v>
      </c>
      <c r="H1124" s="47">
        <f t="shared" ca="1" si="158"/>
        <v>3520441560998.3472</v>
      </c>
      <c r="I1124" s="47">
        <f t="shared" ca="1" si="159"/>
        <v>4572693180104.3242</v>
      </c>
      <c r="J1124" s="47">
        <f t="shared" ca="1" si="160"/>
        <v>2195714515241.4736</v>
      </c>
      <c r="K1124" s="48">
        <f t="shared" ca="1" si="161"/>
        <v>2.0825536053813636</v>
      </c>
    </row>
    <row r="1125" spans="2:11" ht="15" customHeight="1" x14ac:dyDescent="0.35">
      <c r="B1125" s="5">
        <v>1104</v>
      </c>
      <c r="C1125" s="46">
        <f t="shared" ca="1" si="153"/>
        <v>2.8365557138389494</v>
      </c>
      <c r="D1125" s="47">
        <f t="shared" ca="1" si="154"/>
        <v>3457632826.1373835</v>
      </c>
      <c r="E1125" s="47">
        <f t="shared" ca="1" si="155"/>
        <v>12677587315511.715</v>
      </c>
      <c r="F1125" s="47">
        <f t="shared" ca="1" si="156"/>
        <v>2773038005742.2085</v>
      </c>
      <c r="G1125" s="47">
        <f t="shared" ca="1" si="157"/>
        <v>364529480362.27716</v>
      </c>
      <c r="H1125" s="47">
        <f t="shared" ca="1" si="158"/>
        <v>2773038005742.2085</v>
      </c>
      <c r="I1125" s="47">
        <f t="shared" ca="1" si="159"/>
        <v>2853524644067.5586</v>
      </c>
      <c r="J1125" s="47">
        <f t="shared" ca="1" si="160"/>
        <v>786943999724.57361</v>
      </c>
      <c r="K1125" s="48">
        <f t="shared" ca="1" si="161"/>
        <v>3.6260834888712257</v>
      </c>
    </row>
    <row r="1126" spans="2:11" ht="15" customHeight="1" x14ac:dyDescent="0.35">
      <c r="B1126" s="5">
        <v>1105</v>
      </c>
      <c r="C1126" s="46">
        <f t="shared" ca="1" si="153"/>
        <v>3.409735153572115</v>
      </c>
      <c r="D1126" s="47">
        <f t="shared" ca="1" si="154"/>
        <v>10600669495.555893</v>
      </c>
      <c r="E1126" s="47">
        <f t="shared" ca="1" si="155"/>
        <v>106360757146547.08</v>
      </c>
      <c r="F1126" s="47">
        <f t="shared" ca="1" si="156"/>
        <v>1997583788797.9534</v>
      </c>
      <c r="G1126" s="47">
        <f t="shared" ca="1" si="157"/>
        <v>6161010837139.9795</v>
      </c>
      <c r="H1126" s="47">
        <f t="shared" ca="1" si="158"/>
        <v>106360757146547.08</v>
      </c>
      <c r="I1126" s="47">
        <f t="shared" ca="1" si="159"/>
        <v>56863985700353.078</v>
      </c>
      <c r="J1126" s="47">
        <f t="shared" ca="1" si="160"/>
        <v>1439138049992.2734</v>
      </c>
      <c r="K1126" s="48">
        <f t="shared" ca="1" si="161"/>
        <v>39.51253022644935</v>
      </c>
    </row>
    <row r="1127" spans="2:11" ht="15" customHeight="1" x14ac:dyDescent="0.35">
      <c r="B1127" s="5">
        <v>1106</v>
      </c>
      <c r="C1127" s="46">
        <f t="shared" ca="1" si="153"/>
        <v>2.8588876358967217</v>
      </c>
      <c r="D1127" s="47">
        <f t="shared" ca="1" si="154"/>
        <v>3460978497.482059</v>
      </c>
      <c r="E1127" s="47">
        <f t="shared" ca="1" si="155"/>
        <v>13908341980042.178</v>
      </c>
      <c r="F1127" s="47">
        <f t="shared" ca="1" si="156"/>
        <v>1657232615208.8584</v>
      </c>
      <c r="G1127" s="47">
        <f t="shared" ca="1" si="157"/>
        <v>2361774226763.5015</v>
      </c>
      <c r="H1127" s="47">
        <f t="shared" ca="1" si="158"/>
        <v>2361774226763.5015</v>
      </c>
      <c r="I1127" s="47">
        <f t="shared" ca="1" si="159"/>
        <v>17742157963727.848</v>
      </c>
      <c r="J1127" s="47">
        <f t="shared" ca="1" si="160"/>
        <v>1734252638938.0278</v>
      </c>
      <c r="K1127" s="48">
        <f t="shared" ca="1" si="161"/>
        <v>10.230434462300881</v>
      </c>
    </row>
    <row r="1128" spans="2:11" ht="15" customHeight="1" x14ac:dyDescent="0.35">
      <c r="B1128" s="5">
        <v>1107</v>
      </c>
      <c r="C1128" s="46">
        <f t="shared" ca="1" si="153"/>
        <v>3.2723059601956628</v>
      </c>
      <c r="D1128" s="47">
        <f t="shared" ca="1" si="154"/>
        <v>7204342896.14855</v>
      </c>
      <c r="E1128" s="47">
        <f t="shared" ca="1" si="155"/>
        <v>19586425144611.121</v>
      </c>
      <c r="F1128" s="47">
        <f t="shared" ca="1" si="156"/>
        <v>2507573480672.7617</v>
      </c>
      <c r="G1128" s="47">
        <f t="shared" ca="1" si="157"/>
        <v>1196419895849.7031</v>
      </c>
      <c r="H1128" s="47">
        <f t="shared" ca="1" si="158"/>
        <v>1196419895849.7031</v>
      </c>
      <c r="I1128" s="47">
        <f t="shared" ca="1" si="159"/>
        <v>1019710850522.6151</v>
      </c>
      <c r="J1128" s="47">
        <f t="shared" ca="1" si="160"/>
        <v>1853452523356.8948</v>
      </c>
      <c r="K1128" s="48">
        <f t="shared" ca="1" si="161"/>
        <v>0.5501683143605739</v>
      </c>
    </row>
    <row r="1129" spans="2:11" ht="15" customHeight="1" x14ac:dyDescent="0.35">
      <c r="B1129" s="5">
        <v>1108</v>
      </c>
      <c r="C1129" s="46">
        <f t="shared" ca="1" si="153"/>
        <v>2.4738457377528911</v>
      </c>
      <c r="D1129" s="47">
        <f t="shared" ca="1" si="154"/>
        <v>1626941787.4978464</v>
      </c>
      <c r="E1129" s="47">
        <f t="shared" ca="1" si="155"/>
        <v>5607376680412.1982</v>
      </c>
      <c r="F1129" s="47">
        <f t="shared" ca="1" si="156"/>
        <v>3518522247783.0557</v>
      </c>
      <c r="G1129" s="47">
        <f t="shared" ca="1" si="157"/>
        <v>2429641010315.9834</v>
      </c>
      <c r="H1129" s="47">
        <f t="shared" ca="1" si="158"/>
        <v>5607376680412.1982</v>
      </c>
      <c r="I1129" s="47">
        <f t="shared" ca="1" si="159"/>
        <v>30905889268463.23</v>
      </c>
      <c r="J1129" s="47">
        <f t="shared" ca="1" si="160"/>
        <v>1145770705183.8713</v>
      </c>
      <c r="K1129" s="48">
        <f t="shared" ca="1" si="161"/>
        <v>26.973886772138677</v>
      </c>
    </row>
    <row r="1130" spans="2:11" ht="15" customHeight="1" x14ac:dyDescent="0.35">
      <c r="B1130" s="5">
        <v>1109</v>
      </c>
      <c r="C1130" s="46">
        <f t="shared" ca="1" si="153"/>
        <v>2.2405579621268417</v>
      </c>
      <c r="D1130" s="47">
        <f t="shared" ca="1" si="154"/>
        <v>1088237841.9708047</v>
      </c>
      <c r="E1130" s="47">
        <f t="shared" ca="1" si="155"/>
        <v>3237800006782.1978</v>
      </c>
      <c r="F1130" s="47">
        <f t="shared" ca="1" si="156"/>
        <v>2533114462627.604</v>
      </c>
      <c r="G1130" s="47">
        <f t="shared" ca="1" si="157"/>
        <v>430232753490.30621</v>
      </c>
      <c r="H1130" s="47">
        <f t="shared" ca="1" si="158"/>
        <v>430232753490.30621</v>
      </c>
      <c r="I1130" s="47">
        <f t="shared" ca="1" si="159"/>
        <v>11419990403674.242</v>
      </c>
      <c r="J1130" s="47">
        <f t="shared" ca="1" si="160"/>
        <v>1620029777694.3569</v>
      </c>
      <c r="K1130" s="48">
        <f t="shared" ca="1" si="161"/>
        <v>7.0492472181142807</v>
      </c>
    </row>
    <row r="1131" spans="2:11" ht="15" customHeight="1" x14ac:dyDescent="0.35">
      <c r="B1131" s="5">
        <v>1110</v>
      </c>
      <c r="C1131" s="46">
        <f t="shared" ca="1" si="153"/>
        <v>3.5923031786881743</v>
      </c>
      <c r="D1131" s="47">
        <f t="shared" ca="1" si="154"/>
        <v>10701783431.514372</v>
      </c>
      <c r="E1131" s="47">
        <f t="shared" ca="1" si="155"/>
        <v>62430409549605.492</v>
      </c>
      <c r="F1131" s="47">
        <f t="shared" ca="1" si="156"/>
        <v>2469885019977.7896</v>
      </c>
      <c r="G1131" s="47">
        <f t="shared" ca="1" si="157"/>
        <v>20318044985886.953</v>
      </c>
      <c r="H1131" s="47">
        <f t="shared" ca="1" si="158"/>
        <v>62430409549605.492</v>
      </c>
      <c r="I1131" s="47">
        <f t="shared" ca="1" si="159"/>
        <v>2966756757057.7358</v>
      </c>
      <c r="J1131" s="47">
        <f t="shared" ca="1" si="160"/>
        <v>1502570656962.0837</v>
      </c>
      <c r="K1131" s="48">
        <f t="shared" ca="1" si="161"/>
        <v>1.9744540752951758</v>
      </c>
    </row>
    <row r="1132" spans="2:11" ht="15" customHeight="1" x14ac:dyDescent="0.35">
      <c r="B1132" s="5">
        <v>1111</v>
      </c>
      <c r="C1132" s="46">
        <f t="shared" ca="1" si="153"/>
        <v>3.1069114448219906</v>
      </c>
      <c r="D1132" s="47">
        <f t="shared" ca="1" si="154"/>
        <v>5307391713.3976889</v>
      </c>
      <c r="E1132" s="47">
        <f t="shared" ca="1" si="155"/>
        <v>16021621724208.516</v>
      </c>
      <c r="F1132" s="47">
        <f t="shared" ca="1" si="156"/>
        <v>7632411965265.834</v>
      </c>
      <c r="G1132" s="47">
        <f t="shared" ca="1" si="157"/>
        <v>5639035486873.9092</v>
      </c>
      <c r="H1132" s="47">
        <f t="shared" ca="1" si="158"/>
        <v>5639035486873.9092</v>
      </c>
      <c r="I1132" s="47">
        <f t="shared" ca="1" si="159"/>
        <v>8819282100043.1777</v>
      </c>
      <c r="J1132" s="47">
        <f t="shared" ca="1" si="160"/>
        <v>1975602256177.3345</v>
      </c>
      <c r="K1132" s="48">
        <f t="shared" ca="1" si="161"/>
        <v>4.464098009843303</v>
      </c>
    </row>
    <row r="1133" spans="2:11" ht="15" customHeight="1" x14ac:dyDescent="0.35">
      <c r="B1133" s="5">
        <v>1112</v>
      </c>
      <c r="C1133" s="46">
        <f t="shared" ca="1" si="153"/>
        <v>3.1546969848908222</v>
      </c>
      <c r="D1133" s="47">
        <f t="shared" ca="1" si="154"/>
        <v>7344254021.4070072</v>
      </c>
      <c r="E1133" s="47">
        <f t="shared" ca="1" si="155"/>
        <v>20008896805649.949</v>
      </c>
      <c r="F1133" s="47">
        <f t="shared" ca="1" si="156"/>
        <v>2085628446972.7251</v>
      </c>
      <c r="G1133" s="47">
        <f t="shared" ca="1" si="157"/>
        <v>6403753225632.8154</v>
      </c>
      <c r="H1133" s="47">
        <f t="shared" ca="1" si="158"/>
        <v>2085628446972.7251</v>
      </c>
      <c r="I1133" s="47">
        <f t="shared" ca="1" si="159"/>
        <v>3460519138524.1094</v>
      </c>
      <c r="J1133" s="47">
        <f t="shared" ca="1" si="160"/>
        <v>1572541037862.2783</v>
      </c>
      <c r="K1133" s="48">
        <f t="shared" ca="1" si="161"/>
        <v>2.2005906715339907</v>
      </c>
    </row>
    <row r="1134" spans="2:11" ht="15" customHeight="1" x14ac:dyDescent="0.35">
      <c r="B1134" s="5">
        <v>1113</v>
      </c>
      <c r="C1134" s="46">
        <f t="shared" ca="1" si="153"/>
        <v>3.0213769504699277</v>
      </c>
      <c r="D1134" s="47">
        <f t="shared" ca="1" si="154"/>
        <v>5819168582.7533979</v>
      </c>
      <c r="E1134" s="47">
        <f t="shared" ca="1" si="155"/>
        <v>42029844426327.039</v>
      </c>
      <c r="F1134" s="47">
        <f t="shared" ca="1" si="156"/>
        <v>4674859514440.0322</v>
      </c>
      <c r="G1134" s="47">
        <f t="shared" ca="1" si="157"/>
        <v>3338911375769.126</v>
      </c>
      <c r="H1134" s="47">
        <f t="shared" ca="1" si="158"/>
        <v>42029844426327.039</v>
      </c>
      <c r="I1134" s="47">
        <f t="shared" ca="1" si="159"/>
        <v>20309059682088.422</v>
      </c>
      <c r="J1134" s="47">
        <f t="shared" ca="1" si="160"/>
        <v>2126285670293.6799</v>
      </c>
      <c r="K1134" s="48">
        <f t="shared" ca="1" si="161"/>
        <v>9.5514257401186171</v>
      </c>
    </row>
    <row r="1135" spans="2:11" ht="15" customHeight="1" x14ac:dyDescent="0.35">
      <c r="B1135" s="5">
        <v>1114</v>
      </c>
      <c r="C1135" s="46">
        <f t="shared" ca="1" si="153"/>
        <v>2.7939831078890216</v>
      </c>
      <c r="D1135" s="47">
        <f t="shared" ca="1" si="154"/>
        <v>3622744814.8149681</v>
      </c>
      <c r="E1135" s="47">
        <f t="shared" ca="1" si="155"/>
        <v>5402351337928.8262</v>
      </c>
      <c r="F1135" s="47">
        <f t="shared" ca="1" si="156"/>
        <v>977372938942.00061</v>
      </c>
      <c r="G1135" s="47">
        <f t="shared" ca="1" si="157"/>
        <v>1471730525851.8301</v>
      </c>
      <c r="H1135" s="47">
        <f t="shared" ca="1" si="158"/>
        <v>5402351337928.8262</v>
      </c>
      <c r="I1135" s="47">
        <f t="shared" ca="1" si="159"/>
        <v>5771164895555.8271</v>
      </c>
      <c r="J1135" s="47">
        <f t="shared" ca="1" si="160"/>
        <v>1581189050958.5625</v>
      </c>
      <c r="K1135" s="48">
        <f t="shared" ca="1" si="161"/>
        <v>3.6498892349761594</v>
      </c>
    </row>
    <row r="1136" spans="2:11" ht="15" customHeight="1" x14ac:dyDescent="0.35">
      <c r="B1136" s="5">
        <v>1115</v>
      </c>
      <c r="C1136" s="46">
        <f t="shared" ca="1" si="153"/>
        <v>2.7459155994692779</v>
      </c>
      <c r="D1136" s="47">
        <f t="shared" ca="1" si="154"/>
        <v>3412111093.5799584</v>
      </c>
      <c r="E1136" s="47">
        <f t="shared" ca="1" si="155"/>
        <v>6872196419757.8291</v>
      </c>
      <c r="F1136" s="47">
        <f t="shared" ca="1" si="156"/>
        <v>5266729508702.7676</v>
      </c>
      <c r="G1136" s="47">
        <f t="shared" ca="1" si="157"/>
        <v>9951839190518.1895</v>
      </c>
      <c r="H1136" s="47">
        <f t="shared" ca="1" si="158"/>
        <v>9951839190518.1895</v>
      </c>
      <c r="I1136" s="47">
        <f t="shared" ca="1" si="159"/>
        <v>19734717211884.648</v>
      </c>
      <c r="J1136" s="47">
        <f t="shared" ca="1" si="160"/>
        <v>843718234987.83813</v>
      </c>
      <c r="K1136" s="48">
        <f t="shared" ca="1" si="161"/>
        <v>23.390175053131472</v>
      </c>
    </row>
    <row r="1137" spans="2:11" ht="15" customHeight="1" x14ac:dyDescent="0.35">
      <c r="B1137" s="5">
        <v>1116</v>
      </c>
      <c r="C1137" s="46">
        <f t="shared" ca="1" si="153"/>
        <v>3.1735811052780676</v>
      </c>
      <c r="D1137" s="47">
        <f t="shared" ca="1" si="154"/>
        <v>7659074595.0110884</v>
      </c>
      <c r="E1137" s="47">
        <f t="shared" ca="1" si="155"/>
        <v>15556981212835.279</v>
      </c>
      <c r="F1137" s="47">
        <f t="shared" ca="1" si="156"/>
        <v>1198756980500.1062</v>
      </c>
      <c r="G1137" s="47">
        <f t="shared" ca="1" si="157"/>
        <v>247589649597199.56</v>
      </c>
      <c r="H1137" s="47">
        <f t="shared" ca="1" si="158"/>
        <v>15556981212835.279</v>
      </c>
      <c r="I1137" s="47">
        <f t="shared" ca="1" si="159"/>
        <v>10945286590809.273</v>
      </c>
      <c r="J1137" s="47">
        <f t="shared" ca="1" si="160"/>
        <v>2317930490361.4048</v>
      </c>
      <c r="K1137" s="48">
        <f t="shared" ca="1" si="161"/>
        <v>4.7220081172937665</v>
      </c>
    </row>
    <row r="1138" spans="2:11" ht="15" customHeight="1" x14ac:dyDescent="0.35">
      <c r="B1138" s="5">
        <v>1117</v>
      </c>
      <c r="C1138" s="46">
        <f t="shared" ca="1" si="153"/>
        <v>2.8700122215924333</v>
      </c>
      <c r="D1138" s="47">
        <f t="shared" ca="1" si="154"/>
        <v>3707626437.3622336</v>
      </c>
      <c r="E1138" s="47">
        <f t="shared" ca="1" si="155"/>
        <v>14622328336980.766</v>
      </c>
      <c r="F1138" s="47">
        <f t="shared" ca="1" si="156"/>
        <v>2050655424300.7173</v>
      </c>
      <c r="G1138" s="47">
        <f t="shared" ca="1" si="157"/>
        <v>1750703424477.7764</v>
      </c>
      <c r="H1138" s="47">
        <f t="shared" ca="1" si="158"/>
        <v>2050655424300.7173</v>
      </c>
      <c r="I1138" s="47">
        <f t="shared" ca="1" si="159"/>
        <v>38630513434410.805</v>
      </c>
      <c r="J1138" s="47">
        <f t="shared" ca="1" si="160"/>
        <v>1154413734648.1514</v>
      </c>
      <c r="K1138" s="48">
        <f t="shared" ca="1" si="161"/>
        <v>33.46331759140481</v>
      </c>
    </row>
    <row r="1139" spans="2:11" ht="15" customHeight="1" x14ac:dyDescent="0.35">
      <c r="B1139" s="5">
        <v>1118</v>
      </c>
      <c r="C1139" s="46">
        <f t="shared" ca="1" si="153"/>
        <v>3.3180430432023815</v>
      </c>
      <c r="D1139" s="47">
        <f t="shared" ca="1" si="154"/>
        <v>8775725036.2070026</v>
      </c>
      <c r="E1139" s="47">
        <f t="shared" ca="1" si="155"/>
        <v>20239590762900.488</v>
      </c>
      <c r="F1139" s="47">
        <f t="shared" ca="1" si="156"/>
        <v>3465694231488.5068</v>
      </c>
      <c r="G1139" s="47">
        <f t="shared" ca="1" si="157"/>
        <v>12053747458196.869</v>
      </c>
      <c r="H1139" s="47">
        <f t="shared" ca="1" si="158"/>
        <v>20239590762900.488</v>
      </c>
      <c r="I1139" s="47">
        <f t="shared" ca="1" si="159"/>
        <v>13693115336920.635</v>
      </c>
      <c r="J1139" s="47">
        <f t="shared" ca="1" si="160"/>
        <v>936983874874.71313</v>
      </c>
      <c r="K1139" s="48">
        <f t="shared" ca="1" si="161"/>
        <v>14.614035208184966</v>
      </c>
    </row>
    <row r="1140" spans="2:11" ht="15" customHeight="1" x14ac:dyDescent="0.35">
      <c r="B1140" s="5">
        <v>1119</v>
      </c>
      <c r="C1140" s="46">
        <f t="shared" ca="1" si="153"/>
        <v>3.2037135051392944</v>
      </c>
      <c r="D1140" s="47">
        <f t="shared" ca="1" si="154"/>
        <v>6316357140.1695356</v>
      </c>
      <c r="E1140" s="47">
        <f t="shared" ca="1" si="155"/>
        <v>14151589818554.189</v>
      </c>
      <c r="F1140" s="47">
        <f t="shared" ca="1" si="156"/>
        <v>2396901715053.0146</v>
      </c>
      <c r="G1140" s="47">
        <f t="shared" ca="1" si="157"/>
        <v>750265367830.7113</v>
      </c>
      <c r="H1140" s="47">
        <f t="shared" ca="1" si="158"/>
        <v>2396901715053.0146</v>
      </c>
      <c r="I1140" s="47">
        <f t="shared" ca="1" si="159"/>
        <v>236485268475.61023</v>
      </c>
      <c r="J1140" s="47">
        <f t="shared" ca="1" si="160"/>
        <v>1391751150140.959</v>
      </c>
      <c r="K1140" s="48">
        <f t="shared" ca="1" si="161"/>
        <v>0.16991921900093893</v>
      </c>
    </row>
    <row r="1141" spans="2:11" ht="15" customHeight="1" x14ac:dyDescent="0.35">
      <c r="B1141" s="5">
        <v>1120</v>
      </c>
      <c r="C1141" s="46">
        <f t="shared" ca="1" si="153"/>
        <v>3.1777842605313538</v>
      </c>
      <c r="D1141" s="47">
        <f t="shared" ca="1" si="154"/>
        <v>7637358910.387042</v>
      </c>
      <c r="E1141" s="47">
        <f t="shared" ca="1" si="155"/>
        <v>30036267443887.406</v>
      </c>
      <c r="F1141" s="47">
        <f t="shared" ca="1" si="156"/>
        <v>13085133013671.4</v>
      </c>
      <c r="G1141" s="47">
        <f t="shared" ca="1" si="157"/>
        <v>494932432297.16431</v>
      </c>
      <c r="H1141" s="47">
        <f t="shared" ca="1" si="158"/>
        <v>30036267443887.406</v>
      </c>
      <c r="I1141" s="47">
        <f t="shared" ca="1" si="159"/>
        <v>4110068961710.7129</v>
      </c>
      <c r="J1141" s="47">
        <f t="shared" ca="1" si="160"/>
        <v>1590054676699.2144</v>
      </c>
      <c r="K1141" s="48">
        <f t="shared" ca="1" si="161"/>
        <v>2.5848601447107353</v>
      </c>
    </row>
    <row r="1142" spans="2:11" ht="15" customHeight="1" x14ac:dyDescent="0.35">
      <c r="B1142" s="5">
        <v>1121</v>
      </c>
      <c r="C1142" s="46">
        <f t="shared" ca="1" si="153"/>
        <v>3.0164745661171239</v>
      </c>
      <c r="D1142" s="47">
        <f t="shared" ca="1" si="154"/>
        <v>4559255158.6372881</v>
      </c>
      <c r="E1142" s="47">
        <f t="shared" ca="1" si="155"/>
        <v>33811257162211.57</v>
      </c>
      <c r="F1142" s="47">
        <f t="shared" ca="1" si="156"/>
        <v>7678970899041.4072</v>
      </c>
      <c r="G1142" s="47">
        <f t="shared" ca="1" si="157"/>
        <v>8165810091655.7949</v>
      </c>
      <c r="H1142" s="47">
        <f t="shared" ca="1" si="158"/>
        <v>33811257162211.57</v>
      </c>
      <c r="I1142" s="47">
        <f t="shared" ca="1" si="159"/>
        <v>4285864888376.9478</v>
      </c>
      <c r="J1142" s="47">
        <f t="shared" ca="1" si="160"/>
        <v>1221602059569.5798</v>
      </c>
      <c r="K1142" s="48">
        <f t="shared" ca="1" si="161"/>
        <v>3.5083969078171271</v>
      </c>
    </row>
    <row r="1143" spans="2:11" ht="15" customHeight="1" x14ac:dyDescent="0.35">
      <c r="B1143" s="5">
        <v>1122</v>
      </c>
      <c r="C1143" s="46">
        <f t="shared" ca="1" si="153"/>
        <v>2.6694225390420026</v>
      </c>
      <c r="D1143" s="47">
        <f t="shared" ca="1" si="154"/>
        <v>2770315900.2350254</v>
      </c>
      <c r="E1143" s="47">
        <f t="shared" ca="1" si="155"/>
        <v>6737128054238.3105</v>
      </c>
      <c r="F1143" s="47">
        <f t="shared" ca="1" si="156"/>
        <v>2409882795610.3833</v>
      </c>
      <c r="G1143" s="47">
        <f t="shared" ca="1" si="157"/>
        <v>16808069888636.898</v>
      </c>
      <c r="H1143" s="47">
        <f t="shared" ca="1" si="158"/>
        <v>16808069888636.898</v>
      </c>
      <c r="I1143" s="47">
        <f t="shared" ca="1" si="159"/>
        <v>18438506407246.957</v>
      </c>
      <c r="J1143" s="47">
        <f t="shared" ca="1" si="160"/>
        <v>457358410749.86469</v>
      </c>
      <c r="K1143" s="48">
        <f t="shared" ca="1" si="161"/>
        <v>40.315223190092851</v>
      </c>
    </row>
    <row r="1144" spans="2:11" ht="15" customHeight="1" x14ac:dyDescent="0.35">
      <c r="B1144" s="5">
        <v>1123</v>
      </c>
      <c r="C1144" s="46">
        <f t="shared" ca="1" si="153"/>
        <v>3.0024888473270912</v>
      </c>
      <c r="D1144" s="47">
        <f t="shared" ca="1" si="154"/>
        <v>4598602367.848279</v>
      </c>
      <c r="E1144" s="47">
        <f t="shared" ca="1" si="155"/>
        <v>14535423210490.889</v>
      </c>
      <c r="F1144" s="47">
        <f t="shared" ca="1" si="156"/>
        <v>7521592322173.8516</v>
      </c>
      <c r="G1144" s="47">
        <f t="shared" ca="1" si="157"/>
        <v>8132139562360.2021</v>
      </c>
      <c r="H1144" s="47">
        <f t="shared" ca="1" si="158"/>
        <v>8132139562360.2021</v>
      </c>
      <c r="I1144" s="47">
        <f t="shared" ca="1" si="159"/>
        <v>3685748909670.4238</v>
      </c>
      <c r="J1144" s="47">
        <f t="shared" ca="1" si="160"/>
        <v>702531574033.65588</v>
      </c>
      <c r="K1144" s="48">
        <f t="shared" ca="1" si="161"/>
        <v>5.2463818651001333</v>
      </c>
    </row>
    <row r="1145" spans="2:11" ht="15" customHeight="1" x14ac:dyDescent="0.35">
      <c r="B1145" s="5">
        <v>1124</v>
      </c>
      <c r="C1145" s="46">
        <f t="shared" ca="1" si="153"/>
        <v>3.6197839146481008</v>
      </c>
      <c r="D1145" s="47">
        <f t="shared" ca="1" si="154"/>
        <v>10952741319.222914</v>
      </c>
      <c r="E1145" s="47">
        <f t="shared" ca="1" si="155"/>
        <v>34863343924558.547</v>
      </c>
      <c r="F1145" s="47">
        <f t="shared" ca="1" si="156"/>
        <v>2093398947613.1648</v>
      </c>
      <c r="G1145" s="47">
        <f t="shared" ca="1" si="157"/>
        <v>7800162847596.0547</v>
      </c>
      <c r="H1145" s="47">
        <f t="shared" ca="1" si="158"/>
        <v>34863343924558.547</v>
      </c>
      <c r="I1145" s="47">
        <f t="shared" ca="1" si="159"/>
        <v>8159270648554.5205</v>
      </c>
      <c r="J1145" s="47">
        <f t="shared" ca="1" si="160"/>
        <v>1552215470007.5496</v>
      </c>
      <c r="K1145" s="48">
        <f t="shared" ca="1" si="161"/>
        <v>5.2565322316461875</v>
      </c>
    </row>
    <row r="1146" spans="2:11" ht="15" customHeight="1" x14ac:dyDescent="0.35">
      <c r="B1146" s="5">
        <v>1125</v>
      </c>
      <c r="C1146" s="46">
        <f t="shared" ca="1" si="153"/>
        <v>3.1354896604778437</v>
      </c>
      <c r="D1146" s="47">
        <f t="shared" ca="1" si="154"/>
        <v>5371886383.7834044</v>
      </c>
      <c r="E1146" s="47">
        <f t="shared" ca="1" si="155"/>
        <v>10011289287124.479</v>
      </c>
      <c r="F1146" s="47">
        <f t="shared" ca="1" si="156"/>
        <v>7361879450443.8184</v>
      </c>
      <c r="G1146" s="47">
        <f t="shared" ca="1" si="157"/>
        <v>39230370864153.633</v>
      </c>
      <c r="H1146" s="47">
        <f t="shared" ca="1" si="158"/>
        <v>7361879450443.8184</v>
      </c>
      <c r="I1146" s="47">
        <f t="shared" ca="1" si="159"/>
        <v>1655091155401.123</v>
      </c>
      <c r="J1146" s="47">
        <f t="shared" ca="1" si="160"/>
        <v>822094556177.34167</v>
      </c>
      <c r="K1146" s="48">
        <f t="shared" ca="1" si="161"/>
        <v>2.0132613006186699</v>
      </c>
    </row>
    <row r="1147" spans="2:11" ht="15" customHeight="1" x14ac:dyDescent="0.35">
      <c r="B1147" s="5">
        <v>1126</v>
      </c>
      <c r="C1147" s="46">
        <f t="shared" ca="1" si="153"/>
        <v>3.3795709011330968</v>
      </c>
      <c r="D1147" s="47">
        <f t="shared" ca="1" si="154"/>
        <v>10156779687.362545</v>
      </c>
      <c r="E1147" s="47">
        <f t="shared" ca="1" si="155"/>
        <v>15955006323307.361</v>
      </c>
      <c r="F1147" s="47">
        <f t="shared" ca="1" si="156"/>
        <v>2238602182857.1982</v>
      </c>
      <c r="G1147" s="47">
        <f t="shared" ca="1" si="157"/>
        <v>3296392236287.5273</v>
      </c>
      <c r="H1147" s="47">
        <f t="shared" ca="1" si="158"/>
        <v>2238602182857.1982</v>
      </c>
      <c r="I1147" s="47">
        <f t="shared" ca="1" si="159"/>
        <v>13148662891874.262</v>
      </c>
      <c r="J1147" s="47">
        <f t="shared" ca="1" si="160"/>
        <v>1334063257868.1179</v>
      </c>
      <c r="K1147" s="48">
        <f t="shared" ca="1" si="161"/>
        <v>9.8561015111729464</v>
      </c>
    </row>
    <row r="1148" spans="2:11" ht="15" customHeight="1" x14ac:dyDescent="0.35">
      <c r="B1148" s="5">
        <v>1127</v>
      </c>
      <c r="C1148" s="46">
        <f t="shared" ca="1" si="153"/>
        <v>2.7284004916725397</v>
      </c>
      <c r="D1148" s="47">
        <f t="shared" ca="1" si="154"/>
        <v>3229103434.2691307</v>
      </c>
      <c r="E1148" s="47">
        <f t="shared" ca="1" si="155"/>
        <v>27979206478486.078</v>
      </c>
      <c r="F1148" s="47">
        <f t="shared" ca="1" si="156"/>
        <v>7758150036097.0967</v>
      </c>
      <c r="G1148" s="47">
        <f t="shared" ca="1" si="157"/>
        <v>208972363943.99167</v>
      </c>
      <c r="H1148" s="47">
        <f t="shared" ca="1" si="158"/>
        <v>208972363943.99167</v>
      </c>
      <c r="I1148" s="47">
        <f t="shared" ca="1" si="159"/>
        <v>53994639538988.195</v>
      </c>
      <c r="J1148" s="47">
        <f t="shared" ca="1" si="160"/>
        <v>890005275145.27759</v>
      </c>
      <c r="K1148" s="48">
        <f t="shared" ca="1" si="161"/>
        <v>60.667774727711056</v>
      </c>
    </row>
    <row r="1149" spans="2:11" ht="15" customHeight="1" x14ac:dyDescent="0.35">
      <c r="B1149" s="5">
        <v>1128</v>
      </c>
      <c r="C1149" s="46">
        <f t="shared" ca="1" si="153"/>
        <v>3.3717264431105369</v>
      </c>
      <c r="D1149" s="47">
        <f t="shared" ca="1" si="154"/>
        <v>9878319585.2675495</v>
      </c>
      <c r="E1149" s="47">
        <f t="shared" ca="1" si="155"/>
        <v>19216867448415.594</v>
      </c>
      <c r="F1149" s="47">
        <f t="shared" ca="1" si="156"/>
        <v>5106323389513.5605</v>
      </c>
      <c r="G1149" s="47">
        <f t="shared" ca="1" si="157"/>
        <v>303899517466.79364</v>
      </c>
      <c r="H1149" s="47">
        <f t="shared" ca="1" si="158"/>
        <v>5106323389513.5605</v>
      </c>
      <c r="I1149" s="47">
        <f t="shared" ca="1" si="159"/>
        <v>720725964742.81445</v>
      </c>
      <c r="J1149" s="47">
        <f t="shared" ca="1" si="160"/>
        <v>927146884825.48291</v>
      </c>
      <c r="K1149" s="48">
        <f t="shared" ca="1" si="161"/>
        <v>0.77735898867683395</v>
      </c>
    </row>
    <row r="1150" spans="2:11" ht="15" customHeight="1" x14ac:dyDescent="0.35">
      <c r="B1150" s="5">
        <v>1129</v>
      </c>
      <c r="C1150" s="46">
        <f t="shared" ca="1" si="153"/>
        <v>3.7468479519807016</v>
      </c>
      <c r="D1150" s="47">
        <f t="shared" ca="1" si="154"/>
        <v>15641313150.767168</v>
      </c>
      <c r="E1150" s="47">
        <f t="shared" ca="1" si="155"/>
        <v>39902060318021.672</v>
      </c>
      <c r="F1150" s="47">
        <f t="shared" ca="1" si="156"/>
        <v>664150838667.17493</v>
      </c>
      <c r="G1150" s="47">
        <f t="shared" ca="1" si="157"/>
        <v>3408094733756.4033</v>
      </c>
      <c r="H1150" s="47">
        <f t="shared" ca="1" si="158"/>
        <v>664150838667.17493</v>
      </c>
      <c r="I1150" s="47">
        <f t="shared" ca="1" si="159"/>
        <v>13786905875966.619</v>
      </c>
      <c r="J1150" s="47">
        <f t="shared" ca="1" si="160"/>
        <v>1574620832528.0403</v>
      </c>
      <c r="K1150" s="48">
        <f t="shared" ca="1" si="161"/>
        <v>8.7556988902730701</v>
      </c>
    </row>
    <row r="1151" spans="2:11" ht="15" customHeight="1" x14ac:dyDescent="0.35">
      <c r="B1151" s="5">
        <v>1130</v>
      </c>
      <c r="C1151" s="46">
        <f t="shared" ca="1" si="153"/>
        <v>2.6267467546410979</v>
      </c>
      <c r="D1151" s="47">
        <f t="shared" ca="1" si="154"/>
        <v>2034313070.3137779</v>
      </c>
      <c r="E1151" s="47">
        <f t="shared" ca="1" si="155"/>
        <v>11899292241489.102</v>
      </c>
      <c r="F1151" s="47">
        <f t="shared" ca="1" si="156"/>
        <v>2348155029212.1333</v>
      </c>
      <c r="G1151" s="47">
        <f t="shared" ca="1" si="157"/>
        <v>6460313075454.3896</v>
      </c>
      <c r="H1151" s="47">
        <f t="shared" ca="1" si="158"/>
        <v>2348155029212.1333</v>
      </c>
      <c r="I1151" s="47">
        <f t="shared" ca="1" si="159"/>
        <v>11075354685381.24</v>
      </c>
      <c r="J1151" s="47">
        <f t="shared" ca="1" si="160"/>
        <v>2161988801494.9602</v>
      </c>
      <c r="K1151" s="48">
        <f t="shared" ca="1" si="161"/>
        <v>5.1227622815265805</v>
      </c>
    </row>
    <row r="1152" spans="2:11" ht="15" customHeight="1" x14ac:dyDescent="0.35">
      <c r="B1152" s="5">
        <v>1131</v>
      </c>
      <c r="C1152" s="46">
        <f t="shared" ca="1" si="153"/>
        <v>2.9867613442207324</v>
      </c>
      <c r="D1152" s="47">
        <f t="shared" ca="1" si="154"/>
        <v>5516223162.8470392</v>
      </c>
      <c r="E1152" s="47">
        <f t="shared" ca="1" si="155"/>
        <v>11672470120189</v>
      </c>
      <c r="F1152" s="47">
        <f t="shared" ca="1" si="156"/>
        <v>4287533421812.3594</v>
      </c>
      <c r="G1152" s="47">
        <f t="shared" ca="1" si="157"/>
        <v>5580060723716.124</v>
      </c>
      <c r="H1152" s="47">
        <f t="shared" ca="1" si="158"/>
        <v>4287533421812.3594</v>
      </c>
      <c r="I1152" s="47">
        <f t="shared" ca="1" si="159"/>
        <v>82589999294904.797</v>
      </c>
      <c r="J1152" s="47">
        <f t="shared" ca="1" si="160"/>
        <v>2076572426438.6206</v>
      </c>
      <c r="K1152" s="48">
        <f t="shared" ca="1" si="161"/>
        <v>39.772270036614586</v>
      </c>
    </row>
    <row r="1153" spans="2:11" ht="15" customHeight="1" x14ac:dyDescent="0.35">
      <c r="B1153" s="5">
        <v>1132</v>
      </c>
      <c r="C1153" s="46">
        <f t="shared" ca="1" si="153"/>
        <v>3.1007578302955365</v>
      </c>
      <c r="D1153" s="47">
        <f t="shared" ca="1" si="154"/>
        <v>5040915948.5030317</v>
      </c>
      <c r="E1153" s="47">
        <f t="shared" ca="1" si="155"/>
        <v>13045061891935.496</v>
      </c>
      <c r="F1153" s="47">
        <f t="shared" ca="1" si="156"/>
        <v>4601942834573.1875</v>
      </c>
      <c r="G1153" s="47">
        <f t="shared" ca="1" si="157"/>
        <v>35896643885850.727</v>
      </c>
      <c r="H1153" s="47">
        <f t="shared" ca="1" si="158"/>
        <v>35896643885850.727</v>
      </c>
      <c r="I1153" s="47">
        <f t="shared" ca="1" si="159"/>
        <v>3677139492784.1216</v>
      </c>
      <c r="J1153" s="47">
        <f t="shared" ca="1" si="160"/>
        <v>1062421071319.6382</v>
      </c>
      <c r="K1153" s="48">
        <f t="shared" ca="1" si="161"/>
        <v>3.4610942798948154</v>
      </c>
    </row>
    <row r="1154" spans="2:11" ht="15" customHeight="1" x14ac:dyDescent="0.35">
      <c r="B1154" s="5">
        <v>1133</v>
      </c>
      <c r="C1154" s="46">
        <f t="shared" ca="1" si="153"/>
        <v>2.893549843856758</v>
      </c>
      <c r="D1154" s="47">
        <f t="shared" ca="1" si="154"/>
        <v>4669824584.9603863</v>
      </c>
      <c r="E1154" s="47">
        <f t="shared" ca="1" si="155"/>
        <v>8676910490527.335</v>
      </c>
      <c r="F1154" s="47">
        <f t="shared" ca="1" si="156"/>
        <v>1688133491036.5178</v>
      </c>
      <c r="G1154" s="47">
        <f t="shared" ca="1" si="157"/>
        <v>18685171508106.637</v>
      </c>
      <c r="H1154" s="47">
        <f t="shared" ca="1" si="158"/>
        <v>18685171508106.637</v>
      </c>
      <c r="I1154" s="47">
        <f t="shared" ca="1" si="159"/>
        <v>27040546138847.172</v>
      </c>
      <c r="J1154" s="47">
        <f t="shared" ca="1" si="160"/>
        <v>686459263297.02722</v>
      </c>
      <c r="K1154" s="48">
        <f t="shared" ca="1" si="161"/>
        <v>39.391334030475271</v>
      </c>
    </row>
    <row r="1155" spans="2:11" ht="15" customHeight="1" x14ac:dyDescent="0.35">
      <c r="B1155" s="5">
        <v>1134</v>
      </c>
      <c r="C1155" s="46">
        <f t="shared" ca="1" si="153"/>
        <v>2.6400119634416126</v>
      </c>
      <c r="D1155" s="47">
        <f t="shared" ca="1" si="154"/>
        <v>2770955480.089211</v>
      </c>
      <c r="E1155" s="47">
        <f t="shared" ca="1" si="155"/>
        <v>11911024841331.668</v>
      </c>
      <c r="F1155" s="47">
        <f t="shared" ca="1" si="156"/>
        <v>9758886915893.0371</v>
      </c>
      <c r="G1155" s="47">
        <f t="shared" ca="1" si="157"/>
        <v>4168605281972.8599</v>
      </c>
      <c r="H1155" s="47">
        <f t="shared" ca="1" si="158"/>
        <v>9758886915893.0371</v>
      </c>
      <c r="I1155" s="47">
        <f t="shared" ca="1" si="159"/>
        <v>372608438999.54639</v>
      </c>
      <c r="J1155" s="47">
        <f t="shared" ca="1" si="160"/>
        <v>1085762555990.1805</v>
      </c>
      <c r="K1155" s="48">
        <f t="shared" ca="1" si="161"/>
        <v>0.34317672583554831</v>
      </c>
    </row>
    <row r="1156" spans="2:11" ht="15" customHeight="1" x14ac:dyDescent="0.35">
      <c r="B1156" s="5">
        <v>1135</v>
      </c>
      <c r="C1156" s="46">
        <f t="shared" ca="1" si="153"/>
        <v>3.5617912856096776</v>
      </c>
      <c r="D1156" s="47">
        <f t="shared" ca="1" si="154"/>
        <v>10580116529.760181</v>
      </c>
      <c r="E1156" s="47">
        <f t="shared" ca="1" si="155"/>
        <v>92093207376205.891</v>
      </c>
      <c r="F1156" s="47">
        <f t="shared" ca="1" si="156"/>
        <v>38764146475839.961</v>
      </c>
      <c r="G1156" s="47">
        <f t="shared" ca="1" si="157"/>
        <v>2057168608041.813</v>
      </c>
      <c r="H1156" s="47">
        <f t="shared" ca="1" si="158"/>
        <v>92093207376205.891</v>
      </c>
      <c r="I1156" s="47">
        <f t="shared" ca="1" si="159"/>
        <v>29219105871583.82</v>
      </c>
      <c r="J1156" s="47">
        <f t="shared" ca="1" si="160"/>
        <v>1190709888698.3376</v>
      </c>
      <c r="K1156" s="48">
        <f t="shared" ca="1" si="161"/>
        <v>24.539231721276469</v>
      </c>
    </row>
    <row r="1157" spans="2:11" ht="15" customHeight="1" x14ac:dyDescent="0.35">
      <c r="B1157" s="5">
        <v>1136</v>
      </c>
      <c r="C1157" s="46">
        <f t="shared" ca="1" si="153"/>
        <v>2.878536624935228</v>
      </c>
      <c r="D1157" s="47">
        <f t="shared" ca="1" si="154"/>
        <v>3847187390.7122149</v>
      </c>
      <c r="E1157" s="47">
        <f t="shared" ca="1" si="155"/>
        <v>17159068796961.037</v>
      </c>
      <c r="F1157" s="47">
        <f t="shared" ca="1" si="156"/>
        <v>1010090859558.2374</v>
      </c>
      <c r="G1157" s="47">
        <f t="shared" ca="1" si="157"/>
        <v>1136309399436.7683</v>
      </c>
      <c r="H1157" s="47">
        <f t="shared" ca="1" si="158"/>
        <v>1136309399436.7683</v>
      </c>
      <c r="I1157" s="47">
        <f t="shared" ca="1" si="159"/>
        <v>2436617905029.9224</v>
      </c>
      <c r="J1157" s="47">
        <f t="shared" ca="1" si="160"/>
        <v>2321241964854.4541</v>
      </c>
      <c r="K1157" s="48">
        <f t="shared" ca="1" si="161"/>
        <v>1.0497044004555995</v>
      </c>
    </row>
    <row r="1158" spans="2:11" ht="15" customHeight="1" x14ac:dyDescent="0.35">
      <c r="B1158" s="5">
        <v>1137</v>
      </c>
      <c r="C1158" s="46">
        <f t="shared" ca="1" si="153"/>
        <v>3.1035477025245362</v>
      </c>
      <c r="D1158" s="47">
        <f t="shared" ca="1" si="154"/>
        <v>6111048573.4834089</v>
      </c>
      <c r="E1158" s="47">
        <f t="shared" ca="1" si="155"/>
        <v>18396656167502.113</v>
      </c>
      <c r="F1158" s="47">
        <f t="shared" ca="1" si="156"/>
        <v>3930430615578.4194</v>
      </c>
      <c r="G1158" s="47">
        <f t="shared" ca="1" si="157"/>
        <v>377667297161.29742</v>
      </c>
      <c r="H1158" s="47">
        <f t="shared" ca="1" si="158"/>
        <v>377667297161.29742</v>
      </c>
      <c r="I1158" s="47">
        <f t="shared" ca="1" si="159"/>
        <v>3769864196978.1494</v>
      </c>
      <c r="J1158" s="47">
        <f t="shared" ca="1" si="160"/>
        <v>1318382090295.3564</v>
      </c>
      <c r="K1158" s="48">
        <f t="shared" ca="1" si="161"/>
        <v>2.8594625372478997</v>
      </c>
    </row>
    <row r="1159" spans="2:11" ht="15" customHeight="1" x14ac:dyDescent="0.35">
      <c r="B1159" s="5">
        <v>1138</v>
      </c>
      <c r="C1159" s="46">
        <f t="shared" ca="1" si="153"/>
        <v>3.0839170816813493</v>
      </c>
      <c r="D1159" s="47">
        <f t="shared" ca="1" si="154"/>
        <v>5981902228.224391</v>
      </c>
      <c r="E1159" s="47">
        <f t="shared" ca="1" si="155"/>
        <v>10779840582953.754</v>
      </c>
      <c r="F1159" s="47">
        <f t="shared" ca="1" si="156"/>
        <v>83837687405.152573</v>
      </c>
      <c r="G1159" s="47">
        <f t="shared" ca="1" si="157"/>
        <v>108187931846677.41</v>
      </c>
      <c r="H1159" s="47">
        <f t="shared" ca="1" si="158"/>
        <v>10779840582953.754</v>
      </c>
      <c r="I1159" s="47">
        <f t="shared" ca="1" si="159"/>
        <v>42974405067420.805</v>
      </c>
      <c r="J1159" s="47">
        <f t="shared" ca="1" si="160"/>
        <v>1590881796435.3022</v>
      </c>
      <c r="K1159" s="48">
        <f t="shared" ca="1" si="161"/>
        <v>27.012946633567495</v>
      </c>
    </row>
    <row r="1160" spans="2:11" ht="15" customHeight="1" x14ac:dyDescent="0.35">
      <c r="B1160" s="5">
        <v>1139</v>
      </c>
      <c r="C1160" s="46">
        <f t="shared" ca="1" si="153"/>
        <v>3.3266346544113117</v>
      </c>
      <c r="D1160" s="47">
        <f t="shared" ca="1" si="154"/>
        <v>7104665967.6021748</v>
      </c>
      <c r="E1160" s="47">
        <f t="shared" ca="1" si="155"/>
        <v>17861825281827.359</v>
      </c>
      <c r="F1160" s="47">
        <f t="shared" ca="1" si="156"/>
        <v>4949938071941.8984</v>
      </c>
      <c r="G1160" s="47">
        <f t="shared" ca="1" si="157"/>
        <v>8115885095030.751</v>
      </c>
      <c r="H1160" s="47">
        <f t="shared" ca="1" si="158"/>
        <v>4949938071941.8984</v>
      </c>
      <c r="I1160" s="47">
        <f t="shared" ca="1" si="159"/>
        <v>2626616502848.0601</v>
      </c>
      <c r="J1160" s="47">
        <f t="shared" ca="1" si="160"/>
        <v>1096180856542.0826</v>
      </c>
      <c r="K1160" s="48">
        <f t="shared" ca="1" si="161"/>
        <v>2.3961525027300308</v>
      </c>
    </row>
    <row r="1161" spans="2:11" ht="15" customHeight="1" x14ac:dyDescent="0.35">
      <c r="B1161" s="5">
        <v>1140</v>
      </c>
      <c r="C1161" s="46">
        <f t="shared" ca="1" si="153"/>
        <v>2.2976736002694746</v>
      </c>
      <c r="D1161" s="47">
        <f t="shared" ca="1" si="154"/>
        <v>1194841728.4443614</v>
      </c>
      <c r="E1161" s="47">
        <f t="shared" ca="1" si="155"/>
        <v>7654193500827.6572</v>
      </c>
      <c r="F1161" s="47">
        <f t="shared" ca="1" si="156"/>
        <v>13340991471746.377</v>
      </c>
      <c r="G1161" s="47">
        <f t="shared" ca="1" si="157"/>
        <v>1722300948520.6814</v>
      </c>
      <c r="H1161" s="47">
        <f t="shared" ca="1" si="158"/>
        <v>7654193500827.6572</v>
      </c>
      <c r="I1161" s="47">
        <f t="shared" ca="1" si="159"/>
        <v>57586522093145.492</v>
      </c>
      <c r="J1161" s="47">
        <f t="shared" ca="1" si="160"/>
        <v>2100073907360.7136</v>
      </c>
      <c r="K1161" s="48">
        <f t="shared" ca="1" si="161"/>
        <v>27.421188316899695</v>
      </c>
    </row>
    <row r="1162" spans="2:11" ht="15" customHeight="1" x14ac:dyDescent="0.35">
      <c r="B1162" s="5">
        <v>1141</v>
      </c>
      <c r="C1162" s="46">
        <f t="shared" ca="1" si="153"/>
        <v>3.6195558121416163</v>
      </c>
      <c r="D1162" s="47">
        <f t="shared" ca="1" si="154"/>
        <v>14012069669.685123</v>
      </c>
      <c r="E1162" s="47">
        <f t="shared" ca="1" si="155"/>
        <v>68559832969632.133</v>
      </c>
      <c r="F1162" s="47">
        <f t="shared" ca="1" si="156"/>
        <v>1657498947163.7939</v>
      </c>
      <c r="G1162" s="47">
        <f t="shared" ca="1" si="157"/>
        <v>56083085531800.313</v>
      </c>
      <c r="H1162" s="47">
        <f t="shared" ca="1" si="158"/>
        <v>1657498947163.7939</v>
      </c>
      <c r="I1162" s="47">
        <f t="shared" ca="1" si="159"/>
        <v>3499486184172.1689</v>
      </c>
      <c r="J1162" s="47">
        <f t="shared" ca="1" si="160"/>
        <v>905442427212.90393</v>
      </c>
      <c r="K1162" s="48">
        <f t="shared" ca="1" si="161"/>
        <v>3.8649461070033411</v>
      </c>
    </row>
    <row r="1163" spans="2:11" ht="15" customHeight="1" x14ac:dyDescent="0.35">
      <c r="B1163" s="5">
        <v>1142</v>
      </c>
      <c r="C1163" s="46">
        <f t="shared" ca="1" si="153"/>
        <v>2.6843906395736123</v>
      </c>
      <c r="D1163" s="47">
        <f t="shared" ca="1" si="154"/>
        <v>2910732736.9916668</v>
      </c>
      <c r="E1163" s="47">
        <f t="shared" ca="1" si="155"/>
        <v>12719848654955.596</v>
      </c>
      <c r="F1163" s="47">
        <f t="shared" ca="1" si="156"/>
        <v>1110303317562.7075</v>
      </c>
      <c r="G1163" s="47">
        <f t="shared" ca="1" si="157"/>
        <v>16081878507212.262</v>
      </c>
      <c r="H1163" s="47">
        <f t="shared" ca="1" si="158"/>
        <v>1110303317562.7075</v>
      </c>
      <c r="I1163" s="47">
        <f t="shared" ca="1" si="159"/>
        <v>2265201283312.645</v>
      </c>
      <c r="J1163" s="47">
        <f t="shared" ca="1" si="160"/>
        <v>1592632844070.4358</v>
      </c>
      <c r="K1163" s="48">
        <f t="shared" ca="1" si="161"/>
        <v>1.4222997420568479</v>
      </c>
    </row>
    <row r="1164" spans="2:11" ht="15" customHeight="1" x14ac:dyDescent="0.35">
      <c r="B1164" s="5">
        <v>1143</v>
      </c>
      <c r="C1164" s="46">
        <f t="shared" ca="1" si="153"/>
        <v>3.3002602520847408</v>
      </c>
      <c r="D1164" s="47">
        <f t="shared" ca="1" si="154"/>
        <v>8069412465.1443787</v>
      </c>
      <c r="E1164" s="47">
        <f t="shared" ca="1" si="155"/>
        <v>23380835065844.906</v>
      </c>
      <c r="F1164" s="47">
        <f t="shared" ca="1" si="156"/>
        <v>1273130275299.762</v>
      </c>
      <c r="G1164" s="47">
        <f t="shared" ca="1" si="157"/>
        <v>3161992245537.9736</v>
      </c>
      <c r="H1164" s="47">
        <f t="shared" ca="1" si="158"/>
        <v>1273130275299.762</v>
      </c>
      <c r="I1164" s="47">
        <f t="shared" ca="1" si="159"/>
        <v>4456224020393.1191</v>
      </c>
      <c r="J1164" s="47">
        <f t="shared" ca="1" si="160"/>
        <v>975785936648.03723</v>
      </c>
      <c r="K1164" s="48">
        <f t="shared" ca="1" si="161"/>
        <v>4.5668049241423576</v>
      </c>
    </row>
    <row r="1165" spans="2:11" ht="15" customHeight="1" x14ac:dyDescent="0.35">
      <c r="B1165" s="5">
        <v>1144</v>
      </c>
      <c r="C1165" s="46">
        <f t="shared" ca="1" si="153"/>
        <v>2.2820439606586858</v>
      </c>
      <c r="D1165" s="47">
        <f t="shared" ca="1" si="154"/>
        <v>1381640806.4104688</v>
      </c>
      <c r="E1165" s="47">
        <f t="shared" ca="1" si="155"/>
        <v>3729112512640.0396</v>
      </c>
      <c r="F1165" s="47">
        <f t="shared" ca="1" si="156"/>
        <v>5147517893433.5313</v>
      </c>
      <c r="G1165" s="47">
        <f t="shared" ca="1" si="157"/>
        <v>3428459767381.4995</v>
      </c>
      <c r="H1165" s="47">
        <f t="shared" ca="1" si="158"/>
        <v>3428459767381.4995</v>
      </c>
      <c r="I1165" s="47">
        <f t="shared" ca="1" si="159"/>
        <v>15890176729939.379</v>
      </c>
      <c r="J1165" s="47">
        <f t="shared" ca="1" si="160"/>
        <v>633668286059.14172</v>
      </c>
      <c r="K1165" s="48">
        <f t="shared" ca="1" si="161"/>
        <v>25.076490459641391</v>
      </c>
    </row>
    <row r="1166" spans="2:11" ht="15" customHeight="1" x14ac:dyDescent="0.35">
      <c r="B1166" s="5">
        <v>1145</v>
      </c>
      <c r="C1166" s="46">
        <f t="shared" ca="1" si="153"/>
        <v>3.5259065164780701</v>
      </c>
      <c r="D1166" s="47">
        <f t="shared" ca="1" si="154"/>
        <v>10361874591.394905</v>
      </c>
      <c r="E1166" s="47">
        <f t="shared" ca="1" si="155"/>
        <v>22413565352504.988</v>
      </c>
      <c r="F1166" s="47">
        <f t="shared" ca="1" si="156"/>
        <v>7562093690385.835</v>
      </c>
      <c r="G1166" s="47">
        <f t="shared" ca="1" si="157"/>
        <v>29858525349030.238</v>
      </c>
      <c r="H1166" s="47">
        <f t="shared" ca="1" si="158"/>
        <v>22413565352504.988</v>
      </c>
      <c r="I1166" s="47">
        <f t="shared" ca="1" si="159"/>
        <v>23329220420371.527</v>
      </c>
      <c r="J1166" s="47">
        <f t="shared" ca="1" si="160"/>
        <v>618873751626.19312</v>
      </c>
      <c r="K1166" s="48">
        <f t="shared" ca="1" si="161"/>
        <v>37.69625122905947</v>
      </c>
    </row>
    <row r="1167" spans="2:11" ht="15" customHeight="1" x14ac:dyDescent="0.35">
      <c r="B1167" s="5">
        <v>1146</v>
      </c>
      <c r="C1167" s="46">
        <f t="shared" ca="1" si="153"/>
        <v>2.3309735180162585</v>
      </c>
      <c r="D1167" s="47">
        <f t="shared" ca="1" si="154"/>
        <v>1505876766.1291261</v>
      </c>
      <c r="E1167" s="47">
        <f t="shared" ca="1" si="155"/>
        <v>2077450948621.9434</v>
      </c>
      <c r="F1167" s="47">
        <f t="shared" ca="1" si="156"/>
        <v>377647391352.8905</v>
      </c>
      <c r="G1167" s="47">
        <f t="shared" ca="1" si="157"/>
        <v>27281483207601.273</v>
      </c>
      <c r="H1167" s="47">
        <f t="shared" ca="1" si="158"/>
        <v>2077450948621.9434</v>
      </c>
      <c r="I1167" s="47">
        <f t="shared" ca="1" si="159"/>
        <v>24767065936807.91</v>
      </c>
      <c r="J1167" s="47">
        <f t="shared" ca="1" si="160"/>
        <v>2606372425283.4688</v>
      </c>
      <c r="K1167" s="48">
        <f t="shared" ca="1" si="161"/>
        <v>9.5025045908833405</v>
      </c>
    </row>
    <row r="1168" spans="2:11" ht="15" customHeight="1" x14ac:dyDescent="0.35">
      <c r="B1168" s="5">
        <v>1147</v>
      </c>
      <c r="C1168" s="46">
        <f t="shared" ca="1" si="153"/>
        <v>2.9447037170293897</v>
      </c>
      <c r="D1168" s="47">
        <f t="shared" ca="1" si="154"/>
        <v>3917302942.8029132</v>
      </c>
      <c r="E1168" s="47">
        <f t="shared" ca="1" si="155"/>
        <v>3609221305992.8584</v>
      </c>
      <c r="F1168" s="47">
        <f t="shared" ca="1" si="156"/>
        <v>3180760710005.4482</v>
      </c>
      <c r="G1168" s="47">
        <f t="shared" ca="1" si="157"/>
        <v>399433451095.34076</v>
      </c>
      <c r="H1168" s="47">
        <f t="shared" ca="1" si="158"/>
        <v>3180760710005.4482</v>
      </c>
      <c r="I1168" s="47">
        <f t="shared" ca="1" si="159"/>
        <v>19238876263286.777</v>
      </c>
      <c r="J1168" s="47">
        <f t="shared" ca="1" si="160"/>
        <v>1216872644218.0959</v>
      </c>
      <c r="K1168" s="48">
        <f t="shared" ca="1" si="161"/>
        <v>15.810098414734894</v>
      </c>
    </row>
    <row r="1169" spans="2:11" ht="15" customHeight="1" x14ac:dyDescent="0.35">
      <c r="B1169" s="5">
        <v>1148</v>
      </c>
      <c r="C1169" s="46">
        <f t="shared" ca="1" si="153"/>
        <v>3.2952456829284476</v>
      </c>
      <c r="D1169" s="47">
        <f t="shared" ca="1" si="154"/>
        <v>8412824902.1640701</v>
      </c>
      <c r="E1169" s="47">
        <f t="shared" ca="1" si="155"/>
        <v>12968537819237.502</v>
      </c>
      <c r="F1169" s="47">
        <f t="shared" ca="1" si="156"/>
        <v>3176863144850.6934</v>
      </c>
      <c r="G1169" s="47">
        <f t="shared" ca="1" si="157"/>
        <v>2444128895142.04</v>
      </c>
      <c r="H1169" s="47">
        <f t="shared" ca="1" si="158"/>
        <v>2444128895142.04</v>
      </c>
      <c r="I1169" s="47">
        <f t="shared" ca="1" si="159"/>
        <v>8267498730058.2021</v>
      </c>
      <c r="J1169" s="47">
        <f t="shared" ca="1" si="160"/>
        <v>1605250728077.2534</v>
      </c>
      <c r="K1169" s="48">
        <f t="shared" ca="1" si="161"/>
        <v>5.150284990034482</v>
      </c>
    </row>
    <row r="1170" spans="2:11" ht="15" customHeight="1" x14ac:dyDescent="0.35">
      <c r="B1170" s="5">
        <v>1149</v>
      </c>
      <c r="C1170" s="46">
        <f t="shared" ca="1" si="153"/>
        <v>2.4167003837424144</v>
      </c>
      <c r="D1170" s="47">
        <f t="shared" ca="1" si="154"/>
        <v>1732783039.111063</v>
      </c>
      <c r="E1170" s="47">
        <f t="shared" ca="1" si="155"/>
        <v>2770801345041.478</v>
      </c>
      <c r="F1170" s="47">
        <f t="shared" ca="1" si="156"/>
        <v>13770409907387.428</v>
      </c>
      <c r="G1170" s="47">
        <f t="shared" ca="1" si="157"/>
        <v>2261410713808.3979</v>
      </c>
      <c r="H1170" s="47">
        <f t="shared" ca="1" si="158"/>
        <v>2261410713808.3979</v>
      </c>
      <c r="I1170" s="47">
        <f t="shared" ca="1" si="159"/>
        <v>31021411680313.258</v>
      </c>
      <c r="J1170" s="47">
        <f t="shared" ca="1" si="160"/>
        <v>799219160651.24097</v>
      </c>
      <c r="K1170" s="48">
        <f t="shared" ca="1" si="161"/>
        <v>38.814649607543906</v>
      </c>
    </row>
    <row r="1171" spans="2:11" ht="15" customHeight="1" x14ac:dyDescent="0.35">
      <c r="B1171" s="5">
        <v>1150</v>
      </c>
      <c r="C1171" s="46">
        <f t="shared" ca="1" si="153"/>
        <v>3.1466300039501416</v>
      </c>
      <c r="D1171" s="47">
        <f t="shared" ca="1" si="154"/>
        <v>5845620356.3873425</v>
      </c>
      <c r="E1171" s="47">
        <f t="shared" ca="1" si="155"/>
        <v>20233770400242.738</v>
      </c>
      <c r="F1171" s="47">
        <f t="shared" ca="1" si="156"/>
        <v>2356661085540.6128</v>
      </c>
      <c r="G1171" s="47">
        <f t="shared" ca="1" si="157"/>
        <v>13667452896384.529</v>
      </c>
      <c r="H1171" s="47">
        <f t="shared" ca="1" si="158"/>
        <v>20233770400242.738</v>
      </c>
      <c r="I1171" s="47">
        <f t="shared" ca="1" si="159"/>
        <v>22111912571422.453</v>
      </c>
      <c r="J1171" s="47">
        <f t="shared" ca="1" si="160"/>
        <v>795256613413.47766</v>
      </c>
      <c r="K1171" s="48">
        <f t="shared" ca="1" si="161"/>
        <v>27.804751571334382</v>
      </c>
    </row>
    <row r="1172" spans="2:11" ht="15" customHeight="1" x14ac:dyDescent="0.35">
      <c r="B1172" s="5">
        <v>1151</v>
      </c>
      <c r="C1172" s="46">
        <f t="shared" ca="1" si="153"/>
        <v>3.1729148171335422</v>
      </c>
      <c r="D1172" s="47">
        <f t="shared" ca="1" si="154"/>
        <v>5893433843.0278463</v>
      </c>
      <c r="E1172" s="47">
        <f t="shared" ca="1" si="155"/>
        <v>11871121270746.277</v>
      </c>
      <c r="F1172" s="47">
        <f t="shared" ca="1" si="156"/>
        <v>2223987722513.0059</v>
      </c>
      <c r="G1172" s="47">
        <f t="shared" ca="1" si="157"/>
        <v>76282960476924.984</v>
      </c>
      <c r="H1172" s="47">
        <f t="shared" ca="1" si="158"/>
        <v>11871121270746.277</v>
      </c>
      <c r="I1172" s="47">
        <f t="shared" ca="1" si="159"/>
        <v>84981107397352.891</v>
      </c>
      <c r="J1172" s="47">
        <f t="shared" ca="1" si="160"/>
        <v>593639661140.56396</v>
      </c>
      <c r="K1172" s="48">
        <f t="shared" ca="1" si="161"/>
        <v>143.15267823257986</v>
      </c>
    </row>
    <row r="1173" spans="2:11" ht="15" customHeight="1" x14ac:dyDescent="0.35">
      <c r="B1173" s="5">
        <v>1152</v>
      </c>
      <c r="C1173" s="46">
        <f t="shared" ca="1" si="153"/>
        <v>2.9587040393561996</v>
      </c>
      <c r="D1173" s="47">
        <f t="shared" ca="1" si="154"/>
        <v>4655118697.8975697</v>
      </c>
      <c r="E1173" s="47">
        <f t="shared" ca="1" si="155"/>
        <v>2525684356930.2095</v>
      </c>
      <c r="F1173" s="47">
        <f t="shared" ca="1" si="156"/>
        <v>2998206264777.0356</v>
      </c>
      <c r="G1173" s="47">
        <f t="shared" ca="1" si="157"/>
        <v>3077625699623.0889</v>
      </c>
      <c r="H1173" s="47">
        <f t="shared" ca="1" si="158"/>
        <v>2525684356930.2095</v>
      </c>
      <c r="I1173" s="47">
        <f t="shared" ca="1" si="159"/>
        <v>25653638367876.289</v>
      </c>
      <c r="J1173" s="47">
        <f t="shared" ca="1" si="160"/>
        <v>2160637371747.3745</v>
      </c>
      <c r="K1173" s="48">
        <f t="shared" ca="1" si="161"/>
        <v>11.873180897139346</v>
      </c>
    </row>
    <row r="1174" spans="2:11" ht="15" customHeight="1" x14ac:dyDescent="0.35">
      <c r="B1174" s="5">
        <v>1153</v>
      </c>
      <c r="C1174" s="46">
        <f t="shared" ref="C1174:C1237" ca="1" si="162">MEDIAN(1.8,NORMINV(RAND(),$C$7,$D$7),4.5)</f>
        <v>2.4912432774888691</v>
      </c>
      <c r="D1174" s="47">
        <f t="shared" ref="D1174:D1237" ca="1" si="163">($C$8+RAND()*($D$8-$C$8))*C1174^5</f>
        <v>1871339452.9998527</v>
      </c>
      <c r="E1174" s="47">
        <f t="shared" ref="E1174:E1237" ca="1" si="164">D1174*($C$10+RAND()*($D$10-$C$10))*EXP(NORMINV(RAND(),$C$9,$D$9))*($C$11+RAND()*($D$11-$C$11))</f>
        <v>3738606789928.6572</v>
      </c>
      <c r="F1174" s="47">
        <f t="shared" ref="F1174:F1237" ca="1" si="165">EXP(NORMINV(RAND(),$C$12,$D$12))*EXP(NORMINV(RAND(),$C$13,$D$13))</f>
        <v>294505143285.534</v>
      </c>
      <c r="G1174" s="47">
        <f t="shared" ref="G1174:G1237" ca="1" si="166">EXP(NORMINV(RAND(),$C$14,$D$14))*($C$15+RAND()*($D$15-$C$15))*EXP(NORMINV(RAND(),$C$16,$D$16))/1000000*31536000</f>
        <v>4190634075492.0806</v>
      </c>
      <c r="H1174" s="47">
        <f t="shared" ref="H1174:H1237" ca="1" si="167">CHOOSE(RANDBETWEEN(1,3),E1174,F1174,G1174)</f>
        <v>3738606789928.6572</v>
      </c>
      <c r="I1174" s="47">
        <f t="shared" ref="I1174:I1237" ca="1" si="168">EXP(NORMINV(RAND(),$C$14,$D$14))*($C$15+RAND()*($D$15-$C$15))*60</f>
        <v>6652390307106.0488</v>
      </c>
      <c r="J1174" s="47">
        <f t="shared" ref="J1174:J1237" ca="1" si="169">($C$17+RAND()*($D$17-$C$17))*($C$18+RAND()*($D$18-$C$18))</f>
        <v>1450008433227.1445</v>
      </c>
      <c r="K1174" s="48">
        <f t="shared" ref="K1174:K1237" ca="1" si="170">I1174/J1174</f>
        <v>4.5878287013134553</v>
      </c>
    </row>
    <row r="1175" spans="2:11" ht="15" customHeight="1" x14ac:dyDescent="0.35">
      <c r="B1175" s="5">
        <v>1154</v>
      </c>
      <c r="C1175" s="46">
        <f t="shared" ca="1" si="162"/>
        <v>3.134303448109371</v>
      </c>
      <c r="D1175" s="47">
        <f t="shared" ca="1" si="163"/>
        <v>5730976665.8483925</v>
      </c>
      <c r="E1175" s="47">
        <f t="shared" ca="1" si="164"/>
        <v>8270043029049.8887</v>
      </c>
      <c r="F1175" s="47">
        <f t="shared" ca="1" si="165"/>
        <v>766220507695.62915</v>
      </c>
      <c r="G1175" s="47">
        <f t="shared" ca="1" si="166"/>
        <v>1496953320434.9216</v>
      </c>
      <c r="H1175" s="47">
        <f t="shared" ca="1" si="167"/>
        <v>1496953320434.9216</v>
      </c>
      <c r="I1175" s="47">
        <f t="shared" ca="1" si="168"/>
        <v>16466270970890.713</v>
      </c>
      <c r="J1175" s="47">
        <f t="shared" ca="1" si="169"/>
        <v>859506361004.38843</v>
      </c>
      <c r="K1175" s="48">
        <f t="shared" ca="1" si="170"/>
        <v>19.157823278525616</v>
      </c>
    </row>
    <row r="1176" spans="2:11" ht="15" customHeight="1" x14ac:dyDescent="0.35">
      <c r="B1176" s="5">
        <v>1155</v>
      </c>
      <c r="C1176" s="46">
        <f t="shared" ca="1" si="162"/>
        <v>2.7316553576269902</v>
      </c>
      <c r="D1176" s="47">
        <f t="shared" ca="1" si="163"/>
        <v>2517069353.3620496</v>
      </c>
      <c r="E1176" s="47">
        <f t="shared" ca="1" si="164"/>
        <v>2930760374530.8672</v>
      </c>
      <c r="F1176" s="47">
        <f t="shared" ca="1" si="165"/>
        <v>7199466210218.9941</v>
      </c>
      <c r="G1176" s="47">
        <f t="shared" ca="1" si="166"/>
        <v>7436892219078.0918</v>
      </c>
      <c r="H1176" s="47">
        <f t="shared" ca="1" si="167"/>
        <v>2930760374530.8672</v>
      </c>
      <c r="I1176" s="47">
        <f t="shared" ca="1" si="168"/>
        <v>1568251816855.2976</v>
      </c>
      <c r="J1176" s="47">
        <f t="shared" ca="1" si="169"/>
        <v>1000386227888.7877</v>
      </c>
      <c r="K1176" s="48">
        <f t="shared" ca="1" si="170"/>
        <v>1.5676463481158991</v>
      </c>
    </row>
    <row r="1177" spans="2:11" ht="15" customHeight="1" x14ac:dyDescent="0.35">
      <c r="B1177" s="5">
        <v>1156</v>
      </c>
      <c r="C1177" s="46">
        <f t="shared" ca="1" si="162"/>
        <v>2.5720894134440129</v>
      </c>
      <c r="D1177" s="47">
        <f t="shared" ca="1" si="163"/>
        <v>1820795775.1902063</v>
      </c>
      <c r="E1177" s="47">
        <f t="shared" ca="1" si="164"/>
        <v>2389825864647.3315</v>
      </c>
      <c r="F1177" s="47">
        <f t="shared" ca="1" si="165"/>
        <v>2658519831561.1528</v>
      </c>
      <c r="G1177" s="47">
        <f t="shared" ca="1" si="166"/>
        <v>11623245193206.371</v>
      </c>
      <c r="H1177" s="47">
        <f t="shared" ca="1" si="167"/>
        <v>2389825864647.3315</v>
      </c>
      <c r="I1177" s="47">
        <f t="shared" ca="1" si="168"/>
        <v>3758517998870.8672</v>
      </c>
      <c r="J1177" s="47">
        <f t="shared" ca="1" si="169"/>
        <v>1494610926481.5559</v>
      </c>
      <c r="K1177" s="48">
        <f t="shared" ca="1" si="170"/>
        <v>2.514713315871941</v>
      </c>
    </row>
    <row r="1178" spans="2:11" ht="15" customHeight="1" x14ac:dyDescent="0.35">
      <c r="B1178" s="5">
        <v>1157</v>
      </c>
      <c r="C1178" s="46">
        <f t="shared" ca="1" si="162"/>
        <v>3.8385722483154971</v>
      </c>
      <c r="D1178" s="47">
        <f t="shared" ca="1" si="163"/>
        <v>13475776551.959999</v>
      </c>
      <c r="E1178" s="47">
        <f t="shared" ca="1" si="164"/>
        <v>38440534100421.586</v>
      </c>
      <c r="F1178" s="47">
        <f t="shared" ca="1" si="165"/>
        <v>2662345891041.7876</v>
      </c>
      <c r="G1178" s="47">
        <f t="shared" ca="1" si="166"/>
        <v>1196980403037.9451</v>
      </c>
      <c r="H1178" s="47">
        <f t="shared" ca="1" si="167"/>
        <v>2662345891041.7876</v>
      </c>
      <c r="I1178" s="47">
        <f t="shared" ca="1" si="168"/>
        <v>11993533357555.213</v>
      </c>
      <c r="J1178" s="47">
        <f t="shared" ca="1" si="169"/>
        <v>1956581660199.624</v>
      </c>
      <c r="K1178" s="48">
        <f t="shared" ca="1" si="170"/>
        <v>6.1298404260477168</v>
      </c>
    </row>
    <row r="1179" spans="2:11" ht="15" customHeight="1" x14ac:dyDescent="0.35">
      <c r="B1179" s="5">
        <v>1158</v>
      </c>
      <c r="C1179" s="46">
        <f t="shared" ca="1" si="162"/>
        <v>2.7630113976335888</v>
      </c>
      <c r="D1179" s="47">
        <f t="shared" ca="1" si="163"/>
        <v>3523052602.7114463</v>
      </c>
      <c r="E1179" s="47">
        <f t="shared" ca="1" si="164"/>
        <v>4065263573337.2554</v>
      </c>
      <c r="F1179" s="47">
        <f t="shared" ca="1" si="165"/>
        <v>14925690275907.363</v>
      </c>
      <c r="G1179" s="47">
        <f t="shared" ca="1" si="166"/>
        <v>12685466321826.396</v>
      </c>
      <c r="H1179" s="47">
        <f t="shared" ca="1" si="167"/>
        <v>12685466321826.396</v>
      </c>
      <c r="I1179" s="47">
        <f t="shared" ca="1" si="168"/>
        <v>48034291935569.617</v>
      </c>
      <c r="J1179" s="47">
        <f t="shared" ca="1" si="169"/>
        <v>678132849343.71716</v>
      </c>
      <c r="K1179" s="48">
        <f t="shared" ca="1" si="170"/>
        <v>70.833158992454358</v>
      </c>
    </row>
    <row r="1180" spans="2:11" ht="15" customHeight="1" x14ac:dyDescent="0.35">
      <c r="B1180" s="5">
        <v>1159</v>
      </c>
      <c r="C1180" s="46">
        <f t="shared" ca="1" si="162"/>
        <v>2.8116177020723154</v>
      </c>
      <c r="D1180" s="47">
        <f t="shared" ca="1" si="163"/>
        <v>3557577663.3026114</v>
      </c>
      <c r="E1180" s="47">
        <f t="shared" ca="1" si="164"/>
        <v>14620790909134.377</v>
      </c>
      <c r="F1180" s="47">
        <f t="shared" ca="1" si="165"/>
        <v>2378726020501.1899</v>
      </c>
      <c r="G1180" s="47">
        <f t="shared" ca="1" si="166"/>
        <v>2470497083538.2031</v>
      </c>
      <c r="H1180" s="47">
        <f t="shared" ca="1" si="167"/>
        <v>14620790909134.377</v>
      </c>
      <c r="I1180" s="47">
        <f t="shared" ca="1" si="168"/>
        <v>86093735483043.813</v>
      </c>
      <c r="J1180" s="47">
        <f t="shared" ca="1" si="169"/>
        <v>1458001059202.4092</v>
      </c>
      <c r="K1180" s="48">
        <f t="shared" ca="1" si="170"/>
        <v>59.049158393712609</v>
      </c>
    </row>
    <row r="1181" spans="2:11" ht="15" customHeight="1" x14ac:dyDescent="0.35">
      <c r="B1181" s="5">
        <v>1160</v>
      </c>
      <c r="C1181" s="46">
        <f t="shared" ca="1" si="162"/>
        <v>3.7509444751345091</v>
      </c>
      <c r="D1181" s="47">
        <f t="shared" ca="1" si="163"/>
        <v>14747027614.181528</v>
      </c>
      <c r="E1181" s="47">
        <f t="shared" ca="1" si="164"/>
        <v>28317376210791.77</v>
      </c>
      <c r="F1181" s="47">
        <f t="shared" ca="1" si="165"/>
        <v>737620093334.81726</v>
      </c>
      <c r="G1181" s="47">
        <f t="shared" ca="1" si="166"/>
        <v>2600099927602.0688</v>
      </c>
      <c r="H1181" s="47">
        <f t="shared" ca="1" si="167"/>
        <v>737620093334.81726</v>
      </c>
      <c r="I1181" s="47">
        <f t="shared" ca="1" si="168"/>
        <v>2963723540667.9243</v>
      </c>
      <c r="J1181" s="47">
        <f t="shared" ca="1" si="169"/>
        <v>1527257294759.0198</v>
      </c>
      <c r="K1181" s="48">
        <f t="shared" ca="1" si="170"/>
        <v>1.9405528792288789</v>
      </c>
    </row>
    <row r="1182" spans="2:11" ht="15" customHeight="1" x14ac:dyDescent="0.35">
      <c r="B1182" s="5">
        <v>1161</v>
      </c>
      <c r="C1182" s="46">
        <f t="shared" ca="1" si="162"/>
        <v>2.7732958317882819</v>
      </c>
      <c r="D1182" s="47">
        <f t="shared" ca="1" si="163"/>
        <v>3627966684.1462541</v>
      </c>
      <c r="E1182" s="47">
        <f t="shared" ca="1" si="164"/>
        <v>7346767432496.7246</v>
      </c>
      <c r="F1182" s="47">
        <f t="shared" ca="1" si="165"/>
        <v>6193272869401.7949</v>
      </c>
      <c r="G1182" s="47">
        <f t="shared" ca="1" si="166"/>
        <v>5887190435660.3623</v>
      </c>
      <c r="H1182" s="47">
        <f t="shared" ca="1" si="167"/>
        <v>7346767432496.7246</v>
      </c>
      <c r="I1182" s="47">
        <f t="shared" ca="1" si="168"/>
        <v>30242660169136.918</v>
      </c>
      <c r="J1182" s="47">
        <f t="shared" ca="1" si="169"/>
        <v>1805079453889.7671</v>
      </c>
      <c r="K1182" s="48">
        <f t="shared" ca="1" si="170"/>
        <v>16.754198882474114</v>
      </c>
    </row>
    <row r="1183" spans="2:11" ht="15" customHeight="1" x14ac:dyDescent="0.35">
      <c r="B1183" s="5">
        <v>1162</v>
      </c>
      <c r="C1183" s="46">
        <f t="shared" ca="1" si="162"/>
        <v>3.183596256495802</v>
      </c>
      <c r="D1183" s="47">
        <f t="shared" ca="1" si="163"/>
        <v>6886141152.4613905</v>
      </c>
      <c r="E1183" s="47">
        <f t="shared" ca="1" si="164"/>
        <v>36611167288147.531</v>
      </c>
      <c r="F1183" s="47">
        <f t="shared" ca="1" si="165"/>
        <v>2268961727438.2842</v>
      </c>
      <c r="G1183" s="47">
        <f t="shared" ca="1" si="166"/>
        <v>1419981170155.5271</v>
      </c>
      <c r="H1183" s="47">
        <f t="shared" ca="1" si="167"/>
        <v>1419981170155.5271</v>
      </c>
      <c r="I1183" s="47">
        <f t="shared" ca="1" si="168"/>
        <v>4822212343093.543</v>
      </c>
      <c r="J1183" s="47">
        <f t="shared" ca="1" si="169"/>
        <v>1340629121488.1487</v>
      </c>
      <c r="K1183" s="48">
        <f t="shared" ca="1" si="170"/>
        <v>3.5969771697490103</v>
      </c>
    </row>
    <row r="1184" spans="2:11" ht="15" customHeight="1" x14ac:dyDescent="0.35">
      <c r="B1184" s="5">
        <v>1163</v>
      </c>
      <c r="C1184" s="46">
        <f t="shared" ca="1" si="162"/>
        <v>2.7833953686041286</v>
      </c>
      <c r="D1184" s="47">
        <f t="shared" ca="1" si="163"/>
        <v>3216799471.2257166</v>
      </c>
      <c r="E1184" s="47">
        <f t="shared" ca="1" si="164"/>
        <v>24713117194488.594</v>
      </c>
      <c r="F1184" s="47">
        <f t="shared" ca="1" si="165"/>
        <v>10093402834936.354</v>
      </c>
      <c r="G1184" s="47">
        <f t="shared" ca="1" si="166"/>
        <v>98817888824409.172</v>
      </c>
      <c r="H1184" s="47">
        <f t="shared" ca="1" si="167"/>
        <v>98817888824409.172</v>
      </c>
      <c r="I1184" s="47">
        <f t="shared" ca="1" si="168"/>
        <v>1646717372123.8547</v>
      </c>
      <c r="J1184" s="47">
        <f t="shared" ca="1" si="169"/>
        <v>823534973423.37244</v>
      </c>
      <c r="K1184" s="48">
        <f t="shared" ca="1" si="170"/>
        <v>1.9995718764420842</v>
      </c>
    </row>
    <row r="1185" spans="2:11" ht="15" customHeight="1" x14ac:dyDescent="0.35">
      <c r="B1185" s="5">
        <v>1164</v>
      </c>
      <c r="C1185" s="46">
        <f t="shared" ca="1" si="162"/>
        <v>2.8205744231382446</v>
      </c>
      <c r="D1185" s="47">
        <f t="shared" ca="1" si="163"/>
        <v>3755853434.27702</v>
      </c>
      <c r="E1185" s="47">
        <f t="shared" ca="1" si="164"/>
        <v>5521998951010.1572</v>
      </c>
      <c r="F1185" s="47">
        <f t="shared" ca="1" si="165"/>
        <v>4252044604247.8193</v>
      </c>
      <c r="G1185" s="47">
        <f t="shared" ca="1" si="166"/>
        <v>16481697835919.752</v>
      </c>
      <c r="H1185" s="47">
        <f t="shared" ca="1" si="167"/>
        <v>4252044604247.8193</v>
      </c>
      <c r="I1185" s="47">
        <f t="shared" ca="1" si="168"/>
        <v>32210395991371</v>
      </c>
      <c r="J1185" s="47">
        <f t="shared" ca="1" si="169"/>
        <v>673050872293.12305</v>
      </c>
      <c r="K1185" s="48">
        <f t="shared" ca="1" si="170"/>
        <v>47.857297742781803</v>
      </c>
    </row>
    <row r="1186" spans="2:11" ht="15" customHeight="1" x14ac:dyDescent="0.35">
      <c r="B1186" s="5">
        <v>1165</v>
      </c>
      <c r="C1186" s="46">
        <f t="shared" ca="1" si="162"/>
        <v>2.8388549335584368</v>
      </c>
      <c r="D1186" s="47">
        <f t="shared" ca="1" si="163"/>
        <v>3782084928.6120911</v>
      </c>
      <c r="E1186" s="47">
        <f t="shared" ca="1" si="164"/>
        <v>9456462158077.2773</v>
      </c>
      <c r="F1186" s="47">
        <f t="shared" ca="1" si="165"/>
        <v>455022857804.00183</v>
      </c>
      <c r="G1186" s="47">
        <f t="shared" ca="1" si="166"/>
        <v>35228245145541.555</v>
      </c>
      <c r="H1186" s="47">
        <f t="shared" ca="1" si="167"/>
        <v>9456462158077.2773</v>
      </c>
      <c r="I1186" s="47">
        <f t="shared" ca="1" si="168"/>
        <v>10601061152329.213</v>
      </c>
      <c r="J1186" s="47">
        <f t="shared" ca="1" si="169"/>
        <v>653598455016.65491</v>
      </c>
      <c r="K1186" s="48">
        <f t="shared" ca="1" si="170"/>
        <v>16.219532146934281</v>
      </c>
    </row>
    <row r="1187" spans="2:11" ht="15" customHeight="1" x14ac:dyDescent="0.35">
      <c r="B1187" s="5">
        <v>1166</v>
      </c>
      <c r="C1187" s="46">
        <f t="shared" ca="1" si="162"/>
        <v>3.1160183425889851</v>
      </c>
      <c r="D1187" s="47">
        <f t="shared" ca="1" si="163"/>
        <v>6406358610.8187141</v>
      </c>
      <c r="E1187" s="47">
        <f t="shared" ca="1" si="164"/>
        <v>14774288861651.98</v>
      </c>
      <c r="F1187" s="47">
        <f t="shared" ca="1" si="165"/>
        <v>2150793657706.3738</v>
      </c>
      <c r="G1187" s="47">
        <f t="shared" ca="1" si="166"/>
        <v>67858503842735.398</v>
      </c>
      <c r="H1187" s="47">
        <f t="shared" ca="1" si="167"/>
        <v>67858503842735.398</v>
      </c>
      <c r="I1187" s="47">
        <f t="shared" ca="1" si="168"/>
        <v>177223348502302.25</v>
      </c>
      <c r="J1187" s="47">
        <f t="shared" ca="1" si="169"/>
        <v>1909102265446.6858</v>
      </c>
      <c r="K1187" s="48">
        <f t="shared" ca="1" si="170"/>
        <v>92.830725577100552</v>
      </c>
    </row>
    <row r="1188" spans="2:11" ht="15" customHeight="1" x14ac:dyDescent="0.35">
      <c r="B1188" s="5">
        <v>1167</v>
      </c>
      <c r="C1188" s="46">
        <f t="shared" ca="1" si="162"/>
        <v>3.1027456312304471</v>
      </c>
      <c r="D1188" s="47">
        <f t="shared" ca="1" si="163"/>
        <v>6364882516.4523916</v>
      </c>
      <c r="E1188" s="47">
        <f t="shared" ca="1" si="164"/>
        <v>10961684594273.584</v>
      </c>
      <c r="F1188" s="47">
        <f t="shared" ca="1" si="165"/>
        <v>1297827910490.2532</v>
      </c>
      <c r="G1188" s="47">
        <f t="shared" ca="1" si="166"/>
        <v>1677343627672.2964</v>
      </c>
      <c r="H1188" s="47">
        <f t="shared" ca="1" si="167"/>
        <v>1677343627672.2964</v>
      </c>
      <c r="I1188" s="47">
        <f t="shared" ca="1" si="168"/>
        <v>7753537519485.8232</v>
      </c>
      <c r="J1188" s="47">
        <f t="shared" ca="1" si="169"/>
        <v>1583465993813.9854</v>
      </c>
      <c r="K1188" s="48">
        <f t="shared" ca="1" si="170"/>
        <v>4.8965608038164508</v>
      </c>
    </row>
    <row r="1189" spans="2:11" ht="15" customHeight="1" x14ac:dyDescent="0.35">
      <c r="B1189" s="5">
        <v>1168</v>
      </c>
      <c r="C1189" s="46">
        <f t="shared" ca="1" si="162"/>
        <v>3.0018760228948573</v>
      </c>
      <c r="D1189" s="47">
        <f t="shared" ca="1" si="163"/>
        <v>5505825254.8906326</v>
      </c>
      <c r="E1189" s="47">
        <f t="shared" ca="1" si="164"/>
        <v>41779829026132.664</v>
      </c>
      <c r="F1189" s="47">
        <f t="shared" ca="1" si="165"/>
        <v>875428511899.52063</v>
      </c>
      <c r="G1189" s="47">
        <f t="shared" ca="1" si="166"/>
        <v>2264338206366.7402</v>
      </c>
      <c r="H1189" s="47">
        <f t="shared" ca="1" si="167"/>
        <v>2264338206366.7402</v>
      </c>
      <c r="I1189" s="47">
        <f t="shared" ca="1" si="168"/>
        <v>1020852734541.4019</v>
      </c>
      <c r="J1189" s="47">
        <f t="shared" ca="1" si="169"/>
        <v>623996290336.35303</v>
      </c>
      <c r="K1189" s="48">
        <f t="shared" ca="1" si="170"/>
        <v>1.6359916723080694</v>
      </c>
    </row>
    <row r="1190" spans="2:11" ht="15" customHeight="1" x14ac:dyDescent="0.35">
      <c r="B1190" s="5">
        <v>1169</v>
      </c>
      <c r="C1190" s="46">
        <f t="shared" ca="1" si="162"/>
        <v>3.3325532327775367</v>
      </c>
      <c r="D1190" s="47">
        <f t="shared" ca="1" si="163"/>
        <v>9613111768.5408802</v>
      </c>
      <c r="E1190" s="47">
        <f t="shared" ca="1" si="164"/>
        <v>51981857609482.906</v>
      </c>
      <c r="F1190" s="47">
        <f t="shared" ca="1" si="165"/>
        <v>2503661962850.2441</v>
      </c>
      <c r="G1190" s="47">
        <f t="shared" ca="1" si="166"/>
        <v>18403957782969.445</v>
      </c>
      <c r="H1190" s="47">
        <f t="shared" ca="1" si="167"/>
        <v>18403957782969.445</v>
      </c>
      <c r="I1190" s="47">
        <f t="shared" ca="1" si="168"/>
        <v>17860030663506.125</v>
      </c>
      <c r="J1190" s="47">
        <f t="shared" ca="1" si="169"/>
        <v>2094996432769.6858</v>
      </c>
      <c r="K1190" s="48">
        <f t="shared" ca="1" si="170"/>
        <v>8.5250888183586575</v>
      </c>
    </row>
    <row r="1191" spans="2:11" ht="15" customHeight="1" x14ac:dyDescent="0.35">
      <c r="B1191" s="5">
        <v>1170</v>
      </c>
      <c r="C1191" s="46">
        <f t="shared" ca="1" si="162"/>
        <v>3.2360820188400115</v>
      </c>
      <c r="D1191" s="47">
        <f t="shared" ca="1" si="163"/>
        <v>7687643880.1906214</v>
      </c>
      <c r="E1191" s="47">
        <f t="shared" ca="1" si="164"/>
        <v>36312307638420.633</v>
      </c>
      <c r="F1191" s="47">
        <f t="shared" ca="1" si="165"/>
        <v>8373113404154.7393</v>
      </c>
      <c r="G1191" s="47">
        <f t="shared" ca="1" si="166"/>
        <v>995922845095.53271</v>
      </c>
      <c r="H1191" s="47">
        <f t="shared" ca="1" si="167"/>
        <v>36312307638420.633</v>
      </c>
      <c r="I1191" s="47">
        <f t="shared" ca="1" si="168"/>
        <v>46637894731562.461</v>
      </c>
      <c r="J1191" s="47">
        <f t="shared" ca="1" si="169"/>
        <v>2507173931558.6338</v>
      </c>
      <c r="K1191" s="48">
        <f t="shared" ca="1" si="170"/>
        <v>18.601778737611994</v>
      </c>
    </row>
    <row r="1192" spans="2:11" ht="15" customHeight="1" x14ac:dyDescent="0.35">
      <c r="B1192" s="5">
        <v>1171</v>
      </c>
      <c r="C1192" s="46">
        <f t="shared" ca="1" si="162"/>
        <v>2.6163944936547106</v>
      </c>
      <c r="D1192" s="47">
        <f t="shared" ca="1" si="163"/>
        <v>2458753321.4364667</v>
      </c>
      <c r="E1192" s="47">
        <f t="shared" ca="1" si="164"/>
        <v>15735359857155.721</v>
      </c>
      <c r="F1192" s="47">
        <f t="shared" ca="1" si="165"/>
        <v>38098315195692.938</v>
      </c>
      <c r="G1192" s="47">
        <f t="shared" ca="1" si="166"/>
        <v>4678043981627.6816</v>
      </c>
      <c r="H1192" s="47">
        <f t="shared" ca="1" si="167"/>
        <v>38098315195692.938</v>
      </c>
      <c r="I1192" s="47">
        <f t="shared" ca="1" si="168"/>
        <v>5602538550059.334</v>
      </c>
      <c r="J1192" s="47">
        <f t="shared" ca="1" si="169"/>
        <v>1144266536587.9175</v>
      </c>
      <c r="K1192" s="48">
        <f t="shared" ca="1" si="170"/>
        <v>4.8961831626794883</v>
      </c>
    </row>
    <row r="1193" spans="2:11" ht="15" customHeight="1" x14ac:dyDescent="0.35">
      <c r="B1193" s="5">
        <v>1172</v>
      </c>
      <c r="C1193" s="46">
        <f t="shared" ca="1" si="162"/>
        <v>2.4781943712084167</v>
      </c>
      <c r="D1193" s="47">
        <f t="shared" ca="1" si="163"/>
        <v>1936472395.3868568</v>
      </c>
      <c r="E1193" s="47">
        <f t="shared" ca="1" si="164"/>
        <v>3478615657605.4561</v>
      </c>
      <c r="F1193" s="47">
        <f t="shared" ca="1" si="165"/>
        <v>5522463694836.7852</v>
      </c>
      <c r="G1193" s="47">
        <f t="shared" ca="1" si="166"/>
        <v>186336244393830.63</v>
      </c>
      <c r="H1193" s="47">
        <f t="shared" ca="1" si="167"/>
        <v>5522463694836.7852</v>
      </c>
      <c r="I1193" s="47">
        <f t="shared" ca="1" si="168"/>
        <v>58946227870310.852</v>
      </c>
      <c r="J1193" s="47">
        <f t="shared" ca="1" si="169"/>
        <v>543377290438.49567</v>
      </c>
      <c r="K1193" s="48">
        <f t="shared" ca="1" si="170"/>
        <v>108.48121352797484</v>
      </c>
    </row>
    <row r="1194" spans="2:11" ht="15" customHeight="1" x14ac:dyDescent="0.35">
      <c r="B1194" s="5">
        <v>1173</v>
      </c>
      <c r="C1194" s="46">
        <f t="shared" ca="1" si="162"/>
        <v>2.8891868142657118</v>
      </c>
      <c r="D1194" s="47">
        <f t="shared" ca="1" si="163"/>
        <v>4098933789.1177163</v>
      </c>
      <c r="E1194" s="47">
        <f t="shared" ca="1" si="164"/>
        <v>16833594452004.209</v>
      </c>
      <c r="F1194" s="47">
        <f t="shared" ca="1" si="165"/>
        <v>121901985989083.06</v>
      </c>
      <c r="G1194" s="47">
        <f t="shared" ca="1" si="166"/>
        <v>1540262521980.334</v>
      </c>
      <c r="H1194" s="47">
        <f t="shared" ca="1" si="167"/>
        <v>121901985989083.06</v>
      </c>
      <c r="I1194" s="47">
        <f t="shared" ca="1" si="168"/>
        <v>3213218165932.5679</v>
      </c>
      <c r="J1194" s="47">
        <f t="shared" ca="1" si="169"/>
        <v>1579172405623.4153</v>
      </c>
      <c r="K1194" s="48">
        <f t="shared" ca="1" si="170"/>
        <v>2.0347481722010428</v>
      </c>
    </row>
    <row r="1195" spans="2:11" ht="15" customHeight="1" x14ac:dyDescent="0.35">
      <c r="B1195" s="5">
        <v>1174</v>
      </c>
      <c r="C1195" s="46">
        <f t="shared" ca="1" si="162"/>
        <v>2.4317012071322388</v>
      </c>
      <c r="D1195" s="47">
        <f t="shared" ca="1" si="163"/>
        <v>1564887970.9470983</v>
      </c>
      <c r="E1195" s="47">
        <f t="shared" ca="1" si="164"/>
        <v>9291197596613.8984</v>
      </c>
      <c r="F1195" s="47">
        <f t="shared" ca="1" si="165"/>
        <v>2250548289939.0854</v>
      </c>
      <c r="G1195" s="47">
        <f t="shared" ca="1" si="166"/>
        <v>173652819162188.56</v>
      </c>
      <c r="H1195" s="47">
        <f t="shared" ca="1" si="167"/>
        <v>9291197596613.8984</v>
      </c>
      <c r="I1195" s="47">
        <f t="shared" ca="1" si="168"/>
        <v>3223747659428.5278</v>
      </c>
      <c r="J1195" s="47">
        <f t="shared" ca="1" si="169"/>
        <v>2049214429056.9077</v>
      </c>
      <c r="K1195" s="48">
        <f t="shared" ca="1" si="170"/>
        <v>1.5731626782035522</v>
      </c>
    </row>
    <row r="1196" spans="2:11" ht="15" customHeight="1" x14ac:dyDescent="0.35">
      <c r="B1196" s="5">
        <v>1175</v>
      </c>
      <c r="C1196" s="46">
        <f t="shared" ca="1" si="162"/>
        <v>2.6174506911066775</v>
      </c>
      <c r="D1196" s="47">
        <f t="shared" ca="1" si="163"/>
        <v>2016554503.9423308</v>
      </c>
      <c r="E1196" s="47">
        <f t="shared" ca="1" si="164"/>
        <v>6105049860750.0967</v>
      </c>
      <c r="F1196" s="47">
        <f t="shared" ca="1" si="165"/>
        <v>4759832679825.0488</v>
      </c>
      <c r="G1196" s="47">
        <f t="shared" ca="1" si="166"/>
        <v>4334166803583.3887</v>
      </c>
      <c r="H1196" s="47">
        <f t="shared" ca="1" si="167"/>
        <v>6105049860750.0967</v>
      </c>
      <c r="I1196" s="47">
        <f t="shared" ca="1" si="168"/>
        <v>21460924394522.07</v>
      </c>
      <c r="J1196" s="47">
        <f t="shared" ca="1" si="169"/>
        <v>1623758715197.7732</v>
      </c>
      <c r="K1196" s="48">
        <f t="shared" ca="1" si="170"/>
        <v>13.216818603438959</v>
      </c>
    </row>
    <row r="1197" spans="2:11" ht="15" customHeight="1" x14ac:dyDescent="0.35">
      <c r="B1197" s="5">
        <v>1176</v>
      </c>
      <c r="C1197" s="46">
        <f t="shared" ca="1" si="162"/>
        <v>2.5650948858618228</v>
      </c>
      <c r="D1197" s="47">
        <f t="shared" ca="1" si="163"/>
        <v>1911859412.7959297</v>
      </c>
      <c r="E1197" s="47">
        <f t="shared" ca="1" si="164"/>
        <v>16189192678832.684</v>
      </c>
      <c r="F1197" s="47">
        <f t="shared" ca="1" si="165"/>
        <v>8803164521251.5195</v>
      </c>
      <c r="G1197" s="47">
        <f t="shared" ca="1" si="166"/>
        <v>5788015800492.834</v>
      </c>
      <c r="H1197" s="47">
        <f t="shared" ca="1" si="167"/>
        <v>16189192678832.684</v>
      </c>
      <c r="I1197" s="47">
        <f t="shared" ca="1" si="168"/>
        <v>12478799873809.814</v>
      </c>
      <c r="J1197" s="47">
        <f t="shared" ca="1" si="169"/>
        <v>1148236851153.4758</v>
      </c>
      <c r="K1197" s="48">
        <f t="shared" ca="1" si="170"/>
        <v>10.867792530150968</v>
      </c>
    </row>
    <row r="1198" spans="2:11" ht="15" customHeight="1" x14ac:dyDescent="0.35">
      <c r="B1198" s="5">
        <v>1177</v>
      </c>
      <c r="C1198" s="46">
        <f t="shared" ca="1" si="162"/>
        <v>3.2198303202361203</v>
      </c>
      <c r="D1198" s="47">
        <f t="shared" ca="1" si="163"/>
        <v>6987363437.0282192</v>
      </c>
      <c r="E1198" s="47">
        <f t="shared" ca="1" si="164"/>
        <v>95761831725895.094</v>
      </c>
      <c r="F1198" s="47">
        <f t="shared" ca="1" si="165"/>
        <v>4813378935809.4922</v>
      </c>
      <c r="G1198" s="47">
        <f t="shared" ca="1" si="166"/>
        <v>8981246541250.9102</v>
      </c>
      <c r="H1198" s="47">
        <f t="shared" ca="1" si="167"/>
        <v>8981246541250.9102</v>
      </c>
      <c r="I1198" s="47">
        <f t="shared" ca="1" si="168"/>
        <v>48505141697767.188</v>
      </c>
      <c r="J1198" s="47">
        <f t="shared" ca="1" si="169"/>
        <v>850026470552.10217</v>
      </c>
      <c r="K1198" s="48">
        <f t="shared" ca="1" si="170"/>
        <v>57.063095536616089</v>
      </c>
    </row>
    <row r="1199" spans="2:11" ht="15" customHeight="1" x14ac:dyDescent="0.35">
      <c r="B1199" s="5">
        <v>1178</v>
      </c>
      <c r="C1199" s="46">
        <f t="shared" ca="1" si="162"/>
        <v>3.2214474757889673</v>
      </c>
      <c r="D1199" s="47">
        <f t="shared" ca="1" si="163"/>
        <v>8146271172.8018236</v>
      </c>
      <c r="E1199" s="47">
        <f t="shared" ca="1" si="164"/>
        <v>87416451665698.297</v>
      </c>
      <c r="F1199" s="47">
        <f t="shared" ca="1" si="165"/>
        <v>3558246036793.8354</v>
      </c>
      <c r="G1199" s="47">
        <f t="shared" ca="1" si="166"/>
        <v>1588443890703.3074</v>
      </c>
      <c r="H1199" s="47">
        <f t="shared" ca="1" si="167"/>
        <v>87416451665698.297</v>
      </c>
      <c r="I1199" s="47">
        <f t="shared" ca="1" si="168"/>
        <v>3194410578350.9185</v>
      </c>
      <c r="J1199" s="47">
        <f t="shared" ca="1" si="169"/>
        <v>2449701691586.7642</v>
      </c>
      <c r="K1199" s="48">
        <f t="shared" ca="1" si="170"/>
        <v>1.303999825497846</v>
      </c>
    </row>
    <row r="1200" spans="2:11" ht="15" customHeight="1" x14ac:dyDescent="0.35">
      <c r="B1200" s="5">
        <v>1179</v>
      </c>
      <c r="C1200" s="46">
        <f t="shared" ca="1" si="162"/>
        <v>2.2546416844049055</v>
      </c>
      <c r="D1200" s="47">
        <f t="shared" ca="1" si="163"/>
        <v>1236268248.6470888</v>
      </c>
      <c r="E1200" s="47">
        <f t="shared" ca="1" si="164"/>
        <v>4653034397714.0586</v>
      </c>
      <c r="F1200" s="47">
        <f t="shared" ca="1" si="165"/>
        <v>893778262173.13989</v>
      </c>
      <c r="G1200" s="47">
        <f t="shared" ca="1" si="166"/>
        <v>2945231413276.6865</v>
      </c>
      <c r="H1200" s="47">
        <f t="shared" ca="1" si="167"/>
        <v>2945231413276.6865</v>
      </c>
      <c r="I1200" s="47">
        <f t="shared" ca="1" si="168"/>
        <v>128642554404335.06</v>
      </c>
      <c r="J1200" s="47">
        <f t="shared" ca="1" si="169"/>
        <v>1434108612098.9517</v>
      </c>
      <c r="K1200" s="48">
        <f t="shared" ca="1" si="170"/>
        <v>89.702100188949217</v>
      </c>
    </row>
    <row r="1201" spans="2:11" ht="15" customHeight="1" x14ac:dyDescent="0.35">
      <c r="B1201" s="5">
        <v>1180</v>
      </c>
      <c r="C1201" s="46">
        <f t="shared" ca="1" si="162"/>
        <v>2.8877649660639801</v>
      </c>
      <c r="D1201" s="47">
        <f t="shared" ca="1" si="163"/>
        <v>3361708968.7463379</v>
      </c>
      <c r="E1201" s="47">
        <f t="shared" ca="1" si="164"/>
        <v>7115601854844.4248</v>
      </c>
      <c r="F1201" s="47">
        <f t="shared" ca="1" si="165"/>
        <v>1033450591939.5961</v>
      </c>
      <c r="G1201" s="47">
        <f t="shared" ca="1" si="166"/>
        <v>17151005125960.443</v>
      </c>
      <c r="H1201" s="47">
        <f t="shared" ca="1" si="167"/>
        <v>1033450591939.5961</v>
      </c>
      <c r="I1201" s="47">
        <f t="shared" ca="1" si="168"/>
        <v>148774670955.0419</v>
      </c>
      <c r="J1201" s="47">
        <f t="shared" ca="1" si="169"/>
        <v>2078523327710.4524</v>
      </c>
      <c r="K1201" s="48">
        <f t="shared" ca="1" si="170"/>
        <v>7.1577099458836044E-2</v>
      </c>
    </row>
    <row r="1202" spans="2:11" ht="15" customHeight="1" x14ac:dyDescent="0.35">
      <c r="B1202" s="5">
        <v>1181</v>
      </c>
      <c r="C1202" s="46">
        <f t="shared" ca="1" si="162"/>
        <v>3.4950998225126084</v>
      </c>
      <c r="D1202" s="47">
        <f t="shared" ca="1" si="163"/>
        <v>8937242396.2520466</v>
      </c>
      <c r="E1202" s="47">
        <f t="shared" ca="1" si="164"/>
        <v>22179797317097.543</v>
      </c>
      <c r="F1202" s="47">
        <f t="shared" ca="1" si="165"/>
        <v>4402856884046.6709</v>
      </c>
      <c r="G1202" s="47">
        <f t="shared" ca="1" si="166"/>
        <v>12600747851070.559</v>
      </c>
      <c r="H1202" s="47">
        <f t="shared" ca="1" si="167"/>
        <v>4402856884046.6709</v>
      </c>
      <c r="I1202" s="47">
        <f t="shared" ca="1" si="168"/>
        <v>4074817733164.5669</v>
      </c>
      <c r="J1202" s="47">
        <f t="shared" ca="1" si="169"/>
        <v>2088518384405.2068</v>
      </c>
      <c r="K1202" s="48">
        <f t="shared" ca="1" si="170"/>
        <v>1.9510566742389688</v>
      </c>
    </row>
    <row r="1203" spans="2:11" ht="15" customHeight="1" x14ac:dyDescent="0.35">
      <c r="B1203" s="5">
        <v>1182</v>
      </c>
      <c r="C1203" s="46">
        <f t="shared" ca="1" si="162"/>
        <v>3.8145921392647688</v>
      </c>
      <c r="D1203" s="47">
        <f t="shared" ca="1" si="163"/>
        <v>19346607455.850037</v>
      </c>
      <c r="E1203" s="47">
        <f t="shared" ca="1" si="164"/>
        <v>98817323376312.891</v>
      </c>
      <c r="F1203" s="47">
        <f t="shared" ca="1" si="165"/>
        <v>1959923602437.7908</v>
      </c>
      <c r="G1203" s="47">
        <f t="shared" ca="1" si="166"/>
        <v>1882106210556.033</v>
      </c>
      <c r="H1203" s="47">
        <f t="shared" ca="1" si="167"/>
        <v>1882106210556.033</v>
      </c>
      <c r="I1203" s="47">
        <f t="shared" ca="1" si="168"/>
        <v>2592616400691.4834</v>
      </c>
      <c r="J1203" s="47">
        <f t="shared" ca="1" si="169"/>
        <v>911428034922.25781</v>
      </c>
      <c r="K1203" s="48">
        <f t="shared" ca="1" si="170"/>
        <v>2.8445651234687181</v>
      </c>
    </row>
    <row r="1204" spans="2:11" ht="15" customHeight="1" x14ac:dyDescent="0.35">
      <c r="B1204" s="5">
        <v>1183</v>
      </c>
      <c r="C1204" s="46">
        <f t="shared" ca="1" si="162"/>
        <v>3.5543051407230903</v>
      </c>
      <c r="D1204" s="47">
        <f t="shared" ca="1" si="163"/>
        <v>13413694763.108425</v>
      </c>
      <c r="E1204" s="47">
        <f t="shared" ca="1" si="164"/>
        <v>91627573650891.531</v>
      </c>
      <c r="F1204" s="47">
        <f t="shared" ca="1" si="165"/>
        <v>2201342227628.6802</v>
      </c>
      <c r="G1204" s="47">
        <f t="shared" ca="1" si="166"/>
        <v>4120961511223.0518</v>
      </c>
      <c r="H1204" s="47">
        <f t="shared" ca="1" si="167"/>
        <v>4120961511223.0518</v>
      </c>
      <c r="I1204" s="47">
        <f t="shared" ca="1" si="168"/>
        <v>72216008818019.328</v>
      </c>
      <c r="J1204" s="47">
        <f t="shared" ca="1" si="169"/>
        <v>914208808444.62781</v>
      </c>
      <c r="K1204" s="48">
        <f t="shared" ca="1" si="170"/>
        <v>78.992904193170801</v>
      </c>
    </row>
    <row r="1205" spans="2:11" ht="15" customHeight="1" x14ac:dyDescent="0.35">
      <c r="B1205" s="5">
        <v>1184</v>
      </c>
      <c r="C1205" s="46">
        <f t="shared" ca="1" si="162"/>
        <v>3.0864062742284943</v>
      </c>
      <c r="D1205" s="47">
        <f t="shared" ca="1" si="163"/>
        <v>6079096749.4978094</v>
      </c>
      <c r="E1205" s="47">
        <f t="shared" ca="1" si="164"/>
        <v>16362173838027.439</v>
      </c>
      <c r="F1205" s="47">
        <f t="shared" ca="1" si="165"/>
        <v>6041966756641.5557</v>
      </c>
      <c r="G1205" s="47">
        <f t="shared" ca="1" si="166"/>
        <v>2041224225611.4089</v>
      </c>
      <c r="H1205" s="47">
        <f t="shared" ca="1" si="167"/>
        <v>6041966756641.5557</v>
      </c>
      <c r="I1205" s="47">
        <f t="shared" ca="1" si="168"/>
        <v>11296851945731.592</v>
      </c>
      <c r="J1205" s="47">
        <f t="shared" ca="1" si="169"/>
        <v>795748170247.5481</v>
      </c>
      <c r="K1205" s="48">
        <f t="shared" ca="1" si="170"/>
        <v>14.19651639565476</v>
      </c>
    </row>
    <row r="1206" spans="2:11" ht="15" customHeight="1" x14ac:dyDescent="0.35">
      <c r="B1206" s="5">
        <v>1185</v>
      </c>
      <c r="C1206" s="46">
        <f t="shared" ca="1" si="162"/>
        <v>2.8309296890577382</v>
      </c>
      <c r="D1206" s="47">
        <f t="shared" ca="1" si="163"/>
        <v>2980143498.6755276</v>
      </c>
      <c r="E1206" s="47">
        <f t="shared" ca="1" si="164"/>
        <v>11549240403552.502</v>
      </c>
      <c r="F1206" s="47">
        <f t="shared" ca="1" si="165"/>
        <v>17260622471476.211</v>
      </c>
      <c r="G1206" s="47">
        <f t="shared" ca="1" si="166"/>
        <v>7534473086364.2881</v>
      </c>
      <c r="H1206" s="47">
        <f t="shared" ca="1" si="167"/>
        <v>17260622471476.211</v>
      </c>
      <c r="I1206" s="47">
        <f t="shared" ca="1" si="168"/>
        <v>56468256931016.234</v>
      </c>
      <c r="J1206" s="47">
        <f t="shared" ca="1" si="169"/>
        <v>1790698364843.1899</v>
      </c>
      <c r="K1206" s="48">
        <f t="shared" ca="1" si="170"/>
        <v>31.534209244649148</v>
      </c>
    </row>
    <row r="1207" spans="2:11" ht="15" customHeight="1" x14ac:dyDescent="0.35">
      <c r="B1207" s="5">
        <v>1186</v>
      </c>
      <c r="C1207" s="46">
        <f t="shared" ca="1" si="162"/>
        <v>2.9650825269690277</v>
      </c>
      <c r="D1207" s="47">
        <f t="shared" ca="1" si="163"/>
        <v>4130769697.2909102</v>
      </c>
      <c r="E1207" s="47">
        <f t="shared" ca="1" si="164"/>
        <v>18526106918610.848</v>
      </c>
      <c r="F1207" s="47">
        <f t="shared" ca="1" si="165"/>
        <v>6952338334112.3379</v>
      </c>
      <c r="G1207" s="47">
        <f t="shared" ca="1" si="166"/>
        <v>53662055854243.953</v>
      </c>
      <c r="H1207" s="47">
        <f t="shared" ca="1" si="167"/>
        <v>18526106918610.848</v>
      </c>
      <c r="I1207" s="47">
        <f t="shared" ca="1" si="168"/>
        <v>45087366272092.328</v>
      </c>
      <c r="J1207" s="47">
        <f t="shared" ca="1" si="169"/>
        <v>1655249829820.9368</v>
      </c>
      <c r="K1207" s="48">
        <f t="shared" ca="1" si="170"/>
        <v>27.239009761426669</v>
      </c>
    </row>
    <row r="1208" spans="2:11" ht="15" customHeight="1" x14ac:dyDescent="0.35">
      <c r="B1208" s="5">
        <v>1187</v>
      </c>
      <c r="C1208" s="46">
        <f t="shared" ca="1" si="162"/>
        <v>2.7269695993509835</v>
      </c>
      <c r="D1208" s="47">
        <f t="shared" ca="1" si="163"/>
        <v>3118974381.4339366</v>
      </c>
      <c r="E1208" s="47">
        <f t="shared" ca="1" si="164"/>
        <v>6834934714806.8223</v>
      </c>
      <c r="F1208" s="47">
        <f t="shared" ca="1" si="165"/>
        <v>788066457168.88269</v>
      </c>
      <c r="G1208" s="47">
        <f t="shared" ca="1" si="166"/>
        <v>22355789718140.676</v>
      </c>
      <c r="H1208" s="47">
        <f t="shared" ca="1" si="167"/>
        <v>22355789718140.676</v>
      </c>
      <c r="I1208" s="47">
        <f t="shared" ca="1" si="168"/>
        <v>4403153500727.8418</v>
      </c>
      <c r="J1208" s="47">
        <f t="shared" ca="1" si="169"/>
        <v>1385927363536.4014</v>
      </c>
      <c r="K1208" s="48">
        <f t="shared" ca="1" si="170"/>
        <v>3.1770449278759716</v>
      </c>
    </row>
    <row r="1209" spans="2:11" ht="15" customHeight="1" x14ac:dyDescent="0.35">
      <c r="B1209" s="5">
        <v>1188</v>
      </c>
      <c r="C1209" s="46">
        <f t="shared" ca="1" si="162"/>
        <v>2.8426786157278952</v>
      </c>
      <c r="D1209" s="47">
        <f t="shared" ca="1" si="163"/>
        <v>3017741068.1397834</v>
      </c>
      <c r="E1209" s="47">
        <f t="shared" ca="1" si="164"/>
        <v>17967536273255.852</v>
      </c>
      <c r="F1209" s="47">
        <f t="shared" ca="1" si="165"/>
        <v>354490588634.43945</v>
      </c>
      <c r="G1209" s="47">
        <f t="shared" ca="1" si="166"/>
        <v>9101704963735.9629</v>
      </c>
      <c r="H1209" s="47">
        <f t="shared" ca="1" si="167"/>
        <v>354490588634.43945</v>
      </c>
      <c r="I1209" s="47">
        <f t="shared" ca="1" si="168"/>
        <v>16293758693921.266</v>
      </c>
      <c r="J1209" s="47">
        <f t="shared" ca="1" si="169"/>
        <v>2136392620422.6802</v>
      </c>
      <c r="K1209" s="48">
        <f t="shared" ca="1" si="170"/>
        <v>7.6267622992900925</v>
      </c>
    </row>
    <row r="1210" spans="2:11" ht="15" customHeight="1" x14ac:dyDescent="0.35">
      <c r="B1210" s="5">
        <v>1189</v>
      </c>
      <c r="C1210" s="46">
        <f t="shared" ca="1" si="162"/>
        <v>2.6157067647720611</v>
      </c>
      <c r="D1210" s="47">
        <f t="shared" ca="1" si="163"/>
        <v>2564520773.2643828</v>
      </c>
      <c r="E1210" s="47">
        <f t="shared" ca="1" si="164"/>
        <v>18222019499284.004</v>
      </c>
      <c r="F1210" s="47">
        <f t="shared" ca="1" si="165"/>
        <v>4902812986885.3281</v>
      </c>
      <c r="G1210" s="47">
        <f t="shared" ca="1" si="166"/>
        <v>5799503526028.9766</v>
      </c>
      <c r="H1210" s="47">
        <f t="shared" ca="1" si="167"/>
        <v>18222019499284.004</v>
      </c>
      <c r="I1210" s="47">
        <f t="shared" ca="1" si="168"/>
        <v>2637287015593.375</v>
      </c>
      <c r="J1210" s="47">
        <f t="shared" ca="1" si="169"/>
        <v>820029119416.56238</v>
      </c>
      <c r="K1210" s="48">
        <f t="shared" ca="1" si="170"/>
        <v>3.2160894694444053</v>
      </c>
    </row>
    <row r="1211" spans="2:11" ht="15" customHeight="1" x14ac:dyDescent="0.35">
      <c r="B1211" s="5">
        <v>1190</v>
      </c>
      <c r="C1211" s="46">
        <f t="shared" ca="1" si="162"/>
        <v>3.3478319835312025</v>
      </c>
      <c r="D1211" s="47">
        <f t="shared" ca="1" si="163"/>
        <v>8262904449.9946718</v>
      </c>
      <c r="E1211" s="47">
        <f t="shared" ca="1" si="164"/>
        <v>10610191591090.525</v>
      </c>
      <c r="F1211" s="47">
        <f t="shared" ca="1" si="165"/>
        <v>2620049418816.2275</v>
      </c>
      <c r="G1211" s="47">
        <f t="shared" ca="1" si="166"/>
        <v>35061025321.26561</v>
      </c>
      <c r="H1211" s="47">
        <f t="shared" ca="1" si="167"/>
        <v>2620049418816.2275</v>
      </c>
      <c r="I1211" s="47">
        <f t="shared" ca="1" si="168"/>
        <v>81383305504819.203</v>
      </c>
      <c r="J1211" s="47">
        <f t="shared" ca="1" si="169"/>
        <v>1551523854128.0344</v>
      </c>
      <c r="K1211" s="48">
        <f t="shared" ca="1" si="170"/>
        <v>52.45378940729023</v>
      </c>
    </row>
    <row r="1212" spans="2:11" ht="15" customHeight="1" x14ac:dyDescent="0.35">
      <c r="B1212" s="5">
        <v>1191</v>
      </c>
      <c r="C1212" s="46">
        <f t="shared" ca="1" si="162"/>
        <v>3.2361813092190332</v>
      </c>
      <c r="D1212" s="47">
        <f t="shared" ca="1" si="163"/>
        <v>7138778210.7470388</v>
      </c>
      <c r="E1212" s="47">
        <f t="shared" ca="1" si="164"/>
        <v>103632663839555.81</v>
      </c>
      <c r="F1212" s="47">
        <f t="shared" ca="1" si="165"/>
        <v>332153138703.35132</v>
      </c>
      <c r="G1212" s="47">
        <f t="shared" ca="1" si="166"/>
        <v>27938670345689.969</v>
      </c>
      <c r="H1212" s="47">
        <f t="shared" ca="1" si="167"/>
        <v>332153138703.35132</v>
      </c>
      <c r="I1212" s="47">
        <f t="shared" ca="1" si="168"/>
        <v>41625718795329.445</v>
      </c>
      <c r="J1212" s="47">
        <f t="shared" ca="1" si="169"/>
        <v>803207112242.02063</v>
      </c>
      <c r="K1212" s="48">
        <f t="shared" ca="1" si="170"/>
        <v>51.824390198859284</v>
      </c>
    </row>
    <row r="1213" spans="2:11" ht="15" customHeight="1" x14ac:dyDescent="0.35">
      <c r="B1213" s="5">
        <v>1192</v>
      </c>
      <c r="C1213" s="46">
        <f t="shared" ca="1" si="162"/>
        <v>2.406966773470371</v>
      </c>
      <c r="D1213" s="47">
        <f t="shared" ca="1" si="163"/>
        <v>1850150359.2284276</v>
      </c>
      <c r="E1213" s="47">
        <f t="shared" ca="1" si="164"/>
        <v>5728933118979.9805</v>
      </c>
      <c r="F1213" s="47">
        <f t="shared" ca="1" si="165"/>
        <v>71714268031.437134</v>
      </c>
      <c r="G1213" s="47">
        <f t="shared" ca="1" si="166"/>
        <v>4196037345416.1167</v>
      </c>
      <c r="H1213" s="47">
        <f t="shared" ca="1" si="167"/>
        <v>71714268031.437134</v>
      </c>
      <c r="I1213" s="47">
        <f t="shared" ca="1" si="168"/>
        <v>17051262465040.359</v>
      </c>
      <c r="J1213" s="47">
        <f t="shared" ca="1" si="169"/>
        <v>594252820488.7771</v>
      </c>
      <c r="K1213" s="48">
        <f t="shared" ca="1" si="170"/>
        <v>28.693616382023357</v>
      </c>
    </row>
    <row r="1214" spans="2:11" ht="15" customHeight="1" x14ac:dyDescent="0.35">
      <c r="B1214" s="5">
        <v>1193</v>
      </c>
      <c r="C1214" s="46">
        <f t="shared" ca="1" si="162"/>
        <v>2.814253574309284</v>
      </c>
      <c r="D1214" s="47">
        <f t="shared" ca="1" si="163"/>
        <v>3728290008.4875393</v>
      </c>
      <c r="E1214" s="47">
        <f t="shared" ca="1" si="164"/>
        <v>6380574172128.6563</v>
      </c>
      <c r="F1214" s="47">
        <f t="shared" ca="1" si="165"/>
        <v>3981361625341.0195</v>
      </c>
      <c r="G1214" s="47">
        <f t="shared" ca="1" si="166"/>
        <v>3171844555727.0425</v>
      </c>
      <c r="H1214" s="47">
        <f t="shared" ca="1" si="167"/>
        <v>3171844555727.0425</v>
      </c>
      <c r="I1214" s="47">
        <f t="shared" ca="1" si="168"/>
        <v>5432410936490.4141</v>
      </c>
      <c r="J1214" s="47">
        <f t="shared" ca="1" si="169"/>
        <v>771940336880.50745</v>
      </c>
      <c r="K1214" s="48">
        <f t="shared" ca="1" si="170"/>
        <v>7.0373456042514393</v>
      </c>
    </row>
    <row r="1215" spans="2:11" ht="15" customHeight="1" x14ac:dyDescent="0.35">
      <c r="B1215" s="5">
        <v>1194</v>
      </c>
      <c r="C1215" s="46">
        <f t="shared" ca="1" si="162"/>
        <v>3.377149056555028</v>
      </c>
      <c r="D1215" s="47">
        <f t="shared" ca="1" si="163"/>
        <v>7333048336.6681671</v>
      </c>
      <c r="E1215" s="47">
        <f t="shared" ca="1" si="164"/>
        <v>18341150197053.32</v>
      </c>
      <c r="F1215" s="47">
        <f t="shared" ca="1" si="165"/>
        <v>1223469066056.2151</v>
      </c>
      <c r="G1215" s="47">
        <f t="shared" ca="1" si="166"/>
        <v>11235212844717.434</v>
      </c>
      <c r="H1215" s="47">
        <f t="shared" ca="1" si="167"/>
        <v>11235212844717.434</v>
      </c>
      <c r="I1215" s="47">
        <f t="shared" ca="1" si="168"/>
        <v>24764127517891.078</v>
      </c>
      <c r="J1215" s="47">
        <f t="shared" ca="1" si="169"/>
        <v>2454700257179.8799</v>
      </c>
      <c r="K1215" s="48">
        <f t="shared" ca="1" si="170"/>
        <v>10.088452732856975</v>
      </c>
    </row>
    <row r="1216" spans="2:11" ht="15" customHeight="1" x14ac:dyDescent="0.35">
      <c r="B1216" s="5">
        <v>1195</v>
      </c>
      <c r="C1216" s="46">
        <f t="shared" ca="1" si="162"/>
        <v>3.4118509889880753</v>
      </c>
      <c r="D1216" s="47">
        <f t="shared" ca="1" si="163"/>
        <v>8674221719.9605083</v>
      </c>
      <c r="E1216" s="47">
        <f t="shared" ca="1" si="164"/>
        <v>32488651273371.309</v>
      </c>
      <c r="F1216" s="47">
        <f t="shared" ca="1" si="165"/>
        <v>2237222555004.7617</v>
      </c>
      <c r="G1216" s="47">
        <f t="shared" ca="1" si="166"/>
        <v>396918517353.30273</v>
      </c>
      <c r="H1216" s="47">
        <f t="shared" ca="1" si="167"/>
        <v>396918517353.30273</v>
      </c>
      <c r="I1216" s="47">
        <f t="shared" ca="1" si="168"/>
        <v>2656082994657.1479</v>
      </c>
      <c r="J1216" s="47">
        <f t="shared" ca="1" si="169"/>
        <v>1488960495818.99</v>
      </c>
      <c r="K1216" s="48">
        <f t="shared" ca="1" si="170"/>
        <v>1.7838505468180283</v>
      </c>
    </row>
    <row r="1217" spans="2:11" ht="15" customHeight="1" x14ac:dyDescent="0.35">
      <c r="B1217" s="5">
        <v>1196</v>
      </c>
      <c r="C1217" s="46">
        <f t="shared" ca="1" si="162"/>
        <v>3.9532068885973093</v>
      </c>
      <c r="D1217" s="47">
        <f t="shared" ca="1" si="163"/>
        <v>22939123148.42556</v>
      </c>
      <c r="E1217" s="47">
        <f t="shared" ca="1" si="164"/>
        <v>144811581768108.03</v>
      </c>
      <c r="F1217" s="47">
        <f t="shared" ca="1" si="165"/>
        <v>882917215070.45728</v>
      </c>
      <c r="G1217" s="47">
        <f t="shared" ca="1" si="166"/>
        <v>4784033116415.5518</v>
      </c>
      <c r="H1217" s="47">
        <f t="shared" ca="1" si="167"/>
        <v>882917215070.45728</v>
      </c>
      <c r="I1217" s="47">
        <f t="shared" ca="1" si="168"/>
        <v>12530417595579.648</v>
      </c>
      <c r="J1217" s="47">
        <f t="shared" ca="1" si="169"/>
        <v>700014831929.22827</v>
      </c>
      <c r="K1217" s="48">
        <f t="shared" ca="1" si="170"/>
        <v>17.900217286890971</v>
      </c>
    </row>
    <row r="1218" spans="2:11" ht="15" customHeight="1" x14ac:dyDescent="0.35">
      <c r="B1218" s="5">
        <v>1197</v>
      </c>
      <c r="C1218" s="46">
        <f t="shared" ca="1" si="162"/>
        <v>1.8948982611636782</v>
      </c>
      <c r="D1218" s="47">
        <f t="shared" ca="1" si="163"/>
        <v>480620587.02071595</v>
      </c>
      <c r="E1218" s="47">
        <f t="shared" ca="1" si="164"/>
        <v>806668973956.42249</v>
      </c>
      <c r="F1218" s="47">
        <f t="shared" ca="1" si="165"/>
        <v>4377315563361.3584</v>
      </c>
      <c r="G1218" s="47">
        <f t="shared" ca="1" si="166"/>
        <v>26738701241449.898</v>
      </c>
      <c r="H1218" s="47">
        <f t="shared" ca="1" si="167"/>
        <v>806668973956.42249</v>
      </c>
      <c r="I1218" s="47">
        <f t="shared" ca="1" si="168"/>
        <v>2210792662910.853</v>
      </c>
      <c r="J1218" s="47">
        <f t="shared" ca="1" si="169"/>
        <v>908507491609.55347</v>
      </c>
      <c r="K1218" s="48">
        <f t="shared" ca="1" si="170"/>
        <v>2.4334336076790204</v>
      </c>
    </row>
    <row r="1219" spans="2:11" ht="15" customHeight="1" x14ac:dyDescent="0.35">
      <c r="B1219" s="5">
        <v>1198</v>
      </c>
      <c r="C1219" s="46">
        <f t="shared" ca="1" si="162"/>
        <v>3.7701980379680124</v>
      </c>
      <c r="D1219" s="47">
        <f t="shared" ca="1" si="163"/>
        <v>15967108820.710693</v>
      </c>
      <c r="E1219" s="47">
        <f t="shared" ca="1" si="164"/>
        <v>13936680472461.336</v>
      </c>
      <c r="F1219" s="47">
        <f t="shared" ca="1" si="165"/>
        <v>1799620961798.3721</v>
      </c>
      <c r="G1219" s="47">
        <f t="shared" ca="1" si="166"/>
        <v>106240768071843.03</v>
      </c>
      <c r="H1219" s="47">
        <f t="shared" ca="1" si="167"/>
        <v>106240768071843.03</v>
      </c>
      <c r="I1219" s="47">
        <f t="shared" ca="1" si="168"/>
        <v>4361085996852.5024</v>
      </c>
      <c r="J1219" s="47">
        <f t="shared" ca="1" si="169"/>
        <v>1191237168419.958</v>
      </c>
      <c r="K1219" s="48">
        <f t="shared" ca="1" si="170"/>
        <v>3.6609720654007063</v>
      </c>
    </row>
    <row r="1220" spans="2:11" ht="15" customHeight="1" x14ac:dyDescent="0.35">
      <c r="B1220" s="5">
        <v>1199</v>
      </c>
      <c r="C1220" s="46">
        <f t="shared" ca="1" si="162"/>
        <v>3.8325279680658708</v>
      </c>
      <c r="D1220" s="47">
        <f t="shared" ca="1" si="163"/>
        <v>15378488073.40715</v>
      </c>
      <c r="E1220" s="47">
        <f t="shared" ca="1" si="164"/>
        <v>18343474431784.941</v>
      </c>
      <c r="F1220" s="47">
        <f t="shared" ca="1" si="165"/>
        <v>278395731828.24347</v>
      </c>
      <c r="G1220" s="47">
        <f t="shared" ca="1" si="166"/>
        <v>22456038264631.633</v>
      </c>
      <c r="H1220" s="47">
        <f t="shared" ca="1" si="167"/>
        <v>22456038264631.633</v>
      </c>
      <c r="I1220" s="47">
        <f t="shared" ca="1" si="168"/>
        <v>8112086616705.3301</v>
      </c>
      <c r="J1220" s="47">
        <f t="shared" ca="1" si="169"/>
        <v>1856307108623.8481</v>
      </c>
      <c r="K1220" s="48">
        <f t="shared" ca="1" si="170"/>
        <v>4.37001322627005</v>
      </c>
    </row>
    <row r="1221" spans="2:11" ht="15" customHeight="1" x14ac:dyDescent="0.35">
      <c r="B1221" s="5">
        <v>1200</v>
      </c>
      <c r="C1221" s="46">
        <f t="shared" ca="1" si="162"/>
        <v>2.7462282414337618</v>
      </c>
      <c r="D1221" s="47">
        <f t="shared" ca="1" si="163"/>
        <v>3412139289.9504151</v>
      </c>
      <c r="E1221" s="47">
        <f t="shared" ca="1" si="164"/>
        <v>3962307151197.5688</v>
      </c>
      <c r="F1221" s="47">
        <f t="shared" ca="1" si="165"/>
        <v>2682175610627.1812</v>
      </c>
      <c r="G1221" s="47">
        <f t="shared" ca="1" si="166"/>
        <v>733134921677.25781</v>
      </c>
      <c r="H1221" s="47">
        <f t="shared" ca="1" si="167"/>
        <v>2682175610627.1812</v>
      </c>
      <c r="I1221" s="47">
        <f t="shared" ca="1" si="168"/>
        <v>8755643583839.0146</v>
      </c>
      <c r="J1221" s="47">
        <f t="shared" ca="1" si="169"/>
        <v>1365851155583.7886</v>
      </c>
      <c r="K1221" s="48">
        <f t="shared" ca="1" si="170"/>
        <v>6.4103936567646711</v>
      </c>
    </row>
    <row r="1222" spans="2:11" ht="15" customHeight="1" x14ac:dyDescent="0.35">
      <c r="B1222" s="5">
        <v>1201</v>
      </c>
      <c r="C1222" s="46">
        <f t="shared" ca="1" si="162"/>
        <v>3.1693950218140494</v>
      </c>
      <c r="D1222" s="47">
        <f t="shared" ca="1" si="163"/>
        <v>6312470685.7166109</v>
      </c>
      <c r="E1222" s="47">
        <f t="shared" ca="1" si="164"/>
        <v>32483527044668.605</v>
      </c>
      <c r="F1222" s="47">
        <f t="shared" ca="1" si="165"/>
        <v>1417026638574.2712</v>
      </c>
      <c r="G1222" s="47">
        <f t="shared" ca="1" si="166"/>
        <v>1316294047526.6946</v>
      </c>
      <c r="H1222" s="47">
        <f t="shared" ca="1" si="167"/>
        <v>1316294047526.6946</v>
      </c>
      <c r="I1222" s="47">
        <f t="shared" ca="1" si="168"/>
        <v>73263147787773.844</v>
      </c>
      <c r="J1222" s="47">
        <f t="shared" ca="1" si="169"/>
        <v>1589572904215.0098</v>
      </c>
      <c r="K1222" s="48">
        <f t="shared" ca="1" si="170"/>
        <v>46.089831799161118</v>
      </c>
    </row>
    <row r="1223" spans="2:11" ht="15" customHeight="1" x14ac:dyDescent="0.35">
      <c r="B1223" s="5">
        <v>1202</v>
      </c>
      <c r="C1223" s="46">
        <f t="shared" ca="1" si="162"/>
        <v>2.6312534954179871</v>
      </c>
      <c r="D1223" s="47">
        <f t="shared" ca="1" si="163"/>
        <v>2663060359.5449195</v>
      </c>
      <c r="E1223" s="47">
        <f t="shared" ca="1" si="164"/>
        <v>9255724265165.916</v>
      </c>
      <c r="F1223" s="47">
        <f t="shared" ca="1" si="165"/>
        <v>1243821240039.573</v>
      </c>
      <c r="G1223" s="47">
        <f t="shared" ca="1" si="166"/>
        <v>6221865325789.0254</v>
      </c>
      <c r="H1223" s="47">
        <f t="shared" ca="1" si="167"/>
        <v>6221865325789.0254</v>
      </c>
      <c r="I1223" s="47">
        <f t="shared" ca="1" si="168"/>
        <v>7469492955481.8672</v>
      </c>
      <c r="J1223" s="47">
        <f t="shared" ca="1" si="169"/>
        <v>1746850601375.1538</v>
      </c>
      <c r="K1223" s="48">
        <f t="shared" ca="1" si="170"/>
        <v>4.275976977997856</v>
      </c>
    </row>
    <row r="1224" spans="2:11" ht="15" customHeight="1" x14ac:dyDescent="0.35">
      <c r="B1224" s="5">
        <v>1203</v>
      </c>
      <c r="C1224" s="46">
        <f t="shared" ca="1" si="162"/>
        <v>2.8171696559129598</v>
      </c>
      <c r="D1224" s="47">
        <f t="shared" ca="1" si="163"/>
        <v>3458793639.2307911</v>
      </c>
      <c r="E1224" s="47">
        <f t="shared" ca="1" si="164"/>
        <v>7368215136600.4287</v>
      </c>
      <c r="F1224" s="47">
        <f t="shared" ca="1" si="165"/>
        <v>1210208225290.6777</v>
      </c>
      <c r="G1224" s="47">
        <f t="shared" ca="1" si="166"/>
        <v>19272623583921.039</v>
      </c>
      <c r="H1224" s="47">
        <f t="shared" ca="1" si="167"/>
        <v>19272623583921.039</v>
      </c>
      <c r="I1224" s="47">
        <f t="shared" ca="1" si="168"/>
        <v>58278714831351.898</v>
      </c>
      <c r="J1224" s="47">
        <f t="shared" ca="1" si="169"/>
        <v>509133586431.79077</v>
      </c>
      <c r="K1224" s="48">
        <f t="shared" ca="1" si="170"/>
        <v>114.46645121134543</v>
      </c>
    </row>
    <row r="1225" spans="2:11" ht="15" customHeight="1" x14ac:dyDescent="0.35">
      <c r="B1225" s="5">
        <v>1204</v>
      </c>
      <c r="C1225" s="46">
        <f t="shared" ca="1" si="162"/>
        <v>2.6640999308990092</v>
      </c>
      <c r="D1225" s="47">
        <f t="shared" ca="1" si="163"/>
        <v>2392928487.243773</v>
      </c>
      <c r="E1225" s="47">
        <f t="shared" ca="1" si="164"/>
        <v>3116043532546.0313</v>
      </c>
      <c r="F1225" s="47">
        <f t="shared" ca="1" si="165"/>
        <v>625071969048.63196</v>
      </c>
      <c r="G1225" s="47">
        <f t="shared" ca="1" si="166"/>
        <v>438827567835.16962</v>
      </c>
      <c r="H1225" s="47">
        <f t="shared" ca="1" si="167"/>
        <v>438827567835.16962</v>
      </c>
      <c r="I1225" s="47">
        <f t="shared" ca="1" si="168"/>
        <v>9758856867537.1172</v>
      </c>
      <c r="J1225" s="47">
        <f t="shared" ca="1" si="169"/>
        <v>2354760112743.0146</v>
      </c>
      <c r="K1225" s="48">
        <f t="shared" ca="1" si="170"/>
        <v>4.1443104181721564</v>
      </c>
    </row>
    <row r="1226" spans="2:11" ht="15" customHeight="1" x14ac:dyDescent="0.35">
      <c r="B1226" s="5">
        <v>1205</v>
      </c>
      <c r="C1226" s="46">
        <f t="shared" ca="1" si="162"/>
        <v>2.2037475905959574</v>
      </c>
      <c r="D1226" s="47">
        <f t="shared" ca="1" si="163"/>
        <v>1049931775.420347</v>
      </c>
      <c r="E1226" s="47">
        <f t="shared" ca="1" si="164"/>
        <v>2742642446309.731</v>
      </c>
      <c r="F1226" s="47">
        <f t="shared" ca="1" si="165"/>
        <v>2388399836168.3813</v>
      </c>
      <c r="G1226" s="47">
        <f t="shared" ca="1" si="166"/>
        <v>440154343718.94769</v>
      </c>
      <c r="H1226" s="47">
        <f t="shared" ca="1" si="167"/>
        <v>2388399836168.3813</v>
      </c>
      <c r="I1226" s="47">
        <f t="shared" ca="1" si="168"/>
        <v>3639762968490.876</v>
      </c>
      <c r="J1226" s="47">
        <f t="shared" ca="1" si="169"/>
        <v>1439966276347.0994</v>
      </c>
      <c r="K1226" s="48">
        <f t="shared" ca="1" si="170"/>
        <v>2.5276723686364462</v>
      </c>
    </row>
    <row r="1227" spans="2:11" ht="15" customHeight="1" x14ac:dyDescent="0.35">
      <c r="B1227" s="5">
        <v>1206</v>
      </c>
      <c r="C1227" s="46">
        <f t="shared" ca="1" si="162"/>
        <v>2.3291526820956343</v>
      </c>
      <c r="D1227" s="47">
        <f t="shared" ca="1" si="163"/>
        <v>1211402888.1956246</v>
      </c>
      <c r="E1227" s="47">
        <f t="shared" ca="1" si="164"/>
        <v>6013212026780.7295</v>
      </c>
      <c r="F1227" s="47">
        <f t="shared" ca="1" si="165"/>
        <v>1622186553385.6604</v>
      </c>
      <c r="G1227" s="47">
        <f t="shared" ca="1" si="166"/>
        <v>22215640811489.375</v>
      </c>
      <c r="H1227" s="47">
        <f t="shared" ca="1" si="167"/>
        <v>6013212026780.7295</v>
      </c>
      <c r="I1227" s="47">
        <f t="shared" ca="1" si="168"/>
        <v>3923428941842.002</v>
      </c>
      <c r="J1227" s="47">
        <f t="shared" ca="1" si="169"/>
        <v>1548533108226.4028</v>
      </c>
      <c r="K1227" s="48">
        <f t="shared" ca="1" si="170"/>
        <v>2.5336422715144029</v>
      </c>
    </row>
    <row r="1228" spans="2:11" ht="15" customHeight="1" x14ac:dyDescent="0.35">
      <c r="B1228" s="5">
        <v>1207</v>
      </c>
      <c r="C1228" s="46">
        <f t="shared" ca="1" si="162"/>
        <v>3.1089986506567526</v>
      </c>
      <c r="D1228" s="47">
        <f t="shared" ca="1" si="163"/>
        <v>5443799884.3004379</v>
      </c>
      <c r="E1228" s="47">
        <f t="shared" ca="1" si="164"/>
        <v>9573658765789.2422</v>
      </c>
      <c r="F1228" s="47">
        <f t="shared" ca="1" si="165"/>
        <v>12585756381869.07</v>
      </c>
      <c r="G1228" s="47">
        <f t="shared" ca="1" si="166"/>
        <v>94647039788447.313</v>
      </c>
      <c r="H1228" s="47">
        <f t="shared" ca="1" si="167"/>
        <v>12585756381869.07</v>
      </c>
      <c r="I1228" s="47">
        <f t="shared" ca="1" si="168"/>
        <v>25801406683109.375</v>
      </c>
      <c r="J1228" s="47">
        <f t="shared" ca="1" si="169"/>
        <v>569912597204.09338</v>
      </c>
      <c r="K1228" s="48">
        <f t="shared" ca="1" si="170"/>
        <v>45.27256777563305</v>
      </c>
    </row>
    <row r="1229" spans="2:11" ht="15" customHeight="1" x14ac:dyDescent="0.35">
      <c r="B1229" s="5">
        <v>1208</v>
      </c>
      <c r="C1229" s="46">
        <f t="shared" ca="1" si="162"/>
        <v>2.8286493782597111</v>
      </c>
      <c r="D1229" s="47">
        <f t="shared" ca="1" si="163"/>
        <v>4015456430.4705243</v>
      </c>
      <c r="E1229" s="47">
        <f t="shared" ca="1" si="164"/>
        <v>4396221210052.9424</v>
      </c>
      <c r="F1229" s="47">
        <f t="shared" ca="1" si="165"/>
        <v>36981936903863.172</v>
      </c>
      <c r="G1229" s="47">
        <f t="shared" ca="1" si="166"/>
        <v>2619750132295.1816</v>
      </c>
      <c r="H1229" s="47">
        <f t="shared" ca="1" si="167"/>
        <v>2619750132295.1816</v>
      </c>
      <c r="I1229" s="47">
        <f t="shared" ca="1" si="168"/>
        <v>7569399639761.5469</v>
      </c>
      <c r="J1229" s="47">
        <f t="shared" ca="1" si="169"/>
        <v>1040625237057.3525</v>
      </c>
      <c r="K1229" s="48">
        <f t="shared" ca="1" si="170"/>
        <v>7.2738958947085104</v>
      </c>
    </row>
    <row r="1230" spans="2:11" ht="15" customHeight="1" x14ac:dyDescent="0.35">
      <c r="B1230" s="5">
        <v>1209</v>
      </c>
      <c r="C1230" s="46">
        <f t="shared" ca="1" si="162"/>
        <v>3.4180253264718017</v>
      </c>
      <c r="D1230" s="47">
        <f t="shared" ca="1" si="163"/>
        <v>10404198761.138456</v>
      </c>
      <c r="E1230" s="47">
        <f t="shared" ca="1" si="164"/>
        <v>59001301534120.984</v>
      </c>
      <c r="F1230" s="47">
        <f t="shared" ca="1" si="165"/>
        <v>1740929665819.4089</v>
      </c>
      <c r="G1230" s="47">
        <f t="shared" ca="1" si="166"/>
        <v>2849057011613.1704</v>
      </c>
      <c r="H1230" s="47">
        <f t="shared" ca="1" si="167"/>
        <v>59001301534120.984</v>
      </c>
      <c r="I1230" s="47">
        <f t="shared" ca="1" si="168"/>
        <v>105859748319840.13</v>
      </c>
      <c r="J1230" s="47">
        <f t="shared" ca="1" si="169"/>
        <v>1100971901151.1143</v>
      </c>
      <c r="K1230" s="48">
        <f t="shared" ca="1" si="170"/>
        <v>96.151180796856963</v>
      </c>
    </row>
    <row r="1231" spans="2:11" ht="15" customHeight="1" x14ac:dyDescent="0.35">
      <c r="B1231" s="5">
        <v>1210</v>
      </c>
      <c r="C1231" s="46">
        <f t="shared" ca="1" si="162"/>
        <v>3.7654037446686548</v>
      </c>
      <c r="D1231" s="47">
        <f t="shared" ca="1" si="163"/>
        <v>16503099742.024153</v>
      </c>
      <c r="E1231" s="47">
        <f t="shared" ca="1" si="164"/>
        <v>59616378784948.68</v>
      </c>
      <c r="F1231" s="47">
        <f t="shared" ca="1" si="165"/>
        <v>18273772329001.328</v>
      </c>
      <c r="G1231" s="47">
        <f t="shared" ca="1" si="166"/>
        <v>6231406005414.9814</v>
      </c>
      <c r="H1231" s="47">
        <f t="shared" ca="1" si="167"/>
        <v>18273772329001.328</v>
      </c>
      <c r="I1231" s="47">
        <f t="shared" ca="1" si="168"/>
        <v>7437318762464.627</v>
      </c>
      <c r="J1231" s="47">
        <f t="shared" ca="1" si="169"/>
        <v>759540140917.50623</v>
      </c>
      <c r="K1231" s="48">
        <f t="shared" ca="1" si="170"/>
        <v>9.7918705830089827</v>
      </c>
    </row>
    <row r="1232" spans="2:11" ht="15" customHeight="1" x14ac:dyDescent="0.35">
      <c r="B1232" s="5">
        <v>1211</v>
      </c>
      <c r="C1232" s="46">
        <f t="shared" ca="1" si="162"/>
        <v>2.5408785921604</v>
      </c>
      <c r="D1232" s="47">
        <f t="shared" ca="1" si="163"/>
        <v>1829463136.0497553</v>
      </c>
      <c r="E1232" s="47">
        <f t="shared" ca="1" si="164"/>
        <v>6083740788487.2998</v>
      </c>
      <c r="F1232" s="47">
        <f t="shared" ca="1" si="165"/>
        <v>14644019298813.576</v>
      </c>
      <c r="G1232" s="47">
        <f t="shared" ca="1" si="166"/>
        <v>13333852742698.189</v>
      </c>
      <c r="H1232" s="47">
        <f t="shared" ca="1" si="167"/>
        <v>14644019298813.576</v>
      </c>
      <c r="I1232" s="47">
        <f t="shared" ca="1" si="168"/>
        <v>33781408047287.613</v>
      </c>
      <c r="J1232" s="47">
        <f t="shared" ca="1" si="169"/>
        <v>1778188790359.2349</v>
      </c>
      <c r="K1232" s="48">
        <f t="shared" ca="1" si="170"/>
        <v>18.997649872971586</v>
      </c>
    </row>
    <row r="1233" spans="2:11" ht="15" customHeight="1" x14ac:dyDescent="0.35">
      <c r="B1233" s="5">
        <v>1212</v>
      </c>
      <c r="C1233" s="46">
        <f t="shared" ca="1" si="162"/>
        <v>2.4867349131146086</v>
      </c>
      <c r="D1233" s="47">
        <f t="shared" ca="1" si="163"/>
        <v>1767741661.6364636</v>
      </c>
      <c r="E1233" s="47">
        <f t="shared" ca="1" si="164"/>
        <v>3836072299803.1724</v>
      </c>
      <c r="F1233" s="47">
        <f t="shared" ca="1" si="165"/>
        <v>7762747473388.6113</v>
      </c>
      <c r="G1233" s="47">
        <f t="shared" ca="1" si="166"/>
        <v>124544099227062.17</v>
      </c>
      <c r="H1233" s="47">
        <f t="shared" ca="1" si="167"/>
        <v>3836072299803.1724</v>
      </c>
      <c r="I1233" s="47">
        <f t="shared" ca="1" si="168"/>
        <v>1768747297526.0132</v>
      </c>
      <c r="J1233" s="47">
        <f t="shared" ca="1" si="169"/>
        <v>892856525207.81543</v>
      </c>
      <c r="K1233" s="48">
        <f t="shared" ca="1" si="170"/>
        <v>1.9809983436189047</v>
      </c>
    </row>
    <row r="1234" spans="2:11" ht="15" customHeight="1" x14ac:dyDescent="0.35">
      <c r="B1234" s="5">
        <v>1213</v>
      </c>
      <c r="C1234" s="46">
        <f t="shared" ca="1" si="162"/>
        <v>2.8105119615437011</v>
      </c>
      <c r="D1234" s="47">
        <f t="shared" ca="1" si="163"/>
        <v>3887756192.1637034</v>
      </c>
      <c r="E1234" s="47">
        <f t="shared" ca="1" si="164"/>
        <v>33374322005380.895</v>
      </c>
      <c r="F1234" s="47">
        <f t="shared" ca="1" si="165"/>
        <v>6232433700417.0166</v>
      </c>
      <c r="G1234" s="47">
        <f t="shared" ca="1" si="166"/>
        <v>5129367611408.5537</v>
      </c>
      <c r="H1234" s="47">
        <f t="shared" ca="1" si="167"/>
        <v>6232433700417.0166</v>
      </c>
      <c r="I1234" s="47">
        <f t="shared" ca="1" si="168"/>
        <v>42076994844315.336</v>
      </c>
      <c r="J1234" s="47">
        <f t="shared" ca="1" si="169"/>
        <v>1130385326422.3232</v>
      </c>
      <c r="K1234" s="48">
        <f t="shared" ca="1" si="170"/>
        <v>37.223585498485981</v>
      </c>
    </row>
    <row r="1235" spans="2:11" ht="15" customHeight="1" x14ac:dyDescent="0.35">
      <c r="B1235" s="5">
        <v>1214</v>
      </c>
      <c r="C1235" s="46">
        <f t="shared" ca="1" si="162"/>
        <v>3.6382703680078099</v>
      </c>
      <c r="D1235" s="47">
        <f t="shared" ca="1" si="163"/>
        <v>13429067858.066544</v>
      </c>
      <c r="E1235" s="47">
        <f t="shared" ca="1" si="164"/>
        <v>15775264142599.734</v>
      </c>
      <c r="F1235" s="47">
        <f t="shared" ca="1" si="165"/>
        <v>10902577680773.029</v>
      </c>
      <c r="G1235" s="47">
        <f t="shared" ca="1" si="166"/>
        <v>159639366776211.75</v>
      </c>
      <c r="H1235" s="47">
        <f t="shared" ca="1" si="167"/>
        <v>10902577680773.029</v>
      </c>
      <c r="I1235" s="47">
        <f t="shared" ca="1" si="168"/>
        <v>4874690462920.7402</v>
      </c>
      <c r="J1235" s="47">
        <f t="shared" ca="1" si="169"/>
        <v>1647845039547.4465</v>
      </c>
      <c r="K1235" s="48">
        <f t="shared" ca="1" si="170"/>
        <v>2.9582214018494684</v>
      </c>
    </row>
    <row r="1236" spans="2:11" ht="15" customHeight="1" x14ac:dyDescent="0.35">
      <c r="B1236" s="5">
        <v>1215</v>
      </c>
      <c r="C1236" s="46">
        <f t="shared" ca="1" si="162"/>
        <v>3.3477548786547979</v>
      </c>
      <c r="D1236" s="47">
        <f t="shared" ca="1" si="163"/>
        <v>8447108770.2197371</v>
      </c>
      <c r="E1236" s="47">
        <f t="shared" ca="1" si="164"/>
        <v>18462213337228.781</v>
      </c>
      <c r="F1236" s="47">
        <f t="shared" ca="1" si="165"/>
        <v>35155004472936.922</v>
      </c>
      <c r="G1236" s="47">
        <f t="shared" ca="1" si="166"/>
        <v>2275744608914.2124</v>
      </c>
      <c r="H1236" s="47">
        <f t="shared" ca="1" si="167"/>
        <v>35155004472936.922</v>
      </c>
      <c r="I1236" s="47">
        <f t="shared" ca="1" si="168"/>
        <v>5162555655318.8975</v>
      </c>
      <c r="J1236" s="47">
        <f t="shared" ca="1" si="169"/>
        <v>2269895074939.6211</v>
      </c>
      <c r="K1236" s="48">
        <f t="shared" ca="1" si="170"/>
        <v>2.2743587191827448</v>
      </c>
    </row>
    <row r="1237" spans="2:11" ht="15" customHeight="1" x14ac:dyDescent="0.35">
      <c r="B1237" s="5">
        <v>1216</v>
      </c>
      <c r="C1237" s="46">
        <f t="shared" ca="1" si="162"/>
        <v>3.6852418028161225</v>
      </c>
      <c r="D1237" s="47">
        <f t="shared" ca="1" si="163"/>
        <v>15200364217.692799</v>
      </c>
      <c r="E1237" s="47">
        <f t="shared" ca="1" si="164"/>
        <v>9944068446077.1094</v>
      </c>
      <c r="F1237" s="47">
        <f t="shared" ca="1" si="165"/>
        <v>5752495397857.4326</v>
      </c>
      <c r="G1237" s="47">
        <f t="shared" ca="1" si="166"/>
        <v>834189128473.12341</v>
      </c>
      <c r="H1237" s="47">
        <f t="shared" ca="1" si="167"/>
        <v>5752495397857.4326</v>
      </c>
      <c r="I1237" s="47">
        <f t="shared" ca="1" si="168"/>
        <v>654368795817.79602</v>
      </c>
      <c r="J1237" s="47">
        <f t="shared" ca="1" si="169"/>
        <v>503728807887.39471</v>
      </c>
      <c r="K1237" s="48">
        <f t="shared" ca="1" si="170"/>
        <v>1.2990497775225036</v>
      </c>
    </row>
    <row r="1238" spans="2:11" ht="15" customHeight="1" x14ac:dyDescent="0.35">
      <c r="B1238" s="5">
        <v>1217</v>
      </c>
      <c r="C1238" s="46">
        <f t="shared" ref="C1238:C1301" ca="1" si="171">MEDIAN(1.8,NORMINV(RAND(),$C$7,$D$7),4.5)</f>
        <v>2.938363515265892</v>
      </c>
      <c r="D1238" s="47">
        <f t="shared" ref="D1238:D1301" ca="1" si="172">($C$8+RAND()*($D$8-$C$8))*C1238^5</f>
        <v>3887224689.8168235</v>
      </c>
      <c r="E1238" s="47">
        <f t="shared" ref="E1238:E1301" ca="1" si="173">D1238*($C$10+RAND()*($D$10-$C$10))*EXP(NORMINV(RAND(),$C$9,$D$9))*($C$11+RAND()*($D$11-$C$11))</f>
        <v>15546183768657.822</v>
      </c>
      <c r="F1238" s="47">
        <f t="shared" ref="F1238:F1301" ca="1" si="174">EXP(NORMINV(RAND(),$C$12,$D$12))*EXP(NORMINV(RAND(),$C$13,$D$13))</f>
        <v>3392297417660.2642</v>
      </c>
      <c r="G1238" s="47">
        <f t="shared" ref="G1238:G1301" ca="1" si="175">EXP(NORMINV(RAND(),$C$14,$D$14))*($C$15+RAND()*($D$15-$C$15))*EXP(NORMINV(RAND(),$C$16,$D$16))/1000000*31536000</f>
        <v>110707985571483.41</v>
      </c>
      <c r="H1238" s="47">
        <f t="shared" ref="H1238:H1301" ca="1" si="176">CHOOSE(RANDBETWEEN(1,3),E1238,F1238,G1238)</f>
        <v>15546183768657.822</v>
      </c>
      <c r="I1238" s="47">
        <f t="shared" ref="I1238:I1301" ca="1" si="177">EXP(NORMINV(RAND(),$C$14,$D$14))*($C$15+RAND()*($D$15-$C$15))*60</f>
        <v>2569548389488.165</v>
      </c>
      <c r="J1238" s="47">
        <f t="shared" ref="J1238:J1301" ca="1" si="178">($C$17+RAND()*($D$17-$C$17))*($C$18+RAND()*($D$18-$C$18))</f>
        <v>1103983841285.9895</v>
      </c>
      <c r="K1238" s="48">
        <f t="shared" ref="K1238:K1301" ca="1" si="179">I1238/J1238</f>
        <v>2.3275235500684448</v>
      </c>
    </row>
    <row r="1239" spans="2:11" ht="15" customHeight="1" x14ac:dyDescent="0.35">
      <c r="B1239" s="5">
        <v>1218</v>
      </c>
      <c r="C1239" s="46">
        <f t="shared" ca="1" si="171"/>
        <v>2.9688549316037718</v>
      </c>
      <c r="D1239" s="47">
        <f t="shared" ca="1" si="172"/>
        <v>5097081527.6591978</v>
      </c>
      <c r="E1239" s="47">
        <f t="shared" ca="1" si="173"/>
        <v>31020076589672.145</v>
      </c>
      <c r="F1239" s="47">
        <f t="shared" ca="1" si="174"/>
        <v>1218789334104.3506</v>
      </c>
      <c r="G1239" s="47">
        <f t="shared" ca="1" si="175"/>
        <v>25738230302466.629</v>
      </c>
      <c r="H1239" s="47">
        <f t="shared" ca="1" si="176"/>
        <v>1218789334104.3506</v>
      </c>
      <c r="I1239" s="47">
        <f t="shared" ca="1" si="177"/>
        <v>51973487365014.789</v>
      </c>
      <c r="J1239" s="47">
        <f t="shared" ca="1" si="178"/>
        <v>1584035322120.8301</v>
      </c>
      <c r="K1239" s="48">
        <f t="shared" ca="1" si="179"/>
        <v>32.810813394886061</v>
      </c>
    </row>
    <row r="1240" spans="2:11" ht="15" customHeight="1" x14ac:dyDescent="0.35">
      <c r="B1240" s="5">
        <v>1219</v>
      </c>
      <c r="C1240" s="46">
        <f t="shared" ca="1" si="171"/>
        <v>2.7634166659059729</v>
      </c>
      <c r="D1240" s="47">
        <f t="shared" ca="1" si="172"/>
        <v>3180424508.1374168</v>
      </c>
      <c r="E1240" s="47">
        <f t="shared" ca="1" si="173"/>
        <v>3764745050003.8384</v>
      </c>
      <c r="F1240" s="47">
        <f t="shared" ca="1" si="174"/>
        <v>3751259165998.9346</v>
      </c>
      <c r="G1240" s="47">
        <f t="shared" ca="1" si="175"/>
        <v>266587524781.03555</v>
      </c>
      <c r="H1240" s="47">
        <f t="shared" ca="1" si="176"/>
        <v>266587524781.03555</v>
      </c>
      <c r="I1240" s="47">
        <f t="shared" ca="1" si="177"/>
        <v>2527266137155.2813</v>
      </c>
      <c r="J1240" s="47">
        <f t="shared" ca="1" si="178"/>
        <v>802283050338.1615</v>
      </c>
      <c r="K1240" s="48">
        <f t="shared" ca="1" si="179"/>
        <v>3.1500928956308387</v>
      </c>
    </row>
    <row r="1241" spans="2:11" ht="15" customHeight="1" x14ac:dyDescent="0.35">
      <c r="B1241" s="5">
        <v>1220</v>
      </c>
      <c r="C1241" s="46">
        <f t="shared" ca="1" si="171"/>
        <v>3.1906577958222377</v>
      </c>
      <c r="D1241" s="47">
        <f t="shared" ca="1" si="172"/>
        <v>6630337413.0270805</v>
      </c>
      <c r="E1241" s="47">
        <f t="shared" ca="1" si="173"/>
        <v>12573091727087.26</v>
      </c>
      <c r="F1241" s="47">
        <f t="shared" ca="1" si="174"/>
        <v>1107158376945.5303</v>
      </c>
      <c r="G1241" s="47">
        <f t="shared" ca="1" si="175"/>
        <v>4797099725020.127</v>
      </c>
      <c r="H1241" s="47">
        <f t="shared" ca="1" si="176"/>
        <v>1107158376945.5303</v>
      </c>
      <c r="I1241" s="47">
        <f t="shared" ca="1" si="177"/>
        <v>198845235040.47769</v>
      </c>
      <c r="J1241" s="47">
        <f t="shared" ca="1" si="178"/>
        <v>1315727895967.1218</v>
      </c>
      <c r="K1241" s="48">
        <f t="shared" ca="1" si="179"/>
        <v>0.15112945134777819</v>
      </c>
    </row>
    <row r="1242" spans="2:11" ht="15" customHeight="1" x14ac:dyDescent="0.35">
      <c r="B1242" s="5">
        <v>1221</v>
      </c>
      <c r="C1242" s="46">
        <f t="shared" ca="1" si="171"/>
        <v>3.0461362332846371</v>
      </c>
      <c r="D1242" s="47">
        <f t="shared" ca="1" si="172"/>
        <v>6281964503.2135506</v>
      </c>
      <c r="E1242" s="47">
        <f t="shared" ca="1" si="173"/>
        <v>18780971715383.23</v>
      </c>
      <c r="F1242" s="47">
        <f t="shared" ca="1" si="174"/>
        <v>3857667206111.144</v>
      </c>
      <c r="G1242" s="47">
        <f t="shared" ca="1" si="175"/>
        <v>11318541776439.475</v>
      </c>
      <c r="H1242" s="47">
        <f t="shared" ca="1" si="176"/>
        <v>18780971715383.23</v>
      </c>
      <c r="I1242" s="47">
        <f t="shared" ca="1" si="177"/>
        <v>47377170498220.492</v>
      </c>
      <c r="J1242" s="47">
        <f t="shared" ca="1" si="178"/>
        <v>1207114262322.0159</v>
      </c>
      <c r="K1242" s="48">
        <f t="shared" ca="1" si="179"/>
        <v>39.248289890209186</v>
      </c>
    </row>
    <row r="1243" spans="2:11" ht="15" customHeight="1" x14ac:dyDescent="0.35">
      <c r="B1243" s="5">
        <v>1222</v>
      </c>
      <c r="C1243" s="46">
        <f t="shared" ca="1" si="171"/>
        <v>2.7658813692608013</v>
      </c>
      <c r="D1243" s="47">
        <f t="shared" ca="1" si="172"/>
        <v>3352361852.8978291</v>
      </c>
      <c r="E1243" s="47">
        <f t="shared" ca="1" si="173"/>
        <v>9276580727846.3184</v>
      </c>
      <c r="F1243" s="47">
        <f t="shared" ca="1" si="174"/>
        <v>2919204205228.9717</v>
      </c>
      <c r="G1243" s="47">
        <f t="shared" ca="1" si="175"/>
        <v>7030234206004.6045</v>
      </c>
      <c r="H1243" s="47">
        <f t="shared" ca="1" si="176"/>
        <v>9276580727846.3184</v>
      </c>
      <c r="I1243" s="47">
        <f t="shared" ca="1" si="177"/>
        <v>85483195411236.766</v>
      </c>
      <c r="J1243" s="47">
        <f t="shared" ca="1" si="178"/>
        <v>815243146324.55933</v>
      </c>
      <c r="K1243" s="48">
        <f t="shared" ca="1" si="179"/>
        <v>104.85607367155313</v>
      </c>
    </row>
    <row r="1244" spans="2:11" ht="15" customHeight="1" x14ac:dyDescent="0.35">
      <c r="B1244" s="5">
        <v>1223</v>
      </c>
      <c r="C1244" s="46">
        <f t="shared" ca="1" si="171"/>
        <v>2.986398648754613</v>
      </c>
      <c r="D1244" s="47">
        <f t="shared" ca="1" si="172"/>
        <v>5461144719.5019102</v>
      </c>
      <c r="E1244" s="47">
        <f t="shared" ca="1" si="173"/>
        <v>15838721633977.791</v>
      </c>
      <c r="F1244" s="47">
        <f t="shared" ca="1" si="174"/>
        <v>2807373502479.7744</v>
      </c>
      <c r="G1244" s="47">
        <f t="shared" ca="1" si="175"/>
        <v>5538160272959.1641</v>
      </c>
      <c r="H1244" s="47">
        <f t="shared" ca="1" si="176"/>
        <v>15838721633977.791</v>
      </c>
      <c r="I1244" s="47">
        <f t="shared" ca="1" si="177"/>
        <v>5850853314158.3604</v>
      </c>
      <c r="J1244" s="47">
        <f t="shared" ca="1" si="178"/>
        <v>2119149403272.165</v>
      </c>
      <c r="K1244" s="48">
        <f t="shared" ca="1" si="179"/>
        <v>2.760944228436228</v>
      </c>
    </row>
    <row r="1245" spans="2:11" ht="15" customHeight="1" x14ac:dyDescent="0.35">
      <c r="B1245" s="5">
        <v>1224</v>
      </c>
      <c r="C1245" s="46">
        <f t="shared" ca="1" si="171"/>
        <v>2.8957859925477925</v>
      </c>
      <c r="D1245" s="47">
        <f t="shared" ca="1" si="172"/>
        <v>4690268900.1784315</v>
      </c>
      <c r="E1245" s="47">
        <f t="shared" ca="1" si="173"/>
        <v>18909538661935.625</v>
      </c>
      <c r="F1245" s="47">
        <f t="shared" ca="1" si="174"/>
        <v>2787345656355.2407</v>
      </c>
      <c r="G1245" s="47">
        <f t="shared" ca="1" si="175"/>
        <v>18695430787229.129</v>
      </c>
      <c r="H1245" s="47">
        <f t="shared" ca="1" si="176"/>
        <v>18695430787229.129</v>
      </c>
      <c r="I1245" s="47">
        <f t="shared" ca="1" si="177"/>
        <v>5570668401388.293</v>
      </c>
      <c r="J1245" s="47">
        <f t="shared" ca="1" si="178"/>
        <v>665774106986.16077</v>
      </c>
      <c r="K1245" s="48">
        <f t="shared" ca="1" si="179"/>
        <v>8.3672049467434277</v>
      </c>
    </row>
    <row r="1246" spans="2:11" ht="15" customHeight="1" x14ac:dyDescent="0.35">
      <c r="B1246" s="5">
        <v>1225</v>
      </c>
      <c r="C1246" s="46">
        <f t="shared" ca="1" si="171"/>
        <v>3.0306799781336378</v>
      </c>
      <c r="D1246" s="47">
        <f t="shared" ca="1" si="172"/>
        <v>5696980233.1266489</v>
      </c>
      <c r="E1246" s="47">
        <f t="shared" ca="1" si="173"/>
        <v>32409301058676.777</v>
      </c>
      <c r="F1246" s="47">
        <f t="shared" ca="1" si="174"/>
        <v>1361888071743.3877</v>
      </c>
      <c r="G1246" s="47">
        <f t="shared" ca="1" si="175"/>
        <v>421032866308.13708</v>
      </c>
      <c r="H1246" s="47">
        <f t="shared" ca="1" si="176"/>
        <v>32409301058676.777</v>
      </c>
      <c r="I1246" s="47">
        <f t="shared" ca="1" si="177"/>
        <v>3277653283924.2241</v>
      </c>
      <c r="J1246" s="47">
        <f t="shared" ca="1" si="178"/>
        <v>2402181212570.5527</v>
      </c>
      <c r="K1246" s="48">
        <f t="shared" ca="1" si="179"/>
        <v>1.3644488045998979</v>
      </c>
    </row>
    <row r="1247" spans="2:11" ht="15" customHeight="1" x14ac:dyDescent="0.35">
      <c r="B1247" s="5">
        <v>1226</v>
      </c>
      <c r="C1247" s="46">
        <f t="shared" ca="1" si="171"/>
        <v>3.4978195611999485</v>
      </c>
      <c r="D1247" s="47">
        <f t="shared" ca="1" si="172"/>
        <v>10682711216.569153</v>
      </c>
      <c r="E1247" s="47">
        <f t="shared" ca="1" si="173"/>
        <v>37042124756593.594</v>
      </c>
      <c r="F1247" s="47">
        <f t="shared" ca="1" si="174"/>
        <v>2532294589445.2388</v>
      </c>
      <c r="G1247" s="47">
        <f t="shared" ca="1" si="175"/>
        <v>5153662011084.001</v>
      </c>
      <c r="H1247" s="47">
        <f t="shared" ca="1" si="176"/>
        <v>5153662011084.001</v>
      </c>
      <c r="I1247" s="47">
        <f t="shared" ca="1" si="177"/>
        <v>232257757708542.59</v>
      </c>
      <c r="J1247" s="47">
        <f t="shared" ca="1" si="178"/>
        <v>1841985305110.9836</v>
      </c>
      <c r="K1247" s="48">
        <f t="shared" ca="1" si="179"/>
        <v>126.09099381199925</v>
      </c>
    </row>
    <row r="1248" spans="2:11" ht="15" customHeight="1" x14ac:dyDescent="0.35">
      <c r="B1248" s="5">
        <v>1227</v>
      </c>
      <c r="C1248" s="46">
        <f t="shared" ca="1" si="171"/>
        <v>3.2167408150876931</v>
      </c>
      <c r="D1248" s="47">
        <f t="shared" ca="1" si="172"/>
        <v>6459771747.9321012</v>
      </c>
      <c r="E1248" s="47">
        <f t="shared" ca="1" si="173"/>
        <v>14469319620467.291</v>
      </c>
      <c r="F1248" s="47">
        <f t="shared" ca="1" si="174"/>
        <v>5612411047596.5664</v>
      </c>
      <c r="G1248" s="47">
        <f t="shared" ca="1" si="175"/>
        <v>6221462057683.9287</v>
      </c>
      <c r="H1248" s="47">
        <f t="shared" ca="1" si="176"/>
        <v>5612411047596.5664</v>
      </c>
      <c r="I1248" s="47">
        <f t="shared" ca="1" si="177"/>
        <v>34387276477123.871</v>
      </c>
      <c r="J1248" s="47">
        <f t="shared" ca="1" si="178"/>
        <v>2103685743621.9192</v>
      </c>
      <c r="K1248" s="48">
        <f t="shared" ca="1" si="179"/>
        <v>16.346204076051418</v>
      </c>
    </row>
    <row r="1249" spans="2:11" ht="15" customHeight="1" x14ac:dyDescent="0.35">
      <c r="B1249" s="5">
        <v>1228</v>
      </c>
      <c r="C1249" s="46">
        <f t="shared" ca="1" si="171"/>
        <v>3.6067436306740133</v>
      </c>
      <c r="D1249" s="47">
        <f t="shared" ca="1" si="172"/>
        <v>10223917658.967806</v>
      </c>
      <c r="E1249" s="47">
        <f t="shared" ca="1" si="173"/>
        <v>16493967087877.949</v>
      </c>
      <c r="F1249" s="47">
        <f t="shared" ca="1" si="174"/>
        <v>1239569086261.7236</v>
      </c>
      <c r="G1249" s="47">
        <f t="shared" ca="1" si="175"/>
        <v>2521862318474.7686</v>
      </c>
      <c r="H1249" s="47">
        <f t="shared" ca="1" si="176"/>
        <v>2521862318474.7686</v>
      </c>
      <c r="I1249" s="47">
        <f t="shared" ca="1" si="177"/>
        <v>116066664260534.23</v>
      </c>
      <c r="J1249" s="47">
        <f t="shared" ca="1" si="178"/>
        <v>2030000599307.4131</v>
      </c>
      <c r="K1249" s="48">
        <f t="shared" ca="1" si="179"/>
        <v>57.175679800357379</v>
      </c>
    </row>
    <row r="1250" spans="2:11" ht="15" customHeight="1" x14ac:dyDescent="0.35">
      <c r="B1250" s="5">
        <v>1229</v>
      </c>
      <c r="C1250" s="46">
        <f t="shared" ca="1" si="171"/>
        <v>3.7418147989903119</v>
      </c>
      <c r="D1250" s="47">
        <f t="shared" ca="1" si="172"/>
        <v>15184782715.111185</v>
      </c>
      <c r="E1250" s="47">
        <f t="shared" ca="1" si="173"/>
        <v>113233175179716.19</v>
      </c>
      <c r="F1250" s="47">
        <f t="shared" ca="1" si="174"/>
        <v>1520732744920.0623</v>
      </c>
      <c r="G1250" s="47">
        <f t="shared" ca="1" si="175"/>
        <v>22670125134517.539</v>
      </c>
      <c r="H1250" s="47">
        <f t="shared" ca="1" si="176"/>
        <v>22670125134517.539</v>
      </c>
      <c r="I1250" s="47">
        <f t="shared" ca="1" si="177"/>
        <v>817157993631.7926</v>
      </c>
      <c r="J1250" s="47">
        <f t="shared" ca="1" si="178"/>
        <v>1381063214677.2573</v>
      </c>
      <c r="K1250" s="48">
        <f t="shared" ca="1" si="179"/>
        <v>0.59168761063754449</v>
      </c>
    </row>
    <row r="1251" spans="2:11" ht="15" customHeight="1" x14ac:dyDescent="0.35">
      <c r="B1251" s="5">
        <v>1230</v>
      </c>
      <c r="C1251" s="46">
        <f t="shared" ca="1" si="171"/>
        <v>3.3936107684942312</v>
      </c>
      <c r="D1251" s="47">
        <f t="shared" ca="1" si="172"/>
        <v>7897371242.4555922</v>
      </c>
      <c r="E1251" s="47">
        <f t="shared" ca="1" si="173"/>
        <v>17300590012411.809</v>
      </c>
      <c r="F1251" s="47">
        <f t="shared" ca="1" si="174"/>
        <v>17874841713963.035</v>
      </c>
      <c r="G1251" s="47">
        <f t="shared" ca="1" si="175"/>
        <v>38835055043793.055</v>
      </c>
      <c r="H1251" s="47">
        <f t="shared" ca="1" si="176"/>
        <v>17300590012411.809</v>
      </c>
      <c r="I1251" s="47">
        <f t="shared" ca="1" si="177"/>
        <v>8915335721809.502</v>
      </c>
      <c r="J1251" s="47">
        <f t="shared" ca="1" si="178"/>
        <v>1633131381810.6665</v>
      </c>
      <c r="K1251" s="48">
        <f t="shared" ca="1" si="179"/>
        <v>5.4590437861312751</v>
      </c>
    </row>
    <row r="1252" spans="2:11" ht="15" customHeight="1" x14ac:dyDescent="0.35">
      <c r="B1252" s="5">
        <v>1231</v>
      </c>
      <c r="C1252" s="46">
        <f t="shared" ca="1" si="171"/>
        <v>3.8846253602387995</v>
      </c>
      <c r="D1252" s="47">
        <f t="shared" ca="1" si="172"/>
        <v>15995234172.852234</v>
      </c>
      <c r="E1252" s="47">
        <f t="shared" ca="1" si="173"/>
        <v>40010894826431.727</v>
      </c>
      <c r="F1252" s="47">
        <f t="shared" ca="1" si="174"/>
        <v>12566103800935.436</v>
      </c>
      <c r="G1252" s="47">
        <f t="shared" ca="1" si="175"/>
        <v>5569920248768.5742</v>
      </c>
      <c r="H1252" s="47">
        <f t="shared" ca="1" si="176"/>
        <v>40010894826431.727</v>
      </c>
      <c r="I1252" s="47">
        <f t="shared" ca="1" si="177"/>
        <v>4284914528593.0391</v>
      </c>
      <c r="J1252" s="47">
        <f t="shared" ca="1" si="178"/>
        <v>472142421825.18799</v>
      </c>
      <c r="K1252" s="48">
        <f t="shared" ca="1" si="179"/>
        <v>9.0754703041268776</v>
      </c>
    </row>
    <row r="1253" spans="2:11" ht="15" customHeight="1" x14ac:dyDescent="0.35">
      <c r="B1253" s="5">
        <v>1232</v>
      </c>
      <c r="C1253" s="46">
        <f t="shared" ca="1" si="171"/>
        <v>2.7524727425539695</v>
      </c>
      <c r="D1253" s="47">
        <f t="shared" ca="1" si="172"/>
        <v>3036745974.6781321</v>
      </c>
      <c r="E1253" s="47">
        <f t="shared" ca="1" si="173"/>
        <v>17990942875008.563</v>
      </c>
      <c r="F1253" s="47">
        <f t="shared" ca="1" si="174"/>
        <v>2166813608459.1426</v>
      </c>
      <c r="G1253" s="47">
        <f t="shared" ca="1" si="175"/>
        <v>30179305871216.906</v>
      </c>
      <c r="H1253" s="47">
        <f t="shared" ca="1" si="176"/>
        <v>30179305871216.906</v>
      </c>
      <c r="I1253" s="47">
        <f t="shared" ca="1" si="177"/>
        <v>30886683498532.648</v>
      </c>
      <c r="J1253" s="47">
        <f t="shared" ca="1" si="178"/>
        <v>1396996260218.1763</v>
      </c>
      <c r="K1253" s="48">
        <f t="shared" ca="1" si="179"/>
        <v>22.10935302984198</v>
      </c>
    </row>
    <row r="1254" spans="2:11" ht="15" customHeight="1" x14ac:dyDescent="0.35">
      <c r="B1254" s="5">
        <v>1233</v>
      </c>
      <c r="C1254" s="46">
        <f t="shared" ca="1" si="171"/>
        <v>3.183150349054809</v>
      </c>
      <c r="D1254" s="47">
        <f t="shared" ca="1" si="172"/>
        <v>7230886799.7192268</v>
      </c>
      <c r="E1254" s="47">
        <f t="shared" ca="1" si="173"/>
        <v>29528484023178.418</v>
      </c>
      <c r="F1254" s="47">
        <f t="shared" ca="1" si="174"/>
        <v>1421901374981.1689</v>
      </c>
      <c r="G1254" s="47">
        <f t="shared" ca="1" si="175"/>
        <v>7892496833211.6455</v>
      </c>
      <c r="H1254" s="47">
        <f t="shared" ca="1" si="176"/>
        <v>29528484023178.418</v>
      </c>
      <c r="I1254" s="47">
        <f t="shared" ca="1" si="177"/>
        <v>8711039147800.6895</v>
      </c>
      <c r="J1254" s="47">
        <f t="shared" ca="1" si="178"/>
        <v>828245369453.02441</v>
      </c>
      <c r="K1254" s="48">
        <f t="shared" ca="1" si="179"/>
        <v>10.517461937099007</v>
      </c>
    </row>
    <row r="1255" spans="2:11" ht="15" customHeight="1" x14ac:dyDescent="0.35">
      <c r="B1255" s="5">
        <v>1234</v>
      </c>
      <c r="C1255" s="46">
        <f t="shared" ca="1" si="171"/>
        <v>2.8913003529827086</v>
      </c>
      <c r="D1255" s="47">
        <f t="shared" ca="1" si="172"/>
        <v>3957709333.2869539</v>
      </c>
      <c r="E1255" s="47">
        <f t="shared" ca="1" si="173"/>
        <v>21632483986329.137</v>
      </c>
      <c r="F1255" s="47">
        <f t="shared" ca="1" si="174"/>
        <v>2022529295327.0198</v>
      </c>
      <c r="G1255" s="47">
        <f t="shared" ca="1" si="175"/>
        <v>3169374523829.6274</v>
      </c>
      <c r="H1255" s="47">
        <f t="shared" ca="1" si="176"/>
        <v>21632483986329.137</v>
      </c>
      <c r="I1255" s="47">
        <f t="shared" ca="1" si="177"/>
        <v>802887574791.22839</v>
      </c>
      <c r="J1255" s="47">
        <f t="shared" ca="1" si="178"/>
        <v>1454897150040.7012</v>
      </c>
      <c r="K1255" s="48">
        <f t="shared" ca="1" si="179"/>
        <v>0.55185177506792649</v>
      </c>
    </row>
    <row r="1256" spans="2:11" ht="15" customHeight="1" x14ac:dyDescent="0.35">
      <c r="B1256" s="5">
        <v>1235</v>
      </c>
      <c r="C1256" s="46">
        <f t="shared" ca="1" si="171"/>
        <v>3.2683310945997008</v>
      </c>
      <c r="D1256" s="47">
        <f t="shared" ca="1" si="172"/>
        <v>8706721975.9513321</v>
      </c>
      <c r="E1256" s="47">
        <f t="shared" ca="1" si="173"/>
        <v>19576954398640.277</v>
      </c>
      <c r="F1256" s="47">
        <f t="shared" ca="1" si="174"/>
        <v>3898110242262.3521</v>
      </c>
      <c r="G1256" s="47">
        <f t="shared" ca="1" si="175"/>
        <v>2640625150154.313</v>
      </c>
      <c r="H1256" s="47">
        <f t="shared" ca="1" si="176"/>
        <v>19576954398640.277</v>
      </c>
      <c r="I1256" s="47">
        <f t="shared" ca="1" si="177"/>
        <v>20054336343121.215</v>
      </c>
      <c r="J1256" s="47">
        <f t="shared" ca="1" si="178"/>
        <v>1266235638898.1694</v>
      </c>
      <c r="K1256" s="48">
        <f t="shared" ca="1" si="179"/>
        <v>15.837760150687073</v>
      </c>
    </row>
    <row r="1257" spans="2:11" ht="15" customHeight="1" x14ac:dyDescent="0.35">
      <c r="B1257" s="5">
        <v>1236</v>
      </c>
      <c r="C1257" s="46">
        <f t="shared" ca="1" si="171"/>
        <v>2.7115398985697921</v>
      </c>
      <c r="D1257" s="47">
        <f t="shared" ca="1" si="172"/>
        <v>2484050622.8961625</v>
      </c>
      <c r="E1257" s="47">
        <f t="shared" ca="1" si="173"/>
        <v>16206779002632.891</v>
      </c>
      <c r="F1257" s="47">
        <f t="shared" ca="1" si="174"/>
        <v>907152642162.7179</v>
      </c>
      <c r="G1257" s="47">
        <f t="shared" ca="1" si="175"/>
        <v>13284230406569.779</v>
      </c>
      <c r="H1257" s="47">
        <f t="shared" ca="1" si="176"/>
        <v>13284230406569.779</v>
      </c>
      <c r="I1257" s="47">
        <f t="shared" ca="1" si="177"/>
        <v>7233042451777.2383</v>
      </c>
      <c r="J1257" s="47">
        <f t="shared" ca="1" si="178"/>
        <v>1512627813358.3892</v>
      </c>
      <c r="K1257" s="48">
        <f t="shared" ca="1" si="179"/>
        <v>4.7817727453511409</v>
      </c>
    </row>
    <row r="1258" spans="2:11" ht="15" customHeight="1" x14ac:dyDescent="0.35">
      <c r="B1258" s="5">
        <v>1237</v>
      </c>
      <c r="C1258" s="46">
        <f t="shared" ca="1" si="171"/>
        <v>3.637914865005436</v>
      </c>
      <c r="D1258" s="47">
        <f t="shared" ca="1" si="172"/>
        <v>10628373539.793488</v>
      </c>
      <c r="E1258" s="47">
        <f t="shared" ca="1" si="173"/>
        <v>71838159325079.313</v>
      </c>
      <c r="F1258" s="47">
        <f t="shared" ca="1" si="174"/>
        <v>1066154697609.9464</v>
      </c>
      <c r="G1258" s="47">
        <f t="shared" ca="1" si="175"/>
        <v>130683432091980.95</v>
      </c>
      <c r="H1258" s="47">
        <f t="shared" ca="1" si="176"/>
        <v>71838159325079.313</v>
      </c>
      <c r="I1258" s="47">
        <f t="shared" ca="1" si="177"/>
        <v>6624281710019.7246</v>
      </c>
      <c r="J1258" s="47">
        <f t="shared" ca="1" si="178"/>
        <v>755039124332.62598</v>
      </c>
      <c r="K1258" s="48">
        <f t="shared" ca="1" si="179"/>
        <v>8.7734284178649453</v>
      </c>
    </row>
    <row r="1259" spans="2:11" ht="15" customHeight="1" x14ac:dyDescent="0.35">
      <c r="B1259" s="5">
        <v>1238</v>
      </c>
      <c r="C1259" s="46">
        <f t="shared" ca="1" si="171"/>
        <v>2.9380174729153783</v>
      </c>
      <c r="D1259" s="47">
        <f t="shared" ca="1" si="172"/>
        <v>3876931148.2127771</v>
      </c>
      <c r="E1259" s="47">
        <f t="shared" ca="1" si="173"/>
        <v>21167364552987.27</v>
      </c>
      <c r="F1259" s="47">
        <f t="shared" ca="1" si="174"/>
        <v>1833001712988.9556</v>
      </c>
      <c r="G1259" s="47">
        <f t="shared" ca="1" si="175"/>
        <v>7744948585037.5459</v>
      </c>
      <c r="H1259" s="47">
        <f t="shared" ca="1" si="176"/>
        <v>1833001712988.9556</v>
      </c>
      <c r="I1259" s="47">
        <f t="shared" ca="1" si="177"/>
        <v>13330652814598.961</v>
      </c>
      <c r="J1259" s="47">
        <f t="shared" ca="1" si="178"/>
        <v>2205776567537.0444</v>
      </c>
      <c r="K1259" s="48">
        <f t="shared" ca="1" si="179"/>
        <v>6.043519099254862</v>
      </c>
    </row>
    <row r="1260" spans="2:11" ht="15" customHeight="1" x14ac:dyDescent="0.35">
      <c r="B1260" s="5">
        <v>1239</v>
      </c>
      <c r="C1260" s="46">
        <f t="shared" ca="1" si="171"/>
        <v>2.8257808689721218</v>
      </c>
      <c r="D1260" s="47">
        <f t="shared" ca="1" si="172"/>
        <v>3579142344.5956192</v>
      </c>
      <c r="E1260" s="47">
        <f t="shared" ca="1" si="173"/>
        <v>9615899271870.5918</v>
      </c>
      <c r="F1260" s="47">
        <f t="shared" ca="1" si="174"/>
        <v>5958956909258.998</v>
      </c>
      <c r="G1260" s="47">
        <f t="shared" ca="1" si="175"/>
        <v>20446918428966.746</v>
      </c>
      <c r="H1260" s="47">
        <f t="shared" ca="1" si="176"/>
        <v>9615899271870.5918</v>
      </c>
      <c r="I1260" s="47">
        <f t="shared" ca="1" si="177"/>
        <v>21654878805268.145</v>
      </c>
      <c r="J1260" s="47">
        <f t="shared" ca="1" si="178"/>
        <v>1679651500289.9617</v>
      </c>
      <c r="K1260" s="48">
        <f t="shared" ca="1" si="179"/>
        <v>12.892483233295609</v>
      </c>
    </row>
    <row r="1261" spans="2:11" ht="15" customHeight="1" x14ac:dyDescent="0.35">
      <c r="B1261" s="5">
        <v>1240</v>
      </c>
      <c r="C1261" s="46">
        <f t="shared" ca="1" si="171"/>
        <v>2.9406302782034368</v>
      </c>
      <c r="D1261" s="47">
        <f t="shared" ca="1" si="172"/>
        <v>4126282119.3430963</v>
      </c>
      <c r="E1261" s="47">
        <f t="shared" ca="1" si="173"/>
        <v>9223318972164.0098</v>
      </c>
      <c r="F1261" s="47">
        <f t="shared" ca="1" si="174"/>
        <v>15827842446130.502</v>
      </c>
      <c r="G1261" s="47">
        <f t="shared" ca="1" si="175"/>
        <v>2241679306662.9663</v>
      </c>
      <c r="H1261" s="47">
        <f t="shared" ca="1" si="176"/>
        <v>15827842446130.502</v>
      </c>
      <c r="I1261" s="47">
        <f t="shared" ca="1" si="177"/>
        <v>310678704577674.44</v>
      </c>
      <c r="J1261" s="47">
        <f t="shared" ca="1" si="178"/>
        <v>1029614784084.2792</v>
      </c>
      <c r="K1261" s="48">
        <f t="shared" ca="1" si="179"/>
        <v>301.7426608282305</v>
      </c>
    </row>
    <row r="1262" spans="2:11" ht="15" customHeight="1" x14ac:dyDescent="0.35">
      <c r="B1262" s="5">
        <v>1241</v>
      </c>
      <c r="C1262" s="46">
        <f t="shared" ca="1" si="171"/>
        <v>3.058360142898696</v>
      </c>
      <c r="D1262" s="47">
        <f t="shared" ca="1" si="172"/>
        <v>5497571788.6140671</v>
      </c>
      <c r="E1262" s="47">
        <f t="shared" ca="1" si="173"/>
        <v>10285033371173.133</v>
      </c>
      <c r="F1262" s="47">
        <f t="shared" ca="1" si="174"/>
        <v>1757536234168.782</v>
      </c>
      <c r="G1262" s="47">
        <f t="shared" ca="1" si="175"/>
        <v>4881236623025.1689</v>
      </c>
      <c r="H1262" s="47">
        <f t="shared" ca="1" si="176"/>
        <v>10285033371173.133</v>
      </c>
      <c r="I1262" s="47">
        <f t="shared" ca="1" si="177"/>
        <v>38659699652846.484</v>
      </c>
      <c r="J1262" s="47">
        <f t="shared" ca="1" si="178"/>
        <v>1823026866484.4045</v>
      </c>
      <c r="K1262" s="48">
        <f t="shared" ca="1" si="179"/>
        <v>21.206324691966469</v>
      </c>
    </row>
    <row r="1263" spans="2:11" ht="15" customHeight="1" x14ac:dyDescent="0.35">
      <c r="B1263" s="5">
        <v>1242</v>
      </c>
      <c r="C1263" s="46">
        <f t="shared" ca="1" si="171"/>
        <v>2.9868907440509558</v>
      </c>
      <c r="D1263" s="47">
        <f t="shared" ca="1" si="172"/>
        <v>4017975474.3688664</v>
      </c>
      <c r="E1263" s="47">
        <f t="shared" ca="1" si="173"/>
        <v>14534938248192.045</v>
      </c>
      <c r="F1263" s="47">
        <f t="shared" ca="1" si="174"/>
        <v>1335747924126.0728</v>
      </c>
      <c r="G1263" s="47">
        <f t="shared" ca="1" si="175"/>
        <v>7170447380932.123</v>
      </c>
      <c r="H1263" s="47">
        <f t="shared" ca="1" si="176"/>
        <v>7170447380932.123</v>
      </c>
      <c r="I1263" s="47">
        <f t="shared" ca="1" si="177"/>
        <v>12239727856144.016</v>
      </c>
      <c r="J1263" s="47">
        <f t="shared" ca="1" si="178"/>
        <v>1231001039303.0466</v>
      </c>
      <c r="K1263" s="48">
        <f t="shared" ca="1" si="179"/>
        <v>9.9429061920806809</v>
      </c>
    </row>
    <row r="1264" spans="2:11" ht="15" customHeight="1" x14ac:dyDescent="0.35">
      <c r="B1264" s="5">
        <v>1243</v>
      </c>
      <c r="C1264" s="46">
        <f t="shared" ca="1" si="171"/>
        <v>3.0825343508135665</v>
      </c>
      <c r="D1264" s="47">
        <f t="shared" ca="1" si="172"/>
        <v>6552027976.4819279</v>
      </c>
      <c r="E1264" s="47">
        <f t="shared" ca="1" si="173"/>
        <v>91543893687079.375</v>
      </c>
      <c r="F1264" s="47">
        <f t="shared" ca="1" si="174"/>
        <v>1642722974604.9128</v>
      </c>
      <c r="G1264" s="47">
        <f t="shared" ca="1" si="175"/>
        <v>14828191681146.193</v>
      </c>
      <c r="H1264" s="47">
        <f t="shared" ca="1" si="176"/>
        <v>91543893687079.375</v>
      </c>
      <c r="I1264" s="47">
        <f t="shared" ca="1" si="177"/>
        <v>1688090369323.262</v>
      </c>
      <c r="J1264" s="47">
        <f t="shared" ca="1" si="178"/>
        <v>1941644806257.4102</v>
      </c>
      <c r="K1264" s="48">
        <f t="shared" ca="1" si="179"/>
        <v>0.86941255366738091</v>
      </c>
    </row>
    <row r="1265" spans="2:11" ht="15" customHeight="1" x14ac:dyDescent="0.35">
      <c r="B1265" s="5">
        <v>1244</v>
      </c>
      <c r="C1265" s="46">
        <f t="shared" ca="1" si="171"/>
        <v>3.334405351492002</v>
      </c>
      <c r="D1265" s="47">
        <f t="shared" ca="1" si="172"/>
        <v>6859468481.1809902</v>
      </c>
      <c r="E1265" s="47">
        <f t="shared" ca="1" si="173"/>
        <v>7109847412463.7285</v>
      </c>
      <c r="F1265" s="47">
        <f t="shared" ca="1" si="174"/>
        <v>4632759253157.2383</v>
      </c>
      <c r="G1265" s="47">
        <f t="shared" ca="1" si="175"/>
        <v>1139460923818.7852</v>
      </c>
      <c r="H1265" s="47">
        <f t="shared" ca="1" si="176"/>
        <v>4632759253157.2383</v>
      </c>
      <c r="I1265" s="47">
        <f t="shared" ca="1" si="177"/>
        <v>9045981353442.3105</v>
      </c>
      <c r="J1265" s="47">
        <f t="shared" ca="1" si="178"/>
        <v>1743287924433.9492</v>
      </c>
      <c r="K1265" s="48">
        <f t="shared" ca="1" si="179"/>
        <v>5.1890345975863781</v>
      </c>
    </row>
    <row r="1266" spans="2:11" ht="15" customHeight="1" x14ac:dyDescent="0.35">
      <c r="B1266" s="5">
        <v>1245</v>
      </c>
      <c r="C1266" s="46">
        <f t="shared" ca="1" si="171"/>
        <v>3.1347021972624942</v>
      </c>
      <c r="D1266" s="47">
        <f t="shared" ca="1" si="172"/>
        <v>6970378178.6330366</v>
      </c>
      <c r="E1266" s="47">
        <f t="shared" ca="1" si="173"/>
        <v>66637266534366.75</v>
      </c>
      <c r="F1266" s="47">
        <f t="shared" ca="1" si="174"/>
        <v>17066450953111.336</v>
      </c>
      <c r="G1266" s="47">
        <f t="shared" ca="1" si="175"/>
        <v>3597491920684.1196</v>
      </c>
      <c r="H1266" s="47">
        <f t="shared" ca="1" si="176"/>
        <v>3597491920684.1196</v>
      </c>
      <c r="I1266" s="47">
        <f t="shared" ca="1" si="177"/>
        <v>1002025784228.1703</v>
      </c>
      <c r="J1266" s="47">
        <f t="shared" ca="1" si="178"/>
        <v>1218043724356.5693</v>
      </c>
      <c r="K1266" s="48">
        <f t="shared" ca="1" si="179"/>
        <v>0.82265173588697704</v>
      </c>
    </row>
    <row r="1267" spans="2:11" ht="15" customHeight="1" x14ac:dyDescent="0.35">
      <c r="B1267" s="5">
        <v>1246</v>
      </c>
      <c r="C1267" s="46">
        <f t="shared" ca="1" si="171"/>
        <v>2.3685354622643233</v>
      </c>
      <c r="D1267" s="47">
        <f t="shared" ca="1" si="172"/>
        <v>1255093140.5299075</v>
      </c>
      <c r="E1267" s="47">
        <f t="shared" ca="1" si="173"/>
        <v>19586259548837.617</v>
      </c>
      <c r="F1267" s="47">
        <f t="shared" ca="1" si="174"/>
        <v>6863120167922.002</v>
      </c>
      <c r="G1267" s="47">
        <f t="shared" ca="1" si="175"/>
        <v>1776993685210.7346</v>
      </c>
      <c r="H1267" s="47">
        <f t="shared" ca="1" si="176"/>
        <v>19586259548837.617</v>
      </c>
      <c r="I1267" s="47">
        <f t="shared" ca="1" si="177"/>
        <v>2721820986169.8086</v>
      </c>
      <c r="J1267" s="47">
        <f t="shared" ca="1" si="178"/>
        <v>1841384003928.2148</v>
      </c>
      <c r="K1267" s="48">
        <f t="shared" ca="1" si="179"/>
        <v>1.4781387154245731</v>
      </c>
    </row>
    <row r="1268" spans="2:11" ht="15" customHeight="1" x14ac:dyDescent="0.35">
      <c r="B1268" s="5">
        <v>1247</v>
      </c>
      <c r="C1268" s="46">
        <f t="shared" ca="1" si="171"/>
        <v>2.9688739760724983</v>
      </c>
      <c r="D1268" s="47">
        <f t="shared" ca="1" si="172"/>
        <v>5109718720.7926083</v>
      </c>
      <c r="E1268" s="47">
        <f t="shared" ca="1" si="173"/>
        <v>29455775236765.258</v>
      </c>
      <c r="F1268" s="47">
        <f t="shared" ca="1" si="174"/>
        <v>2330495886170.5112</v>
      </c>
      <c r="G1268" s="47">
        <f t="shared" ca="1" si="175"/>
        <v>9147997609528.584</v>
      </c>
      <c r="H1268" s="47">
        <f t="shared" ca="1" si="176"/>
        <v>29455775236765.258</v>
      </c>
      <c r="I1268" s="47">
        <f t="shared" ca="1" si="177"/>
        <v>17763963343455.512</v>
      </c>
      <c r="J1268" s="47">
        <f t="shared" ca="1" si="178"/>
        <v>1002895755673.9789</v>
      </c>
      <c r="K1268" s="48">
        <f t="shared" ca="1" si="179"/>
        <v>17.712671773665594</v>
      </c>
    </row>
    <row r="1269" spans="2:11" ht="15" customHeight="1" x14ac:dyDescent="0.35">
      <c r="B1269" s="5">
        <v>1248</v>
      </c>
      <c r="C1269" s="46">
        <f t="shared" ca="1" si="171"/>
        <v>2.7204546577217923</v>
      </c>
      <c r="D1269" s="47">
        <f t="shared" ca="1" si="172"/>
        <v>3196685621.2461753</v>
      </c>
      <c r="E1269" s="47">
        <f t="shared" ca="1" si="173"/>
        <v>12023076638028.516</v>
      </c>
      <c r="F1269" s="47">
        <f t="shared" ca="1" si="174"/>
        <v>8945664114330.5527</v>
      </c>
      <c r="G1269" s="47">
        <f t="shared" ca="1" si="175"/>
        <v>1653953496558.99</v>
      </c>
      <c r="H1269" s="47">
        <f t="shared" ca="1" si="176"/>
        <v>1653953496558.99</v>
      </c>
      <c r="I1269" s="47">
        <f t="shared" ca="1" si="177"/>
        <v>14162466065128.656</v>
      </c>
      <c r="J1269" s="47">
        <f t="shared" ca="1" si="178"/>
        <v>899189333753.91479</v>
      </c>
      <c r="K1269" s="48">
        <f t="shared" ca="1" si="179"/>
        <v>15.750260299467211</v>
      </c>
    </row>
    <row r="1270" spans="2:11" ht="15" customHeight="1" x14ac:dyDescent="0.35">
      <c r="B1270" s="5">
        <v>1249</v>
      </c>
      <c r="C1270" s="46">
        <f t="shared" ca="1" si="171"/>
        <v>3.0219007042774519</v>
      </c>
      <c r="D1270" s="47">
        <f t="shared" ca="1" si="172"/>
        <v>4155610388.7299714</v>
      </c>
      <c r="E1270" s="47">
        <f t="shared" ca="1" si="173"/>
        <v>3782601068685.2651</v>
      </c>
      <c r="F1270" s="47">
        <f t="shared" ca="1" si="174"/>
        <v>727484143007.64417</v>
      </c>
      <c r="G1270" s="47">
        <f t="shared" ca="1" si="175"/>
        <v>37827619457864.898</v>
      </c>
      <c r="H1270" s="47">
        <f t="shared" ca="1" si="176"/>
        <v>727484143007.64417</v>
      </c>
      <c r="I1270" s="47">
        <f t="shared" ca="1" si="177"/>
        <v>5895028033563.2842</v>
      </c>
      <c r="J1270" s="47">
        <f t="shared" ca="1" si="178"/>
        <v>1231697849220.7344</v>
      </c>
      <c r="K1270" s="48">
        <f t="shared" ca="1" si="179"/>
        <v>4.7860991535326027</v>
      </c>
    </row>
    <row r="1271" spans="2:11" ht="15" customHeight="1" x14ac:dyDescent="0.35">
      <c r="B1271" s="5">
        <v>1250</v>
      </c>
      <c r="C1271" s="46">
        <f t="shared" ca="1" si="171"/>
        <v>2.2905815522373687</v>
      </c>
      <c r="D1271" s="47">
        <f t="shared" ca="1" si="172"/>
        <v>1204938835.6359711</v>
      </c>
      <c r="E1271" s="47">
        <f t="shared" ca="1" si="173"/>
        <v>1589504287136.0989</v>
      </c>
      <c r="F1271" s="47">
        <f t="shared" ca="1" si="174"/>
        <v>5903997061470.1943</v>
      </c>
      <c r="G1271" s="47">
        <f t="shared" ca="1" si="175"/>
        <v>2389092744465.1616</v>
      </c>
      <c r="H1271" s="47">
        <f t="shared" ca="1" si="176"/>
        <v>1589504287136.0989</v>
      </c>
      <c r="I1271" s="47">
        <f t="shared" ca="1" si="177"/>
        <v>6611201945761.4883</v>
      </c>
      <c r="J1271" s="47">
        <f t="shared" ca="1" si="178"/>
        <v>1502586780675.1277</v>
      </c>
      <c r="K1271" s="48">
        <f t="shared" ca="1" si="179"/>
        <v>4.3998802803196551</v>
      </c>
    </row>
    <row r="1272" spans="2:11" ht="15" customHeight="1" x14ac:dyDescent="0.35">
      <c r="B1272" s="5">
        <v>1251</v>
      </c>
      <c r="C1272" s="46">
        <f t="shared" ca="1" si="171"/>
        <v>3.1944155981389168</v>
      </c>
      <c r="D1272" s="47">
        <f t="shared" ca="1" si="172"/>
        <v>6384211946.1950512</v>
      </c>
      <c r="E1272" s="47">
        <f t="shared" ca="1" si="173"/>
        <v>44902848490786.328</v>
      </c>
      <c r="F1272" s="47">
        <f t="shared" ca="1" si="174"/>
        <v>3162361784298.4736</v>
      </c>
      <c r="G1272" s="47">
        <f t="shared" ca="1" si="175"/>
        <v>5122972218557.5439</v>
      </c>
      <c r="H1272" s="47">
        <f t="shared" ca="1" si="176"/>
        <v>5122972218557.5439</v>
      </c>
      <c r="I1272" s="47">
        <f t="shared" ca="1" si="177"/>
        <v>20474631678127.602</v>
      </c>
      <c r="J1272" s="47">
        <f t="shared" ca="1" si="178"/>
        <v>804782073865.13855</v>
      </c>
      <c r="K1272" s="48">
        <f t="shared" ca="1" si="179"/>
        <v>25.441212401506149</v>
      </c>
    </row>
    <row r="1273" spans="2:11" ht="15" customHeight="1" x14ac:dyDescent="0.35">
      <c r="B1273" s="5">
        <v>1252</v>
      </c>
      <c r="C1273" s="46">
        <f t="shared" ca="1" si="171"/>
        <v>3.8576950045401932</v>
      </c>
      <c r="D1273" s="47">
        <f t="shared" ca="1" si="172"/>
        <v>13699962302.757984</v>
      </c>
      <c r="E1273" s="47">
        <f t="shared" ca="1" si="173"/>
        <v>24332631997012.426</v>
      </c>
      <c r="F1273" s="47">
        <f t="shared" ca="1" si="174"/>
        <v>812866335812.19958</v>
      </c>
      <c r="G1273" s="47">
        <f t="shared" ca="1" si="175"/>
        <v>1811962107371.8484</v>
      </c>
      <c r="H1273" s="47">
        <f t="shared" ca="1" si="176"/>
        <v>1811962107371.8484</v>
      </c>
      <c r="I1273" s="47">
        <f t="shared" ca="1" si="177"/>
        <v>11999864458602.045</v>
      </c>
      <c r="J1273" s="47">
        <f t="shared" ca="1" si="178"/>
        <v>624058706296.27588</v>
      </c>
      <c r="K1273" s="48">
        <f t="shared" ca="1" si="179"/>
        <v>19.228742965257233</v>
      </c>
    </row>
    <row r="1274" spans="2:11" ht="15" customHeight="1" x14ac:dyDescent="0.35">
      <c r="B1274" s="5">
        <v>1253</v>
      </c>
      <c r="C1274" s="46">
        <f t="shared" ca="1" si="171"/>
        <v>3.0555330657222042</v>
      </c>
      <c r="D1274" s="47">
        <f t="shared" ca="1" si="172"/>
        <v>5298789484.3671417</v>
      </c>
      <c r="E1274" s="47">
        <f t="shared" ca="1" si="173"/>
        <v>125132870576200.27</v>
      </c>
      <c r="F1274" s="47">
        <f t="shared" ca="1" si="174"/>
        <v>829954284708.78174</v>
      </c>
      <c r="G1274" s="47">
        <f t="shared" ca="1" si="175"/>
        <v>3199490550582.1821</v>
      </c>
      <c r="H1274" s="47">
        <f t="shared" ca="1" si="176"/>
        <v>3199490550582.1821</v>
      </c>
      <c r="I1274" s="47">
        <f t="shared" ca="1" si="177"/>
        <v>2085237032376.5039</v>
      </c>
      <c r="J1274" s="47">
        <f t="shared" ca="1" si="178"/>
        <v>2103875654628.2717</v>
      </c>
      <c r="K1274" s="48">
        <f t="shared" ca="1" si="179"/>
        <v>0.99114081566048584</v>
      </c>
    </row>
    <row r="1275" spans="2:11" ht="15" customHeight="1" x14ac:dyDescent="0.35">
      <c r="B1275" s="5">
        <v>1254</v>
      </c>
      <c r="C1275" s="46">
        <f t="shared" ca="1" si="171"/>
        <v>3.6671845857795131</v>
      </c>
      <c r="D1275" s="47">
        <f t="shared" ca="1" si="172"/>
        <v>13903318172.360638</v>
      </c>
      <c r="E1275" s="47">
        <f t="shared" ca="1" si="173"/>
        <v>31661543852690.766</v>
      </c>
      <c r="F1275" s="47">
        <f t="shared" ca="1" si="174"/>
        <v>288561935029.74176</v>
      </c>
      <c r="G1275" s="47">
        <f t="shared" ca="1" si="175"/>
        <v>3700166094443.2588</v>
      </c>
      <c r="H1275" s="47">
        <f t="shared" ca="1" si="176"/>
        <v>288561935029.74176</v>
      </c>
      <c r="I1275" s="47">
        <f t="shared" ca="1" si="177"/>
        <v>11208539756111.9</v>
      </c>
      <c r="J1275" s="47">
        <f t="shared" ca="1" si="178"/>
        <v>1697748387461.6912</v>
      </c>
      <c r="K1275" s="48">
        <f t="shared" ca="1" si="179"/>
        <v>6.6020028874065506</v>
      </c>
    </row>
    <row r="1276" spans="2:11" ht="15" customHeight="1" x14ac:dyDescent="0.35">
      <c r="B1276" s="5">
        <v>1255</v>
      </c>
      <c r="C1276" s="46">
        <f t="shared" ca="1" si="171"/>
        <v>2.892839153500895</v>
      </c>
      <c r="D1276" s="47">
        <f t="shared" ca="1" si="172"/>
        <v>4331858189.3841829</v>
      </c>
      <c r="E1276" s="47">
        <f t="shared" ca="1" si="173"/>
        <v>5925365834145.6924</v>
      </c>
      <c r="F1276" s="47">
        <f t="shared" ca="1" si="174"/>
        <v>3730221280890.6982</v>
      </c>
      <c r="G1276" s="47">
        <f t="shared" ca="1" si="175"/>
        <v>775190111574.45593</v>
      </c>
      <c r="H1276" s="47">
        <f t="shared" ca="1" si="176"/>
        <v>775190111574.45593</v>
      </c>
      <c r="I1276" s="47">
        <f t="shared" ca="1" si="177"/>
        <v>2790252517816.3149</v>
      </c>
      <c r="J1276" s="47">
        <f t="shared" ca="1" si="178"/>
        <v>2001425209174.4504</v>
      </c>
      <c r="K1276" s="48">
        <f t="shared" ca="1" si="179"/>
        <v>1.3941327934843195</v>
      </c>
    </row>
    <row r="1277" spans="2:11" ht="15" customHeight="1" x14ac:dyDescent="0.35">
      <c r="B1277" s="5">
        <v>1256</v>
      </c>
      <c r="C1277" s="46">
        <f t="shared" ca="1" si="171"/>
        <v>3.1215242161869381</v>
      </c>
      <c r="D1277" s="47">
        <f t="shared" ca="1" si="172"/>
        <v>6602107500.5781088</v>
      </c>
      <c r="E1277" s="47">
        <f t="shared" ca="1" si="173"/>
        <v>11945031847144.576</v>
      </c>
      <c r="F1277" s="47">
        <f t="shared" ca="1" si="174"/>
        <v>2994602712145.1118</v>
      </c>
      <c r="G1277" s="47">
        <f t="shared" ca="1" si="175"/>
        <v>2484341712404.7529</v>
      </c>
      <c r="H1277" s="47">
        <f t="shared" ca="1" si="176"/>
        <v>2994602712145.1118</v>
      </c>
      <c r="I1277" s="47">
        <f t="shared" ca="1" si="177"/>
        <v>12324262433172.971</v>
      </c>
      <c r="J1277" s="47">
        <f t="shared" ca="1" si="178"/>
        <v>1538916399499.8115</v>
      </c>
      <c r="K1277" s="48">
        <f t="shared" ca="1" si="179"/>
        <v>8.0084028197884436</v>
      </c>
    </row>
    <row r="1278" spans="2:11" ht="15" customHeight="1" x14ac:dyDescent="0.35">
      <c r="B1278" s="5">
        <v>1257</v>
      </c>
      <c r="C1278" s="46">
        <f t="shared" ca="1" si="171"/>
        <v>3.1935028795118598</v>
      </c>
      <c r="D1278" s="47">
        <f t="shared" ca="1" si="172"/>
        <v>6179505963.3388453</v>
      </c>
      <c r="E1278" s="47">
        <f t="shared" ca="1" si="173"/>
        <v>5021353881213.9385</v>
      </c>
      <c r="F1278" s="47">
        <f t="shared" ca="1" si="174"/>
        <v>6068592063728.4014</v>
      </c>
      <c r="G1278" s="47">
        <f t="shared" ca="1" si="175"/>
        <v>628271888292.02014</v>
      </c>
      <c r="H1278" s="47">
        <f t="shared" ca="1" si="176"/>
        <v>628271888292.02014</v>
      </c>
      <c r="I1278" s="47">
        <f t="shared" ca="1" si="177"/>
        <v>3481663358373.6104</v>
      </c>
      <c r="J1278" s="47">
        <f t="shared" ca="1" si="178"/>
        <v>2590691755821.2598</v>
      </c>
      <c r="K1278" s="48">
        <f t="shared" ca="1" si="179"/>
        <v>1.3439126250934121</v>
      </c>
    </row>
    <row r="1279" spans="2:11" ht="15" customHeight="1" x14ac:dyDescent="0.35">
      <c r="B1279" s="5">
        <v>1258</v>
      </c>
      <c r="C1279" s="46">
        <f t="shared" ca="1" si="171"/>
        <v>2.9745132833750456</v>
      </c>
      <c r="D1279" s="47">
        <f t="shared" ca="1" si="172"/>
        <v>5582405672.6387806</v>
      </c>
      <c r="E1279" s="47">
        <f t="shared" ca="1" si="173"/>
        <v>15984701727227.605</v>
      </c>
      <c r="F1279" s="47">
        <f t="shared" ca="1" si="174"/>
        <v>14377278074633.842</v>
      </c>
      <c r="G1279" s="47">
        <f t="shared" ca="1" si="175"/>
        <v>25381958924407.684</v>
      </c>
      <c r="H1279" s="47">
        <f t="shared" ca="1" si="176"/>
        <v>14377278074633.842</v>
      </c>
      <c r="I1279" s="47">
        <f t="shared" ca="1" si="177"/>
        <v>9028138751412.7539</v>
      </c>
      <c r="J1279" s="47">
        <f t="shared" ca="1" si="178"/>
        <v>726749893445.84167</v>
      </c>
      <c r="K1279" s="48">
        <f t="shared" ca="1" si="179"/>
        <v>12.422621362359433</v>
      </c>
    </row>
    <row r="1280" spans="2:11" ht="15" customHeight="1" x14ac:dyDescent="0.35">
      <c r="B1280" s="5">
        <v>1259</v>
      </c>
      <c r="C1280" s="46">
        <f t="shared" ca="1" si="171"/>
        <v>2.8132050655617578</v>
      </c>
      <c r="D1280" s="47">
        <f t="shared" ca="1" si="172"/>
        <v>3756709010.5021186</v>
      </c>
      <c r="E1280" s="47">
        <f t="shared" ca="1" si="173"/>
        <v>15382659559188.729</v>
      </c>
      <c r="F1280" s="47">
        <f t="shared" ca="1" si="174"/>
        <v>4789088170836.542</v>
      </c>
      <c r="G1280" s="47">
        <f t="shared" ca="1" si="175"/>
        <v>4184374289541.0166</v>
      </c>
      <c r="H1280" s="47">
        <f t="shared" ca="1" si="176"/>
        <v>15382659559188.729</v>
      </c>
      <c r="I1280" s="47">
        <f t="shared" ca="1" si="177"/>
        <v>1966376271934.6536</v>
      </c>
      <c r="J1280" s="47">
        <f t="shared" ca="1" si="178"/>
        <v>1819245336651.1238</v>
      </c>
      <c r="K1280" s="48">
        <f t="shared" ca="1" si="179"/>
        <v>1.0808747079458614</v>
      </c>
    </row>
    <row r="1281" spans="2:11" ht="15" customHeight="1" x14ac:dyDescent="0.35">
      <c r="B1281" s="5">
        <v>1260</v>
      </c>
      <c r="C1281" s="46">
        <f t="shared" ca="1" si="171"/>
        <v>2.8534195651289362</v>
      </c>
      <c r="D1281" s="47">
        <f t="shared" ca="1" si="172"/>
        <v>3634620391.8801775</v>
      </c>
      <c r="E1281" s="47">
        <f t="shared" ca="1" si="173"/>
        <v>13212947231578.006</v>
      </c>
      <c r="F1281" s="47">
        <f t="shared" ca="1" si="174"/>
        <v>2527862940370.0967</v>
      </c>
      <c r="G1281" s="47">
        <f t="shared" ca="1" si="175"/>
        <v>1732945428016.9146</v>
      </c>
      <c r="H1281" s="47">
        <f t="shared" ca="1" si="176"/>
        <v>1732945428016.9146</v>
      </c>
      <c r="I1281" s="47">
        <f t="shared" ca="1" si="177"/>
        <v>28058375736622.988</v>
      </c>
      <c r="J1281" s="47">
        <f t="shared" ca="1" si="178"/>
        <v>839113907009.30396</v>
      </c>
      <c r="K1281" s="48">
        <f t="shared" ca="1" si="179"/>
        <v>33.438101194897584</v>
      </c>
    </row>
    <row r="1282" spans="2:11" ht="15" customHeight="1" x14ac:dyDescent="0.35">
      <c r="B1282" s="5">
        <v>1261</v>
      </c>
      <c r="C1282" s="46">
        <f t="shared" ca="1" si="171"/>
        <v>2.5705873202606999</v>
      </c>
      <c r="D1282" s="47">
        <f t="shared" ca="1" si="172"/>
        <v>2616241548.6078353</v>
      </c>
      <c r="E1282" s="47">
        <f t="shared" ca="1" si="173"/>
        <v>13404644158985.08</v>
      </c>
      <c r="F1282" s="47">
        <f t="shared" ca="1" si="174"/>
        <v>3051140296775.415</v>
      </c>
      <c r="G1282" s="47">
        <f t="shared" ca="1" si="175"/>
        <v>6275397483714.2754</v>
      </c>
      <c r="H1282" s="47">
        <f t="shared" ca="1" si="176"/>
        <v>13404644158985.08</v>
      </c>
      <c r="I1282" s="47">
        <f t="shared" ca="1" si="177"/>
        <v>16620749067490.053</v>
      </c>
      <c r="J1282" s="47">
        <f t="shared" ca="1" si="178"/>
        <v>1589319975440.6211</v>
      </c>
      <c r="K1282" s="48">
        <f t="shared" ca="1" si="179"/>
        <v>10.457773968946773</v>
      </c>
    </row>
    <row r="1283" spans="2:11" ht="15" customHeight="1" x14ac:dyDescent="0.35">
      <c r="B1283" s="5">
        <v>1262</v>
      </c>
      <c r="C1283" s="46">
        <f t="shared" ca="1" si="171"/>
        <v>2.5643542673301201</v>
      </c>
      <c r="D1283" s="47">
        <f t="shared" ca="1" si="172"/>
        <v>1995682213.1070182</v>
      </c>
      <c r="E1283" s="47">
        <f t="shared" ca="1" si="173"/>
        <v>7346020818703.1201</v>
      </c>
      <c r="F1283" s="47">
        <f t="shared" ca="1" si="174"/>
        <v>547373807113.96967</v>
      </c>
      <c r="G1283" s="47">
        <f t="shared" ca="1" si="175"/>
        <v>2362609296516.915</v>
      </c>
      <c r="H1283" s="47">
        <f t="shared" ca="1" si="176"/>
        <v>547373807113.96967</v>
      </c>
      <c r="I1283" s="47">
        <f t="shared" ca="1" si="177"/>
        <v>20398699967522.078</v>
      </c>
      <c r="J1283" s="47">
        <f t="shared" ca="1" si="178"/>
        <v>1901539486391.2134</v>
      </c>
      <c r="K1283" s="48">
        <f t="shared" ca="1" si="179"/>
        <v>10.727465884095425</v>
      </c>
    </row>
    <row r="1284" spans="2:11" ht="15" customHeight="1" x14ac:dyDescent="0.35">
      <c r="B1284" s="5">
        <v>1263</v>
      </c>
      <c r="C1284" s="46">
        <f t="shared" ca="1" si="171"/>
        <v>3.297039386194653</v>
      </c>
      <c r="D1284" s="47">
        <f t="shared" ca="1" si="172"/>
        <v>7310396877.8302193</v>
      </c>
      <c r="E1284" s="47">
        <f t="shared" ca="1" si="173"/>
        <v>45827096682304.711</v>
      </c>
      <c r="F1284" s="47">
        <f t="shared" ca="1" si="174"/>
        <v>7005849753736.8115</v>
      </c>
      <c r="G1284" s="47">
        <f t="shared" ca="1" si="175"/>
        <v>58473744567528.719</v>
      </c>
      <c r="H1284" s="47">
        <f t="shared" ca="1" si="176"/>
        <v>45827096682304.711</v>
      </c>
      <c r="I1284" s="47">
        <f t="shared" ca="1" si="177"/>
        <v>3035907901662.7285</v>
      </c>
      <c r="J1284" s="47">
        <f t="shared" ca="1" si="178"/>
        <v>1019730272027.0574</v>
      </c>
      <c r="K1284" s="48">
        <f t="shared" ca="1" si="179"/>
        <v>2.9771675755274374</v>
      </c>
    </row>
    <row r="1285" spans="2:11" ht="15" customHeight="1" x14ac:dyDescent="0.35">
      <c r="B1285" s="5">
        <v>1264</v>
      </c>
      <c r="C1285" s="46">
        <f t="shared" ca="1" si="171"/>
        <v>3.3055123784415952</v>
      </c>
      <c r="D1285" s="47">
        <f t="shared" ca="1" si="172"/>
        <v>9273528119.2962036</v>
      </c>
      <c r="E1285" s="47">
        <f t="shared" ca="1" si="173"/>
        <v>42002962063276.102</v>
      </c>
      <c r="F1285" s="47">
        <f t="shared" ca="1" si="174"/>
        <v>5097896353325.8408</v>
      </c>
      <c r="G1285" s="47">
        <f t="shared" ca="1" si="175"/>
        <v>33636060758513.578</v>
      </c>
      <c r="H1285" s="47">
        <f t="shared" ca="1" si="176"/>
        <v>5097896353325.8408</v>
      </c>
      <c r="I1285" s="47">
        <f t="shared" ca="1" si="177"/>
        <v>1213790205589.5244</v>
      </c>
      <c r="J1285" s="47">
        <f t="shared" ca="1" si="178"/>
        <v>1261588009426.0537</v>
      </c>
      <c r="K1285" s="48">
        <f t="shared" ca="1" si="179"/>
        <v>0.96211298500032949</v>
      </c>
    </row>
    <row r="1286" spans="2:11" ht="15" customHeight="1" x14ac:dyDescent="0.35">
      <c r="B1286" s="5">
        <v>1265</v>
      </c>
      <c r="C1286" s="46">
        <f t="shared" ca="1" si="171"/>
        <v>2.7751347645896507</v>
      </c>
      <c r="D1286" s="47">
        <f t="shared" ca="1" si="172"/>
        <v>2879841264.9093709</v>
      </c>
      <c r="E1286" s="47">
        <f t="shared" ca="1" si="173"/>
        <v>13225186415531.779</v>
      </c>
      <c r="F1286" s="47">
        <f t="shared" ca="1" si="174"/>
        <v>5080979590116.8584</v>
      </c>
      <c r="G1286" s="47">
        <f t="shared" ca="1" si="175"/>
        <v>1380681034939.0618</v>
      </c>
      <c r="H1286" s="47">
        <f t="shared" ca="1" si="176"/>
        <v>1380681034939.0618</v>
      </c>
      <c r="I1286" s="47">
        <f t="shared" ca="1" si="177"/>
        <v>2572425734167.6143</v>
      </c>
      <c r="J1286" s="47">
        <f t="shared" ca="1" si="178"/>
        <v>1904859848854.9036</v>
      </c>
      <c r="K1286" s="48">
        <f t="shared" ca="1" si="179"/>
        <v>1.3504540692135509</v>
      </c>
    </row>
    <row r="1287" spans="2:11" ht="15" customHeight="1" x14ac:dyDescent="0.35">
      <c r="B1287" s="5">
        <v>1266</v>
      </c>
      <c r="C1287" s="46">
        <f t="shared" ca="1" si="171"/>
        <v>3.2083215161561394</v>
      </c>
      <c r="D1287" s="47">
        <f t="shared" ca="1" si="172"/>
        <v>7371146623.2488079</v>
      </c>
      <c r="E1287" s="47">
        <f t="shared" ca="1" si="173"/>
        <v>56156337695500.875</v>
      </c>
      <c r="F1287" s="47">
        <f t="shared" ca="1" si="174"/>
        <v>296780432265.80835</v>
      </c>
      <c r="G1287" s="47">
        <f t="shared" ca="1" si="175"/>
        <v>7389819165292.9014</v>
      </c>
      <c r="H1287" s="47">
        <f t="shared" ca="1" si="176"/>
        <v>7389819165292.9014</v>
      </c>
      <c r="I1287" s="47">
        <f t="shared" ca="1" si="177"/>
        <v>15433359564529.674</v>
      </c>
      <c r="J1287" s="47">
        <f t="shared" ca="1" si="178"/>
        <v>527071492875.66351</v>
      </c>
      <c r="K1287" s="48">
        <f t="shared" ca="1" si="179"/>
        <v>29.281339956988365</v>
      </c>
    </row>
    <row r="1288" spans="2:11" ht="15" customHeight="1" x14ac:dyDescent="0.35">
      <c r="B1288" s="5">
        <v>1267</v>
      </c>
      <c r="C1288" s="46">
        <f t="shared" ca="1" si="171"/>
        <v>3.1993879376466037</v>
      </c>
      <c r="D1288" s="47">
        <f t="shared" ca="1" si="172"/>
        <v>5800711426.5329676</v>
      </c>
      <c r="E1288" s="47">
        <f t="shared" ca="1" si="173"/>
        <v>22741679149202.465</v>
      </c>
      <c r="F1288" s="47">
        <f t="shared" ca="1" si="174"/>
        <v>2241441923452.4126</v>
      </c>
      <c r="G1288" s="47">
        <f t="shared" ca="1" si="175"/>
        <v>32893427742983.434</v>
      </c>
      <c r="H1288" s="47">
        <f t="shared" ca="1" si="176"/>
        <v>2241441923452.4126</v>
      </c>
      <c r="I1288" s="47">
        <f t="shared" ca="1" si="177"/>
        <v>23274110339367.43</v>
      </c>
      <c r="J1288" s="47">
        <f t="shared" ca="1" si="178"/>
        <v>2190984756339.2615</v>
      </c>
      <c r="K1288" s="48">
        <f t="shared" ca="1" si="179"/>
        <v>10.62267104872708</v>
      </c>
    </row>
    <row r="1289" spans="2:11" ht="15" customHeight="1" x14ac:dyDescent="0.35">
      <c r="B1289" s="5">
        <v>1268</v>
      </c>
      <c r="C1289" s="46">
        <f t="shared" ca="1" si="171"/>
        <v>3.6245719726164509</v>
      </c>
      <c r="D1289" s="47">
        <f t="shared" ca="1" si="172"/>
        <v>11942991241.35178</v>
      </c>
      <c r="E1289" s="47">
        <f t="shared" ca="1" si="173"/>
        <v>42019220603691.664</v>
      </c>
      <c r="F1289" s="47">
        <f t="shared" ca="1" si="174"/>
        <v>6919799046552.1221</v>
      </c>
      <c r="G1289" s="47">
        <f t="shared" ca="1" si="175"/>
        <v>30939796044539.957</v>
      </c>
      <c r="H1289" s="47">
        <f t="shared" ca="1" si="176"/>
        <v>6919799046552.1221</v>
      </c>
      <c r="I1289" s="47">
        <f t="shared" ca="1" si="177"/>
        <v>1103643311731.259</v>
      </c>
      <c r="J1289" s="47">
        <f t="shared" ca="1" si="178"/>
        <v>1449395508788.8252</v>
      </c>
      <c r="K1289" s="48">
        <f t="shared" ca="1" si="179"/>
        <v>0.76145076001615941</v>
      </c>
    </row>
    <row r="1290" spans="2:11" ht="15" customHeight="1" x14ac:dyDescent="0.35">
      <c r="B1290" s="5">
        <v>1269</v>
      </c>
      <c r="C1290" s="46">
        <f t="shared" ca="1" si="171"/>
        <v>2.9176633686497309</v>
      </c>
      <c r="D1290" s="47">
        <f t="shared" ca="1" si="172"/>
        <v>4325107006.6144867</v>
      </c>
      <c r="E1290" s="47">
        <f t="shared" ca="1" si="173"/>
        <v>12312594067225.473</v>
      </c>
      <c r="F1290" s="47">
        <f t="shared" ca="1" si="174"/>
        <v>7095378493354.9873</v>
      </c>
      <c r="G1290" s="47">
        <f t="shared" ca="1" si="175"/>
        <v>202670366302.64594</v>
      </c>
      <c r="H1290" s="47">
        <f t="shared" ca="1" si="176"/>
        <v>7095378493354.9873</v>
      </c>
      <c r="I1290" s="47">
        <f t="shared" ca="1" si="177"/>
        <v>23476766699874.563</v>
      </c>
      <c r="J1290" s="47">
        <f t="shared" ca="1" si="178"/>
        <v>1917963439373.7778</v>
      </c>
      <c r="K1290" s="48">
        <f t="shared" ca="1" si="179"/>
        <v>12.240466224705417</v>
      </c>
    </row>
    <row r="1291" spans="2:11" ht="15" customHeight="1" x14ac:dyDescent="0.35">
      <c r="B1291" s="5">
        <v>1270</v>
      </c>
      <c r="C1291" s="46">
        <f t="shared" ca="1" si="171"/>
        <v>2.8703398525573065</v>
      </c>
      <c r="D1291" s="47">
        <f t="shared" ca="1" si="172"/>
        <v>3135675757.100996</v>
      </c>
      <c r="E1291" s="47">
        <f t="shared" ca="1" si="173"/>
        <v>45603502089484.672</v>
      </c>
      <c r="F1291" s="47">
        <f t="shared" ca="1" si="174"/>
        <v>378925042165.34534</v>
      </c>
      <c r="G1291" s="47">
        <f t="shared" ca="1" si="175"/>
        <v>2877860775418.3232</v>
      </c>
      <c r="H1291" s="47">
        <f t="shared" ca="1" si="176"/>
        <v>45603502089484.672</v>
      </c>
      <c r="I1291" s="47">
        <f t="shared" ca="1" si="177"/>
        <v>8714648089758.0996</v>
      </c>
      <c r="J1291" s="47">
        <f t="shared" ca="1" si="178"/>
        <v>891152688366.3833</v>
      </c>
      <c r="K1291" s="48">
        <f t="shared" ca="1" si="179"/>
        <v>9.7790740055257626</v>
      </c>
    </row>
    <row r="1292" spans="2:11" ht="15" customHeight="1" x14ac:dyDescent="0.35">
      <c r="B1292" s="5">
        <v>1271</v>
      </c>
      <c r="C1292" s="46">
        <f t="shared" ca="1" si="171"/>
        <v>3.1740694979562414</v>
      </c>
      <c r="D1292" s="47">
        <f t="shared" ca="1" si="172"/>
        <v>7162671374.4330826</v>
      </c>
      <c r="E1292" s="47">
        <f t="shared" ca="1" si="173"/>
        <v>33973510357175.621</v>
      </c>
      <c r="F1292" s="47">
        <f t="shared" ca="1" si="174"/>
        <v>1284170882881.3337</v>
      </c>
      <c r="G1292" s="47">
        <f t="shared" ca="1" si="175"/>
        <v>700709028343.96777</v>
      </c>
      <c r="H1292" s="47">
        <f t="shared" ca="1" si="176"/>
        <v>33973510357175.621</v>
      </c>
      <c r="I1292" s="47">
        <f t="shared" ca="1" si="177"/>
        <v>3151972245433.7275</v>
      </c>
      <c r="J1292" s="47">
        <f t="shared" ca="1" si="178"/>
        <v>1088981320094.1364</v>
      </c>
      <c r="K1292" s="48">
        <f t="shared" ca="1" si="179"/>
        <v>2.8944226932756361</v>
      </c>
    </row>
    <row r="1293" spans="2:11" ht="15" customHeight="1" x14ac:dyDescent="0.35">
      <c r="B1293" s="5">
        <v>1272</v>
      </c>
      <c r="C1293" s="46">
        <f t="shared" ca="1" si="171"/>
        <v>3.2249246792633097</v>
      </c>
      <c r="D1293" s="47">
        <f t="shared" ca="1" si="172"/>
        <v>6004821248.5845575</v>
      </c>
      <c r="E1293" s="47">
        <f t="shared" ca="1" si="173"/>
        <v>51113825464178.914</v>
      </c>
      <c r="F1293" s="47">
        <f t="shared" ca="1" si="174"/>
        <v>5634900007827.7461</v>
      </c>
      <c r="G1293" s="47">
        <f t="shared" ca="1" si="175"/>
        <v>2071610010030.5566</v>
      </c>
      <c r="H1293" s="47">
        <f t="shared" ca="1" si="176"/>
        <v>5634900007827.7461</v>
      </c>
      <c r="I1293" s="47">
        <f t="shared" ca="1" si="177"/>
        <v>20448214671132.434</v>
      </c>
      <c r="J1293" s="47">
        <f t="shared" ca="1" si="178"/>
        <v>2210212719571.3726</v>
      </c>
      <c r="K1293" s="48">
        <f t="shared" ca="1" si="179"/>
        <v>9.2516953187645949</v>
      </c>
    </row>
    <row r="1294" spans="2:11" ht="15" customHeight="1" x14ac:dyDescent="0.35">
      <c r="B1294" s="5">
        <v>1273</v>
      </c>
      <c r="C1294" s="46">
        <f t="shared" ca="1" si="171"/>
        <v>3.6494241500550122</v>
      </c>
      <c r="D1294" s="47">
        <f t="shared" ca="1" si="172"/>
        <v>14985661921.162413</v>
      </c>
      <c r="E1294" s="47">
        <f t="shared" ca="1" si="173"/>
        <v>62601299580036.891</v>
      </c>
      <c r="F1294" s="47">
        <f t="shared" ca="1" si="174"/>
        <v>980941045968.45227</v>
      </c>
      <c r="G1294" s="47">
        <f t="shared" ca="1" si="175"/>
        <v>85543577037343.969</v>
      </c>
      <c r="H1294" s="47">
        <f t="shared" ca="1" si="176"/>
        <v>980941045968.45227</v>
      </c>
      <c r="I1294" s="47">
        <f t="shared" ca="1" si="177"/>
        <v>560835133840.15649</v>
      </c>
      <c r="J1294" s="47">
        <f t="shared" ca="1" si="178"/>
        <v>1699920959894.3079</v>
      </c>
      <c r="K1294" s="48">
        <f t="shared" ca="1" si="179"/>
        <v>0.32991835918949214</v>
      </c>
    </row>
    <row r="1295" spans="2:11" ht="15" customHeight="1" x14ac:dyDescent="0.35">
      <c r="B1295" s="5">
        <v>1274</v>
      </c>
      <c r="C1295" s="46">
        <f t="shared" ca="1" si="171"/>
        <v>3.2183630542185147</v>
      </c>
      <c r="D1295" s="47">
        <f t="shared" ca="1" si="172"/>
        <v>7384292255.3175621</v>
      </c>
      <c r="E1295" s="47">
        <f t="shared" ca="1" si="173"/>
        <v>20151172698491.316</v>
      </c>
      <c r="F1295" s="47">
        <f t="shared" ca="1" si="174"/>
        <v>10664820243729.926</v>
      </c>
      <c r="G1295" s="47">
        <f t="shared" ca="1" si="175"/>
        <v>2671924434381.6699</v>
      </c>
      <c r="H1295" s="47">
        <f t="shared" ca="1" si="176"/>
        <v>2671924434381.6699</v>
      </c>
      <c r="I1295" s="47">
        <f t="shared" ca="1" si="177"/>
        <v>67791824381184.125</v>
      </c>
      <c r="J1295" s="47">
        <f t="shared" ca="1" si="178"/>
        <v>1559790666346.4397</v>
      </c>
      <c r="K1295" s="48">
        <f t="shared" ca="1" si="179"/>
        <v>43.462129786925601</v>
      </c>
    </row>
    <row r="1296" spans="2:11" ht="15" customHeight="1" x14ac:dyDescent="0.35">
      <c r="B1296" s="5">
        <v>1275</v>
      </c>
      <c r="C1296" s="46">
        <f t="shared" ca="1" si="171"/>
        <v>2.532361267174795</v>
      </c>
      <c r="D1296" s="47">
        <f t="shared" ca="1" si="172"/>
        <v>1940820324.9775925</v>
      </c>
      <c r="E1296" s="47">
        <f t="shared" ca="1" si="173"/>
        <v>5706116220407.8848</v>
      </c>
      <c r="F1296" s="47">
        <f t="shared" ca="1" si="174"/>
        <v>828136210411.53735</v>
      </c>
      <c r="G1296" s="47">
        <f t="shared" ca="1" si="175"/>
        <v>1101297587557.2969</v>
      </c>
      <c r="H1296" s="47">
        <f t="shared" ca="1" si="176"/>
        <v>1101297587557.2969</v>
      </c>
      <c r="I1296" s="47">
        <f t="shared" ca="1" si="177"/>
        <v>10930257981957.736</v>
      </c>
      <c r="J1296" s="47">
        <f t="shared" ca="1" si="178"/>
        <v>692911893741.98633</v>
      </c>
      <c r="K1296" s="48">
        <f t="shared" ca="1" si="179"/>
        <v>15.774383555361142</v>
      </c>
    </row>
    <row r="1297" spans="2:11" ht="15" customHeight="1" x14ac:dyDescent="0.35">
      <c r="B1297" s="5">
        <v>1276</v>
      </c>
      <c r="C1297" s="46">
        <f t="shared" ca="1" si="171"/>
        <v>3.6360893818632896</v>
      </c>
      <c r="D1297" s="47">
        <f t="shared" ca="1" si="172"/>
        <v>11173765911.185862</v>
      </c>
      <c r="E1297" s="47">
        <f t="shared" ca="1" si="173"/>
        <v>61439360091692.25</v>
      </c>
      <c r="F1297" s="47">
        <f t="shared" ca="1" si="174"/>
        <v>3218422921785.1685</v>
      </c>
      <c r="G1297" s="47">
        <f t="shared" ca="1" si="175"/>
        <v>2280860997142.9526</v>
      </c>
      <c r="H1297" s="47">
        <f t="shared" ca="1" si="176"/>
        <v>2280860997142.9526</v>
      </c>
      <c r="I1297" s="47">
        <f t="shared" ca="1" si="177"/>
        <v>66803516694655.75</v>
      </c>
      <c r="J1297" s="47">
        <f t="shared" ca="1" si="178"/>
        <v>1585089111502.2678</v>
      </c>
      <c r="K1297" s="48">
        <f t="shared" ca="1" si="179"/>
        <v>42.144959680748002</v>
      </c>
    </row>
    <row r="1298" spans="2:11" ht="15" customHeight="1" x14ac:dyDescent="0.35">
      <c r="B1298" s="5">
        <v>1277</v>
      </c>
      <c r="C1298" s="46">
        <f t="shared" ca="1" si="171"/>
        <v>2.7260317024382221</v>
      </c>
      <c r="D1298" s="47">
        <f t="shared" ca="1" si="172"/>
        <v>3569606216.6838212</v>
      </c>
      <c r="E1298" s="47">
        <f t="shared" ca="1" si="173"/>
        <v>29454164537742.652</v>
      </c>
      <c r="F1298" s="47">
        <f t="shared" ca="1" si="174"/>
        <v>3514763912612.5986</v>
      </c>
      <c r="G1298" s="47">
        <f t="shared" ca="1" si="175"/>
        <v>3148496522834.6064</v>
      </c>
      <c r="H1298" s="47">
        <f t="shared" ca="1" si="176"/>
        <v>29454164537742.652</v>
      </c>
      <c r="I1298" s="47">
        <f t="shared" ca="1" si="177"/>
        <v>472764167857.35968</v>
      </c>
      <c r="J1298" s="47">
        <f t="shared" ca="1" si="178"/>
        <v>2031515213689.2212</v>
      </c>
      <c r="K1298" s="48">
        <f t="shared" ca="1" si="179"/>
        <v>0.23271505163814274</v>
      </c>
    </row>
    <row r="1299" spans="2:11" ht="15" customHeight="1" x14ac:dyDescent="0.35">
      <c r="B1299" s="5">
        <v>1278</v>
      </c>
      <c r="C1299" s="46">
        <f t="shared" ca="1" si="171"/>
        <v>2.50169082477175</v>
      </c>
      <c r="D1299" s="47">
        <f t="shared" ca="1" si="172"/>
        <v>1936051109.1066079</v>
      </c>
      <c r="E1299" s="47">
        <f t="shared" ca="1" si="173"/>
        <v>2849410941374.5073</v>
      </c>
      <c r="F1299" s="47">
        <f t="shared" ca="1" si="174"/>
        <v>1604066434032.5493</v>
      </c>
      <c r="G1299" s="47">
        <f t="shared" ca="1" si="175"/>
        <v>392458876670.27582</v>
      </c>
      <c r="H1299" s="47">
        <f t="shared" ca="1" si="176"/>
        <v>1604066434032.5493</v>
      </c>
      <c r="I1299" s="47">
        <f t="shared" ca="1" si="177"/>
        <v>4387010251336.1572</v>
      </c>
      <c r="J1299" s="47">
        <f t="shared" ca="1" si="178"/>
        <v>2079590098673.7136</v>
      </c>
      <c r="K1299" s="48">
        <f t="shared" ca="1" si="179"/>
        <v>2.1095552696341611</v>
      </c>
    </row>
    <row r="1300" spans="2:11" ht="15" customHeight="1" x14ac:dyDescent="0.35">
      <c r="B1300" s="5">
        <v>1279</v>
      </c>
      <c r="C1300" s="46">
        <f t="shared" ca="1" si="171"/>
        <v>3.0055087805369682</v>
      </c>
      <c r="D1300" s="47">
        <f t="shared" ca="1" si="172"/>
        <v>5573283498.7329254</v>
      </c>
      <c r="E1300" s="47">
        <f t="shared" ca="1" si="173"/>
        <v>18201324607576.188</v>
      </c>
      <c r="F1300" s="47">
        <f t="shared" ca="1" si="174"/>
        <v>164338579774.34219</v>
      </c>
      <c r="G1300" s="47">
        <f t="shared" ca="1" si="175"/>
        <v>869941142353.56396</v>
      </c>
      <c r="H1300" s="47">
        <f t="shared" ca="1" si="176"/>
        <v>18201324607576.188</v>
      </c>
      <c r="I1300" s="47">
        <f t="shared" ca="1" si="177"/>
        <v>4421794503776.8262</v>
      </c>
      <c r="J1300" s="47">
        <f t="shared" ca="1" si="178"/>
        <v>2345833354807.5972</v>
      </c>
      <c r="K1300" s="48">
        <f t="shared" ca="1" si="179"/>
        <v>1.8849567871966324</v>
      </c>
    </row>
    <row r="1301" spans="2:11" ht="15" customHeight="1" x14ac:dyDescent="0.35">
      <c r="B1301" s="5">
        <v>1280</v>
      </c>
      <c r="C1301" s="46">
        <f t="shared" ca="1" si="171"/>
        <v>3.1252117766872987</v>
      </c>
      <c r="D1301" s="47">
        <f t="shared" ca="1" si="172"/>
        <v>6400636908.6876373</v>
      </c>
      <c r="E1301" s="47">
        <f t="shared" ca="1" si="173"/>
        <v>14815065180376.734</v>
      </c>
      <c r="F1301" s="47">
        <f t="shared" ca="1" si="174"/>
        <v>23220972660298.375</v>
      </c>
      <c r="G1301" s="47">
        <f t="shared" ca="1" si="175"/>
        <v>22180090852597.414</v>
      </c>
      <c r="H1301" s="47">
        <f t="shared" ca="1" si="176"/>
        <v>22180090852597.414</v>
      </c>
      <c r="I1301" s="47">
        <f t="shared" ca="1" si="177"/>
        <v>1322481296639.114</v>
      </c>
      <c r="J1301" s="47">
        <f t="shared" ca="1" si="178"/>
        <v>1858766187258.2847</v>
      </c>
      <c r="K1301" s="48">
        <f t="shared" ca="1" si="179"/>
        <v>0.71148340533878496</v>
      </c>
    </row>
    <row r="1302" spans="2:11" ht="15" customHeight="1" x14ac:dyDescent="0.35">
      <c r="B1302" s="5">
        <v>1281</v>
      </c>
      <c r="C1302" s="46">
        <f t="shared" ref="C1302:C1365" ca="1" si="180">MEDIAN(1.8,NORMINV(RAND(),$C$7,$D$7),4.5)</f>
        <v>2.8433549258346136</v>
      </c>
      <c r="D1302" s="47">
        <f t="shared" ref="D1302:D1365" ca="1" si="181">($C$8+RAND()*($D$8-$C$8))*C1302^5</f>
        <v>3607374509.699717</v>
      </c>
      <c r="E1302" s="47">
        <f t="shared" ref="E1302:E1365" ca="1" si="182">D1302*($C$10+RAND()*($D$10-$C$10))*EXP(NORMINV(RAND(),$C$9,$D$9))*($C$11+RAND()*($D$11-$C$11))</f>
        <v>11933502075585.215</v>
      </c>
      <c r="F1302" s="47">
        <f t="shared" ref="F1302:F1365" ca="1" si="183">EXP(NORMINV(RAND(),$C$12,$D$12))*EXP(NORMINV(RAND(),$C$13,$D$13))</f>
        <v>2636933232020.6426</v>
      </c>
      <c r="G1302" s="47">
        <f t="shared" ref="G1302:G1365" ca="1" si="184">EXP(NORMINV(RAND(),$C$14,$D$14))*($C$15+RAND()*($D$15-$C$15))*EXP(NORMINV(RAND(),$C$16,$D$16))/1000000*31536000</f>
        <v>206982204990.88425</v>
      </c>
      <c r="H1302" s="47">
        <f t="shared" ref="H1302:H1365" ca="1" si="185">CHOOSE(RANDBETWEEN(1,3),E1302,F1302,G1302)</f>
        <v>206982204990.88425</v>
      </c>
      <c r="I1302" s="47">
        <f t="shared" ref="I1302:I1365" ca="1" si="186">EXP(NORMINV(RAND(),$C$14,$D$14))*($C$15+RAND()*($D$15-$C$15))*60</f>
        <v>128033748199065.02</v>
      </c>
      <c r="J1302" s="47">
        <f t="shared" ref="J1302:J1365" ca="1" si="187">($C$17+RAND()*($D$17-$C$17))*($C$18+RAND()*($D$18-$C$18))</f>
        <v>934409282400.26868</v>
      </c>
      <c r="K1302" s="48">
        <f t="shared" ref="K1302:K1365" ca="1" si="188">I1302/J1302</f>
        <v>137.02105769987395</v>
      </c>
    </row>
    <row r="1303" spans="2:11" ht="15" customHeight="1" x14ac:dyDescent="0.35">
      <c r="B1303" s="5">
        <v>1282</v>
      </c>
      <c r="C1303" s="46">
        <f t="shared" ca="1" si="180"/>
        <v>3.2976236406367736</v>
      </c>
      <c r="D1303" s="47">
        <f t="shared" ca="1" si="181"/>
        <v>8000139724.2109108</v>
      </c>
      <c r="E1303" s="47">
        <f t="shared" ca="1" si="182"/>
        <v>46087472411075.781</v>
      </c>
      <c r="F1303" s="47">
        <f t="shared" ca="1" si="183"/>
        <v>6235071068303.2383</v>
      </c>
      <c r="G1303" s="47">
        <f t="shared" ca="1" si="184"/>
        <v>4294156371366.3003</v>
      </c>
      <c r="H1303" s="47">
        <f t="shared" ca="1" si="185"/>
        <v>46087472411075.781</v>
      </c>
      <c r="I1303" s="47">
        <f t="shared" ca="1" si="186"/>
        <v>2301209688783.1289</v>
      </c>
      <c r="J1303" s="47">
        <f t="shared" ca="1" si="187"/>
        <v>1636181591661.2908</v>
      </c>
      <c r="K1303" s="48">
        <f t="shared" ca="1" si="188"/>
        <v>1.4064512768699495</v>
      </c>
    </row>
    <row r="1304" spans="2:11" ht="15" customHeight="1" x14ac:dyDescent="0.35">
      <c r="B1304" s="5">
        <v>1283</v>
      </c>
      <c r="C1304" s="46">
        <f t="shared" ca="1" si="180"/>
        <v>2.6952191393612286</v>
      </c>
      <c r="D1304" s="47">
        <f t="shared" ca="1" si="181"/>
        <v>3408417297.2907972</v>
      </c>
      <c r="E1304" s="47">
        <f t="shared" ca="1" si="182"/>
        <v>13910799882538.457</v>
      </c>
      <c r="F1304" s="47">
        <f t="shared" ca="1" si="183"/>
        <v>3437372943978.1299</v>
      </c>
      <c r="G1304" s="47">
        <f t="shared" ca="1" si="184"/>
        <v>3435345441011.6245</v>
      </c>
      <c r="H1304" s="47">
        <f t="shared" ca="1" si="185"/>
        <v>3437372943978.1299</v>
      </c>
      <c r="I1304" s="47">
        <f t="shared" ca="1" si="186"/>
        <v>5982745149409.4609</v>
      </c>
      <c r="J1304" s="47">
        <f t="shared" ca="1" si="187"/>
        <v>1153596674847.0339</v>
      </c>
      <c r="K1304" s="48">
        <f t="shared" ca="1" si="188"/>
        <v>5.1861671239671079</v>
      </c>
    </row>
    <row r="1305" spans="2:11" ht="15" customHeight="1" x14ac:dyDescent="0.35">
      <c r="B1305" s="5">
        <v>1284</v>
      </c>
      <c r="C1305" s="46">
        <f t="shared" ca="1" si="180"/>
        <v>2.8279732715319428</v>
      </c>
      <c r="D1305" s="47">
        <f t="shared" ca="1" si="181"/>
        <v>3600734298.1483254</v>
      </c>
      <c r="E1305" s="47">
        <f t="shared" ca="1" si="182"/>
        <v>14385314952711.48</v>
      </c>
      <c r="F1305" s="47">
        <f t="shared" ca="1" si="183"/>
        <v>721956992580.34827</v>
      </c>
      <c r="G1305" s="47">
        <f t="shared" ca="1" si="184"/>
        <v>6555914019388.5049</v>
      </c>
      <c r="H1305" s="47">
        <f t="shared" ca="1" si="185"/>
        <v>14385314952711.48</v>
      </c>
      <c r="I1305" s="47">
        <f t="shared" ca="1" si="186"/>
        <v>53862541942623.883</v>
      </c>
      <c r="J1305" s="47">
        <f t="shared" ca="1" si="187"/>
        <v>2510023387407.4009</v>
      </c>
      <c r="K1305" s="48">
        <f t="shared" ca="1" si="188"/>
        <v>21.458980108650866</v>
      </c>
    </row>
    <row r="1306" spans="2:11" ht="15" customHeight="1" x14ac:dyDescent="0.35">
      <c r="B1306" s="5">
        <v>1285</v>
      </c>
      <c r="C1306" s="46">
        <f t="shared" ca="1" si="180"/>
        <v>2.3783642771981226</v>
      </c>
      <c r="D1306" s="47">
        <f t="shared" ca="1" si="181"/>
        <v>1736126602.819931</v>
      </c>
      <c r="E1306" s="47">
        <f t="shared" ca="1" si="182"/>
        <v>3623323222086.2617</v>
      </c>
      <c r="F1306" s="47">
        <f t="shared" ca="1" si="183"/>
        <v>4247854560404.27</v>
      </c>
      <c r="G1306" s="47">
        <f t="shared" ca="1" si="184"/>
        <v>11367685713958.1</v>
      </c>
      <c r="H1306" s="47">
        <f t="shared" ca="1" si="185"/>
        <v>11367685713958.1</v>
      </c>
      <c r="I1306" s="47">
        <f t="shared" ca="1" si="186"/>
        <v>21764597435588.902</v>
      </c>
      <c r="J1306" s="47">
        <f t="shared" ca="1" si="187"/>
        <v>1411963453423.2551</v>
      </c>
      <c r="K1306" s="48">
        <f t="shared" ca="1" si="188"/>
        <v>15.414419815768893</v>
      </c>
    </row>
    <row r="1307" spans="2:11" ht="15" customHeight="1" x14ac:dyDescent="0.35">
      <c r="B1307" s="5">
        <v>1286</v>
      </c>
      <c r="C1307" s="46">
        <f t="shared" ca="1" si="180"/>
        <v>3.2932794206648164</v>
      </c>
      <c r="D1307" s="47">
        <f t="shared" ca="1" si="181"/>
        <v>7865553447.3968678</v>
      </c>
      <c r="E1307" s="47">
        <f t="shared" ca="1" si="182"/>
        <v>7278314065652.8643</v>
      </c>
      <c r="F1307" s="47">
        <f t="shared" ca="1" si="183"/>
        <v>15693808373014.783</v>
      </c>
      <c r="G1307" s="47">
        <f t="shared" ca="1" si="184"/>
        <v>1496945198262.5684</v>
      </c>
      <c r="H1307" s="47">
        <f t="shared" ca="1" si="185"/>
        <v>1496945198262.5684</v>
      </c>
      <c r="I1307" s="47">
        <f t="shared" ca="1" si="186"/>
        <v>41929440904942.977</v>
      </c>
      <c r="J1307" s="47">
        <f t="shared" ca="1" si="187"/>
        <v>1913913336637.2744</v>
      </c>
      <c r="K1307" s="48">
        <f t="shared" ca="1" si="188"/>
        <v>21.907700888177395</v>
      </c>
    </row>
    <row r="1308" spans="2:11" ht="15" customHeight="1" x14ac:dyDescent="0.35">
      <c r="B1308" s="5">
        <v>1287</v>
      </c>
      <c r="C1308" s="46">
        <f t="shared" ca="1" si="180"/>
        <v>3.1109687360156109</v>
      </c>
      <c r="D1308" s="47">
        <f t="shared" ca="1" si="181"/>
        <v>6896892027.3906736</v>
      </c>
      <c r="E1308" s="47">
        <f t="shared" ca="1" si="182"/>
        <v>20569411360918.816</v>
      </c>
      <c r="F1308" s="47">
        <f t="shared" ca="1" si="183"/>
        <v>15327887076728.945</v>
      </c>
      <c r="G1308" s="47">
        <f t="shared" ca="1" si="184"/>
        <v>2114747472044.9441</v>
      </c>
      <c r="H1308" s="47">
        <f t="shared" ca="1" si="185"/>
        <v>2114747472044.9441</v>
      </c>
      <c r="I1308" s="47">
        <f t="shared" ca="1" si="186"/>
        <v>58100348960749.898</v>
      </c>
      <c r="J1308" s="47">
        <f t="shared" ca="1" si="187"/>
        <v>854056659142.13123</v>
      </c>
      <c r="K1308" s="48">
        <f t="shared" ca="1" si="188"/>
        <v>68.028682100681209</v>
      </c>
    </row>
    <row r="1309" spans="2:11" ht="15" customHeight="1" x14ac:dyDescent="0.35">
      <c r="B1309" s="5">
        <v>1288</v>
      </c>
      <c r="C1309" s="46">
        <f t="shared" ca="1" si="180"/>
        <v>3.5576017317098274</v>
      </c>
      <c r="D1309" s="47">
        <f t="shared" ca="1" si="181"/>
        <v>10019765580.638721</v>
      </c>
      <c r="E1309" s="47">
        <f t="shared" ca="1" si="182"/>
        <v>70166111457855.32</v>
      </c>
      <c r="F1309" s="47">
        <f t="shared" ca="1" si="183"/>
        <v>1553249607886.5615</v>
      </c>
      <c r="G1309" s="47">
        <f t="shared" ca="1" si="184"/>
        <v>3570972078064.0645</v>
      </c>
      <c r="H1309" s="47">
        <f t="shared" ca="1" si="185"/>
        <v>1553249607886.5615</v>
      </c>
      <c r="I1309" s="47">
        <f t="shared" ca="1" si="186"/>
        <v>3701771064199.6265</v>
      </c>
      <c r="J1309" s="47">
        <f t="shared" ca="1" si="187"/>
        <v>1669211756328.6516</v>
      </c>
      <c r="K1309" s="48">
        <f t="shared" ca="1" si="188"/>
        <v>2.2176761277679282</v>
      </c>
    </row>
    <row r="1310" spans="2:11" ht="15" customHeight="1" x14ac:dyDescent="0.35">
      <c r="B1310" s="5">
        <v>1289</v>
      </c>
      <c r="C1310" s="46">
        <f t="shared" ca="1" si="180"/>
        <v>3.2404446067223036</v>
      </c>
      <c r="D1310" s="47">
        <f t="shared" ca="1" si="181"/>
        <v>6934378260.8561506</v>
      </c>
      <c r="E1310" s="47">
        <f t="shared" ca="1" si="182"/>
        <v>42062363663679.516</v>
      </c>
      <c r="F1310" s="47">
        <f t="shared" ca="1" si="183"/>
        <v>8027572964378.5508</v>
      </c>
      <c r="G1310" s="47">
        <f t="shared" ca="1" si="184"/>
        <v>21598350371656.102</v>
      </c>
      <c r="H1310" s="47">
        <f t="shared" ca="1" si="185"/>
        <v>21598350371656.102</v>
      </c>
      <c r="I1310" s="47">
        <f t="shared" ca="1" si="186"/>
        <v>1631293244259.8557</v>
      </c>
      <c r="J1310" s="47">
        <f t="shared" ca="1" si="187"/>
        <v>1093673420828.8712</v>
      </c>
      <c r="K1310" s="48">
        <f t="shared" ca="1" si="188"/>
        <v>1.4915725418503214</v>
      </c>
    </row>
    <row r="1311" spans="2:11" ht="15" customHeight="1" x14ac:dyDescent="0.35">
      <c r="B1311" s="5">
        <v>1290</v>
      </c>
      <c r="C1311" s="46">
        <f t="shared" ca="1" si="180"/>
        <v>3.0840672653509125</v>
      </c>
      <c r="D1311" s="47">
        <f t="shared" ca="1" si="181"/>
        <v>5167894876.6996584</v>
      </c>
      <c r="E1311" s="47">
        <f t="shared" ca="1" si="182"/>
        <v>23616464326309.07</v>
      </c>
      <c r="F1311" s="47">
        <f t="shared" ca="1" si="183"/>
        <v>3010985177717.4834</v>
      </c>
      <c r="G1311" s="47">
        <f t="shared" ca="1" si="184"/>
        <v>12505399422601.283</v>
      </c>
      <c r="H1311" s="47">
        <f t="shared" ca="1" si="185"/>
        <v>3010985177717.4834</v>
      </c>
      <c r="I1311" s="47">
        <f t="shared" ca="1" si="186"/>
        <v>13787583239254.684</v>
      </c>
      <c r="J1311" s="47">
        <f t="shared" ca="1" si="187"/>
        <v>2313834805684.043</v>
      </c>
      <c r="K1311" s="48">
        <f t="shared" ca="1" si="188"/>
        <v>5.958758682938317</v>
      </c>
    </row>
    <row r="1312" spans="2:11" ht="15" customHeight="1" x14ac:dyDescent="0.35">
      <c r="B1312" s="5">
        <v>1291</v>
      </c>
      <c r="C1312" s="46">
        <f t="shared" ca="1" si="180"/>
        <v>3.2397299267643294</v>
      </c>
      <c r="D1312" s="47">
        <f t="shared" ca="1" si="181"/>
        <v>5916096319.9369335</v>
      </c>
      <c r="E1312" s="47">
        <f t="shared" ca="1" si="182"/>
        <v>14252273413373.059</v>
      </c>
      <c r="F1312" s="47">
        <f t="shared" ca="1" si="183"/>
        <v>6147077468333.2871</v>
      </c>
      <c r="G1312" s="47">
        <f t="shared" ca="1" si="184"/>
        <v>5399767053473.2383</v>
      </c>
      <c r="H1312" s="47">
        <f t="shared" ca="1" si="185"/>
        <v>5399767053473.2383</v>
      </c>
      <c r="I1312" s="47">
        <f t="shared" ca="1" si="186"/>
        <v>12482859318590.119</v>
      </c>
      <c r="J1312" s="47">
        <f t="shared" ca="1" si="187"/>
        <v>1880644827785.196</v>
      </c>
      <c r="K1312" s="48">
        <f t="shared" ca="1" si="188"/>
        <v>6.6375421526514256</v>
      </c>
    </row>
    <row r="1313" spans="2:11" ht="15" customHeight="1" x14ac:dyDescent="0.35">
      <c r="B1313" s="5">
        <v>1292</v>
      </c>
      <c r="C1313" s="46">
        <f t="shared" ca="1" si="180"/>
        <v>2.9832725067273009</v>
      </c>
      <c r="D1313" s="47">
        <f t="shared" ca="1" si="181"/>
        <v>5494193461.0477304</v>
      </c>
      <c r="E1313" s="47">
        <f t="shared" ca="1" si="182"/>
        <v>17248704111995.43</v>
      </c>
      <c r="F1313" s="47">
        <f t="shared" ca="1" si="183"/>
        <v>3877510985683.8535</v>
      </c>
      <c r="G1313" s="47">
        <f t="shared" ca="1" si="184"/>
        <v>7532984215500.5596</v>
      </c>
      <c r="H1313" s="47">
        <f t="shared" ca="1" si="185"/>
        <v>3877510985683.8535</v>
      </c>
      <c r="I1313" s="47">
        <f t="shared" ca="1" si="186"/>
        <v>48733359661920.586</v>
      </c>
      <c r="J1313" s="47">
        <f t="shared" ca="1" si="187"/>
        <v>1384045993729.3733</v>
      </c>
      <c r="K1313" s="48">
        <f t="shared" ca="1" si="188"/>
        <v>35.210794932187468</v>
      </c>
    </row>
    <row r="1314" spans="2:11" ht="15" customHeight="1" x14ac:dyDescent="0.35">
      <c r="B1314" s="5">
        <v>1293</v>
      </c>
      <c r="C1314" s="46">
        <f t="shared" ca="1" si="180"/>
        <v>3.4014582847619734</v>
      </c>
      <c r="D1314" s="47">
        <f t="shared" ca="1" si="181"/>
        <v>8832289598.5073719</v>
      </c>
      <c r="E1314" s="47">
        <f t="shared" ca="1" si="182"/>
        <v>17722215234172.102</v>
      </c>
      <c r="F1314" s="47">
        <f t="shared" ca="1" si="183"/>
        <v>22528436440859.082</v>
      </c>
      <c r="G1314" s="47">
        <f t="shared" ca="1" si="184"/>
        <v>7790535776222.2617</v>
      </c>
      <c r="H1314" s="47">
        <f t="shared" ca="1" si="185"/>
        <v>17722215234172.102</v>
      </c>
      <c r="I1314" s="47">
        <f t="shared" ca="1" si="186"/>
        <v>15445182985127.57</v>
      </c>
      <c r="J1314" s="47">
        <f t="shared" ca="1" si="187"/>
        <v>861396129927.06799</v>
      </c>
      <c r="K1314" s="48">
        <f t="shared" ca="1" si="188"/>
        <v>17.930406753087304</v>
      </c>
    </row>
    <row r="1315" spans="2:11" ht="15" customHeight="1" x14ac:dyDescent="0.35">
      <c r="B1315" s="5">
        <v>1294</v>
      </c>
      <c r="C1315" s="46">
        <f t="shared" ca="1" si="180"/>
        <v>3.347417691927792</v>
      </c>
      <c r="D1315" s="47">
        <f t="shared" ca="1" si="181"/>
        <v>7024369780.2104597</v>
      </c>
      <c r="E1315" s="47">
        <f t="shared" ca="1" si="182"/>
        <v>19925785511355.602</v>
      </c>
      <c r="F1315" s="47">
        <f t="shared" ca="1" si="183"/>
        <v>1556737758077.9841</v>
      </c>
      <c r="G1315" s="47">
        <f t="shared" ca="1" si="184"/>
        <v>5004735726310.9873</v>
      </c>
      <c r="H1315" s="47">
        <f t="shared" ca="1" si="185"/>
        <v>19925785511355.602</v>
      </c>
      <c r="I1315" s="47">
        <f t="shared" ca="1" si="186"/>
        <v>154669274921060.22</v>
      </c>
      <c r="J1315" s="47">
        <f t="shared" ca="1" si="187"/>
        <v>2101924730444.8843</v>
      </c>
      <c r="K1315" s="48">
        <f t="shared" ca="1" si="188"/>
        <v>73.584592578785447</v>
      </c>
    </row>
    <row r="1316" spans="2:11" ht="15" customHeight="1" x14ac:dyDescent="0.35">
      <c r="B1316" s="5">
        <v>1295</v>
      </c>
      <c r="C1316" s="46">
        <f t="shared" ca="1" si="180"/>
        <v>3.6105011672068024</v>
      </c>
      <c r="D1316" s="47">
        <f t="shared" ca="1" si="181"/>
        <v>13906710690.665541</v>
      </c>
      <c r="E1316" s="47">
        <f t="shared" ca="1" si="182"/>
        <v>93956059304507.078</v>
      </c>
      <c r="F1316" s="47">
        <f t="shared" ca="1" si="183"/>
        <v>20268820126140.402</v>
      </c>
      <c r="G1316" s="47">
        <f t="shared" ca="1" si="184"/>
        <v>3712274714129.7354</v>
      </c>
      <c r="H1316" s="47">
        <f t="shared" ca="1" si="185"/>
        <v>93956059304507.078</v>
      </c>
      <c r="I1316" s="47">
        <f t="shared" ca="1" si="186"/>
        <v>50351670819367.734</v>
      </c>
      <c r="J1316" s="47">
        <f t="shared" ca="1" si="187"/>
        <v>1464211324101.252</v>
      </c>
      <c r="K1316" s="48">
        <f t="shared" ca="1" si="188"/>
        <v>34.388253929311816</v>
      </c>
    </row>
    <row r="1317" spans="2:11" ht="15" customHeight="1" x14ac:dyDescent="0.35">
      <c r="B1317" s="5">
        <v>1296</v>
      </c>
      <c r="C1317" s="46">
        <f t="shared" ca="1" si="180"/>
        <v>3.0774338436250064</v>
      </c>
      <c r="D1317" s="47">
        <f t="shared" ca="1" si="181"/>
        <v>4658493107.5418072</v>
      </c>
      <c r="E1317" s="47">
        <f t="shared" ca="1" si="182"/>
        <v>17251680878265.752</v>
      </c>
      <c r="F1317" s="47">
        <f t="shared" ca="1" si="183"/>
        <v>767070698621.24536</v>
      </c>
      <c r="G1317" s="47">
        <f t="shared" ca="1" si="184"/>
        <v>4139836456833.4028</v>
      </c>
      <c r="H1317" s="47">
        <f t="shared" ca="1" si="185"/>
        <v>17251680878265.752</v>
      </c>
      <c r="I1317" s="47">
        <f t="shared" ca="1" si="186"/>
        <v>238071675389379.63</v>
      </c>
      <c r="J1317" s="47">
        <f t="shared" ca="1" si="187"/>
        <v>1221058860226.1572</v>
      </c>
      <c r="K1317" s="48">
        <f t="shared" ca="1" si="188"/>
        <v>194.97149821695362</v>
      </c>
    </row>
    <row r="1318" spans="2:11" ht="15" customHeight="1" x14ac:dyDescent="0.35">
      <c r="B1318" s="5">
        <v>1297</v>
      </c>
      <c r="C1318" s="46">
        <f t="shared" ca="1" si="180"/>
        <v>2.9603657506541028</v>
      </c>
      <c r="D1318" s="47">
        <f t="shared" ca="1" si="181"/>
        <v>4053602145.2691364</v>
      </c>
      <c r="E1318" s="47">
        <f t="shared" ca="1" si="182"/>
        <v>14246147997149.418</v>
      </c>
      <c r="F1318" s="47">
        <f t="shared" ca="1" si="183"/>
        <v>1287487435562.5264</v>
      </c>
      <c r="G1318" s="47">
        <f t="shared" ca="1" si="184"/>
        <v>1658507531619.2632</v>
      </c>
      <c r="H1318" s="47">
        <f t="shared" ca="1" si="185"/>
        <v>14246147997149.418</v>
      </c>
      <c r="I1318" s="47">
        <f t="shared" ca="1" si="186"/>
        <v>14101411647043.367</v>
      </c>
      <c r="J1318" s="47">
        <f t="shared" ca="1" si="187"/>
        <v>1559598091736.5356</v>
      </c>
      <c r="K1318" s="48">
        <f t="shared" ca="1" si="188"/>
        <v>9.0416958841890729</v>
      </c>
    </row>
    <row r="1319" spans="2:11" ht="15" customHeight="1" x14ac:dyDescent="0.35">
      <c r="B1319" s="5">
        <v>1298</v>
      </c>
      <c r="C1319" s="46">
        <f t="shared" ca="1" si="180"/>
        <v>3.070511639472727</v>
      </c>
      <c r="D1319" s="47">
        <f t="shared" ca="1" si="181"/>
        <v>5797226688.6195335</v>
      </c>
      <c r="E1319" s="47">
        <f t="shared" ca="1" si="182"/>
        <v>18602385353160.652</v>
      </c>
      <c r="F1319" s="47">
        <f t="shared" ca="1" si="183"/>
        <v>23013979403167.941</v>
      </c>
      <c r="G1319" s="47">
        <f t="shared" ca="1" si="184"/>
        <v>774246319308.2301</v>
      </c>
      <c r="H1319" s="47">
        <f t="shared" ca="1" si="185"/>
        <v>18602385353160.652</v>
      </c>
      <c r="I1319" s="47">
        <f t="shared" ca="1" si="186"/>
        <v>741349610551.39905</v>
      </c>
      <c r="J1319" s="47">
        <f t="shared" ca="1" si="187"/>
        <v>962565105257.7345</v>
      </c>
      <c r="K1319" s="48">
        <f t="shared" ca="1" si="188"/>
        <v>0.77018126514455021</v>
      </c>
    </row>
    <row r="1320" spans="2:11" ht="15" customHeight="1" x14ac:dyDescent="0.35">
      <c r="B1320" s="5">
        <v>1299</v>
      </c>
      <c r="C1320" s="46">
        <f t="shared" ca="1" si="180"/>
        <v>3.0268394270792744</v>
      </c>
      <c r="D1320" s="47">
        <f t="shared" ca="1" si="181"/>
        <v>4209466249.2581677</v>
      </c>
      <c r="E1320" s="47">
        <f t="shared" ca="1" si="182"/>
        <v>6268838643498.6279</v>
      </c>
      <c r="F1320" s="47">
        <f t="shared" ca="1" si="183"/>
        <v>2653643514898.7295</v>
      </c>
      <c r="G1320" s="47">
        <f t="shared" ca="1" si="184"/>
        <v>10624696128675.787</v>
      </c>
      <c r="H1320" s="47">
        <f t="shared" ca="1" si="185"/>
        <v>6268838643498.6279</v>
      </c>
      <c r="I1320" s="47">
        <f t="shared" ca="1" si="186"/>
        <v>18383197656263.48</v>
      </c>
      <c r="J1320" s="47">
        <f t="shared" ca="1" si="187"/>
        <v>2505112396401.5137</v>
      </c>
      <c r="K1320" s="48">
        <f t="shared" ca="1" si="188"/>
        <v>7.3382725991337372</v>
      </c>
    </row>
    <row r="1321" spans="2:11" ht="15" customHeight="1" x14ac:dyDescent="0.35">
      <c r="B1321" s="5">
        <v>1300</v>
      </c>
      <c r="C1321" s="46">
        <f t="shared" ca="1" si="180"/>
        <v>3.0848184861430483</v>
      </c>
      <c r="D1321" s="47">
        <f t="shared" ca="1" si="181"/>
        <v>4958010630.5925274</v>
      </c>
      <c r="E1321" s="47">
        <f t="shared" ca="1" si="182"/>
        <v>10921844804115.523</v>
      </c>
      <c r="F1321" s="47">
        <f t="shared" ca="1" si="183"/>
        <v>789591379273.12585</v>
      </c>
      <c r="G1321" s="47">
        <f t="shared" ca="1" si="184"/>
        <v>7452187922328.9063</v>
      </c>
      <c r="H1321" s="47">
        <f t="shared" ca="1" si="185"/>
        <v>10921844804115.523</v>
      </c>
      <c r="I1321" s="47">
        <f t="shared" ca="1" si="186"/>
        <v>33605556975956.09</v>
      </c>
      <c r="J1321" s="47">
        <f t="shared" ca="1" si="187"/>
        <v>1515660692314.2827</v>
      </c>
      <c r="K1321" s="48">
        <f t="shared" ca="1" si="188"/>
        <v>22.172216477187458</v>
      </c>
    </row>
    <row r="1322" spans="2:11" ht="15" customHeight="1" x14ac:dyDescent="0.35">
      <c r="B1322" s="5">
        <v>1301</v>
      </c>
      <c r="C1322" s="46">
        <f t="shared" ca="1" si="180"/>
        <v>3.1198208363721762</v>
      </c>
      <c r="D1322" s="47">
        <f t="shared" ca="1" si="181"/>
        <v>5665943573.7249861</v>
      </c>
      <c r="E1322" s="47">
        <f t="shared" ca="1" si="182"/>
        <v>13999785289144.912</v>
      </c>
      <c r="F1322" s="47">
        <f t="shared" ca="1" si="183"/>
        <v>16221784081681.75</v>
      </c>
      <c r="G1322" s="47">
        <f t="shared" ca="1" si="184"/>
        <v>116945799892897.72</v>
      </c>
      <c r="H1322" s="47">
        <f t="shared" ca="1" si="185"/>
        <v>116945799892897.72</v>
      </c>
      <c r="I1322" s="47">
        <f t="shared" ca="1" si="186"/>
        <v>159633051360897.44</v>
      </c>
      <c r="J1322" s="47">
        <f t="shared" ca="1" si="187"/>
        <v>2104212603521.7068</v>
      </c>
      <c r="K1322" s="48">
        <f t="shared" ca="1" si="188"/>
        <v>75.863556322078978</v>
      </c>
    </row>
    <row r="1323" spans="2:11" ht="15" customHeight="1" x14ac:dyDescent="0.35">
      <c r="B1323" s="5">
        <v>1302</v>
      </c>
      <c r="C1323" s="46">
        <f t="shared" ca="1" si="180"/>
        <v>3.0617552302911801</v>
      </c>
      <c r="D1323" s="47">
        <f t="shared" ca="1" si="181"/>
        <v>6159834624.3229027</v>
      </c>
      <c r="E1323" s="47">
        <f t="shared" ca="1" si="182"/>
        <v>20462596805067.938</v>
      </c>
      <c r="F1323" s="47">
        <f t="shared" ca="1" si="183"/>
        <v>8969629035231.627</v>
      </c>
      <c r="G1323" s="47">
        <f t="shared" ca="1" si="184"/>
        <v>260384385439.61722</v>
      </c>
      <c r="H1323" s="47">
        <f t="shared" ca="1" si="185"/>
        <v>260384385439.61722</v>
      </c>
      <c r="I1323" s="47">
        <f t="shared" ca="1" si="186"/>
        <v>33513943372971.527</v>
      </c>
      <c r="J1323" s="47">
        <f t="shared" ca="1" si="187"/>
        <v>1562495352023.1943</v>
      </c>
      <c r="K1323" s="48">
        <f t="shared" ca="1" si="188"/>
        <v>21.448987563115665</v>
      </c>
    </row>
    <row r="1324" spans="2:11" ht="15" customHeight="1" x14ac:dyDescent="0.35">
      <c r="B1324" s="5">
        <v>1303</v>
      </c>
      <c r="C1324" s="46">
        <f t="shared" ca="1" si="180"/>
        <v>2.7198634219611422</v>
      </c>
      <c r="D1324" s="47">
        <f t="shared" ca="1" si="181"/>
        <v>2426171477.8196888</v>
      </c>
      <c r="E1324" s="47">
        <f t="shared" ca="1" si="182"/>
        <v>2868529249968.8335</v>
      </c>
      <c r="F1324" s="47">
        <f t="shared" ca="1" si="183"/>
        <v>1564189494882.9614</v>
      </c>
      <c r="G1324" s="47">
        <f t="shared" ca="1" si="184"/>
        <v>6246788618049.9922</v>
      </c>
      <c r="H1324" s="47">
        <f t="shared" ca="1" si="185"/>
        <v>1564189494882.9614</v>
      </c>
      <c r="I1324" s="47">
        <f t="shared" ca="1" si="186"/>
        <v>10322050770920.514</v>
      </c>
      <c r="J1324" s="47">
        <f t="shared" ca="1" si="187"/>
        <v>802955474206.703</v>
      </c>
      <c r="K1324" s="48">
        <f t="shared" ca="1" si="188"/>
        <v>12.855072419947575</v>
      </c>
    </row>
    <row r="1325" spans="2:11" ht="15" customHeight="1" x14ac:dyDescent="0.35">
      <c r="B1325" s="5">
        <v>1304</v>
      </c>
      <c r="C1325" s="46">
        <f t="shared" ca="1" si="180"/>
        <v>2.2909488010657881</v>
      </c>
      <c r="D1325" s="47">
        <f t="shared" ca="1" si="181"/>
        <v>1353055930.8054199</v>
      </c>
      <c r="E1325" s="47">
        <f t="shared" ca="1" si="182"/>
        <v>1922208556817.8838</v>
      </c>
      <c r="F1325" s="47">
        <f t="shared" ca="1" si="183"/>
        <v>25426824807668.855</v>
      </c>
      <c r="G1325" s="47">
        <f t="shared" ca="1" si="184"/>
        <v>6825147024198.8604</v>
      </c>
      <c r="H1325" s="47">
        <f t="shared" ca="1" si="185"/>
        <v>1922208556817.8838</v>
      </c>
      <c r="I1325" s="47">
        <f t="shared" ca="1" si="186"/>
        <v>8262811267008.3926</v>
      </c>
      <c r="J1325" s="47">
        <f t="shared" ca="1" si="187"/>
        <v>720928582271.90601</v>
      </c>
      <c r="K1325" s="48">
        <f t="shared" ca="1" si="188"/>
        <v>11.461345090479412</v>
      </c>
    </row>
    <row r="1326" spans="2:11" ht="15" customHeight="1" x14ac:dyDescent="0.35">
      <c r="B1326" s="5">
        <v>1305</v>
      </c>
      <c r="C1326" s="46">
        <f t="shared" ca="1" si="180"/>
        <v>2.5844457333376445</v>
      </c>
      <c r="D1326" s="47">
        <f t="shared" ca="1" si="181"/>
        <v>2100237184.2048013</v>
      </c>
      <c r="E1326" s="47">
        <f t="shared" ca="1" si="182"/>
        <v>8627009463551.4063</v>
      </c>
      <c r="F1326" s="47">
        <f t="shared" ca="1" si="183"/>
        <v>11169406582432.543</v>
      </c>
      <c r="G1326" s="47">
        <f t="shared" ca="1" si="184"/>
        <v>1283721309844.3669</v>
      </c>
      <c r="H1326" s="47">
        <f t="shared" ca="1" si="185"/>
        <v>8627009463551.4063</v>
      </c>
      <c r="I1326" s="47">
        <f t="shared" ca="1" si="186"/>
        <v>44012372602242.063</v>
      </c>
      <c r="J1326" s="47">
        <f t="shared" ca="1" si="187"/>
        <v>1193974581600.3843</v>
      </c>
      <c r="K1326" s="48">
        <f t="shared" ca="1" si="188"/>
        <v>36.86206832246679</v>
      </c>
    </row>
    <row r="1327" spans="2:11" ht="15" customHeight="1" x14ac:dyDescent="0.35">
      <c r="B1327" s="5">
        <v>1306</v>
      </c>
      <c r="C1327" s="46">
        <f t="shared" ca="1" si="180"/>
        <v>2.7716303854454258</v>
      </c>
      <c r="D1327" s="47">
        <f t="shared" ca="1" si="181"/>
        <v>3838200195.313983</v>
      </c>
      <c r="E1327" s="47">
        <f t="shared" ca="1" si="182"/>
        <v>2685345543422.8096</v>
      </c>
      <c r="F1327" s="47">
        <f t="shared" ca="1" si="183"/>
        <v>2664037507026.0439</v>
      </c>
      <c r="G1327" s="47">
        <f t="shared" ca="1" si="184"/>
        <v>10168907328582.184</v>
      </c>
      <c r="H1327" s="47">
        <f t="shared" ca="1" si="185"/>
        <v>2685345543422.8096</v>
      </c>
      <c r="I1327" s="47">
        <f t="shared" ca="1" si="186"/>
        <v>2299420209106.5166</v>
      </c>
      <c r="J1327" s="47">
        <f t="shared" ca="1" si="187"/>
        <v>1064982625776.2203</v>
      </c>
      <c r="K1327" s="48">
        <f t="shared" ca="1" si="188"/>
        <v>2.1591152319790825</v>
      </c>
    </row>
    <row r="1328" spans="2:11" ht="15" customHeight="1" x14ac:dyDescent="0.35">
      <c r="B1328" s="5">
        <v>1307</v>
      </c>
      <c r="C1328" s="46">
        <f t="shared" ca="1" si="180"/>
        <v>3.0635509693692633</v>
      </c>
      <c r="D1328" s="47">
        <f t="shared" ca="1" si="181"/>
        <v>5242485336.9993801</v>
      </c>
      <c r="E1328" s="47">
        <f t="shared" ca="1" si="182"/>
        <v>15573079691801.84</v>
      </c>
      <c r="F1328" s="47">
        <f t="shared" ca="1" si="183"/>
        <v>4513945976601.5469</v>
      </c>
      <c r="G1328" s="47">
        <f t="shared" ca="1" si="184"/>
        <v>14154876369584.736</v>
      </c>
      <c r="H1328" s="47">
        <f t="shared" ca="1" si="185"/>
        <v>4513945976601.5469</v>
      </c>
      <c r="I1328" s="47">
        <f t="shared" ca="1" si="186"/>
        <v>8648549096802.4863</v>
      </c>
      <c r="J1328" s="47">
        <f t="shared" ca="1" si="187"/>
        <v>679194933007.302</v>
      </c>
      <c r="K1328" s="48">
        <f t="shared" ca="1" si="188"/>
        <v>12.73353006111061</v>
      </c>
    </row>
    <row r="1329" spans="2:11" ht="15" customHeight="1" x14ac:dyDescent="0.35">
      <c r="B1329" s="5">
        <v>1308</v>
      </c>
      <c r="C1329" s="46">
        <f t="shared" ca="1" si="180"/>
        <v>2.6731757074925557</v>
      </c>
      <c r="D1329" s="47">
        <f t="shared" ca="1" si="181"/>
        <v>2976399847.9763842</v>
      </c>
      <c r="E1329" s="47">
        <f t="shared" ca="1" si="182"/>
        <v>8687357512655.8789</v>
      </c>
      <c r="F1329" s="47">
        <f t="shared" ca="1" si="183"/>
        <v>3828767963901.4185</v>
      </c>
      <c r="G1329" s="47">
        <f t="shared" ca="1" si="184"/>
        <v>494473359943.31189</v>
      </c>
      <c r="H1329" s="47">
        <f t="shared" ca="1" si="185"/>
        <v>8687357512655.8789</v>
      </c>
      <c r="I1329" s="47">
        <f t="shared" ca="1" si="186"/>
        <v>3179326925659.1826</v>
      </c>
      <c r="J1329" s="47">
        <f t="shared" ca="1" si="187"/>
        <v>744733114348.90198</v>
      </c>
      <c r="K1329" s="48">
        <f t="shared" ca="1" si="188"/>
        <v>4.269082258331931</v>
      </c>
    </row>
    <row r="1330" spans="2:11" ht="15" customHeight="1" x14ac:dyDescent="0.35">
      <c r="B1330" s="5">
        <v>1309</v>
      </c>
      <c r="C1330" s="46">
        <f t="shared" ca="1" si="180"/>
        <v>3.8378568822691892</v>
      </c>
      <c r="D1330" s="47">
        <f t="shared" ca="1" si="181"/>
        <v>14803385645.36134</v>
      </c>
      <c r="E1330" s="47">
        <f t="shared" ca="1" si="182"/>
        <v>37646775011776.531</v>
      </c>
      <c r="F1330" s="47">
        <f t="shared" ca="1" si="183"/>
        <v>2502632090537.3149</v>
      </c>
      <c r="G1330" s="47">
        <f t="shared" ca="1" si="184"/>
        <v>2056850575937.5037</v>
      </c>
      <c r="H1330" s="47">
        <f t="shared" ca="1" si="185"/>
        <v>2502632090537.3149</v>
      </c>
      <c r="I1330" s="47">
        <f t="shared" ca="1" si="186"/>
        <v>24476793957878.086</v>
      </c>
      <c r="J1330" s="47">
        <f t="shared" ca="1" si="187"/>
        <v>627229573480.29456</v>
      </c>
      <c r="K1330" s="48">
        <f t="shared" ca="1" si="188"/>
        <v>39.023660542764674</v>
      </c>
    </row>
    <row r="1331" spans="2:11" ht="15" customHeight="1" x14ac:dyDescent="0.35">
      <c r="B1331" s="5">
        <v>1310</v>
      </c>
      <c r="C1331" s="46">
        <f t="shared" ca="1" si="180"/>
        <v>2.9281549889177607</v>
      </c>
      <c r="D1331" s="47">
        <f t="shared" ca="1" si="181"/>
        <v>4328222681.9691229</v>
      </c>
      <c r="E1331" s="47">
        <f t="shared" ca="1" si="182"/>
        <v>22916068062189.668</v>
      </c>
      <c r="F1331" s="47">
        <f t="shared" ca="1" si="183"/>
        <v>2008860125717.4897</v>
      </c>
      <c r="G1331" s="47">
        <f t="shared" ca="1" si="184"/>
        <v>8524674132074.5166</v>
      </c>
      <c r="H1331" s="47">
        <f t="shared" ca="1" si="185"/>
        <v>8524674132074.5166</v>
      </c>
      <c r="I1331" s="47">
        <f t="shared" ca="1" si="186"/>
        <v>7050951777108.8105</v>
      </c>
      <c r="J1331" s="47">
        <f t="shared" ca="1" si="187"/>
        <v>1763967182376.4629</v>
      </c>
      <c r="K1331" s="48">
        <f t="shared" ca="1" si="188"/>
        <v>3.9972125601620228</v>
      </c>
    </row>
    <row r="1332" spans="2:11" ht="15" customHeight="1" x14ac:dyDescent="0.35">
      <c r="B1332" s="5">
        <v>1311</v>
      </c>
      <c r="C1332" s="46">
        <f t="shared" ca="1" si="180"/>
        <v>3.085312985357338</v>
      </c>
      <c r="D1332" s="47">
        <f t="shared" ca="1" si="181"/>
        <v>5655131881.2547932</v>
      </c>
      <c r="E1332" s="47">
        <f t="shared" ca="1" si="182"/>
        <v>130248614438894.98</v>
      </c>
      <c r="F1332" s="47">
        <f t="shared" ca="1" si="183"/>
        <v>2553438631212.3174</v>
      </c>
      <c r="G1332" s="47">
        <f t="shared" ca="1" si="184"/>
        <v>2980088382652.7559</v>
      </c>
      <c r="H1332" s="47">
        <f t="shared" ca="1" si="185"/>
        <v>130248614438894.98</v>
      </c>
      <c r="I1332" s="47">
        <f t="shared" ca="1" si="186"/>
        <v>15361106062337.936</v>
      </c>
      <c r="J1332" s="47">
        <f t="shared" ca="1" si="187"/>
        <v>880708497803.1261</v>
      </c>
      <c r="K1332" s="48">
        <f t="shared" ca="1" si="188"/>
        <v>17.441759788460406</v>
      </c>
    </row>
    <row r="1333" spans="2:11" ht="15" customHeight="1" x14ac:dyDescent="0.35">
      <c r="B1333" s="5">
        <v>1312</v>
      </c>
      <c r="C1333" s="46">
        <f t="shared" ca="1" si="180"/>
        <v>2.6706489402398925</v>
      </c>
      <c r="D1333" s="47">
        <f t="shared" ca="1" si="181"/>
        <v>2983116096.951509</v>
      </c>
      <c r="E1333" s="47">
        <f t="shared" ca="1" si="182"/>
        <v>10456444167949.402</v>
      </c>
      <c r="F1333" s="47">
        <f t="shared" ca="1" si="183"/>
        <v>790767725982.20679</v>
      </c>
      <c r="G1333" s="47">
        <f t="shared" ca="1" si="184"/>
        <v>27617834074359.043</v>
      </c>
      <c r="H1333" s="47">
        <f t="shared" ca="1" si="185"/>
        <v>27617834074359.043</v>
      </c>
      <c r="I1333" s="47">
        <f t="shared" ca="1" si="186"/>
        <v>94681117873405.563</v>
      </c>
      <c r="J1333" s="47">
        <f t="shared" ca="1" si="187"/>
        <v>1100630490799.8137</v>
      </c>
      <c r="K1333" s="48">
        <f t="shared" ca="1" si="188"/>
        <v>86.024436597792274</v>
      </c>
    </row>
    <row r="1334" spans="2:11" ht="15" customHeight="1" x14ac:dyDescent="0.35">
      <c r="B1334" s="5">
        <v>1313</v>
      </c>
      <c r="C1334" s="46">
        <f t="shared" ca="1" si="180"/>
        <v>2.7102308350328617</v>
      </c>
      <c r="D1334" s="47">
        <f t="shared" ca="1" si="181"/>
        <v>2613079067.0144801</v>
      </c>
      <c r="E1334" s="47">
        <f t="shared" ca="1" si="182"/>
        <v>8236001483842.1748</v>
      </c>
      <c r="F1334" s="47">
        <f t="shared" ca="1" si="183"/>
        <v>1275433065329.219</v>
      </c>
      <c r="G1334" s="47">
        <f t="shared" ca="1" si="184"/>
        <v>10006069556511.33</v>
      </c>
      <c r="H1334" s="47">
        <f t="shared" ca="1" si="185"/>
        <v>8236001483842.1748</v>
      </c>
      <c r="I1334" s="47">
        <f t="shared" ca="1" si="186"/>
        <v>6821954338369.876</v>
      </c>
      <c r="J1334" s="47">
        <f t="shared" ca="1" si="187"/>
        <v>956557169473.18665</v>
      </c>
      <c r="K1334" s="48">
        <f t="shared" ca="1" si="188"/>
        <v>7.1317790050405376</v>
      </c>
    </row>
    <row r="1335" spans="2:11" ht="15" customHeight="1" x14ac:dyDescent="0.35">
      <c r="B1335" s="5">
        <v>1314</v>
      </c>
      <c r="C1335" s="46">
        <f t="shared" ca="1" si="180"/>
        <v>2.6539968354956929</v>
      </c>
      <c r="D1335" s="47">
        <f t="shared" ca="1" si="181"/>
        <v>3092938359.9562612</v>
      </c>
      <c r="E1335" s="47">
        <f t="shared" ca="1" si="182"/>
        <v>28845047294946.77</v>
      </c>
      <c r="F1335" s="47">
        <f t="shared" ca="1" si="183"/>
        <v>3735616653322.2817</v>
      </c>
      <c r="G1335" s="47">
        <f t="shared" ca="1" si="184"/>
        <v>6231195170496.4111</v>
      </c>
      <c r="H1335" s="47">
        <f t="shared" ca="1" si="185"/>
        <v>6231195170496.4111</v>
      </c>
      <c r="I1335" s="47">
        <f t="shared" ca="1" si="186"/>
        <v>4926520311427.8838</v>
      </c>
      <c r="J1335" s="47">
        <f t="shared" ca="1" si="187"/>
        <v>2016674603159.9883</v>
      </c>
      <c r="K1335" s="48">
        <f t="shared" ca="1" si="188"/>
        <v>2.4428930198795435</v>
      </c>
    </row>
    <row r="1336" spans="2:11" ht="15" customHeight="1" x14ac:dyDescent="0.35">
      <c r="B1336" s="5">
        <v>1315</v>
      </c>
      <c r="C1336" s="46">
        <f t="shared" ca="1" si="180"/>
        <v>3.1528957593693763</v>
      </c>
      <c r="D1336" s="47">
        <f t="shared" ca="1" si="181"/>
        <v>7400025254.2774773</v>
      </c>
      <c r="E1336" s="47">
        <f t="shared" ca="1" si="182"/>
        <v>39555376812533.703</v>
      </c>
      <c r="F1336" s="47">
        <f t="shared" ca="1" si="183"/>
        <v>7036665520691.6602</v>
      </c>
      <c r="G1336" s="47">
        <f t="shared" ca="1" si="184"/>
        <v>3159978433712.2861</v>
      </c>
      <c r="H1336" s="47">
        <f t="shared" ca="1" si="185"/>
        <v>7036665520691.6602</v>
      </c>
      <c r="I1336" s="47">
        <f t="shared" ca="1" si="186"/>
        <v>13642013423117.602</v>
      </c>
      <c r="J1336" s="47">
        <f t="shared" ca="1" si="187"/>
        <v>1546385533992.6177</v>
      </c>
      <c r="K1336" s="48">
        <f t="shared" ca="1" si="188"/>
        <v>8.8218708227923237</v>
      </c>
    </row>
    <row r="1337" spans="2:11" ht="15" customHeight="1" x14ac:dyDescent="0.35">
      <c r="B1337" s="5">
        <v>1316</v>
      </c>
      <c r="C1337" s="46">
        <f t="shared" ca="1" si="180"/>
        <v>3.3882671854181337</v>
      </c>
      <c r="D1337" s="47">
        <f t="shared" ca="1" si="181"/>
        <v>9319464009.5053711</v>
      </c>
      <c r="E1337" s="47">
        <f t="shared" ca="1" si="182"/>
        <v>64583171438752.531</v>
      </c>
      <c r="F1337" s="47">
        <f t="shared" ca="1" si="183"/>
        <v>4295477796121.7354</v>
      </c>
      <c r="G1337" s="47">
        <f t="shared" ca="1" si="184"/>
        <v>67621762519991.852</v>
      </c>
      <c r="H1337" s="47">
        <f t="shared" ca="1" si="185"/>
        <v>4295477796121.7354</v>
      </c>
      <c r="I1337" s="47">
        <f t="shared" ca="1" si="186"/>
        <v>5133335563845.3613</v>
      </c>
      <c r="J1337" s="47">
        <f t="shared" ca="1" si="187"/>
        <v>577012301095.41321</v>
      </c>
      <c r="K1337" s="48">
        <f t="shared" ca="1" si="188"/>
        <v>8.8964057683001236</v>
      </c>
    </row>
    <row r="1338" spans="2:11" ht="15" customHeight="1" x14ac:dyDescent="0.35">
      <c r="B1338" s="5">
        <v>1317</v>
      </c>
      <c r="C1338" s="46">
        <f t="shared" ca="1" si="180"/>
        <v>2.9865375507187761</v>
      </c>
      <c r="D1338" s="47">
        <f t="shared" ca="1" si="181"/>
        <v>4725092661.551281</v>
      </c>
      <c r="E1338" s="47">
        <f t="shared" ca="1" si="182"/>
        <v>12715606175224.203</v>
      </c>
      <c r="F1338" s="47">
        <f t="shared" ca="1" si="183"/>
        <v>54293039178331.047</v>
      </c>
      <c r="G1338" s="47">
        <f t="shared" ca="1" si="184"/>
        <v>4942083660981.4619</v>
      </c>
      <c r="H1338" s="47">
        <f t="shared" ca="1" si="185"/>
        <v>12715606175224.203</v>
      </c>
      <c r="I1338" s="47">
        <f t="shared" ca="1" si="186"/>
        <v>13792622790908.334</v>
      </c>
      <c r="J1338" s="47">
        <f t="shared" ca="1" si="187"/>
        <v>768482628892.65442</v>
      </c>
      <c r="K1338" s="48">
        <f t="shared" ca="1" si="188"/>
        <v>17.947865406902981</v>
      </c>
    </row>
    <row r="1339" spans="2:11" ht="15" customHeight="1" x14ac:dyDescent="0.35">
      <c r="B1339" s="5">
        <v>1318</v>
      </c>
      <c r="C1339" s="46">
        <f t="shared" ca="1" si="180"/>
        <v>3.1264031945979993</v>
      </c>
      <c r="D1339" s="47">
        <f t="shared" ca="1" si="181"/>
        <v>5016649111.8414831</v>
      </c>
      <c r="E1339" s="47">
        <f t="shared" ca="1" si="182"/>
        <v>8267519046126.3594</v>
      </c>
      <c r="F1339" s="47">
        <f t="shared" ca="1" si="183"/>
        <v>1986993943158.7791</v>
      </c>
      <c r="G1339" s="47">
        <f t="shared" ca="1" si="184"/>
        <v>48439271715833.828</v>
      </c>
      <c r="H1339" s="47">
        <f t="shared" ca="1" si="185"/>
        <v>8267519046126.3594</v>
      </c>
      <c r="I1339" s="47">
        <f t="shared" ca="1" si="186"/>
        <v>2771187710735.0732</v>
      </c>
      <c r="J1339" s="47">
        <f t="shared" ca="1" si="187"/>
        <v>1701711175777.4138</v>
      </c>
      <c r="K1339" s="48">
        <f t="shared" ca="1" si="188"/>
        <v>1.6284712412898605</v>
      </c>
    </row>
    <row r="1340" spans="2:11" ht="15" customHeight="1" x14ac:dyDescent="0.35">
      <c r="B1340" s="5">
        <v>1319</v>
      </c>
      <c r="C1340" s="46">
        <f t="shared" ca="1" si="180"/>
        <v>3.7633851594227528</v>
      </c>
      <c r="D1340" s="47">
        <f t="shared" ca="1" si="181"/>
        <v>15626444643.101976</v>
      </c>
      <c r="E1340" s="47">
        <f t="shared" ca="1" si="182"/>
        <v>85062208089682.078</v>
      </c>
      <c r="F1340" s="47">
        <f t="shared" ca="1" si="183"/>
        <v>1050472702527.3462</v>
      </c>
      <c r="G1340" s="47">
        <f t="shared" ca="1" si="184"/>
        <v>5761289498984.8418</v>
      </c>
      <c r="H1340" s="47">
        <f t="shared" ca="1" si="185"/>
        <v>5761289498984.8418</v>
      </c>
      <c r="I1340" s="47">
        <f t="shared" ca="1" si="186"/>
        <v>17281961950428.533</v>
      </c>
      <c r="J1340" s="47">
        <f t="shared" ca="1" si="187"/>
        <v>911332807812.59094</v>
      </c>
      <c r="K1340" s="48">
        <f t="shared" ca="1" si="188"/>
        <v>18.963392738937195</v>
      </c>
    </row>
    <row r="1341" spans="2:11" ht="15" customHeight="1" x14ac:dyDescent="0.35">
      <c r="B1341" s="5">
        <v>1320</v>
      </c>
      <c r="C1341" s="46">
        <f t="shared" ca="1" si="180"/>
        <v>3.24869901374081</v>
      </c>
      <c r="D1341" s="47">
        <f t="shared" ca="1" si="181"/>
        <v>8557617135.2902937</v>
      </c>
      <c r="E1341" s="47">
        <f t="shared" ca="1" si="182"/>
        <v>51455145307839.508</v>
      </c>
      <c r="F1341" s="47">
        <f t="shared" ca="1" si="183"/>
        <v>4822805836994.8506</v>
      </c>
      <c r="G1341" s="47">
        <f t="shared" ca="1" si="184"/>
        <v>3991431460526.9893</v>
      </c>
      <c r="H1341" s="47">
        <f t="shared" ca="1" si="185"/>
        <v>51455145307839.508</v>
      </c>
      <c r="I1341" s="47">
        <f t="shared" ca="1" si="186"/>
        <v>1399747188716.7241</v>
      </c>
      <c r="J1341" s="47">
        <f t="shared" ca="1" si="187"/>
        <v>1371336675626.9722</v>
      </c>
      <c r="K1341" s="48">
        <f t="shared" ca="1" si="188"/>
        <v>1.0207173873452795</v>
      </c>
    </row>
    <row r="1342" spans="2:11" ht="15" customHeight="1" x14ac:dyDescent="0.35">
      <c r="B1342" s="5">
        <v>1321</v>
      </c>
      <c r="C1342" s="46">
        <f t="shared" ca="1" si="180"/>
        <v>2.0874263129585762</v>
      </c>
      <c r="D1342" s="47">
        <f t="shared" ca="1" si="181"/>
        <v>697284468.2638185</v>
      </c>
      <c r="E1342" s="47">
        <f t="shared" ca="1" si="182"/>
        <v>3071810562864.022</v>
      </c>
      <c r="F1342" s="47">
        <f t="shared" ca="1" si="183"/>
        <v>17141480320107.215</v>
      </c>
      <c r="G1342" s="47">
        <f t="shared" ca="1" si="184"/>
        <v>13086907068645.311</v>
      </c>
      <c r="H1342" s="47">
        <f t="shared" ca="1" si="185"/>
        <v>17141480320107.215</v>
      </c>
      <c r="I1342" s="47">
        <f t="shared" ca="1" si="186"/>
        <v>177109040381199.41</v>
      </c>
      <c r="J1342" s="47">
        <f t="shared" ca="1" si="187"/>
        <v>807774685750.24341</v>
      </c>
      <c r="K1342" s="48">
        <f t="shared" ca="1" si="188"/>
        <v>219.25549723894159</v>
      </c>
    </row>
    <row r="1343" spans="2:11" ht="15" customHeight="1" x14ac:dyDescent="0.35">
      <c r="B1343" s="5">
        <v>1322</v>
      </c>
      <c r="C1343" s="46">
        <f t="shared" ca="1" si="180"/>
        <v>3.4617428479081815</v>
      </c>
      <c r="D1343" s="47">
        <f t="shared" ca="1" si="181"/>
        <v>9967266706.8921642</v>
      </c>
      <c r="E1343" s="47">
        <f t="shared" ca="1" si="182"/>
        <v>17591134596510.826</v>
      </c>
      <c r="F1343" s="47">
        <f t="shared" ca="1" si="183"/>
        <v>5576261675718.5146</v>
      </c>
      <c r="G1343" s="47">
        <f t="shared" ca="1" si="184"/>
        <v>7113883679351.5586</v>
      </c>
      <c r="H1343" s="47">
        <f t="shared" ca="1" si="185"/>
        <v>5576261675718.5146</v>
      </c>
      <c r="I1343" s="47">
        <f t="shared" ca="1" si="186"/>
        <v>1761015112655.728</v>
      </c>
      <c r="J1343" s="47">
        <f t="shared" ca="1" si="187"/>
        <v>1370169668255.9143</v>
      </c>
      <c r="K1343" s="48">
        <f t="shared" ca="1" si="188"/>
        <v>1.2852533182239538</v>
      </c>
    </row>
    <row r="1344" spans="2:11" ht="15" customHeight="1" x14ac:dyDescent="0.35">
      <c r="B1344" s="5">
        <v>1323</v>
      </c>
      <c r="C1344" s="46">
        <f t="shared" ca="1" si="180"/>
        <v>3.0456021816983601</v>
      </c>
      <c r="D1344" s="47">
        <f t="shared" ca="1" si="181"/>
        <v>6041048098.0947742</v>
      </c>
      <c r="E1344" s="47">
        <f t="shared" ca="1" si="182"/>
        <v>6004528011153.0322</v>
      </c>
      <c r="F1344" s="47">
        <f t="shared" ca="1" si="183"/>
        <v>22971784744415.277</v>
      </c>
      <c r="G1344" s="47">
        <f t="shared" ca="1" si="184"/>
        <v>2014255904919.4097</v>
      </c>
      <c r="H1344" s="47">
        <f t="shared" ca="1" si="185"/>
        <v>6004528011153.0322</v>
      </c>
      <c r="I1344" s="47">
        <f t="shared" ca="1" si="186"/>
        <v>26580448817662.414</v>
      </c>
      <c r="J1344" s="47">
        <f t="shared" ca="1" si="187"/>
        <v>1947123453423.4089</v>
      </c>
      <c r="K1344" s="48">
        <f t="shared" ca="1" si="188"/>
        <v>13.65113689680487</v>
      </c>
    </row>
    <row r="1345" spans="2:11" ht="15" customHeight="1" x14ac:dyDescent="0.35">
      <c r="B1345" s="5">
        <v>1324</v>
      </c>
      <c r="C1345" s="46">
        <f t="shared" ca="1" si="180"/>
        <v>2.9788426898640754</v>
      </c>
      <c r="D1345" s="47">
        <f t="shared" ca="1" si="181"/>
        <v>5475997921.4093122</v>
      </c>
      <c r="E1345" s="47">
        <f t="shared" ca="1" si="182"/>
        <v>21536649513382.348</v>
      </c>
      <c r="F1345" s="47">
        <f t="shared" ca="1" si="183"/>
        <v>1833949474505.3328</v>
      </c>
      <c r="G1345" s="47">
        <f t="shared" ca="1" si="184"/>
        <v>4683441463894.1299</v>
      </c>
      <c r="H1345" s="47">
        <f t="shared" ca="1" si="185"/>
        <v>1833949474505.3328</v>
      </c>
      <c r="I1345" s="47">
        <f t="shared" ca="1" si="186"/>
        <v>5008556663714.5537</v>
      </c>
      <c r="J1345" s="47">
        <f t="shared" ca="1" si="187"/>
        <v>1413015295596.0981</v>
      </c>
      <c r="K1345" s="48">
        <f t="shared" ca="1" si="188"/>
        <v>3.544587719131258</v>
      </c>
    </row>
    <row r="1346" spans="2:11" ht="15" customHeight="1" x14ac:dyDescent="0.35">
      <c r="B1346" s="5">
        <v>1325</v>
      </c>
      <c r="C1346" s="46">
        <f t="shared" ca="1" si="180"/>
        <v>3.4982145922781362</v>
      </c>
      <c r="D1346" s="47">
        <f t="shared" ca="1" si="181"/>
        <v>11721146904.320715</v>
      </c>
      <c r="E1346" s="47">
        <f t="shared" ca="1" si="182"/>
        <v>25070333177284.59</v>
      </c>
      <c r="F1346" s="47">
        <f t="shared" ca="1" si="183"/>
        <v>3903190463772.7915</v>
      </c>
      <c r="G1346" s="47">
        <f t="shared" ca="1" si="184"/>
        <v>23987543369217.137</v>
      </c>
      <c r="H1346" s="47">
        <f t="shared" ca="1" si="185"/>
        <v>25070333177284.59</v>
      </c>
      <c r="I1346" s="47">
        <f t="shared" ca="1" si="186"/>
        <v>14635544360901.598</v>
      </c>
      <c r="J1346" s="47">
        <f t="shared" ca="1" si="187"/>
        <v>1603959148128.186</v>
      </c>
      <c r="K1346" s="48">
        <f t="shared" ca="1" si="188"/>
        <v>9.1246366080964219</v>
      </c>
    </row>
    <row r="1347" spans="2:11" ht="15" customHeight="1" x14ac:dyDescent="0.35">
      <c r="B1347" s="5">
        <v>1326</v>
      </c>
      <c r="C1347" s="46">
        <f t="shared" ca="1" si="180"/>
        <v>2.302493856713153</v>
      </c>
      <c r="D1347" s="47">
        <f t="shared" ca="1" si="181"/>
        <v>1297294205.9680662</v>
      </c>
      <c r="E1347" s="47">
        <f t="shared" ca="1" si="182"/>
        <v>2477173435812.4307</v>
      </c>
      <c r="F1347" s="47">
        <f t="shared" ca="1" si="183"/>
        <v>4513506812084.4941</v>
      </c>
      <c r="G1347" s="47">
        <f t="shared" ca="1" si="184"/>
        <v>227614292888.80032</v>
      </c>
      <c r="H1347" s="47">
        <f t="shared" ca="1" si="185"/>
        <v>4513506812084.4941</v>
      </c>
      <c r="I1347" s="47">
        <f t="shared" ca="1" si="186"/>
        <v>23709022594075.301</v>
      </c>
      <c r="J1347" s="47">
        <f t="shared" ca="1" si="187"/>
        <v>671484329099.55859</v>
      </c>
      <c r="K1347" s="48">
        <f t="shared" ca="1" si="188"/>
        <v>35.308378120854179</v>
      </c>
    </row>
    <row r="1348" spans="2:11" ht="15" customHeight="1" x14ac:dyDescent="0.35">
      <c r="B1348" s="5">
        <v>1327</v>
      </c>
      <c r="C1348" s="46">
        <f t="shared" ca="1" si="180"/>
        <v>3.6929997305166689</v>
      </c>
      <c r="D1348" s="47">
        <f t="shared" ca="1" si="181"/>
        <v>11517671206.224079</v>
      </c>
      <c r="E1348" s="47">
        <f t="shared" ca="1" si="182"/>
        <v>29729057226370.348</v>
      </c>
      <c r="F1348" s="47">
        <f t="shared" ca="1" si="183"/>
        <v>57325323938972.57</v>
      </c>
      <c r="G1348" s="47">
        <f t="shared" ca="1" si="184"/>
        <v>5999709196072.2275</v>
      </c>
      <c r="H1348" s="47">
        <f t="shared" ca="1" si="185"/>
        <v>5999709196072.2275</v>
      </c>
      <c r="I1348" s="47">
        <f t="shared" ca="1" si="186"/>
        <v>18393432147065.938</v>
      </c>
      <c r="J1348" s="47">
        <f t="shared" ca="1" si="187"/>
        <v>2448148796174.2515</v>
      </c>
      <c r="K1348" s="48">
        <f t="shared" ca="1" si="188"/>
        <v>7.513200249841657</v>
      </c>
    </row>
    <row r="1349" spans="2:11" ht="15" customHeight="1" x14ac:dyDescent="0.35">
      <c r="B1349" s="5">
        <v>1328</v>
      </c>
      <c r="C1349" s="46">
        <f t="shared" ca="1" si="180"/>
        <v>3.374595716482192</v>
      </c>
      <c r="D1349" s="47">
        <f t="shared" ca="1" si="181"/>
        <v>7510096563.1756468</v>
      </c>
      <c r="E1349" s="47">
        <f t="shared" ca="1" si="182"/>
        <v>18402546969593.242</v>
      </c>
      <c r="F1349" s="47">
        <f t="shared" ca="1" si="183"/>
        <v>2561163251621.1294</v>
      </c>
      <c r="G1349" s="47">
        <f t="shared" ca="1" si="184"/>
        <v>4687426489102.4756</v>
      </c>
      <c r="H1349" s="47">
        <f t="shared" ca="1" si="185"/>
        <v>2561163251621.1294</v>
      </c>
      <c r="I1349" s="47">
        <f t="shared" ca="1" si="186"/>
        <v>7949573380575.7363</v>
      </c>
      <c r="J1349" s="47">
        <f t="shared" ca="1" si="187"/>
        <v>447925883756.0589</v>
      </c>
      <c r="K1349" s="48">
        <f t="shared" ca="1" si="188"/>
        <v>17.747519553715019</v>
      </c>
    </row>
    <row r="1350" spans="2:11" ht="15" customHeight="1" x14ac:dyDescent="0.35">
      <c r="B1350" s="5">
        <v>1329</v>
      </c>
      <c r="C1350" s="46">
        <f t="shared" ca="1" si="180"/>
        <v>2.6859327634463637</v>
      </c>
      <c r="D1350" s="47">
        <f t="shared" ca="1" si="181"/>
        <v>3213862711.4062843</v>
      </c>
      <c r="E1350" s="47">
        <f t="shared" ca="1" si="182"/>
        <v>23303334091954.543</v>
      </c>
      <c r="F1350" s="47">
        <f t="shared" ca="1" si="183"/>
        <v>1104876589478.8281</v>
      </c>
      <c r="G1350" s="47">
        <f t="shared" ca="1" si="184"/>
        <v>9760117480280.332</v>
      </c>
      <c r="H1350" s="47">
        <f t="shared" ca="1" si="185"/>
        <v>9760117480280.332</v>
      </c>
      <c r="I1350" s="47">
        <f t="shared" ca="1" si="186"/>
        <v>14890840477426.59</v>
      </c>
      <c r="J1350" s="47">
        <f t="shared" ca="1" si="187"/>
        <v>700131562286.30249</v>
      </c>
      <c r="K1350" s="48">
        <f t="shared" ca="1" si="188"/>
        <v>21.268631896553934</v>
      </c>
    </row>
    <row r="1351" spans="2:11" ht="15" customHeight="1" x14ac:dyDescent="0.35">
      <c r="B1351" s="5">
        <v>1330</v>
      </c>
      <c r="C1351" s="46">
        <f t="shared" ca="1" si="180"/>
        <v>2.6149468566044427</v>
      </c>
      <c r="D1351" s="47">
        <f t="shared" ca="1" si="181"/>
        <v>2774127966.281846</v>
      </c>
      <c r="E1351" s="47">
        <f t="shared" ca="1" si="182"/>
        <v>3278659133315.6836</v>
      </c>
      <c r="F1351" s="47">
        <f t="shared" ca="1" si="183"/>
        <v>8959451455577.2832</v>
      </c>
      <c r="G1351" s="47">
        <f t="shared" ca="1" si="184"/>
        <v>729072823782.98083</v>
      </c>
      <c r="H1351" s="47">
        <f t="shared" ca="1" si="185"/>
        <v>8959451455577.2832</v>
      </c>
      <c r="I1351" s="47">
        <f t="shared" ca="1" si="186"/>
        <v>2531560019627.978</v>
      </c>
      <c r="J1351" s="47">
        <f t="shared" ca="1" si="187"/>
        <v>724916742689.34473</v>
      </c>
      <c r="K1351" s="48">
        <f t="shared" ca="1" si="188"/>
        <v>3.4922079606496976</v>
      </c>
    </row>
    <row r="1352" spans="2:11" ht="15" customHeight="1" x14ac:dyDescent="0.35">
      <c r="B1352" s="5">
        <v>1331</v>
      </c>
      <c r="C1352" s="46">
        <f t="shared" ca="1" si="180"/>
        <v>2.3835007699262012</v>
      </c>
      <c r="D1352" s="47">
        <f t="shared" ca="1" si="181"/>
        <v>1481744150.5616696</v>
      </c>
      <c r="E1352" s="47">
        <f t="shared" ca="1" si="182"/>
        <v>6339932353287.1475</v>
      </c>
      <c r="F1352" s="47">
        <f t="shared" ca="1" si="183"/>
        <v>928628129151.65552</v>
      </c>
      <c r="G1352" s="47">
        <f t="shared" ca="1" si="184"/>
        <v>14529689354470.863</v>
      </c>
      <c r="H1352" s="47">
        <f t="shared" ca="1" si="185"/>
        <v>6339932353287.1475</v>
      </c>
      <c r="I1352" s="47">
        <f t="shared" ca="1" si="186"/>
        <v>10461916962577.889</v>
      </c>
      <c r="J1352" s="47">
        <f t="shared" ca="1" si="187"/>
        <v>1488508512008.0439</v>
      </c>
      <c r="K1352" s="48">
        <f t="shared" ca="1" si="188"/>
        <v>7.0284562554932517</v>
      </c>
    </row>
    <row r="1353" spans="2:11" ht="15" customHeight="1" x14ac:dyDescent="0.35">
      <c r="B1353" s="5">
        <v>1332</v>
      </c>
      <c r="C1353" s="46">
        <f t="shared" ca="1" si="180"/>
        <v>2.5868204130007593</v>
      </c>
      <c r="D1353" s="47">
        <f t="shared" ca="1" si="181"/>
        <v>2511104606.8650804</v>
      </c>
      <c r="E1353" s="47">
        <f t="shared" ca="1" si="182"/>
        <v>6958999035221.251</v>
      </c>
      <c r="F1353" s="47">
        <f t="shared" ca="1" si="183"/>
        <v>55985824962549.5</v>
      </c>
      <c r="G1353" s="47">
        <f t="shared" ca="1" si="184"/>
        <v>441830040692.78516</v>
      </c>
      <c r="H1353" s="47">
        <f t="shared" ca="1" si="185"/>
        <v>6958999035221.251</v>
      </c>
      <c r="I1353" s="47">
        <f t="shared" ca="1" si="186"/>
        <v>585748908999.76648</v>
      </c>
      <c r="J1353" s="47">
        <f t="shared" ca="1" si="187"/>
        <v>1406127800927.0613</v>
      </c>
      <c r="K1353" s="48">
        <f t="shared" ca="1" si="188"/>
        <v>0.41656875613552463</v>
      </c>
    </row>
    <row r="1354" spans="2:11" ht="15" customHeight="1" x14ac:dyDescent="0.35">
      <c r="B1354" s="5">
        <v>1333</v>
      </c>
      <c r="C1354" s="46">
        <f t="shared" ca="1" si="180"/>
        <v>3.2331277852762894</v>
      </c>
      <c r="D1354" s="47">
        <f t="shared" ca="1" si="181"/>
        <v>7371024724.8929396</v>
      </c>
      <c r="E1354" s="47">
        <f t="shared" ca="1" si="182"/>
        <v>36845445537948.484</v>
      </c>
      <c r="F1354" s="47">
        <f t="shared" ca="1" si="183"/>
        <v>527053443728.30225</v>
      </c>
      <c r="G1354" s="47">
        <f t="shared" ca="1" si="184"/>
        <v>148280862186.54636</v>
      </c>
      <c r="H1354" s="47">
        <f t="shared" ca="1" si="185"/>
        <v>527053443728.30225</v>
      </c>
      <c r="I1354" s="47">
        <f t="shared" ca="1" si="186"/>
        <v>13848078191355.84</v>
      </c>
      <c r="J1354" s="47">
        <f t="shared" ca="1" si="187"/>
        <v>559278423814.28137</v>
      </c>
      <c r="K1354" s="48">
        <f t="shared" ca="1" si="188"/>
        <v>24.760615825141052</v>
      </c>
    </row>
    <row r="1355" spans="2:11" ht="15" customHeight="1" x14ac:dyDescent="0.35">
      <c r="B1355" s="5">
        <v>1334</v>
      </c>
      <c r="C1355" s="46">
        <f t="shared" ca="1" si="180"/>
        <v>2.6515992037526703</v>
      </c>
      <c r="D1355" s="47">
        <f t="shared" ca="1" si="181"/>
        <v>2456372290.1327443</v>
      </c>
      <c r="E1355" s="47">
        <f t="shared" ca="1" si="182"/>
        <v>8316430077071.083</v>
      </c>
      <c r="F1355" s="47">
        <f t="shared" ca="1" si="183"/>
        <v>5225105371426.29</v>
      </c>
      <c r="G1355" s="47">
        <f t="shared" ca="1" si="184"/>
        <v>460325781295577.13</v>
      </c>
      <c r="H1355" s="47">
        <f t="shared" ca="1" si="185"/>
        <v>8316430077071.083</v>
      </c>
      <c r="I1355" s="47">
        <f t="shared" ca="1" si="186"/>
        <v>18435576041151.598</v>
      </c>
      <c r="J1355" s="47">
        <f t="shared" ca="1" si="187"/>
        <v>2244545597730.2388</v>
      </c>
      <c r="K1355" s="48">
        <f t="shared" ca="1" si="188"/>
        <v>8.213500344922501</v>
      </c>
    </row>
    <row r="1356" spans="2:11" ht="15" customHeight="1" x14ac:dyDescent="0.35">
      <c r="B1356" s="5">
        <v>1335</v>
      </c>
      <c r="C1356" s="46">
        <f t="shared" ca="1" si="180"/>
        <v>2.6487833435546526</v>
      </c>
      <c r="D1356" s="47">
        <f t="shared" ca="1" si="181"/>
        <v>2638437696.4857225</v>
      </c>
      <c r="E1356" s="47">
        <f t="shared" ca="1" si="182"/>
        <v>11328838303870.623</v>
      </c>
      <c r="F1356" s="47">
        <f t="shared" ca="1" si="183"/>
        <v>4767749777143.9023</v>
      </c>
      <c r="G1356" s="47">
        <f t="shared" ca="1" si="184"/>
        <v>2064132445375.3699</v>
      </c>
      <c r="H1356" s="47">
        <f t="shared" ca="1" si="185"/>
        <v>4767749777143.9023</v>
      </c>
      <c r="I1356" s="47">
        <f t="shared" ca="1" si="186"/>
        <v>495761518998.52625</v>
      </c>
      <c r="J1356" s="47">
        <f t="shared" ca="1" si="187"/>
        <v>866330698017.68799</v>
      </c>
      <c r="K1356" s="48">
        <f t="shared" ca="1" si="188"/>
        <v>0.57225435983385209</v>
      </c>
    </row>
    <row r="1357" spans="2:11" ht="15" customHeight="1" x14ac:dyDescent="0.35">
      <c r="B1357" s="5">
        <v>1336</v>
      </c>
      <c r="C1357" s="46">
        <f t="shared" ca="1" si="180"/>
        <v>3.1080945637563038</v>
      </c>
      <c r="D1357" s="47">
        <f t="shared" ca="1" si="181"/>
        <v>6906896300.9948387</v>
      </c>
      <c r="E1357" s="47">
        <f t="shared" ca="1" si="182"/>
        <v>11374003651335.508</v>
      </c>
      <c r="F1357" s="47">
        <f t="shared" ca="1" si="183"/>
        <v>7558564484864.1133</v>
      </c>
      <c r="G1357" s="47">
        <f t="shared" ca="1" si="184"/>
        <v>4848232323779.8887</v>
      </c>
      <c r="H1357" s="47">
        <f t="shared" ca="1" si="185"/>
        <v>4848232323779.8887</v>
      </c>
      <c r="I1357" s="47">
        <f t="shared" ca="1" si="186"/>
        <v>3162989611008.2949</v>
      </c>
      <c r="J1357" s="47">
        <f t="shared" ca="1" si="187"/>
        <v>945313914879.05042</v>
      </c>
      <c r="K1357" s="48">
        <f t="shared" ca="1" si="188"/>
        <v>3.3459674730515188</v>
      </c>
    </row>
    <row r="1358" spans="2:11" ht="15" customHeight="1" x14ac:dyDescent="0.35">
      <c r="B1358" s="5">
        <v>1337</v>
      </c>
      <c r="C1358" s="46">
        <f t="shared" ca="1" si="180"/>
        <v>2.7768759816855897</v>
      </c>
      <c r="D1358" s="47">
        <f t="shared" ca="1" si="181"/>
        <v>3513917002.4577384</v>
      </c>
      <c r="E1358" s="47">
        <f t="shared" ca="1" si="182"/>
        <v>6241652236519.3203</v>
      </c>
      <c r="F1358" s="47">
        <f t="shared" ca="1" si="183"/>
        <v>5607646854282.1553</v>
      </c>
      <c r="G1358" s="47">
        <f t="shared" ca="1" si="184"/>
        <v>3907772447327.5576</v>
      </c>
      <c r="H1358" s="47">
        <f t="shared" ca="1" si="185"/>
        <v>3907772447327.5576</v>
      </c>
      <c r="I1358" s="47">
        <f t="shared" ca="1" si="186"/>
        <v>15616647890704.65</v>
      </c>
      <c r="J1358" s="47">
        <f t="shared" ca="1" si="187"/>
        <v>578494412806.14014</v>
      </c>
      <c r="K1358" s="48">
        <f t="shared" ca="1" si="188"/>
        <v>26.995330542523256</v>
      </c>
    </row>
    <row r="1359" spans="2:11" ht="15" customHeight="1" x14ac:dyDescent="0.35">
      <c r="B1359" s="5">
        <v>1338</v>
      </c>
      <c r="C1359" s="46">
        <f t="shared" ca="1" si="180"/>
        <v>2.977332880025783</v>
      </c>
      <c r="D1359" s="47">
        <f t="shared" ca="1" si="181"/>
        <v>5324209831.386529</v>
      </c>
      <c r="E1359" s="47">
        <f t="shared" ca="1" si="182"/>
        <v>21051935640903.535</v>
      </c>
      <c r="F1359" s="47">
        <f t="shared" ca="1" si="183"/>
        <v>1498708742782.3938</v>
      </c>
      <c r="G1359" s="47">
        <f t="shared" ca="1" si="184"/>
        <v>19677042928539.938</v>
      </c>
      <c r="H1359" s="47">
        <f t="shared" ca="1" si="185"/>
        <v>1498708742782.3938</v>
      </c>
      <c r="I1359" s="47">
        <f t="shared" ca="1" si="186"/>
        <v>9073093648379.8242</v>
      </c>
      <c r="J1359" s="47">
        <f t="shared" ca="1" si="187"/>
        <v>2046572373307.1868</v>
      </c>
      <c r="K1359" s="48">
        <f t="shared" ca="1" si="188"/>
        <v>4.4333118958886528</v>
      </c>
    </row>
    <row r="1360" spans="2:11" ht="15" customHeight="1" x14ac:dyDescent="0.35">
      <c r="B1360" s="5">
        <v>1339</v>
      </c>
      <c r="C1360" s="46">
        <f t="shared" ca="1" si="180"/>
        <v>3.4266096969942481</v>
      </c>
      <c r="D1360" s="47">
        <f t="shared" ca="1" si="181"/>
        <v>8086578747.321106</v>
      </c>
      <c r="E1360" s="47">
        <f t="shared" ca="1" si="182"/>
        <v>29475821842025.629</v>
      </c>
      <c r="F1360" s="47">
        <f t="shared" ca="1" si="183"/>
        <v>1517298691134.9126</v>
      </c>
      <c r="G1360" s="47">
        <f t="shared" ca="1" si="184"/>
        <v>1826881594121.239</v>
      </c>
      <c r="H1360" s="47">
        <f t="shared" ca="1" si="185"/>
        <v>1826881594121.239</v>
      </c>
      <c r="I1360" s="47">
        <f t="shared" ca="1" si="186"/>
        <v>2508994238327.8608</v>
      </c>
      <c r="J1360" s="47">
        <f t="shared" ca="1" si="187"/>
        <v>2032060234448.9138</v>
      </c>
      <c r="K1360" s="48">
        <f t="shared" ca="1" si="188"/>
        <v>1.2347046587466388</v>
      </c>
    </row>
    <row r="1361" spans="2:11" ht="15" customHeight="1" x14ac:dyDescent="0.35">
      <c r="B1361" s="5">
        <v>1340</v>
      </c>
      <c r="C1361" s="46">
        <f t="shared" ca="1" si="180"/>
        <v>3.3416794473981897</v>
      </c>
      <c r="D1361" s="47">
        <f t="shared" ca="1" si="181"/>
        <v>9742774740.9749413</v>
      </c>
      <c r="E1361" s="47">
        <f t="shared" ca="1" si="182"/>
        <v>38897669453439.844</v>
      </c>
      <c r="F1361" s="47">
        <f t="shared" ca="1" si="183"/>
        <v>3518929317297.9268</v>
      </c>
      <c r="G1361" s="47">
        <f t="shared" ca="1" si="184"/>
        <v>23523803666301.453</v>
      </c>
      <c r="H1361" s="47">
        <f t="shared" ca="1" si="185"/>
        <v>3518929317297.9268</v>
      </c>
      <c r="I1361" s="47">
        <f t="shared" ca="1" si="186"/>
        <v>11640847694540.615</v>
      </c>
      <c r="J1361" s="47">
        <f t="shared" ca="1" si="187"/>
        <v>768000291825.98853</v>
      </c>
      <c r="K1361" s="48">
        <f t="shared" ca="1" si="188"/>
        <v>15.157348009417381</v>
      </c>
    </row>
    <row r="1362" spans="2:11" ht="15" customHeight="1" x14ac:dyDescent="0.35">
      <c r="B1362" s="5">
        <v>1341</v>
      </c>
      <c r="C1362" s="46">
        <f t="shared" ca="1" si="180"/>
        <v>2.9244520677010732</v>
      </c>
      <c r="D1362" s="47">
        <f t="shared" ca="1" si="181"/>
        <v>5040005883.8429852</v>
      </c>
      <c r="E1362" s="47">
        <f t="shared" ca="1" si="182"/>
        <v>8710257731361.9883</v>
      </c>
      <c r="F1362" s="47">
        <f t="shared" ca="1" si="183"/>
        <v>8570291232185.293</v>
      </c>
      <c r="G1362" s="47">
        <f t="shared" ca="1" si="184"/>
        <v>6111653352976.9648</v>
      </c>
      <c r="H1362" s="47">
        <f t="shared" ca="1" si="185"/>
        <v>8710257731361.9883</v>
      </c>
      <c r="I1362" s="47">
        <f t="shared" ca="1" si="186"/>
        <v>12131024244408.172</v>
      </c>
      <c r="J1362" s="47">
        <f t="shared" ca="1" si="187"/>
        <v>582584320694.20386</v>
      </c>
      <c r="K1362" s="48">
        <f t="shared" ca="1" si="188"/>
        <v>20.822778460554719</v>
      </c>
    </row>
    <row r="1363" spans="2:11" ht="15" customHeight="1" x14ac:dyDescent="0.35">
      <c r="B1363" s="5">
        <v>1342</v>
      </c>
      <c r="C1363" s="46">
        <f t="shared" ca="1" si="180"/>
        <v>2.2818267852709475</v>
      </c>
      <c r="D1363" s="47">
        <f t="shared" ca="1" si="181"/>
        <v>1275078274.1054442</v>
      </c>
      <c r="E1363" s="47">
        <f t="shared" ca="1" si="182"/>
        <v>6899386111554.6846</v>
      </c>
      <c r="F1363" s="47">
        <f t="shared" ca="1" si="183"/>
        <v>3374351291712.8687</v>
      </c>
      <c r="G1363" s="47">
        <f t="shared" ca="1" si="184"/>
        <v>24881250755311.707</v>
      </c>
      <c r="H1363" s="47">
        <f t="shared" ca="1" si="185"/>
        <v>3374351291712.8687</v>
      </c>
      <c r="I1363" s="47">
        <f t="shared" ca="1" si="186"/>
        <v>3501545331322.5371</v>
      </c>
      <c r="J1363" s="47">
        <f t="shared" ca="1" si="187"/>
        <v>671758132031.19714</v>
      </c>
      <c r="K1363" s="48">
        <f t="shared" ca="1" si="188"/>
        <v>5.2125090331767234</v>
      </c>
    </row>
    <row r="1364" spans="2:11" ht="15" customHeight="1" x14ac:dyDescent="0.35">
      <c r="B1364" s="5">
        <v>1343</v>
      </c>
      <c r="C1364" s="46">
        <f t="shared" ca="1" si="180"/>
        <v>3.0285980644033548</v>
      </c>
      <c r="D1364" s="47">
        <f t="shared" ca="1" si="181"/>
        <v>5856680610.7034292</v>
      </c>
      <c r="E1364" s="47">
        <f t="shared" ca="1" si="182"/>
        <v>27497779150108.777</v>
      </c>
      <c r="F1364" s="47">
        <f t="shared" ca="1" si="183"/>
        <v>2661151529315.0156</v>
      </c>
      <c r="G1364" s="47">
        <f t="shared" ca="1" si="184"/>
        <v>3183330542715.7046</v>
      </c>
      <c r="H1364" s="47">
        <f t="shared" ca="1" si="185"/>
        <v>2661151529315.0156</v>
      </c>
      <c r="I1364" s="47">
        <f t="shared" ca="1" si="186"/>
        <v>15759242067921.609</v>
      </c>
      <c r="J1364" s="47">
        <f t="shared" ca="1" si="187"/>
        <v>2115382701458.1702</v>
      </c>
      <c r="K1364" s="48">
        <f t="shared" ca="1" si="188"/>
        <v>7.4498302633648699</v>
      </c>
    </row>
    <row r="1365" spans="2:11" ht="15" customHeight="1" x14ac:dyDescent="0.35">
      <c r="B1365" s="5">
        <v>1344</v>
      </c>
      <c r="C1365" s="46">
        <f t="shared" ca="1" si="180"/>
        <v>2.8632653951893552</v>
      </c>
      <c r="D1365" s="47">
        <f t="shared" ca="1" si="181"/>
        <v>3417504410.7391763</v>
      </c>
      <c r="E1365" s="47">
        <f t="shared" ca="1" si="182"/>
        <v>20583224206535.391</v>
      </c>
      <c r="F1365" s="47">
        <f t="shared" ca="1" si="183"/>
        <v>1198249339948.489</v>
      </c>
      <c r="G1365" s="47">
        <f t="shared" ca="1" si="184"/>
        <v>5139034095264.1406</v>
      </c>
      <c r="H1365" s="47">
        <f t="shared" ca="1" si="185"/>
        <v>1198249339948.489</v>
      </c>
      <c r="I1365" s="47">
        <f t="shared" ca="1" si="186"/>
        <v>7305399655174.709</v>
      </c>
      <c r="J1365" s="47">
        <f t="shared" ca="1" si="187"/>
        <v>1071292488517.6525</v>
      </c>
      <c r="K1365" s="48">
        <f t="shared" ca="1" si="188"/>
        <v>6.8192391279464593</v>
      </c>
    </row>
    <row r="1366" spans="2:11" ht="15" customHeight="1" x14ac:dyDescent="0.35">
      <c r="B1366" s="5">
        <v>1345</v>
      </c>
      <c r="C1366" s="46">
        <f t="shared" ref="C1366:C1429" ca="1" si="189">MEDIAN(1.8,NORMINV(RAND(),$C$7,$D$7),4.5)</f>
        <v>2.8294225221887808</v>
      </c>
      <c r="D1366" s="47">
        <f t="shared" ref="D1366:D1429" ca="1" si="190">($C$8+RAND()*($D$8-$C$8))*C1366^5</f>
        <v>3459379018.3845148</v>
      </c>
      <c r="E1366" s="47">
        <f t="shared" ref="E1366:E1429" ca="1" si="191">D1366*($C$10+RAND()*($D$10-$C$10))*EXP(NORMINV(RAND(),$C$9,$D$9))*($C$11+RAND()*($D$11-$C$11))</f>
        <v>10089742288484.193</v>
      </c>
      <c r="F1366" s="47">
        <f t="shared" ref="F1366:F1429" ca="1" si="192">EXP(NORMINV(RAND(),$C$12,$D$12))*EXP(NORMINV(RAND(),$C$13,$D$13))</f>
        <v>733916540891.375</v>
      </c>
      <c r="G1366" s="47">
        <f t="shared" ref="G1366:G1429" ca="1" si="193">EXP(NORMINV(RAND(),$C$14,$D$14))*($C$15+RAND()*($D$15-$C$15))*EXP(NORMINV(RAND(),$C$16,$D$16))/1000000*31536000</f>
        <v>11834896163409.303</v>
      </c>
      <c r="H1366" s="47">
        <f t="shared" ref="H1366:H1429" ca="1" si="194">CHOOSE(RANDBETWEEN(1,3),E1366,F1366,G1366)</f>
        <v>733916540891.375</v>
      </c>
      <c r="I1366" s="47">
        <f t="shared" ref="I1366:I1429" ca="1" si="195">EXP(NORMINV(RAND(),$C$14,$D$14))*($C$15+RAND()*($D$15-$C$15))*60</f>
        <v>6851168509077.3125</v>
      </c>
      <c r="J1366" s="47">
        <f t="shared" ref="J1366:J1429" ca="1" si="196">($C$17+RAND()*($D$17-$C$17))*($C$18+RAND()*($D$18-$C$18))</f>
        <v>1569707379850.5576</v>
      </c>
      <c r="K1366" s="48">
        <f t="shared" ref="K1366:K1429" ca="1" si="197">I1366/J1366</f>
        <v>4.3646150849654353</v>
      </c>
    </row>
    <row r="1367" spans="2:11" ht="15" customHeight="1" x14ac:dyDescent="0.35">
      <c r="B1367" s="5">
        <v>1346</v>
      </c>
      <c r="C1367" s="46">
        <f t="shared" ca="1" si="189"/>
        <v>3.5533258292246552</v>
      </c>
      <c r="D1367" s="47">
        <f t="shared" ca="1" si="190"/>
        <v>10642423727.706478</v>
      </c>
      <c r="E1367" s="47">
        <f t="shared" ca="1" si="191"/>
        <v>30477950756690.371</v>
      </c>
      <c r="F1367" s="47">
        <f t="shared" ca="1" si="192"/>
        <v>3789172557325.8218</v>
      </c>
      <c r="G1367" s="47">
        <f t="shared" ca="1" si="193"/>
        <v>117617555917415.22</v>
      </c>
      <c r="H1367" s="47">
        <f t="shared" ca="1" si="194"/>
        <v>3789172557325.8218</v>
      </c>
      <c r="I1367" s="47">
        <f t="shared" ca="1" si="195"/>
        <v>16464091591296.75</v>
      </c>
      <c r="J1367" s="47">
        <f t="shared" ca="1" si="196"/>
        <v>694276268398.87988</v>
      </c>
      <c r="K1367" s="48">
        <f t="shared" ca="1" si="197"/>
        <v>23.714034802407646</v>
      </c>
    </row>
    <row r="1368" spans="2:11" ht="15" customHeight="1" x14ac:dyDescent="0.35">
      <c r="B1368" s="5">
        <v>1347</v>
      </c>
      <c r="C1368" s="46">
        <f t="shared" ca="1" si="189"/>
        <v>3.1486211719336215</v>
      </c>
      <c r="D1368" s="47">
        <f t="shared" ca="1" si="190"/>
        <v>6949464417.7231874</v>
      </c>
      <c r="E1368" s="47">
        <f t="shared" ca="1" si="191"/>
        <v>29316731832739.727</v>
      </c>
      <c r="F1368" s="47">
        <f t="shared" ca="1" si="192"/>
        <v>3852068979773.7832</v>
      </c>
      <c r="G1368" s="47">
        <f t="shared" ca="1" si="193"/>
        <v>5075431962155.7803</v>
      </c>
      <c r="H1368" s="47">
        <f t="shared" ca="1" si="194"/>
        <v>29316731832739.727</v>
      </c>
      <c r="I1368" s="47">
        <f t="shared" ca="1" si="195"/>
        <v>65806140490631.727</v>
      </c>
      <c r="J1368" s="47">
        <f t="shared" ca="1" si="196"/>
        <v>1315017838374.7632</v>
      </c>
      <c r="K1368" s="48">
        <f t="shared" ca="1" si="197"/>
        <v>50.042013553186358</v>
      </c>
    </row>
    <row r="1369" spans="2:11" ht="15" customHeight="1" x14ac:dyDescent="0.35">
      <c r="B1369" s="5">
        <v>1348</v>
      </c>
      <c r="C1369" s="46">
        <f t="shared" ca="1" si="189"/>
        <v>3.3111466209073894</v>
      </c>
      <c r="D1369" s="47">
        <f t="shared" ca="1" si="190"/>
        <v>9504447401.1987476</v>
      </c>
      <c r="E1369" s="47">
        <f t="shared" ca="1" si="191"/>
        <v>38268855728073.734</v>
      </c>
      <c r="F1369" s="47">
        <f t="shared" ca="1" si="192"/>
        <v>6387760611495.7061</v>
      </c>
      <c r="G1369" s="47">
        <f t="shared" ca="1" si="193"/>
        <v>635169072952.58887</v>
      </c>
      <c r="H1369" s="47">
        <f t="shared" ca="1" si="194"/>
        <v>38268855728073.734</v>
      </c>
      <c r="I1369" s="47">
        <f t="shared" ca="1" si="195"/>
        <v>29625480357217.043</v>
      </c>
      <c r="J1369" s="47">
        <f t="shared" ca="1" si="196"/>
        <v>1685166193542.1191</v>
      </c>
      <c r="K1369" s="48">
        <f t="shared" ca="1" si="197"/>
        <v>17.580153501030093</v>
      </c>
    </row>
    <row r="1370" spans="2:11" ht="15" customHeight="1" x14ac:dyDescent="0.35">
      <c r="B1370" s="5">
        <v>1349</v>
      </c>
      <c r="C1370" s="46">
        <f t="shared" ca="1" si="189"/>
        <v>2.7726320625365846</v>
      </c>
      <c r="D1370" s="47">
        <f t="shared" ca="1" si="190"/>
        <v>3422158941.1711869</v>
      </c>
      <c r="E1370" s="47">
        <f t="shared" ca="1" si="191"/>
        <v>17377993160672.248</v>
      </c>
      <c r="F1370" s="47">
        <f t="shared" ca="1" si="192"/>
        <v>746641703425.79871</v>
      </c>
      <c r="G1370" s="47">
        <f t="shared" ca="1" si="193"/>
        <v>449256245016.43213</v>
      </c>
      <c r="H1370" s="47">
        <f t="shared" ca="1" si="194"/>
        <v>449256245016.43213</v>
      </c>
      <c r="I1370" s="47">
        <f t="shared" ca="1" si="195"/>
        <v>9017757651486.4121</v>
      </c>
      <c r="J1370" s="47">
        <f t="shared" ca="1" si="196"/>
        <v>1059036859164.9132</v>
      </c>
      <c r="K1370" s="48">
        <f t="shared" ca="1" si="197"/>
        <v>8.5150555180838765</v>
      </c>
    </row>
    <row r="1371" spans="2:11" ht="15" customHeight="1" x14ac:dyDescent="0.35">
      <c r="B1371" s="5">
        <v>1350</v>
      </c>
      <c r="C1371" s="46">
        <f t="shared" ca="1" si="189"/>
        <v>2.3181704154508949</v>
      </c>
      <c r="D1371" s="47">
        <f t="shared" ca="1" si="190"/>
        <v>1426729399.9377642</v>
      </c>
      <c r="E1371" s="47">
        <f t="shared" ca="1" si="191"/>
        <v>1784107081722.2559</v>
      </c>
      <c r="F1371" s="47">
        <f t="shared" ca="1" si="192"/>
        <v>2851963092020.2793</v>
      </c>
      <c r="G1371" s="47">
        <f t="shared" ca="1" si="193"/>
        <v>1798321370485.9285</v>
      </c>
      <c r="H1371" s="47">
        <f t="shared" ca="1" si="194"/>
        <v>1784107081722.2559</v>
      </c>
      <c r="I1371" s="47">
        <f t="shared" ca="1" si="195"/>
        <v>22500842676419.387</v>
      </c>
      <c r="J1371" s="47">
        <f t="shared" ca="1" si="196"/>
        <v>1423239570158.8784</v>
      </c>
      <c r="K1371" s="48">
        <f t="shared" ca="1" si="197"/>
        <v>15.809596042855654</v>
      </c>
    </row>
    <row r="1372" spans="2:11" ht="15" customHeight="1" x14ac:dyDescent="0.35">
      <c r="B1372" s="5">
        <v>1351</v>
      </c>
      <c r="C1372" s="46">
        <f t="shared" ca="1" si="189"/>
        <v>2.7911449905018197</v>
      </c>
      <c r="D1372" s="47">
        <f t="shared" ca="1" si="190"/>
        <v>3512322127.9523115</v>
      </c>
      <c r="E1372" s="47">
        <f t="shared" ca="1" si="191"/>
        <v>8603364631683.8994</v>
      </c>
      <c r="F1372" s="47">
        <f t="shared" ca="1" si="192"/>
        <v>2180339489521.8726</v>
      </c>
      <c r="G1372" s="47">
        <f t="shared" ca="1" si="193"/>
        <v>1696911732773.707</v>
      </c>
      <c r="H1372" s="47">
        <f t="shared" ca="1" si="194"/>
        <v>2180339489521.8726</v>
      </c>
      <c r="I1372" s="47">
        <f t="shared" ca="1" si="195"/>
        <v>6237820955340.9844</v>
      </c>
      <c r="J1372" s="47">
        <f t="shared" ca="1" si="196"/>
        <v>1461532027514.5234</v>
      </c>
      <c r="K1372" s="48">
        <f t="shared" ca="1" si="197"/>
        <v>4.2680015476287592</v>
      </c>
    </row>
    <row r="1373" spans="2:11" ht="15" customHeight="1" x14ac:dyDescent="0.35">
      <c r="B1373" s="5">
        <v>1352</v>
      </c>
      <c r="C1373" s="46">
        <f t="shared" ca="1" si="189"/>
        <v>3.1854389745513148</v>
      </c>
      <c r="D1373" s="47">
        <f t="shared" ca="1" si="190"/>
        <v>5335451975.7668209</v>
      </c>
      <c r="E1373" s="47">
        <f t="shared" ca="1" si="191"/>
        <v>51517167290382.195</v>
      </c>
      <c r="F1373" s="47">
        <f t="shared" ca="1" si="192"/>
        <v>5826824191240.1436</v>
      </c>
      <c r="G1373" s="47">
        <f t="shared" ca="1" si="193"/>
        <v>3073218122017.3169</v>
      </c>
      <c r="H1373" s="47">
        <f t="shared" ca="1" si="194"/>
        <v>51517167290382.195</v>
      </c>
      <c r="I1373" s="47">
        <f t="shared" ca="1" si="195"/>
        <v>1240448692266.8147</v>
      </c>
      <c r="J1373" s="47">
        <f t="shared" ca="1" si="196"/>
        <v>1606152712766.2107</v>
      </c>
      <c r="K1373" s="48">
        <f t="shared" ca="1" si="197"/>
        <v>0.77231055453652409</v>
      </c>
    </row>
    <row r="1374" spans="2:11" ht="15" customHeight="1" x14ac:dyDescent="0.35">
      <c r="B1374" s="5">
        <v>1353</v>
      </c>
      <c r="C1374" s="46">
        <f t="shared" ca="1" si="189"/>
        <v>2.9552213103900278</v>
      </c>
      <c r="D1374" s="47">
        <f t="shared" ca="1" si="190"/>
        <v>4532995514.7679558</v>
      </c>
      <c r="E1374" s="47">
        <f t="shared" ca="1" si="191"/>
        <v>2606353796000.5806</v>
      </c>
      <c r="F1374" s="47">
        <f t="shared" ca="1" si="192"/>
        <v>1785822214608.8547</v>
      </c>
      <c r="G1374" s="47">
        <f t="shared" ca="1" si="193"/>
        <v>102581971015800.98</v>
      </c>
      <c r="H1374" s="47">
        <f t="shared" ca="1" si="194"/>
        <v>1785822214608.8547</v>
      </c>
      <c r="I1374" s="47">
        <f t="shared" ca="1" si="195"/>
        <v>12488957407596.926</v>
      </c>
      <c r="J1374" s="47">
        <f t="shared" ca="1" si="196"/>
        <v>691045735989.51428</v>
      </c>
      <c r="K1374" s="48">
        <f t="shared" ca="1" si="197"/>
        <v>18.072548251403187</v>
      </c>
    </row>
    <row r="1375" spans="2:11" ht="15" customHeight="1" x14ac:dyDescent="0.35">
      <c r="B1375" s="5">
        <v>1354</v>
      </c>
      <c r="C1375" s="46">
        <f t="shared" ca="1" si="189"/>
        <v>2.2224015383124618</v>
      </c>
      <c r="D1375" s="47">
        <f t="shared" ca="1" si="190"/>
        <v>1186713085.522768</v>
      </c>
      <c r="E1375" s="47">
        <f t="shared" ca="1" si="191"/>
        <v>1369369808223.8735</v>
      </c>
      <c r="F1375" s="47">
        <f t="shared" ca="1" si="192"/>
        <v>1843335492544.8701</v>
      </c>
      <c r="G1375" s="47">
        <f t="shared" ca="1" si="193"/>
        <v>761003002385.47278</v>
      </c>
      <c r="H1375" s="47">
        <f t="shared" ca="1" si="194"/>
        <v>1843335492544.8701</v>
      </c>
      <c r="I1375" s="47">
        <f t="shared" ca="1" si="195"/>
        <v>3561048677335.6553</v>
      </c>
      <c r="J1375" s="47">
        <f t="shared" ca="1" si="196"/>
        <v>1543717072542.033</v>
      </c>
      <c r="K1375" s="48">
        <f t="shared" ca="1" si="197"/>
        <v>2.306801382633989</v>
      </c>
    </row>
    <row r="1376" spans="2:11" ht="15" customHeight="1" x14ac:dyDescent="0.35">
      <c r="B1376" s="5">
        <v>1355</v>
      </c>
      <c r="C1376" s="46">
        <f t="shared" ca="1" si="189"/>
        <v>2.5828856406053244</v>
      </c>
      <c r="D1376" s="47">
        <f t="shared" ca="1" si="190"/>
        <v>2037784979.4813874</v>
      </c>
      <c r="E1376" s="47">
        <f t="shared" ca="1" si="191"/>
        <v>4498351300067.4785</v>
      </c>
      <c r="F1376" s="47">
        <f t="shared" ca="1" si="192"/>
        <v>2824230091754.8188</v>
      </c>
      <c r="G1376" s="47">
        <f t="shared" ca="1" si="193"/>
        <v>1200800152876.9189</v>
      </c>
      <c r="H1376" s="47">
        <f t="shared" ca="1" si="194"/>
        <v>1200800152876.9189</v>
      </c>
      <c r="I1376" s="47">
        <f t="shared" ca="1" si="195"/>
        <v>75539561217652.813</v>
      </c>
      <c r="J1376" s="47">
        <f t="shared" ca="1" si="196"/>
        <v>1563806547586.3198</v>
      </c>
      <c r="K1376" s="48">
        <f t="shared" ca="1" si="197"/>
        <v>48.304927060348646</v>
      </c>
    </row>
    <row r="1377" spans="2:11" ht="15" customHeight="1" x14ac:dyDescent="0.35">
      <c r="B1377" s="5">
        <v>1356</v>
      </c>
      <c r="C1377" s="46">
        <f t="shared" ca="1" si="189"/>
        <v>2.7443910943295133</v>
      </c>
      <c r="D1377" s="47">
        <f t="shared" ca="1" si="190"/>
        <v>2742870525.0613294</v>
      </c>
      <c r="E1377" s="47">
        <f t="shared" ca="1" si="191"/>
        <v>3388459049290.6099</v>
      </c>
      <c r="F1377" s="47">
        <f t="shared" ca="1" si="192"/>
        <v>5744367537215.5508</v>
      </c>
      <c r="G1377" s="47">
        <f t="shared" ca="1" si="193"/>
        <v>2610663089015.1797</v>
      </c>
      <c r="H1377" s="47">
        <f t="shared" ca="1" si="194"/>
        <v>5744367537215.5508</v>
      </c>
      <c r="I1377" s="47">
        <f t="shared" ca="1" si="195"/>
        <v>11083614098670.246</v>
      </c>
      <c r="J1377" s="47">
        <f t="shared" ca="1" si="196"/>
        <v>1512672880328.9509</v>
      </c>
      <c r="K1377" s="48">
        <f t="shared" ca="1" si="197"/>
        <v>7.3271718180469829</v>
      </c>
    </row>
    <row r="1378" spans="2:11" ht="15" customHeight="1" x14ac:dyDescent="0.35">
      <c r="B1378" s="5">
        <v>1357</v>
      </c>
      <c r="C1378" s="46">
        <f t="shared" ca="1" si="189"/>
        <v>2.8965014224545986</v>
      </c>
      <c r="D1378" s="47">
        <f t="shared" ca="1" si="190"/>
        <v>3445910980.6615381</v>
      </c>
      <c r="E1378" s="47">
        <f t="shared" ca="1" si="191"/>
        <v>12426885398545.559</v>
      </c>
      <c r="F1378" s="47">
        <f t="shared" ca="1" si="192"/>
        <v>1638806687715.3625</v>
      </c>
      <c r="G1378" s="47">
        <f t="shared" ca="1" si="193"/>
        <v>2595699048505.2261</v>
      </c>
      <c r="H1378" s="47">
        <f t="shared" ca="1" si="194"/>
        <v>12426885398545.559</v>
      </c>
      <c r="I1378" s="47">
        <f t="shared" ca="1" si="195"/>
        <v>14954480752552.396</v>
      </c>
      <c r="J1378" s="47">
        <f t="shared" ca="1" si="196"/>
        <v>1776729549497.6074</v>
      </c>
      <c r="K1378" s="48">
        <f t="shared" ca="1" si="197"/>
        <v>8.4168582420329319</v>
      </c>
    </row>
    <row r="1379" spans="2:11" ht="15" customHeight="1" x14ac:dyDescent="0.35">
      <c r="B1379" s="5">
        <v>1358</v>
      </c>
      <c r="C1379" s="46">
        <f t="shared" ca="1" si="189"/>
        <v>2.6295650770028076</v>
      </c>
      <c r="D1379" s="47">
        <f t="shared" ca="1" si="190"/>
        <v>2300340810.9928026</v>
      </c>
      <c r="E1379" s="47">
        <f t="shared" ca="1" si="191"/>
        <v>9818071730099.1699</v>
      </c>
      <c r="F1379" s="47">
        <f t="shared" ca="1" si="192"/>
        <v>2695897982292.1074</v>
      </c>
      <c r="G1379" s="47">
        <f t="shared" ca="1" si="193"/>
        <v>1946555816231.5669</v>
      </c>
      <c r="H1379" s="47">
        <f t="shared" ca="1" si="194"/>
        <v>9818071730099.1699</v>
      </c>
      <c r="I1379" s="47">
        <f t="shared" ca="1" si="195"/>
        <v>25167355095225.559</v>
      </c>
      <c r="J1379" s="47">
        <f t="shared" ca="1" si="196"/>
        <v>1313625348028.3967</v>
      </c>
      <c r="K1379" s="48">
        <f t="shared" ca="1" si="197"/>
        <v>19.158700867792263</v>
      </c>
    </row>
    <row r="1380" spans="2:11" ht="15" customHeight="1" x14ac:dyDescent="0.35">
      <c r="B1380" s="5">
        <v>1359</v>
      </c>
      <c r="C1380" s="46">
        <f t="shared" ca="1" si="189"/>
        <v>4.2089715325839734</v>
      </c>
      <c r="D1380" s="47">
        <f t="shared" ca="1" si="190"/>
        <v>22689458804.609802</v>
      </c>
      <c r="E1380" s="47">
        <f t="shared" ca="1" si="191"/>
        <v>134362630896819.91</v>
      </c>
      <c r="F1380" s="47">
        <f t="shared" ca="1" si="192"/>
        <v>18496063894149.93</v>
      </c>
      <c r="G1380" s="47">
        <f t="shared" ca="1" si="193"/>
        <v>31713940058321.129</v>
      </c>
      <c r="H1380" s="47">
        <f t="shared" ca="1" si="194"/>
        <v>31713940058321.129</v>
      </c>
      <c r="I1380" s="47">
        <f t="shared" ca="1" si="195"/>
        <v>7610061122954.8389</v>
      </c>
      <c r="J1380" s="47">
        <f t="shared" ca="1" si="196"/>
        <v>1331142474829.6443</v>
      </c>
      <c r="K1380" s="48">
        <f t="shared" ca="1" si="197"/>
        <v>5.7169395965137033</v>
      </c>
    </row>
    <row r="1381" spans="2:11" ht="15" customHeight="1" x14ac:dyDescent="0.35">
      <c r="B1381" s="5">
        <v>1360</v>
      </c>
      <c r="C1381" s="46">
        <f t="shared" ca="1" si="189"/>
        <v>2.521588396502294</v>
      </c>
      <c r="D1381" s="47">
        <f t="shared" ca="1" si="190"/>
        <v>2253440757.8954873</v>
      </c>
      <c r="E1381" s="47">
        <f t="shared" ca="1" si="191"/>
        <v>5721706949477.3525</v>
      </c>
      <c r="F1381" s="47">
        <f t="shared" ca="1" si="192"/>
        <v>410688408372.33575</v>
      </c>
      <c r="G1381" s="47">
        <f t="shared" ca="1" si="193"/>
        <v>5346873371995.2139</v>
      </c>
      <c r="H1381" s="47">
        <f t="shared" ca="1" si="194"/>
        <v>5721706949477.3525</v>
      </c>
      <c r="I1381" s="47">
        <f t="shared" ca="1" si="195"/>
        <v>1332766074379.2891</v>
      </c>
      <c r="J1381" s="47">
        <f t="shared" ca="1" si="196"/>
        <v>1476574094814.9836</v>
      </c>
      <c r="K1381" s="48">
        <f t="shared" ca="1" si="197"/>
        <v>0.90260697316803873</v>
      </c>
    </row>
    <row r="1382" spans="2:11" ht="15" customHeight="1" x14ac:dyDescent="0.35">
      <c r="B1382" s="5">
        <v>1361</v>
      </c>
      <c r="C1382" s="46">
        <f t="shared" ca="1" si="189"/>
        <v>3.0268253319885838</v>
      </c>
      <c r="D1382" s="47">
        <f t="shared" ca="1" si="190"/>
        <v>5796043614.3429089</v>
      </c>
      <c r="E1382" s="47">
        <f t="shared" ca="1" si="191"/>
        <v>22618944231559.18</v>
      </c>
      <c r="F1382" s="47">
        <f t="shared" ca="1" si="192"/>
        <v>293078733807.09021</v>
      </c>
      <c r="G1382" s="47">
        <f t="shared" ca="1" si="193"/>
        <v>7845170911408.3643</v>
      </c>
      <c r="H1382" s="47">
        <f t="shared" ca="1" si="194"/>
        <v>293078733807.09021</v>
      </c>
      <c r="I1382" s="47">
        <f t="shared" ca="1" si="195"/>
        <v>4826664826996.502</v>
      </c>
      <c r="J1382" s="47">
        <f t="shared" ca="1" si="196"/>
        <v>1086438286792.1927</v>
      </c>
      <c r="K1382" s="48">
        <f t="shared" ca="1" si="197"/>
        <v>4.4426497903048556</v>
      </c>
    </row>
    <row r="1383" spans="2:11" ht="15" customHeight="1" x14ac:dyDescent="0.35">
      <c r="B1383" s="5">
        <v>1362</v>
      </c>
      <c r="C1383" s="46">
        <f t="shared" ca="1" si="189"/>
        <v>2.6445526689960808</v>
      </c>
      <c r="D1383" s="47">
        <f t="shared" ca="1" si="190"/>
        <v>2820663145.2355771</v>
      </c>
      <c r="E1383" s="47">
        <f t="shared" ca="1" si="191"/>
        <v>3043938438555.3828</v>
      </c>
      <c r="F1383" s="47">
        <f t="shared" ca="1" si="192"/>
        <v>1781631167082.1787</v>
      </c>
      <c r="G1383" s="47">
        <f t="shared" ca="1" si="193"/>
        <v>4752398614716.7813</v>
      </c>
      <c r="H1383" s="47">
        <f t="shared" ca="1" si="194"/>
        <v>3043938438555.3828</v>
      </c>
      <c r="I1383" s="47">
        <f t="shared" ca="1" si="195"/>
        <v>19241906732156.57</v>
      </c>
      <c r="J1383" s="47">
        <f t="shared" ca="1" si="196"/>
        <v>607834858646.95911</v>
      </c>
      <c r="K1383" s="48">
        <f t="shared" ca="1" si="197"/>
        <v>31.656471257652235</v>
      </c>
    </row>
    <row r="1384" spans="2:11" ht="15" customHeight="1" x14ac:dyDescent="0.35">
      <c r="B1384" s="5">
        <v>1363</v>
      </c>
      <c r="C1384" s="46">
        <f t="shared" ca="1" si="189"/>
        <v>3.6410654311783892</v>
      </c>
      <c r="D1384" s="47">
        <f t="shared" ca="1" si="190"/>
        <v>14698021015.846972</v>
      </c>
      <c r="E1384" s="47">
        <f t="shared" ca="1" si="191"/>
        <v>59650817970450.445</v>
      </c>
      <c r="F1384" s="47">
        <f t="shared" ca="1" si="192"/>
        <v>4248789466519.6113</v>
      </c>
      <c r="G1384" s="47">
        <f t="shared" ca="1" si="193"/>
        <v>62750557089828.82</v>
      </c>
      <c r="H1384" s="47">
        <f t="shared" ca="1" si="194"/>
        <v>62750557089828.82</v>
      </c>
      <c r="I1384" s="47">
        <f t="shared" ca="1" si="195"/>
        <v>17518797039497.391</v>
      </c>
      <c r="J1384" s="47">
        <f t="shared" ca="1" si="196"/>
        <v>2065691952657.4492</v>
      </c>
      <c r="K1384" s="48">
        <f t="shared" ca="1" si="197"/>
        <v>8.4808371436796257</v>
      </c>
    </row>
    <row r="1385" spans="2:11" ht="15" customHeight="1" x14ac:dyDescent="0.35">
      <c r="B1385" s="5">
        <v>1364</v>
      </c>
      <c r="C1385" s="46">
        <f t="shared" ca="1" si="189"/>
        <v>3.1543221829395884</v>
      </c>
      <c r="D1385" s="47">
        <f t="shared" ca="1" si="190"/>
        <v>6440832457.1771183</v>
      </c>
      <c r="E1385" s="47">
        <f t="shared" ca="1" si="191"/>
        <v>10048209996219.227</v>
      </c>
      <c r="F1385" s="47">
        <f t="shared" ca="1" si="192"/>
        <v>165747745962.09366</v>
      </c>
      <c r="G1385" s="47">
        <f t="shared" ca="1" si="193"/>
        <v>23968156882197.293</v>
      </c>
      <c r="H1385" s="47">
        <f t="shared" ca="1" si="194"/>
        <v>165747745962.09366</v>
      </c>
      <c r="I1385" s="47">
        <f t="shared" ca="1" si="195"/>
        <v>27516248636858.746</v>
      </c>
      <c r="J1385" s="47">
        <f t="shared" ca="1" si="196"/>
        <v>1138770164331.0103</v>
      </c>
      <c r="K1385" s="48">
        <f t="shared" ca="1" si="197"/>
        <v>24.163127467449616</v>
      </c>
    </row>
    <row r="1386" spans="2:11" ht="15" customHeight="1" x14ac:dyDescent="0.35">
      <c r="B1386" s="5">
        <v>1365</v>
      </c>
      <c r="C1386" s="46">
        <f t="shared" ca="1" si="189"/>
        <v>3.8721907073826758</v>
      </c>
      <c r="D1386" s="47">
        <f t="shared" ca="1" si="190"/>
        <v>16839692264.918835</v>
      </c>
      <c r="E1386" s="47">
        <f t="shared" ca="1" si="191"/>
        <v>100516855320868.58</v>
      </c>
      <c r="F1386" s="47">
        <f t="shared" ca="1" si="192"/>
        <v>4797468191165.7441</v>
      </c>
      <c r="G1386" s="47">
        <f t="shared" ca="1" si="193"/>
        <v>3261691787339.8237</v>
      </c>
      <c r="H1386" s="47">
        <f t="shared" ca="1" si="194"/>
        <v>4797468191165.7441</v>
      </c>
      <c r="I1386" s="47">
        <f t="shared" ca="1" si="195"/>
        <v>4545846638912.4189</v>
      </c>
      <c r="J1386" s="47">
        <f t="shared" ca="1" si="196"/>
        <v>1296187716727.2219</v>
      </c>
      <c r="K1386" s="48">
        <f t="shared" ca="1" si="197"/>
        <v>3.5070897372722722</v>
      </c>
    </row>
    <row r="1387" spans="2:11" ht="15" customHeight="1" x14ac:dyDescent="0.35">
      <c r="B1387" s="5">
        <v>1366</v>
      </c>
      <c r="C1387" s="46">
        <f t="shared" ca="1" si="189"/>
        <v>2.9093343734090622</v>
      </c>
      <c r="D1387" s="47">
        <f t="shared" ca="1" si="190"/>
        <v>4935001349.3001738</v>
      </c>
      <c r="E1387" s="47">
        <f t="shared" ca="1" si="191"/>
        <v>17520356097180.021</v>
      </c>
      <c r="F1387" s="47">
        <f t="shared" ca="1" si="192"/>
        <v>3951038849787.5317</v>
      </c>
      <c r="G1387" s="47">
        <f t="shared" ca="1" si="193"/>
        <v>4611421245236.0166</v>
      </c>
      <c r="H1387" s="47">
        <f t="shared" ca="1" si="194"/>
        <v>3951038849787.5317</v>
      </c>
      <c r="I1387" s="47">
        <f t="shared" ca="1" si="195"/>
        <v>3461474907611.0645</v>
      </c>
      <c r="J1387" s="47">
        <f t="shared" ca="1" si="196"/>
        <v>765290681053.54297</v>
      </c>
      <c r="K1387" s="48">
        <f t="shared" ca="1" si="197"/>
        <v>4.5230851404668879</v>
      </c>
    </row>
    <row r="1388" spans="2:11" ht="15" customHeight="1" x14ac:dyDescent="0.35">
      <c r="B1388" s="5">
        <v>1367</v>
      </c>
      <c r="C1388" s="46">
        <f t="shared" ca="1" si="189"/>
        <v>3.2011759139398177</v>
      </c>
      <c r="D1388" s="47">
        <f t="shared" ca="1" si="190"/>
        <v>6177274006.7690172</v>
      </c>
      <c r="E1388" s="47">
        <f t="shared" ca="1" si="191"/>
        <v>38277183217049.18</v>
      </c>
      <c r="F1388" s="47">
        <f t="shared" ca="1" si="192"/>
        <v>2974709297219.1606</v>
      </c>
      <c r="G1388" s="47">
        <f t="shared" ca="1" si="193"/>
        <v>38087584655839.813</v>
      </c>
      <c r="H1388" s="47">
        <f t="shared" ca="1" si="194"/>
        <v>38277183217049.18</v>
      </c>
      <c r="I1388" s="47">
        <f t="shared" ca="1" si="195"/>
        <v>33255069720630.453</v>
      </c>
      <c r="J1388" s="47">
        <f t="shared" ca="1" si="196"/>
        <v>501978670506.22943</v>
      </c>
      <c r="K1388" s="48">
        <f t="shared" ca="1" si="197"/>
        <v>66.247973618269043</v>
      </c>
    </row>
    <row r="1389" spans="2:11" ht="15" customHeight="1" x14ac:dyDescent="0.35">
      <c r="B1389" s="5">
        <v>1368</v>
      </c>
      <c r="C1389" s="46">
        <f t="shared" ca="1" si="189"/>
        <v>2.5338595725421662</v>
      </c>
      <c r="D1389" s="47">
        <f t="shared" ca="1" si="190"/>
        <v>1678887381.0242569</v>
      </c>
      <c r="E1389" s="47">
        <f t="shared" ca="1" si="191"/>
        <v>5700730812474.6846</v>
      </c>
      <c r="F1389" s="47">
        <f t="shared" ca="1" si="192"/>
        <v>7426263766318.4258</v>
      </c>
      <c r="G1389" s="47">
        <f t="shared" ca="1" si="193"/>
        <v>279875578070.89618</v>
      </c>
      <c r="H1389" s="47">
        <f t="shared" ca="1" si="194"/>
        <v>7426263766318.4258</v>
      </c>
      <c r="I1389" s="47">
        <f t="shared" ca="1" si="195"/>
        <v>7945438282150.5859</v>
      </c>
      <c r="J1389" s="47">
        <f t="shared" ca="1" si="196"/>
        <v>1400603918082.8611</v>
      </c>
      <c r="K1389" s="48">
        <f t="shared" ca="1" si="197"/>
        <v>5.6728659541565882</v>
      </c>
    </row>
    <row r="1390" spans="2:11" ht="15" customHeight="1" x14ac:dyDescent="0.35">
      <c r="B1390" s="5">
        <v>1369</v>
      </c>
      <c r="C1390" s="46">
        <f t="shared" ca="1" si="189"/>
        <v>3.3932785206670242</v>
      </c>
      <c r="D1390" s="47">
        <f t="shared" ca="1" si="190"/>
        <v>8813534394.3275089</v>
      </c>
      <c r="E1390" s="47">
        <f t="shared" ca="1" si="191"/>
        <v>38117356497634.344</v>
      </c>
      <c r="F1390" s="47">
        <f t="shared" ca="1" si="192"/>
        <v>1570064885048.6204</v>
      </c>
      <c r="G1390" s="47">
        <f t="shared" ca="1" si="193"/>
        <v>728071461025.14539</v>
      </c>
      <c r="H1390" s="47">
        <f t="shared" ca="1" si="194"/>
        <v>38117356497634.344</v>
      </c>
      <c r="I1390" s="47">
        <f t="shared" ca="1" si="195"/>
        <v>5417207991912.4717</v>
      </c>
      <c r="J1390" s="47">
        <f t="shared" ca="1" si="196"/>
        <v>1532202719041.8999</v>
      </c>
      <c r="K1390" s="48">
        <f t="shared" ca="1" si="197"/>
        <v>3.5355687107120528</v>
      </c>
    </row>
    <row r="1391" spans="2:11" ht="15" customHeight="1" x14ac:dyDescent="0.35">
      <c r="B1391" s="5">
        <v>1370</v>
      </c>
      <c r="C1391" s="46">
        <f t="shared" ca="1" si="189"/>
        <v>3.4234170903845991</v>
      </c>
      <c r="D1391" s="47">
        <f t="shared" ca="1" si="190"/>
        <v>9979856404.5910835</v>
      </c>
      <c r="E1391" s="47">
        <f t="shared" ca="1" si="191"/>
        <v>10609036343586.004</v>
      </c>
      <c r="F1391" s="47">
        <f t="shared" ca="1" si="192"/>
        <v>889841714550.42676</v>
      </c>
      <c r="G1391" s="47">
        <f t="shared" ca="1" si="193"/>
        <v>4900240253090.0371</v>
      </c>
      <c r="H1391" s="47">
        <f t="shared" ca="1" si="194"/>
        <v>4900240253090.0371</v>
      </c>
      <c r="I1391" s="47">
        <f t="shared" ca="1" si="195"/>
        <v>2698655999868.23</v>
      </c>
      <c r="J1391" s="47">
        <f t="shared" ca="1" si="196"/>
        <v>1085424765985.0529</v>
      </c>
      <c r="K1391" s="48">
        <f t="shared" ca="1" si="197"/>
        <v>2.4862672056493249</v>
      </c>
    </row>
    <row r="1392" spans="2:11" ht="15" customHeight="1" x14ac:dyDescent="0.35">
      <c r="B1392" s="5">
        <v>1371</v>
      </c>
      <c r="C1392" s="46">
        <f t="shared" ca="1" si="189"/>
        <v>2.4516356515178219</v>
      </c>
      <c r="D1392" s="47">
        <f t="shared" ca="1" si="190"/>
        <v>1463087992.7358479</v>
      </c>
      <c r="E1392" s="47">
        <f t="shared" ca="1" si="191"/>
        <v>4730551583575.6133</v>
      </c>
      <c r="F1392" s="47">
        <f t="shared" ca="1" si="192"/>
        <v>1609803866624.3171</v>
      </c>
      <c r="G1392" s="47">
        <f t="shared" ca="1" si="193"/>
        <v>22724589243551.184</v>
      </c>
      <c r="H1392" s="47">
        <f t="shared" ca="1" si="194"/>
        <v>1609803866624.3171</v>
      </c>
      <c r="I1392" s="47">
        <f t="shared" ca="1" si="195"/>
        <v>2200544070237.9126</v>
      </c>
      <c r="J1392" s="47">
        <f t="shared" ca="1" si="196"/>
        <v>1417225506470.7087</v>
      </c>
      <c r="K1392" s="48">
        <f t="shared" ca="1" si="197"/>
        <v>1.552712719458379</v>
      </c>
    </row>
    <row r="1393" spans="2:11" ht="15" customHeight="1" x14ac:dyDescent="0.35">
      <c r="B1393" s="5">
        <v>1372</v>
      </c>
      <c r="C1393" s="46">
        <f t="shared" ca="1" si="189"/>
        <v>3.4279681014394652</v>
      </c>
      <c r="D1393" s="47">
        <f t="shared" ca="1" si="190"/>
        <v>8529357513.6691265</v>
      </c>
      <c r="E1393" s="47">
        <f t="shared" ca="1" si="191"/>
        <v>38820501903872.633</v>
      </c>
      <c r="F1393" s="47">
        <f t="shared" ca="1" si="192"/>
        <v>1700324723343.6924</v>
      </c>
      <c r="G1393" s="47">
        <f t="shared" ca="1" si="193"/>
        <v>5175521829096.8086</v>
      </c>
      <c r="H1393" s="47">
        <f t="shared" ca="1" si="194"/>
        <v>38820501903872.633</v>
      </c>
      <c r="I1393" s="47">
        <f t="shared" ca="1" si="195"/>
        <v>994490728298.47717</v>
      </c>
      <c r="J1393" s="47">
        <f t="shared" ca="1" si="196"/>
        <v>1254155280472.0984</v>
      </c>
      <c r="K1393" s="48">
        <f t="shared" ca="1" si="197"/>
        <v>0.79295661692236674</v>
      </c>
    </row>
    <row r="1394" spans="2:11" ht="15" customHeight="1" x14ac:dyDescent="0.35">
      <c r="B1394" s="5">
        <v>1373</v>
      </c>
      <c r="C1394" s="46">
        <f t="shared" ca="1" si="189"/>
        <v>2.5193426170783026</v>
      </c>
      <c r="D1394" s="47">
        <f t="shared" ca="1" si="190"/>
        <v>2036890530.6548088</v>
      </c>
      <c r="E1394" s="47">
        <f t="shared" ca="1" si="191"/>
        <v>14279129197159.35</v>
      </c>
      <c r="F1394" s="47">
        <f t="shared" ca="1" si="192"/>
        <v>1677676720007.9775</v>
      </c>
      <c r="G1394" s="47">
        <f t="shared" ca="1" si="193"/>
        <v>6967227793336.3896</v>
      </c>
      <c r="H1394" s="47">
        <f t="shared" ca="1" si="194"/>
        <v>1677676720007.9775</v>
      </c>
      <c r="I1394" s="47">
        <f t="shared" ca="1" si="195"/>
        <v>180800720000.70868</v>
      </c>
      <c r="J1394" s="47">
        <f t="shared" ca="1" si="196"/>
        <v>1914366793803.2346</v>
      </c>
      <c r="K1394" s="48">
        <f t="shared" ca="1" si="197"/>
        <v>9.4444137135034328E-2</v>
      </c>
    </row>
    <row r="1395" spans="2:11" ht="15" customHeight="1" x14ac:dyDescent="0.35">
      <c r="B1395" s="5">
        <v>1374</v>
      </c>
      <c r="C1395" s="46">
        <f t="shared" ca="1" si="189"/>
        <v>3.2626139010962985</v>
      </c>
      <c r="D1395" s="47">
        <f t="shared" ca="1" si="190"/>
        <v>6870232097.6027203</v>
      </c>
      <c r="E1395" s="47">
        <f t="shared" ca="1" si="191"/>
        <v>12483219560778.523</v>
      </c>
      <c r="F1395" s="47">
        <f t="shared" ca="1" si="192"/>
        <v>2354419780370.7285</v>
      </c>
      <c r="G1395" s="47">
        <f t="shared" ca="1" si="193"/>
        <v>19136498410210.445</v>
      </c>
      <c r="H1395" s="47">
        <f t="shared" ca="1" si="194"/>
        <v>2354419780370.7285</v>
      </c>
      <c r="I1395" s="47">
        <f t="shared" ca="1" si="195"/>
        <v>6726925844697.2979</v>
      </c>
      <c r="J1395" s="47">
        <f t="shared" ca="1" si="196"/>
        <v>1652535870195.23</v>
      </c>
      <c r="K1395" s="48">
        <f t="shared" ca="1" si="197"/>
        <v>4.0706685803452975</v>
      </c>
    </row>
    <row r="1396" spans="2:11" ht="15" customHeight="1" x14ac:dyDescent="0.35">
      <c r="B1396" s="5">
        <v>1375</v>
      </c>
      <c r="C1396" s="46">
        <f t="shared" ca="1" si="189"/>
        <v>3.1914583232067892</v>
      </c>
      <c r="D1396" s="47">
        <f t="shared" ca="1" si="190"/>
        <v>7236831601.669529</v>
      </c>
      <c r="E1396" s="47">
        <f t="shared" ca="1" si="191"/>
        <v>18325518087116.406</v>
      </c>
      <c r="F1396" s="47">
        <f t="shared" ca="1" si="192"/>
        <v>4111807152921.3066</v>
      </c>
      <c r="G1396" s="47">
        <f t="shared" ca="1" si="193"/>
        <v>1031387103921.5365</v>
      </c>
      <c r="H1396" s="47">
        <f t="shared" ca="1" si="194"/>
        <v>4111807152921.3066</v>
      </c>
      <c r="I1396" s="47">
        <f t="shared" ca="1" si="195"/>
        <v>25782485166560.176</v>
      </c>
      <c r="J1396" s="47">
        <f t="shared" ca="1" si="196"/>
        <v>596504801362.95667</v>
      </c>
      <c r="K1396" s="48">
        <f t="shared" ca="1" si="197"/>
        <v>43.222594533438212</v>
      </c>
    </row>
    <row r="1397" spans="2:11" ht="15" customHeight="1" x14ac:dyDescent="0.35">
      <c r="B1397" s="5">
        <v>1376</v>
      </c>
      <c r="C1397" s="46">
        <f t="shared" ca="1" si="189"/>
        <v>2.983880243443823</v>
      </c>
      <c r="D1397" s="47">
        <f t="shared" ca="1" si="190"/>
        <v>4961513352.2470789</v>
      </c>
      <c r="E1397" s="47">
        <f t="shared" ca="1" si="191"/>
        <v>18665988270547.551</v>
      </c>
      <c r="F1397" s="47">
        <f t="shared" ca="1" si="192"/>
        <v>748158548888.08789</v>
      </c>
      <c r="G1397" s="47">
        <f t="shared" ca="1" si="193"/>
        <v>677703549890.48999</v>
      </c>
      <c r="H1397" s="47">
        <f t="shared" ca="1" si="194"/>
        <v>748158548888.08789</v>
      </c>
      <c r="I1397" s="47">
        <f t="shared" ca="1" si="195"/>
        <v>2019259556844.8633</v>
      </c>
      <c r="J1397" s="47">
        <f t="shared" ca="1" si="196"/>
        <v>2422531381621.7759</v>
      </c>
      <c r="K1397" s="48">
        <f t="shared" ca="1" si="197"/>
        <v>0.83353287893965677</v>
      </c>
    </row>
    <row r="1398" spans="2:11" ht="15" customHeight="1" x14ac:dyDescent="0.35">
      <c r="B1398" s="5">
        <v>1377</v>
      </c>
      <c r="C1398" s="46">
        <f t="shared" ca="1" si="189"/>
        <v>2.7435000867516752</v>
      </c>
      <c r="D1398" s="47">
        <f t="shared" ca="1" si="190"/>
        <v>3213513325.5506392</v>
      </c>
      <c r="E1398" s="47">
        <f t="shared" ca="1" si="191"/>
        <v>10012487674123.451</v>
      </c>
      <c r="F1398" s="47">
        <f t="shared" ca="1" si="192"/>
        <v>524524201115.02216</v>
      </c>
      <c r="G1398" s="47">
        <f t="shared" ca="1" si="193"/>
        <v>11464165293968.207</v>
      </c>
      <c r="H1398" s="47">
        <f t="shared" ca="1" si="194"/>
        <v>11464165293968.207</v>
      </c>
      <c r="I1398" s="47">
        <f t="shared" ca="1" si="195"/>
        <v>12508667702747.154</v>
      </c>
      <c r="J1398" s="47">
        <f t="shared" ca="1" si="196"/>
        <v>746532207762.50049</v>
      </c>
      <c r="K1398" s="48">
        <f t="shared" ca="1" si="197"/>
        <v>16.75569730640024</v>
      </c>
    </row>
    <row r="1399" spans="2:11" ht="15" customHeight="1" x14ac:dyDescent="0.35">
      <c r="B1399" s="5">
        <v>1378</v>
      </c>
      <c r="C1399" s="46">
        <f t="shared" ca="1" si="189"/>
        <v>3.0619291410265435</v>
      </c>
      <c r="D1399" s="47">
        <f t="shared" ca="1" si="190"/>
        <v>4743539041.0756254</v>
      </c>
      <c r="E1399" s="47">
        <f t="shared" ca="1" si="191"/>
        <v>8012980016214.292</v>
      </c>
      <c r="F1399" s="47">
        <f t="shared" ca="1" si="192"/>
        <v>7332850396211.3311</v>
      </c>
      <c r="G1399" s="47">
        <f t="shared" ca="1" si="193"/>
        <v>2043101866315.0256</v>
      </c>
      <c r="H1399" s="47">
        <f t="shared" ca="1" si="194"/>
        <v>7332850396211.3311</v>
      </c>
      <c r="I1399" s="47">
        <f t="shared" ca="1" si="195"/>
        <v>10658812730777.652</v>
      </c>
      <c r="J1399" s="47">
        <f t="shared" ca="1" si="196"/>
        <v>1602922700891.9253</v>
      </c>
      <c r="K1399" s="48">
        <f t="shared" ca="1" si="197"/>
        <v>6.6496111913860201</v>
      </c>
    </row>
    <row r="1400" spans="2:11" ht="15" customHeight="1" x14ac:dyDescent="0.35">
      <c r="B1400" s="5">
        <v>1379</v>
      </c>
      <c r="C1400" s="46">
        <f t="shared" ca="1" si="189"/>
        <v>3.4335871154382138</v>
      </c>
      <c r="D1400" s="47">
        <f t="shared" ca="1" si="190"/>
        <v>10081551430.816126</v>
      </c>
      <c r="E1400" s="47">
        <f t="shared" ca="1" si="191"/>
        <v>45143087956647.625</v>
      </c>
      <c r="F1400" s="47">
        <f t="shared" ca="1" si="192"/>
        <v>13781445793358.078</v>
      </c>
      <c r="G1400" s="47">
        <f t="shared" ca="1" si="193"/>
        <v>210865723295.89111</v>
      </c>
      <c r="H1400" s="47">
        <f t="shared" ca="1" si="194"/>
        <v>13781445793358.078</v>
      </c>
      <c r="I1400" s="47">
        <f t="shared" ca="1" si="195"/>
        <v>23260882857674.793</v>
      </c>
      <c r="J1400" s="47">
        <f t="shared" ca="1" si="196"/>
        <v>617787675558.03308</v>
      </c>
      <c r="K1400" s="48">
        <f t="shared" ca="1" si="197"/>
        <v>37.651904979593169</v>
      </c>
    </row>
    <row r="1401" spans="2:11" ht="15" customHeight="1" x14ac:dyDescent="0.35">
      <c r="B1401" s="5">
        <v>1380</v>
      </c>
      <c r="C1401" s="46">
        <f t="shared" ca="1" si="189"/>
        <v>3.5210951538676314</v>
      </c>
      <c r="D1401" s="47">
        <f t="shared" ca="1" si="190"/>
        <v>10262869900.089033</v>
      </c>
      <c r="E1401" s="47">
        <f t="shared" ca="1" si="191"/>
        <v>57923092860597.766</v>
      </c>
      <c r="F1401" s="47">
        <f t="shared" ca="1" si="192"/>
        <v>2901963124960.3608</v>
      </c>
      <c r="G1401" s="47">
        <f t="shared" ca="1" si="193"/>
        <v>106064471239842.61</v>
      </c>
      <c r="H1401" s="47">
        <f t="shared" ca="1" si="194"/>
        <v>106064471239842.61</v>
      </c>
      <c r="I1401" s="47">
        <f t="shared" ca="1" si="195"/>
        <v>1982866049741.2148</v>
      </c>
      <c r="J1401" s="47">
        <f t="shared" ca="1" si="196"/>
        <v>2288782744285.9624</v>
      </c>
      <c r="K1401" s="48">
        <f t="shared" ca="1" si="197"/>
        <v>0.8663408769100166</v>
      </c>
    </row>
    <row r="1402" spans="2:11" ht="15" customHeight="1" x14ac:dyDescent="0.35">
      <c r="B1402" s="5">
        <v>1381</v>
      </c>
      <c r="C1402" s="46">
        <f t="shared" ca="1" si="189"/>
        <v>3.7465534178866386</v>
      </c>
      <c r="D1402" s="47">
        <f t="shared" ca="1" si="190"/>
        <v>12468893293.908562</v>
      </c>
      <c r="E1402" s="47">
        <f t="shared" ca="1" si="191"/>
        <v>87177759489106.25</v>
      </c>
      <c r="F1402" s="47">
        <f t="shared" ca="1" si="192"/>
        <v>792542867265.10278</v>
      </c>
      <c r="G1402" s="47">
        <f t="shared" ca="1" si="193"/>
        <v>202111094361.58908</v>
      </c>
      <c r="H1402" s="47">
        <f t="shared" ca="1" si="194"/>
        <v>202111094361.58908</v>
      </c>
      <c r="I1402" s="47">
        <f t="shared" ca="1" si="195"/>
        <v>1024779665972.8722</v>
      </c>
      <c r="J1402" s="47">
        <f t="shared" ca="1" si="196"/>
        <v>1817504795485.6079</v>
      </c>
      <c r="K1402" s="48">
        <f t="shared" ca="1" si="197"/>
        <v>0.56383876868895277</v>
      </c>
    </row>
    <row r="1403" spans="2:11" ht="15" customHeight="1" x14ac:dyDescent="0.35">
      <c r="B1403" s="5">
        <v>1382</v>
      </c>
      <c r="C1403" s="46">
        <f t="shared" ca="1" si="189"/>
        <v>2.223216068054124</v>
      </c>
      <c r="D1403" s="47">
        <f t="shared" ca="1" si="190"/>
        <v>878874546.78385961</v>
      </c>
      <c r="E1403" s="47">
        <f t="shared" ca="1" si="191"/>
        <v>5290784205024.3711</v>
      </c>
      <c r="F1403" s="47">
        <f t="shared" ca="1" si="192"/>
        <v>1395701255525.1245</v>
      </c>
      <c r="G1403" s="47">
        <f t="shared" ca="1" si="193"/>
        <v>1833620945286.2756</v>
      </c>
      <c r="H1403" s="47">
        <f t="shared" ca="1" si="194"/>
        <v>1395701255525.1245</v>
      </c>
      <c r="I1403" s="47">
        <f t="shared" ca="1" si="195"/>
        <v>186772479964918.88</v>
      </c>
      <c r="J1403" s="47">
        <f t="shared" ca="1" si="196"/>
        <v>794669352520.9751</v>
      </c>
      <c r="K1403" s="48">
        <f t="shared" ca="1" si="197"/>
        <v>235.0316888054256</v>
      </c>
    </row>
    <row r="1404" spans="2:11" ht="15" customHeight="1" x14ac:dyDescent="0.35">
      <c r="B1404" s="5">
        <v>1383</v>
      </c>
      <c r="C1404" s="46">
        <f t="shared" ca="1" si="189"/>
        <v>3.36749769494193</v>
      </c>
      <c r="D1404" s="47">
        <f t="shared" ca="1" si="190"/>
        <v>9003980085.8073215</v>
      </c>
      <c r="E1404" s="47">
        <f t="shared" ca="1" si="191"/>
        <v>24855791831933.668</v>
      </c>
      <c r="F1404" s="47">
        <f t="shared" ca="1" si="192"/>
        <v>3431214678705.1445</v>
      </c>
      <c r="G1404" s="47">
        <f t="shared" ca="1" si="193"/>
        <v>17074776101165.357</v>
      </c>
      <c r="H1404" s="47">
        <f t="shared" ca="1" si="194"/>
        <v>3431214678705.1445</v>
      </c>
      <c r="I1404" s="47">
        <f t="shared" ca="1" si="195"/>
        <v>15140165589399.332</v>
      </c>
      <c r="J1404" s="47">
        <f t="shared" ca="1" si="196"/>
        <v>2091153460247.9902</v>
      </c>
      <c r="K1404" s="48">
        <f t="shared" ca="1" si="197"/>
        <v>7.240102592759432</v>
      </c>
    </row>
    <row r="1405" spans="2:11" ht="15" customHeight="1" x14ac:dyDescent="0.35">
      <c r="B1405" s="5">
        <v>1384</v>
      </c>
      <c r="C1405" s="46">
        <f t="shared" ca="1" si="189"/>
        <v>2.916509974785626</v>
      </c>
      <c r="D1405" s="47">
        <f t="shared" ca="1" si="190"/>
        <v>3399388969.8863473</v>
      </c>
      <c r="E1405" s="47">
        <f t="shared" ca="1" si="191"/>
        <v>16520604123578.07</v>
      </c>
      <c r="F1405" s="47">
        <f t="shared" ca="1" si="192"/>
        <v>165954765688.55161</v>
      </c>
      <c r="G1405" s="47">
        <f t="shared" ca="1" si="193"/>
        <v>7252976457166.0547</v>
      </c>
      <c r="H1405" s="47">
        <f t="shared" ca="1" si="194"/>
        <v>165954765688.55161</v>
      </c>
      <c r="I1405" s="47">
        <f t="shared" ca="1" si="195"/>
        <v>2390361075893.7368</v>
      </c>
      <c r="J1405" s="47">
        <f t="shared" ca="1" si="196"/>
        <v>1394088228254.6716</v>
      </c>
      <c r="K1405" s="48">
        <f t="shared" ca="1" si="197"/>
        <v>1.7146411736697245</v>
      </c>
    </row>
    <row r="1406" spans="2:11" ht="15" customHeight="1" x14ac:dyDescent="0.35">
      <c r="B1406" s="5">
        <v>1385</v>
      </c>
      <c r="C1406" s="46">
        <f t="shared" ca="1" si="189"/>
        <v>3.4601116298005037</v>
      </c>
      <c r="D1406" s="47">
        <f t="shared" ca="1" si="190"/>
        <v>10791569599.376205</v>
      </c>
      <c r="E1406" s="47">
        <f t="shared" ca="1" si="191"/>
        <v>42667773613240.234</v>
      </c>
      <c r="F1406" s="47">
        <f t="shared" ca="1" si="192"/>
        <v>4980788905074.2021</v>
      </c>
      <c r="G1406" s="47">
        <f t="shared" ca="1" si="193"/>
        <v>74029857839828.516</v>
      </c>
      <c r="H1406" s="47">
        <f t="shared" ca="1" si="194"/>
        <v>42667773613240.234</v>
      </c>
      <c r="I1406" s="47">
        <f t="shared" ca="1" si="195"/>
        <v>3457247929346.7148</v>
      </c>
      <c r="J1406" s="47">
        <f t="shared" ca="1" si="196"/>
        <v>986863976771.38733</v>
      </c>
      <c r="K1406" s="48">
        <f t="shared" ca="1" si="197"/>
        <v>3.5032669250502049</v>
      </c>
    </row>
    <row r="1407" spans="2:11" ht="15" customHeight="1" x14ac:dyDescent="0.35">
      <c r="B1407" s="5">
        <v>1386</v>
      </c>
      <c r="C1407" s="46">
        <f t="shared" ca="1" si="189"/>
        <v>2.4756338990976343</v>
      </c>
      <c r="D1407" s="47">
        <f t="shared" ca="1" si="190"/>
        <v>2208381891.0969424</v>
      </c>
      <c r="E1407" s="47">
        <f t="shared" ca="1" si="191"/>
        <v>2218728390477.0063</v>
      </c>
      <c r="F1407" s="47">
        <f t="shared" ca="1" si="192"/>
        <v>7920813962646.75</v>
      </c>
      <c r="G1407" s="47">
        <f t="shared" ca="1" si="193"/>
        <v>3234047509458.0718</v>
      </c>
      <c r="H1407" s="47">
        <f t="shared" ca="1" si="194"/>
        <v>7920813962646.75</v>
      </c>
      <c r="I1407" s="47">
        <f t="shared" ca="1" si="195"/>
        <v>2326147235911.0713</v>
      </c>
      <c r="J1407" s="47">
        <f t="shared" ca="1" si="196"/>
        <v>1471730110627.3545</v>
      </c>
      <c r="K1407" s="48">
        <f t="shared" ca="1" si="197"/>
        <v>1.5805528602791883</v>
      </c>
    </row>
    <row r="1408" spans="2:11" ht="15" customHeight="1" x14ac:dyDescent="0.35">
      <c r="B1408" s="5">
        <v>1387</v>
      </c>
      <c r="C1408" s="46">
        <f t="shared" ca="1" si="189"/>
        <v>3.1064429242536336</v>
      </c>
      <c r="D1408" s="47">
        <f t="shared" ca="1" si="190"/>
        <v>5406608752.8237667</v>
      </c>
      <c r="E1408" s="47">
        <f t="shared" ca="1" si="191"/>
        <v>33707611805822.859</v>
      </c>
      <c r="F1408" s="47">
        <f t="shared" ca="1" si="192"/>
        <v>3336008281408.708</v>
      </c>
      <c r="G1408" s="47">
        <f t="shared" ca="1" si="193"/>
        <v>3450983042645.9395</v>
      </c>
      <c r="H1408" s="47">
        <f t="shared" ca="1" si="194"/>
        <v>33707611805822.859</v>
      </c>
      <c r="I1408" s="47">
        <f t="shared" ca="1" si="195"/>
        <v>274054064906.55396</v>
      </c>
      <c r="J1408" s="47">
        <f t="shared" ca="1" si="196"/>
        <v>1980250213452.605</v>
      </c>
      <c r="K1408" s="48">
        <f t="shared" ca="1" si="197"/>
        <v>0.13839365502641979</v>
      </c>
    </row>
    <row r="1409" spans="2:11" ht="15" customHeight="1" x14ac:dyDescent="0.35">
      <c r="B1409" s="5">
        <v>1388</v>
      </c>
      <c r="C1409" s="46">
        <f t="shared" ca="1" si="189"/>
        <v>3.247538268014416</v>
      </c>
      <c r="D1409" s="47">
        <f t="shared" ca="1" si="190"/>
        <v>6286644311.7480526</v>
      </c>
      <c r="E1409" s="47">
        <f t="shared" ca="1" si="191"/>
        <v>40502453707978.453</v>
      </c>
      <c r="F1409" s="47">
        <f t="shared" ca="1" si="192"/>
        <v>3305485870748.375</v>
      </c>
      <c r="G1409" s="47">
        <f t="shared" ca="1" si="193"/>
        <v>9490213029088.875</v>
      </c>
      <c r="H1409" s="47">
        <f t="shared" ca="1" si="194"/>
        <v>9490213029088.875</v>
      </c>
      <c r="I1409" s="47">
        <f t="shared" ca="1" si="195"/>
        <v>742578087825.43188</v>
      </c>
      <c r="J1409" s="47">
        <f t="shared" ca="1" si="196"/>
        <v>1556862787792.0129</v>
      </c>
      <c r="K1409" s="48">
        <f t="shared" ca="1" si="197"/>
        <v>0.47697079899929862</v>
      </c>
    </row>
    <row r="1410" spans="2:11" ht="15" customHeight="1" x14ac:dyDescent="0.35">
      <c r="B1410" s="5">
        <v>1389</v>
      </c>
      <c r="C1410" s="46">
        <f t="shared" ca="1" si="189"/>
        <v>3.2767470708959188</v>
      </c>
      <c r="D1410" s="47">
        <f t="shared" ca="1" si="190"/>
        <v>8494051832.819479</v>
      </c>
      <c r="E1410" s="47">
        <f t="shared" ca="1" si="191"/>
        <v>13406415454538.945</v>
      </c>
      <c r="F1410" s="47">
        <f t="shared" ca="1" si="192"/>
        <v>8667612364020.0889</v>
      </c>
      <c r="G1410" s="47">
        <f t="shared" ca="1" si="193"/>
        <v>766215355197.4043</v>
      </c>
      <c r="H1410" s="47">
        <f t="shared" ca="1" si="194"/>
        <v>766215355197.4043</v>
      </c>
      <c r="I1410" s="47">
        <f t="shared" ca="1" si="195"/>
        <v>11632664509675.426</v>
      </c>
      <c r="J1410" s="47">
        <f t="shared" ca="1" si="196"/>
        <v>1454582437488.2134</v>
      </c>
      <c r="K1410" s="48">
        <f t="shared" ca="1" si="197"/>
        <v>7.9972535140482108</v>
      </c>
    </row>
    <row r="1411" spans="2:11" ht="15" customHeight="1" x14ac:dyDescent="0.35">
      <c r="B1411" s="5">
        <v>1390</v>
      </c>
      <c r="C1411" s="46">
        <f t="shared" ca="1" si="189"/>
        <v>3.574534485752332</v>
      </c>
      <c r="D1411" s="47">
        <f t="shared" ca="1" si="190"/>
        <v>10302718018.54784</v>
      </c>
      <c r="E1411" s="47">
        <f t="shared" ca="1" si="191"/>
        <v>39732103247828.516</v>
      </c>
      <c r="F1411" s="47">
        <f t="shared" ca="1" si="192"/>
        <v>4438853441447.0439</v>
      </c>
      <c r="G1411" s="47">
        <f t="shared" ca="1" si="193"/>
        <v>92011798880965.625</v>
      </c>
      <c r="H1411" s="47">
        <f t="shared" ca="1" si="194"/>
        <v>92011798880965.625</v>
      </c>
      <c r="I1411" s="47">
        <f t="shared" ca="1" si="195"/>
        <v>5519980364155.4111</v>
      </c>
      <c r="J1411" s="47">
        <f t="shared" ca="1" si="196"/>
        <v>1534695827582.6194</v>
      </c>
      <c r="K1411" s="48">
        <f t="shared" ca="1" si="197"/>
        <v>3.5967911458065434</v>
      </c>
    </row>
    <row r="1412" spans="2:11" ht="15" customHeight="1" x14ac:dyDescent="0.35">
      <c r="B1412" s="5">
        <v>1391</v>
      </c>
      <c r="C1412" s="46">
        <f t="shared" ca="1" si="189"/>
        <v>2.4237168009839483</v>
      </c>
      <c r="D1412" s="47">
        <f t="shared" ca="1" si="190"/>
        <v>1460480452.7130013</v>
      </c>
      <c r="E1412" s="47">
        <f t="shared" ca="1" si="191"/>
        <v>12331635352911.68</v>
      </c>
      <c r="F1412" s="47">
        <f t="shared" ca="1" si="192"/>
        <v>4977132829497.6201</v>
      </c>
      <c r="G1412" s="47">
        <f t="shared" ca="1" si="193"/>
        <v>1110387279786.6165</v>
      </c>
      <c r="H1412" s="47">
        <f t="shared" ca="1" si="194"/>
        <v>12331635352911.68</v>
      </c>
      <c r="I1412" s="47">
        <f t="shared" ca="1" si="195"/>
        <v>9445649467045.1543</v>
      </c>
      <c r="J1412" s="47">
        <f t="shared" ca="1" si="196"/>
        <v>2359639434735.6665</v>
      </c>
      <c r="K1412" s="48">
        <f t="shared" ca="1" si="197"/>
        <v>4.0030054287100363</v>
      </c>
    </row>
    <row r="1413" spans="2:11" ht="15" customHeight="1" x14ac:dyDescent="0.35">
      <c r="B1413" s="5">
        <v>1392</v>
      </c>
      <c r="C1413" s="46">
        <f t="shared" ca="1" si="189"/>
        <v>3.0862674630610565</v>
      </c>
      <c r="D1413" s="47">
        <f t="shared" ca="1" si="190"/>
        <v>6552792136.8740578</v>
      </c>
      <c r="E1413" s="47">
        <f t="shared" ca="1" si="191"/>
        <v>13871846815906.574</v>
      </c>
      <c r="F1413" s="47">
        <f t="shared" ca="1" si="192"/>
        <v>506301783188.26837</v>
      </c>
      <c r="G1413" s="47">
        <f t="shared" ca="1" si="193"/>
        <v>1279597991026.6182</v>
      </c>
      <c r="H1413" s="47">
        <f t="shared" ca="1" si="194"/>
        <v>1279597991026.6182</v>
      </c>
      <c r="I1413" s="47">
        <f t="shared" ca="1" si="195"/>
        <v>240189091458228.16</v>
      </c>
      <c r="J1413" s="47">
        <f t="shared" ca="1" si="196"/>
        <v>1138405756799.4043</v>
      </c>
      <c r="K1413" s="48">
        <f t="shared" ca="1" si="197"/>
        <v>210.98724248682035</v>
      </c>
    </row>
    <row r="1414" spans="2:11" ht="15" customHeight="1" x14ac:dyDescent="0.35">
      <c r="B1414" s="5">
        <v>1393</v>
      </c>
      <c r="C1414" s="46">
        <f t="shared" ca="1" si="189"/>
        <v>3.1341875693315866</v>
      </c>
      <c r="D1414" s="47">
        <f t="shared" ca="1" si="190"/>
        <v>5752442085.6598597</v>
      </c>
      <c r="E1414" s="47">
        <f t="shared" ca="1" si="191"/>
        <v>15113681143289.633</v>
      </c>
      <c r="F1414" s="47">
        <f t="shared" ca="1" si="192"/>
        <v>1734918562476.6133</v>
      </c>
      <c r="G1414" s="47">
        <f t="shared" ca="1" si="193"/>
        <v>23508807448814.359</v>
      </c>
      <c r="H1414" s="47">
        <f t="shared" ca="1" si="194"/>
        <v>15113681143289.633</v>
      </c>
      <c r="I1414" s="47">
        <f t="shared" ca="1" si="195"/>
        <v>12561536427480.604</v>
      </c>
      <c r="J1414" s="47">
        <f t="shared" ca="1" si="196"/>
        <v>1698759023816.1987</v>
      </c>
      <c r="K1414" s="48">
        <f t="shared" ca="1" si="197"/>
        <v>7.3945369833924888</v>
      </c>
    </row>
    <row r="1415" spans="2:11" ht="15" customHeight="1" x14ac:dyDescent="0.35">
      <c r="B1415" s="5">
        <v>1394</v>
      </c>
      <c r="C1415" s="46">
        <f t="shared" ca="1" si="189"/>
        <v>3.0020599465099891</v>
      </c>
      <c r="D1415" s="47">
        <f t="shared" ca="1" si="190"/>
        <v>5544950444.4070368</v>
      </c>
      <c r="E1415" s="47">
        <f t="shared" ca="1" si="191"/>
        <v>8459380741381.8047</v>
      </c>
      <c r="F1415" s="47">
        <f t="shared" ca="1" si="192"/>
        <v>1616164204042.6541</v>
      </c>
      <c r="G1415" s="47">
        <f t="shared" ca="1" si="193"/>
        <v>269748125718.7374</v>
      </c>
      <c r="H1415" s="47">
        <f t="shared" ca="1" si="194"/>
        <v>269748125718.7374</v>
      </c>
      <c r="I1415" s="47">
        <f t="shared" ca="1" si="195"/>
        <v>69918975923587.547</v>
      </c>
      <c r="J1415" s="47">
        <f t="shared" ca="1" si="196"/>
        <v>2356743471242.9346</v>
      </c>
      <c r="K1415" s="48">
        <f t="shared" ca="1" si="197"/>
        <v>29.667622622801893</v>
      </c>
    </row>
    <row r="1416" spans="2:11" ht="15" customHeight="1" x14ac:dyDescent="0.35">
      <c r="B1416" s="5">
        <v>1395</v>
      </c>
      <c r="C1416" s="46">
        <f t="shared" ca="1" si="189"/>
        <v>2.4290436426926472</v>
      </c>
      <c r="D1416" s="47">
        <f t="shared" ca="1" si="190"/>
        <v>1925596570.9836476</v>
      </c>
      <c r="E1416" s="47">
        <f t="shared" ca="1" si="191"/>
        <v>16102981586013.156</v>
      </c>
      <c r="F1416" s="47">
        <f t="shared" ca="1" si="192"/>
        <v>7512059784289.3418</v>
      </c>
      <c r="G1416" s="47">
        <f t="shared" ca="1" si="193"/>
        <v>5315815972734.1309</v>
      </c>
      <c r="H1416" s="47">
        <f t="shared" ca="1" si="194"/>
        <v>5315815972734.1309</v>
      </c>
      <c r="I1416" s="47">
        <f t="shared" ca="1" si="195"/>
        <v>22988177094990.734</v>
      </c>
      <c r="J1416" s="47">
        <f t="shared" ca="1" si="196"/>
        <v>817705147587.55249</v>
      </c>
      <c r="K1416" s="48">
        <f t="shared" ca="1" si="197"/>
        <v>28.113039477386152</v>
      </c>
    </row>
    <row r="1417" spans="2:11" ht="15" customHeight="1" x14ac:dyDescent="0.35">
      <c r="B1417" s="5">
        <v>1396</v>
      </c>
      <c r="C1417" s="46">
        <f t="shared" ca="1" si="189"/>
        <v>2.891114777248557</v>
      </c>
      <c r="D1417" s="47">
        <f t="shared" ca="1" si="190"/>
        <v>3419059134.8842626</v>
      </c>
      <c r="E1417" s="47">
        <f t="shared" ca="1" si="191"/>
        <v>5247936723835.7793</v>
      </c>
      <c r="F1417" s="47">
        <f t="shared" ca="1" si="192"/>
        <v>675570111494.09216</v>
      </c>
      <c r="G1417" s="47">
        <f t="shared" ca="1" si="193"/>
        <v>3985812448760.8096</v>
      </c>
      <c r="H1417" s="47">
        <f t="shared" ca="1" si="194"/>
        <v>3985812448760.8096</v>
      </c>
      <c r="I1417" s="47">
        <f t="shared" ca="1" si="195"/>
        <v>5749139826720.1318</v>
      </c>
      <c r="J1417" s="47">
        <f t="shared" ca="1" si="196"/>
        <v>566948316209.47839</v>
      </c>
      <c r="K1417" s="48">
        <f t="shared" ca="1" si="197"/>
        <v>10.140500751740333</v>
      </c>
    </row>
    <row r="1418" spans="2:11" ht="15" customHeight="1" x14ac:dyDescent="0.35">
      <c r="B1418" s="5">
        <v>1397</v>
      </c>
      <c r="C1418" s="46">
        <f t="shared" ca="1" si="189"/>
        <v>4.1885150579434196</v>
      </c>
      <c r="D1418" s="47">
        <f t="shared" ca="1" si="190"/>
        <v>26738471556.858223</v>
      </c>
      <c r="E1418" s="47">
        <f t="shared" ca="1" si="191"/>
        <v>42249922508107.195</v>
      </c>
      <c r="F1418" s="47">
        <f t="shared" ca="1" si="192"/>
        <v>11702088645965.154</v>
      </c>
      <c r="G1418" s="47">
        <f t="shared" ca="1" si="193"/>
        <v>2640192060181.7988</v>
      </c>
      <c r="H1418" s="47">
        <f t="shared" ca="1" si="194"/>
        <v>11702088645965.154</v>
      </c>
      <c r="I1418" s="47">
        <f t="shared" ca="1" si="195"/>
        <v>1814694128029.0366</v>
      </c>
      <c r="J1418" s="47">
        <f t="shared" ca="1" si="196"/>
        <v>1076427792859.8835</v>
      </c>
      <c r="K1418" s="48">
        <f t="shared" ca="1" si="197"/>
        <v>1.6858484517644294</v>
      </c>
    </row>
    <row r="1419" spans="2:11" ht="15" customHeight="1" x14ac:dyDescent="0.35">
      <c r="B1419" s="5">
        <v>1398</v>
      </c>
      <c r="C1419" s="46">
        <f t="shared" ca="1" si="189"/>
        <v>2.0256956041616627</v>
      </c>
      <c r="D1419" s="47">
        <f t="shared" ca="1" si="190"/>
        <v>669067034.47166228</v>
      </c>
      <c r="E1419" s="47">
        <f t="shared" ca="1" si="191"/>
        <v>5021319670522.5752</v>
      </c>
      <c r="F1419" s="47">
        <f t="shared" ca="1" si="192"/>
        <v>2539036016501.084</v>
      </c>
      <c r="G1419" s="47">
        <f t="shared" ca="1" si="193"/>
        <v>9923200640179.3203</v>
      </c>
      <c r="H1419" s="47">
        <f t="shared" ca="1" si="194"/>
        <v>2539036016501.084</v>
      </c>
      <c r="I1419" s="47">
        <f t="shared" ca="1" si="195"/>
        <v>13982875999031.354</v>
      </c>
      <c r="J1419" s="47">
        <f t="shared" ca="1" si="196"/>
        <v>2161055900772.8638</v>
      </c>
      <c r="K1419" s="48">
        <f t="shared" ca="1" si="197"/>
        <v>6.470390698376022</v>
      </c>
    </row>
    <row r="1420" spans="2:11" ht="15" customHeight="1" x14ac:dyDescent="0.35">
      <c r="B1420" s="5">
        <v>1399</v>
      </c>
      <c r="C1420" s="46">
        <f t="shared" ca="1" si="189"/>
        <v>3.4282444903321574</v>
      </c>
      <c r="D1420" s="47">
        <f t="shared" ca="1" si="190"/>
        <v>7711809085.3539562</v>
      </c>
      <c r="E1420" s="47">
        <f t="shared" ca="1" si="191"/>
        <v>7317754052926.7168</v>
      </c>
      <c r="F1420" s="47">
        <f t="shared" ca="1" si="192"/>
        <v>8174439528623.6123</v>
      </c>
      <c r="G1420" s="47">
        <f t="shared" ca="1" si="193"/>
        <v>5563202526599.2266</v>
      </c>
      <c r="H1420" s="47">
        <f t="shared" ca="1" si="194"/>
        <v>8174439528623.6123</v>
      </c>
      <c r="I1420" s="47">
        <f t="shared" ca="1" si="195"/>
        <v>24692410690147.512</v>
      </c>
      <c r="J1420" s="47">
        <f t="shared" ca="1" si="196"/>
        <v>2049226570332.4417</v>
      </c>
      <c r="K1420" s="48">
        <f t="shared" ca="1" si="197"/>
        <v>12.049624501082725</v>
      </c>
    </row>
    <row r="1421" spans="2:11" ht="15" customHeight="1" x14ac:dyDescent="0.35">
      <c r="B1421" s="5">
        <v>1400</v>
      </c>
      <c r="C1421" s="46">
        <f t="shared" ca="1" si="189"/>
        <v>3.02771718148716</v>
      </c>
      <c r="D1421" s="47">
        <f t="shared" ca="1" si="190"/>
        <v>4507877247.995224</v>
      </c>
      <c r="E1421" s="47">
        <f t="shared" ca="1" si="191"/>
        <v>17697153510804.75</v>
      </c>
      <c r="F1421" s="47">
        <f t="shared" ca="1" si="192"/>
        <v>3219923036760.479</v>
      </c>
      <c r="G1421" s="47">
        <f t="shared" ca="1" si="193"/>
        <v>312445927761.42993</v>
      </c>
      <c r="H1421" s="47">
        <f t="shared" ca="1" si="194"/>
        <v>17697153510804.75</v>
      </c>
      <c r="I1421" s="47">
        <f t="shared" ca="1" si="195"/>
        <v>814517729220.67554</v>
      </c>
      <c r="J1421" s="47">
        <f t="shared" ca="1" si="196"/>
        <v>1201570236354.175</v>
      </c>
      <c r="K1421" s="48">
        <f t="shared" ca="1" si="197"/>
        <v>0.67787775077726553</v>
      </c>
    </row>
    <row r="1422" spans="2:11" ht="15" customHeight="1" x14ac:dyDescent="0.35">
      <c r="B1422" s="5">
        <v>1401</v>
      </c>
      <c r="C1422" s="46">
        <f t="shared" ca="1" si="189"/>
        <v>2.3856719832947055</v>
      </c>
      <c r="D1422" s="47">
        <f t="shared" ca="1" si="190"/>
        <v>1545968231.982924</v>
      </c>
      <c r="E1422" s="47">
        <f t="shared" ca="1" si="191"/>
        <v>2775747832092.9453</v>
      </c>
      <c r="F1422" s="47">
        <f t="shared" ca="1" si="192"/>
        <v>638616946357.17297</v>
      </c>
      <c r="G1422" s="47">
        <f t="shared" ca="1" si="193"/>
        <v>4970401844375.959</v>
      </c>
      <c r="H1422" s="47">
        <f t="shared" ca="1" si="194"/>
        <v>4970401844375.959</v>
      </c>
      <c r="I1422" s="47">
        <f t="shared" ca="1" si="195"/>
        <v>5540187307050.3867</v>
      </c>
      <c r="J1422" s="47">
        <f t="shared" ca="1" si="196"/>
        <v>1413910707431.2522</v>
      </c>
      <c r="K1422" s="48">
        <f t="shared" ca="1" si="197"/>
        <v>3.9183431301087053</v>
      </c>
    </row>
    <row r="1423" spans="2:11" ht="15" customHeight="1" x14ac:dyDescent="0.35">
      <c r="B1423" s="5">
        <v>1402</v>
      </c>
      <c r="C1423" s="46">
        <f t="shared" ca="1" si="189"/>
        <v>3.0941542600227789</v>
      </c>
      <c r="D1423" s="47">
        <f t="shared" ca="1" si="190"/>
        <v>4717553988.9808435</v>
      </c>
      <c r="E1423" s="47">
        <f t="shared" ca="1" si="191"/>
        <v>24148670175709.543</v>
      </c>
      <c r="F1423" s="47">
        <f t="shared" ca="1" si="192"/>
        <v>1841236146500.1301</v>
      </c>
      <c r="G1423" s="47">
        <f t="shared" ca="1" si="193"/>
        <v>7826284711125.6201</v>
      </c>
      <c r="H1423" s="47">
        <f t="shared" ca="1" si="194"/>
        <v>24148670175709.543</v>
      </c>
      <c r="I1423" s="47">
        <f t="shared" ca="1" si="195"/>
        <v>13529938266079.191</v>
      </c>
      <c r="J1423" s="47">
        <f t="shared" ca="1" si="196"/>
        <v>1499859215029.1472</v>
      </c>
      <c r="K1423" s="48">
        <f t="shared" ca="1" si="197"/>
        <v>9.0208055066130051</v>
      </c>
    </row>
    <row r="1424" spans="2:11" ht="15" customHeight="1" x14ac:dyDescent="0.35">
      <c r="B1424" s="5">
        <v>1403</v>
      </c>
      <c r="C1424" s="46">
        <f t="shared" ca="1" si="189"/>
        <v>3.4301637039455501</v>
      </c>
      <c r="D1424" s="47">
        <f t="shared" ca="1" si="190"/>
        <v>8781640013.9517899</v>
      </c>
      <c r="E1424" s="47">
        <f t="shared" ca="1" si="191"/>
        <v>25177630620889.105</v>
      </c>
      <c r="F1424" s="47">
        <f t="shared" ca="1" si="192"/>
        <v>2024182415074.9111</v>
      </c>
      <c r="G1424" s="47">
        <f t="shared" ca="1" si="193"/>
        <v>3316690540888.1113</v>
      </c>
      <c r="H1424" s="47">
        <f t="shared" ca="1" si="194"/>
        <v>3316690540888.1113</v>
      </c>
      <c r="I1424" s="47">
        <f t="shared" ca="1" si="195"/>
        <v>4500808152133.3682</v>
      </c>
      <c r="J1424" s="47">
        <f t="shared" ca="1" si="196"/>
        <v>1580557952694.2456</v>
      </c>
      <c r="K1424" s="48">
        <f t="shared" ca="1" si="197"/>
        <v>2.8476071658500186</v>
      </c>
    </row>
    <row r="1425" spans="2:11" ht="15" customHeight="1" x14ac:dyDescent="0.35">
      <c r="B1425" s="5">
        <v>1404</v>
      </c>
      <c r="C1425" s="46">
        <f t="shared" ca="1" si="189"/>
        <v>2.7525422536771691</v>
      </c>
      <c r="D1425" s="47">
        <f t="shared" ca="1" si="190"/>
        <v>3649533503.4046707</v>
      </c>
      <c r="E1425" s="47">
        <f t="shared" ca="1" si="191"/>
        <v>17789163326286.129</v>
      </c>
      <c r="F1425" s="47">
        <f t="shared" ca="1" si="192"/>
        <v>5025023729705.9219</v>
      </c>
      <c r="G1425" s="47">
        <f t="shared" ca="1" si="193"/>
        <v>281833284580343.06</v>
      </c>
      <c r="H1425" s="47">
        <f t="shared" ca="1" si="194"/>
        <v>5025023729705.9219</v>
      </c>
      <c r="I1425" s="47">
        <f t="shared" ca="1" si="195"/>
        <v>43656242200408.875</v>
      </c>
      <c r="J1425" s="47">
        <f t="shared" ca="1" si="196"/>
        <v>1298475677038.6846</v>
      </c>
      <c r="K1425" s="48">
        <f t="shared" ca="1" si="197"/>
        <v>33.621147451888895</v>
      </c>
    </row>
    <row r="1426" spans="2:11" ht="15" customHeight="1" x14ac:dyDescent="0.35">
      <c r="B1426" s="5">
        <v>1405</v>
      </c>
      <c r="C1426" s="46">
        <f t="shared" ca="1" si="189"/>
        <v>2.557337747369957</v>
      </c>
      <c r="D1426" s="47">
        <f t="shared" ca="1" si="190"/>
        <v>2004278754.9640119</v>
      </c>
      <c r="E1426" s="47">
        <f t="shared" ca="1" si="191"/>
        <v>6100050745488.6729</v>
      </c>
      <c r="F1426" s="47">
        <f t="shared" ca="1" si="192"/>
        <v>8465279362168.6523</v>
      </c>
      <c r="G1426" s="47">
        <f t="shared" ca="1" si="193"/>
        <v>6148933094038.7666</v>
      </c>
      <c r="H1426" s="47">
        <f t="shared" ca="1" si="194"/>
        <v>6148933094038.7666</v>
      </c>
      <c r="I1426" s="47">
        <f t="shared" ca="1" si="195"/>
        <v>62648195832557.727</v>
      </c>
      <c r="J1426" s="47">
        <f t="shared" ca="1" si="196"/>
        <v>536377102697.51093</v>
      </c>
      <c r="K1426" s="48">
        <f t="shared" ca="1" si="197"/>
        <v>116.79878860878236</v>
      </c>
    </row>
    <row r="1427" spans="2:11" ht="15" customHeight="1" x14ac:dyDescent="0.35">
      <c r="B1427" s="5">
        <v>1406</v>
      </c>
      <c r="C1427" s="46">
        <f t="shared" ca="1" si="189"/>
        <v>3.5968818496807491</v>
      </c>
      <c r="D1427" s="47">
        <f t="shared" ca="1" si="190"/>
        <v>10657391665.944155</v>
      </c>
      <c r="E1427" s="47">
        <f t="shared" ca="1" si="191"/>
        <v>39449146515462.75</v>
      </c>
      <c r="F1427" s="47">
        <f t="shared" ca="1" si="192"/>
        <v>2218360451527.5298</v>
      </c>
      <c r="G1427" s="47">
        <f t="shared" ca="1" si="193"/>
        <v>32921465591404.406</v>
      </c>
      <c r="H1427" s="47">
        <f t="shared" ca="1" si="194"/>
        <v>39449146515462.75</v>
      </c>
      <c r="I1427" s="47">
        <f t="shared" ca="1" si="195"/>
        <v>280185637685.37048</v>
      </c>
      <c r="J1427" s="47">
        <f t="shared" ca="1" si="196"/>
        <v>845690549885.172</v>
      </c>
      <c r="K1427" s="48">
        <f t="shared" ca="1" si="197"/>
        <v>0.33130988364882891</v>
      </c>
    </row>
    <row r="1428" spans="2:11" ht="15" customHeight="1" x14ac:dyDescent="0.35">
      <c r="B1428" s="5">
        <v>1407</v>
      </c>
      <c r="C1428" s="46">
        <f t="shared" ca="1" si="189"/>
        <v>3.565231439073492</v>
      </c>
      <c r="D1428" s="47">
        <f t="shared" ca="1" si="190"/>
        <v>11084140234.147026</v>
      </c>
      <c r="E1428" s="47">
        <f t="shared" ca="1" si="191"/>
        <v>20968429092136.094</v>
      </c>
      <c r="F1428" s="47">
        <f t="shared" ca="1" si="192"/>
        <v>1219702311901.116</v>
      </c>
      <c r="G1428" s="47">
        <f t="shared" ca="1" si="193"/>
        <v>4278164234913.3418</v>
      </c>
      <c r="H1428" s="47">
        <f t="shared" ca="1" si="194"/>
        <v>4278164234913.3418</v>
      </c>
      <c r="I1428" s="47">
        <f t="shared" ca="1" si="195"/>
        <v>17398285393894.469</v>
      </c>
      <c r="J1428" s="47">
        <f t="shared" ca="1" si="196"/>
        <v>743601046765.89148</v>
      </c>
      <c r="K1428" s="48">
        <f t="shared" ca="1" si="197"/>
        <v>23.397338491606487</v>
      </c>
    </row>
    <row r="1429" spans="2:11" ht="15" customHeight="1" x14ac:dyDescent="0.35">
      <c r="B1429" s="5">
        <v>1408</v>
      </c>
      <c r="C1429" s="46">
        <f t="shared" ca="1" si="189"/>
        <v>2.2319913850207493</v>
      </c>
      <c r="D1429" s="47">
        <f t="shared" ca="1" si="190"/>
        <v>931391180.20768023</v>
      </c>
      <c r="E1429" s="47">
        <f t="shared" ca="1" si="191"/>
        <v>3391430523757.4082</v>
      </c>
      <c r="F1429" s="47">
        <f t="shared" ca="1" si="192"/>
        <v>6305855229413.7012</v>
      </c>
      <c r="G1429" s="47">
        <f t="shared" ca="1" si="193"/>
        <v>14519126732496.332</v>
      </c>
      <c r="H1429" s="47">
        <f t="shared" ca="1" si="194"/>
        <v>3391430523757.4082</v>
      </c>
      <c r="I1429" s="47">
        <f t="shared" ca="1" si="195"/>
        <v>4868128152942.3232</v>
      </c>
      <c r="J1429" s="47">
        <f t="shared" ca="1" si="196"/>
        <v>1518854458613.4446</v>
      </c>
      <c r="K1429" s="48">
        <f t="shared" ca="1" si="197"/>
        <v>3.2051314234455455</v>
      </c>
    </row>
    <row r="1430" spans="2:11" ht="15" customHeight="1" x14ac:dyDescent="0.35">
      <c r="B1430" s="5">
        <v>1409</v>
      </c>
      <c r="C1430" s="46">
        <f t="shared" ref="C1430:C1493" ca="1" si="198">MEDIAN(1.8,NORMINV(RAND(),$C$7,$D$7),4.5)</f>
        <v>2.5967890707619636</v>
      </c>
      <c r="D1430" s="47">
        <f t="shared" ref="D1430:D1493" ca="1" si="199">($C$8+RAND()*($D$8-$C$8))*C1430^5</f>
        <v>2136003511.578177</v>
      </c>
      <c r="E1430" s="47">
        <f t="shared" ref="E1430:E1493" ca="1" si="200">D1430*($C$10+RAND()*($D$10-$C$10))*EXP(NORMINV(RAND(),$C$9,$D$9))*($C$11+RAND()*($D$11-$C$11))</f>
        <v>3937925652962.3779</v>
      </c>
      <c r="F1430" s="47">
        <f t="shared" ref="F1430:F1493" ca="1" si="201">EXP(NORMINV(RAND(),$C$12,$D$12))*EXP(NORMINV(RAND(),$C$13,$D$13))</f>
        <v>996339022132.1582</v>
      </c>
      <c r="G1430" s="47">
        <f t="shared" ref="G1430:G1493" ca="1" si="202">EXP(NORMINV(RAND(),$C$14,$D$14))*($C$15+RAND()*($D$15-$C$15))*EXP(NORMINV(RAND(),$C$16,$D$16))/1000000*31536000</f>
        <v>2948492285329.002</v>
      </c>
      <c r="H1430" s="47">
        <f t="shared" ref="H1430:H1493" ca="1" si="203">CHOOSE(RANDBETWEEN(1,3),E1430,F1430,G1430)</f>
        <v>3937925652962.3779</v>
      </c>
      <c r="I1430" s="47">
        <f t="shared" ref="I1430:I1493" ca="1" si="204">EXP(NORMINV(RAND(),$C$14,$D$14))*($C$15+RAND()*($D$15-$C$15))*60</f>
        <v>2260924082566.5752</v>
      </c>
      <c r="J1430" s="47">
        <f t="shared" ref="J1430:J1493" ca="1" si="205">($C$17+RAND()*($D$17-$C$17))*($C$18+RAND()*($D$18-$C$18))</f>
        <v>446749543495.00531</v>
      </c>
      <c r="K1430" s="48">
        <f t="shared" ref="K1430:K1493" ca="1" si="206">I1430/J1430</f>
        <v>5.0608313214579761</v>
      </c>
    </row>
    <row r="1431" spans="2:11" ht="15" customHeight="1" x14ac:dyDescent="0.35">
      <c r="B1431" s="5">
        <v>1410</v>
      </c>
      <c r="C1431" s="46">
        <f t="shared" ca="1" si="198"/>
        <v>3.0216792118043667</v>
      </c>
      <c r="D1431" s="47">
        <f t="shared" ca="1" si="199"/>
        <v>5653552699.0391579</v>
      </c>
      <c r="E1431" s="47">
        <f t="shared" ca="1" si="200"/>
        <v>9095552507468.4063</v>
      </c>
      <c r="F1431" s="47">
        <f t="shared" ca="1" si="201"/>
        <v>1463644586990.4861</v>
      </c>
      <c r="G1431" s="47">
        <f t="shared" ca="1" si="202"/>
        <v>2522750546711.3691</v>
      </c>
      <c r="H1431" s="47">
        <f t="shared" ca="1" si="203"/>
        <v>1463644586990.4861</v>
      </c>
      <c r="I1431" s="47">
        <f t="shared" ca="1" si="204"/>
        <v>4258132015111.5107</v>
      </c>
      <c r="J1431" s="47">
        <f t="shared" ca="1" si="205"/>
        <v>1291025232296.9905</v>
      </c>
      <c r="K1431" s="48">
        <f t="shared" ca="1" si="206"/>
        <v>3.2982562296907609</v>
      </c>
    </row>
    <row r="1432" spans="2:11" ht="15" customHeight="1" x14ac:dyDescent="0.35">
      <c r="B1432" s="5">
        <v>1411</v>
      </c>
      <c r="C1432" s="46">
        <f t="shared" ca="1" si="198"/>
        <v>2.4587831631692936</v>
      </c>
      <c r="D1432" s="47">
        <f t="shared" ca="1" si="199"/>
        <v>1592831194.5088704</v>
      </c>
      <c r="E1432" s="47">
        <f t="shared" ca="1" si="200"/>
        <v>2270733473262.7271</v>
      </c>
      <c r="F1432" s="47">
        <f t="shared" ca="1" si="201"/>
        <v>12356878825366.963</v>
      </c>
      <c r="G1432" s="47">
        <f t="shared" ca="1" si="202"/>
        <v>505317551199.612</v>
      </c>
      <c r="H1432" s="47">
        <f t="shared" ca="1" si="203"/>
        <v>12356878825366.963</v>
      </c>
      <c r="I1432" s="47">
        <f t="shared" ca="1" si="204"/>
        <v>50921200872476.805</v>
      </c>
      <c r="J1432" s="47">
        <f t="shared" ca="1" si="205"/>
        <v>1684829664273.6646</v>
      </c>
      <c r="K1432" s="48">
        <f t="shared" ca="1" si="206"/>
        <v>30.223352515833756</v>
      </c>
    </row>
    <row r="1433" spans="2:11" ht="15" customHeight="1" x14ac:dyDescent="0.35">
      <c r="B1433" s="5">
        <v>1412</v>
      </c>
      <c r="C1433" s="46">
        <f t="shared" ca="1" si="198"/>
        <v>2.6519045307828106</v>
      </c>
      <c r="D1433" s="47">
        <f t="shared" ca="1" si="199"/>
        <v>2713574929.3689976</v>
      </c>
      <c r="E1433" s="47">
        <f t="shared" ca="1" si="200"/>
        <v>9605798808131.7031</v>
      </c>
      <c r="F1433" s="47">
        <f t="shared" ca="1" si="201"/>
        <v>458191818804.20422</v>
      </c>
      <c r="G1433" s="47">
        <f t="shared" ca="1" si="202"/>
        <v>40972801770193.484</v>
      </c>
      <c r="H1433" s="47">
        <f t="shared" ca="1" si="203"/>
        <v>9605798808131.7031</v>
      </c>
      <c r="I1433" s="47">
        <f t="shared" ca="1" si="204"/>
        <v>8092094991895.1914</v>
      </c>
      <c r="J1433" s="47">
        <f t="shared" ca="1" si="205"/>
        <v>1096869989320.6127</v>
      </c>
      <c r="K1433" s="48">
        <f t="shared" ca="1" si="206"/>
        <v>7.3774422408140934</v>
      </c>
    </row>
    <row r="1434" spans="2:11" ht="15" customHeight="1" x14ac:dyDescent="0.35">
      <c r="B1434" s="5">
        <v>1413</v>
      </c>
      <c r="C1434" s="46">
        <f t="shared" ca="1" si="198"/>
        <v>3.4243313413683691</v>
      </c>
      <c r="D1434" s="47">
        <f t="shared" ca="1" si="199"/>
        <v>8335934905.8393879</v>
      </c>
      <c r="E1434" s="47">
        <f t="shared" ca="1" si="200"/>
        <v>17889446651890.313</v>
      </c>
      <c r="F1434" s="47">
        <f t="shared" ca="1" si="201"/>
        <v>1972948937700.9324</v>
      </c>
      <c r="G1434" s="47">
        <f t="shared" ca="1" si="202"/>
        <v>5752460818752.377</v>
      </c>
      <c r="H1434" s="47">
        <f t="shared" ca="1" si="203"/>
        <v>1972948937700.9324</v>
      </c>
      <c r="I1434" s="47">
        <f t="shared" ca="1" si="204"/>
        <v>1120153501871.6069</v>
      </c>
      <c r="J1434" s="47">
        <f t="shared" ca="1" si="205"/>
        <v>1338577237770.8831</v>
      </c>
      <c r="K1434" s="48">
        <f t="shared" ca="1" si="206"/>
        <v>0.83682395775456742</v>
      </c>
    </row>
    <row r="1435" spans="2:11" ht="15" customHeight="1" x14ac:dyDescent="0.35">
      <c r="B1435" s="5">
        <v>1414</v>
      </c>
      <c r="C1435" s="46">
        <f t="shared" ca="1" si="198"/>
        <v>3.574863155539969</v>
      </c>
      <c r="D1435" s="47">
        <f t="shared" ca="1" si="199"/>
        <v>9367181464.9762249</v>
      </c>
      <c r="E1435" s="47">
        <f t="shared" ca="1" si="200"/>
        <v>40498915121801.063</v>
      </c>
      <c r="F1435" s="47">
        <f t="shared" ca="1" si="201"/>
        <v>8404788157638.9746</v>
      </c>
      <c r="G1435" s="47">
        <f t="shared" ca="1" si="202"/>
        <v>20567236487686.836</v>
      </c>
      <c r="H1435" s="47">
        <f t="shared" ca="1" si="203"/>
        <v>20567236487686.836</v>
      </c>
      <c r="I1435" s="47">
        <f t="shared" ca="1" si="204"/>
        <v>965875318659.46362</v>
      </c>
      <c r="J1435" s="47">
        <f t="shared" ca="1" si="205"/>
        <v>1122725492907.7813</v>
      </c>
      <c r="K1435" s="48">
        <f t="shared" ca="1" si="206"/>
        <v>0.8602951698886907</v>
      </c>
    </row>
    <row r="1436" spans="2:11" ht="15" customHeight="1" x14ac:dyDescent="0.35">
      <c r="B1436" s="5">
        <v>1415</v>
      </c>
      <c r="C1436" s="46">
        <f t="shared" ca="1" si="198"/>
        <v>2.4619713326784467</v>
      </c>
      <c r="D1436" s="47">
        <f t="shared" ca="1" si="199"/>
        <v>1945118462.055526</v>
      </c>
      <c r="E1436" s="47">
        <f t="shared" ca="1" si="200"/>
        <v>12113277449324.381</v>
      </c>
      <c r="F1436" s="47">
        <f t="shared" ca="1" si="201"/>
        <v>1768721599060.396</v>
      </c>
      <c r="G1436" s="47">
        <f t="shared" ca="1" si="202"/>
        <v>5838446716551.4863</v>
      </c>
      <c r="H1436" s="47">
        <f t="shared" ca="1" si="203"/>
        <v>5838446716551.4863</v>
      </c>
      <c r="I1436" s="47">
        <f t="shared" ca="1" si="204"/>
        <v>56365878568614.992</v>
      </c>
      <c r="J1436" s="47">
        <f t="shared" ca="1" si="205"/>
        <v>2300529674609.5181</v>
      </c>
      <c r="K1436" s="48">
        <f t="shared" ca="1" si="206"/>
        <v>24.501261248969673</v>
      </c>
    </row>
    <row r="1437" spans="2:11" ht="15" customHeight="1" x14ac:dyDescent="0.35">
      <c r="B1437" s="5">
        <v>1416</v>
      </c>
      <c r="C1437" s="46">
        <f t="shared" ca="1" si="198"/>
        <v>3.4239562896550657</v>
      </c>
      <c r="D1437" s="47">
        <f t="shared" ca="1" si="199"/>
        <v>10993467604.512129</v>
      </c>
      <c r="E1437" s="47">
        <f t="shared" ca="1" si="200"/>
        <v>19893706338059.848</v>
      </c>
      <c r="F1437" s="47">
        <f t="shared" ca="1" si="201"/>
        <v>16661414314127.191</v>
      </c>
      <c r="G1437" s="47">
        <f t="shared" ca="1" si="202"/>
        <v>384262611208.55945</v>
      </c>
      <c r="H1437" s="47">
        <f t="shared" ca="1" si="203"/>
        <v>19893706338059.848</v>
      </c>
      <c r="I1437" s="47">
        <f t="shared" ca="1" si="204"/>
        <v>73889663761876.734</v>
      </c>
      <c r="J1437" s="47">
        <f t="shared" ca="1" si="205"/>
        <v>778293289182.62183</v>
      </c>
      <c r="K1437" s="48">
        <f t="shared" ca="1" si="206"/>
        <v>94.938071275774504</v>
      </c>
    </row>
    <row r="1438" spans="2:11" ht="15" customHeight="1" x14ac:dyDescent="0.35">
      <c r="B1438" s="5">
        <v>1417</v>
      </c>
      <c r="C1438" s="46">
        <f t="shared" ca="1" si="198"/>
        <v>3.2573103850521772</v>
      </c>
      <c r="D1438" s="47">
        <f t="shared" ca="1" si="199"/>
        <v>6561811580.8192377</v>
      </c>
      <c r="E1438" s="47">
        <f t="shared" ca="1" si="200"/>
        <v>30382657462112.715</v>
      </c>
      <c r="F1438" s="47">
        <f t="shared" ca="1" si="201"/>
        <v>5456091690940.3711</v>
      </c>
      <c r="G1438" s="47">
        <f t="shared" ca="1" si="202"/>
        <v>12859235821060.824</v>
      </c>
      <c r="H1438" s="47">
        <f t="shared" ca="1" si="203"/>
        <v>5456091690940.3711</v>
      </c>
      <c r="I1438" s="47">
        <f t="shared" ca="1" si="204"/>
        <v>23458376090806.875</v>
      </c>
      <c r="J1438" s="47">
        <f t="shared" ca="1" si="205"/>
        <v>1225103700683.814</v>
      </c>
      <c r="K1438" s="48">
        <f t="shared" ca="1" si="206"/>
        <v>19.148073814251934</v>
      </c>
    </row>
    <row r="1439" spans="2:11" ht="15" customHeight="1" x14ac:dyDescent="0.35">
      <c r="B1439" s="5">
        <v>1418</v>
      </c>
      <c r="C1439" s="46">
        <f t="shared" ca="1" si="198"/>
        <v>2.9551176324978039</v>
      </c>
      <c r="D1439" s="47">
        <f t="shared" ca="1" si="199"/>
        <v>4018309195.1376328</v>
      </c>
      <c r="E1439" s="47">
        <f t="shared" ca="1" si="200"/>
        <v>12023989716064.145</v>
      </c>
      <c r="F1439" s="47">
        <f t="shared" ca="1" si="201"/>
        <v>249300549193.99219</v>
      </c>
      <c r="G1439" s="47">
        <f t="shared" ca="1" si="202"/>
        <v>4017991806576.0615</v>
      </c>
      <c r="H1439" s="47">
        <f t="shared" ca="1" si="203"/>
        <v>12023989716064.145</v>
      </c>
      <c r="I1439" s="47">
        <f t="shared" ca="1" si="204"/>
        <v>52337292407648.57</v>
      </c>
      <c r="J1439" s="47">
        <f t="shared" ca="1" si="205"/>
        <v>1183689498703.1685</v>
      </c>
      <c r="K1439" s="48">
        <f t="shared" ca="1" si="206"/>
        <v>44.215389648204599</v>
      </c>
    </row>
    <row r="1440" spans="2:11" ht="15" customHeight="1" x14ac:dyDescent="0.35">
      <c r="B1440" s="5">
        <v>1419</v>
      </c>
      <c r="C1440" s="46">
        <f t="shared" ca="1" si="198"/>
        <v>3.4122307098108444</v>
      </c>
      <c r="D1440" s="47">
        <f t="shared" ca="1" si="199"/>
        <v>7677273018.0739651</v>
      </c>
      <c r="E1440" s="47">
        <f t="shared" ca="1" si="200"/>
        <v>18398582715930.625</v>
      </c>
      <c r="F1440" s="47">
        <f t="shared" ca="1" si="201"/>
        <v>3084314966897.1523</v>
      </c>
      <c r="G1440" s="47">
        <f t="shared" ca="1" si="202"/>
        <v>1470968490633.2959</v>
      </c>
      <c r="H1440" s="47">
        <f t="shared" ca="1" si="203"/>
        <v>3084314966897.1523</v>
      </c>
      <c r="I1440" s="47">
        <f t="shared" ca="1" si="204"/>
        <v>838512046815.42944</v>
      </c>
      <c r="J1440" s="47">
        <f t="shared" ca="1" si="205"/>
        <v>770069550315.70313</v>
      </c>
      <c r="K1440" s="48">
        <f t="shared" ca="1" si="206"/>
        <v>1.0888783311477088</v>
      </c>
    </row>
    <row r="1441" spans="2:11" ht="15" customHeight="1" x14ac:dyDescent="0.35">
      <c r="B1441" s="5">
        <v>1420</v>
      </c>
      <c r="C1441" s="46">
        <f t="shared" ca="1" si="198"/>
        <v>2.0741949039949974</v>
      </c>
      <c r="D1441" s="47">
        <f t="shared" ca="1" si="199"/>
        <v>802907730.99567521</v>
      </c>
      <c r="E1441" s="47">
        <f t="shared" ca="1" si="200"/>
        <v>1597688879001.9167</v>
      </c>
      <c r="F1441" s="47">
        <f t="shared" ca="1" si="201"/>
        <v>765187909837.57471</v>
      </c>
      <c r="G1441" s="47">
        <f t="shared" ca="1" si="202"/>
        <v>1968853461998.322</v>
      </c>
      <c r="H1441" s="47">
        <f t="shared" ca="1" si="203"/>
        <v>1597688879001.9167</v>
      </c>
      <c r="I1441" s="47">
        <f t="shared" ca="1" si="204"/>
        <v>8147562842630.3691</v>
      </c>
      <c r="J1441" s="47">
        <f t="shared" ca="1" si="205"/>
        <v>1672065504410.95</v>
      </c>
      <c r="K1441" s="48">
        <f t="shared" ca="1" si="206"/>
        <v>4.8727533826497211</v>
      </c>
    </row>
    <row r="1442" spans="2:11" ht="15" customHeight="1" x14ac:dyDescent="0.35">
      <c r="B1442" s="5">
        <v>1421</v>
      </c>
      <c r="C1442" s="46">
        <f t="shared" ca="1" si="198"/>
        <v>3.2613961679959473</v>
      </c>
      <c r="D1442" s="47">
        <f t="shared" ca="1" si="199"/>
        <v>8030103785.5328932</v>
      </c>
      <c r="E1442" s="47">
        <f t="shared" ca="1" si="200"/>
        <v>4538361717387.2559</v>
      </c>
      <c r="F1442" s="47">
        <f t="shared" ca="1" si="201"/>
        <v>678588630243.26001</v>
      </c>
      <c r="G1442" s="47">
        <f t="shared" ca="1" si="202"/>
        <v>41957303845730.508</v>
      </c>
      <c r="H1442" s="47">
        <f t="shared" ca="1" si="203"/>
        <v>678588630243.26001</v>
      </c>
      <c r="I1442" s="47">
        <f t="shared" ca="1" si="204"/>
        <v>6146514283958.7773</v>
      </c>
      <c r="J1442" s="47">
        <f t="shared" ca="1" si="205"/>
        <v>1099577074112.7361</v>
      </c>
      <c r="K1442" s="48">
        <f t="shared" ca="1" si="206"/>
        <v>5.5898894481030217</v>
      </c>
    </row>
    <row r="1443" spans="2:11" ht="15" customHeight="1" x14ac:dyDescent="0.35">
      <c r="B1443" s="5">
        <v>1422</v>
      </c>
      <c r="C1443" s="46">
        <f t="shared" ca="1" si="198"/>
        <v>2.9326913751239796</v>
      </c>
      <c r="D1443" s="47">
        <f t="shared" ca="1" si="199"/>
        <v>4360006133.6983356</v>
      </c>
      <c r="E1443" s="47">
        <f t="shared" ca="1" si="200"/>
        <v>4465825498019.2969</v>
      </c>
      <c r="F1443" s="47">
        <f t="shared" ca="1" si="201"/>
        <v>5557545642168.6514</v>
      </c>
      <c r="G1443" s="47">
        <f t="shared" ca="1" si="202"/>
        <v>9137964772969.25</v>
      </c>
      <c r="H1443" s="47">
        <f t="shared" ca="1" si="203"/>
        <v>5557545642168.6514</v>
      </c>
      <c r="I1443" s="47">
        <f t="shared" ca="1" si="204"/>
        <v>41058622213831.594</v>
      </c>
      <c r="J1443" s="47">
        <f t="shared" ca="1" si="205"/>
        <v>1095375848205.444</v>
      </c>
      <c r="K1443" s="48">
        <f t="shared" ca="1" si="206"/>
        <v>37.483592760510469</v>
      </c>
    </row>
    <row r="1444" spans="2:11" ht="15" customHeight="1" x14ac:dyDescent="0.35">
      <c r="B1444" s="5">
        <v>1423</v>
      </c>
      <c r="C1444" s="46">
        <f t="shared" ca="1" si="198"/>
        <v>2.9754587298643433</v>
      </c>
      <c r="D1444" s="47">
        <f t="shared" ca="1" si="199"/>
        <v>4381981399.1997766</v>
      </c>
      <c r="E1444" s="47">
        <f t="shared" ca="1" si="200"/>
        <v>8897692661931.418</v>
      </c>
      <c r="F1444" s="47">
        <f t="shared" ca="1" si="201"/>
        <v>701137467262.26941</v>
      </c>
      <c r="G1444" s="47">
        <f t="shared" ca="1" si="202"/>
        <v>2902851360892.1787</v>
      </c>
      <c r="H1444" s="47">
        <f t="shared" ca="1" si="203"/>
        <v>2902851360892.1787</v>
      </c>
      <c r="I1444" s="47">
        <f t="shared" ca="1" si="204"/>
        <v>175090505061621.09</v>
      </c>
      <c r="J1444" s="47">
        <f t="shared" ca="1" si="205"/>
        <v>1559948473915.0725</v>
      </c>
      <c r="K1444" s="48">
        <f t="shared" ca="1" si="206"/>
        <v>112.24121052036328</v>
      </c>
    </row>
    <row r="1445" spans="2:11" ht="15" customHeight="1" x14ac:dyDescent="0.35">
      <c r="B1445" s="5">
        <v>1424</v>
      </c>
      <c r="C1445" s="46">
        <f t="shared" ca="1" si="198"/>
        <v>2.5649459925841129</v>
      </c>
      <c r="D1445" s="47">
        <f t="shared" ca="1" si="199"/>
        <v>2579857329.4238958</v>
      </c>
      <c r="E1445" s="47">
        <f t="shared" ca="1" si="200"/>
        <v>11294143466915.525</v>
      </c>
      <c r="F1445" s="47">
        <f t="shared" ca="1" si="201"/>
        <v>6409891027748.8584</v>
      </c>
      <c r="G1445" s="47">
        <f t="shared" ca="1" si="202"/>
        <v>693922782055.46228</v>
      </c>
      <c r="H1445" s="47">
        <f t="shared" ca="1" si="203"/>
        <v>693922782055.46228</v>
      </c>
      <c r="I1445" s="47">
        <f t="shared" ca="1" si="204"/>
        <v>1419355095929.0313</v>
      </c>
      <c r="J1445" s="47">
        <f t="shared" ca="1" si="205"/>
        <v>2230343076598.1763</v>
      </c>
      <c r="K1445" s="48">
        <f t="shared" ca="1" si="206"/>
        <v>0.63638420062885492</v>
      </c>
    </row>
    <row r="1446" spans="2:11" ht="15" customHeight="1" x14ac:dyDescent="0.35">
      <c r="B1446" s="5">
        <v>1425</v>
      </c>
      <c r="C1446" s="46">
        <f t="shared" ca="1" si="198"/>
        <v>2.8612809415168683</v>
      </c>
      <c r="D1446" s="47">
        <f t="shared" ca="1" si="199"/>
        <v>3339894782.9060307</v>
      </c>
      <c r="E1446" s="47">
        <f t="shared" ca="1" si="200"/>
        <v>11882378561628.617</v>
      </c>
      <c r="F1446" s="47">
        <f t="shared" ca="1" si="201"/>
        <v>6738156664669.709</v>
      </c>
      <c r="G1446" s="47">
        <f t="shared" ca="1" si="202"/>
        <v>424054621327.22461</v>
      </c>
      <c r="H1446" s="47">
        <f t="shared" ca="1" si="203"/>
        <v>6738156664669.709</v>
      </c>
      <c r="I1446" s="47">
        <f t="shared" ca="1" si="204"/>
        <v>1400175433669.5208</v>
      </c>
      <c r="J1446" s="47">
        <f t="shared" ca="1" si="205"/>
        <v>481944592971.81512</v>
      </c>
      <c r="K1446" s="48">
        <f t="shared" ca="1" si="206"/>
        <v>2.9052622523174674</v>
      </c>
    </row>
    <row r="1447" spans="2:11" ht="15" customHeight="1" x14ac:dyDescent="0.35">
      <c r="B1447" s="5">
        <v>1426</v>
      </c>
      <c r="C1447" s="46">
        <f t="shared" ca="1" si="198"/>
        <v>3.2665426607541588</v>
      </c>
      <c r="D1447" s="47">
        <f t="shared" ca="1" si="199"/>
        <v>6353211776.6349077</v>
      </c>
      <c r="E1447" s="47">
        <f t="shared" ca="1" si="200"/>
        <v>21899970248506.285</v>
      </c>
      <c r="F1447" s="47">
        <f t="shared" ca="1" si="201"/>
        <v>655542001314.46375</v>
      </c>
      <c r="G1447" s="47">
        <f t="shared" ca="1" si="202"/>
        <v>14074907168646.867</v>
      </c>
      <c r="H1447" s="47">
        <f t="shared" ca="1" si="203"/>
        <v>14074907168646.867</v>
      </c>
      <c r="I1447" s="47">
        <f t="shared" ca="1" si="204"/>
        <v>17479893805443.486</v>
      </c>
      <c r="J1447" s="47">
        <f t="shared" ca="1" si="205"/>
        <v>2295118915532.7817</v>
      </c>
      <c r="K1447" s="48">
        <f t="shared" ca="1" si="206"/>
        <v>7.6161168326155151</v>
      </c>
    </row>
    <row r="1448" spans="2:11" ht="15" customHeight="1" x14ac:dyDescent="0.35">
      <c r="B1448" s="5">
        <v>1427</v>
      </c>
      <c r="C1448" s="46">
        <f t="shared" ca="1" si="198"/>
        <v>3.4428291511816691</v>
      </c>
      <c r="D1448" s="47">
        <f t="shared" ca="1" si="199"/>
        <v>10036908929.024397</v>
      </c>
      <c r="E1448" s="47">
        <f t="shared" ca="1" si="200"/>
        <v>18526972716370.863</v>
      </c>
      <c r="F1448" s="47">
        <f t="shared" ca="1" si="201"/>
        <v>1677561295337.9734</v>
      </c>
      <c r="G1448" s="47">
        <f t="shared" ca="1" si="202"/>
        <v>27554384066974.023</v>
      </c>
      <c r="H1448" s="47">
        <f t="shared" ca="1" si="203"/>
        <v>27554384066974.023</v>
      </c>
      <c r="I1448" s="47">
        <f t="shared" ca="1" si="204"/>
        <v>7775439805772.6787</v>
      </c>
      <c r="J1448" s="47">
        <f t="shared" ca="1" si="205"/>
        <v>501399416096.65039</v>
      </c>
      <c r="K1448" s="48">
        <f t="shared" ca="1" si="206"/>
        <v>15.507476786279055</v>
      </c>
    </row>
    <row r="1449" spans="2:11" ht="15" customHeight="1" x14ac:dyDescent="0.35">
      <c r="B1449" s="5">
        <v>1428</v>
      </c>
      <c r="C1449" s="46">
        <f t="shared" ca="1" si="198"/>
        <v>3.0006231726335812</v>
      </c>
      <c r="D1449" s="47">
        <f t="shared" ca="1" si="199"/>
        <v>4728923476.7306633</v>
      </c>
      <c r="E1449" s="47">
        <f t="shared" ca="1" si="200"/>
        <v>17417253075950.188</v>
      </c>
      <c r="F1449" s="47">
        <f t="shared" ca="1" si="201"/>
        <v>1333708399319.386</v>
      </c>
      <c r="G1449" s="47">
        <f t="shared" ca="1" si="202"/>
        <v>6206796387757.2383</v>
      </c>
      <c r="H1449" s="47">
        <f t="shared" ca="1" si="203"/>
        <v>17417253075950.188</v>
      </c>
      <c r="I1449" s="47">
        <f t="shared" ca="1" si="204"/>
        <v>16100208297724.742</v>
      </c>
      <c r="J1449" s="47">
        <f t="shared" ca="1" si="205"/>
        <v>1027114850561.3563</v>
      </c>
      <c r="K1449" s="48">
        <f t="shared" ca="1" si="206"/>
        <v>15.675178183749736</v>
      </c>
    </row>
    <row r="1450" spans="2:11" ht="15" customHeight="1" x14ac:dyDescent="0.35">
      <c r="B1450" s="5">
        <v>1429</v>
      </c>
      <c r="C1450" s="46">
        <f t="shared" ca="1" si="198"/>
        <v>2.9548654689056741</v>
      </c>
      <c r="D1450" s="47">
        <f t="shared" ca="1" si="199"/>
        <v>4905629834.6808872</v>
      </c>
      <c r="E1450" s="47">
        <f t="shared" ca="1" si="200"/>
        <v>17938057498525.039</v>
      </c>
      <c r="F1450" s="47">
        <f t="shared" ca="1" si="201"/>
        <v>2607555832771.168</v>
      </c>
      <c r="G1450" s="47">
        <f t="shared" ca="1" si="202"/>
        <v>2785407383127.4663</v>
      </c>
      <c r="H1450" s="47">
        <f t="shared" ca="1" si="203"/>
        <v>17938057498525.039</v>
      </c>
      <c r="I1450" s="47">
        <f t="shared" ca="1" si="204"/>
        <v>24123954984429.668</v>
      </c>
      <c r="J1450" s="47">
        <f t="shared" ca="1" si="205"/>
        <v>1452269171916.8413</v>
      </c>
      <c r="K1450" s="48">
        <f t="shared" ca="1" si="206"/>
        <v>16.611214677640376</v>
      </c>
    </row>
    <row r="1451" spans="2:11" ht="15" customHeight="1" x14ac:dyDescent="0.35">
      <c r="B1451" s="5">
        <v>1430</v>
      </c>
      <c r="C1451" s="46">
        <f t="shared" ca="1" si="198"/>
        <v>3.1162490981901292</v>
      </c>
      <c r="D1451" s="47">
        <f t="shared" ca="1" si="199"/>
        <v>6260620966.5785704</v>
      </c>
      <c r="E1451" s="47">
        <f t="shared" ca="1" si="200"/>
        <v>23382562414697.957</v>
      </c>
      <c r="F1451" s="47">
        <f t="shared" ca="1" si="201"/>
        <v>2922310932073.3193</v>
      </c>
      <c r="G1451" s="47">
        <f t="shared" ca="1" si="202"/>
        <v>5903169261570.2686</v>
      </c>
      <c r="H1451" s="47">
        <f t="shared" ca="1" si="203"/>
        <v>23382562414697.957</v>
      </c>
      <c r="I1451" s="47">
        <f t="shared" ca="1" si="204"/>
        <v>6325562740758.7705</v>
      </c>
      <c r="J1451" s="47">
        <f t="shared" ca="1" si="205"/>
        <v>1649637408784.1697</v>
      </c>
      <c r="K1451" s="48">
        <f t="shared" ca="1" si="206"/>
        <v>3.834517032091854</v>
      </c>
    </row>
    <row r="1452" spans="2:11" ht="15" customHeight="1" x14ac:dyDescent="0.35">
      <c r="B1452" s="5">
        <v>1431</v>
      </c>
      <c r="C1452" s="46">
        <f t="shared" ca="1" si="198"/>
        <v>3.4241217012822625</v>
      </c>
      <c r="D1452" s="47">
        <f t="shared" ca="1" si="199"/>
        <v>8051839450.1741543</v>
      </c>
      <c r="E1452" s="47">
        <f t="shared" ca="1" si="200"/>
        <v>14878993566742.238</v>
      </c>
      <c r="F1452" s="47">
        <f t="shared" ca="1" si="201"/>
        <v>254474866277.0907</v>
      </c>
      <c r="G1452" s="47">
        <f t="shared" ca="1" si="202"/>
        <v>18224143903553.93</v>
      </c>
      <c r="H1452" s="47">
        <f t="shared" ca="1" si="203"/>
        <v>18224143903553.93</v>
      </c>
      <c r="I1452" s="47">
        <f t="shared" ca="1" si="204"/>
        <v>2990086062518.8105</v>
      </c>
      <c r="J1452" s="47">
        <f t="shared" ca="1" si="205"/>
        <v>1872781677458.3374</v>
      </c>
      <c r="K1452" s="48">
        <f t="shared" ca="1" si="206"/>
        <v>1.5966015144791639</v>
      </c>
    </row>
    <row r="1453" spans="2:11" ht="15" customHeight="1" x14ac:dyDescent="0.35">
      <c r="B1453" s="5">
        <v>1432</v>
      </c>
      <c r="C1453" s="46">
        <f t="shared" ca="1" si="198"/>
        <v>3.5331180094379118</v>
      </c>
      <c r="D1453" s="47">
        <f t="shared" ca="1" si="199"/>
        <v>12688949387.015732</v>
      </c>
      <c r="E1453" s="47">
        <f t="shared" ca="1" si="200"/>
        <v>49239654309044.758</v>
      </c>
      <c r="F1453" s="47">
        <f t="shared" ca="1" si="201"/>
        <v>2451439854146.6284</v>
      </c>
      <c r="G1453" s="47">
        <f t="shared" ca="1" si="202"/>
        <v>3782125703958.4141</v>
      </c>
      <c r="H1453" s="47">
        <f t="shared" ca="1" si="203"/>
        <v>3782125703958.4141</v>
      </c>
      <c r="I1453" s="47">
        <f t="shared" ca="1" si="204"/>
        <v>2882563421264.6118</v>
      </c>
      <c r="J1453" s="47">
        <f t="shared" ca="1" si="205"/>
        <v>1392800104762.0764</v>
      </c>
      <c r="K1453" s="48">
        <f t="shared" ca="1" si="206"/>
        <v>2.069617464422163</v>
      </c>
    </row>
    <row r="1454" spans="2:11" ht="15" customHeight="1" x14ac:dyDescent="0.35">
      <c r="B1454" s="5">
        <v>1433</v>
      </c>
      <c r="C1454" s="46">
        <f t="shared" ca="1" si="198"/>
        <v>2.7940333361950018</v>
      </c>
      <c r="D1454" s="47">
        <f t="shared" ca="1" si="199"/>
        <v>3670891555.2169037</v>
      </c>
      <c r="E1454" s="47">
        <f t="shared" ca="1" si="200"/>
        <v>19540247425911.512</v>
      </c>
      <c r="F1454" s="47">
        <f t="shared" ca="1" si="201"/>
        <v>1254895229299.1797</v>
      </c>
      <c r="G1454" s="47">
        <f t="shared" ca="1" si="202"/>
        <v>31177127310059.516</v>
      </c>
      <c r="H1454" s="47">
        <f t="shared" ca="1" si="203"/>
        <v>1254895229299.1797</v>
      </c>
      <c r="I1454" s="47">
        <f t="shared" ca="1" si="204"/>
        <v>12962485513061.512</v>
      </c>
      <c r="J1454" s="47">
        <f t="shared" ca="1" si="205"/>
        <v>923034618582.26904</v>
      </c>
      <c r="K1454" s="48">
        <f t="shared" ca="1" si="206"/>
        <v>14.043336243413258</v>
      </c>
    </row>
    <row r="1455" spans="2:11" ht="15" customHeight="1" x14ac:dyDescent="0.35">
      <c r="B1455" s="5">
        <v>1434</v>
      </c>
      <c r="C1455" s="46">
        <f t="shared" ca="1" si="198"/>
        <v>3.0261298707453812</v>
      </c>
      <c r="D1455" s="47">
        <f t="shared" ca="1" si="199"/>
        <v>5748854285.0486917</v>
      </c>
      <c r="E1455" s="47">
        <f t="shared" ca="1" si="200"/>
        <v>9295357878947.8613</v>
      </c>
      <c r="F1455" s="47">
        <f t="shared" ca="1" si="201"/>
        <v>1096385288978.7661</v>
      </c>
      <c r="G1455" s="47">
        <f t="shared" ca="1" si="202"/>
        <v>444587136227.8833</v>
      </c>
      <c r="H1455" s="47">
        <f t="shared" ca="1" si="203"/>
        <v>9295357878947.8613</v>
      </c>
      <c r="I1455" s="47">
        <f t="shared" ca="1" si="204"/>
        <v>14490209827163.586</v>
      </c>
      <c r="J1455" s="47">
        <f t="shared" ca="1" si="205"/>
        <v>1807728805815.2676</v>
      </c>
      <c r="K1455" s="48">
        <f t="shared" ca="1" si="206"/>
        <v>8.0156989148760314</v>
      </c>
    </row>
    <row r="1456" spans="2:11" ht="15" customHeight="1" x14ac:dyDescent="0.35">
      <c r="B1456" s="5">
        <v>1435</v>
      </c>
      <c r="C1456" s="46">
        <f t="shared" ca="1" si="198"/>
        <v>2.5066914701253076</v>
      </c>
      <c r="D1456" s="47">
        <f t="shared" ca="1" si="199"/>
        <v>2089462024.1388798</v>
      </c>
      <c r="E1456" s="47">
        <f t="shared" ca="1" si="200"/>
        <v>6935146178462.5352</v>
      </c>
      <c r="F1456" s="47">
        <f t="shared" ca="1" si="201"/>
        <v>3072710861096.6069</v>
      </c>
      <c r="G1456" s="47">
        <f t="shared" ca="1" si="202"/>
        <v>582260754622.07898</v>
      </c>
      <c r="H1456" s="47">
        <f t="shared" ca="1" si="203"/>
        <v>6935146178462.5352</v>
      </c>
      <c r="I1456" s="47">
        <f t="shared" ca="1" si="204"/>
        <v>1534192973005.1133</v>
      </c>
      <c r="J1456" s="47">
        <f t="shared" ca="1" si="205"/>
        <v>1582689293246.9575</v>
      </c>
      <c r="K1456" s="48">
        <f t="shared" ca="1" si="206"/>
        <v>0.96935828121870216</v>
      </c>
    </row>
    <row r="1457" spans="2:11" ht="15" customHeight="1" x14ac:dyDescent="0.35">
      <c r="B1457" s="5">
        <v>1436</v>
      </c>
      <c r="C1457" s="46">
        <f t="shared" ca="1" si="198"/>
        <v>2.6347404466558877</v>
      </c>
      <c r="D1457" s="47">
        <f t="shared" ca="1" si="199"/>
        <v>2219476463.0953636</v>
      </c>
      <c r="E1457" s="47">
        <f t="shared" ca="1" si="200"/>
        <v>9803930892717.8848</v>
      </c>
      <c r="F1457" s="47">
        <f t="shared" ca="1" si="201"/>
        <v>9128235192716.4277</v>
      </c>
      <c r="G1457" s="47">
        <f t="shared" ca="1" si="202"/>
        <v>8922849529117.0332</v>
      </c>
      <c r="H1457" s="47">
        <f t="shared" ca="1" si="203"/>
        <v>8922849529117.0332</v>
      </c>
      <c r="I1457" s="47">
        <f t="shared" ca="1" si="204"/>
        <v>3003050202560.8584</v>
      </c>
      <c r="J1457" s="47">
        <f t="shared" ca="1" si="205"/>
        <v>716213404333.16553</v>
      </c>
      <c r="K1457" s="48">
        <f t="shared" ca="1" si="206"/>
        <v>4.1929544803156329</v>
      </c>
    </row>
    <row r="1458" spans="2:11" ht="15" customHeight="1" x14ac:dyDescent="0.35">
      <c r="B1458" s="5">
        <v>1437</v>
      </c>
      <c r="C1458" s="46">
        <f t="shared" ca="1" si="198"/>
        <v>2.3729814356902055</v>
      </c>
      <c r="D1458" s="47">
        <f t="shared" ca="1" si="199"/>
        <v>1360022882.8679509</v>
      </c>
      <c r="E1458" s="47">
        <f t="shared" ca="1" si="200"/>
        <v>4467955629433.1484</v>
      </c>
      <c r="F1458" s="47">
        <f t="shared" ca="1" si="201"/>
        <v>4674899175753.1777</v>
      </c>
      <c r="G1458" s="47">
        <f t="shared" ca="1" si="202"/>
        <v>11085598065377.033</v>
      </c>
      <c r="H1458" s="47">
        <f t="shared" ca="1" si="203"/>
        <v>11085598065377.033</v>
      </c>
      <c r="I1458" s="47">
        <f t="shared" ca="1" si="204"/>
        <v>177018929286132.75</v>
      </c>
      <c r="J1458" s="47">
        <f t="shared" ca="1" si="205"/>
        <v>953005459870.96924</v>
      </c>
      <c r="K1458" s="48">
        <f t="shared" ca="1" si="206"/>
        <v>185.74807463338141</v>
      </c>
    </row>
    <row r="1459" spans="2:11" ht="15" customHeight="1" x14ac:dyDescent="0.35">
      <c r="B1459" s="5">
        <v>1438</v>
      </c>
      <c r="C1459" s="46">
        <f t="shared" ca="1" si="198"/>
        <v>3.421601493259061</v>
      </c>
      <c r="D1459" s="47">
        <f t="shared" ca="1" si="199"/>
        <v>9744126317.2732849</v>
      </c>
      <c r="E1459" s="47">
        <f t="shared" ca="1" si="200"/>
        <v>40627530047903.742</v>
      </c>
      <c r="F1459" s="47">
        <f t="shared" ca="1" si="201"/>
        <v>2858183713991.6592</v>
      </c>
      <c r="G1459" s="47">
        <f t="shared" ca="1" si="202"/>
        <v>1645681551125.9868</v>
      </c>
      <c r="H1459" s="47">
        <f t="shared" ca="1" si="203"/>
        <v>2858183713991.6592</v>
      </c>
      <c r="I1459" s="47">
        <f t="shared" ca="1" si="204"/>
        <v>9775726700914.4238</v>
      </c>
      <c r="J1459" s="47">
        <f t="shared" ca="1" si="205"/>
        <v>733679027822.7561</v>
      </c>
      <c r="K1459" s="48">
        <f t="shared" ca="1" si="206"/>
        <v>13.324255335367262</v>
      </c>
    </row>
    <row r="1460" spans="2:11" ht="15" customHeight="1" x14ac:dyDescent="0.35">
      <c r="B1460" s="5">
        <v>1439</v>
      </c>
      <c r="C1460" s="46">
        <f t="shared" ca="1" si="198"/>
        <v>2.7030992443162227</v>
      </c>
      <c r="D1460" s="47">
        <f t="shared" ca="1" si="199"/>
        <v>3207668182.0655732</v>
      </c>
      <c r="E1460" s="47">
        <f t="shared" ca="1" si="200"/>
        <v>7369946366103.5781</v>
      </c>
      <c r="F1460" s="47">
        <f t="shared" ca="1" si="201"/>
        <v>9583288441972.0508</v>
      </c>
      <c r="G1460" s="47">
        <f t="shared" ca="1" si="202"/>
        <v>10296161779322.035</v>
      </c>
      <c r="H1460" s="47">
        <f t="shared" ca="1" si="203"/>
        <v>7369946366103.5781</v>
      </c>
      <c r="I1460" s="47">
        <f t="shared" ca="1" si="204"/>
        <v>156024405993584.16</v>
      </c>
      <c r="J1460" s="47">
        <f t="shared" ca="1" si="205"/>
        <v>1619731473992.8157</v>
      </c>
      <c r="K1460" s="48">
        <f t="shared" ca="1" si="206"/>
        <v>96.327328633657331</v>
      </c>
    </row>
    <row r="1461" spans="2:11" ht="15" customHeight="1" x14ac:dyDescent="0.35">
      <c r="B1461" s="5">
        <v>1440</v>
      </c>
      <c r="C1461" s="46">
        <f t="shared" ca="1" si="198"/>
        <v>3.9398140312645964</v>
      </c>
      <c r="D1461" s="47">
        <f t="shared" ca="1" si="199"/>
        <v>20841196985.457306</v>
      </c>
      <c r="E1461" s="47">
        <f t="shared" ca="1" si="200"/>
        <v>168900920884496.41</v>
      </c>
      <c r="F1461" s="47">
        <f t="shared" ca="1" si="201"/>
        <v>550924130059.82288</v>
      </c>
      <c r="G1461" s="47">
        <f t="shared" ca="1" si="202"/>
        <v>882743690127.91968</v>
      </c>
      <c r="H1461" s="47">
        <f t="shared" ca="1" si="203"/>
        <v>168900920884496.41</v>
      </c>
      <c r="I1461" s="47">
        <f t="shared" ca="1" si="204"/>
        <v>16264171432045.898</v>
      </c>
      <c r="J1461" s="47">
        <f t="shared" ca="1" si="205"/>
        <v>816470776291.67615</v>
      </c>
      <c r="K1461" s="48">
        <f t="shared" ca="1" si="206"/>
        <v>19.920090105265057</v>
      </c>
    </row>
    <row r="1462" spans="2:11" ht="15" customHeight="1" x14ac:dyDescent="0.35">
      <c r="B1462" s="5">
        <v>1441</v>
      </c>
      <c r="C1462" s="46">
        <f t="shared" ca="1" si="198"/>
        <v>2.9375494446730905</v>
      </c>
      <c r="D1462" s="47">
        <f t="shared" ca="1" si="199"/>
        <v>4913294905.3762589</v>
      </c>
      <c r="E1462" s="47">
        <f t="shared" ca="1" si="200"/>
        <v>7147099251019.418</v>
      </c>
      <c r="F1462" s="47">
        <f t="shared" ca="1" si="201"/>
        <v>1580041775668.5803</v>
      </c>
      <c r="G1462" s="47">
        <f t="shared" ca="1" si="202"/>
        <v>14016880218762.797</v>
      </c>
      <c r="H1462" s="47">
        <f t="shared" ca="1" si="203"/>
        <v>7147099251019.418</v>
      </c>
      <c r="I1462" s="47">
        <f t="shared" ca="1" si="204"/>
        <v>13809712390992.516</v>
      </c>
      <c r="J1462" s="47">
        <f t="shared" ca="1" si="205"/>
        <v>1836591101851.5974</v>
      </c>
      <c r="K1462" s="48">
        <f t="shared" ca="1" si="206"/>
        <v>7.5192090264784399</v>
      </c>
    </row>
    <row r="1463" spans="2:11" ht="15" customHeight="1" x14ac:dyDescent="0.35">
      <c r="B1463" s="5">
        <v>1442</v>
      </c>
      <c r="C1463" s="46">
        <f t="shared" ca="1" si="198"/>
        <v>2.5105456988530936</v>
      </c>
      <c r="D1463" s="47">
        <f t="shared" ca="1" si="199"/>
        <v>1982710534.6254351</v>
      </c>
      <c r="E1463" s="47">
        <f t="shared" ca="1" si="200"/>
        <v>4030262176797.1118</v>
      </c>
      <c r="F1463" s="47">
        <f t="shared" ca="1" si="201"/>
        <v>8598822099606.3174</v>
      </c>
      <c r="G1463" s="47">
        <f t="shared" ca="1" si="202"/>
        <v>3807685690008.6348</v>
      </c>
      <c r="H1463" s="47">
        <f t="shared" ca="1" si="203"/>
        <v>3807685690008.6348</v>
      </c>
      <c r="I1463" s="47">
        <f t="shared" ca="1" si="204"/>
        <v>5778481886073.6494</v>
      </c>
      <c r="J1463" s="47">
        <f t="shared" ca="1" si="205"/>
        <v>1034179564855.7252</v>
      </c>
      <c r="K1463" s="48">
        <f t="shared" ca="1" si="206"/>
        <v>5.5875034495385583</v>
      </c>
    </row>
    <row r="1464" spans="2:11" ht="15" customHeight="1" x14ac:dyDescent="0.35">
      <c r="B1464" s="5">
        <v>1443</v>
      </c>
      <c r="C1464" s="46">
        <f t="shared" ca="1" si="198"/>
        <v>2.52546271968352</v>
      </c>
      <c r="D1464" s="47">
        <f t="shared" ca="1" si="199"/>
        <v>2092812982.3340292</v>
      </c>
      <c r="E1464" s="47">
        <f t="shared" ca="1" si="200"/>
        <v>6480368966761.4941</v>
      </c>
      <c r="F1464" s="47">
        <f t="shared" ca="1" si="201"/>
        <v>1435916795800.9097</v>
      </c>
      <c r="G1464" s="47">
        <f t="shared" ca="1" si="202"/>
        <v>21844072018669.551</v>
      </c>
      <c r="H1464" s="47">
        <f t="shared" ca="1" si="203"/>
        <v>21844072018669.551</v>
      </c>
      <c r="I1464" s="47">
        <f t="shared" ca="1" si="204"/>
        <v>3906717674078.3389</v>
      </c>
      <c r="J1464" s="47">
        <f t="shared" ca="1" si="205"/>
        <v>958649387716.48804</v>
      </c>
      <c r="K1464" s="48">
        <f t="shared" ca="1" si="206"/>
        <v>4.0752309698795903</v>
      </c>
    </row>
    <row r="1465" spans="2:11" ht="15" customHeight="1" x14ac:dyDescent="0.35">
      <c r="B1465" s="5">
        <v>1444</v>
      </c>
      <c r="C1465" s="46">
        <f t="shared" ca="1" si="198"/>
        <v>3.3247795474972879</v>
      </c>
      <c r="D1465" s="47">
        <f t="shared" ca="1" si="199"/>
        <v>7627239623.4299793</v>
      </c>
      <c r="E1465" s="47">
        <f t="shared" ca="1" si="200"/>
        <v>17848231081967.676</v>
      </c>
      <c r="F1465" s="47">
        <f t="shared" ca="1" si="201"/>
        <v>3961032338875.6265</v>
      </c>
      <c r="G1465" s="47">
        <f t="shared" ca="1" si="202"/>
        <v>3204871188622.8599</v>
      </c>
      <c r="H1465" s="47">
        <f t="shared" ca="1" si="203"/>
        <v>17848231081967.676</v>
      </c>
      <c r="I1465" s="47">
        <f t="shared" ca="1" si="204"/>
        <v>75549955260745</v>
      </c>
      <c r="J1465" s="47">
        <f t="shared" ca="1" si="205"/>
        <v>1722532070771.5422</v>
      </c>
      <c r="K1465" s="48">
        <f t="shared" ca="1" si="206"/>
        <v>43.859825046337335</v>
      </c>
    </row>
    <row r="1466" spans="2:11" ht="15" customHeight="1" x14ac:dyDescent="0.35">
      <c r="B1466" s="5">
        <v>1445</v>
      </c>
      <c r="C1466" s="46">
        <f t="shared" ca="1" si="198"/>
        <v>2.4316976555643919</v>
      </c>
      <c r="D1466" s="47">
        <f t="shared" ca="1" si="199"/>
        <v>1561837186.7288427</v>
      </c>
      <c r="E1466" s="47">
        <f t="shared" ca="1" si="200"/>
        <v>4344236274665.75</v>
      </c>
      <c r="F1466" s="47">
        <f t="shared" ca="1" si="201"/>
        <v>2247670638756.9941</v>
      </c>
      <c r="G1466" s="47">
        <f t="shared" ca="1" si="202"/>
        <v>28941372077659.063</v>
      </c>
      <c r="H1466" s="47">
        <f t="shared" ca="1" si="203"/>
        <v>2247670638756.9941</v>
      </c>
      <c r="I1466" s="47">
        <f t="shared" ca="1" si="204"/>
        <v>6069160818498.9727</v>
      </c>
      <c r="J1466" s="47">
        <f t="shared" ca="1" si="205"/>
        <v>1282233644764.0063</v>
      </c>
      <c r="K1466" s="48">
        <f t="shared" ca="1" si="206"/>
        <v>4.7332721639947257</v>
      </c>
    </row>
    <row r="1467" spans="2:11" ht="15" customHeight="1" x14ac:dyDescent="0.35">
      <c r="B1467" s="5">
        <v>1446</v>
      </c>
      <c r="C1467" s="46">
        <f t="shared" ca="1" si="198"/>
        <v>2.8783811077351111</v>
      </c>
      <c r="D1467" s="47">
        <f t="shared" ca="1" si="199"/>
        <v>4059964308.0811219</v>
      </c>
      <c r="E1467" s="47">
        <f t="shared" ca="1" si="200"/>
        <v>8855290607640.623</v>
      </c>
      <c r="F1467" s="47">
        <f t="shared" ca="1" si="201"/>
        <v>5716969264688.833</v>
      </c>
      <c r="G1467" s="47">
        <f t="shared" ca="1" si="202"/>
        <v>1282461118529.3628</v>
      </c>
      <c r="H1467" s="47">
        <f t="shared" ca="1" si="203"/>
        <v>8855290607640.623</v>
      </c>
      <c r="I1467" s="47">
        <f t="shared" ca="1" si="204"/>
        <v>25165229273194.168</v>
      </c>
      <c r="J1467" s="47">
        <f t="shared" ca="1" si="205"/>
        <v>697658488033.68018</v>
      </c>
      <c r="K1467" s="48">
        <f t="shared" ca="1" si="206"/>
        <v>36.070985596579298</v>
      </c>
    </row>
    <row r="1468" spans="2:11" ht="15" customHeight="1" x14ac:dyDescent="0.35">
      <c r="B1468" s="5">
        <v>1447</v>
      </c>
      <c r="C1468" s="46">
        <f t="shared" ca="1" si="198"/>
        <v>2.4861788161922185</v>
      </c>
      <c r="D1468" s="47">
        <f t="shared" ca="1" si="199"/>
        <v>2119573912.3645029</v>
      </c>
      <c r="E1468" s="47">
        <f t="shared" ca="1" si="200"/>
        <v>7282193877118.0117</v>
      </c>
      <c r="F1468" s="47">
        <f t="shared" ca="1" si="201"/>
        <v>3037227214864.6831</v>
      </c>
      <c r="G1468" s="47">
        <f t="shared" ca="1" si="202"/>
        <v>1858529034406.3018</v>
      </c>
      <c r="H1468" s="47">
        <f t="shared" ca="1" si="203"/>
        <v>1858529034406.3018</v>
      </c>
      <c r="I1468" s="47">
        <f t="shared" ca="1" si="204"/>
        <v>5574231208292.4521</v>
      </c>
      <c r="J1468" s="47">
        <f t="shared" ca="1" si="205"/>
        <v>2424005086754.2173</v>
      </c>
      <c r="K1468" s="48">
        <f t="shared" ca="1" si="206"/>
        <v>2.2995955077620893</v>
      </c>
    </row>
    <row r="1469" spans="2:11" ht="15" customHeight="1" x14ac:dyDescent="0.35">
      <c r="B1469" s="5">
        <v>1448</v>
      </c>
      <c r="C1469" s="46">
        <f t="shared" ca="1" si="198"/>
        <v>3.036549477651568</v>
      </c>
      <c r="D1469" s="47">
        <f t="shared" ca="1" si="199"/>
        <v>5269063200.6879663</v>
      </c>
      <c r="E1469" s="47">
        <f t="shared" ca="1" si="200"/>
        <v>17993500577336.82</v>
      </c>
      <c r="F1469" s="47">
        <f t="shared" ca="1" si="201"/>
        <v>2984314047383.1782</v>
      </c>
      <c r="G1469" s="47">
        <f t="shared" ca="1" si="202"/>
        <v>9771262810264.3555</v>
      </c>
      <c r="H1469" s="47">
        <f t="shared" ca="1" si="203"/>
        <v>17993500577336.82</v>
      </c>
      <c r="I1469" s="47">
        <f t="shared" ca="1" si="204"/>
        <v>6647532258003.8213</v>
      </c>
      <c r="J1469" s="47">
        <f t="shared" ca="1" si="205"/>
        <v>1236166636684.8347</v>
      </c>
      <c r="K1469" s="48">
        <f t="shared" ca="1" si="206"/>
        <v>5.3775373487115345</v>
      </c>
    </row>
    <row r="1470" spans="2:11" ht="15" customHeight="1" x14ac:dyDescent="0.35">
      <c r="B1470" s="5">
        <v>1449</v>
      </c>
      <c r="C1470" s="46">
        <f t="shared" ca="1" si="198"/>
        <v>3.1582628854321095</v>
      </c>
      <c r="D1470" s="47">
        <f t="shared" ca="1" si="199"/>
        <v>6355847969.6347485</v>
      </c>
      <c r="E1470" s="47">
        <f t="shared" ca="1" si="200"/>
        <v>29737929517322.926</v>
      </c>
      <c r="F1470" s="47">
        <f t="shared" ca="1" si="201"/>
        <v>65772160939652.711</v>
      </c>
      <c r="G1470" s="47">
        <f t="shared" ca="1" si="202"/>
        <v>4299785025398.9053</v>
      </c>
      <c r="H1470" s="47">
        <f t="shared" ca="1" si="203"/>
        <v>65772160939652.711</v>
      </c>
      <c r="I1470" s="47">
        <f t="shared" ca="1" si="204"/>
        <v>13155668761465.035</v>
      </c>
      <c r="J1470" s="47">
        <f t="shared" ca="1" si="205"/>
        <v>1370657159944.1555</v>
      </c>
      <c r="K1470" s="48">
        <f t="shared" ca="1" si="206"/>
        <v>9.5980739355719233</v>
      </c>
    </row>
    <row r="1471" spans="2:11" ht="15" customHeight="1" x14ac:dyDescent="0.35">
      <c r="B1471" s="5">
        <v>1450</v>
      </c>
      <c r="C1471" s="46">
        <f t="shared" ca="1" si="198"/>
        <v>2.9050050991369205</v>
      </c>
      <c r="D1471" s="47">
        <f t="shared" ca="1" si="199"/>
        <v>3603467958.1621952</v>
      </c>
      <c r="E1471" s="47">
        <f t="shared" ca="1" si="200"/>
        <v>5642189013052.7188</v>
      </c>
      <c r="F1471" s="47">
        <f t="shared" ca="1" si="201"/>
        <v>828705120729.66284</v>
      </c>
      <c r="G1471" s="47">
        <f t="shared" ca="1" si="202"/>
        <v>33387320025045.637</v>
      </c>
      <c r="H1471" s="47">
        <f t="shared" ca="1" si="203"/>
        <v>828705120729.66284</v>
      </c>
      <c r="I1471" s="47">
        <f t="shared" ca="1" si="204"/>
        <v>6143019783275.4326</v>
      </c>
      <c r="J1471" s="47">
        <f t="shared" ca="1" si="205"/>
        <v>1229118991504.5828</v>
      </c>
      <c r="K1471" s="48">
        <f t="shared" ca="1" si="206"/>
        <v>4.9979048617218673</v>
      </c>
    </row>
    <row r="1472" spans="2:11" ht="15" customHeight="1" x14ac:dyDescent="0.35">
      <c r="B1472" s="5">
        <v>1451</v>
      </c>
      <c r="C1472" s="46">
        <f t="shared" ca="1" si="198"/>
        <v>3.1832981701183889</v>
      </c>
      <c r="D1472" s="47">
        <f t="shared" ca="1" si="199"/>
        <v>6494672463.451293</v>
      </c>
      <c r="E1472" s="47">
        <f t="shared" ca="1" si="200"/>
        <v>28575050056029.039</v>
      </c>
      <c r="F1472" s="47">
        <f t="shared" ca="1" si="201"/>
        <v>2382433102796.8047</v>
      </c>
      <c r="G1472" s="47">
        <f t="shared" ca="1" si="202"/>
        <v>249549918400.67645</v>
      </c>
      <c r="H1472" s="47">
        <f t="shared" ca="1" si="203"/>
        <v>2382433102796.8047</v>
      </c>
      <c r="I1472" s="47">
        <f t="shared" ca="1" si="204"/>
        <v>64059264381539.469</v>
      </c>
      <c r="J1472" s="47">
        <f t="shared" ca="1" si="205"/>
        <v>1654550334195.5457</v>
      </c>
      <c r="K1472" s="48">
        <f t="shared" ca="1" si="206"/>
        <v>38.717023627259756</v>
      </c>
    </row>
    <row r="1473" spans="2:11" ht="15" customHeight="1" x14ac:dyDescent="0.35">
      <c r="B1473" s="5">
        <v>1452</v>
      </c>
      <c r="C1473" s="46">
        <f t="shared" ca="1" si="198"/>
        <v>3.0448829327079201</v>
      </c>
      <c r="D1473" s="47">
        <f t="shared" ca="1" si="199"/>
        <v>6180838651.6353636</v>
      </c>
      <c r="E1473" s="47">
        <f t="shared" ca="1" si="200"/>
        <v>20836447271476.047</v>
      </c>
      <c r="F1473" s="47">
        <f t="shared" ca="1" si="201"/>
        <v>751171346000.81055</v>
      </c>
      <c r="G1473" s="47">
        <f t="shared" ca="1" si="202"/>
        <v>2844055469647.939</v>
      </c>
      <c r="H1473" s="47">
        <f t="shared" ca="1" si="203"/>
        <v>751171346000.81055</v>
      </c>
      <c r="I1473" s="47">
        <f t="shared" ca="1" si="204"/>
        <v>30955981327907.391</v>
      </c>
      <c r="J1473" s="47">
        <f t="shared" ca="1" si="205"/>
        <v>1419430508638.4309</v>
      </c>
      <c r="K1473" s="48">
        <f t="shared" ca="1" si="206"/>
        <v>21.808733248661458</v>
      </c>
    </row>
    <row r="1474" spans="2:11" ht="15" customHeight="1" x14ac:dyDescent="0.35">
      <c r="B1474" s="5">
        <v>1453</v>
      </c>
      <c r="C1474" s="46">
        <f t="shared" ca="1" si="198"/>
        <v>3.1576174179931469</v>
      </c>
      <c r="D1474" s="47">
        <f t="shared" ca="1" si="199"/>
        <v>5855421968.3922224</v>
      </c>
      <c r="E1474" s="47">
        <f t="shared" ca="1" si="200"/>
        <v>20422481150034.629</v>
      </c>
      <c r="F1474" s="47">
        <f t="shared" ca="1" si="201"/>
        <v>298045150543.47705</v>
      </c>
      <c r="G1474" s="47">
        <f t="shared" ca="1" si="202"/>
        <v>55204484027375</v>
      </c>
      <c r="H1474" s="47">
        <f t="shared" ca="1" si="203"/>
        <v>55204484027375</v>
      </c>
      <c r="I1474" s="47">
        <f t="shared" ca="1" si="204"/>
        <v>1674588674855.3767</v>
      </c>
      <c r="J1474" s="47">
        <f t="shared" ca="1" si="205"/>
        <v>1291758532024.8738</v>
      </c>
      <c r="K1474" s="48">
        <f t="shared" ca="1" si="206"/>
        <v>1.296363548867298</v>
      </c>
    </row>
    <row r="1475" spans="2:11" ht="15" customHeight="1" x14ac:dyDescent="0.35">
      <c r="B1475" s="5">
        <v>1454</v>
      </c>
      <c r="C1475" s="46">
        <f t="shared" ca="1" si="198"/>
        <v>1.8</v>
      </c>
      <c r="D1475" s="47">
        <f t="shared" ca="1" si="199"/>
        <v>313800090.03142476</v>
      </c>
      <c r="E1475" s="47">
        <f t="shared" ca="1" si="200"/>
        <v>1107007738917.0044</v>
      </c>
      <c r="F1475" s="47">
        <f t="shared" ca="1" si="201"/>
        <v>1263252879456.5786</v>
      </c>
      <c r="G1475" s="47">
        <f t="shared" ca="1" si="202"/>
        <v>5634030266912.79</v>
      </c>
      <c r="H1475" s="47">
        <f t="shared" ca="1" si="203"/>
        <v>1263252879456.5786</v>
      </c>
      <c r="I1475" s="47">
        <f t="shared" ca="1" si="204"/>
        <v>10377239481184.58</v>
      </c>
      <c r="J1475" s="47">
        <f t="shared" ca="1" si="205"/>
        <v>2200036418184.1045</v>
      </c>
      <c r="K1475" s="48">
        <f t="shared" ca="1" si="206"/>
        <v>4.7168489555049664</v>
      </c>
    </row>
    <row r="1476" spans="2:11" ht="15" customHeight="1" x14ac:dyDescent="0.35">
      <c r="B1476" s="5">
        <v>1455</v>
      </c>
      <c r="C1476" s="46">
        <f t="shared" ca="1" si="198"/>
        <v>3.0334782660920894</v>
      </c>
      <c r="D1476" s="47">
        <f t="shared" ca="1" si="199"/>
        <v>5258024485.9721794</v>
      </c>
      <c r="E1476" s="47">
        <f t="shared" ca="1" si="200"/>
        <v>21676976291843</v>
      </c>
      <c r="F1476" s="47">
        <f t="shared" ca="1" si="201"/>
        <v>2268510141597.8154</v>
      </c>
      <c r="G1476" s="47">
        <f t="shared" ca="1" si="202"/>
        <v>8085939030158.9961</v>
      </c>
      <c r="H1476" s="47">
        <f t="shared" ca="1" si="203"/>
        <v>8085939030158.9961</v>
      </c>
      <c r="I1476" s="47">
        <f t="shared" ca="1" si="204"/>
        <v>6926023302272.415</v>
      </c>
      <c r="J1476" s="47">
        <f t="shared" ca="1" si="205"/>
        <v>2246865487278.9893</v>
      </c>
      <c r="K1476" s="48">
        <f t="shared" ca="1" si="206"/>
        <v>3.0825268986885388</v>
      </c>
    </row>
    <row r="1477" spans="2:11" ht="15" customHeight="1" x14ac:dyDescent="0.35">
      <c r="B1477" s="5">
        <v>1456</v>
      </c>
      <c r="C1477" s="46">
        <f t="shared" ca="1" si="198"/>
        <v>3.1167142711099407</v>
      </c>
      <c r="D1477" s="47">
        <f t="shared" ca="1" si="199"/>
        <v>6980532408.1001406</v>
      </c>
      <c r="E1477" s="47">
        <f t="shared" ca="1" si="200"/>
        <v>74484594052067</v>
      </c>
      <c r="F1477" s="47">
        <f t="shared" ca="1" si="201"/>
        <v>9293125044042.4434</v>
      </c>
      <c r="G1477" s="47">
        <f t="shared" ca="1" si="202"/>
        <v>2613629439790.5317</v>
      </c>
      <c r="H1477" s="47">
        <f t="shared" ca="1" si="203"/>
        <v>9293125044042.4434</v>
      </c>
      <c r="I1477" s="47">
        <f t="shared" ca="1" si="204"/>
        <v>6186498527756.6621</v>
      </c>
      <c r="J1477" s="47">
        <f t="shared" ca="1" si="205"/>
        <v>1664113818876.7153</v>
      </c>
      <c r="K1477" s="48">
        <f t="shared" ca="1" si="206"/>
        <v>3.7175933866906878</v>
      </c>
    </row>
    <row r="1478" spans="2:11" ht="15" customHeight="1" x14ac:dyDescent="0.35">
      <c r="B1478" s="5">
        <v>1457</v>
      </c>
      <c r="C1478" s="46">
        <f t="shared" ca="1" si="198"/>
        <v>2.9184184751469671</v>
      </c>
      <c r="D1478" s="47">
        <f t="shared" ca="1" si="199"/>
        <v>5025521433.7487164</v>
      </c>
      <c r="E1478" s="47">
        <f t="shared" ca="1" si="200"/>
        <v>22122802432684.551</v>
      </c>
      <c r="F1478" s="47">
        <f t="shared" ca="1" si="201"/>
        <v>9098097180562.5586</v>
      </c>
      <c r="G1478" s="47">
        <f t="shared" ca="1" si="202"/>
        <v>35356469842071.273</v>
      </c>
      <c r="H1478" s="47">
        <f t="shared" ca="1" si="203"/>
        <v>9098097180562.5586</v>
      </c>
      <c r="I1478" s="47">
        <f t="shared" ca="1" si="204"/>
        <v>1592235853096.9685</v>
      </c>
      <c r="J1478" s="47">
        <f t="shared" ca="1" si="205"/>
        <v>1516982869402.7214</v>
      </c>
      <c r="K1478" s="48">
        <f t="shared" ca="1" si="206"/>
        <v>1.0496070095530323</v>
      </c>
    </row>
    <row r="1479" spans="2:11" ht="15" customHeight="1" x14ac:dyDescent="0.35">
      <c r="B1479" s="5">
        <v>1458</v>
      </c>
      <c r="C1479" s="46">
        <f t="shared" ca="1" si="198"/>
        <v>2.6884187893401448</v>
      </c>
      <c r="D1479" s="47">
        <f t="shared" ca="1" si="199"/>
        <v>2742763556.8426266</v>
      </c>
      <c r="E1479" s="47">
        <f t="shared" ca="1" si="200"/>
        <v>3836513958740.6235</v>
      </c>
      <c r="F1479" s="47">
        <f t="shared" ca="1" si="201"/>
        <v>4768783161308.4434</v>
      </c>
      <c r="G1479" s="47">
        <f t="shared" ca="1" si="202"/>
        <v>9100395186574.3555</v>
      </c>
      <c r="H1479" s="47">
        <f t="shared" ca="1" si="203"/>
        <v>3836513958740.6235</v>
      </c>
      <c r="I1479" s="47">
        <f t="shared" ca="1" si="204"/>
        <v>149694257702038.88</v>
      </c>
      <c r="J1479" s="47">
        <f t="shared" ca="1" si="205"/>
        <v>1377998128541.9397</v>
      </c>
      <c r="K1479" s="48">
        <f t="shared" ca="1" si="206"/>
        <v>108.6316843263281</v>
      </c>
    </row>
    <row r="1480" spans="2:11" ht="15" customHeight="1" x14ac:dyDescent="0.35">
      <c r="B1480" s="5">
        <v>1459</v>
      </c>
      <c r="C1480" s="46">
        <f t="shared" ca="1" si="198"/>
        <v>2.6599057470972283</v>
      </c>
      <c r="D1480" s="47">
        <f t="shared" ca="1" si="199"/>
        <v>2914799661.0386558</v>
      </c>
      <c r="E1480" s="47">
        <f t="shared" ca="1" si="200"/>
        <v>14103163544589.604</v>
      </c>
      <c r="F1480" s="47">
        <f t="shared" ca="1" si="201"/>
        <v>9117013875727.2207</v>
      </c>
      <c r="G1480" s="47">
        <f t="shared" ca="1" si="202"/>
        <v>5857608520146.6904</v>
      </c>
      <c r="H1480" s="47">
        <f t="shared" ca="1" si="203"/>
        <v>14103163544589.604</v>
      </c>
      <c r="I1480" s="47">
        <f t="shared" ca="1" si="204"/>
        <v>58936995193755.805</v>
      </c>
      <c r="J1480" s="47">
        <f t="shared" ca="1" si="205"/>
        <v>1579609280922.2959</v>
      </c>
      <c r="K1480" s="48">
        <f t="shared" ca="1" si="206"/>
        <v>37.311122380430625</v>
      </c>
    </row>
    <row r="1481" spans="2:11" ht="15" customHeight="1" x14ac:dyDescent="0.35">
      <c r="B1481" s="5">
        <v>1460</v>
      </c>
      <c r="C1481" s="46">
        <f t="shared" ca="1" si="198"/>
        <v>3.3792913999692633</v>
      </c>
      <c r="D1481" s="47">
        <f t="shared" ca="1" si="199"/>
        <v>7579392476.7972422</v>
      </c>
      <c r="E1481" s="47">
        <f t="shared" ca="1" si="200"/>
        <v>34234090975884.027</v>
      </c>
      <c r="F1481" s="47">
        <f t="shared" ca="1" si="201"/>
        <v>2887292827813.1074</v>
      </c>
      <c r="G1481" s="47">
        <f t="shared" ca="1" si="202"/>
        <v>2008578531364.4592</v>
      </c>
      <c r="H1481" s="47">
        <f t="shared" ca="1" si="203"/>
        <v>2008578531364.4592</v>
      </c>
      <c r="I1481" s="47">
        <f t="shared" ca="1" si="204"/>
        <v>1724180546204.4966</v>
      </c>
      <c r="J1481" s="47">
        <f t="shared" ca="1" si="205"/>
        <v>822647940003.93091</v>
      </c>
      <c r="K1481" s="48">
        <f t="shared" ca="1" si="206"/>
        <v>2.0958911611645896</v>
      </c>
    </row>
    <row r="1482" spans="2:11" ht="15" customHeight="1" x14ac:dyDescent="0.35">
      <c r="B1482" s="5">
        <v>1461</v>
      </c>
      <c r="C1482" s="46">
        <f t="shared" ca="1" si="198"/>
        <v>2.8466825728396099</v>
      </c>
      <c r="D1482" s="47">
        <f t="shared" ca="1" si="199"/>
        <v>3086329453.9542589</v>
      </c>
      <c r="E1482" s="47">
        <f t="shared" ca="1" si="200"/>
        <v>2485115900381.7661</v>
      </c>
      <c r="F1482" s="47">
        <f t="shared" ca="1" si="201"/>
        <v>1213523229068.6318</v>
      </c>
      <c r="G1482" s="47">
        <f t="shared" ca="1" si="202"/>
        <v>2304378596311.1367</v>
      </c>
      <c r="H1482" s="47">
        <f t="shared" ca="1" si="203"/>
        <v>2304378596311.1367</v>
      </c>
      <c r="I1482" s="47">
        <f t="shared" ca="1" si="204"/>
        <v>12446246009544.674</v>
      </c>
      <c r="J1482" s="47">
        <f t="shared" ca="1" si="205"/>
        <v>732857100739.40894</v>
      </c>
      <c r="K1482" s="48">
        <f t="shared" ca="1" si="206"/>
        <v>16.983182665470739</v>
      </c>
    </row>
    <row r="1483" spans="2:11" ht="15" customHeight="1" x14ac:dyDescent="0.35">
      <c r="B1483" s="5">
        <v>1462</v>
      </c>
      <c r="C1483" s="46">
        <f t="shared" ca="1" si="198"/>
        <v>3.0298854321107664</v>
      </c>
      <c r="D1483" s="47">
        <f t="shared" ca="1" si="199"/>
        <v>5386790467.5984612</v>
      </c>
      <c r="E1483" s="47">
        <f t="shared" ca="1" si="200"/>
        <v>39815780442821.688</v>
      </c>
      <c r="F1483" s="47">
        <f t="shared" ca="1" si="201"/>
        <v>4545638387224.3105</v>
      </c>
      <c r="G1483" s="47">
        <f t="shared" ca="1" si="202"/>
        <v>10395359304998.021</v>
      </c>
      <c r="H1483" s="47">
        <f t="shared" ca="1" si="203"/>
        <v>4545638387224.3105</v>
      </c>
      <c r="I1483" s="47">
        <f t="shared" ca="1" si="204"/>
        <v>5291790417308.2109</v>
      </c>
      <c r="J1483" s="47">
        <f t="shared" ca="1" si="205"/>
        <v>1568599944598.0317</v>
      </c>
      <c r="K1483" s="48">
        <f t="shared" ca="1" si="206"/>
        <v>3.3735755477565577</v>
      </c>
    </row>
    <row r="1484" spans="2:11" ht="15" customHeight="1" x14ac:dyDescent="0.35">
      <c r="B1484" s="5">
        <v>1463</v>
      </c>
      <c r="C1484" s="46">
        <f t="shared" ca="1" si="198"/>
        <v>2.8676662366225947</v>
      </c>
      <c r="D1484" s="47">
        <f t="shared" ca="1" si="199"/>
        <v>3960759710.7996097</v>
      </c>
      <c r="E1484" s="47">
        <f t="shared" ca="1" si="200"/>
        <v>12045459137104.525</v>
      </c>
      <c r="F1484" s="47">
        <f t="shared" ca="1" si="201"/>
        <v>5789976133734.0557</v>
      </c>
      <c r="G1484" s="47">
        <f t="shared" ca="1" si="202"/>
        <v>1251181367730.1243</v>
      </c>
      <c r="H1484" s="47">
        <f t="shared" ca="1" si="203"/>
        <v>1251181367730.1243</v>
      </c>
      <c r="I1484" s="47">
        <f t="shared" ca="1" si="204"/>
        <v>3760653182578.9678</v>
      </c>
      <c r="J1484" s="47">
        <f t="shared" ca="1" si="205"/>
        <v>1807867459174.7573</v>
      </c>
      <c r="K1484" s="48">
        <f t="shared" ca="1" si="206"/>
        <v>2.0801597835582508</v>
      </c>
    </row>
    <row r="1485" spans="2:11" ht="15" customHeight="1" x14ac:dyDescent="0.35">
      <c r="B1485" s="5">
        <v>1464</v>
      </c>
      <c r="C1485" s="46">
        <f t="shared" ca="1" si="198"/>
        <v>3.2312113487956906</v>
      </c>
      <c r="D1485" s="47">
        <f t="shared" ca="1" si="199"/>
        <v>6707741049.1757984</v>
      </c>
      <c r="E1485" s="47">
        <f t="shared" ca="1" si="200"/>
        <v>7960668427004.3193</v>
      </c>
      <c r="F1485" s="47">
        <f t="shared" ca="1" si="201"/>
        <v>1889864137748.8657</v>
      </c>
      <c r="G1485" s="47">
        <f t="shared" ca="1" si="202"/>
        <v>1843796539876.3413</v>
      </c>
      <c r="H1485" s="47">
        <f t="shared" ca="1" si="203"/>
        <v>1889864137748.8657</v>
      </c>
      <c r="I1485" s="47">
        <f t="shared" ca="1" si="204"/>
        <v>23615686509594.23</v>
      </c>
      <c r="J1485" s="47">
        <f t="shared" ca="1" si="205"/>
        <v>687210955778.71057</v>
      </c>
      <c r="K1485" s="48">
        <f t="shared" ca="1" si="206"/>
        <v>34.364537280745473</v>
      </c>
    </row>
    <row r="1486" spans="2:11" ht="15" customHeight="1" x14ac:dyDescent="0.35">
      <c r="B1486" s="5">
        <v>1465</v>
      </c>
      <c r="C1486" s="46">
        <f t="shared" ca="1" si="198"/>
        <v>3.507162035146723</v>
      </c>
      <c r="D1486" s="47">
        <f t="shared" ca="1" si="199"/>
        <v>8891139102.8219986</v>
      </c>
      <c r="E1486" s="47">
        <f t="shared" ca="1" si="200"/>
        <v>4870512604908.9521</v>
      </c>
      <c r="F1486" s="47">
        <f t="shared" ca="1" si="201"/>
        <v>1439804795385.5315</v>
      </c>
      <c r="G1486" s="47">
        <f t="shared" ca="1" si="202"/>
        <v>32636300927758.227</v>
      </c>
      <c r="H1486" s="47">
        <f t="shared" ca="1" si="203"/>
        <v>1439804795385.5315</v>
      </c>
      <c r="I1486" s="47">
        <f t="shared" ca="1" si="204"/>
        <v>34162575599459.625</v>
      </c>
      <c r="J1486" s="47">
        <f t="shared" ca="1" si="205"/>
        <v>2389845793946.7407</v>
      </c>
      <c r="K1486" s="48">
        <f t="shared" ca="1" si="206"/>
        <v>14.294887011534502</v>
      </c>
    </row>
    <row r="1487" spans="2:11" ht="15" customHeight="1" x14ac:dyDescent="0.35">
      <c r="B1487" s="5">
        <v>1466</v>
      </c>
      <c r="C1487" s="46">
        <f t="shared" ca="1" si="198"/>
        <v>3.5053441120147126</v>
      </c>
      <c r="D1487" s="47">
        <f t="shared" ca="1" si="199"/>
        <v>12004313533.207825</v>
      </c>
      <c r="E1487" s="47">
        <f t="shared" ca="1" si="200"/>
        <v>46586147240068.43</v>
      </c>
      <c r="F1487" s="47">
        <f t="shared" ca="1" si="201"/>
        <v>3302687544162.46</v>
      </c>
      <c r="G1487" s="47">
        <f t="shared" ca="1" si="202"/>
        <v>263853990155.81586</v>
      </c>
      <c r="H1487" s="47">
        <f t="shared" ca="1" si="203"/>
        <v>263853990155.81586</v>
      </c>
      <c r="I1487" s="47">
        <f t="shared" ca="1" si="204"/>
        <v>16504109650761.555</v>
      </c>
      <c r="J1487" s="47">
        <f t="shared" ca="1" si="205"/>
        <v>896564606341.78174</v>
      </c>
      <c r="K1487" s="48">
        <f t="shared" ca="1" si="206"/>
        <v>18.408165495292796</v>
      </c>
    </row>
    <row r="1488" spans="2:11" ht="15" customHeight="1" x14ac:dyDescent="0.35">
      <c r="B1488" s="5">
        <v>1467</v>
      </c>
      <c r="C1488" s="46">
        <f t="shared" ca="1" si="198"/>
        <v>3.0745580221165381</v>
      </c>
      <c r="D1488" s="47">
        <f t="shared" ca="1" si="199"/>
        <v>4526415866.4500284</v>
      </c>
      <c r="E1488" s="47">
        <f t="shared" ca="1" si="200"/>
        <v>10946036092629.484</v>
      </c>
      <c r="F1488" s="47">
        <f t="shared" ca="1" si="201"/>
        <v>1698221680021.864</v>
      </c>
      <c r="G1488" s="47">
        <f t="shared" ca="1" si="202"/>
        <v>68370705284225.766</v>
      </c>
      <c r="H1488" s="47">
        <f t="shared" ca="1" si="203"/>
        <v>1698221680021.864</v>
      </c>
      <c r="I1488" s="47">
        <f t="shared" ca="1" si="204"/>
        <v>50825491219665.453</v>
      </c>
      <c r="J1488" s="47">
        <f t="shared" ca="1" si="205"/>
        <v>1465746098372.5361</v>
      </c>
      <c r="K1488" s="48">
        <f t="shared" ca="1" si="206"/>
        <v>34.675508449995938</v>
      </c>
    </row>
    <row r="1489" spans="2:11" ht="15" customHeight="1" x14ac:dyDescent="0.35">
      <c r="B1489" s="5">
        <v>1468</v>
      </c>
      <c r="C1489" s="46">
        <f t="shared" ca="1" si="198"/>
        <v>3.2595349580582007</v>
      </c>
      <c r="D1489" s="47">
        <f t="shared" ca="1" si="199"/>
        <v>7204187105.7191267</v>
      </c>
      <c r="E1489" s="47">
        <f t="shared" ca="1" si="200"/>
        <v>22846130137233.719</v>
      </c>
      <c r="F1489" s="47">
        <f t="shared" ca="1" si="201"/>
        <v>2130725964300.2212</v>
      </c>
      <c r="G1489" s="47">
        <f t="shared" ca="1" si="202"/>
        <v>10257052377666.867</v>
      </c>
      <c r="H1489" s="47">
        <f t="shared" ca="1" si="203"/>
        <v>2130725964300.2212</v>
      </c>
      <c r="I1489" s="47">
        <f t="shared" ca="1" si="204"/>
        <v>34388349070946.566</v>
      </c>
      <c r="J1489" s="47">
        <f t="shared" ca="1" si="205"/>
        <v>2394164765209.8071</v>
      </c>
      <c r="K1489" s="48">
        <f t="shared" ca="1" si="206"/>
        <v>14.363401203898773</v>
      </c>
    </row>
    <row r="1490" spans="2:11" ht="15" customHeight="1" x14ac:dyDescent="0.35">
      <c r="B1490" s="5">
        <v>1469</v>
      </c>
      <c r="C1490" s="46">
        <f t="shared" ca="1" si="198"/>
        <v>3.1342984534713416</v>
      </c>
      <c r="D1490" s="47">
        <f t="shared" ca="1" si="199"/>
        <v>7183616673.0849867</v>
      </c>
      <c r="E1490" s="47">
        <f t="shared" ca="1" si="200"/>
        <v>16105743776268.969</v>
      </c>
      <c r="F1490" s="47">
        <f t="shared" ca="1" si="201"/>
        <v>786925900311.56799</v>
      </c>
      <c r="G1490" s="47">
        <f t="shared" ca="1" si="202"/>
        <v>1445305435517.7534</v>
      </c>
      <c r="H1490" s="47">
        <f t="shared" ca="1" si="203"/>
        <v>786925900311.56799</v>
      </c>
      <c r="I1490" s="47">
        <f t="shared" ca="1" si="204"/>
        <v>16301795203063.484</v>
      </c>
      <c r="J1490" s="47">
        <f t="shared" ca="1" si="205"/>
        <v>2285929110602.9121</v>
      </c>
      <c r="K1490" s="48">
        <f t="shared" ca="1" si="206"/>
        <v>7.1313651536481366</v>
      </c>
    </row>
    <row r="1491" spans="2:11" ht="15" customHeight="1" x14ac:dyDescent="0.35">
      <c r="B1491" s="5">
        <v>1470</v>
      </c>
      <c r="C1491" s="46">
        <f t="shared" ca="1" si="198"/>
        <v>3.3413698795029609</v>
      </c>
      <c r="D1491" s="47">
        <f t="shared" ca="1" si="199"/>
        <v>9812900407.2152023</v>
      </c>
      <c r="E1491" s="47">
        <f t="shared" ca="1" si="200"/>
        <v>32755052113377.258</v>
      </c>
      <c r="F1491" s="47">
        <f t="shared" ca="1" si="201"/>
        <v>5235508190820.3008</v>
      </c>
      <c r="G1491" s="47">
        <f t="shared" ca="1" si="202"/>
        <v>65797461847813.258</v>
      </c>
      <c r="H1491" s="47">
        <f t="shared" ca="1" si="203"/>
        <v>32755052113377.258</v>
      </c>
      <c r="I1491" s="47">
        <f t="shared" ca="1" si="204"/>
        <v>14231917425267.703</v>
      </c>
      <c r="J1491" s="47">
        <f t="shared" ca="1" si="205"/>
        <v>1463983902386.552</v>
      </c>
      <c r="K1491" s="48">
        <f t="shared" ca="1" si="206"/>
        <v>9.7213619644773193</v>
      </c>
    </row>
    <row r="1492" spans="2:11" ht="15" customHeight="1" x14ac:dyDescent="0.35">
      <c r="B1492" s="5">
        <v>1471</v>
      </c>
      <c r="C1492" s="46">
        <f t="shared" ca="1" si="198"/>
        <v>3.385214792742655</v>
      </c>
      <c r="D1492" s="47">
        <f t="shared" ca="1" si="199"/>
        <v>9927907683.1640682</v>
      </c>
      <c r="E1492" s="47">
        <f t="shared" ca="1" si="200"/>
        <v>25612556067040.102</v>
      </c>
      <c r="F1492" s="47">
        <f t="shared" ca="1" si="201"/>
        <v>2915700786047.7295</v>
      </c>
      <c r="G1492" s="47">
        <f t="shared" ca="1" si="202"/>
        <v>836868438726.37964</v>
      </c>
      <c r="H1492" s="47">
        <f t="shared" ca="1" si="203"/>
        <v>25612556067040.102</v>
      </c>
      <c r="I1492" s="47">
        <f t="shared" ca="1" si="204"/>
        <v>14779114725930.08</v>
      </c>
      <c r="J1492" s="47">
        <f t="shared" ca="1" si="205"/>
        <v>1787918404964.7588</v>
      </c>
      <c r="K1492" s="48">
        <f t="shared" ca="1" si="206"/>
        <v>8.2661013415885645</v>
      </c>
    </row>
    <row r="1493" spans="2:11" ht="15" customHeight="1" x14ac:dyDescent="0.35">
      <c r="B1493" s="5">
        <v>1472</v>
      </c>
      <c r="C1493" s="46">
        <f t="shared" ca="1" si="198"/>
        <v>3.3403026449947681</v>
      </c>
      <c r="D1493" s="47">
        <f t="shared" ca="1" si="199"/>
        <v>6843301987.0212383</v>
      </c>
      <c r="E1493" s="47">
        <f t="shared" ca="1" si="200"/>
        <v>50542098278349.477</v>
      </c>
      <c r="F1493" s="47">
        <f t="shared" ca="1" si="201"/>
        <v>2810754179816.8936</v>
      </c>
      <c r="G1493" s="47">
        <f t="shared" ca="1" si="202"/>
        <v>1646319789404.593</v>
      </c>
      <c r="H1493" s="47">
        <f t="shared" ca="1" si="203"/>
        <v>2810754179816.8936</v>
      </c>
      <c r="I1493" s="47">
        <f t="shared" ca="1" si="204"/>
        <v>50124628872750.992</v>
      </c>
      <c r="J1493" s="47">
        <f t="shared" ca="1" si="205"/>
        <v>1158897526242.6819</v>
      </c>
      <c r="K1493" s="48">
        <f t="shared" ca="1" si="206"/>
        <v>43.251994018196321</v>
      </c>
    </row>
    <row r="1494" spans="2:11" ht="15" customHeight="1" x14ac:dyDescent="0.35">
      <c r="B1494" s="5">
        <v>1473</v>
      </c>
      <c r="C1494" s="46">
        <f t="shared" ref="C1494:C1557" ca="1" si="207">MEDIAN(1.8,NORMINV(RAND(),$C$7,$D$7),4.5)</f>
        <v>3.0781184607219663</v>
      </c>
      <c r="D1494" s="47">
        <f t="shared" ref="D1494:D1557" ca="1" si="208">($C$8+RAND()*($D$8-$C$8))*C1494^5</f>
        <v>6194006366.8976898</v>
      </c>
      <c r="E1494" s="47">
        <f t="shared" ref="E1494:E1557" ca="1" si="209">D1494*($C$10+RAND()*($D$10-$C$10))*EXP(NORMINV(RAND(),$C$9,$D$9))*($C$11+RAND()*($D$11-$C$11))</f>
        <v>13133503845852.865</v>
      </c>
      <c r="F1494" s="47">
        <f t="shared" ref="F1494:F1557" ca="1" si="210">EXP(NORMINV(RAND(),$C$12,$D$12))*EXP(NORMINV(RAND(),$C$13,$D$13))</f>
        <v>10038612196908.803</v>
      </c>
      <c r="G1494" s="47">
        <f t="shared" ref="G1494:G1557" ca="1" si="211">EXP(NORMINV(RAND(),$C$14,$D$14))*($C$15+RAND()*($D$15-$C$15))*EXP(NORMINV(RAND(),$C$16,$D$16))/1000000*31536000</f>
        <v>76830040536336.25</v>
      </c>
      <c r="H1494" s="47">
        <f t="shared" ref="H1494:H1557" ca="1" si="212">CHOOSE(RANDBETWEEN(1,3),E1494,F1494,G1494)</f>
        <v>10038612196908.803</v>
      </c>
      <c r="I1494" s="47">
        <f t="shared" ref="I1494:I1557" ca="1" si="213">EXP(NORMINV(RAND(),$C$14,$D$14))*($C$15+RAND()*($D$15-$C$15))*60</f>
        <v>3472531980304.0684</v>
      </c>
      <c r="J1494" s="47">
        <f t="shared" ref="J1494:J1557" ca="1" si="214">($C$17+RAND()*($D$17-$C$17))*($C$18+RAND()*($D$18-$C$18))</f>
        <v>1092946387591.8564</v>
      </c>
      <c r="K1494" s="48">
        <f t="shared" ref="K1494:K1557" ca="1" si="215">I1494/J1494</f>
        <v>3.1772207856922168</v>
      </c>
    </row>
    <row r="1495" spans="2:11" ht="15" customHeight="1" x14ac:dyDescent="0.35">
      <c r="B1495" s="5">
        <v>1474</v>
      </c>
      <c r="C1495" s="46">
        <f t="shared" ca="1" si="207"/>
        <v>3.0048599678789336</v>
      </c>
      <c r="D1495" s="47">
        <f t="shared" ca="1" si="208"/>
        <v>5224278219.5763874</v>
      </c>
      <c r="E1495" s="47">
        <f t="shared" ca="1" si="209"/>
        <v>21245596583598.102</v>
      </c>
      <c r="F1495" s="47">
        <f t="shared" ca="1" si="210"/>
        <v>155284984780.16211</v>
      </c>
      <c r="G1495" s="47">
        <f t="shared" ca="1" si="211"/>
        <v>6104576358034.5693</v>
      </c>
      <c r="H1495" s="47">
        <f t="shared" ca="1" si="212"/>
        <v>155284984780.16211</v>
      </c>
      <c r="I1495" s="47">
        <f t="shared" ca="1" si="213"/>
        <v>31579165905302.852</v>
      </c>
      <c r="J1495" s="47">
        <f t="shared" ca="1" si="214"/>
        <v>1221304463668.8293</v>
      </c>
      <c r="K1495" s="48">
        <f t="shared" ca="1" si="215"/>
        <v>25.856915163020236</v>
      </c>
    </row>
    <row r="1496" spans="2:11" ht="15" customHeight="1" x14ac:dyDescent="0.35">
      <c r="B1496" s="5">
        <v>1475</v>
      </c>
      <c r="C1496" s="46">
        <f t="shared" ca="1" si="207"/>
        <v>2.9522596609274845</v>
      </c>
      <c r="D1496" s="47">
        <f t="shared" ca="1" si="208"/>
        <v>3871241498.3391223</v>
      </c>
      <c r="E1496" s="47">
        <f t="shared" ca="1" si="209"/>
        <v>24681396340888.016</v>
      </c>
      <c r="F1496" s="47">
        <f t="shared" ca="1" si="210"/>
        <v>959935378933.94141</v>
      </c>
      <c r="G1496" s="47">
        <f t="shared" ca="1" si="211"/>
        <v>20067481483402.348</v>
      </c>
      <c r="H1496" s="47">
        <f t="shared" ca="1" si="212"/>
        <v>959935378933.94141</v>
      </c>
      <c r="I1496" s="47">
        <f t="shared" ca="1" si="213"/>
        <v>4820176885995.8037</v>
      </c>
      <c r="J1496" s="47">
        <f t="shared" ca="1" si="214"/>
        <v>745528353872.80859</v>
      </c>
      <c r="K1496" s="48">
        <f t="shared" ca="1" si="215"/>
        <v>6.4654507919871191</v>
      </c>
    </row>
    <row r="1497" spans="2:11" ht="15" customHeight="1" x14ac:dyDescent="0.35">
      <c r="B1497" s="5">
        <v>1476</v>
      </c>
      <c r="C1497" s="46">
        <f t="shared" ca="1" si="207"/>
        <v>3.062267007412812</v>
      </c>
      <c r="D1497" s="47">
        <f t="shared" ca="1" si="208"/>
        <v>6004693572.3697701</v>
      </c>
      <c r="E1497" s="47">
        <f t="shared" ca="1" si="209"/>
        <v>8990272964721.1348</v>
      </c>
      <c r="F1497" s="47">
        <f t="shared" ca="1" si="210"/>
        <v>4985232595238.1982</v>
      </c>
      <c r="G1497" s="47">
        <f t="shared" ca="1" si="211"/>
        <v>6441313843469.1133</v>
      </c>
      <c r="H1497" s="47">
        <f t="shared" ca="1" si="212"/>
        <v>4985232595238.1982</v>
      </c>
      <c r="I1497" s="47">
        <f t="shared" ca="1" si="213"/>
        <v>1729696494352.4216</v>
      </c>
      <c r="J1497" s="47">
        <f t="shared" ca="1" si="214"/>
        <v>2127284336329.675</v>
      </c>
      <c r="K1497" s="48">
        <f t="shared" ca="1" si="215"/>
        <v>0.81310075235958612</v>
      </c>
    </row>
    <row r="1498" spans="2:11" ht="15" customHeight="1" x14ac:dyDescent="0.35">
      <c r="B1498" s="5">
        <v>1477</v>
      </c>
      <c r="C1498" s="46">
        <f t="shared" ca="1" si="207"/>
        <v>3.0092806267884988</v>
      </c>
      <c r="D1498" s="47">
        <f t="shared" ca="1" si="208"/>
        <v>5016326915.049613</v>
      </c>
      <c r="E1498" s="47">
        <f t="shared" ca="1" si="209"/>
        <v>17973746764856.672</v>
      </c>
      <c r="F1498" s="47">
        <f t="shared" ca="1" si="210"/>
        <v>7132566015039.7783</v>
      </c>
      <c r="G1498" s="47">
        <f t="shared" ca="1" si="211"/>
        <v>46736362424696.383</v>
      </c>
      <c r="H1498" s="47">
        <f t="shared" ca="1" si="212"/>
        <v>17973746764856.672</v>
      </c>
      <c r="I1498" s="47">
        <f t="shared" ca="1" si="213"/>
        <v>3511886492796.3154</v>
      </c>
      <c r="J1498" s="47">
        <f t="shared" ca="1" si="214"/>
        <v>850488689700.14526</v>
      </c>
      <c r="K1498" s="48">
        <f t="shared" ca="1" si="215"/>
        <v>4.1292571380749257</v>
      </c>
    </row>
    <row r="1499" spans="2:11" ht="15" customHeight="1" x14ac:dyDescent="0.35">
      <c r="B1499" s="5">
        <v>1478</v>
      </c>
      <c r="C1499" s="46">
        <f t="shared" ca="1" si="207"/>
        <v>3.0429507951889101</v>
      </c>
      <c r="D1499" s="47">
        <f t="shared" ca="1" si="208"/>
        <v>5210444055.4788227</v>
      </c>
      <c r="E1499" s="47">
        <f t="shared" ca="1" si="209"/>
        <v>62700153007393.352</v>
      </c>
      <c r="F1499" s="47">
        <f t="shared" ca="1" si="210"/>
        <v>936502112408.60864</v>
      </c>
      <c r="G1499" s="47">
        <f t="shared" ca="1" si="211"/>
        <v>32115418682165.246</v>
      </c>
      <c r="H1499" s="47">
        <f t="shared" ca="1" si="212"/>
        <v>32115418682165.246</v>
      </c>
      <c r="I1499" s="47">
        <f t="shared" ca="1" si="213"/>
        <v>2355598300790.5186</v>
      </c>
      <c r="J1499" s="47">
        <f t="shared" ca="1" si="214"/>
        <v>1084634731890.7236</v>
      </c>
      <c r="K1499" s="48">
        <f t="shared" ca="1" si="215"/>
        <v>2.1717894803942568</v>
      </c>
    </row>
    <row r="1500" spans="2:11" ht="15" customHeight="1" x14ac:dyDescent="0.35">
      <c r="B1500" s="5">
        <v>1479</v>
      </c>
      <c r="C1500" s="46">
        <f t="shared" ca="1" si="207"/>
        <v>3.5988717012099651</v>
      </c>
      <c r="D1500" s="47">
        <f t="shared" ca="1" si="208"/>
        <v>13949103312.880495</v>
      </c>
      <c r="E1500" s="47">
        <f t="shared" ca="1" si="209"/>
        <v>75485984234645.641</v>
      </c>
      <c r="F1500" s="47">
        <f t="shared" ca="1" si="210"/>
        <v>2471886224227.6616</v>
      </c>
      <c r="G1500" s="47">
        <f t="shared" ca="1" si="211"/>
        <v>56954068609366.781</v>
      </c>
      <c r="H1500" s="47">
        <f t="shared" ca="1" si="212"/>
        <v>75485984234645.641</v>
      </c>
      <c r="I1500" s="47">
        <f t="shared" ca="1" si="213"/>
        <v>2546184539766.5762</v>
      </c>
      <c r="J1500" s="47">
        <f t="shared" ca="1" si="214"/>
        <v>901459332698.75427</v>
      </c>
      <c r="K1500" s="48">
        <f t="shared" ca="1" si="215"/>
        <v>2.8245140378589313</v>
      </c>
    </row>
    <row r="1501" spans="2:11" ht="15" customHeight="1" x14ac:dyDescent="0.35">
      <c r="B1501" s="5">
        <v>1480</v>
      </c>
      <c r="C1501" s="46">
        <f t="shared" ca="1" si="207"/>
        <v>2.8208841653800403</v>
      </c>
      <c r="D1501" s="47">
        <f t="shared" ca="1" si="208"/>
        <v>3280113978.9881377</v>
      </c>
      <c r="E1501" s="47">
        <f t="shared" ca="1" si="209"/>
        <v>7326332342551.3174</v>
      </c>
      <c r="F1501" s="47">
        <f t="shared" ca="1" si="210"/>
        <v>8133262845997.4316</v>
      </c>
      <c r="G1501" s="47">
        <f t="shared" ca="1" si="211"/>
        <v>3295125890003.6641</v>
      </c>
      <c r="H1501" s="47">
        <f t="shared" ca="1" si="212"/>
        <v>7326332342551.3174</v>
      </c>
      <c r="I1501" s="47">
        <f t="shared" ca="1" si="213"/>
        <v>16725157263711.227</v>
      </c>
      <c r="J1501" s="47">
        <f t="shared" ca="1" si="214"/>
        <v>1030691918127.5021</v>
      </c>
      <c r="K1501" s="48">
        <f t="shared" ca="1" si="215"/>
        <v>16.227115949542387</v>
      </c>
    </row>
    <row r="1502" spans="2:11" ht="15" customHeight="1" x14ac:dyDescent="0.35">
      <c r="B1502" s="5">
        <v>1481</v>
      </c>
      <c r="C1502" s="46">
        <f t="shared" ca="1" si="207"/>
        <v>3.1542329577624999</v>
      </c>
      <c r="D1502" s="47">
        <f t="shared" ca="1" si="208"/>
        <v>5151508472.7871456</v>
      </c>
      <c r="E1502" s="47">
        <f t="shared" ca="1" si="209"/>
        <v>32754935601874.949</v>
      </c>
      <c r="F1502" s="47">
        <f t="shared" ca="1" si="210"/>
        <v>397863258940.90515</v>
      </c>
      <c r="G1502" s="47">
        <f t="shared" ca="1" si="211"/>
        <v>18137506777638.281</v>
      </c>
      <c r="H1502" s="47">
        <f t="shared" ca="1" si="212"/>
        <v>397863258940.90515</v>
      </c>
      <c r="I1502" s="47">
        <f t="shared" ca="1" si="213"/>
        <v>35943865783685.281</v>
      </c>
      <c r="J1502" s="47">
        <f t="shared" ca="1" si="214"/>
        <v>636681812082.65283</v>
      </c>
      <c r="K1502" s="48">
        <f t="shared" ca="1" si="215"/>
        <v>56.454990705811326</v>
      </c>
    </row>
    <row r="1503" spans="2:11" ht="15" customHeight="1" x14ac:dyDescent="0.35">
      <c r="B1503" s="5">
        <v>1482</v>
      </c>
      <c r="C1503" s="46">
        <f t="shared" ca="1" si="207"/>
        <v>2.1294070298536294</v>
      </c>
      <c r="D1503" s="47">
        <f t="shared" ca="1" si="208"/>
        <v>868885787.53847849</v>
      </c>
      <c r="E1503" s="47">
        <f t="shared" ca="1" si="209"/>
        <v>1107401119741.0815</v>
      </c>
      <c r="F1503" s="47">
        <f t="shared" ca="1" si="210"/>
        <v>13339807582858.754</v>
      </c>
      <c r="G1503" s="47">
        <f t="shared" ca="1" si="211"/>
        <v>520839389909.92401</v>
      </c>
      <c r="H1503" s="47">
        <f t="shared" ca="1" si="212"/>
        <v>1107401119741.0815</v>
      </c>
      <c r="I1503" s="47">
        <f t="shared" ca="1" si="213"/>
        <v>3047273754020.1621</v>
      </c>
      <c r="J1503" s="47">
        <f t="shared" ca="1" si="214"/>
        <v>1462876990531.4568</v>
      </c>
      <c r="K1503" s="48">
        <f t="shared" ca="1" si="215"/>
        <v>2.0830690302354822</v>
      </c>
    </row>
    <row r="1504" spans="2:11" ht="15" customHeight="1" x14ac:dyDescent="0.35">
      <c r="B1504" s="5">
        <v>1483</v>
      </c>
      <c r="C1504" s="46">
        <f t="shared" ca="1" si="207"/>
        <v>3.546403585287444</v>
      </c>
      <c r="D1504" s="47">
        <f t="shared" ca="1" si="208"/>
        <v>11288881610.645227</v>
      </c>
      <c r="E1504" s="47">
        <f t="shared" ca="1" si="209"/>
        <v>91738471691220.625</v>
      </c>
      <c r="F1504" s="47">
        <f t="shared" ca="1" si="210"/>
        <v>1848270818588.0298</v>
      </c>
      <c r="G1504" s="47">
        <f t="shared" ca="1" si="211"/>
        <v>13261456761000.41</v>
      </c>
      <c r="H1504" s="47">
        <f t="shared" ca="1" si="212"/>
        <v>1848270818588.0298</v>
      </c>
      <c r="I1504" s="47">
        <f t="shared" ca="1" si="213"/>
        <v>31566400631440.406</v>
      </c>
      <c r="J1504" s="47">
        <f t="shared" ca="1" si="214"/>
        <v>1548115491591.6934</v>
      </c>
      <c r="K1504" s="48">
        <f t="shared" ca="1" si="215"/>
        <v>20.390210422211744</v>
      </c>
    </row>
    <row r="1505" spans="2:11" ht="15" customHeight="1" x14ac:dyDescent="0.35">
      <c r="B1505" s="5">
        <v>1484</v>
      </c>
      <c r="C1505" s="46">
        <f t="shared" ca="1" si="207"/>
        <v>2.6439056736850199</v>
      </c>
      <c r="D1505" s="47">
        <f t="shared" ca="1" si="208"/>
        <v>2953713951.0833292</v>
      </c>
      <c r="E1505" s="47">
        <f t="shared" ca="1" si="209"/>
        <v>14369245754330.82</v>
      </c>
      <c r="F1505" s="47">
        <f t="shared" ca="1" si="210"/>
        <v>17497192959705.029</v>
      </c>
      <c r="G1505" s="47">
        <f t="shared" ca="1" si="211"/>
        <v>5882790052691.4795</v>
      </c>
      <c r="H1505" s="47">
        <f t="shared" ca="1" si="212"/>
        <v>14369245754330.82</v>
      </c>
      <c r="I1505" s="47">
        <f t="shared" ca="1" si="213"/>
        <v>389161214929.0545</v>
      </c>
      <c r="J1505" s="47">
        <f t="shared" ca="1" si="214"/>
        <v>716349639513.3584</v>
      </c>
      <c r="K1505" s="48">
        <f t="shared" ca="1" si="215"/>
        <v>0.54325596533199272</v>
      </c>
    </row>
    <row r="1506" spans="2:11" ht="15" customHeight="1" x14ac:dyDescent="0.35">
      <c r="B1506" s="5">
        <v>1485</v>
      </c>
      <c r="C1506" s="46">
        <f t="shared" ca="1" si="207"/>
        <v>3.236715157317942</v>
      </c>
      <c r="D1506" s="47">
        <f t="shared" ca="1" si="208"/>
        <v>6311657609.0247669</v>
      </c>
      <c r="E1506" s="47">
        <f t="shared" ca="1" si="209"/>
        <v>6125834155856.5625</v>
      </c>
      <c r="F1506" s="47">
        <f t="shared" ca="1" si="210"/>
        <v>2496923936362.8374</v>
      </c>
      <c r="G1506" s="47">
        <f t="shared" ca="1" si="211"/>
        <v>6394550634071.0479</v>
      </c>
      <c r="H1506" s="47">
        <f t="shared" ca="1" si="212"/>
        <v>6394550634071.0479</v>
      </c>
      <c r="I1506" s="47">
        <f t="shared" ca="1" si="213"/>
        <v>12252330435117.473</v>
      </c>
      <c r="J1506" s="47">
        <f t="shared" ca="1" si="214"/>
        <v>2302599020206.5459</v>
      </c>
      <c r="K1506" s="48">
        <f t="shared" ca="1" si="215"/>
        <v>5.3210873137687793</v>
      </c>
    </row>
    <row r="1507" spans="2:11" ht="15" customHeight="1" x14ac:dyDescent="0.35">
      <c r="B1507" s="5">
        <v>1486</v>
      </c>
      <c r="C1507" s="46">
        <f t="shared" ca="1" si="207"/>
        <v>3.7828120036927486</v>
      </c>
      <c r="D1507" s="47">
        <f t="shared" ca="1" si="208"/>
        <v>17858739137.521996</v>
      </c>
      <c r="E1507" s="47">
        <f t="shared" ca="1" si="209"/>
        <v>96509798815098.672</v>
      </c>
      <c r="F1507" s="47">
        <f t="shared" ca="1" si="210"/>
        <v>4056622310113.5527</v>
      </c>
      <c r="G1507" s="47">
        <f t="shared" ca="1" si="211"/>
        <v>23144130592537.32</v>
      </c>
      <c r="H1507" s="47">
        <f t="shared" ca="1" si="212"/>
        <v>23144130592537.32</v>
      </c>
      <c r="I1507" s="47">
        <f t="shared" ca="1" si="213"/>
        <v>711458406722.12488</v>
      </c>
      <c r="J1507" s="47">
        <f t="shared" ca="1" si="214"/>
        <v>1060332006847.5621</v>
      </c>
      <c r="K1507" s="48">
        <f t="shared" ca="1" si="215"/>
        <v>0.67097701675283594</v>
      </c>
    </row>
    <row r="1508" spans="2:11" ht="15" customHeight="1" x14ac:dyDescent="0.35">
      <c r="B1508" s="5">
        <v>1487</v>
      </c>
      <c r="C1508" s="46">
        <f t="shared" ca="1" si="207"/>
        <v>2.9323055511091711</v>
      </c>
      <c r="D1508" s="47">
        <f t="shared" ca="1" si="208"/>
        <v>4251137111.2417798</v>
      </c>
      <c r="E1508" s="47">
        <f t="shared" ca="1" si="209"/>
        <v>24402003283075.734</v>
      </c>
      <c r="F1508" s="47">
        <f t="shared" ca="1" si="210"/>
        <v>1841479004019.5122</v>
      </c>
      <c r="G1508" s="47">
        <f t="shared" ca="1" si="211"/>
        <v>770676700508.09167</v>
      </c>
      <c r="H1508" s="47">
        <f t="shared" ca="1" si="212"/>
        <v>770676700508.09167</v>
      </c>
      <c r="I1508" s="47">
        <f t="shared" ca="1" si="213"/>
        <v>10352991048440.59</v>
      </c>
      <c r="J1508" s="47">
        <f t="shared" ca="1" si="214"/>
        <v>1432231667846.3499</v>
      </c>
      <c r="K1508" s="48">
        <f t="shared" ca="1" si="215"/>
        <v>7.2285729193576671</v>
      </c>
    </row>
    <row r="1509" spans="2:11" ht="15" customHeight="1" x14ac:dyDescent="0.35">
      <c r="B1509" s="5">
        <v>1488</v>
      </c>
      <c r="C1509" s="46">
        <f t="shared" ca="1" si="207"/>
        <v>3.0129902440739658</v>
      </c>
      <c r="D1509" s="47">
        <f t="shared" ca="1" si="208"/>
        <v>4055781159.0782466</v>
      </c>
      <c r="E1509" s="47">
        <f t="shared" ca="1" si="209"/>
        <v>30130444941900.57</v>
      </c>
      <c r="F1509" s="47">
        <f t="shared" ca="1" si="210"/>
        <v>3025172382842.981</v>
      </c>
      <c r="G1509" s="47">
        <f t="shared" ca="1" si="211"/>
        <v>2158033122814.4788</v>
      </c>
      <c r="H1509" s="47">
        <f t="shared" ca="1" si="212"/>
        <v>2158033122814.4788</v>
      </c>
      <c r="I1509" s="47">
        <f t="shared" ca="1" si="213"/>
        <v>17731909513246.195</v>
      </c>
      <c r="J1509" s="47">
        <f t="shared" ca="1" si="214"/>
        <v>1435133088487.7083</v>
      </c>
      <c r="K1509" s="48">
        <f t="shared" ca="1" si="215"/>
        <v>12.355585454399526</v>
      </c>
    </row>
    <row r="1510" spans="2:11" ht="15" customHeight="1" x14ac:dyDescent="0.35">
      <c r="B1510" s="5">
        <v>1489</v>
      </c>
      <c r="C1510" s="46">
        <f t="shared" ca="1" si="207"/>
        <v>3.378658975389488</v>
      </c>
      <c r="D1510" s="47">
        <f t="shared" ca="1" si="208"/>
        <v>9661084117.0091419</v>
      </c>
      <c r="E1510" s="47">
        <f t="shared" ca="1" si="209"/>
        <v>38784264910358.609</v>
      </c>
      <c r="F1510" s="47">
        <f t="shared" ca="1" si="210"/>
        <v>3281875167129.9619</v>
      </c>
      <c r="G1510" s="47">
        <f t="shared" ca="1" si="211"/>
        <v>1393372947607.8623</v>
      </c>
      <c r="H1510" s="47">
        <f t="shared" ca="1" si="212"/>
        <v>3281875167129.9619</v>
      </c>
      <c r="I1510" s="47">
        <f t="shared" ca="1" si="213"/>
        <v>4917621709491.2822</v>
      </c>
      <c r="J1510" s="47">
        <f t="shared" ca="1" si="214"/>
        <v>1085262273715.4008</v>
      </c>
      <c r="K1510" s="48">
        <f t="shared" ca="1" si="215"/>
        <v>4.5312749080052139</v>
      </c>
    </row>
    <row r="1511" spans="2:11" ht="15" customHeight="1" x14ac:dyDescent="0.35">
      <c r="B1511" s="5">
        <v>1490</v>
      </c>
      <c r="C1511" s="46">
        <f t="shared" ca="1" si="207"/>
        <v>2.7639897454764544</v>
      </c>
      <c r="D1511" s="47">
        <f t="shared" ca="1" si="208"/>
        <v>3574390462.6922889</v>
      </c>
      <c r="E1511" s="47">
        <f t="shared" ca="1" si="209"/>
        <v>9201175146418.7305</v>
      </c>
      <c r="F1511" s="47">
        <f t="shared" ca="1" si="210"/>
        <v>9717548407636.7559</v>
      </c>
      <c r="G1511" s="47">
        <f t="shared" ca="1" si="211"/>
        <v>3647789916792.8389</v>
      </c>
      <c r="H1511" s="47">
        <f t="shared" ca="1" si="212"/>
        <v>9201175146418.7305</v>
      </c>
      <c r="I1511" s="47">
        <f t="shared" ca="1" si="213"/>
        <v>18612516882829.219</v>
      </c>
      <c r="J1511" s="47">
        <f t="shared" ca="1" si="214"/>
        <v>1949277540150.1226</v>
      </c>
      <c r="K1511" s="48">
        <f t="shared" ca="1" si="215"/>
        <v>9.5484180674424568</v>
      </c>
    </row>
    <row r="1512" spans="2:11" ht="15" customHeight="1" x14ac:dyDescent="0.35">
      <c r="B1512" s="5">
        <v>1491</v>
      </c>
      <c r="C1512" s="46">
        <f t="shared" ca="1" si="207"/>
        <v>3.0860136519530958</v>
      </c>
      <c r="D1512" s="47">
        <f t="shared" ca="1" si="208"/>
        <v>4830152793.4962606</v>
      </c>
      <c r="E1512" s="47">
        <f t="shared" ca="1" si="209"/>
        <v>38847037033614.43</v>
      </c>
      <c r="F1512" s="47">
        <f t="shared" ca="1" si="210"/>
        <v>4462882545778.8799</v>
      </c>
      <c r="G1512" s="47">
        <f t="shared" ca="1" si="211"/>
        <v>10188622353719.781</v>
      </c>
      <c r="H1512" s="47">
        <f t="shared" ca="1" si="212"/>
        <v>4462882545778.8799</v>
      </c>
      <c r="I1512" s="47">
        <f t="shared" ca="1" si="213"/>
        <v>952497465374.86694</v>
      </c>
      <c r="J1512" s="47">
        <f t="shared" ca="1" si="214"/>
        <v>1584144393429.6621</v>
      </c>
      <c r="K1512" s="48">
        <f t="shared" ca="1" si="215"/>
        <v>0.60126934724221459</v>
      </c>
    </row>
    <row r="1513" spans="2:11" ht="15" customHeight="1" x14ac:dyDescent="0.35">
      <c r="B1513" s="5">
        <v>1492</v>
      </c>
      <c r="C1513" s="46">
        <f t="shared" ca="1" si="207"/>
        <v>2.856714425722457</v>
      </c>
      <c r="D1513" s="47">
        <f t="shared" ca="1" si="208"/>
        <v>3313311093.4669294</v>
      </c>
      <c r="E1513" s="47">
        <f t="shared" ca="1" si="209"/>
        <v>6090829660456.1133</v>
      </c>
      <c r="F1513" s="47">
        <f t="shared" ca="1" si="210"/>
        <v>4489596615274.9502</v>
      </c>
      <c r="G1513" s="47">
        <f t="shared" ca="1" si="211"/>
        <v>3086279461293.2617</v>
      </c>
      <c r="H1513" s="47">
        <f t="shared" ca="1" si="212"/>
        <v>4489596615274.9502</v>
      </c>
      <c r="I1513" s="47">
        <f t="shared" ca="1" si="213"/>
        <v>14478673356979.156</v>
      </c>
      <c r="J1513" s="47">
        <f t="shared" ca="1" si="214"/>
        <v>1363954783092.2805</v>
      </c>
      <c r="K1513" s="48">
        <f t="shared" ca="1" si="215"/>
        <v>10.615215061714828</v>
      </c>
    </row>
    <row r="1514" spans="2:11" ht="15" customHeight="1" x14ac:dyDescent="0.35">
      <c r="B1514" s="5">
        <v>1493</v>
      </c>
      <c r="C1514" s="46">
        <f t="shared" ca="1" si="207"/>
        <v>2.6488928711268058</v>
      </c>
      <c r="D1514" s="47">
        <f t="shared" ca="1" si="208"/>
        <v>2305341923.6687694</v>
      </c>
      <c r="E1514" s="47">
        <f t="shared" ca="1" si="209"/>
        <v>7360708680238.3086</v>
      </c>
      <c r="F1514" s="47">
        <f t="shared" ca="1" si="210"/>
        <v>2556140127963.1211</v>
      </c>
      <c r="G1514" s="47">
        <f t="shared" ca="1" si="211"/>
        <v>10788524536279.393</v>
      </c>
      <c r="H1514" s="47">
        <f t="shared" ca="1" si="212"/>
        <v>7360708680238.3086</v>
      </c>
      <c r="I1514" s="47">
        <f t="shared" ca="1" si="213"/>
        <v>2766563864180.6929</v>
      </c>
      <c r="J1514" s="47">
        <f t="shared" ca="1" si="214"/>
        <v>746978472979.69641</v>
      </c>
      <c r="K1514" s="48">
        <f t="shared" ca="1" si="215"/>
        <v>3.703672815556347</v>
      </c>
    </row>
    <row r="1515" spans="2:11" ht="15" customHeight="1" x14ac:dyDescent="0.35">
      <c r="B1515" s="5">
        <v>1494</v>
      </c>
      <c r="C1515" s="46">
        <f t="shared" ca="1" si="207"/>
        <v>2.5404832906022903</v>
      </c>
      <c r="D1515" s="47">
        <f t="shared" ca="1" si="208"/>
        <v>2444193047.0756106</v>
      </c>
      <c r="E1515" s="47">
        <f t="shared" ca="1" si="209"/>
        <v>6431702581706.2988</v>
      </c>
      <c r="F1515" s="47">
        <f t="shared" ca="1" si="210"/>
        <v>5433944529138.7422</v>
      </c>
      <c r="G1515" s="47">
        <f t="shared" ca="1" si="211"/>
        <v>2928914543165.7036</v>
      </c>
      <c r="H1515" s="47">
        <f t="shared" ca="1" si="212"/>
        <v>2928914543165.7036</v>
      </c>
      <c r="I1515" s="47">
        <f t="shared" ca="1" si="213"/>
        <v>495276043320.73596</v>
      </c>
      <c r="J1515" s="47">
        <f t="shared" ca="1" si="214"/>
        <v>1015576475523.8752</v>
      </c>
      <c r="K1515" s="48">
        <f t="shared" ca="1" si="215"/>
        <v>0.4876797122198529</v>
      </c>
    </row>
    <row r="1516" spans="2:11" ht="15" customHeight="1" x14ac:dyDescent="0.35">
      <c r="B1516" s="5">
        <v>1495</v>
      </c>
      <c r="C1516" s="46">
        <f t="shared" ca="1" si="207"/>
        <v>3.3697198545199862</v>
      </c>
      <c r="D1516" s="47">
        <f t="shared" ca="1" si="208"/>
        <v>9684458961.4819794</v>
      </c>
      <c r="E1516" s="47">
        <f t="shared" ca="1" si="209"/>
        <v>16058575471514.814</v>
      </c>
      <c r="F1516" s="47">
        <f t="shared" ca="1" si="210"/>
        <v>246613502353.30203</v>
      </c>
      <c r="G1516" s="47">
        <f t="shared" ca="1" si="211"/>
        <v>8560483938250.6113</v>
      </c>
      <c r="H1516" s="47">
        <f t="shared" ca="1" si="212"/>
        <v>8560483938250.6113</v>
      </c>
      <c r="I1516" s="47">
        <f t="shared" ca="1" si="213"/>
        <v>11244794070894.82</v>
      </c>
      <c r="J1516" s="47">
        <f t="shared" ca="1" si="214"/>
        <v>1021977736115.4978</v>
      </c>
      <c r="K1516" s="48">
        <f t="shared" ca="1" si="215"/>
        <v>11.002973620184619</v>
      </c>
    </row>
    <row r="1517" spans="2:11" ht="15" customHeight="1" x14ac:dyDescent="0.35">
      <c r="B1517" s="5">
        <v>1496</v>
      </c>
      <c r="C1517" s="46">
        <f t="shared" ca="1" si="207"/>
        <v>1.856651512819971</v>
      </c>
      <c r="D1517" s="47">
        <f t="shared" ca="1" si="208"/>
        <v>468448355.11577904</v>
      </c>
      <c r="E1517" s="47">
        <f t="shared" ca="1" si="209"/>
        <v>1534303411213.5088</v>
      </c>
      <c r="F1517" s="47">
        <f t="shared" ca="1" si="210"/>
        <v>8750758016460.1465</v>
      </c>
      <c r="G1517" s="47">
        <f t="shared" ca="1" si="211"/>
        <v>14501976142691.66</v>
      </c>
      <c r="H1517" s="47">
        <f t="shared" ca="1" si="212"/>
        <v>8750758016460.1465</v>
      </c>
      <c r="I1517" s="47">
        <f t="shared" ca="1" si="213"/>
        <v>6842020394687.8516</v>
      </c>
      <c r="J1517" s="47">
        <f t="shared" ca="1" si="214"/>
        <v>766887318723.4978</v>
      </c>
      <c r="K1517" s="48">
        <f t="shared" ca="1" si="215"/>
        <v>8.9218066691682392</v>
      </c>
    </row>
    <row r="1518" spans="2:11" ht="15" customHeight="1" x14ac:dyDescent="0.35">
      <c r="B1518" s="5">
        <v>1497</v>
      </c>
      <c r="C1518" s="46">
        <f t="shared" ca="1" si="207"/>
        <v>3.2569235924977815</v>
      </c>
      <c r="D1518" s="47">
        <f t="shared" ca="1" si="208"/>
        <v>8250177506.2867918</v>
      </c>
      <c r="E1518" s="47">
        <f t="shared" ca="1" si="209"/>
        <v>44230000948367.469</v>
      </c>
      <c r="F1518" s="47">
        <f t="shared" ca="1" si="210"/>
        <v>4037402631278.8066</v>
      </c>
      <c r="G1518" s="47">
        <f t="shared" ca="1" si="211"/>
        <v>1932140613323.5396</v>
      </c>
      <c r="H1518" s="47">
        <f t="shared" ca="1" si="212"/>
        <v>44230000948367.469</v>
      </c>
      <c r="I1518" s="47">
        <f t="shared" ca="1" si="213"/>
        <v>239737813509202.97</v>
      </c>
      <c r="J1518" s="47">
        <f t="shared" ca="1" si="214"/>
        <v>1172500599890.4348</v>
      </c>
      <c r="K1518" s="48">
        <f t="shared" ca="1" si="215"/>
        <v>204.46711373248377</v>
      </c>
    </row>
    <row r="1519" spans="2:11" ht="15" customHeight="1" x14ac:dyDescent="0.35">
      <c r="B1519" s="5">
        <v>1498</v>
      </c>
      <c r="C1519" s="46">
        <f t="shared" ca="1" si="207"/>
        <v>1.8</v>
      </c>
      <c r="D1519" s="47">
        <f t="shared" ca="1" si="208"/>
        <v>368706474.08410037</v>
      </c>
      <c r="E1519" s="47">
        <f t="shared" ca="1" si="209"/>
        <v>809695598384.48315</v>
      </c>
      <c r="F1519" s="47">
        <f t="shared" ca="1" si="210"/>
        <v>6297390499247</v>
      </c>
      <c r="G1519" s="47">
        <f t="shared" ca="1" si="211"/>
        <v>1614152332564.4636</v>
      </c>
      <c r="H1519" s="47">
        <f t="shared" ca="1" si="212"/>
        <v>1614152332564.4636</v>
      </c>
      <c r="I1519" s="47">
        <f t="shared" ca="1" si="213"/>
        <v>34555884644233.008</v>
      </c>
      <c r="J1519" s="47">
        <f t="shared" ca="1" si="214"/>
        <v>555160913553.36584</v>
      </c>
      <c r="K1519" s="48">
        <f t="shared" ca="1" si="215"/>
        <v>62.244808308017276</v>
      </c>
    </row>
    <row r="1520" spans="2:11" ht="15" customHeight="1" x14ac:dyDescent="0.35">
      <c r="B1520" s="5">
        <v>1499</v>
      </c>
      <c r="C1520" s="46">
        <f t="shared" ca="1" si="207"/>
        <v>2.9433215910092243</v>
      </c>
      <c r="D1520" s="47">
        <f t="shared" ca="1" si="208"/>
        <v>3771865562.1146126</v>
      </c>
      <c r="E1520" s="47">
        <f t="shared" ca="1" si="209"/>
        <v>4830941795468.9453</v>
      </c>
      <c r="F1520" s="47">
        <f t="shared" ca="1" si="210"/>
        <v>25926198689877.305</v>
      </c>
      <c r="G1520" s="47">
        <f t="shared" ca="1" si="211"/>
        <v>6137781670158.3369</v>
      </c>
      <c r="H1520" s="47">
        <f t="shared" ca="1" si="212"/>
        <v>4830941795468.9453</v>
      </c>
      <c r="I1520" s="47">
        <f t="shared" ca="1" si="213"/>
        <v>83499309153950.281</v>
      </c>
      <c r="J1520" s="47">
        <f t="shared" ca="1" si="214"/>
        <v>2164401099796.6326</v>
      </c>
      <c r="K1520" s="48">
        <f t="shared" ca="1" si="215"/>
        <v>38.578482131521689</v>
      </c>
    </row>
    <row r="1521" spans="2:11" ht="15" customHeight="1" x14ac:dyDescent="0.35">
      <c r="B1521" s="5">
        <v>1500</v>
      </c>
      <c r="C1521" s="46">
        <f t="shared" ca="1" si="207"/>
        <v>3.0578500789034342</v>
      </c>
      <c r="D1521" s="47">
        <f t="shared" ca="1" si="208"/>
        <v>5328003470.7988977</v>
      </c>
      <c r="E1521" s="47">
        <f t="shared" ca="1" si="209"/>
        <v>22722792615412.949</v>
      </c>
      <c r="F1521" s="47">
        <f t="shared" ca="1" si="210"/>
        <v>5016717292300.5303</v>
      </c>
      <c r="G1521" s="47">
        <f t="shared" ca="1" si="211"/>
        <v>3821421355338.6592</v>
      </c>
      <c r="H1521" s="47">
        <f t="shared" ca="1" si="212"/>
        <v>3821421355338.6592</v>
      </c>
      <c r="I1521" s="47">
        <f t="shared" ca="1" si="213"/>
        <v>8548666259649.5889</v>
      </c>
      <c r="J1521" s="47">
        <f t="shared" ca="1" si="214"/>
        <v>1585264895758.6038</v>
      </c>
      <c r="K1521" s="48">
        <f t="shared" ca="1" si="215"/>
        <v>5.3925790462664338</v>
      </c>
    </row>
    <row r="1522" spans="2:11" ht="15" customHeight="1" x14ac:dyDescent="0.35">
      <c r="B1522" s="5">
        <v>1501</v>
      </c>
      <c r="C1522" s="46">
        <f t="shared" ca="1" si="207"/>
        <v>2.5236074897058134</v>
      </c>
      <c r="D1522" s="47">
        <f t="shared" ca="1" si="208"/>
        <v>2105423673.0831943</v>
      </c>
      <c r="E1522" s="47">
        <f t="shared" ca="1" si="209"/>
        <v>12585418769352.963</v>
      </c>
      <c r="F1522" s="47">
        <f t="shared" ca="1" si="210"/>
        <v>7897643977096.1758</v>
      </c>
      <c r="G1522" s="47">
        <f t="shared" ca="1" si="211"/>
        <v>2073219050812.7725</v>
      </c>
      <c r="H1522" s="47">
        <f t="shared" ca="1" si="212"/>
        <v>7897643977096.1758</v>
      </c>
      <c r="I1522" s="47">
        <f t="shared" ca="1" si="213"/>
        <v>9103524219828.625</v>
      </c>
      <c r="J1522" s="47">
        <f t="shared" ca="1" si="214"/>
        <v>817363568494.35889</v>
      </c>
      <c r="K1522" s="48">
        <f t="shared" ca="1" si="215"/>
        <v>11.137668194091347</v>
      </c>
    </row>
    <row r="1523" spans="2:11" ht="15" customHeight="1" x14ac:dyDescent="0.35">
      <c r="B1523" s="5">
        <v>1502</v>
      </c>
      <c r="C1523" s="46">
        <f t="shared" ca="1" si="207"/>
        <v>2.7069423894953792</v>
      </c>
      <c r="D1523" s="47">
        <f t="shared" ca="1" si="208"/>
        <v>3383371628.0212951</v>
      </c>
      <c r="E1523" s="47">
        <f t="shared" ca="1" si="209"/>
        <v>12155526632024.316</v>
      </c>
      <c r="F1523" s="47">
        <f t="shared" ca="1" si="210"/>
        <v>893245601068.16187</v>
      </c>
      <c r="G1523" s="47">
        <f t="shared" ca="1" si="211"/>
        <v>997711702672.70569</v>
      </c>
      <c r="H1523" s="47">
        <f t="shared" ca="1" si="212"/>
        <v>997711702672.70569</v>
      </c>
      <c r="I1523" s="47">
        <f t="shared" ca="1" si="213"/>
        <v>59336723638178.57</v>
      </c>
      <c r="J1523" s="47">
        <f t="shared" ca="1" si="214"/>
        <v>1107971077640.8376</v>
      </c>
      <c r="K1523" s="48">
        <f t="shared" ca="1" si="215"/>
        <v>53.55439761525372</v>
      </c>
    </row>
    <row r="1524" spans="2:11" ht="15" customHeight="1" x14ac:dyDescent="0.35">
      <c r="B1524" s="5">
        <v>1503</v>
      </c>
      <c r="C1524" s="46">
        <f t="shared" ca="1" si="207"/>
        <v>2.4607976727758256</v>
      </c>
      <c r="D1524" s="47">
        <f t="shared" ca="1" si="208"/>
        <v>2047412701.7310126</v>
      </c>
      <c r="E1524" s="47">
        <f t="shared" ca="1" si="209"/>
        <v>2673960119762.7505</v>
      </c>
      <c r="F1524" s="47">
        <f t="shared" ca="1" si="210"/>
        <v>3221679473049.1665</v>
      </c>
      <c r="G1524" s="47">
        <f t="shared" ca="1" si="211"/>
        <v>1205820344811.4487</v>
      </c>
      <c r="H1524" s="47">
        <f t="shared" ca="1" si="212"/>
        <v>1205820344811.4487</v>
      </c>
      <c r="I1524" s="47">
        <f t="shared" ca="1" si="213"/>
        <v>2987476839682.5259</v>
      </c>
      <c r="J1524" s="47">
        <f t="shared" ca="1" si="214"/>
        <v>1379976964276.8042</v>
      </c>
      <c r="K1524" s="48">
        <f t="shared" ca="1" si="215"/>
        <v>2.1648744269062159</v>
      </c>
    </row>
    <row r="1525" spans="2:11" ht="15" customHeight="1" x14ac:dyDescent="0.35">
      <c r="B1525" s="5">
        <v>1504</v>
      </c>
      <c r="C1525" s="46">
        <f t="shared" ca="1" si="207"/>
        <v>3.1072589632888237</v>
      </c>
      <c r="D1525" s="47">
        <f t="shared" ca="1" si="208"/>
        <v>5598634842.6345615</v>
      </c>
      <c r="E1525" s="47">
        <f t="shared" ca="1" si="209"/>
        <v>12569374337110.672</v>
      </c>
      <c r="F1525" s="47">
        <f t="shared" ca="1" si="210"/>
        <v>1797796804935.3152</v>
      </c>
      <c r="G1525" s="47">
        <f t="shared" ca="1" si="211"/>
        <v>303909769045.86029</v>
      </c>
      <c r="H1525" s="47">
        <f t="shared" ca="1" si="212"/>
        <v>12569374337110.672</v>
      </c>
      <c r="I1525" s="47">
        <f t="shared" ca="1" si="213"/>
        <v>14117361743293.783</v>
      </c>
      <c r="J1525" s="47">
        <f t="shared" ca="1" si="214"/>
        <v>761494849927.63977</v>
      </c>
      <c r="K1525" s="48">
        <f t="shared" ca="1" si="215"/>
        <v>18.539011451798093</v>
      </c>
    </row>
    <row r="1526" spans="2:11" ht="15" customHeight="1" x14ac:dyDescent="0.35">
      <c r="B1526" s="5">
        <v>1505</v>
      </c>
      <c r="C1526" s="46">
        <f t="shared" ca="1" si="207"/>
        <v>3.4956962718838391</v>
      </c>
      <c r="D1526" s="47">
        <f t="shared" ca="1" si="208"/>
        <v>10551490435.833439</v>
      </c>
      <c r="E1526" s="47">
        <f t="shared" ca="1" si="209"/>
        <v>20094580463908.855</v>
      </c>
      <c r="F1526" s="47">
        <f t="shared" ca="1" si="210"/>
        <v>488568709631.18036</v>
      </c>
      <c r="G1526" s="47">
        <f t="shared" ca="1" si="211"/>
        <v>978584515020.63928</v>
      </c>
      <c r="H1526" s="47">
        <f t="shared" ca="1" si="212"/>
        <v>978584515020.63928</v>
      </c>
      <c r="I1526" s="47">
        <f t="shared" ca="1" si="213"/>
        <v>3855648692217.4204</v>
      </c>
      <c r="J1526" s="47">
        <f t="shared" ca="1" si="214"/>
        <v>1827581270922.7488</v>
      </c>
      <c r="K1526" s="48">
        <f t="shared" ca="1" si="215"/>
        <v>2.1097002653516452</v>
      </c>
    </row>
    <row r="1527" spans="2:11" ht="15" customHeight="1" x14ac:dyDescent="0.35">
      <c r="B1527" s="5">
        <v>1506</v>
      </c>
      <c r="C1527" s="46">
        <f t="shared" ca="1" si="207"/>
        <v>2.8952783799360162</v>
      </c>
      <c r="D1527" s="47">
        <f t="shared" ca="1" si="208"/>
        <v>4380210565.330307</v>
      </c>
      <c r="E1527" s="47">
        <f t="shared" ca="1" si="209"/>
        <v>11675101156177.545</v>
      </c>
      <c r="F1527" s="47">
        <f t="shared" ca="1" si="210"/>
        <v>1403541522674.376</v>
      </c>
      <c r="G1527" s="47">
        <f t="shared" ca="1" si="211"/>
        <v>5364950009456.5244</v>
      </c>
      <c r="H1527" s="47">
        <f t="shared" ca="1" si="212"/>
        <v>1403541522674.376</v>
      </c>
      <c r="I1527" s="47">
        <f t="shared" ca="1" si="213"/>
        <v>9916737226571.6914</v>
      </c>
      <c r="J1527" s="47">
        <f t="shared" ca="1" si="214"/>
        <v>598277857895.30994</v>
      </c>
      <c r="K1527" s="48">
        <f t="shared" ca="1" si="215"/>
        <v>16.575470904870055</v>
      </c>
    </row>
    <row r="1528" spans="2:11" ht="15" customHeight="1" x14ac:dyDescent="0.35">
      <c r="B1528" s="5">
        <v>1507</v>
      </c>
      <c r="C1528" s="46">
        <f t="shared" ca="1" si="207"/>
        <v>3.0812610103809721</v>
      </c>
      <c r="D1528" s="47">
        <f t="shared" ca="1" si="208"/>
        <v>5213939824.2773542</v>
      </c>
      <c r="E1528" s="47">
        <f t="shared" ca="1" si="209"/>
        <v>18294598189238.691</v>
      </c>
      <c r="F1528" s="47">
        <f t="shared" ca="1" si="210"/>
        <v>8076793605205.1006</v>
      </c>
      <c r="G1528" s="47">
        <f t="shared" ca="1" si="211"/>
        <v>16353174678598.842</v>
      </c>
      <c r="H1528" s="47">
        <f t="shared" ca="1" si="212"/>
        <v>18294598189238.691</v>
      </c>
      <c r="I1528" s="47">
        <f t="shared" ca="1" si="213"/>
        <v>388065019647.297</v>
      </c>
      <c r="J1528" s="47">
        <f t="shared" ca="1" si="214"/>
        <v>701026309720.9082</v>
      </c>
      <c r="K1528" s="48">
        <f t="shared" ca="1" si="215"/>
        <v>0.55356698352989486</v>
      </c>
    </row>
    <row r="1529" spans="2:11" ht="15" customHeight="1" x14ac:dyDescent="0.35">
      <c r="B1529" s="5">
        <v>1508</v>
      </c>
      <c r="C1529" s="46">
        <f t="shared" ca="1" si="207"/>
        <v>3.0551072486592865</v>
      </c>
      <c r="D1529" s="47">
        <f t="shared" ca="1" si="208"/>
        <v>6366286832.7435331</v>
      </c>
      <c r="E1529" s="47">
        <f t="shared" ca="1" si="209"/>
        <v>8472836896862.5801</v>
      </c>
      <c r="F1529" s="47">
        <f t="shared" ca="1" si="210"/>
        <v>11165109606282.859</v>
      </c>
      <c r="G1529" s="47">
        <f t="shared" ca="1" si="211"/>
        <v>21973361114108.969</v>
      </c>
      <c r="H1529" s="47">
        <f t="shared" ca="1" si="212"/>
        <v>21973361114108.969</v>
      </c>
      <c r="I1529" s="47">
        <f t="shared" ca="1" si="213"/>
        <v>2934787389560.4678</v>
      </c>
      <c r="J1529" s="47">
        <f t="shared" ca="1" si="214"/>
        <v>2362623510120.4189</v>
      </c>
      <c r="K1529" s="48">
        <f t="shared" ca="1" si="215"/>
        <v>1.2421731084064624</v>
      </c>
    </row>
    <row r="1530" spans="2:11" ht="15" customHeight="1" x14ac:dyDescent="0.35">
      <c r="B1530" s="5">
        <v>1509</v>
      </c>
      <c r="C1530" s="46">
        <f t="shared" ca="1" si="207"/>
        <v>3.3382552585338372</v>
      </c>
      <c r="D1530" s="47">
        <f t="shared" ca="1" si="208"/>
        <v>7147548975.5877104</v>
      </c>
      <c r="E1530" s="47">
        <f t="shared" ca="1" si="209"/>
        <v>21763735379145.324</v>
      </c>
      <c r="F1530" s="47">
        <f t="shared" ca="1" si="210"/>
        <v>21697887056295.238</v>
      </c>
      <c r="G1530" s="47">
        <f t="shared" ca="1" si="211"/>
        <v>7686846826489.1221</v>
      </c>
      <c r="H1530" s="47">
        <f t="shared" ca="1" si="212"/>
        <v>21697887056295.238</v>
      </c>
      <c r="I1530" s="47">
        <f t="shared" ca="1" si="213"/>
        <v>18021386225933.793</v>
      </c>
      <c r="J1530" s="47">
        <f t="shared" ca="1" si="214"/>
        <v>1793331518520.5496</v>
      </c>
      <c r="K1530" s="48">
        <f t="shared" ca="1" si="215"/>
        <v>10.049110295457782</v>
      </c>
    </row>
    <row r="1531" spans="2:11" ht="15" customHeight="1" x14ac:dyDescent="0.35">
      <c r="B1531" s="5">
        <v>1510</v>
      </c>
      <c r="C1531" s="46">
        <f t="shared" ca="1" si="207"/>
        <v>2.4404989676247557</v>
      </c>
      <c r="D1531" s="47">
        <f t="shared" ca="1" si="208"/>
        <v>1891970502.5781565</v>
      </c>
      <c r="E1531" s="47">
        <f t="shared" ca="1" si="209"/>
        <v>12247819765774.947</v>
      </c>
      <c r="F1531" s="47">
        <f t="shared" ca="1" si="210"/>
        <v>8334895688386.1055</v>
      </c>
      <c r="G1531" s="47">
        <f t="shared" ca="1" si="211"/>
        <v>38935705814918.594</v>
      </c>
      <c r="H1531" s="47">
        <f t="shared" ca="1" si="212"/>
        <v>12247819765774.947</v>
      </c>
      <c r="I1531" s="47">
        <f t="shared" ca="1" si="213"/>
        <v>105970686887939.34</v>
      </c>
      <c r="J1531" s="47">
        <f t="shared" ca="1" si="214"/>
        <v>1354104540785.2007</v>
      </c>
      <c r="K1531" s="48">
        <f t="shared" ca="1" si="215"/>
        <v>78.258866798046796</v>
      </c>
    </row>
    <row r="1532" spans="2:11" ht="15" customHeight="1" x14ac:dyDescent="0.35">
      <c r="B1532" s="5">
        <v>1511</v>
      </c>
      <c r="C1532" s="46">
        <f t="shared" ca="1" si="207"/>
        <v>3.104536821197311</v>
      </c>
      <c r="D1532" s="47">
        <f t="shared" ca="1" si="208"/>
        <v>5152189239.7288351</v>
      </c>
      <c r="E1532" s="47">
        <f t="shared" ca="1" si="209"/>
        <v>11806110864349.768</v>
      </c>
      <c r="F1532" s="47">
        <f t="shared" ca="1" si="210"/>
        <v>2762557372414.7793</v>
      </c>
      <c r="G1532" s="47">
        <f t="shared" ca="1" si="211"/>
        <v>916961458886.04138</v>
      </c>
      <c r="H1532" s="47">
        <f t="shared" ca="1" si="212"/>
        <v>916961458886.04138</v>
      </c>
      <c r="I1532" s="47">
        <f t="shared" ca="1" si="213"/>
        <v>7195456210412.3252</v>
      </c>
      <c r="J1532" s="47">
        <f t="shared" ca="1" si="214"/>
        <v>900055361298.55615</v>
      </c>
      <c r="K1532" s="48">
        <f t="shared" ca="1" si="215"/>
        <v>7.994459585276033</v>
      </c>
    </row>
    <row r="1533" spans="2:11" ht="15" customHeight="1" x14ac:dyDescent="0.35">
      <c r="B1533" s="5">
        <v>1512</v>
      </c>
      <c r="C1533" s="46">
        <f t="shared" ca="1" si="207"/>
        <v>2.6877579964819316</v>
      </c>
      <c r="D1533" s="47">
        <f t="shared" ca="1" si="208"/>
        <v>3206006669.7701106</v>
      </c>
      <c r="E1533" s="47">
        <f t="shared" ca="1" si="209"/>
        <v>11869240545717.805</v>
      </c>
      <c r="F1533" s="47">
        <f t="shared" ca="1" si="210"/>
        <v>2011923997102.3552</v>
      </c>
      <c r="G1533" s="47">
        <f t="shared" ca="1" si="211"/>
        <v>19677871588076.719</v>
      </c>
      <c r="H1533" s="47">
        <f t="shared" ca="1" si="212"/>
        <v>19677871588076.719</v>
      </c>
      <c r="I1533" s="47">
        <f t="shared" ca="1" si="213"/>
        <v>9186824561322.7559</v>
      </c>
      <c r="J1533" s="47">
        <f t="shared" ca="1" si="214"/>
        <v>1590211512116.1489</v>
      </c>
      <c r="K1533" s="48">
        <f t="shared" ca="1" si="215"/>
        <v>5.777108574127686</v>
      </c>
    </row>
    <row r="1534" spans="2:11" ht="15" customHeight="1" x14ac:dyDescent="0.35">
      <c r="B1534" s="5">
        <v>1513</v>
      </c>
      <c r="C1534" s="46">
        <f t="shared" ca="1" si="207"/>
        <v>2.508690662990491</v>
      </c>
      <c r="D1534" s="47">
        <f t="shared" ca="1" si="208"/>
        <v>1763225805.4400134</v>
      </c>
      <c r="E1534" s="47">
        <f t="shared" ca="1" si="209"/>
        <v>19488841194134.031</v>
      </c>
      <c r="F1534" s="47">
        <f t="shared" ca="1" si="210"/>
        <v>5932977708312.0439</v>
      </c>
      <c r="G1534" s="47">
        <f t="shared" ca="1" si="211"/>
        <v>3458636402857.7993</v>
      </c>
      <c r="H1534" s="47">
        <f t="shared" ca="1" si="212"/>
        <v>19488841194134.031</v>
      </c>
      <c r="I1534" s="47">
        <f t="shared" ca="1" si="213"/>
        <v>9980384463297.543</v>
      </c>
      <c r="J1534" s="47">
        <f t="shared" ca="1" si="214"/>
        <v>1655247606734.1011</v>
      </c>
      <c r="K1534" s="48">
        <f t="shared" ca="1" si="215"/>
        <v>6.0295416967793818</v>
      </c>
    </row>
    <row r="1535" spans="2:11" ht="15" customHeight="1" x14ac:dyDescent="0.35">
      <c r="B1535" s="5">
        <v>1514</v>
      </c>
      <c r="C1535" s="46">
        <f t="shared" ca="1" si="207"/>
        <v>2.7204272161335066</v>
      </c>
      <c r="D1535" s="47">
        <f t="shared" ca="1" si="208"/>
        <v>2418127364.4235663</v>
      </c>
      <c r="E1535" s="47">
        <f t="shared" ca="1" si="209"/>
        <v>5136263630749.8838</v>
      </c>
      <c r="F1535" s="47">
        <f t="shared" ca="1" si="210"/>
        <v>5125270370052.4131</v>
      </c>
      <c r="G1535" s="47">
        <f t="shared" ca="1" si="211"/>
        <v>286039968959.21429</v>
      </c>
      <c r="H1535" s="47">
        <f t="shared" ca="1" si="212"/>
        <v>5136263630749.8838</v>
      </c>
      <c r="I1535" s="47">
        <f t="shared" ca="1" si="213"/>
        <v>36546783026628.203</v>
      </c>
      <c r="J1535" s="47">
        <f t="shared" ca="1" si="214"/>
        <v>1643798228284.1858</v>
      </c>
      <c r="K1535" s="48">
        <f t="shared" ca="1" si="215"/>
        <v>22.233132021790855</v>
      </c>
    </row>
    <row r="1536" spans="2:11" ht="15" customHeight="1" x14ac:dyDescent="0.35">
      <c r="B1536" s="5">
        <v>1515</v>
      </c>
      <c r="C1536" s="46">
        <f t="shared" ca="1" si="207"/>
        <v>3.1861680371060324</v>
      </c>
      <c r="D1536" s="47">
        <f t="shared" ca="1" si="208"/>
        <v>5839673279.7405272</v>
      </c>
      <c r="E1536" s="47">
        <f t="shared" ca="1" si="209"/>
        <v>11199735385284.498</v>
      </c>
      <c r="F1536" s="47">
        <f t="shared" ca="1" si="210"/>
        <v>3222092942341.0483</v>
      </c>
      <c r="G1536" s="47">
        <f t="shared" ca="1" si="211"/>
        <v>3397006965378.3472</v>
      </c>
      <c r="H1536" s="47">
        <f t="shared" ca="1" si="212"/>
        <v>3397006965378.3472</v>
      </c>
      <c r="I1536" s="47">
        <f t="shared" ca="1" si="213"/>
        <v>17077124825015.031</v>
      </c>
      <c r="J1536" s="47">
        <f t="shared" ca="1" si="214"/>
        <v>1878195317742.4326</v>
      </c>
      <c r="K1536" s="48">
        <f t="shared" ca="1" si="215"/>
        <v>9.0923050780158068</v>
      </c>
    </row>
    <row r="1537" spans="2:11" ht="15" customHeight="1" x14ac:dyDescent="0.35">
      <c r="B1537" s="5">
        <v>1516</v>
      </c>
      <c r="C1537" s="46">
        <f t="shared" ca="1" si="207"/>
        <v>2.8168231569165378</v>
      </c>
      <c r="D1537" s="47">
        <f t="shared" ca="1" si="208"/>
        <v>3040777203.5932946</v>
      </c>
      <c r="E1537" s="47">
        <f t="shared" ca="1" si="209"/>
        <v>7124920518981.6738</v>
      </c>
      <c r="F1537" s="47">
        <f t="shared" ca="1" si="210"/>
        <v>5598407666940.8389</v>
      </c>
      <c r="G1537" s="47">
        <f t="shared" ca="1" si="211"/>
        <v>18522817934152.422</v>
      </c>
      <c r="H1537" s="47">
        <f t="shared" ca="1" si="212"/>
        <v>18522817934152.422</v>
      </c>
      <c r="I1537" s="47">
        <f t="shared" ca="1" si="213"/>
        <v>3161499231744.3853</v>
      </c>
      <c r="J1537" s="47">
        <f t="shared" ca="1" si="214"/>
        <v>653010171927.99829</v>
      </c>
      <c r="K1537" s="48">
        <f t="shared" ca="1" si="215"/>
        <v>4.8414241732408669</v>
      </c>
    </row>
    <row r="1538" spans="2:11" ht="15" customHeight="1" x14ac:dyDescent="0.35">
      <c r="B1538" s="5">
        <v>1517</v>
      </c>
      <c r="C1538" s="46">
        <f t="shared" ca="1" si="207"/>
        <v>2.7275383141547294</v>
      </c>
      <c r="D1538" s="47">
        <f t="shared" ca="1" si="208"/>
        <v>2511232157.3535895</v>
      </c>
      <c r="E1538" s="47">
        <f t="shared" ca="1" si="209"/>
        <v>7025747387546.3184</v>
      </c>
      <c r="F1538" s="47">
        <f t="shared" ca="1" si="210"/>
        <v>10616193836179.379</v>
      </c>
      <c r="G1538" s="47">
        <f t="shared" ca="1" si="211"/>
        <v>3417274598003.1143</v>
      </c>
      <c r="H1538" s="47">
        <f t="shared" ca="1" si="212"/>
        <v>10616193836179.379</v>
      </c>
      <c r="I1538" s="47">
        <f t="shared" ca="1" si="213"/>
        <v>5416234122583.9375</v>
      </c>
      <c r="J1538" s="47">
        <f t="shared" ca="1" si="214"/>
        <v>1660519621317.832</v>
      </c>
      <c r="K1538" s="48">
        <f t="shared" ca="1" si="215"/>
        <v>3.2617706247189489</v>
      </c>
    </row>
    <row r="1539" spans="2:11" ht="15" customHeight="1" x14ac:dyDescent="0.35">
      <c r="B1539" s="5">
        <v>1518</v>
      </c>
      <c r="C1539" s="46">
        <f t="shared" ca="1" si="207"/>
        <v>2.8414285883792085</v>
      </c>
      <c r="D1539" s="47">
        <f t="shared" ca="1" si="208"/>
        <v>4156837546.4659734</v>
      </c>
      <c r="E1539" s="47">
        <f t="shared" ca="1" si="209"/>
        <v>4383418551353.7959</v>
      </c>
      <c r="F1539" s="47">
        <f t="shared" ca="1" si="210"/>
        <v>4857608363160.4277</v>
      </c>
      <c r="G1539" s="47">
        <f t="shared" ca="1" si="211"/>
        <v>2297929667741.9111</v>
      </c>
      <c r="H1539" s="47">
        <f t="shared" ca="1" si="212"/>
        <v>4857608363160.4277</v>
      </c>
      <c r="I1539" s="47">
        <f t="shared" ca="1" si="213"/>
        <v>75397384085976.891</v>
      </c>
      <c r="J1539" s="47">
        <f t="shared" ca="1" si="214"/>
        <v>1521260004976.8799</v>
      </c>
      <c r="K1539" s="48">
        <f t="shared" ca="1" si="215"/>
        <v>49.562457330969387</v>
      </c>
    </row>
    <row r="1540" spans="2:11" ht="15" customHeight="1" x14ac:dyDescent="0.35">
      <c r="B1540" s="5">
        <v>1519</v>
      </c>
      <c r="C1540" s="46">
        <f t="shared" ca="1" si="207"/>
        <v>3.3404421448629069</v>
      </c>
      <c r="D1540" s="47">
        <f t="shared" ca="1" si="208"/>
        <v>9257764133.5307827</v>
      </c>
      <c r="E1540" s="47">
        <f t="shared" ca="1" si="209"/>
        <v>15488230502222.922</v>
      </c>
      <c r="F1540" s="47">
        <f t="shared" ca="1" si="210"/>
        <v>9686493007266.0117</v>
      </c>
      <c r="G1540" s="47">
        <f t="shared" ca="1" si="211"/>
        <v>488801559660056.63</v>
      </c>
      <c r="H1540" s="47">
        <f t="shared" ca="1" si="212"/>
        <v>488801559660056.63</v>
      </c>
      <c r="I1540" s="47">
        <f t="shared" ca="1" si="213"/>
        <v>6159371632799.2744</v>
      </c>
      <c r="J1540" s="47">
        <f t="shared" ca="1" si="214"/>
        <v>1735936893391.2061</v>
      </c>
      <c r="K1540" s="48">
        <f t="shared" ca="1" si="215"/>
        <v>3.548154115652645</v>
      </c>
    </row>
    <row r="1541" spans="2:11" ht="15" customHeight="1" x14ac:dyDescent="0.35">
      <c r="B1541" s="5">
        <v>1520</v>
      </c>
      <c r="C1541" s="46">
        <f t="shared" ca="1" si="207"/>
        <v>2.6985295919123553</v>
      </c>
      <c r="D1541" s="47">
        <f t="shared" ca="1" si="208"/>
        <v>3094441375.1509509</v>
      </c>
      <c r="E1541" s="47">
        <f t="shared" ca="1" si="209"/>
        <v>6182193955617.7471</v>
      </c>
      <c r="F1541" s="47">
        <f t="shared" ca="1" si="210"/>
        <v>9445141685394.832</v>
      </c>
      <c r="G1541" s="47">
        <f t="shared" ca="1" si="211"/>
        <v>706214943427.92419</v>
      </c>
      <c r="H1541" s="47">
        <f t="shared" ca="1" si="212"/>
        <v>706214943427.92419</v>
      </c>
      <c r="I1541" s="47">
        <f t="shared" ca="1" si="213"/>
        <v>33665895575431.492</v>
      </c>
      <c r="J1541" s="47">
        <f t="shared" ca="1" si="214"/>
        <v>937700371395.13257</v>
      </c>
      <c r="K1541" s="48">
        <f t="shared" ca="1" si="215"/>
        <v>35.902615166231172</v>
      </c>
    </row>
    <row r="1542" spans="2:11" ht="15" customHeight="1" x14ac:dyDescent="0.35">
      <c r="B1542" s="5">
        <v>1521</v>
      </c>
      <c r="C1542" s="46">
        <f t="shared" ca="1" si="207"/>
        <v>4.4434778731208961</v>
      </c>
      <c r="D1542" s="47">
        <f t="shared" ca="1" si="208"/>
        <v>37036216492.169693</v>
      </c>
      <c r="E1542" s="47">
        <f t="shared" ca="1" si="209"/>
        <v>121479654125579.66</v>
      </c>
      <c r="F1542" s="47">
        <f t="shared" ca="1" si="210"/>
        <v>4360419366798.3462</v>
      </c>
      <c r="G1542" s="47">
        <f t="shared" ca="1" si="211"/>
        <v>2192822827170.1436</v>
      </c>
      <c r="H1542" s="47">
        <f t="shared" ca="1" si="212"/>
        <v>121479654125579.66</v>
      </c>
      <c r="I1542" s="47">
        <f t="shared" ca="1" si="213"/>
        <v>2486770363194.043</v>
      </c>
      <c r="J1542" s="47">
        <f t="shared" ca="1" si="214"/>
        <v>877174439350.37854</v>
      </c>
      <c r="K1542" s="48">
        <f t="shared" ca="1" si="215"/>
        <v>2.8349781430426835</v>
      </c>
    </row>
    <row r="1543" spans="2:11" ht="15" customHeight="1" x14ac:dyDescent="0.35">
      <c r="B1543" s="5">
        <v>1522</v>
      </c>
      <c r="C1543" s="46">
        <f t="shared" ca="1" si="207"/>
        <v>3.6355595818341433</v>
      </c>
      <c r="D1543" s="47">
        <f t="shared" ca="1" si="208"/>
        <v>15022018311.052841</v>
      </c>
      <c r="E1543" s="47">
        <f t="shared" ca="1" si="209"/>
        <v>81263352512874.672</v>
      </c>
      <c r="F1543" s="47">
        <f t="shared" ca="1" si="210"/>
        <v>5323400469648.5371</v>
      </c>
      <c r="G1543" s="47">
        <f t="shared" ca="1" si="211"/>
        <v>30723066399613.637</v>
      </c>
      <c r="H1543" s="47">
        <f t="shared" ca="1" si="212"/>
        <v>81263352512874.672</v>
      </c>
      <c r="I1543" s="47">
        <f t="shared" ca="1" si="213"/>
        <v>115793317992631.05</v>
      </c>
      <c r="J1543" s="47">
        <f t="shared" ca="1" si="214"/>
        <v>523972537055.4314</v>
      </c>
      <c r="K1543" s="48">
        <f t="shared" ca="1" si="215"/>
        <v>220.99119668247269</v>
      </c>
    </row>
    <row r="1544" spans="2:11" ht="15" customHeight="1" x14ac:dyDescent="0.35">
      <c r="B1544" s="5">
        <v>1523</v>
      </c>
      <c r="C1544" s="46">
        <f t="shared" ca="1" si="207"/>
        <v>2.713400524588784</v>
      </c>
      <c r="D1544" s="47">
        <f t="shared" ca="1" si="208"/>
        <v>3147164731.1406431</v>
      </c>
      <c r="E1544" s="47">
        <f t="shared" ca="1" si="209"/>
        <v>7446766412377.2168</v>
      </c>
      <c r="F1544" s="47">
        <f t="shared" ca="1" si="210"/>
        <v>7359630396235.8057</v>
      </c>
      <c r="G1544" s="47">
        <f t="shared" ca="1" si="211"/>
        <v>8785325516381.1074</v>
      </c>
      <c r="H1544" s="47">
        <f t="shared" ca="1" si="212"/>
        <v>8785325516381.1074</v>
      </c>
      <c r="I1544" s="47">
        <f t="shared" ca="1" si="213"/>
        <v>22453238363006.453</v>
      </c>
      <c r="J1544" s="47">
        <f t="shared" ca="1" si="214"/>
        <v>1351251235686.4294</v>
      </c>
      <c r="K1544" s="48">
        <f t="shared" ca="1" si="215"/>
        <v>16.616627441306509</v>
      </c>
    </row>
    <row r="1545" spans="2:11" ht="15" customHeight="1" x14ac:dyDescent="0.35">
      <c r="B1545" s="5">
        <v>1524</v>
      </c>
      <c r="C1545" s="46">
        <f t="shared" ca="1" si="207"/>
        <v>2.5901852628518514</v>
      </c>
      <c r="D1545" s="47">
        <f t="shared" ca="1" si="208"/>
        <v>2356604566.16329</v>
      </c>
      <c r="E1545" s="47">
        <f t="shared" ca="1" si="209"/>
        <v>2349221016692.731</v>
      </c>
      <c r="F1545" s="47">
        <f t="shared" ca="1" si="210"/>
        <v>1883773911668.8389</v>
      </c>
      <c r="G1545" s="47">
        <f t="shared" ca="1" si="211"/>
        <v>795223577661.31226</v>
      </c>
      <c r="H1545" s="47">
        <f t="shared" ca="1" si="212"/>
        <v>1883773911668.8389</v>
      </c>
      <c r="I1545" s="47">
        <f t="shared" ca="1" si="213"/>
        <v>510010229936363.88</v>
      </c>
      <c r="J1545" s="47">
        <f t="shared" ca="1" si="214"/>
        <v>1078562188463.7151</v>
      </c>
      <c r="K1545" s="48">
        <f t="shared" ca="1" si="215"/>
        <v>472.86121782445707</v>
      </c>
    </row>
    <row r="1546" spans="2:11" ht="15" customHeight="1" x14ac:dyDescent="0.35">
      <c r="B1546" s="5">
        <v>1525</v>
      </c>
      <c r="C1546" s="46">
        <f t="shared" ca="1" si="207"/>
        <v>3.621915298109899</v>
      </c>
      <c r="D1546" s="47">
        <f t="shared" ca="1" si="208"/>
        <v>10204546671.335577</v>
      </c>
      <c r="E1546" s="47">
        <f t="shared" ca="1" si="209"/>
        <v>104134176900930.42</v>
      </c>
      <c r="F1546" s="47">
        <f t="shared" ca="1" si="210"/>
        <v>1857655704356.2786</v>
      </c>
      <c r="G1546" s="47">
        <f t="shared" ca="1" si="211"/>
        <v>1858555716575.6858</v>
      </c>
      <c r="H1546" s="47">
        <f t="shared" ca="1" si="212"/>
        <v>1857655704356.2786</v>
      </c>
      <c r="I1546" s="47">
        <f t="shared" ca="1" si="213"/>
        <v>2458512935462.6846</v>
      </c>
      <c r="J1546" s="47">
        <f t="shared" ca="1" si="214"/>
        <v>1190073715556.1257</v>
      </c>
      <c r="K1546" s="48">
        <f t="shared" ca="1" si="215"/>
        <v>2.0658492859106738</v>
      </c>
    </row>
    <row r="1547" spans="2:11" ht="15" customHeight="1" x14ac:dyDescent="0.35">
      <c r="B1547" s="5">
        <v>1526</v>
      </c>
      <c r="C1547" s="46">
        <f t="shared" ca="1" si="207"/>
        <v>2.2533525752879879</v>
      </c>
      <c r="D1547" s="47">
        <f t="shared" ca="1" si="208"/>
        <v>1297666778.4022176</v>
      </c>
      <c r="E1547" s="47">
        <f t="shared" ca="1" si="209"/>
        <v>6675306625667.6943</v>
      </c>
      <c r="F1547" s="47">
        <f t="shared" ca="1" si="210"/>
        <v>20043623574967.746</v>
      </c>
      <c r="G1547" s="47">
        <f t="shared" ca="1" si="211"/>
        <v>30417109193499.504</v>
      </c>
      <c r="H1547" s="47">
        <f t="shared" ca="1" si="212"/>
        <v>20043623574967.746</v>
      </c>
      <c r="I1547" s="47">
        <f t="shared" ca="1" si="213"/>
        <v>3348247026490.2715</v>
      </c>
      <c r="J1547" s="47">
        <f t="shared" ca="1" si="214"/>
        <v>1380522212344.2004</v>
      </c>
      <c r="K1547" s="48">
        <f t="shared" ca="1" si="215"/>
        <v>2.4253481737209932</v>
      </c>
    </row>
    <row r="1548" spans="2:11" ht="15" customHeight="1" x14ac:dyDescent="0.35">
      <c r="B1548" s="5">
        <v>1527</v>
      </c>
      <c r="C1548" s="46">
        <f t="shared" ca="1" si="207"/>
        <v>2.7995072894476691</v>
      </c>
      <c r="D1548" s="47">
        <f t="shared" ca="1" si="208"/>
        <v>3109865591.9599228</v>
      </c>
      <c r="E1548" s="47">
        <f t="shared" ca="1" si="209"/>
        <v>12063353330222.186</v>
      </c>
      <c r="F1548" s="47">
        <f t="shared" ca="1" si="210"/>
        <v>47242933853032.063</v>
      </c>
      <c r="G1548" s="47">
        <f t="shared" ca="1" si="211"/>
        <v>5598037328339.8984</v>
      </c>
      <c r="H1548" s="47">
        <f t="shared" ca="1" si="212"/>
        <v>5598037328339.8984</v>
      </c>
      <c r="I1548" s="47">
        <f t="shared" ca="1" si="213"/>
        <v>818163685066.60828</v>
      </c>
      <c r="J1548" s="47">
        <f t="shared" ca="1" si="214"/>
        <v>1311202517843.1372</v>
      </c>
      <c r="K1548" s="48">
        <f t="shared" ca="1" si="215"/>
        <v>0.62397964763860181</v>
      </c>
    </row>
    <row r="1549" spans="2:11" ht="15" customHeight="1" x14ac:dyDescent="0.35">
      <c r="B1549" s="5">
        <v>1528</v>
      </c>
      <c r="C1549" s="46">
        <f t="shared" ca="1" si="207"/>
        <v>3.0434212520901158</v>
      </c>
      <c r="D1549" s="47">
        <f t="shared" ca="1" si="208"/>
        <v>4727366620.484869</v>
      </c>
      <c r="E1549" s="47">
        <f t="shared" ca="1" si="209"/>
        <v>12426081104418.047</v>
      </c>
      <c r="F1549" s="47">
        <f t="shared" ca="1" si="210"/>
        <v>20006758905672.238</v>
      </c>
      <c r="G1549" s="47">
        <f t="shared" ca="1" si="211"/>
        <v>1109301034295.4634</v>
      </c>
      <c r="H1549" s="47">
        <f t="shared" ca="1" si="212"/>
        <v>1109301034295.4634</v>
      </c>
      <c r="I1549" s="47">
        <f t="shared" ca="1" si="213"/>
        <v>49099271509725.406</v>
      </c>
      <c r="J1549" s="47">
        <f t="shared" ca="1" si="214"/>
        <v>1844381658495.2048</v>
      </c>
      <c r="K1549" s="48">
        <f t="shared" ca="1" si="215"/>
        <v>26.620993157015317</v>
      </c>
    </row>
    <row r="1550" spans="2:11" ht="15" customHeight="1" x14ac:dyDescent="0.35">
      <c r="B1550" s="5">
        <v>1529</v>
      </c>
      <c r="C1550" s="46">
        <f t="shared" ca="1" si="207"/>
        <v>2.6942813243547237</v>
      </c>
      <c r="D1550" s="47">
        <f t="shared" ca="1" si="208"/>
        <v>2975704432.9572926</v>
      </c>
      <c r="E1550" s="47">
        <f t="shared" ca="1" si="209"/>
        <v>5470590786998.7695</v>
      </c>
      <c r="F1550" s="47">
        <f t="shared" ca="1" si="210"/>
        <v>2709963625817.9014</v>
      </c>
      <c r="G1550" s="47">
        <f t="shared" ca="1" si="211"/>
        <v>16883844973747.521</v>
      </c>
      <c r="H1550" s="47">
        <f t="shared" ca="1" si="212"/>
        <v>5470590786998.7695</v>
      </c>
      <c r="I1550" s="47">
        <f t="shared" ca="1" si="213"/>
        <v>65858955782906.109</v>
      </c>
      <c r="J1550" s="47">
        <f t="shared" ca="1" si="214"/>
        <v>1916822311886.4016</v>
      </c>
      <c r="K1550" s="48">
        <f t="shared" ca="1" si="215"/>
        <v>34.358404206017596</v>
      </c>
    </row>
    <row r="1551" spans="2:11" ht="15" customHeight="1" x14ac:dyDescent="0.35">
      <c r="B1551" s="5">
        <v>1530</v>
      </c>
      <c r="C1551" s="46">
        <f t="shared" ca="1" si="207"/>
        <v>3.8249916559211945</v>
      </c>
      <c r="D1551" s="47">
        <f t="shared" ca="1" si="208"/>
        <v>16491248006.472626</v>
      </c>
      <c r="E1551" s="47">
        <f t="shared" ca="1" si="209"/>
        <v>104398122927383.38</v>
      </c>
      <c r="F1551" s="47">
        <f t="shared" ca="1" si="210"/>
        <v>7173490416023.4209</v>
      </c>
      <c r="G1551" s="47">
        <f t="shared" ca="1" si="211"/>
        <v>42687297173426.578</v>
      </c>
      <c r="H1551" s="47">
        <f t="shared" ca="1" si="212"/>
        <v>7173490416023.4209</v>
      </c>
      <c r="I1551" s="47">
        <f t="shared" ca="1" si="213"/>
        <v>15593925518918.48</v>
      </c>
      <c r="J1551" s="47">
        <f t="shared" ca="1" si="214"/>
        <v>1372982348058.1633</v>
      </c>
      <c r="K1551" s="48">
        <f t="shared" ca="1" si="215"/>
        <v>11.357702843720666</v>
      </c>
    </row>
    <row r="1552" spans="2:11" ht="15" customHeight="1" x14ac:dyDescent="0.35">
      <c r="B1552" s="5">
        <v>1531</v>
      </c>
      <c r="C1552" s="46">
        <f t="shared" ca="1" si="207"/>
        <v>2.818973825247356</v>
      </c>
      <c r="D1552" s="47">
        <f t="shared" ca="1" si="208"/>
        <v>3594679463.8044066</v>
      </c>
      <c r="E1552" s="47">
        <f t="shared" ca="1" si="209"/>
        <v>16203303699638.795</v>
      </c>
      <c r="F1552" s="47">
        <f t="shared" ca="1" si="210"/>
        <v>4181233712723.2417</v>
      </c>
      <c r="G1552" s="47">
        <f t="shared" ca="1" si="211"/>
        <v>24100336073389.199</v>
      </c>
      <c r="H1552" s="47">
        <f t="shared" ca="1" si="212"/>
        <v>4181233712723.2417</v>
      </c>
      <c r="I1552" s="47">
        <f t="shared" ca="1" si="213"/>
        <v>2588339149987.0273</v>
      </c>
      <c r="J1552" s="47">
        <f t="shared" ca="1" si="214"/>
        <v>1096165570542.0275</v>
      </c>
      <c r="K1552" s="48">
        <f t="shared" ca="1" si="215"/>
        <v>2.3612666001789822</v>
      </c>
    </row>
    <row r="1553" spans="2:11" ht="15" customHeight="1" x14ac:dyDescent="0.35">
      <c r="B1553" s="5">
        <v>1532</v>
      </c>
      <c r="C1553" s="46">
        <f t="shared" ca="1" si="207"/>
        <v>1.8770971788596744</v>
      </c>
      <c r="D1553" s="47">
        <f t="shared" ca="1" si="208"/>
        <v>418454968.5565275</v>
      </c>
      <c r="E1553" s="47">
        <f t="shared" ca="1" si="209"/>
        <v>571795430678.9906</v>
      </c>
      <c r="F1553" s="47">
        <f t="shared" ca="1" si="210"/>
        <v>1308620796015.7983</v>
      </c>
      <c r="G1553" s="47">
        <f t="shared" ca="1" si="211"/>
        <v>526373498152.62457</v>
      </c>
      <c r="H1553" s="47">
        <f t="shared" ca="1" si="212"/>
        <v>526373498152.62457</v>
      </c>
      <c r="I1553" s="47">
        <f t="shared" ca="1" si="213"/>
        <v>474447838637.45959</v>
      </c>
      <c r="J1553" s="47">
        <f t="shared" ca="1" si="214"/>
        <v>1047132274110.3563</v>
      </c>
      <c r="K1553" s="48">
        <f t="shared" ca="1" si="215"/>
        <v>0.45309255608662291</v>
      </c>
    </row>
    <row r="1554" spans="2:11" ht="15" customHeight="1" x14ac:dyDescent="0.35">
      <c r="B1554" s="5">
        <v>1533</v>
      </c>
      <c r="C1554" s="46">
        <f t="shared" ca="1" si="207"/>
        <v>2.5643074626082791</v>
      </c>
      <c r="D1554" s="47">
        <f t="shared" ca="1" si="208"/>
        <v>2534907406.7384033</v>
      </c>
      <c r="E1554" s="47">
        <f t="shared" ca="1" si="209"/>
        <v>5401179273919.8359</v>
      </c>
      <c r="F1554" s="47">
        <f t="shared" ca="1" si="210"/>
        <v>1301018050222.2603</v>
      </c>
      <c r="G1554" s="47">
        <f t="shared" ca="1" si="211"/>
        <v>46275433088257.82</v>
      </c>
      <c r="H1554" s="47">
        <f t="shared" ca="1" si="212"/>
        <v>5401179273919.8359</v>
      </c>
      <c r="I1554" s="47">
        <f t="shared" ca="1" si="213"/>
        <v>8699808967715.2402</v>
      </c>
      <c r="J1554" s="47">
        <f t="shared" ca="1" si="214"/>
        <v>1531447369596.4744</v>
      </c>
      <c r="K1554" s="48">
        <f t="shared" ca="1" si="215"/>
        <v>5.6807756769385938</v>
      </c>
    </row>
    <row r="1555" spans="2:11" ht="15" customHeight="1" x14ac:dyDescent="0.35">
      <c r="B1555" s="5">
        <v>1534</v>
      </c>
      <c r="C1555" s="46">
        <f t="shared" ca="1" si="207"/>
        <v>2.4930188812062495</v>
      </c>
      <c r="D1555" s="47">
        <f t="shared" ca="1" si="208"/>
        <v>1807776763.9670756</v>
      </c>
      <c r="E1555" s="47">
        <f t="shared" ca="1" si="209"/>
        <v>4340473521783.8633</v>
      </c>
      <c r="F1555" s="47">
        <f t="shared" ca="1" si="210"/>
        <v>1019408116623.0413</v>
      </c>
      <c r="G1555" s="47">
        <f t="shared" ca="1" si="211"/>
        <v>2750035413408.7007</v>
      </c>
      <c r="H1555" s="47">
        <f t="shared" ca="1" si="212"/>
        <v>4340473521783.8633</v>
      </c>
      <c r="I1555" s="47">
        <f t="shared" ca="1" si="213"/>
        <v>8474446148487.252</v>
      </c>
      <c r="J1555" s="47">
        <f t="shared" ca="1" si="214"/>
        <v>2011283696808.1362</v>
      </c>
      <c r="K1555" s="48">
        <f t="shared" ca="1" si="215"/>
        <v>4.2134514200736648</v>
      </c>
    </row>
    <row r="1556" spans="2:11" ht="15" customHeight="1" x14ac:dyDescent="0.35">
      <c r="B1556" s="5">
        <v>1535</v>
      </c>
      <c r="C1556" s="46">
        <f t="shared" ca="1" si="207"/>
        <v>3.57812057245029</v>
      </c>
      <c r="D1556" s="47">
        <f t="shared" ca="1" si="208"/>
        <v>13175479936.185272</v>
      </c>
      <c r="E1556" s="47">
        <f t="shared" ca="1" si="209"/>
        <v>60635521333088.813</v>
      </c>
      <c r="F1556" s="47">
        <f t="shared" ca="1" si="210"/>
        <v>2803751796641.5273</v>
      </c>
      <c r="G1556" s="47">
        <f t="shared" ca="1" si="211"/>
        <v>1087184675654.9248</v>
      </c>
      <c r="H1556" s="47">
        <f t="shared" ca="1" si="212"/>
        <v>60635521333088.813</v>
      </c>
      <c r="I1556" s="47">
        <f t="shared" ca="1" si="213"/>
        <v>9850147068534.9258</v>
      </c>
      <c r="J1556" s="47">
        <f t="shared" ca="1" si="214"/>
        <v>2102509495903.0903</v>
      </c>
      <c r="K1556" s="48">
        <f t="shared" ca="1" si="215"/>
        <v>4.6849477197267042</v>
      </c>
    </row>
    <row r="1557" spans="2:11" ht="15" customHeight="1" x14ac:dyDescent="0.35">
      <c r="B1557" s="5">
        <v>1536</v>
      </c>
      <c r="C1557" s="46">
        <f t="shared" ca="1" si="207"/>
        <v>3.4400349849999818</v>
      </c>
      <c r="D1557" s="47">
        <f t="shared" ca="1" si="208"/>
        <v>8400088728.9746666</v>
      </c>
      <c r="E1557" s="47">
        <f t="shared" ca="1" si="209"/>
        <v>20146420450024.879</v>
      </c>
      <c r="F1557" s="47">
        <f t="shared" ca="1" si="210"/>
        <v>4523296188524.9014</v>
      </c>
      <c r="G1557" s="47">
        <f t="shared" ca="1" si="211"/>
        <v>3637766564647.7632</v>
      </c>
      <c r="H1557" s="47">
        <f t="shared" ca="1" si="212"/>
        <v>20146420450024.879</v>
      </c>
      <c r="I1557" s="47">
        <f t="shared" ca="1" si="213"/>
        <v>14012868327280.859</v>
      </c>
      <c r="J1557" s="47">
        <f t="shared" ca="1" si="214"/>
        <v>916153191274.57056</v>
      </c>
      <c r="K1557" s="48">
        <f t="shared" ca="1" si="215"/>
        <v>15.295333204904169</v>
      </c>
    </row>
    <row r="1558" spans="2:11" ht="15" customHeight="1" x14ac:dyDescent="0.35">
      <c r="B1558" s="5">
        <v>1537</v>
      </c>
      <c r="C1558" s="46">
        <f t="shared" ref="C1558:C1621" ca="1" si="216">MEDIAN(1.8,NORMINV(RAND(),$C$7,$D$7),4.5)</f>
        <v>2.5447906432636636</v>
      </c>
      <c r="D1558" s="47">
        <f t="shared" ref="D1558:D1621" ca="1" si="217">($C$8+RAND()*($D$8-$C$8))*C1558^5</f>
        <v>2069248442.7826741</v>
      </c>
      <c r="E1558" s="47">
        <f t="shared" ref="E1558:E1621" ca="1" si="218">D1558*($C$10+RAND()*($D$10-$C$10))*EXP(NORMINV(RAND(),$C$9,$D$9))*($C$11+RAND()*($D$11-$C$11))</f>
        <v>15032918797747.697</v>
      </c>
      <c r="F1558" s="47">
        <f t="shared" ref="F1558:F1621" ca="1" si="219">EXP(NORMINV(RAND(),$C$12,$D$12))*EXP(NORMINV(RAND(),$C$13,$D$13))</f>
        <v>5637811826511.3604</v>
      </c>
      <c r="G1558" s="47">
        <f t="shared" ref="G1558:G1621" ca="1" si="220">EXP(NORMINV(RAND(),$C$14,$D$14))*($C$15+RAND()*($D$15-$C$15))*EXP(NORMINV(RAND(),$C$16,$D$16))/1000000*31536000</f>
        <v>2751893478437.8271</v>
      </c>
      <c r="H1558" s="47">
        <f t="shared" ref="H1558:H1621" ca="1" si="221">CHOOSE(RANDBETWEEN(1,3),E1558,F1558,G1558)</f>
        <v>15032918797747.697</v>
      </c>
      <c r="I1558" s="47">
        <f t="shared" ref="I1558:I1621" ca="1" si="222">EXP(NORMINV(RAND(),$C$14,$D$14))*($C$15+RAND()*($D$15-$C$15))*60</f>
        <v>54765723237534.859</v>
      </c>
      <c r="J1558" s="47">
        <f t="shared" ref="J1558:J1621" ca="1" si="223">($C$17+RAND()*($D$17-$C$17))*($C$18+RAND()*($D$18-$C$18))</f>
        <v>1915897297456.5527</v>
      </c>
      <c r="K1558" s="48">
        <f t="shared" ref="K1558:K1621" ca="1" si="224">I1558/J1558</f>
        <v>28.584895082966625</v>
      </c>
    </row>
    <row r="1559" spans="2:11" ht="15" customHeight="1" x14ac:dyDescent="0.35">
      <c r="B1559" s="5">
        <v>1538</v>
      </c>
      <c r="C1559" s="46">
        <f t="shared" ca="1" si="216"/>
        <v>2.828954173434032</v>
      </c>
      <c r="D1559" s="47">
        <f t="shared" ca="1" si="217"/>
        <v>4099565462.9445066</v>
      </c>
      <c r="E1559" s="47">
        <f t="shared" ca="1" si="218"/>
        <v>13322023031857.447</v>
      </c>
      <c r="F1559" s="47">
        <f t="shared" ca="1" si="219"/>
        <v>400155579251.08502</v>
      </c>
      <c r="G1559" s="47">
        <f t="shared" ca="1" si="220"/>
        <v>22400299536961.129</v>
      </c>
      <c r="H1559" s="47">
        <f t="shared" ca="1" si="221"/>
        <v>13322023031857.447</v>
      </c>
      <c r="I1559" s="47">
        <f t="shared" ca="1" si="222"/>
        <v>39691019981450.797</v>
      </c>
      <c r="J1559" s="47">
        <f t="shared" ca="1" si="223"/>
        <v>1349198087126.9934</v>
      </c>
      <c r="K1559" s="48">
        <f t="shared" ca="1" si="224"/>
        <v>29.418230251103875</v>
      </c>
    </row>
    <row r="1560" spans="2:11" ht="15" customHeight="1" x14ac:dyDescent="0.35">
      <c r="B1560" s="5">
        <v>1539</v>
      </c>
      <c r="C1560" s="46">
        <f t="shared" ca="1" si="216"/>
        <v>2.1625651641577712</v>
      </c>
      <c r="D1560" s="47">
        <f t="shared" ca="1" si="217"/>
        <v>966626774.03823674</v>
      </c>
      <c r="E1560" s="47">
        <f t="shared" ca="1" si="218"/>
        <v>2633592721507.6714</v>
      </c>
      <c r="F1560" s="47">
        <f t="shared" ca="1" si="219"/>
        <v>22107557789967.883</v>
      </c>
      <c r="G1560" s="47">
        <f t="shared" ca="1" si="220"/>
        <v>1388171654770.0496</v>
      </c>
      <c r="H1560" s="47">
        <f t="shared" ca="1" si="221"/>
        <v>1388171654770.0496</v>
      </c>
      <c r="I1560" s="47">
        <f t="shared" ca="1" si="222"/>
        <v>24116723935719.184</v>
      </c>
      <c r="J1560" s="47">
        <f t="shared" ca="1" si="223"/>
        <v>767520292463.82983</v>
      </c>
      <c r="K1560" s="48">
        <f t="shared" ca="1" si="224"/>
        <v>31.421610832336018</v>
      </c>
    </row>
    <row r="1561" spans="2:11" ht="15" customHeight="1" x14ac:dyDescent="0.35">
      <c r="B1561" s="5">
        <v>1540</v>
      </c>
      <c r="C1561" s="46">
        <f t="shared" ca="1" si="216"/>
        <v>2.7377750735646553</v>
      </c>
      <c r="D1561" s="47">
        <f t="shared" ca="1" si="217"/>
        <v>2537278427.8323259</v>
      </c>
      <c r="E1561" s="47">
        <f t="shared" ca="1" si="218"/>
        <v>3907657428137.4517</v>
      </c>
      <c r="F1561" s="47">
        <f t="shared" ca="1" si="219"/>
        <v>6024705167383.6973</v>
      </c>
      <c r="G1561" s="47">
        <f t="shared" ca="1" si="220"/>
        <v>20515877926310.359</v>
      </c>
      <c r="H1561" s="47">
        <f t="shared" ca="1" si="221"/>
        <v>6024705167383.6973</v>
      </c>
      <c r="I1561" s="47">
        <f t="shared" ca="1" si="222"/>
        <v>2084477923108.8401</v>
      </c>
      <c r="J1561" s="47">
        <f t="shared" ca="1" si="223"/>
        <v>1231937464339.7197</v>
      </c>
      <c r="K1561" s="48">
        <f t="shared" ca="1" si="224"/>
        <v>1.6920322528108647</v>
      </c>
    </row>
    <row r="1562" spans="2:11" ht="15" customHeight="1" x14ac:dyDescent="0.35">
      <c r="B1562" s="5">
        <v>1541</v>
      </c>
      <c r="C1562" s="46">
        <f t="shared" ca="1" si="216"/>
        <v>2.8714939015922272</v>
      </c>
      <c r="D1562" s="47">
        <f t="shared" ca="1" si="217"/>
        <v>4269953724.1068411</v>
      </c>
      <c r="E1562" s="47">
        <f t="shared" ca="1" si="218"/>
        <v>15608918808323.064</v>
      </c>
      <c r="F1562" s="47">
        <f t="shared" ca="1" si="219"/>
        <v>6509120978248.251</v>
      </c>
      <c r="G1562" s="47">
        <f t="shared" ca="1" si="220"/>
        <v>18688946173081.215</v>
      </c>
      <c r="H1562" s="47">
        <f t="shared" ca="1" si="221"/>
        <v>6509120978248.251</v>
      </c>
      <c r="I1562" s="47">
        <f t="shared" ca="1" si="222"/>
        <v>505772183676.67694</v>
      </c>
      <c r="J1562" s="47">
        <f t="shared" ca="1" si="223"/>
        <v>1069451934310.5485</v>
      </c>
      <c r="K1562" s="48">
        <f t="shared" ca="1" si="224"/>
        <v>0.47292652194110701</v>
      </c>
    </row>
    <row r="1563" spans="2:11" ht="15" customHeight="1" x14ac:dyDescent="0.35">
      <c r="B1563" s="5">
        <v>1542</v>
      </c>
      <c r="C1563" s="46">
        <f t="shared" ca="1" si="216"/>
        <v>2.3918035859326316</v>
      </c>
      <c r="D1563" s="47">
        <f t="shared" ca="1" si="217"/>
        <v>1418366980.6009803</v>
      </c>
      <c r="E1563" s="47">
        <f t="shared" ca="1" si="218"/>
        <v>1572539330151.2646</v>
      </c>
      <c r="F1563" s="47">
        <f t="shared" ca="1" si="219"/>
        <v>7129498505902.5684</v>
      </c>
      <c r="G1563" s="47">
        <f t="shared" ca="1" si="220"/>
        <v>20969296342500.91</v>
      </c>
      <c r="H1563" s="47">
        <f t="shared" ca="1" si="221"/>
        <v>20969296342500.91</v>
      </c>
      <c r="I1563" s="47">
        <f t="shared" ca="1" si="222"/>
        <v>27086214247359.668</v>
      </c>
      <c r="J1563" s="47">
        <f t="shared" ca="1" si="223"/>
        <v>895714652454.97412</v>
      </c>
      <c r="K1563" s="48">
        <f t="shared" ca="1" si="224"/>
        <v>30.239780239300305</v>
      </c>
    </row>
    <row r="1564" spans="2:11" ht="15" customHeight="1" x14ac:dyDescent="0.35">
      <c r="B1564" s="5">
        <v>1543</v>
      </c>
      <c r="C1564" s="46">
        <f t="shared" ca="1" si="216"/>
        <v>2.6768215478940771</v>
      </c>
      <c r="D1564" s="47">
        <f t="shared" ca="1" si="217"/>
        <v>3254986336.2971148</v>
      </c>
      <c r="E1564" s="47">
        <f t="shared" ca="1" si="218"/>
        <v>45407205889084.75</v>
      </c>
      <c r="F1564" s="47">
        <f t="shared" ca="1" si="219"/>
        <v>1230554848959.5813</v>
      </c>
      <c r="G1564" s="47">
        <f t="shared" ca="1" si="220"/>
        <v>6551775661066.9023</v>
      </c>
      <c r="H1564" s="47">
        <f t="shared" ca="1" si="221"/>
        <v>6551775661066.9023</v>
      </c>
      <c r="I1564" s="47">
        <f t="shared" ca="1" si="222"/>
        <v>2882030279155.7671</v>
      </c>
      <c r="J1564" s="47">
        <f t="shared" ca="1" si="223"/>
        <v>1885312446147.9578</v>
      </c>
      <c r="K1564" s="48">
        <f t="shared" ca="1" si="224"/>
        <v>1.5286751461511265</v>
      </c>
    </row>
    <row r="1565" spans="2:11" ht="15" customHeight="1" x14ac:dyDescent="0.35">
      <c r="B1565" s="5">
        <v>1544</v>
      </c>
      <c r="C1565" s="46">
        <f t="shared" ca="1" si="216"/>
        <v>3.0074009665584782</v>
      </c>
      <c r="D1565" s="47">
        <f t="shared" ca="1" si="217"/>
        <v>5001505569.3458271</v>
      </c>
      <c r="E1565" s="47">
        <f t="shared" ca="1" si="218"/>
        <v>11688047584023.303</v>
      </c>
      <c r="F1565" s="47">
        <f t="shared" ca="1" si="219"/>
        <v>1742724950306.0771</v>
      </c>
      <c r="G1565" s="47">
        <f t="shared" ca="1" si="220"/>
        <v>39193025109159.094</v>
      </c>
      <c r="H1565" s="47">
        <f t="shared" ca="1" si="221"/>
        <v>1742724950306.0771</v>
      </c>
      <c r="I1565" s="47">
        <f t="shared" ca="1" si="222"/>
        <v>4047181884079.9414</v>
      </c>
      <c r="J1565" s="47">
        <f t="shared" ca="1" si="223"/>
        <v>722985637726.17456</v>
      </c>
      <c r="K1565" s="48">
        <f t="shared" ca="1" si="224"/>
        <v>5.5978731428310633</v>
      </c>
    </row>
    <row r="1566" spans="2:11" ht="15" customHeight="1" x14ac:dyDescent="0.35">
      <c r="B1566" s="5">
        <v>1545</v>
      </c>
      <c r="C1566" s="46">
        <f t="shared" ca="1" si="216"/>
        <v>2.7382351555448361</v>
      </c>
      <c r="D1566" s="47">
        <f t="shared" ca="1" si="217"/>
        <v>3171731850.293222</v>
      </c>
      <c r="E1566" s="47">
        <f t="shared" ca="1" si="218"/>
        <v>7823973060227.752</v>
      </c>
      <c r="F1566" s="47">
        <f t="shared" ca="1" si="219"/>
        <v>3625842531356.9854</v>
      </c>
      <c r="G1566" s="47">
        <f t="shared" ca="1" si="220"/>
        <v>73949980222532.375</v>
      </c>
      <c r="H1566" s="47">
        <f t="shared" ca="1" si="221"/>
        <v>3625842531356.9854</v>
      </c>
      <c r="I1566" s="47">
        <f t="shared" ca="1" si="222"/>
        <v>320319280747.11102</v>
      </c>
      <c r="J1566" s="47">
        <f t="shared" ca="1" si="223"/>
        <v>812562545092.06641</v>
      </c>
      <c r="K1566" s="48">
        <f t="shared" ca="1" si="224"/>
        <v>0.39420876913643321</v>
      </c>
    </row>
    <row r="1567" spans="2:11" ht="15" customHeight="1" x14ac:dyDescent="0.35">
      <c r="B1567" s="5">
        <v>1546</v>
      </c>
      <c r="C1567" s="46">
        <f t="shared" ca="1" si="216"/>
        <v>2.6930587877601777</v>
      </c>
      <c r="D1567" s="47">
        <f t="shared" ca="1" si="217"/>
        <v>2782543057.7889638</v>
      </c>
      <c r="E1567" s="47">
        <f t="shared" ca="1" si="218"/>
        <v>14130774333612.584</v>
      </c>
      <c r="F1567" s="47">
        <f t="shared" ca="1" si="219"/>
        <v>5869295437504.3359</v>
      </c>
      <c r="G1567" s="47">
        <f t="shared" ca="1" si="220"/>
        <v>4955439857878.7334</v>
      </c>
      <c r="H1567" s="47">
        <f t="shared" ca="1" si="221"/>
        <v>4955439857878.7334</v>
      </c>
      <c r="I1567" s="47">
        <f t="shared" ca="1" si="222"/>
        <v>14126056404948.801</v>
      </c>
      <c r="J1567" s="47">
        <f t="shared" ca="1" si="223"/>
        <v>989610444251.2074</v>
      </c>
      <c r="K1567" s="48">
        <f t="shared" ca="1" si="224"/>
        <v>14.274360670917673</v>
      </c>
    </row>
    <row r="1568" spans="2:11" ht="15" customHeight="1" x14ac:dyDescent="0.35">
      <c r="B1568" s="5">
        <v>1547</v>
      </c>
      <c r="C1568" s="46">
        <f t="shared" ca="1" si="216"/>
        <v>2.6291182305127134</v>
      </c>
      <c r="D1568" s="47">
        <f t="shared" ca="1" si="217"/>
        <v>2121438055.4771078</v>
      </c>
      <c r="E1568" s="47">
        <f t="shared" ca="1" si="218"/>
        <v>29105050988357.449</v>
      </c>
      <c r="F1568" s="47">
        <f t="shared" ca="1" si="219"/>
        <v>1299854834231.4932</v>
      </c>
      <c r="G1568" s="47">
        <f t="shared" ca="1" si="220"/>
        <v>176333261112.16647</v>
      </c>
      <c r="H1568" s="47">
        <f t="shared" ca="1" si="221"/>
        <v>29105050988357.449</v>
      </c>
      <c r="I1568" s="47">
        <f t="shared" ca="1" si="222"/>
        <v>35013208555912.984</v>
      </c>
      <c r="J1568" s="47">
        <f t="shared" ca="1" si="223"/>
        <v>1834130517974.7241</v>
      </c>
      <c r="K1568" s="48">
        <f t="shared" ca="1" si="224"/>
        <v>19.089812972838555</v>
      </c>
    </row>
    <row r="1569" spans="2:11" ht="15" customHeight="1" x14ac:dyDescent="0.35">
      <c r="B1569" s="5">
        <v>1548</v>
      </c>
      <c r="C1569" s="46">
        <f t="shared" ca="1" si="216"/>
        <v>3.4682155102736152</v>
      </c>
      <c r="D1569" s="47">
        <f t="shared" ca="1" si="217"/>
        <v>10828764657.922522</v>
      </c>
      <c r="E1569" s="47">
        <f t="shared" ca="1" si="218"/>
        <v>25849694988564.863</v>
      </c>
      <c r="F1569" s="47">
        <f t="shared" ca="1" si="219"/>
        <v>3922016519955.2534</v>
      </c>
      <c r="G1569" s="47">
        <f t="shared" ca="1" si="220"/>
        <v>58584455087474.844</v>
      </c>
      <c r="H1569" s="47">
        <f t="shared" ca="1" si="221"/>
        <v>58584455087474.844</v>
      </c>
      <c r="I1569" s="47">
        <f t="shared" ca="1" si="222"/>
        <v>65186089753668.453</v>
      </c>
      <c r="J1569" s="47">
        <f t="shared" ca="1" si="223"/>
        <v>1283582318710.2505</v>
      </c>
      <c r="K1569" s="48">
        <f t="shared" ca="1" si="224"/>
        <v>50.784502718273451</v>
      </c>
    </row>
    <row r="1570" spans="2:11" ht="15" customHeight="1" x14ac:dyDescent="0.35">
      <c r="B1570" s="5">
        <v>1549</v>
      </c>
      <c r="C1570" s="46">
        <f t="shared" ca="1" si="216"/>
        <v>3.3784264437616729</v>
      </c>
      <c r="D1570" s="47">
        <f t="shared" ca="1" si="217"/>
        <v>9166153812.5628262</v>
      </c>
      <c r="E1570" s="47">
        <f t="shared" ca="1" si="218"/>
        <v>9497076930235.1465</v>
      </c>
      <c r="F1570" s="47">
        <f t="shared" ca="1" si="219"/>
        <v>465302452457.16193</v>
      </c>
      <c r="G1570" s="47">
        <f t="shared" ca="1" si="220"/>
        <v>472606551773.09088</v>
      </c>
      <c r="H1570" s="47">
        <f t="shared" ca="1" si="221"/>
        <v>472606551773.09088</v>
      </c>
      <c r="I1570" s="47">
        <f t="shared" ca="1" si="222"/>
        <v>26400993490808.609</v>
      </c>
      <c r="J1570" s="47">
        <f t="shared" ca="1" si="223"/>
        <v>974284843167.50562</v>
      </c>
      <c r="K1570" s="48">
        <f t="shared" ca="1" si="224"/>
        <v>27.09781813394132</v>
      </c>
    </row>
    <row r="1571" spans="2:11" ht="15" customHeight="1" x14ac:dyDescent="0.35">
      <c r="B1571" s="5">
        <v>1550</v>
      </c>
      <c r="C1571" s="46">
        <f t="shared" ca="1" si="216"/>
        <v>2.9766303942712673</v>
      </c>
      <c r="D1571" s="47">
        <f t="shared" ca="1" si="217"/>
        <v>5518375043.4624329</v>
      </c>
      <c r="E1571" s="47">
        <f t="shared" ca="1" si="218"/>
        <v>19178796633314.605</v>
      </c>
      <c r="F1571" s="47">
        <f t="shared" ca="1" si="219"/>
        <v>4598762225401.6465</v>
      </c>
      <c r="G1571" s="47">
        <f t="shared" ca="1" si="220"/>
        <v>129484263209970.2</v>
      </c>
      <c r="H1571" s="47">
        <f t="shared" ca="1" si="221"/>
        <v>4598762225401.6465</v>
      </c>
      <c r="I1571" s="47">
        <f t="shared" ca="1" si="222"/>
        <v>1606867624746.4341</v>
      </c>
      <c r="J1571" s="47">
        <f t="shared" ca="1" si="223"/>
        <v>2279685419367.5283</v>
      </c>
      <c r="K1571" s="48">
        <f t="shared" ca="1" si="224"/>
        <v>0.70486375492643205</v>
      </c>
    </row>
    <row r="1572" spans="2:11" ht="15" customHeight="1" x14ac:dyDescent="0.35">
      <c r="B1572" s="5">
        <v>1551</v>
      </c>
      <c r="C1572" s="46">
        <f t="shared" ca="1" si="216"/>
        <v>3.1450744016321335</v>
      </c>
      <c r="D1572" s="47">
        <f t="shared" ca="1" si="217"/>
        <v>6150531123.8818474</v>
      </c>
      <c r="E1572" s="47">
        <f t="shared" ca="1" si="218"/>
        <v>45041672297446.719</v>
      </c>
      <c r="F1572" s="47">
        <f t="shared" ca="1" si="219"/>
        <v>179665725639.5127</v>
      </c>
      <c r="G1572" s="47">
        <f t="shared" ca="1" si="220"/>
        <v>4213828361615.563</v>
      </c>
      <c r="H1572" s="47">
        <f t="shared" ca="1" si="221"/>
        <v>179665725639.5127</v>
      </c>
      <c r="I1572" s="47">
        <f t="shared" ca="1" si="222"/>
        <v>3370586578212.916</v>
      </c>
      <c r="J1572" s="47">
        <f t="shared" ca="1" si="223"/>
        <v>1800206421872.5305</v>
      </c>
      <c r="K1572" s="48">
        <f t="shared" ca="1" si="224"/>
        <v>1.8723333820278869</v>
      </c>
    </row>
    <row r="1573" spans="2:11" ht="15" customHeight="1" x14ac:dyDescent="0.35">
      <c r="B1573" s="5">
        <v>1552</v>
      </c>
      <c r="C1573" s="46">
        <f t="shared" ca="1" si="216"/>
        <v>2.4649938442382204</v>
      </c>
      <c r="D1573" s="47">
        <f t="shared" ca="1" si="217"/>
        <v>1520717496.4395788</v>
      </c>
      <c r="E1573" s="47">
        <f t="shared" ca="1" si="218"/>
        <v>6562918648126.9268</v>
      </c>
      <c r="F1573" s="47">
        <f t="shared" ca="1" si="219"/>
        <v>2320827416646.3506</v>
      </c>
      <c r="G1573" s="47">
        <f t="shared" ca="1" si="220"/>
        <v>308939765530.37848</v>
      </c>
      <c r="H1573" s="47">
        <f t="shared" ca="1" si="221"/>
        <v>308939765530.37848</v>
      </c>
      <c r="I1573" s="47">
        <f t="shared" ca="1" si="222"/>
        <v>33441142978235.016</v>
      </c>
      <c r="J1573" s="47">
        <f t="shared" ca="1" si="223"/>
        <v>1151068711565.9055</v>
      </c>
      <c r="K1573" s="48">
        <f t="shared" ca="1" si="224"/>
        <v>29.052256083602455</v>
      </c>
    </row>
    <row r="1574" spans="2:11" ht="15" customHeight="1" x14ac:dyDescent="0.35">
      <c r="B1574" s="5">
        <v>1553</v>
      </c>
      <c r="C1574" s="46">
        <f t="shared" ca="1" si="216"/>
        <v>2.6921353964284949</v>
      </c>
      <c r="D1574" s="47">
        <f t="shared" ca="1" si="217"/>
        <v>2550709136.2701106</v>
      </c>
      <c r="E1574" s="47">
        <f t="shared" ca="1" si="218"/>
        <v>18105149230669.32</v>
      </c>
      <c r="F1574" s="47">
        <f t="shared" ca="1" si="219"/>
        <v>2475693376960.9321</v>
      </c>
      <c r="G1574" s="47">
        <f t="shared" ca="1" si="220"/>
        <v>3578198821960.0884</v>
      </c>
      <c r="H1574" s="47">
        <f t="shared" ca="1" si="221"/>
        <v>18105149230669.32</v>
      </c>
      <c r="I1574" s="47">
        <f t="shared" ca="1" si="222"/>
        <v>10026953730828.709</v>
      </c>
      <c r="J1574" s="47">
        <f t="shared" ca="1" si="223"/>
        <v>1271386635792.7236</v>
      </c>
      <c r="K1574" s="48">
        <f t="shared" ca="1" si="224"/>
        <v>7.8866282282232678</v>
      </c>
    </row>
    <row r="1575" spans="2:11" ht="15" customHeight="1" x14ac:dyDescent="0.35">
      <c r="B1575" s="5">
        <v>1554</v>
      </c>
      <c r="C1575" s="46">
        <f t="shared" ca="1" si="216"/>
        <v>2.3525103099160525</v>
      </c>
      <c r="D1575" s="47">
        <f t="shared" ca="1" si="217"/>
        <v>1476993815.8231745</v>
      </c>
      <c r="E1575" s="47">
        <f t="shared" ca="1" si="218"/>
        <v>4187404193090.3311</v>
      </c>
      <c r="F1575" s="47">
        <f t="shared" ca="1" si="219"/>
        <v>5789115112757.9512</v>
      </c>
      <c r="G1575" s="47">
        <f t="shared" ca="1" si="220"/>
        <v>28809226323421.094</v>
      </c>
      <c r="H1575" s="47">
        <f t="shared" ca="1" si="221"/>
        <v>5789115112757.9512</v>
      </c>
      <c r="I1575" s="47">
        <f t="shared" ca="1" si="222"/>
        <v>2423126576849.6279</v>
      </c>
      <c r="J1575" s="47">
        <f t="shared" ca="1" si="223"/>
        <v>439363808857.89471</v>
      </c>
      <c r="K1575" s="48">
        <f t="shared" ca="1" si="224"/>
        <v>5.5150800498302992</v>
      </c>
    </row>
    <row r="1576" spans="2:11" ht="15" customHeight="1" x14ac:dyDescent="0.35">
      <c r="B1576" s="5">
        <v>1555</v>
      </c>
      <c r="C1576" s="46">
        <f t="shared" ca="1" si="216"/>
        <v>2.9169963457314676</v>
      </c>
      <c r="D1576" s="47">
        <f t="shared" ca="1" si="217"/>
        <v>4921000769.9159193</v>
      </c>
      <c r="E1576" s="47">
        <f t="shared" ca="1" si="218"/>
        <v>16569577360405.205</v>
      </c>
      <c r="F1576" s="47">
        <f t="shared" ca="1" si="219"/>
        <v>318091945219.16882</v>
      </c>
      <c r="G1576" s="47">
        <f t="shared" ca="1" si="220"/>
        <v>2499491565818.0781</v>
      </c>
      <c r="H1576" s="47">
        <f t="shared" ca="1" si="221"/>
        <v>318091945219.16882</v>
      </c>
      <c r="I1576" s="47">
        <f t="shared" ca="1" si="222"/>
        <v>48017967438758.969</v>
      </c>
      <c r="J1576" s="47">
        <f t="shared" ca="1" si="223"/>
        <v>1571012112117.4324</v>
      </c>
      <c r="K1576" s="48">
        <f t="shared" ca="1" si="224"/>
        <v>30.56498869002332</v>
      </c>
    </row>
    <row r="1577" spans="2:11" ht="15" customHeight="1" x14ac:dyDescent="0.35">
      <c r="B1577" s="5">
        <v>1556</v>
      </c>
      <c r="C1577" s="46">
        <f t="shared" ca="1" si="216"/>
        <v>2.3361334222275452</v>
      </c>
      <c r="D1577" s="47">
        <f t="shared" ca="1" si="217"/>
        <v>1646797550.8300977</v>
      </c>
      <c r="E1577" s="47">
        <f t="shared" ca="1" si="218"/>
        <v>4517778238013.5313</v>
      </c>
      <c r="F1577" s="47">
        <f t="shared" ca="1" si="219"/>
        <v>1977146347225.4475</v>
      </c>
      <c r="G1577" s="47">
        <f t="shared" ca="1" si="220"/>
        <v>293388576633.31653</v>
      </c>
      <c r="H1577" s="47">
        <f t="shared" ca="1" si="221"/>
        <v>4517778238013.5313</v>
      </c>
      <c r="I1577" s="47">
        <f t="shared" ca="1" si="222"/>
        <v>19280929088759.5</v>
      </c>
      <c r="J1577" s="47">
        <f t="shared" ca="1" si="223"/>
        <v>2055600262635.407</v>
      </c>
      <c r="K1577" s="48">
        <f t="shared" ca="1" si="224"/>
        <v>9.3797074456685241</v>
      </c>
    </row>
    <row r="1578" spans="2:11" ht="15" customHeight="1" x14ac:dyDescent="0.35">
      <c r="B1578" s="5">
        <v>1557</v>
      </c>
      <c r="C1578" s="46">
        <f t="shared" ca="1" si="216"/>
        <v>2.9268301307537792</v>
      </c>
      <c r="D1578" s="47">
        <f t="shared" ca="1" si="217"/>
        <v>4164403202.9972272</v>
      </c>
      <c r="E1578" s="47">
        <f t="shared" ca="1" si="218"/>
        <v>34017627089975.234</v>
      </c>
      <c r="F1578" s="47">
        <f t="shared" ca="1" si="219"/>
        <v>31579818109522.563</v>
      </c>
      <c r="G1578" s="47">
        <f t="shared" ca="1" si="220"/>
        <v>9273354931832.3398</v>
      </c>
      <c r="H1578" s="47">
        <f t="shared" ca="1" si="221"/>
        <v>9273354931832.3398</v>
      </c>
      <c r="I1578" s="47">
        <f t="shared" ca="1" si="222"/>
        <v>2395439910430.8667</v>
      </c>
      <c r="J1578" s="47">
        <f t="shared" ca="1" si="223"/>
        <v>593380649378.09949</v>
      </c>
      <c r="K1578" s="48">
        <f t="shared" ca="1" si="224"/>
        <v>4.036936345904504</v>
      </c>
    </row>
    <row r="1579" spans="2:11" ht="15" customHeight="1" x14ac:dyDescent="0.35">
      <c r="B1579" s="5">
        <v>1558</v>
      </c>
      <c r="C1579" s="46">
        <f t="shared" ca="1" si="216"/>
        <v>3.5162322952129488</v>
      </c>
      <c r="D1579" s="47">
        <f t="shared" ca="1" si="217"/>
        <v>10807531532.735586</v>
      </c>
      <c r="E1579" s="47">
        <f t="shared" ca="1" si="218"/>
        <v>74605386184741.703</v>
      </c>
      <c r="F1579" s="47">
        <f t="shared" ca="1" si="219"/>
        <v>1262774362234.1201</v>
      </c>
      <c r="G1579" s="47">
        <f t="shared" ca="1" si="220"/>
        <v>6892992373858.3457</v>
      </c>
      <c r="H1579" s="47">
        <f t="shared" ca="1" si="221"/>
        <v>74605386184741.703</v>
      </c>
      <c r="I1579" s="47">
        <f t="shared" ca="1" si="222"/>
        <v>17025602698598.639</v>
      </c>
      <c r="J1579" s="47">
        <f t="shared" ca="1" si="223"/>
        <v>1072873245003.88</v>
      </c>
      <c r="K1579" s="48">
        <f t="shared" ca="1" si="224"/>
        <v>15.869165139388919</v>
      </c>
    </row>
    <row r="1580" spans="2:11" ht="15" customHeight="1" x14ac:dyDescent="0.35">
      <c r="B1580" s="5">
        <v>1559</v>
      </c>
      <c r="C1580" s="46">
        <f t="shared" ca="1" si="216"/>
        <v>2.5263731059964054</v>
      </c>
      <c r="D1580" s="47">
        <f t="shared" ca="1" si="217"/>
        <v>2074249404.9540706</v>
      </c>
      <c r="E1580" s="47">
        <f t="shared" ca="1" si="218"/>
        <v>7454619275591.2158</v>
      </c>
      <c r="F1580" s="47">
        <f t="shared" ca="1" si="219"/>
        <v>5985108701187.7402</v>
      </c>
      <c r="G1580" s="47">
        <f t="shared" ca="1" si="220"/>
        <v>26878615644408.867</v>
      </c>
      <c r="H1580" s="47">
        <f t="shared" ca="1" si="221"/>
        <v>5985108701187.7402</v>
      </c>
      <c r="I1580" s="47">
        <f t="shared" ca="1" si="222"/>
        <v>5685876680058.0381</v>
      </c>
      <c r="J1580" s="47">
        <f t="shared" ca="1" si="223"/>
        <v>1909242731889.0576</v>
      </c>
      <c r="K1580" s="48">
        <f t="shared" ca="1" si="224"/>
        <v>2.9780795207910908</v>
      </c>
    </row>
    <row r="1581" spans="2:11" ht="15" customHeight="1" x14ac:dyDescent="0.35">
      <c r="B1581" s="5">
        <v>1560</v>
      </c>
      <c r="C1581" s="46">
        <f t="shared" ca="1" si="216"/>
        <v>3.3874373921874534</v>
      </c>
      <c r="D1581" s="47">
        <f t="shared" ca="1" si="217"/>
        <v>10457802176.983749</v>
      </c>
      <c r="E1581" s="47">
        <f t="shared" ca="1" si="218"/>
        <v>24511385862080.672</v>
      </c>
      <c r="F1581" s="47">
        <f t="shared" ca="1" si="219"/>
        <v>30869581607509.156</v>
      </c>
      <c r="G1581" s="47">
        <f t="shared" ca="1" si="220"/>
        <v>15330038645441.053</v>
      </c>
      <c r="H1581" s="47">
        <f t="shared" ca="1" si="221"/>
        <v>30869581607509.156</v>
      </c>
      <c r="I1581" s="47">
        <f t="shared" ca="1" si="222"/>
        <v>2552875164918.8335</v>
      </c>
      <c r="J1581" s="47">
        <f t="shared" ca="1" si="223"/>
        <v>1237691624614.0513</v>
      </c>
      <c r="K1581" s="48">
        <f t="shared" ca="1" si="224"/>
        <v>2.062610034801597</v>
      </c>
    </row>
    <row r="1582" spans="2:11" ht="15" customHeight="1" x14ac:dyDescent="0.35">
      <c r="B1582" s="5">
        <v>1561</v>
      </c>
      <c r="C1582" s="46">
        <f t="shared" ca="1" si="216"/>
        <v>3.8869648763923514</v>
      </c>
      <c r="D1582" s="47">
        <f t="shared" ca="1" si="217"/>
        <v>17120635592.777138</v>
      </c>
      <c r="E1582" s="47">
        <f t="shared" ca="1" si="218"/>
        <v>150522204168722.84</v>
      </c>
      <c r="F1582" s="47">
        <f t="shared" ca="1" si="219"/>
        <v>3147947683553.4712</v>
      </c>
      <c r="G1582" s="47">
        <f t="shared" ca="1" si="220"/>
        <v>19382660103470.023</v>
      </c>
      <c r="H1582" s="47">
        <f t="shared" ca="1" si="221"/>
        <v>3147947683553.4712</v>
      </c>
      <c r="I1582" s="47">
        <f t="shared" ca="1" si="222"/>
        <v>10492151985708.58</v>
      </c>
      <c r="J1582" s="47">
        <f t="shared" ca="1" si="223"/>
        <v>1268840607965.2285</v>
      </c>
      <c r="K1582" s="48">
        <f t="shared" ca="1" si="224"/>
        <v>8.2690859039688842</v>
      </c>
    </row>
    <row r="1583" spans="2:11" ht="15" customHeight="1" x14ac:dyDescent="0.35">
      <c r="B1583" s="5">
        <v>1562</v>
      </c>
      <c r="C1583" s="46">
        <f t="shared" ca="1" si="216"/>
        <v>3.2432651865764095</v>
      </c>
      <c r="D1583" s="47">
        <f t="shared" ca="1" si="217"/>
        <v>7792365337.1528273</v>
      </c>
      <c r="E1583" s="47">
        <f t="shared" ca="1" si="218"/>
        <v>30471570878392.961</v>
      </c>
      <c r="F1583" s="47">
        <f t="shared" ca="1" si="219"/>
        <v>1152624783576.3906</v>
      </c>
      <c r="G1583" s="47">
        <f t="shared" ca="1" si="220"/>
        <v>443164948501.14111</v>
      </c>
      <c r="H1583" s="47">
        <f t="shared" ca="1" si="221"/>
        <v>443164948501.14111</v>
      </c>
      <c r="I1583" s="47">
        <f t="shared" ca="1" si="222"/>
        <v>2673172373273.9873</v>
      </c>
      <c r="J1583" s="47">
        <f t="shared" ca="1" si="223"/>
        <v>1441332155464.9839</v>
      </c>
      <c r="K1583" s="48">
        <f t="shared" ca="1" si="224"/>
        <v>1.8546539485283342</v>
      </c>
    </row>
    <row r="1584" spans="2:11" ht="15" customHeight="1" x14ac:dyDescent="0.35">
      <c r="B1584" s="5">
        <v>1563</v>
      </c>
      <c r="C1584" s="46">
        <f t="shared" ca="1" si="216"/>
        <v>1.8881064821152349</v>
      </c>
      <c r="D1584" s="47">
        <f t="shared" ca="1" si="217"/>
        <v>391972623.95726031</v>
      </c>
      <c r="E1584" s="47">
        <f t="shared" ca="1" si="218"/>
        <v>622558811977.00171</v>
      </c>
      <c r="F1584" s="47">
        <f t="shared" ca="1" si="219"/>
        <v>1242003718343.2461</v>
      </c>
      <c r="G1584" s="47">
        <f t="shared" ca="1" si="220"/>
        <v>4763607528612.0088</v>
      </c>
      <c r="H1584" s="47">
        <f t="shared" ca="1" si="221"/>
        <v>4763607528612.0088</v>
      </c>
      <c r="I1584" s="47">
        <f t="shared" ca="1" si="222"/>
        <v>229785283148052.97</v>
      </c>
      <c r="J1584" s="47">
        <f t="shared" ca="1" si="223"/>
        <v>869158257242.33118</v>
      </c>
      <c r="K1584" s="48">
        <f t="shared" ca="1" si="224"/>
        <v>264.37680506783266</v>
      </c>
    </row>
    <row r="1585" spans="2:11" ht="15" customHeight="1" x14ac:dyDescent="0.35">
      <c r="B1585" s="5">
        <v>1564</v>
      </c>
      <c r="C1585" s="46">
        <f t="shared" ca="1" si="216"/>
        <v>2.9418181611040617</v>
      </c>
      <c r="D1585" s="47">
        <f t="shared" ca="1" si="217"/>
        <v>4501953875.9472752</v>
      </c>
      <c r="E1585" s="47">
        <f t="shared" ca="1" si="218"/>
        <v>12259214496541.021</v>
      </c>
      <c r="F1585" s="47">
        <f t="shared" ca="1" si="219"/>
        <v>6717545942119.3926</v>
      </c>
      <c r="G1585" s="47">
        <f t="shared" ca="1" si="220"/>
        <v>4280761398527.9766</v>
      </c>
      <c r="H1585" s="47">
        <f t="shared" ca="1" si="221"/>
        <v>12259214496541.021</v>
      </c>
      <c r="I1585" s="47">
        <f t="shared" ca="1" si="222"/>
        <v>10366695504903.549</v>
      </c>
      <c r="J1585" s="47">
        <f t="shared" ca="1" si="223"/>
        <v>1606538023999.9016</v>
      </c>
      <c r="K1585" s="48">
        <f t="shared" ca="1" si="224"/>
        <v>6.4528167712413778</v>
      </c>
    </row>
    <row r="1586" spans="2:11" ht="15" customHeight="1" x14ac:dyDescent="0.35">
      <c r="B1586" s="5">
        <v>1565</v>
      </c>
      <c r="C1586" s="46">
        <f t="shared" ca="1" si="216"/>
        <v>2.9027536913309047</v>
      </c>
      <c r="D1586" s="47">
        <f t="shared" ca="1" si="217"/>
        <v>3500668290.9687195</v>
      </c>
      <c r="E1586" s="47">
        <f t="shared" ca="1" si="218"/>
        <v>26668519705416.828</v>
      </c>
      <c r="F1586" s="47">
        <f t="shared" ca="1" si="219"/>
        <v>4604777950156.2881</v>
      </c>
      <c r="G1586" s="47">
        <f t="shared" ca="1" si="220"/>
        <v>3254469492203.9712</v>
      </c>
      <c r="H1586" s="47">
        <f t="shared" ca="1" si="221"/>
        <v>26668519705416.828</v>
      </c>
      <c r="I1586" s="47">
        <f t="shared" ca="1" si="222"/>
        <v>562523703728.24829</v>
      </c>
      <c r="J1586" s="47">
        <f t="shared" ca="1" si="223"/>
        <v>853399886908.24365</v>
      </c>
      <c r="K1586" s="48">
        <f t="shared" ca="1" si="224"/>
        <v>0.65915605609721628</v>
      </c>
    </row>
    <row r="1587" spans="2:11" ht="15" customHeight="1" x14ac:dyDescent="0.35">
      <c r="B1587" s="5">
        <v>1566</v>
      </c>
      <c r="C1587" s="46">
        <f t="shared" ca="1" si="216"/>
        <v>3.8247346205725963</v>
      </c>
      <c r="D1587" s="47">
        <f t="shared" ca="1" si="217"/>
        <v>16245211736.614569</v>
      </c>
      <c r="E1587" s="47">
        <f t="shared" ca="1" si="218"/>
        <v>66276375578879.484</v>
      </c>
      <c r="F1587" s="47">
        <f t="shared" ca="1" si="219"/>
        <v>2255308523854.8511</v>
      </c>
      <c r="G1587" s="47">
        <f t="shared" ca="1" si="220"/>
        <v>3852642217159.3164</v>
      </c>
      <c r="H1587" s="47">
        <f t="shared" ca="1" si="221"/>
        <v>3852642217159.3164</v>
      </c>
      <c r="I1587" s="47">
        <f t="shared" ca="1" si="222"/>
        <v>1116881148703.6567</v>
      </c>
      <c r="J1587" s="47">
        <f t="shared" ca="1" si="223"/>
        <v>1644516965765.1633</v>
      </c>
      <c r="K1587" s="48">
        <f t="shared" ca="1" si="224"/>
        <v>0.67915453105951551</v>
      </c>
    </row>
    <row r="1588" spans="2:11" ht="15" customHeight="1" x14ac:dyDescent="0.35">
      <c r="B1588" s="5">
        <v>1567</v>
      </c>
      <c r="C1588" s="46">
        <f t="shared" ca="1" si="216"/>
        <v>2.4656666468823061</v>
      </c>
      <c r="D1588" s="47">
        <f t="shared" ca="1" si="217"/>
        <v>2116803969.0145211</v>
      </c>
      <c r="E1588" s="47">
        <f t="shared" ca="1" si="218"/>
        <v>7823770610043.9678</v>
      </c>
      <c r="F1588" s="47">
        <f t="shared" ca="1" si="219"/>
        <v>5655573538404.2188</v>
      </c>
      <c r="G1588" s="47">
        <f t="shared" ca="1" si="220"/>
        <v>35938529882942.891</v>
      </c>
      <c r="H1588" s="47">
        <f t="shared" ca="1" si="221"/>
        <v>35938529882942.891</v>
      </c>
      <c r="I1588" s="47">
        <f t="shared" ca="1" si="222"/>
        <v>19123655842251.371</v>
      </c>
      <c r="J1588" s="47">
        <f t="shared" ca="1" si="223"/>
        <v>2510821482183.2915</v>
      </c>
      <c r="K1588" s="48">
        <f t="shared" ca="1" si="224"/>
        <v>7.6164936368245284</v>
      </c>
    </row>
    <row r="1589" spans="2:11" ht="15" customHeight="1" x14ac:dyDescent="0.35">
      <c r="B1589" s="5">
        <v>1568</v>
      </c>
      <c r="C1589" s="46">
        <f t="shared" ca="1" si="216"/>
        <v>2.406731373663118</v>
      </c>
      <c r="D1589" s="47">
        <f t="shared" ca="1" si="217"/>
        <v>1681335579.8449934</v>
      </c>
      <c r="E1589" s="47">
        <f t="shared" ca="1" si="218"/>
        <v>13076874237508.521</v>
      </c>
      <c r="F1589" s="47">
        <f t="shared" ca="1" si="219"/>
        <v>3883675084946.4849</v>
      </c>
      <c r="G1589" s="47">
        <f t="shared" ca="1" si="220"/>
        <v>1102929629227.4849</v>
      </c>
      <c r="H1589" s="47">
        <f t="shared" ca="1" si="221"/>
        <v>13076874237508.521</v>
      </c>
      <c r="I1589" s="47">
        <f t="shared" ca="1" si="222"/>
        <v>13670494115679.049</v>
      </c>
      <c r="J1589" s="47">
        <f t="shared" ca="1" si="223"/>
        <v>1182081370840.8792</v>
      </c>
      <c r="K1589" s="48">
        <f t="shared" ca="1" si="224"/>
        <v>11.564765719938958</v>
      </c>
    </row>
    <row r="1590" spans="2:11" ht="15" customHeight="1" x14ac:dyDescent="0.35">
      <c r="B1590" s="5">
        <v>1569</v>
      </c>
      <c r="C1590" s="46">
        <f t="shared" ca="1" si="216"/>
        <v>1.9092034666466213</v>
      </c>
      <c r="D1590" s="47">
        <f t="shared" ca="1" si="217"/>
        <v>578902057.84786856</v>
      </c>
      <c r="E1590" s="47">
        <f t="shared" ca="1" si="218"/>
        <v>1391866453154.9463</v>
      </c>
      <c r="F1590" s="47">
        <f t="shared" ca="1" si="219"/>
        <v>7174601777716.5361</v>
      </c>
      <c r="G1590" s="47">
        <f t="shared" ca="1" si="220"/>
        <v>24377190719795.391</v>
      </c>
      <c r="H1590" s="47">
        <f t="shared" ca="1" si="221"/>
        <v>7174601777716.5361</v>
      </c>
      <c r="I1590" s="47">
        <f t="shared" ca="1" si="222"/>
        <v>18944253311676.379</v>
      </c>
      <c r="J1590" s="47">
        <f t="shared" ca="1" si="223"/>
        <v>1908380418711.6482</v>
      </c>
      <c r="K1590" s="48">
        <f t="shared" ca="1" si="224"/>
        <v>9.9268747079608399</v>
      </c>
    </row>
    <row r="1591" spans="2:11" ht="15" customHeight="1" x14ac:dyDescent="0.35">
      <c r="B1591" s="5">
        <v>1570</v>
      </c>
      <c r="C1591" s="46">
        <f t="shared" ca="1" si="216"/>
        <v>3.1124109873779138</v>
      </c>
      <c r="D1591" s="47">
        <f t="shared" ca="1" si="217"/>
        <v>5650943254.2506247</v>
      </c>
      <c r="E1591" s="47">
        <f t="shared" ca="1" si="218"/>
        <v>23049364172035.543</v>
      </c>
      <c r="F1591" s="47">
        <f t="shared" ca="1" si="219"/>
        <v>807828349328.09631</v>
      </c>
      <c r="G1591" s="47">
        <f t="shared" ca="1" si="220"/>
        <v>1842346367446.6733</v>
      </c>
      <c r="H1591" s="47">
        <f t="shared" ca="1" si="221"/>
        <v>807828349328.09631</v>
      </c>
      <c r="I1591" s="47">
        <f t="shared" ca="1" si="222"/>
        <v>152438154748842.69</v>
      </c>
      <c r="J1591" s="47">
        <f t="shared" ca="1" si="223"/>
        <v>1603143799395.1216</v>
      </c>
      <c r="K1591" s="48">
        <f t="shared" ca="1" si="224"/>
        <v>95.087012659973965</v>
      </c>
    </row>
    <row r="1592" spans="2:11" ht="15" customHeight="1" x14ac:dyDescent="0.35">
      <c r="B1592" s="5">
        <v>1571</v>
      </c>
      <c r="C1592" s="46">
        <f t="shared" ca="1" si="216"/>
        <v>4.158456807722331</v>
      </c>
      <c r="D1592" s="47">
        <f t="shared" ca="1" si="217"/>
        <v>28759801258.121731</v>
      </c>
      <c r="E1592" s="47">
        <f t="shared" ca="1" si="218"/>
        <v>73079968779391.453</v>
      </c>
      <c r="F1592" s="47">
        <f t="shared" ca="1" si="219"/>
        <v>2542356626375.6328</v>
      </c>
      <c r="G1592" s="47">
        <f t="shared" ca="1" si="220"/>
        <v>13920708685355.139</v>
      </c>
      <c r="H1592" s="47">
        <f t="shared" ca="1" si="221"/>
        <v>2542356626375.6328</v>
      </c>
      <c r="I1592" s="47">
        <f t="shared" ca="1" si="222"/>
        <v>10268068573416.385</v>
      </c>
      <c r="J1592" s="47">
        <f t="shared" ca="1" si="223"/>
        <v>1054768823519.3903</v>
      </c>
      <c r="K1592" s="48">
        <f t="shared" ca="1" si="224"/>
        <v>9.7348995765304043</v>
      </c>
    </row>
    <row r="1593" spans="2:11" ht="15" customHeight="1" x14ac:dyDescent="0.35">
      <c r="B1593" s="5">
        <v>1572</v>
      </c>
      <c r="C1593" s="46">
        <f t="shared" ca="1" si="216"/>
        <v>2.7807245628417352</v>
      </c>
      <c r="D1593" s="47">
        <f t="shared" ca="1" si="217"/>
        <v>2867456101.3441629</v>
      </c>
      <c r="E1593" s="47">
        <f t="shared" ca="1" si="218"/>
        <v>4085530218356.2754</v>
      </c>
      <c r="F1593" s="47">
        <f t="shared" ca="1" si="219"/>
        <v>3642517218994.3418</v>
      </c>
      <c r="G1593" s="47">
        <f t="shared" ca="1" si="220"/>
        <v>283442986317.36298</v>
      </c>
      <c r="H1593" s="47">
        <f t="shared" ca="1" si="221"/>
        <v>3642517218994.3418</v>
      </c>
      <c r="I1593" s="47">
        <f t="shared" ca="1" si="222"/>
        <v>11856918036868.559</v>
      </c>
      <c r="J1593" s="47">
        <f t="shared" ca="1" si="223"/>
        <v>1698713627820.3442</v>
      </c>
      <c r="K1593" s="48">
        <f t="shared" ca="1" si="224"/>
        <v>6.9799393156587692</v>
      </c>
    </row>
    <row r="1594" spans="2:11" ht="15" customHeight="1" x14ac:dyDescent="0.35">
      <c r="B1594" s="5">
        <v>1573</v>
      </c>
      <c r="C1594" s="46">
        <f t="shared" ca="1" si="216"/>
        <v>1.9247073916459627</v>
      </c>
      <c r="D1594" s="47">
        <f t="shared" ca="1" si="217"/>
        <v>435194335.47839725</v>
      </c>
      <c r="E1594" s="47">
        <f t="shared" ca="1" si="218"/>
        <v>7731356786096.04</v>
      </c>
      <c r="F1594" s="47">
        <f t="shared" ca="1" si="219"/>
        <v>3219868429693.4258</v>
      </c>
      <c r="G1594" s="47">
        <f t="shared" ca="1" si="220"/>
        <v>7147134771700.5771</v>
      </c>
      <c r="H1594" s="47">
        <f t="shared" ca="1" si="221"/>
        <v>3219868429693.4258</v>
      </c>
      <c r="I1594" s="47">
        <f t="shared" ca="1" si="222"/>
        <v>5533884012731.3574</v>
      </c>
      <c r="J1594" s="47">
        <f t="shared" ca="1" si="223"/>
        <v>1039648642343.9097</v>
      </c>
      <c r="K1594" s="48">
        <f t="shared" ca="1" si="224"/>
        <v>5.3228406091649383</v>
      </c>
    </row>
    <row r="1595" spans="2:11" ht="15" customHeight="1" x14ac:dyDescent="0.35">
      <c r="B1595" s="5">
        <v>1574</v>
      </c>
      <c r="C1595" s="46">
        <f t="shared" ca="1" si="216"/>
        <v>3.2765104949894628</v>
      </c>
      <c r="D1595" s="47">
        <f t="shared" ca="1" si="217"/>
        <v>6185944215.5274868</v>
      </c>
      <c r="E1595" s="47">
        <f t="shared" ca="1" si="218"/>
        <v>21436115866206.199</v>
      </c>
      <c r="F1595" s="47">
        <f t="shared" ca="1" si="219"/>
        <v>3620131771539.668</v>
      </c>
      <c r="G1595" s="47">
        <f t="shared" ca="1" si="220"/>
        <v>1632011939116.6626</v>
      </c>
      <c r="H1595" s="47">
        <f t="shared" ca="1" si="221"/>
        <v>3620131771539.668</v>
      </c>
      <c r="I1595" s="47">
        <f t="shared" ca="1" si="222"/>
        <v>5627990287934.7158</v>
      </c>
      <c r="J1595" s="47">
        <f t="shared" ca="1" si="223"/>
        <v>1451843154946.1924</v>
      </c>
      <c r="K1595" s="48">
        <f t="shared" ca="1" si="224"/>
        <v>3.8764451027379043</v>
      </c>
    </row>
    <row r="1596" spans="2:11" ht="15" customHeight="1" x14ac:dyDescent="0.35">
      <c r="B1596" s="5">
        <v>1575</v>
      </c>
      <c r="C1596" s="46">
        <f t="shared" ca="1" si="216"/>
        <v>2.8182282699555534</v>
      </c>
      <c r="D1596" s="47">
        <f t="shared" ca="1" si="217"/>
        <v>3049228562.2341514</v>
      </c>
      <c r="E1596" s="47">
        <f t="shared" ca="1" si="218"/>
        <v>5250530937539.4834</v>
      </c>
      <c r="F1596" s="47">
        <f t="shared" ca="1" si="219"/>
        <v>3191105660107.3364</v>
      </c>
      <c r="G1596" s="47">
        <f t="shared" ca="1" si="220"/>
        <v>368443486427.60809</v>
      </c>
      <c r="H1596" s="47">
        <f t="shared" ca="1" si="221"/>
        <v>3191105660107.3364</v>
      </c>
      <c r="I1596" s="47">
        <f t="shared" ca="1" si="222"/>
        <v>1980128762234.8525</v>
      </c>
      <c r="J1596" s="47">
        <f t="shared" ca="1" si="223"/>
        <v>675408898806.7262</v>
      </c>
      <c r="K1596" s="48">
        <f t="shared" ca="1" si="224"/>
        <v>2.9317481095277702</v>
      </c>
    </row>
    <row r="1597" spans="2:11" ht="15" customHeight="1" x14ac:dyDescent="0.35">
      <c r="B1597" s="5">
        <v>1576</v>
      </c>
      <c r="C1597" s="46">
        <f t="shared" ca="1" si="216"/>
        <v>3.8338030294726981</v>
      </c>
      <c r="D1597" s="47">
        <f t="shared" ca="1" si="217"/>
        <v>17648439154.527035</v>
      </c>
      <c r="E1597" s="47">
        <f t="shared" ca="1" si="218"/>
        <v>26125588852844.152</v>
      </c>
      <c r="F1597" s="47">
        <f t="shared" ca="1" si="219"/>
        <v>5658068729727.6563</v>
      </c>
      <c r="G1597" s="47">
        <f t="shared" ca="1" si="220"/>
        <v>1527073460349.4927</v>
      </c>
      <c r="H1597" s="47">
        <f t="shared" ca="1" si="221"/>
        <v>1527073460349.4927</v>
      </c>
      <c r="I1597" s="47">
        <f t="shared" ca="1" si="222"/>
        <v>7429092513582.6982</v>
      </c>
      <c r="J1597" s="47">
        <f t="shared" ca="1" si="223"/>
        <v>917353528970.92383</v>
      </c>
      <c r="K1597" s="48">
        <f t="shared" ca="1" si="224"/>
        <v>8.0983963967703545</v>
      </c>
    </row>
    <row r="1598" spans="2:11" ht="15" customHeight="1" x14ac:dyDescent="0.35">
      <c r="B1598" s="5">
        <v>1577</v>
      </c>
      <c r="C1598" s="46">
        <f t="shared" ca="1" si="216"/>
        <v>2.8180202110302934</v>
      </c>
      <c r="D1598" s="47">
        <f t="shared" ca="1" si="217"/>
        <v>4015769324.1777306</v>
      </c>
      <c r="E1598" s="47">
        <f t="shared" ca="1" si="218"/>
        <v>8448622498976.3926</v>
      </c>
      <c r="F1598" s="47">
        <f t="shared" ca="1" si="219"/>
        <v>4464126743343.541</v>
      </c>
      <c r="G1598" s="47">
        <f t="shared" ca="1" si="220"/>
        <v>2647462038191.5259</v>
      </c>
      <c r="H1598" s="47">
        <f t="shared" ca="1" si="221"/>
        <v>8448622498976.3926</v>
      </c>
      <c r="I1598" s="47">
        <f t="shared" ca="1" si="222"/>
        <v>28816961852715.148</v>
      </c>
      <c r="J1598" s="47">
        <f t="shared" ca="1" si="223"/>
        <v>783993917839.86536</v>
      </c>
      <c r="K1598" s="48">
        <f t="shared" ca="1" si="224"/>
        <v>36.756614046336459</v>
      </c>
    </row>
    <row r="1599" spans="2:11" ht="15" customHeight="1" x14ac:dyDescent="0.35">
      <c r="B1599" s="5">
        <v>1578</v>
      </c>
      <c r="C1599" s="46">
        <f t="shared" ca="1" si="216"/>
        <v>3.1212333527186931</v>
      </c>
      <c r="D1599" s="47">
        <f t="shared" ca="1" si="217"/>
        <v>5033251736.1923494</v>
      </c>
      <c r="E1599" s="47">
        <f t="shared" ca="1" si="218"/>
        <v>17244052168700.133</v>
      </c>
      <c r="F1599" s="47">
        <f t="shared" ca="1" si="219"/>
        <v>1610243725947.4475</v>
      </c>
      <c r="G1599" s="47">
        <f t="shared" ca="1" si="220"/>
        <v>2699489238943.6084</v>
      </c>
      <c r="H1599" s="47">
        <f t="shared" ca="1" si="221"/>
        <v>17244052168700.133</v>
      </c>
      <c r="I1599" s="47">
        <f t="shared" ca="1" si="222"/>
        <v>21486540932558.141</v>
      </c>
      <c r="J1599" s="47">
        <f t="shared" ca="1" si="223"/>
        <v>1212656305299.0933</v>
      </c>
      <c r="K1599" s="48">
        <f t="shared" ca="1" si="224"/>
        <v>17.718574371539376</v>
      </c>
    </row>
    <row r="1600" spans="2:11" ht="15" customHeight="1" x14ac:dyDescent="0.35">
      <c r="B1600" s="5">
        <v>1579</v>
      </c>
      <c r="C1600" s="46">
        <f t="shared" ca="1" si="216"/>
        <v>3.7070514512532498</v>
      </c>
      <c r="D1600" s="47">
        <f t="shared" ca="1" si="217"/>
        <v>13670213206.451109</v>
      </c>
      <c r="E1600" s="47">
        <f t="shared" ca="1" si="218"/>
        <v>34631327431900.563</v>
      </c>
      <c r="F1600" s="47">
        <f t="shared" ca="1" si="219"/>
        <v>20365370464905.152</v>
      </c>
      <c r="G1600" s="47">
        <f t="shared" ca="1" si="220"/>
        <v>9474414084870.2988</v>
      </c>
      <c r="H1600" s="47">
        <f t="shared" ca="1" si="221"/>
        <v>20365370464905.152</v>
      </c>
      <c r="I1600" s="47">
        <f t="shared" ca="1" si="222"/>
        <v>37012914121443.844</v>
      </c>
      <c r="J1600" s="47">
        <f t="shared" ca="1" si="223"/>
        <v>765578171428.64075</v>
      </c>
      <c r="K1600" s="48">
        <f t="shared" ca="1" si="224"/>
        <v>48.346355085300132</v>
      </c>
    </row>
    <row r="1601" spans="2:11" ht="15" customHeight="1" x14ac:dyDescent="0.35">
      <c r="B1601" s="5">
        <v>1580</v>
      </c>
      <c r="C1601" s="46">
        <f t="shared" ca="1" si="216"/>
        <v>2.6161359095768169</v>
      </c>
      <c r="D1601" s="47">
        <f t="shared" ca="1" si="217"/>
        <v>2501478588.1577849</v>
      </c>
      <c r="E1601" s="47">
        <f t="shared" ca="1" si="218"/>
        <v>2450387330357.1948</v>
      </c>
      <c r="F1601" s="47">
        <f t="shared" ca="1" si="219"/>
        <v>1495617815323.8408</v>
      </c>
      <c r="G1601" s="47">
        <f t="shared" ca="1" si="220"/>
        <v>11653477192540.896</v>
      </c>
      <c r="H1601" s="47">
        <f t="shared" ca="1" si="221"/>
        <v>1495617815323.8408</v>
      </c>
      <c r="I1601" s="47">
        <f t="shared" ca="1" si="222"/>
        <v>18236967028878.965</v>
      </c>
      <c r="J1601" s="47">
        <f t="shared" ca="1" si="223"/>
        <v>2514715912391.8887</v>
      </c>
      <c r="K1601" s="48">
        <f t="shared" ca="1" si="224"/>
        <v>7.2520983141720983</v>
      </c>
    </row>
    <row r="1602" spans="2:11" ht="15" customHeight="1" x14ac:dyDescent="0.35">
      <c r="B1602" s="5">
        <v>1581</v>
      </c>
      <c r="C1602" s="46">
        <f t="shared" ca="1" si="216"/>
        <v>3.0133531509477733</v>
      </c>
      <c r="D1602" s="47">
        <f t="shared" ca="1" si="217"/>
        <v>5204741465.8790665</v>
      </c>
      <c r="E1602" s="47">
        <f t="shared" ca="1" si="218"/>
        <v>22666757127024.609</v>
      </c>
      <c r="F1602" s="47">
        <f t="shared" ca="1" si="219"/>
        <v>3654711638204.3179</v>
      </c>
      <c r="G1602" s="47">
        <f t="shared" ca="1" si="220"/>
        <v>7213265971358.3369</v>
      </c>
      <c r="H1602" s="47">
        <f t="shared" ca="1" si="221"/>
        <v>3654711638204.3179</v>
      </c>
      <c r="I1602" s="47">
        <f t="shared" ca="1" si="222"/>
        <v>7880751568315.002</v>
      </c>
      <c r="J1602" s="47">
        <f t="shared" ca="1" si="223"/>
        <v>1977482765326.55</v>
      </c>
      <c r="K1602" s="48">
        <f t="shared" ca="1" si="224"/>
        <v>3.9852441227287358</v>
      </c>
    </row>
    <row r="1603" spans="2:11" ht="15" customHeight="1" x14ac:dyDescent="0.35">
      <c r="B1603" s="5">
        <v>1582</v>
      </c>
      <c r="C1603" s="46">
        <f t="shared" ca="1" si="216"/>
        <v>3.400519961461991</v>
      </c>
      <c r="D1603" s="47">
        <f t="shared" ca="1" si="217"/>
        <v>10300049179.098501</v>
      </c>
      <c r="E1603" s="47">
        <f t="shared" ca="1" si="218"/>
        <v>44781089144201.32</v>
      </c>
      <c r="F1603" s="47">
        <f t="shared" ca="1" si="219"/>
        <v>3464219995069.7446</v>
      </c>
      <c r="G1603" s="47">
        <f t="shared" ca="1" si="220"/>
        <v>6588323766654.9385</v>
      </c>
      <c r="H1603" s="47">
        <f t="shared" ca="1" si="221"/>
        <v>6588323766654.9385</v>
      </c>
      <c r="I1603" s="47">
        <f t="shared" ca="1" si="222"/>
        <v>4709642734428.9736</v>
      </c>
      <c r="J1603" s="47">
        <f t="shared" ca="1" si="223"/>
        <v>1076655328611.8701</v>
      </c>
      <c r="K1603" s="48">
        <f t="shared" ca="1" si="224"/>
        <v>4.3743272422206907</v>
      </c>
    </row>
    <row r="1604" spans="2:11" ht="15" customHeight="1" x14ac:dyDescent="0.35">
      <c r="B1604" s="5">
        <v>1583</v>
      </c>
      <c r="C1604" s="46">
        <f t="shared" ca="1" si="216"/>
        <v>2.9930548029415798</v>
      </c>
      <c r="D1604" s="47">
        <f t="shared" ca="1" si="217"/>
        <v>3962816774.5992379</v>
      </c>
      <c r="E1604" s="47">
        <f t="shared" ca="1" si="218"/>
        <v>5764909115292.4814</v>
      </c>
      <c r="F1604" s="47">
        <f t="shared" ca="1" si="219"/>
        <v>3322181252048.1372</v>
      </c>
      <c r="G1604" s="47">
        <f t="shared" ca="1" si="220"/>
        <v>66994083959419.484</v>
      </c>
      <c r="H1604" s="47">
        <f t="shared" ca="1" si="221"/>
        <v>5764909115292.4814</v>
      </c>
      <c r="I1604" s="47">
        <f t="shared" ca="1" si="222"/>
        <v>2891482116038.4048</v>
      </c>
      <c r="J1604" s="47">
        <f t="shared" ca="1" si="223"/>
        <v>1961236356167.6057</v>
      </c>
      <c r="K1604" s="48">
        <f t="shared" ca="1" si="224"/>
        <v>1.4743159879457695</v>
      </c>
    </row>
    <row r="1605" spans="2:11" ht="15" customHeight="1" x14ac:dyDescent="0.35">
      <c r="B1605" s="5">
        <v>1584</v>
      </c>
      <c r="C1605" s="46">
        <f t="shared" ca="1" si="216"/>
        <v>3.0251657662170657</v>
      </c>
      <c r="D1605" s="47">
        <f t="shared" ca="1" si="217"/>
        <v>4245095159.618638</v>
      </c>
      <c r="E1605" s="47">
        <f t="shared" ca="1" si="218"/>
        <v>23995620270075.238</v>
      </c>
      <c r="F1605" s="47">
        <f t="shared" ca="1" si="219"/>
        <v>3081367795532.7671</v>
      </c>
      <c r="G1605" s="47">
        <f t="shared" ca="1" si="220"/>
        <v>19799168366219.781</v>
      </c>
      <c r="H1605" s="47">
        <f t="shared" ca="1" si="221"/>
        <v>23995620270075.238</v>
      </c>
      <c r="I1605" s="47">
        <f t="shared" ca="1" si="222"/>
        <v>40072233325014.492</v>
      </c>
      <c r="J1605" s="47">
        <f t="shared" ca="1" si="223"/>
        <v>1206800448159.5706</v>
      </c>
      <c r="K1605" s="48">
        <f t="shared" ca="1" si="224"/>
        <v>33.205351710074851</v>
      </c>
    </row>
    <row r="1606" spans="2:11" ht="15" customHeight="1" x14ac:dyDescent="0.35">
      <c r="B1606" s="5">
        <v>1585</v>
      </c>
      <c r="C1606" s="46">
        <f t="shared" ca="1" si="216"/>
        <v>2.7821166313040928</v>
      </c>
      <c r="D1606" s="47">
        <f t="shared" ca="1" si="217"/>
        <v>3097259544.6293049</v>
      </c>
      <c r="E1606" s="47">
        <f t="shared" ca="1" si="218"/>
        <v>8878328910689.2305</v>
      </c>
      <c r="F1606" s="47">
        <f t="shared" ca="1" si="219"/>
        <v>3690605491879.9448</v>
      </c>
      <c r="G1606" s="47">
        <f t="shared" ca="1" si="220"/>
        <v>3645421357692.4927</v>
      </c>
      <c r="H1606" s="47">
        <f t="shared" ca="1" si="221"/>
        <v>3690605491879.9448</v>
      </c>
      <c r="I1606" s="47">
        <f t="shared" ca="1" si="222"/>
        <v>8772682552275.3896</v>
      </c>
      <c r="J1606" s="47">
        <f t="shared" ca="1" si="223"/>
        <v>1480766371605.9358</v>
      </c>
      <c r="K1606" s="48">
        <f t="shared" ca="1" si="224"/>
        <v>5.9244204355891412</v>
      </c>
    </row>
    <row r="1607" spans="2:11" ht="15" customHeight="1" x14ac:dyDescent="0.35">
      <c r="B1607" s="5">
        <v>1586</v>
      </c>
      <c r="C1607" s="46">
        <f t="shared" ca="1" si="216"/>
        <v>2.7195500559074826</v>
      </c>
      <c r="D1607" s="47">
        <f t="shared" ca="1" si="217"/>
        <v>3099144961.1179953</v>
      </c>
      <c r="E1607" s="47">
        <f t="shared" ca="1" si="218"/>
        <v>10759740202812.596</v>
      </c>
      <c r="F1607" s="47">
        <f t="shared" ca="1" si="219"/>
        <v>6813198639948.5332</v>
      </c>
      <c r="G1607" s="47">
        <f t="shared" ca="1" si="220"/>
        <v>82346339555335.141</v>
      </c>
      <c r="H1607" s="47">
        <f t="shared" ca="1" si="221"/>
        <v>6813198639948.5332</v>
      </c>
      <c r="I1607" s="47">
        <f t="shared" ca="1" si="222"/>
        <v>7241673410090.2617</v>
      </c>
      <c r="J1607" s="47">
        <f t="shared" ca="1" si="223"/>
        <v>916243988293.53296</v>
      </c>
      <c r="K1607" s="48">
        <f t="shared" ca="1" si="224"/>
        <v>7.9036517593720674</v>
      </c>
    </row>
    <row r="1608" spans="2:11" ht="15" customHeight="1" x14ac:dyDescent="0.35">
      <c r="B1608" s="5">
        <v>1587</v>
      </c>
      <c r="C1608" s="46">
        <f t="shared" ca="1" si="216"/>
        <v>3.2091402852778268</v>
      </c>
      <c r="D1608" s="47">
        <f t="shared" ca="1" si="217"/>
        <v>6418579545.6178608</v>
      </c>
      <c r="E1608" s="47">
        <f t="shared" ca="1" si="218"/>
        <v>17253906081239.246</v>
      </c>
      <c r="F1608" s="47">
        <f t="shared" ca="1" si="219"/>
        <v>2920349792722.0005</v>
      </c>
      <c r="G1608" s="47">
        <f t="shared" ca="1" si="220"/>
        <v>1417265255345.2837</v>
      </c>
      <c r="H1608" s="47">
        <f t="shared" ca="1" si="221"/>
        <v>1417265255345.2837</v>
      </c>
      <c r="I1608" s="47">
        <f t="shared" ca="1" si="222"/>
        <v>29652665846378.445</v>
      </c>
      <c r="J1608" s="47">
        <f t="shared" ca="1" si="223"/>
        <v>1856453627509.2859</v>
      </c>
      <c r="K1608" s="48">
        <f t="shared" ca="1" si="224"/>
        <v>15.972747935622822</v>
      </c>
    </row>
    <row r="1609" spans="2:11" ht="15" customHeight="1" x14ac:dyDescent="0.35">
      <c r="B1609" s="5">
        <v>1588</v>
      </c>
      <c r="C1609" s="46">
        <f t="shared" ca="1" si="216"/>
        <v>3.0600571459948087</v>
      </c>
      <c r="D1609" s="47">
        <f t="shared" ca="1" si="217"/>
        <v>5243249287.6176434</v>
      </c>
      <c r="E1609" s="47">
        <f t="shared" ca="1" si="218"/>
        <v>32483400187727.52</v>
      </c>
      <c r="F1609" s="47">
        <f t="shared" ca="1" si="219"/>
        <v>471342938406.75012</v>
      </c>
      <c r="G1609" s="47">
        <f t="shared" ca="1" si="220"/>
        <v>6197515793446.1973</v>
      </c>
      <c r="H1609" s="47">
        <f t="shared" ca="1" si="221"/>
        <v>32483400187727.52</v>
      </c>
      <c r="I1609" s="47">
        <f t="shared" ca="1" si="222"/>
        <v>1784821008863.0444</v>
      </c>
      <c r="J1609" s="47">
        <f t="shared" ca="1" si="223"/>
        <v>2124896730188.9629</v>
      </c>
      <c r="K1609" s="48">
        <f t="shared" ca="1" si="224"/>
        <v>0.83995658871587786</v>
      </c>
    </row>
    <row r="1610" spans="2:11" ht="15" customHeight="1" x14ac:dyDescent="0.35">
      <c r="B1610" s="5">
        <v>1589</v>
      </c>
      <c r="C1610" s="46">
        <f t="shared" ca="1" si="216"/>
        <v>3.0170278770756864</v>
      </c>
      <c r="D1610" s="47">
        <f t="shared" ca="1" si="217"/>
        <v>5774650623.8626957</v>
      </c>
      <c r="E1610" s="47">
        <f t="shared" ca="1" si="218"/>
        <v>83935000975774.734</v>
      </c>
      <c r="F1610" s="47">
        <f t="shared" ca="1" si="219"/>
        <v>1737021810970.7654</v>
      </c>
      <c r="G1610" s="47">
        <f t="shared" ca="1" si="220"/>
        <v>2769366980958.2583</v>
      </c>
      <c r="H1610" s="47">
        <f t="shared" ca="1" si="221"/>
        <v>83935000975774.734</v>
      </c>
      <c r="I1610" s="47">
        <f t="shared" ca="1" si="222"/>
        <v>6779306446345.9619</v>
      </c>
      <c r="J1610" s="47">
        <f t="shared" ca="1" si="223"/>
        <v>2054607394801.5007</v>
      </c>
      <c r="K1610" s="48">
        <f t="shared" ca="1" si="224"/>
        <v>3.2995629547030432</v>
      </c>
    </row>
    <row r="1611" spans="2:11" ht="15" customHeight="1" x14ac:dyDescent="0.35">
      <c r="B1611" s="5">
        <v>1590</v>
      </c>
      <c r="C1611" s="46">
        <f t="shared" ca="1" si="216"/>
        <v>2.7596160896173498</v>
      </c>
      <c r="D1611" s="47">
        <f t="shared" ca="1" si="217"/>
        <v>2935452829.3642478</v>
      </c>
      <c r="E1611" s="47">
        <f t="shared" ca="1" si="218"/>
        <v>14184841621769.445</v>
      </c>
      <c r="F1611" s="47">
        <f t="shared" ca="1" si="219"/>
        <v>19380707601966.359</v>
      </c>
      <c r="G1611" s="47">
        <f t="shared" ca="1" si="220"/>
        <v>70233206434093.359</v>
      </c>
      <c r="H1611" s="47">
        <f t="shared" ca="1" si="221"/>
        <v>19380707601966.359</v>
      </c>
      <c r="I1611" s="47">
        <f t="shared" ca="1" si="222"/>
        <v>2599229774764.9033</v>
      </c>
      <c r="J1611" s="47">
        <f t="shared" ca="1" si="223"/>
        <v>1141012894298.0908</v>
      </c>
      <c r="K1611" s="48">
        <f t="shared" ca="1" si="224"/>
        <v>2.2780021047561028</v>
      </c>
    </row>
    <row r="1612" spans="2:11" ht="15" customHeight="1" x14ac:dyDescent="0.35">
      <c r="B1612" s="5">
        <v>1591</v>
      </c>
      <c r="C1612" s="46">
        <f t="shared" ca="1" si="216"/>
        <v>2.8700558873490798</v>
      </c>
      <c r="D1612" s="47">
        <f t="shared" ca="1" si="217"/>
        <v>3870986401.3807898</v>
      </c>
      <c r="E1612" s="47">
        <f t="shared" ca="1" si="218"/>
        <v>17458829374633.975</v>
      </c>
      <c r="F1612" s="47">
        <f t="shared" ca="1" si="219"/>
        <v>1135522322587.679</v>
      </c>
      <c r="G1612" s="47">
        <f t="shared" ca="1" si="220"/>
        <v>885974751405.80188</v>
      </c>
      <c r="H1612" s="47">
        <f t="shared" ca="1" si="221"/>
        <v>1135522322587.679</v>
      </c>
      <c r="I1612" s="47">
        <f t="shared" ca="1" si="222"/>
        <v>5389779616958.0742</v>
      </c>
      <c r="J1612" s="47">
        <f t="shared" ca="1" si="223"/>
        <v>644686611831.39636</v>
      </c>
      <c r="K1612" s="48">
        <f t="shared" ca="1" si="224"/>
        <v>8.3603095179020919</v>
      </c>
    </row>
    <row r="1613" spans="2:11" ht="15" customHeight="1" x14ac:dyDescent="0.35">
      <c r="B1613" s="5">
        <v>1592</v>
      </c>
      <c r="C1613" s="46">
        <f t="shared" ca="1" si="216"/>
        <v>3.1877793886094326</v>
      </c>
      <c r="D1613" s="47">
        <f t="shared" ca="1" si="217"/>
        <v>5569843976.144475</v>
      </c>
      <c r="E1613" s="47">
        <f t="shared" ca="1" si="218"/>
        <v>14775569566465.148</v>
      </c>
      <c r="F1613" s="47">
        <f t="shared" ca="1" si="219"/>
        <v>12274348347772.301</v>
      </c>
      <c r="G1613" s="47">
        <f t="shared" ca="1" si="220"/>
        <v>1583231898232.5962</v>
      </c>
      <c r="H1613" s="47">
        <f t="shared" ca="1" si="221"/>
        <v>1583231898232.5962</v>
      </c>
      <c r="I1613" s="47">
        <f t="shared" ca="1" si="222"/>
        <v>6061088661534.8672</v>
      </c>
      <c r="J1613" s="47">
        <f t="shared" ca="1" si="223"/>
        <v>871185492062.91406</v>
      </c>
      <c r="K1613" s="48">
        <f t="shared" ca="1" si="224"/>
        <v>6.9572883349820014</v>
      </c>
    </row>
    <row r="1614" spans="2:11" ht="15" customHeight="1" x14ac:dyDescent="0.35">
      <c r="B1614" s="5">
        <v>1593</v>
      </c>
      <c r="C1614" s="46">
        <f t="shared" ca="1" si="216"/>
        <v>3.4614838626378082</v>
      </c>
      <c r="D1614" s="47">
        <f t="shared" ca="1" si="217"/>
        <v>9261456811.2942486</v>
      </c>
      <c r="E1614" s="47">
        <f t="shared" ca="1" si="218"/>
        <v>40357341941711.758</v>
      </c>
      <c r="F1614" s="47">
        <f t="shared" ca="1" si="219"/>
        <v>2359886493146.7427</v>
      </c>
      <c r="G1614" s="47">
        <f t="shared" ca="1" si="220"/>
        <v>61361544575207.32</v>
      </c>
      <c r="H1614" s="47">
        <f t="shared" ca="1" si="221"/>
        <v>61361544575207.32</v>
      </c>
      <c r="I1614" s="47">
        <f t="shared" ca="1" si="222"/>
        <v>3590885263128.8296</v>
      </c>
      <c r="J1614" s="47">
        <f t="shared" ca="1" si="223"/>
        <v>1440582002055.7461</v>
      </c>
      <c r="K1614" s="48">
        <f t="shared" ca="1" si="224"/>
        <v>2.4926628668167083</v>
      </c>
    </row>
    <row r="1615" spans="2:11" ht="15" customHeight="1" x14ac:dyDescent="0.35">
      <c r="B1615" s="5">
        <v>1594</v>
      </c>
      <c r="C1615" s="46">
        <f t="shared" ca="1" si="216"/>
        <v>3.9652704025583909</v>
      </c>
      <c r="D1615" s="47">
        <f t="shared" ca="1" si="217"/>
        <v>20565618635.183159</v>
      </c>
      <c r="E1615" s="47">
        <f t="shared" ca="1" si="218"/>
        <v>25959673307616.945</v>
      </c>
      <c r="F1615" s="47">
        <f t="shared" ca="1" si="219"/>
        <v>615808625324.76563</v>
      </c>
      <c r="G1615" s="47">
        <f t="shared" ca="1" si="220"/>
        <v>25911869070273.75</v>
      </c>
      <c r="H1615" s="47">
        <f t="shared" ca="1" si="221"/>
        <v>25959673307616.945</v>
      </c>
      <c r="I1615" s="47">
        <f t="shared" ca="1" si="222"/>
        <v>72229529184111.906</v>
      </c>
      <c r="J1615" s="47">
        <f t="shared" ca="1" si="223"/>
        <v>1556612060325.3044</v>
      </c>
      <c r="K1615" s="48">
        <f t="shared" ca="1" si="224"/>
        <v>46.401753542252017</v>
      </c>
    </row>
    <row r="1616" spans="2:11" ht="15" customHeight="1" x14ac:dyDescent="0.35">
      <c r="B1616" s="5">
        <v>1595</v>
      </c>
      <c r="C1616" s="46">
        <f t="shared" ca="1" si="216"/>
        <v>2.8891928882827758</v>
      </c>
      <c r="D1616" s="47">
        <f t="shared" ca="1" si="217"/>
        <v>3958753937.7764306</v>
      </c>
      <c r="E1616" s="47">
        <f t="shared" ca="1" si="218"/>
        <v>35460139042445.195</v>
      </c>
      <c r="F1616" s="47">
        <f t="shared" ca="1" si="219"/>
        <v>5103842328671.6094</v>
      </c>
      <c r="G1616" s="47">
        <f t="shared" ca="1" si="220"/>
        <v>1904282645904.6875</v>
      </c>
      <c r="H1616" s="47">
        <f t="shared" ca="1" si="221"/>
        <v>1904282645904.6875</v>
      </c>
      <c r="I1616" s="47">
        <f t="shared" ca="1" si="222"/>
        <v>52245901661252.148</v>
      </c>
      <c r="J1616" s="47">
        <f t="shared" ca="1" si="223"/>
        <v>699134761574.82629</v>
      </c>
      <c r="K1616" s="48">
        <f t="shared" ca="1" si="224"/>
        <v>74.729371979110823</v>
      </c>
    </row>
    <row r="1617" spans="2:11" ht="15" customHeight="1" x14ac:dyDescent="0.35">
      <c r="B1617" s="5">
        <v>1596</v>
      </c>
      <c r="C1617" s="46">
        <f t="shared" ca="1" si="216"/>
        <v>2.4785307076860041</v>
      </c>
      <c r="D1617" s="47">
        <f t="shared" ca="1" si="217"/>
        <v>2065731451.5988042</v>
      </c>
      <c r="E1617" s="47">
        <f t="shared" ca="1" si="218"/>
        <v>5732949398726.6563</v>
      </c>
      <c r="F1617" s="47">
        <f t="shared" ca="1" si="219"/>
        <v>1617483908764.2708</v>
      </c>
      <c r="G1617" s="47">
        <f t="shared" ca="1" si="220"/>
        <v>2838511026955.9043</v>
      </c>
      <c r="H1617" s="47">
        <f t="shared" ca="1" si="221"/>
        <v>2838511026955.9043</v>
      </c>
      <c r="I1617" s="47">
        <f t="shared" ca="1" si="222"/>
        <v>13211574849803.629</v>
      </c>
      <c r="J1617" s="47">
        <f t="shared" ca="1" si="223"/>
        <v>956988249501.76123</v>
      </c>
      <c r="K1617" s="48">
        <f t="shared" ca="1" si="224"/>
        <v>13.805367888980872</v>
      </c>
    </row>
    <row r="1618" spans="2:11" ht="15" customHeight="1" x14ac:dyDescent="0.35">
      <c r="B1618" s="5">
        <v>1597</v>
      </c>
      <c r="C1618" s="46">
        <f t="shared" ca="1" si="216"/>
        <v>2.1503691704128571</v>
      </c>
      <c r="D1618" s="47">
        <f t="shared" ca="1" si="217"/>
        <v>1061564633.1474655</v>
      </c>
      <c r="E1618" s="47">
        <f t="shared" ca="1" si="218"/>
        <v>3748719754972.8877</v>
      </c>
      <c r="F1618" s="47">
        <f t="shared" ca="1" si="219"/>
        <v>1328719965599.5779</v>
      </c>
      <c r="G1618" s="47">
        <f t="shared" ca="1" si="220"/>
        <v>3819267578046.4082</v>
      </c>
      <c r="H1618" s="47">
        <f t="shared" ca="1" si="221"/>
        <v>3748719754972.8877</v>
      </c>
      <c r="I1618" s="47">
        <f t="shared" ca="1" si="222"/>
        <v>26944349198925.117</v>
      </c>
      <c r="J1618" s="47">
        <f t="shared" ca="1" si="223"/>
        <v>1578829395280.835</v>
      </c>
      <c r="K1618" s="48">
        <f t="shared" ca="1" si="224"/>
        <v>17.066029603618052</v>
      </c>
    </row>
    <row r="1619" spans="2:11" ht="15" customHeight="1" x14ac:dyDescent="0.35">
      <c r="B1619" s="5">
        <v>1598</v>
      </c>
      <c r="C1619" s="46">
        <f t="shared" ca="1" si="216"/>
        <v>3.0284090705611457</v>
      </c>
      <c r="D1619" s="47">
        <f t="shared" ca="1" si="217"/>
        <v>4352551533.5611048</v>
      </c>
      <c r="E1619" s="47">
        <f t="shared" ca="1" si="218"/>
        <v>3672834692295.3252</v>
      </c>
      <c r="F1619" s="47">
        <f t="shared" ca="1" si="219"/>
        <v>747238142340.38843</v>
      </c>
      <c r="G1619" s="47">
        <f t="shared" ca="1" si="220"/>
        <v>3263517415909.9102</v>
      </c>
      <c r="H1619" s="47">
        <f t="shared" ca="1" si="221"/>
        <v>3672834692295.3252</v>
      </c>
      <c r="I1619" s="47">
        <f t="shared" ca="1" si="222"/>
        <v>5156986214310.1758</v>
      </c>
      <c r="J1619" s="47">
        <f t="shared" ca="1" si="223"/>
        <v>925521437024.79041</v>
      </c>
      <c r="K1619" s="48">
        <f t="shared" ca="1" si="224"/>
        <v>5.5719792195067699</v>
      </c>
    </row>
    <row r="1620" spans="2:11" ht="15" customHeight="1" x14ac:dyDescent="0.35">
      <c r="B1620" s="5">
        <v>1599</v>
      </c>
      <c r="C1620" s="46">
        <f t="shared" ca="1" si="216"/>
        <v>3.0182944899692559</v>
      </c>
      <c r="D1620" s="47">
        <f t="shared" ca="1" si="217"/>
        <v>5335311040.7216177</v>
      </c>
      <c r="E1620" s="47">
        <f t="shared" ca="1" si="218"/>
        <v>7575409908884.5928</v>
      </c>
      <c r="F1620" s="47">
        <f t="shared" ca="1" si="219"/>
        <v>1400184241190.7756</v>
      </c>
      <c r="G1620" s="47">
        <f t="shared" ca="1" si="220"/>
        <v>11322968463253.797</v>
      </c>
      <c r="H1620" s="47">
        <f t="shared" ca="1" si="221"/>
        <v>7575409908884.5928</v>
      </c>
      <c r="I1620" s="47">
        <f t="shared" ca="1" si="222"/>
        <v>50308873911494.492</v>
      </c>
      <c r="J1620" s="47">
        <f t="shared" ca="1" si="223"/>
        <v>1945855472212.1177</v>
      </c>
      <c r="K1620" s="48">
        <f t="shared" ca="1" si="224"/>
        <v>25.854373374555703</v>
      </c>
    </row>
    <row r="1621" spans="2:11" ht="15" customHeight="1" x14ac:dyDescent="0.35">
      <c r="B1621" s="5">
        <v>1600</v>
      </c>
      <c r="C1621" s="46">
        <f t="shared" ca="1" si="216"/>
        <v>3.0709036935584875</v>
      </c>
      <c r="D1621" s="47">
        <f t="shared" ca="1" si="217"/>
        <v>6433846285.7906494</v>
      </c>
      <c r="E1621" s="47">
        <f t="shared" ca="1" si="218"/>
        <v>17466023557964.488</v>
      </c>
      <c r="F1621" s="47">
        <f t="shared" ca="1" si="219"/>
        <v>1091111784220.8198</v>
      </c>
      <c r="G1621" s="47">
        <f t="shared" ca="1" si="220"/>
        <v>31134835616169.988</v>
      </c>
      <c r="H1621" s="47">
        <f t="shared" ca="1" si="221"/>
        <v>1091111784220.8198</v>
      </c>
      <c r="I1621" s="47">
        <f t="shared" ca="1" si="222"/>
        <v>1802929589708.5054</v>
      </c>
      <c r="J1621" s="47">
        <f t="shared" ca="1" si="223"/>
        <v>685185056640.35352</v>
      </c>
      <c r="K1621" s="48">
        <f t="shared" ca="1" si="224"/>
        <v>2.6313031380876195</v>
      </c>
    </row>
    <row r="1622" spans="2:11" ht="15" customHeight="1" x14ac:dyDescent="0.35">
      <c r="B1622" s="5">
        <v>1601</v>
      </c>
      <c r="C1622" s="46">
        <f t="shared" ref="C1622:C1685" ca="1" si="225">MEDIAN(1.8,NORMINV(RAND(),$C$7,$D$7),4.5)</f>
        <v>2.3547909235876743</v>
      </c>
      <c r="D1622" s="47">
        <f t="shared" ref="D1622:D1685" ca="1" si="226">($C$8+RAND()*($D$8-$C$8))*C1622^5</f>
        <v>1638419549.3346784</v>
      </c>
      <c r="E1622" s="47">
        <f t="shared" ref="E1622:E1685" ca="1" si="227">D1622*($C$10+RAND()*($D$10-$C$10))*EXP(NORMINV(RAND(),$C$9,$D$9))*($C$11+RAND()*($D$11-$C$11))</f>
        <v>9822713933331.4336</v>
      </c>
      <c r="F1622" s="47">
        <f t="shared" ref="F1622:F1685" ca="1" si="228">EXP(NORMINV(RAND(),$C$12,$D$12))*EXP(NORMINV(RAND(),$C$13,$D$13))</f>
        <v>2364094107852.061</v>
      </c>
      <c r="G1622" s="47">
        <f t="shared" ref="G1622:G1685" ca="1" si="229">EXP(NORMINV(RAND(),$C$14,$D$14))*($C$15+RAND()*($D$15-$C$15))*EXP(NORMINV(RAND(),$C$16,$D$16))/1000000*31536000</f>
        <v>17414770788648.396</v>
      </c>
      <c r="H1622" s="47">
        <f t="shared" ref="H1622:H1685" ca="1" si="230">CHOOSE(RANDBETWEEN(1,3),E1622,F1622,G1622)</f>
        <v>9822713933331.4336</v>
      </c>
      <c r="I1622" s="47">
        <f t="shared" ref="I1622:I1685" ca="1" si="231">EXP(NORMINV(RAND(),$C$14,$D$14))*($C$15+RAND()*($D$15-$C$15))*60</f>
        <v>82189306628348.109</v>
      </c>
      <c r="J1622" s="47">
        <f t="shared" ref="J1622:J1685" ca="1" si="232">($C$17+RAND()*($D$17-$C$17))*($C$18+RAND()*($D$18-$C$18))</f>
        <v>1344528591619.8613</v>
      </c>
      <c r="K1622" s="48">
        <f t="shared" ref="K1622:K1685" ca="1" si="233">I1622/J1622</f>
        <v>61.128716146770863</v>
      </c>
    </row>
    <row r="1623" spans="2:11" ht="15" customHeight="1" x14ac:dyDescent="0.35">
      <c r="B1623" s="5">
        <v>1602</v>
      </c>
      <c r="C1623" s="46">
        <f t="shared" ca="1" si="225"/>
        <v>2.8599927349003664</v>
      </c>
      <c r="D1623" s="47">
        <f t="shared" ca="1" si="226"/>
        <v>3182405384.4228086</v>
      </c>
      <c r="E1623" s="47">
        <f t="shared" ca="1" si="227"/>
        <v>3199406068979.1665</v>
      </c>
      <c r="F1623" s="47">
        <f t="shared" ca="1" si="228"/>
        <v>5510042002957.1943</v>
      </c>
      <c r="G1623" s="47">
        <f t="shared" ca="1" si="229"/>
        <v>236350610004.66885</v>
      </c>
      <c r="H1623" s="47">
        <f t="shared" ca="1" si="230"/>
        <v>236350610004.66885</v>
      </c>
      <c r="I1623" s="47">
        <f t="shared" ca="1" si="231"/>
        <v>34097383525120.035</v>
      </c>
      <c r="J1623" s="47">
        <f t="shared" ca="1" si="232"/>
        <v>2329288357547.1021</v>
      </c>
      <c r="K1623" s="48">
        <f t="shared" ca="1" si="233"/>
        <v>14.638541172732637</v>
      </c>
    </row>
    <row r="1624" spans="2:11" ht="15" customHeight="1" x14ac:dyDescent="0.35">
      <c r="B1624" s="5">
        <v>1603</v>
      </c>
      <c r="C1624" s="46">
        <f t="shared" ca="1" si="225"/>
        <v>2.2792340244520153</v>
      </c>
      <c r="D1624" s="47">
        <f t="shared" ca="1" si="226"/>
        <v>1340964885.2561948</v>
      </c>
      <c r="E1624" s="47">
        <f t="shared" ca="1" si="227"/>
        <v>4974708954362.6465</v>
      </c>
      <c r="F1624" s="47">
        <f t="shared" ca="1" si="228"/>
        <v>1173421269841.301</v>
      </c>
      <c r="G1624" s="47">
        <f t="shared" ca="1" si="229"/>
        <v>5795258985434.8262</v>
      </c>
      <c r="H1624" s="47">
        <f t="shared" ca="1" si="230"/>
        <v>4974708954362.6465</v>
      </c>
      <c r="I1624" s="47">
        <f t="shared" ca="1" si="231"/>
        <v>89293316139470.344</v>
      </c>
      <c r="J1624" s="47">
        <f t="shared" ca="1" si="232"/>
        <v>1700870832492.3997</v>
      </c>
      <c r="K1624" s="48">
        <f t="shared" ca="1" si="233"/>
        <v>52.4985874492438</v>
      </c>
    </row>
    <row r="1625" spans="2:11" ht="15" customHeight="1" x14ac:dyDescent="0.35">
      <c r="B1625" s="5">
        <v>1604</v>
      </c>
      <c r="C1625" s="46">
        <f t="shared" ca="1" si="225"/>
        <v>3.165691350433077</v>
      </c>
      <c r="D1625" s="47">
        <f t="shared" ca="1" si="226"/>
        <v>5781621310.4038391</v>
      </c>
      <c r="E1625" s="47">
        <f t="shared" ca="1" si="227"/>
        <v>61292752745387.609</v>
      </c>
      <c r="F1625" s="47">
        <f t="shared" ca="1" si="228"/>
        <v>8072591276691.3398</v>
      </c>
      <c r="G1625" s="47">
        <f t="shared" ca="1" si="229"/>
        <v>11799172341914.252</v>
      </c>
      <c r="H1625" s="47">
        <f t="shared" ca="1" si="230"/>
        <v>11799172341914.252</v>
      </c>
      <c r="I1625" s="47">
        <f t="shared" ca="1" si="231"/>
        <v>6672047088779.252</v>
      </c>
      <c r="J1625" s="47">
        <f t="shared" ca="1" si="232"/>
        <v>2569852776888.8633</v>
      </c>
      <c r="K1625" s="48">
        <f t="shared" ca="1" si="233"/>
        <v>2.5962760002371112</v>
      </c>
    </row>
    <row r="1626" spans="2:11" ht="15" customHeight="1" x14ac:dyDescent="0.35">
      <c r="B1626" s="5">
        <v>1605</v>
      </c>
      <c r="C1626" s="46">
        <f t="shared" ca="1" si="225"/>
        <v>3.3140641803086153</v>
      </c>
      <c r="D1626" s="47">
        <f t="shared" ca="1" si="226"/>
        <v>9172946598.1462479</v>
      </c>
      <c r="E1626" s="47">
        <f t="shared" ca="1" si="227"/>
        <v>32777534180341.824</v>
      </c>
      <c r="F1626" s="47">
        <f t="shared" ca="1" si="228"/>
        <v>15953706315962.482</v>
      </c>
      <c r="G1626" s="47">
        <f t="shared" ca="1" si="229"/>
        <v>6540545663489.2842</v>
      </c>
      <c r="H1626" s="47">
        <f t="shared" ca="1" si="230"/>
        <v>15953706315962.482</v>
      </c>
      <c r="I1626" s="47">
        <f t="shared" ca="1" si="231"/>
        <v>1834459931809.6799</v>
      </c>
      <c r="J1626" s="47">
        <f t="shared" ca="1" si="232"/>
        <v>1645225530912.6755</v>
      </c>
      <c r="K1626" s="48">
        <f t="shared" ca="1" si="233"/>
        <v>1.1150203405803143</v>
      </c>
    </row>
    <row r="1627" spans="2:11" ht="15" customHeight="1" x14ac:dyDescent="0.35">
      <c r="B1627" s="5">
        <v>1606</v>
      </c>
      <c r="C1627" s="46">
        <f t="shared" ca="1" si="225"/>
        <v>3.1792041332820702</v>
      </c>
      <c r="D1627" s="47">
        <f t="shared" ca="1" si="226"/>
        <v>6951029227.6508169</v>
      </c>
      <c r="E1627" s="47">
        <f t="shared" ca="1" si="227"/>
        <v>24332924021545.039</v>
      </c>
      <c r="F1627" s="47">
        <f t="shared" ca="1" si="228"/>
        <v>127669090296.23441</v>
      </c>
      <c r="G1627" s="47">
        <f t="shared" ca="1" si="229"/>
        <v>15548561278506.498</v>
      </c>
      <c r="H1627" s="47">
        <f t="shared" ca="1" si="230"/>
        <v>24332924021545.039</v>
      </c>
      <c r="I1627" s="47">
        <f t="shared" ca="1" si="231"/>
        <v>29340615377531.949</v>
      </c>
      <c r="J1627" s="47">
        <f t="shared" ca="1" si="232"/>
        <v>1590283395463.5381</v>
      </c>
      <c r="K1627" s="48">
        <f t="shared" ca="1" si="233"/>
        <v>18.449928774474632</v>
      </c>
    </row>
    <row r="1628" spans="2:11" ht="15" customHeight="1" x14ac:dyDescent="0.35">
      <c r="B1628" s="5">
        <v>1607</v>
      </c>
      <c r="C1628" s="46">
        <f t="shared" ca="1" si="225"/>
        <v>4.0930748012196005</v>
      </c>
      <c r="D1628" s="47">
        <f t="shared" ca="1" si="226"/>
        <v>21354546381.708023</v>
      </c>
      <c r="E1628" s="47">
        <f t="shared" ca="1" si="227"/>
        <v>45646077847341.75</v>
      </c>
      <c r="F1628" s="47">
        <f t="shared" ca="1" si="228"/>
        <v>1242972137775.5371</v>
      </c>
      <c r="G1628" s="47">
        <f t="shared" ca="1" si="229"/>
        <v>2356235604133.1108</v>
      </c>
      <c r="H1628" s="47">
        <f t="shared" ca="1" si="230"/>
        <v>2356235604133.1108</v>
      </c>
      <c r="I1628" s="47">
        <f t="shared" ca="1" si="231"/>
        <v>10822666736030.326</v>
      </c>
      <c r="J1628" s="47">
        <f t="shared" ca="1" si="232"/>
        <v>1278090059434.9248</v>
      </c>
      <c r="K1628" s="48">
        <f t="shared" ca="1" si="233"/>
        <v>8.4678436047106835</v>
      </c>
    </row>
    <row r="1629" spans="2:11" ht="15" customHeight="1" x14ac:dyDescent="0.35">
      <c r="B1629" s="5">
        <v>1608</v>
      </c>
      <c r="C1629" s="46">
        <f t="shared" ca="1" si="225"/>
        <v>3.4445409059441436</v>
      </c>
      <c r="D1629" s="47">
        <f t="shared" ca="1" si="226"/>
        <v>10151092124.065798</v>
      </c>
      <c r="E1629" s="47">
        <f t="shared" ca="1" si="227"/>
        <v>19399570981648.934</v>
      </c>
      <c r="F1629" s="47">
        <f t="shared" ca="1" si="228"/>
        <v>892805755356.46863</v>
      </c>
      <c r="G1629" s="47">
        <f t="shared" ca="1" si="229"/>
        <v>9888405976280.3633</v>
      </c>
      <c r="H1629" s="47">
        <f t="shared" ca="1" si="230"/>
        <v>9888405976280.3633</v>
      </c>
      <c r="I1629" s="47">
        <f t="shared" ca="1" si="231"/>
        <v>12790950142283.934</v>
      </c>
      <c r="J1629" s="47">
        <f t="shared" ca="1" si="232"/>
        <v>774673832351.84009</v>
      </c>
      <c r="K1629" s="48">
        <f t="shared" ca="1" si="233"/>
        <v>16.511400809101502</v>
      </c>
    </row>
    <row r="1630" spans="2:11" ht="15" customHeight="1" x14ac:dyDescent="0.35">
      <c r="B1630" s="5">
        <v>1609</v>
      </c>
      <c r="C1630" s="46">
        <f t="shared" ca="1" si="225"/>
        <v>2.8973135750949393</v>
      </c>
      <c r="D1630" s="47">
        <f t="shared" ca="1" si="226"/>
        <v>3953419718.0608058</v>
      </c>
      <c r="E1630" s="47">
        <f t="shared" ca="1" si="227"/>
        <v>19335448729408.992</v>
      </c>
      <c r="F1630" s="47">
        <f t="shared" ca="1" si="228"/>
        <v>1863914374844.2419</v>
      </c>
      <c r="G1630" s="47">
        <f t="shared" ca="1" si="229"/>
        <v>18298628200101.078</v>
      </c>
      <c r="H1630" s="47">
        <f t="shared" ca="1" si="230"/>
        <v>1863914374844.2419</v>
      </c>
      <c r="I1630" s="47">
        <f t="shared" ca="1" si="231"/>
        <v>8290367037638.7686</v>
      </c>
      <c r="J1630" s="47">
        <f t="shared" ca="1" si="232"/>
        <v>1784468854540.2712</v>
      </c>
      <c r="K1630" s="48">
        <f t="shared" ca="1" si="233"/>
        <v>4.6458457465062324</v>
      </c>
    </row>
    <row r="1631" spans="2:11" ht="15" customHeight="1" x14ac:dyDescent="0.35">
      <c r="B1631" s="5">
        <v>1610</v>
      </c>
      <c r="C1631" s="46">
        <f t="shared" ca="1" si="225"/>
        <v>2.9800611155824299</v>
      </c>
      <c r="D1631" s="47">
        <f t="shared" ca="1" si="226"/>
        <v>4597836275.8459206</v>
      </c>
      <c r="E1631" s="47">
        <f t="shared" ca="1" si="227"/>
        <v>53260466918742.977</v>
      </c>
      <c r="F1631" s="47">
        <f t="shared" ca="1" si="228"/>
        <v>6173199093908.9971</v>
      </c>
      <c r="G1631" s="47">
        <f t="shared" ca="1" si="229"/>
        <v>27549031591179.488</v>
      </c>
      <c r="H1631" s="47">
        <f t="shared" ca="1" si="230"/>
        <v>53260466918742.977</v>
      </c>
      <c r="I1631" s="47">
        <f t="shared" ca="1" si="231"/>
        <v>29740670326409.813</v>
      </c>
      <c r="J1631" s="47">
        <f t="shared" ca="1" si="232"/>
        <v>1856298715205.0881</v>
      </c>
      <c r="K1631" s="48">
        <f t="shared" ca="1" si="233"/>
        <v>16.021489474081758</v>
      </c>
    </row>
    <row r="1632" spans="2:11" ht="15" customHeight="1" x14ac:dyDescent="0.35">
      <c r="B1632" s="5">
        <v>1611</v>
      </c>
      <c r="C1632" s="46">
        <f t="shared" ca="1" si="225"/>
        <v>2.8882853108662756</v>
      </c>
      <c r="D1632" s="47">
        <f t="shared" ca="1" si="226"/>
        <v>3475382972.656086</v>
      </c>
      <c r="E1632" s="47">
        <f t="shared" ca="1" si="227"/>
        <v>28825866246372</v>
      </c>
      <c r="F1632" s="47">
        <f t="shared" ca="1" si="228"/>
        <v>2664099708684.2251</v>
      </c>
      <c r="G1632" s="47">
        <f t="shared" ca="1" si="229"/>
        <v>10929508896060.605</v>
      </c>
      <c r="H1632" s="47">
        <f t="shared" ca="1" si="230"/>
        <v>28825866246372</v>
      </c>
      <c r="I1632" s="47">
        <f t="shared" ca="1" si="231"/>
        <v>10251417754932.906</v>
      </c>
      <c r="J1632" s="47">
        <f t="shared" ca="1" si="232"/>
        <v>1785220578600.7227</v>
      </c>
      <c r="K1632" s="48">
        <f t="shared" ca="1" si="233"/>
        <v>5.7423815733561003</v>
      </c>
    </row>
    <row r="1633" spans="2:11" ht="15" customHeight="1" x14ac:dyDescent="0.35">
      <c r="B1633" s="5">
        <v>1612</v>
      </c>
      <c r="C1633" s="46">
        <f t="shared" ca="1" si="225"/>
        <v>3.2637588256766294</v>
      </c>
      <c r="D1633" s="47">
        <f t="shared" ca="1" si="226"/>
        <v>6247945953.6877613</v>
      </c>
      <c r="E1633" s="47">
        <f t="shared" ca="1" si="227"/>
        <v>17383999194227.475</v>
      </c>
      <c r="F1633" s="47">
        <f t="shared" ca="1" si="228"/>
        <v>4425234259263.7217</v>
      </c>
      <c r="G1633" s="47">
        <f t="shared" ca="1" si="229"/>
        <v>6509120713832.3604</v>
      </c>
      <c r="H1633" s="47">
        <f t="shared" ca="1" si="230"/>
        <v>17383999194227.475</v>
      </c>
      <c r="I1633" s="47">
        <f t="shared" ca="1" si="231"/>
        <v>2884150409925.7959</v>
      </c>
      <c r="J1633" s="47">
        <f t="shared" ca="1" si="232"/>
        <v>1746118145016.7078</v>
      </c>
      <c r="K1633" s="48">
        <f t="shared" ca="1" si="233"/>
        <v>1.6517498647826026</v>
      </c>
    </row>
    <row r="1634" spans="2:11" ht="15" customHeight="1" x14ac:dyDescent="0.35">
      <c r="B1634" s="5">
        <v>1613</v>
      </c>
      <c r="C1634" s="46">
        <f t="shared" ca="1" si="225"/>
        <v>2.35164983641398</v>
      </c>
      <c r="D1634" s="47">
        <f t="shared" ca="1" si="226"/>
        <v>1274782135.8122571</v>
      </c>
      <c r="E1634" s="47">
        <f t="shared" ca="1" si="227"/>
        <v>1322559863204.5842</v>
      </c>
      <c r="F1634" s="47">
        <f t="shared" ca="1" si="228"/>
        <v>2779722220335.4321</v>
      </c>
      <c r="G1634" s="47">
        <f t="shared" ca="1" si="229"/>
        <v>5513998254370.3271</v>
      </c>
      <c r="H1634" s="47">
        <f t="shared" ca="1" si="230"/>
        <v>2779722220335.4321</v>
      </c>
      <c r="I1634" s="47">
        <f t="shared" ca="1" si="231"/>
        <v>2707603576666.541</v>
      </c>
      <c r="J1634" s="47">
        <f t="shared" ca="1" si="232"/>
        <v>1080646039542.5526</v>
      </c>
      <c r="K1634" s="48">
        <f t="shared" ca="1" si="233"/>
        <v>2.5055415719773464</v>
      </c>
    </row>
    <row r="1635" spans="2:11" ht="15" customHeight="1" x14ac:dyDescent="0.35">
      <c r="B1635" s="5">
        <v>1614</v>
      </c>
      <c r="C1635" s="46">
        <f t="shared" ca="1" si="225"/>
        <v>2.4264645234502114</v>
      </c>
      <c r="D1635" s="47">
        <f t="shared" ca="1" si="226"/>
        <v>1712097362.02969</v>
      </c>
      <c r="E1635" s="47">
        <f t="shared" ca="1" si="227"/>
        <v>5379807965637.5645</v>
      </c>
      <c r="F1635" s="47">
        <f t="shared" ca="1" si="228"/>
        <v>1342332278674.0278</v>
      </c>
      <c r="G1635" s="47">
        <f t="shared" ca="1" si="229"/>
        <v>10882938512765.605</v>
      </c>
      <c r="H1635" s="47">
        <f t="shared" ca="1" si="230"/>
        <v>5379807965637.5645</v>
      </c>
      <c r="I1635" s="47">
        <f t="shared" ca="1" si="231"/>
        <v>2456288105832.3838</v>
      </c>
      <c r="J1635" s="47">
        <f t="shared" ca="1" si="232"/>
        <v>1833899203147.9473</v>
      </c>
      <c r="K1635" s="48">
        <f t="shared" ca="1" si="233"/>
        <v>1.339380104215153</v>
      </c>
    </row>
    <row r="1636" spans="2:11" ht="15" customHeight="1" x14ac:dyDescent="0.35">
      <c r="B1636" s="5">
        <v>1615</v>
      </c>
      <c r="C1636" s="46">
        <f t="shared" ca="1" si="225"/>
        <v>3.061624004101378</v>
      </c>
      <c r="D1636" s="47">
        <f t="shared" ca="1" si="226"/>
        <v>5246755126.2429438</v>
      </c>
      <c r="E1636" s="47">
        <f t="shared" ca="1" si="227"/>
        <v>14586584713828.426</v>
      </c>
      <c r="F1636" s="47">
        <f t="shared" ca="1" si="228"/>
        <v>9440641828368.8457</v>
      </c>
      <c r="G1636" s="47">
        <f t="shared" ca="1" si="229"/>
        <v>183542215924.55505</v>
      </c>
      <c r="H1636" s="47">
        <f t="shared" ca="1" si="230"/>
        <v>183542215924.55505</v>
      </c>
      <c r="I1636" s="47">
        <f t="shared" ca="1" si="231"/>
        <v>14356397914694.742</v>
      </c>
      <c r="J1636" s="47">
        <f t="shared" ca="1" si="232"/>
        <v>682875371153.86377</v>
      </c>
      <c r="K1636" s="48">
        <f t="shared" ca="1" si="233"/>
        <v>21.023452479237232</v>
      </c>
    </row>
    <row r="1637" spans="2:11" ht="15" customHeight="1" x14ac:dyDescent="0.35">
      <c r="B1637" s="5">
        <v>1616</v>
      </c>
      <c r="C1637" s="46">
        <f t="shared" ca="1" si="225"/>
        <v>2.2206109788376933</v>
      </c>
      <c r="D1637" s="47">
        <f t="shared" ca="1" si="226"/>
        <v>1284257310.2000613</v>
      </c>
      <c r="E1637" s="47">
        <f t="shared" ca="1" si="227"/>
        <v>4570245125823.251</v>
      </c>
      <c r="F1637" s="47">
        <f t="shared" ca="1" si="228"/>
        <v>2165729701892.72</v>
      </c>
      <c r="G1637" s="47">
        <f t="shared" ca="1" si="229"/>
        <v>36336411176844.445</v>
      </c>
      <c r="H1637" s="47">
        <f t="shared" ca="1" si="230"/>
        <v>2165729701892.72</v>
      </c>
      <c r="I1637" s="47">
        <f t="shared" ca="1" si="231"/>
        <v>13483447778878.961</v>
      </c>
      <c r="J1637" s="47">
        <f t="shared" ca="1" si="232"/>
        <v>1525626779885.1216</v>
      </c>
      <c r="K1637" s="48">
        <f t="shared" ca="1" si="233"/>
        <v>8.8379726658273867</v>
      </c>
    </row>
    <row r="1638" spans="2:11" ht="15" customHeight="1" x14ac:dyDescent="0.35">
      <c r="B1638" s="5">
        <v>1617</v>
      </c>
      <c r="C1638" s="46">
        <f t="shared" ca="1" si="225"/>
        <v>2.9226051077723656</v>
      </c>
      <c r="D1638" s="47">
        <f t="shared" ca="1" si="226"/>
        <v>5040566115.4683762</v>
      </c>
      <c r="E1638" s="47">
        <f t="shared" ca="1" si="227"/>
        <v>8409009585319.3594</v>
      </c>
      <c r="F1638" s="47">
        <f t="shared" ca="1" si="228"/>
        <v>7970093996790.6748</v>
      </c>
      <c r="G1638" s="47">
        <f t="shared" ca="1" si="229"/>
        <v>5862418038217.373</v>
      </c>
      <c r="H1638" s="47">
        <f t="shared" ca="1" si="230"/>
        <v>8409009585319.3594</v>
      </c>
      <c r="I1638" s="47">
        <f t="shared" ca="1" si="231"/>
        <v>70049870244646.672</v>
      </c>
      <c r="J1638" s="47">
        <f t="shared" ca="1" si="232"/>
        <v>1467248728153.4207</v>
      </c>
      <c r="K1638" s="48">
        <f t="shared" ca="1" si="233"/>
        <v>47.742328141464242</v>
      </c>
    </row>
    <row r="1639" spans="2:11" ht="15" customHeight="1" x14ac:dyDescent="0.35">
      <c r="B1639" s="5">
        <v>1618</v>
      </c>
      <c r="C1639" s="46">
        <f t="shared" ca="1" si="225"/>
        <v>3.4539626673157473</v>
      </c>
      <c r="D1639" s="47">
        <f t="shared" ca="1" si="226"/>
        <v>9180342135.5021763</v>
      </c>
      <c r="E1639" s="47">
        <f t="shared" ca="1" si="227"/>
        <v>26192608458518.652</v>
      </c>
      <c r="F1639" s="47">
        <f t="shared" ca="1" si="228"/>
        <v>3541385468791.5962</v>
      </c>
      <c r="G1639" s="47">
        <f t="shared" ca="1" si="229"/>
        <v>67376933307791.148</v>
      </c>
      <c r="H1639" s="47">
        <f t="shared" ca="1" si="230"/>
        <v>3541385468791.5962</v>
      </c>
      <c r="I1639" s="47">
        <f t="shared" ca="1" si="231"/>
        <v>8226648816044.0762</v>
      </c>
      <c r="J1639" s="47">
        <f t="shared" ca="1" si="232"/>
        <v>1143094684944.0369</v>
      </c>
      <c r="K1639" s="48">
        <f t="shared" ca="1" si="233"/>
        <v>7.1968218594655022</v>
      </c>
    </row>
    <row r="1640" spans="2:11" ht="15" customHeight="1" x14ac:dyDescent="0.35">
      <c r="B1640" s="5">
        <v>1619</v>
      </c>
      <c r="C1640" s="46">
        <f t="shared" ca="1" si="225"/>
        <v>3.0553943218397537</v>
      </c>
      <c r="D1640" s="47">
        <f t="shared" ca="1" si="226"/>
        <v>5928176518.0074587</v>
      </c>
      <c r="E1640" s="47">
        <f t="shared" ca="1" si="227"/>
        <v>14228016067248.115</v>
      </c>
      <c r="F1640" s="47">
        <f t="shared" ca="1" si="228"/>
        <v>462500394619.29205</v>
      </c>
      <c r="G1640" s="47">
        <f t="shared" ca="1" si="229"/>
        <v>1647186742190.0081</v>
      </c>
      <c r="H1640" s="47">
        <f t="shared" ca="1" si="230"/>
        <v>14228016067248.115</v>
      </c>
      <c r="I1640" s="47">
        <f t="shared" ca="1" si="231"/>
        <v>6431176685772.0918</v>
      </c>
      <c r="J1640" s="47">
        <f t="shared" ca="1" si="232"/>
        <v>1125122246503.1941</v>
      </c>
      <c r="K1640" s="48">
        <f t="shared" ca="1" si="233"/>
        <v>5.7159803796963091</v>
      </c>
    </row>
    <row r="1641" spans="2:11" ht="15" customHeight="1" x14ac:dyDescent="0.35">
      <c r="B1641" s="5">
        <v>1620</v>
      </c>
      <c r="C1641" s="46">
        <f t="shared" ca="1" si="225"/>
        <v>2.4288742002718258</v>
      </c>
      <c r="D1641" s="47">
        <f t="shared" ca="1" si="226"/>
        <v>1713394686.4880254</v>
      </c>
      <c r="E1641" s="47">
        <f t="shared" ca="1" si="227"/>
        <v>4531745550381.1748</v>
      </c>
      <c r="F1641" s="47">
        <f t="shared" ca="1" si="228"/>
        <v>3085461255571.3335</v>
      </c>
      <c r="G1641" s="47">
        <f t="shared" ca="1" si="229"/>
        <v>2047128770943.6995</v>
      </c>
      <c r="H1641" s="47">
        <f t="shared" ca="1" si="230"/>
        <v>3085461255571.3335</v>
      </c>
      <c r="I1641" s="47">
        <f t="shared" ca="1" si="231"/>
        <v>19880392711080.18</v>
      </c>
      <c r="J1641" s="47">
        <f t="shared" ca="1" si="232"/>
        <v>1288337854121.9822</v>
      </c>
      <c r="K1641" s="48">
        <f t="shared" ca="1" si="233"/>
        <v>15.431039806424772</v>
      </c>
    </row>
    <row r="1642" spans="2:11" ht="15" customHeight="1" x14ac:dyDescent="0.35">
      <c r="B1642" s="5">
        <v>1621</v>
      </c>
      <c r="C1642" s="46">
        <f t="shared" ca="1" si="225"/>
        <v>3.1738147938528645</v>
      </c>
      <c r="D1642" s="47">
        <f t="shared" ca="1" si="226"/>
        <v>6019318369.0096979</v>
      </c>
      <c r="E1642" s="47">
        <f t="shared" ca="1" si="227"/>
        <v>18846870786013.383</v>
      </c>
      <c r="F1642" s="47">
        <f t="shared" ca="1" si="228"/>
        <v>2969477890300.7324</v>
      </c>
      <c r="G1642" s="47">
        <f t="shared" ca="1" si="229"/>
        <v>23323112171455.703</v>
      </c>
      <c r="H1642" s="47">
        <f t="shared" ca="1" si="230"/>
        <v>2969477890300.7324</v>
      </c>
      <c r="I1642" s="47">
        <f t="shared" ca="1" si="231"/>
        <v>75716756761748.703</v>
      </c>
      <c r="J1642" s="47">
        <f t="shared" ca="1" si="232"/>
        <v>1081222266789.1937</v>
      </c>
      <c r="K1642" s="48">
        <f t="shared" ca="1" si="233"/>
        <v>70.028854461717472</v>
      </c>
    </row>
    <row r="1643" spans="2:11" ht="15" customHeight="1" x14ac:dyDescent="0.35">
      <c r="B1643" s="5">
        <v>1622</v>
      </c>
      <c r="C1643" s="46">
        <f t="shared" ca="1" si="225"/>
        <v>3.7157805296312492</v>
      </c>
      <c r="D1643" s="47">
        <f t="shared" ca="1" si="226"/>
        <v>12313581396.388186</v>
      </c>
      <c r="E1643" s="47">
        <f t="shared" ca="1" si="227"/>
        <v>54322105627101.172</v>
      </c>
      <c r="F1643" s="47">
        <f t="shared" ca="1" si="228"/>
        <v>978956497133.59485</v>
      </c>
      <c r="G1643" s="47">
        <f t="shared" ca="1" si="229"/>
        <v>8388633462480.6875</v>
      </c>
      <c r="H1643" s="47">
        <f t="shared" ca="1" si="230"/>
        <v>8388633462480.6875</v>
      </c>
      <c r="I1643" s="47">
        <f t="shared" ca="1" si="231"/>
        <v>28694325363074.496</v>
      </c>
      <c r="J1643" s="47">
        <f t="shared" ca="1" si="232"/>
        <v>545303335135.03217</v>
      </c>
      <c r="K1643" s="48">
        <f t="shared" ca="1" si="233"/>
        <v>52.620850660979343</v>
      </c>
    </row>
    <row r="1644" spans="2:11" ht="15" customHeight="1" x14ac:dyDescent="0.35">
      <c r="B1644" s="5">
        <v>1623</v>
      </c>
      <c r="C1644" s="46">
        <f t="shared" ca="1" si="225"/>
        <v>3.0190043992462523</v>
      </c>
      <c r="D1644" s="47">
        <f t="shared" ca="1" si="226"/>
        <v>4846838474.3046999</v>
      </c>
      <c r="E1644" s="47">
        <f t="shared" ca="1" si="227"/>
        <v>21320961271051.605</v>
      </c>
      <c r="F1644" s="47">
        <f t="shared" ca="1" si="228"/>
        <v>4146628064825.9683</v>
      </c>
      <c r="G1644" s="47">
        <f t="shared" ca="1" si="229"/>
        <v>5062062512021.9141</v>
      </c>
      <c r="H1644" s="47">
        <f t="shared" ca="1" si="230"/>
        <v>21320961271051.605</v>
      </c>
      <c r="I1644" s="47">
        <f t="shared" ca="1" si="231"/>
        <v>14452014327725.758</v>
      </c>
      <c r="J1644" s="47">
        <f t="shared" ca="1" si="232"/>
        <v>2457205138534.5591</v>
      </c>
      <c r="K1644" s="48">
        <f t="shared" ca="1" si="233"/>
        <v>5.8814846595773957</v>
      </c>
    </row>
    <row r="1645" spans="2:11" ht="15" customHeight="1" x14ac:dyDescent="0.35">
      <c r="B1645" s="5">
        <v>1624</v>
      </c>
      <c r="C1645" s="46">
        <f t="shared" ca="1" si="225"/>
        <v>2.7205710311092375</v>
      </c>
      <c r="D1645" s="47">
        <f t="shared" ca="1" si="226"/>
        <v>2553518876.9272294</v>
      </c>
      <c r="E1645" s="47">
        <f t="shared" ca="1" si="227"/>
        <v>4888496274153.1416</v>
      </c>
      <c r="F1645" s="47">
        <f t="shared" ca="1" si="228"/>
        <v>5824633803486.0049</v>
      </c>
      <c r="G1645" s="47">
        <f t="shared" ca="1" si="229"/>
        <v>6560609404197.1104</v>
      </c>
      <c r="H1645" s="47">
        <f t="shared" ca="1" si="230"/>
        <v>6560609404197.1104</v>
      </c>
      <c r="I1645" s="47">
        <f t="shared" ca="1" si="231"/>
        <v>11678169815256.971</v>
      </c>
      <c r="J1645" s="47">
        <f t="shared" ca="1" si="232"/>
        <v>1194460597666.3843</v>
      </c>
      <c r="K1645" s="48">
        <f t="shared" ca="1" si="233"/>
        <v>9.7769401837721492</v>
      </c>
    </row>
    <row r="1646" spans="2:11" ht="15" customHeight="1" x14ac:dyDescent="0.35">
      <c r="B1646" s="5">
        <v>1625</v>
      </c>
      <c r="C1646" s="46">
        <f t="shared" ca="1" si="225"/>
        <v>3.0304439707876587</v>
      </c>
      <c r="D1646" s="47">
        <f t="shared" ca="1" si="226"/>
        <v>5697041440.4486694</v>
      </c>
      <c r="E1646" s="47">
        <f t="shared" ca="1" si="227"/>
        <v>30923966906255.734</v>
      </c>
      <c r="F1646" s="47">
        <f t="shared" ca="1" si="228"/>
        <v>4199219481791.4819</v>
      </c>
      <c r="G1646" s="47">
        <f t="shared" ca="1" si="229"/>
        <v>5327776362331.2598</v>
      </c>
      <c r="H1646" s="47">
        <f t="shared" ca="1" si="230"/>
        <v>4199219481791.4819</v>
      </c>
      <c r="I1646" s="47">
        <f t="shared" ca="1" si="231"/>
        <v>194762496008445.91</v>
      </c>
      <c r="J1646" s="47">
        <f t="shared" ca="1" si="232"/>
        <v>686854120632.30334</v>
      </c>
      <c r="K1646" s="48">
        <f t="shared" ca="1" si="233"/>
        <v>283.55729427545936</v>
      </c>
    </row>
    <row r="1647" spans="2:11" ht="15" customHeight="1" x14ac:dyDescent="0.35">
      <c r="B1647" s="5">
        <v>1626</v>
      </c>
      <c r="C1647" s="46">
        <f t="shared" ca="1" si="225"/>
        <v>2.6990776138434405</v>
      </c>
      <c r="D1647" s="47">
        <f t="shared" ca="1" si="226"/>
        <v>3112879007.5723701</v>
      </c>
      <c r="E1647" s="47">
        <f t="shared" ca="1" si="227"/>
        <v>7263369578230.167</v>
      </c>
      <c r="F1647" s="47">
        <f t="shared" ca="1" si="228"/>
        <v>8048889463693.6367</v>
      </c>
      <c r="G1647" s="47">
        <f t="shared" ca="1" si="229"/>
        <v>2241480011658.1787</v>
      </c>
      <c r="H1647" s="47">
        <f t="shared" ca="1" si="230"/>
        <v>2241480011658.1787</v>
      </c>
      <c r="I1647" s="47">
        <f t="shared" ca="1" si="231"/>
        <v>87923522216665.234</v>
      </c>
      <c r="J1647" s="47">
        <f t="shared" ca="1" si="232"/>
        <v>1531929165602.0715</v>
      </c>
      <c r="K1647" s="48">
        <f t="shared" ca="1" si="233"/>
        <v>57.393986739661003</v>
      </c>
    </row>
    <row r="1648" spans="2:11" ht="15" customHeight="1" x14ac:dyDescent="0.35">
      <c r="B1648" s="5">
        <v>1627</v>
      </c>
      <c r="C1648" s="46">
        <f t="shared" ca="1" si="225"/>
        <v>3.4057019552852856</v>
      </c>
      <c r="D1648" s="47">
        <f t="shared" ca="1" si="226"/>
        <v>10477644730.633236</v>
      </c>
      <c r="E1648" s="47">
        <f t="shared" ca="1" si="227"/>
        <v>11157464818456.963</v>
      </c>
      <c r="F1648" s="47">
        <f t="shared" ca="1" si="228"/>
        <v>2066291395539.9814</v>
      </c>
      <c r="G1648" s="47">
        <f t="shared" ca="1" si="229"/>
        <v>11717239895279.146</v>
      </c>
      <c r="H1648" s="47">
        <f t="shared" ca="1" si="230"/>
        <v>2066291395539.9814</v>
      </c>
      <c r="I1648" s="47">
        <f t="shared" ca="1" si="231"/>
        <v>5127233230747.082</v>
      </c>
      <c r="J1648" s="47">
        <f t="shared" ca="1" si="232"/>
        <v>801630091695.33301</v>
      </c>
      <c r="K1648" s="48">
        <f t="shared" ca="1" si="233"/>
        <v>6.3960089371192606</v>
      </c>
    </row>
    <row r="1649" spans="2:11" ht="15" customHeight="1" x14ac:dyDescent="0.35">
      <c r="B1649" s="5">
        <v>1628</v>
      </c>
      <c r="C1649" s="46">
        <f t="shared" ca="1" si="225"/>
        <v>2.7069527103738009</v>
      </c>
      <c r="D1649" s="47">
        <f t="shared" ca="1" si="226"/>
        <v>2612882052.1579056</v>
      </c>
      <c r="E1649" s="47">
        <f t="shared" ca="1" si="227"/>
        <v>3721878328418.3472</v>
      </c>
      <c r="F1649" s="47">
        <f t="shared" ca="1" si="228"/>
        <v>9643802202968.7559</v>
      </c>
      <c r="G1649" s="47">
        <f t="shared" ca="1" si="229"/>
        <v>14238084328740.34</v>
      </c>
      <c r="H1649" s="47">
        <f t="shared" ca="1" si="230"/>
        <v>14238084328740.34</v>
      </c>
      <c r="I1649" s="47">
        <f t="shared" ca="1" si="231"/>
        <v>27637092317486.281</v>
      </c>
      <c r="J1649" s="47">
        <f t="shared" ca="1" si="232"/>
        <v>1283024602866.1997</v>
      </c>
      <c r="K1649" s="48">
        <f t="shared" ca="1" si="233"/>
        <v>21.540578610688119</v>
      </c>
    </row>
    <row r="1650" spans="2:11" ht="15" customHeight="1" x14ac:dyDescent="0.35">
      <c r="B1650" s="5">
        <v>1629</v>
      </c>
      <c r="C1650" s="46">
        <f t="shared" ca="1" si="225"/>
        <v>3.4218701625947956</v>
      </c>
      <c r="D1650" s="47">
        <f t="shared" ca="1" si="226"/>
        <v>9152861280.1473198</v>
      </c>
      <c r="E1650" s="47">
        <f t="shared" ca="1" si="227"/>
        <v>22726078689462.914</v>
      </c>
      <c r="F1650" s="47">
        <f t="shared" ca="1" si="228"/>
        <v>691060789876.23157</v>
      </c>
      <c r="G1650" s="47">
        <f t="shared" ca="1" si="229"/>
        <v>347913628576.88159</v>
      </c>
      <c r="H1650" s="47">
        <f t="shared" ca="1" si="230"/>
        <v>691060789876.23157</v>
      </c>
      <c r="I1650" s="47">
        <f t="shared" ca="1" si="231"/>
        <v>24530323180838.699</v>
      </c>
      <c r="J1650" s="47">
        <f t="shared" ca="1" si="232"/>
        <v>1570377362722.2766</v>
      </c>
      <c r="K1650" s="48">
        <f t="shared" ca="1" si="233"/>
        <v>15.62065511331299</v>
      </c>
    </row>
    <row r="1651" spans="2:11" ht="15" customHeight="1" x14ac:dyDescent="0.35">
      <c r="B1651" s="5">
        <v>1630</v>
      </c>
      <c r="C1651" s="46">
        <f t="shared" ca="1" si="225"/>
        <v>3.0512642112607931</v>
      </c>
      <c r="D1651" s="47">
        <f t="shared" ca="1" si="226"/>
        <v>6043381754.6542025</v>
      </c>
      <c r="E1651" s="47">
        <f t="shared" ca="1" si="227"/>
        <v>6932250903412.6982</v>
      </c>
      <c r="F1651" s="47">
        <f t="shared" ca="1" si="228"/>
        <v>2144275495989.3926</v>
      </c>
      <c r="G1651" s="47">
        <f t="shared" ca="1" si="229"/>
        <v>1201454887390.0637</v>
      </c>
      <c r="H1651" s="47">
        <f t="shared" ca="1" si="230"/>
        <v>1201454887390.0637</v>
      </c>
      <c r="I1651" s="47">
        <f t="shared" ca="1" si="231"/>
        <v>9669158855807.4902</v>
      </c>
      <c r="J1651" s="47">
        <f t="shared" ca="1" si="232"/>
        <v>872651900795.52563</v>
      </c>
      <c r="K1651" s="48">
        <f t="shared" ca="1" si="233"/>
        <v>11.080201449160777</v>
      </c>
    </row>
    <row r="1652" spans="2:11" ht="15" customHeight="1" x14ac:dyDescent="0.35">
      <c r="B1652" s="5">
        <v>1631</v>
      </c>
      <c r="C1652" s="46">
        <f t="shared" ca="1" si="225"/>
        <v>3.192390069555834</v>
      </c>
      <c r="D1652" s="47">
        <f t="shared" ca="1" si="226"/>
        <v>7672179856.4947319</v>
      </c>
      <c r="E1652" s="47">
        <f t="shared" ca="1" si="227"/>
        <v>17418838486784.85</v>
      </c>
      <c r="F1652" s="47">
        <f t="shared" ca="1" si="228"/>
        <v>2548911856726.6792</v>
      </c>
      <c r="G1652" s="47">
        <f t="shared" ca="1" si="229"/>
        <v>2591885656937.0156</v>
      </c>
      <c r="H1652" s="47">
        <f t="shared" ca="1" si="230"/>
        <v>17418838486784.85</v>
      </c>
      <c r="I1652" s="47">
        <f t="shared" ca="1" si="231"/>
        <v>30183445506875.199</v>
      </c>
      <c r="J1652" s="47">
        <f t="shared" ca="1" si="232"/>
        <v>886080710836.54736</v>
      </c>
      <c r="K1652" s="48">
        <f t="shared" ca="1" si="233"/>
        <v>34.063991166650112</v>
      </c>
    </row>
    <row r="1653" spans="2:11" ht="15" customHeight="1" x14ac:dyDescent="0.35">
      <c r="B1653" s="5">
        <v>1632</v>
      </c>
      <c r="C1653" s="46">
        <f t="shared" ca="1" si="225"/>
        <v>3.3817965167945241</v>
      </c>
      <c r="D1653" s="47">
        <f t="shared" ca="1" si="226"/>
        <v>8773116802.5204239</v>
      </c>
      <c r="E1653" s="47">
        <f t="shared" ca="1" si="227"/>
        <v>25429790467101.832</v>
      </c>
      <c r="F1653" s="47">
        <f t="shared" ca="1" si="228"/>
        <v>2318505121290.5708</v>
      </c>
      <c r="G1653" s="47">
        <f t="shared" ca="1" si="229"/>
        <v>24856505505490.707</v>
      </c>
      <c r="H1653" s="47">
        <f t="shared" ca="1" si="230"/>
        <v>2318505121290.5708</v>
      </c>
      <c r="I1653" s="47">
        <f t="shared" ca="1" si="231"/>
        <v>23200678612359.168</v>
      </c>
      <c r="J1653" s="47">
        <f t="shared" ca="1" si="232"/>
        <v>937136033589.08838</v>
      </c>
      <c r="K1653" s="48">
        <f t="shared" ca="1" si="233"/>
        <v>24.757001951471334</v>
      </c>
    </row>
    <row r="1654" spans="2:11" ht="15" customHeight="1" x14ac:dyDescent="0.35">
      <c r="B1654" s="5">
        <v>1633</v>
      </c>
      <c r="C1654" s="46">
        <f t="shared" ca="1" si="225"/>
        <v>3.4242074027972245</v>
      </c>
      <c r="D1654" s="47">
        <f t="shared" ca="1" si="226"/>
        <v>8852176481.9166222</v>
      </c>
      <c r="E1654" s="47">
        <f t="shared" ca="1" si="227"/>
        <v>56011472300552.477</v>
      </c>
      <c r="F1654" s="47">
        <f t="shared" ca="1" si="228"/>
        <v>14351858314568.041</v>
      </c>
      <c r="G1654" s="47">
        <f t="shared" ca="1" si="229"/>
        <v>3162864775456.4888</v>
      </c>
      <c r="H1654" s="47">
        <f t="shared" ca="1" si="230"/>
        <v>56011472300552.477</v>
      </c>
      <c r="I1654" s="47">
        <f t="shared" ca="1" si="231"/>
        <v>21433764148591.023</v>
      </c>
      <c r="J1654" s="47">
        <f t="shared" ca="1" si="232"/>
        <v>999089498583.19275</v>
      </c>
      <c r="K1654" s="48">
        <f t="shared" ca="1" si="233"/>
        <v>21.453297406274626</v>
      </c>
    </row>
    <row r="1655" spans="2:11" ht="15" customHeight="1" x14ac:dyDescent="0.35">
      <c r="B1655" s="5">
        <v>1634</v>
      </c>
      <c r="C1655" s="46">
        <f t="shared" ca="1" si="225"/>
        <v>2.5217928946628341</v>
      </c>
      <c r="D1655" s="47">
        <f t="shared" ca="1" si="226"/>
        <v>2376240215.3398089</v>
      </c>
      <c r="E1655" s="47">
        <f t="shared" ca="1" si="227"/>
        <v>10531619430060.346</v>
      </c>
      <c r="F1655" s="47">
        <f t="shared" ca="1" si="228"/>
        <v>2013795737085.2615</v>
      </c>
      <c r="G1655" s="47">
        <f t="shared" ca="1" si="229"/>
        <v>12082307372975.066</v>
      </c>
      <c r="H1655" s="47">
        <f t="shared" ca="1" si="230"/>
        <v>2013795737085.2615</v>
      </c>
      <c r="I1655" s="47">
        <f t="shared" ca="1" si="231"/>
        <v>29864009292040.547</v>
      </c>
      <c r="J1655" s="47">
        <f t="shared" ca="1" si="232"/>
        <v>1731879824251.0708</v>
      </c>
      <c r="K1655" s="48">
        <f t="shared" ca="1" si="233"/>
        <v>17.243696054346529</v>
      </c>
    </row>
    <row r="1656" spans="2:11" ht="15" customHeight="1" x14ac:dyDescent="0.35">
      <c r="B1656" s="5">
        <v>1635</v>
      </c>
      <c r="C1656" s="46">
        <f t="shared" ca="1" si="225"/>
        <v>2.8070928419202774</v>
      </c>
      <c r="D1656" s="47">
        <f t="shared" ca="1" si="226"/>
        <v>2929877391.8840251</v>
      </c>
      <c r="E1656" s="47">
        <f t="shared" ca="1" si="227"/>
        <v>3972361882318.7871</v>
      </c>
      <c r="F1656" s="47">
        <f t="shared" ca="1" si="228"/>
        <v>1696624917928.0132</v>
      </c>
      <c r="G1656" s="47">
        <f t="shared" ca="1" si="229"/>
        <v>50180231346915.781</v>
      </c>
      <c r="H1656" s="47">
        <f t="shared" ca="1" si="230"/>
        <v>1696624917928.0132</v>
      </c>
      <c r="I1656" s="47">
        <f t="shared" ca="1" si="231"/>
        <v>13501227612975.613</v>
      </c>
      <c r="J1656" s="47">
        <f t="shared" ca="1" si="232"/>
        <v>2072504293633.9971</v>
      </c>
      <c r="K1656" s="48">
        <f t="shared" ca="1" si="233"/>
        <v>6.5144509733690912</v>
      </c>
    </row>
    <row r="1657" spans="2:11" ht="15" customHeight="1" x14ac:dyDescent="0.35">
      <c r="B1657" s="5">
        <v>1636</v>
      </c>
      <c r="C1657" s="46">
        <f t="shared" ca="1" si="225"/>
        <v>3.4761584632334186</v>
      </c>
      <c r="D1657" s="47">
        <f t="shared" ca="1" si="226"/>
        <v>12123240131.150393</v>
      </c>
      <c r="E1657" s="47">
        <f t="shared" ca="1" si="227"/>
        <v>36399132097649.93</v>
      </c>
      <c r="F1657" s="47">
        <f t="shared" ca="1" si="228"/>
        <v>1186694483390.2554</v>
      </c>
      <c r="G1657" s="47">
        <f t="shared" ca="1" si="229"/>
        <v>511459847593.34399</v>
      </c>
      <c r="H1657" s="47">
        <f t="shared" ca="1" si="230"/>
        <v>36399132097649.93</v>
      </c>
      <c r="I1657" s="47">
        <f t="shared" ca="1" si="231"/>
        <v>12841731555295.627</v>
      </c>
      <c r="J1657" s="47">
        <f t="shared" ca="1" si="232"/>
        <v>1270053644851.8806</v>
      </c>
      <c r="K1657" s="48">
        <f t="shared" ca="1" si="233"/>
        <v>10.111172553497367</v>
      </c>
    </row>
    <row r="1658" spans="2:11" ht="15" customHeight="1" x14ac:dyDescent="0.35">
      <c r="B1658" s="5">
        <v>1637</v>
      </c>
      <c r="C1658" s="46">
        <f t="shared" ca="1" si="225"/>
        <v>2.8162091963196314</v>
      </c>
      <c r="D1658" s="47">
        <f t="shared" ca="1" si="226"/>
        <v>2861795276.4022865</v>
      </c>
      <c r="E1658" s="47">
        <f t="shared" ca="1" si="227"/>
        <v>8795379618736.002</v>
      </c>
      <c r="F1658" s="47">
        <f t="shared" ca="1" si="228"/>
        <v>539619046807.43298</v>
      </c>
      <c r="G1658" s="47">
        <f t="shared" ca="1" si="229"/>
        <v>22488276558089.359</v>
      </c>
      <c r="H1658" s="47">
        <f t="shared" ca="1" si="230"/>
        <v>8795379618736.002</v>
      </c>
      <c r="I1658" s="47">
        <f t="shared" ca="1" si="231"/>
        <v>10658143554443.725</v>
      </c>
      <c r="J1658" s="47">
        <f t="shared" ca="1" si="232"/>
        <v>1942087643430.8362</v>
      </c>
      <c r="K1658" s="48">
        <f t="shared" ca="1" si="233"/>
        <v>5.4879827851720195</v>
      </c>
    </row>
    <row r="1659" spans="2:11" ht="15" customHeight="1" x14ac:dyDescent="0.35">
      <c r="B1659" s="5">
        <v>1638</v>
      </c>
      <c r="C1659" s="46">
        <f t="shared" ca="1" si="225"/>
        <v>2.4388993534668755</v>
      </c>
      <c r="D1659" s="47">
        <f t="shared" ca="1" si="226"/>
        <v>1925518964.8144023</v>
      </c>
      <c r="E1659" s="47">
        <f t="shared" ca="1" si="227"/>
        <v>5898519170514.4863</v>
      </c>
      <c r="F1659" s="47">
        <f t="shared" ca="1" si="228"/>
        <v>5893325752483.8154</v>
      </c>
      <c r="G1659" s="47">
        <f t="shared" ca="1" si="229"/>
        <v>53193961626269.172</v>
      </c>
      <c r="H1659" s="47">
        <f t="shared" ca="1" si="230"/>
        <v>5898519170514.4863</v>
      </c>
      <c r="I1659" s="47">
        <f t="shared" ca="1" si="231"/>
        <v>35943838966835.891</v>
      </c>
      <c r="J1659" s="47">
        <f t="shared" ca="1" si="232"/>
        <v>1342301714809.2256</v>
      </c>
      <c r="K1659" s="48">
        <f t="shared" ca="1" si="233"/>
        <v>26.777764321000216</v>
      </c>
    </row>
    <row r="1660" spans="2:11" ht="15" customHeight="1" x14ac:dyDescent="0.35">
      <c r="B1660" s="5">
        <v>1639</v>
      </c>
      <c r="C1660" s="46">
        <f t="shared" ca="1" si="225"/>
        <v>2.6648135237541339</v>
      </c>
      <c r="D1660" s="47">
        <f t="shared" ca="1" si="226"/>
        <v>2990618627.850584</v>
      </c>
      <c r="E1660" s="47">
        <f t="shared" ca="1" si="227"/>
        <v>7627704657522.9248</v>
      </c>
      <c r="F1660" s="47">
        <f t="shared" ca="1" si="228"/>
        <v>1000314464962.0164</v>
      </c>
      <c r="G1660" s="47">
        <f t="shared" ca="1" si="229"/>
        <v>20745344776784.91</v>
      </c>
      <c r="H1660" s="47">
        <f t="shared" ca="1" si="230"/>
        <v>7627704657522.9248</v>
      </c>
      <c r="I1660" s="47">
        <f t="shared" ca="1" si="231"/>
        <v>19390226577816.703</v>
      </c>
      <c r="J1660" s="47">
        <f t="shared" ca="1" si="232"/>
        <v>622057030661.53186</v>
      </c>
      <c r="K1660" s="48">
        <f t="shared" ca="1" si="233"/>
        <v>31.171139657719166</v>
      </c>
    </row>
    <row r="1661" spans="2:11" ht="15" customHeight="1" x14ac:dyDescent="0.35">
      <c r="B1661" s="5">
        <v>1640</v>
      </c>
      <c r="C1661" s="46">
        <f t="shared" ca="1" si="225"/>
        <v>4.0382351195283892</v>
      </c>
      <c r="D1661" s="47">
        <f t="shared" ca="1" si="226"/>
        <v>22656551340.532623</v>
      </c>
      <c r="E1661" s="47">
        <f t="shared" ca="1" si="227"/>
        <v>61453816907916.156</v>
      </c>
      <c r="F1661" s="47">
        <f t="shared" ca="1" si="228"/>
        <v>940467566909.69739</v>
      </c>
      <c r="G1661" s="47">
        <f t="shared" ca="1" si="229"/>
        <v>2261401077296.4854</v>
      </c>
      <c r="H1661" s="47">
        <f t="shared" ca="1" si="230"/>
        <v>940467566909.69739</v>
      </c>
      <c r="I1661" s="47">
        <f t="shared" ca="1" si="231"/>
        <v>4888151772578.3516</v>
      </c>
      <c r="J1661" s="47">
        <f t="shared" ca="1" si="232"/>
        <v>1892030865863.0945</v>
      </c>
      <c r="K1661" s="48">
        <f t="shared" ca="1" si="233"/>
        <v>2.5835475841185636</v>
      </c>
    </row>
    <row r="1662" spans="2:11" ht="15" customHeight="1" x14ac:dyDescent="0.35">
      <c r="B1662" s="5">
        <v>1641</v>
      </c>
      <c r="C1662" s="46">
        <f t="shared" ca="1" si="225"/>
        <v>2.3661985047891614</v>
      </c>
      <c r="D1662" s="47">
        <f t="shared" ca="1" si="226"/>
        <v>1479491862.549747</v>
      </c>
      <c r="E1662" s="47">
        <f t="shared" ca="1" si="227"/>
        <v>3362071528322.5361</v>
      </c>
      <c r="F1662" s="47">
        <f t="shared" ca="1" si="228"/>
        <v>1285604072287.864</v>
      </c>
      <c r="G1662" s="47">
        <f t="shared" ca="1" si="229"/>
        <v>70616285222606.25</v>
      </c>
      <c r="H1662" s="47">
        <f t="shared" ca="1" si="230"/>
        <v>70616285222606.25</v>
      </c>
      <c r="I1662" s="47">
        <f t="shared" ca="1" si="231"/>
        <v>9978240140744.3613</v>
      </c>
      <c r="J1662" s="47">
        <f t="shared" ca="1" si="232"/>
        <v>2282053535314.9478</v>
      </c>
      <c r="K1662" s="48">
        <f t="shared" ca="1" si="233"/>
        <v>4.3724829353607859</v>
      </c>
    </row>
    <row r="1663" spans="2:11" ht="15" customHeight="1" x14ac:dyDescent="0.35">
      <c r="B1663" s="5">
        <v>1642</v>
      </c>
      <c r="C1663" s="46">
        <f t="shared" ca="1" si="225"/>
        <v>2.8742115418531267</v>
      </c>
      <c r="D1663" s="47">
        <f t="shared" ca="1" si="226"/>
        <v>3973723997.16996</v>
      </c>
      <c r="E1663" s="47">
        <f t="shared" ca="1" si="227"/>
        <v>31209230419763.723</v>
      </c>
      <c r="F1663" s="47">
        <f t="shared" ca="1" si="228"/>
        <v>1122867501394.4031</v>
      </c>
      <c r="G1663" s="47">
        <f t="shared" ca="1" si="229"/>
        <v>2751418561870.8882</v>
      </c>
      <c r="H1663" s="47">
        <f t="shared" ca="1" si="230"/>
        <v>31209230419763.723</v>
      </c>
      <c r="I1663" s="47">
        <f t="shared" ca="1" si="231"/>
        <v>34339422043853.648</v>
      </c>
      <c r="J1663" s="47">
        <f t="shared" ca="1" si="232"/>
        <v>1019167958145.3818</v>
      </c>
      <c r="K1663" s="48">
        <f t="shared" ca="1" si="233"/>
        <v>33.693584820251203</v>
      </c>
    </row>
    <row r="1664" spans="2:11" ht="15" customHeight="1" x14ac:dyDescent="0.35">
      <c r="B1664" s="5">
        <v>1643</v>
      </c>
      <c r="C1664" s="46">
        <f t="shared" ca="1" si="225"/>
        <v>3.0402374766496241</v>
      </c>
      <c r="D1664" s="47">
        <f t="shared" ca="1" si="226"/>
        <v>4973002211.6453772</v>
      </c>
      <c r="E1664" s="47">
        <f t="shared" ca="1" si="227"/>
        <v>7849811368865.4033</v>
      </c>
      <c r="F1664" s="47">
        <f t="shared" ca="1" si="228"/>
        <v>2608355738835.8511</v>
      </c>
      <c r="G1664" s="47">
        <f t="shared" ca="1" si="229"/>
        <v>9216873076800.7383</v>
      </c>
      <c r="H1664" s="47">
        <f t="shared" ca="1" si="230"/>
        <v>7849811368865.4033</v>
      </c>
      <c r="I1664" s="47">
        <f t="shared" ca="1" si="231"/>
        <v>8734655608540.2246</v>
      </c>
      <c r="J1664" s="47">
        <f t="shared" ca="1" si="232"/>
        <v>1726485469142.5286</v>
      </c>
      <c r="K1664" s="48">
        <f t="shared" ca="1" si="233"/>
        <v>5.0592117713439864</v>
      </c>
    </row>
    <row r="1665" spans="2:11" ht="15" customHeight="1" x14ac:dyDescent="0.35">
      <c r="B1665" s="5">
        <v>1644</v>
      </c>
      <c r="C1665" s="46">
        <f t="shared" ca="1" si="225"/>
        <v>2.8530237039720103</v>
      </c>
      <c r="D1665" s="47">
        <f t="shared" ca="1" si="226"/>
        <v>3936428523.496767</v>
      </c>
      <c r="E1665" s="47">
        <f t="shared" ca="1" si="227"/>
        <v>39906189654561.313</v>
      </c>
      <c r="F1665" s="47">
        <f t="shared" ca="1" si="228"/>
        <v>1489481526332.7061</v>
      </c>
      <c r="G1665" s="47">
        <f t="shared" ca="1" si="229"/>
        <v>100066117919220.89</v>
      </c>
      <c r="H1665" s="47">
        <f t="shared" ca="1" si="230"/>
        <v>100066117919220.89</v>
      </c>
      <c r="I1665" s="47">
        <f t="shared" ca="1" si="231"/>
        <v>733718302148.00269</v>
      </c>
      <c r="J1665" s="47">
        <f t="shared" ca="1" si="232"/>
        <v>1677251584409.0029</v>
      </c>
      <c r="K1665" s="48">
        <f t="shared" ca="1" si="233"/>
        <v>0.43745274052403771</v>
      </c>
    </row>
    <row r="1666" spans="2:11" ht="15" customHeight="1" x14ac:dyDescent="0.35">
      <c r="B1666" s="5">
        <v>1645</v>
      </c>
      <c r="C1666" s="46">
        <f t="shared" ca="1" si="225"/>
        <v>2.6901598044128794</v>
      </c>
      <c r="D1666" s="47">
        <f t="shared" ca="1" si="226"/>
        <v>3290808811.2692327</v>
      </c>
      <c r="E1666" s="47">
        <f t="shared" ca="1" si="227"/>
        <v>19486683664923.723</v>
      </c>
      <c r="F1666" s="47">
        <f t="shared" ca="1" si="228"/>
        <v>774038246116.65173</v>
      </c>
      <c r="G1666" s="47">
        <f t="shared" ca="1" si="229"/>
        <v>3239149482402.4565</v>
      </c>
      <c r="H1666" s="47">
        <f t="shared" ca="1" si="230"/>
        <v>774038246116.65173</v>
      </c>
      <c r="I1666" s="47">
        <f t="shared" ca="1" si="231"/>
        <v>2186735633213.144</v>
      </c>
      <c r="J1666" s="47">
        <f t="shared" ca="1" si="232"/>
        <v>1306520855849.6428</v>
      </c>
      <c r="K1666" s="48">
        <f t="shared" ca="1" si="233"/>
        <v>1.6737089373066987</v>
      </c>
    </row>
    <row r="1667" spans="2:11" ht="15" customHeight="1" x14ac:dyDescent="0.35">
      <c r="B1667" s="5">
        <v>1646</v>
      </c>
      <c r="C1667" s="46">
        <f t="shared" ca="1" si="225"/>
        <v>2.6296423350219196</v>
      </c>
      <c r="D1667" s="47">
        <f t="shared" ca="1" si="226"/>
        <v>2560649585.5408659</v>
      </c>
      <c r="E1667" s="47">
        <f t="shared" ca="1" si="227"/>
        <v>5190502397916.0029</v>
      </c>
      <c r="F1667" s="47">
        <f t="shared" ca="1" si="228"/>
        <v>3695426208202.5337</v>
      </c>
      <c r="G1667" s="47">
        <f t="shared" ca="1" si="229"/>
        <v>2207975385256.4351</v>
      </c>
      <c r="H1667" s="47">
        <f t="shared" ca="1" si="230"/>
        <v>2207975385256.4351</v>
      </c>
      <c r="I1667" s="47">
        <f t="shared" ca="1" si="231"/>
        <v>1444978529977.9124</v>
      </c>
      <c r="J1667" s="47">
        <f t="shared" ca="1" si="232"/>
        <v>993791465595.94531</v>
      </c>
      <c r="K1667" s="48">
        <f t="shared" ca="1" si="233"/>
        <v>1.4540057748547925</v>
      </c>
    </row>
    <row r="1668" spans="2:11" ht="15" customHeight="1" x14ac:dyDescent="0.35">
      <c r="B1668" s="5">
        <v>1647</v>
      </c>
      <c r="C1668" s="46">
        <f t="shared" ca="1" si="225"/>
        <v>4.4592011199185499</v>
      </c>
      <c r="D1668" s="47">
        <f t="shared" ca="1" si="226"/>
        <v>36573401716.732918</v>
      </c>
      <c r="E1668" s="47">
        <f t="shared" ca="1" si="227"/>
        <v>259129526458145.84</v>
      </c>
      <c r="F1668" s="47">
        <f t="shared" ca="1" si="228"/>
        <v>1764011778379.7905</v>
      </c>
      <c r="G1668" s="47">
        <f t="shared" ca="1" si="229"/>
        <v>1373879674296.0432</v>
      </c>
      <c r="H1668" s="47">
        <f t="shared" ca="1" si="230"/>
        <v>1373879674296.0432</v>
      </c>
      <c r="I1668" s="47">
        <f t="shared" ca="1" si="231"/>
        <v>2641113040638.1621</v>
      </c>
      <c r="J1668" s="47">
        <f t="shared" ca="1" si="232"/>
        <v>955221881869.20142</v>
      </c>
      <c r="K1668" s="48">
        <f t="shared" ca="1" si="233"/>
        <v>2.7649209997890414</v>
      </c>
    </row>
    <row r="1669" spans="2:11" ht="15" customHeight="1" x14ac:dyDescent="0.35">
      <c r="B1669" s="5">
        <v>1648</v>
      </c>
      <c r="C1669" s="46">
        <f t="shared" ca="1" si="225"/>
        <v>1.8949081188160137</v>
      </c>
      <c r="D1669" s="47">
        <f t="shared" ca="1" si="226"/>
        <v>577474392.65858757</v>
      </c>
      <c r="E1669" s="47">
        <f t="shared" ca="1" si="227"/>
        <v>2295561656829.8159</v>
      </c>
      <c r="F1669" s="47">
        <f t="shared" ca="1" si="228"/>
        <v>7232988951335.1816</v>
      </c>
      <c r="G1669" s="47">
        <f t="shared" ca="1" si="229"/>
        <v>11873661911078.695</v>
      </c>
      <c r="H1669" s="47">
        <f t="shared" ca="1" si="230"/>
        <v>2295561656829.8159</v>
      </c>
      <c r="I1669" s="47">
        <f t="shared" ca="1" si="231"/>
        <v>54163298204170.328</v>
      </c>
      <c r="J1669" s="47">
        <f t="shared" ca="1" si="232"/>
        <v>837564477871.80042</v>
      </c>
      <c r="K1669" s="48">
        <f t="shared" ca="1" si="233"/>
        <v>64.667616207645196</v>
      </c>
    </row>
    <row r="1670" spans="2:11" ht="15" customHeight="1" x14ac:dyDescent="0.35">
      <c r="B1670" s="5">
        <v>1649</v>
      </c>
      <c r="C1670" s="46">
        <f t="shared" ca="1" si="225"/>
        <v>3.5873012174012757</v>
      </c>
      <c r="D1670" s="47">
        <f t="shared" ca="1" si="226"/>
        <v>14100126108.661074</v>
      </c>
      <c r="E1670" s="47">
        <f t="shared" ca="1" si="227"/>
        <v>17818080909198.027</v>
      </c>
      <c r="F1670" s="47">
        <f t="shared" ca="1" si="228"/>
        <v>906482938261.84656</v>
      </c>
      <c r="G1670" s="47">
        <f t="shared" ca="1" si="229"/>
        <v>455554818266.4303</v>
      </c>
      <c r="H1670" s="47">
        <f t="shared" ca="1" si="230"/>
        <v>17818080909198.027</v>
      </c>
      <c r="I1670" s="47">
        <f t="shared" ca="1" si="231"/>
        <v>25958317567770.738</v>
      </c>
      <c r="J1670" s="47">
        <f t="shared" ca="1" si="232"/>
        <v>744776989439.68298</v>
      </c>
      <c r="K1670" s="48">
        <f t="shared" ca="1" si="233"/>
        <v>34.853812531587373</v>
      </c>
    </row>
    <row r="1671" spans="2:11" ht="15" customHeight="1" x14ac:dyDescent="0.35">
      <c r="B1671" s="5">
        <v>1650</v>
      </c>
      <c r="C1671" s="46">
        <f t="shared" ca="1" si="225"/>
        <v>2.7667201734401954</v>
      </c>
      <c r="D1671" s="47">
        <f t="shared" ca="1" si="226"/>
        <v>3106389925.7547846</v>
      </c>
      <c r="E1671" s="47">
        <f t="shared" ca="1" si="227"/>
        <v>14592419933717.986</v>
      </c>
      <c r="F1671" s="47">
        <f t="shared" ca="1" si="228"/>
        <v>888513900360.13135</v>
      </c>
      <c r="G1671" s="47">
        <f t="shared" ca="1" si="229"/>
        <v>855972767661.84619</v>
      </c>
      <c r="H1671" s="47">
        <f t="shared" ca="1" si="230"/>
        <v>855972767661.84619</v>
      </c>
      <c r="I1671" s="47">
        <f t="shared" ca="1" si="231"/>
        <v>8099786890842.3184</v>
      </c>
      <c r="J1671" s="47">
        <f t="shared" ca="1" si="232"/>
        <v>1755392685806.3408</v>
      </c>
      <c r="K1671" s="48">
        <f t="shared" ca="1" si="233"/>
        <v>4.6142307395576712</v>
      </c>
    </row>
    <row r="1672" spans="2:11" ht="15" customHeight="1" x14ac:dyDescent="0.35">
      <c r="B1672" s="5">
        <v>1651</v>
      </c>
      <c r="C1672" s="46">
        <f t="shared" ca="1" si="225"/>
        <v>2.693627833601318</v>
      </c>
      <c r="D1672" s="47">
        <f t="shared" ca="1" si="226"/>
        <v>2478266742.1664205</v>
      </c>
      <c r="E1672" s="47">
        <f t="shared" ca="1" si="227"/>
        <v>14249490542713.004</v>
      </c>
      <c r="F1672" s="47">
        <f t="shared" ca="1" si="228"/>
        <v>11589851118856.006</v>
      </c>
      <c r="G1672" s="47">
        <f t="shared" ca="1" si="229"/>
        <v>12145169096420.1</v>
      </c>
      <c r="H1672" s="47">
        <f t="shared" ca="1" si="230"/>
        <v>11589851118856.006</v>
      </c>
      <c r="I1672" s="47">
        <f t="shared" ca="1" si="231"/>
        <v>4879372138982.6084</v>
      </c>
      <c r="J1672" s="47">
        <f t="shared" ca="1" si="232"/>
        <v>1804252165637.9514</v>
      </c>
      <c r="K1672" s="48">
        <f t="shared" ca="1" si="233"/>
        <v>2.7043737188794501</v>
      </c>
    </row>
    <row r="1673" spans="2:11" ht="15" customHeight="1" x14ac:dyDescent="0.35">
      <c r="B1673" s="5">
        <v>1652</v>
      </c>
      <c r="C1673" s="46">
        <f t="shared" ca="1" si="225"/>
        <v>3.8610049655958751</v>
      </c>
      <c r="D1673" s="47">
        <f t="shared" ca="1" si="226"/>
        <v>15740482502.652321</v>
      </c>
      <c r="E1673" s="47">
        <f t="shared" ca="1" si="227"/>
        <v>46094418920319.063</v>
      </c>
      <c r="F1673" s="47">
        <f t="shared" ca="1" si="228"/>
        <v>4866316091049.2832</v>
      </c>
      <c r="G1673" s="47">
        <f t="shared" ca="1" si="229"/>
        <v>4870661220870.1895</v>
      </c>
      <c r="H1673" s="47">
        <f t="shared" ca="1" si="230"/>
        <v>46094418920319.063</v>
      </c>
      <c r="I1673" s="47">
        <f t="shared" ca="1" si="231"/>
        <v>3259818439411.5239</v>
      </c>
      <c r="J1673" s="47">
        <f t="shared" ca="1" si="232"/>
        <v>1789914949870.4492</v>
      </c>
      <c r="K1673" s="48">
        <f t="shared" ca="1" si="233"/>
        <v>1.8212141530230046</v>
      </c>
    </row>
    <row r="1674" spans="2:11" ht="15" customHeight="1" x14ac:dyDescent="0.35">
      <c r="B1674" s="5">
        <v>1653</v>
      </c>
      <c r="C1674" s="46">
        <f t="shared" ca="1" si="225"/>
        <v>2.9732393605348553</v>
      </c>
      <c r="D1674" s="47">
        <f t="shared" ca="1" si="226"/>
        <v>4079475207.7589159</v>
      </c>
      <c r="E1674" s="47">
        <f t="shared" ca="1" si="227"/>
        <v>8779821414312.2441</v>
      </c>
      <c r="F1674" s="47">
        <f t="shared" ca="1" si="228"/>
        <v>8806554212123.3262</v>
      </c>
      <c r="G1674" s="47">
        <f t="shared" ca="1" si="229"/>
        <v>175335726731.07056</v>
      </c>
      <c r="H1674" s="47">
        <f t="shared" ca="1" si="230"/>
        <v>8779821414312.2441</v>
      </c>
      <c r="I1674" s="47">
        <f t="shared" ca="1" si="231"/>
        <v>11963462454136.709</v>
      </c>
      <c r="J1674" s="47">
        <f t="shared" ca="1" si="232"/>
        <v>2066545965034.489</v>
      </c>
      <c r="K1674" s="48">
        <f t="shared" ca="1" si="233"/>
        <v>5.789110262513347</v>
      </c>
    </row>
    <row r="1675" spans="2:11" ht="15" customHeight="1" x14ac:dyDescent="0.35">
      <c r="B1675" s="5">
        <v>1654</v>
      </c>
      <c r="C1675" s="46">
        <f t="shared" ca="1" si="225"/>
        <v>2.9310959850317775</v>
      </c>
      <c r="D1675" s="47">
        <f t="shared" ca="1" si="226"/>
        <v>3564371282.2506948</v>
      </c>
      <c r="E1675" s="47">
        <f t="shared" ca="1" si="227"/>
        <v>17509130570928.822</v>
      </c>
      <c r="F1675" s="47">
        <f t="shared" ca="1" si="228"/>
        <v>1660525817622.7551</v>
      </c>
      <c r="G1675" s="47">
        <f t="shared" ca="1" si="229"/>
        <v>6897461241014.252</v>
      </c>
      <c r="H1675" s="47">
        <f t="shared" ca="1" si="230"/>
        <v>6897461241014.252</v>
      </c>
      <c r="I1675" s="47">
        <f t="shared" ca="1" si="231"/>
        <v>1785157110272.1223</v>
      </c>
      <c r="J1675" s="47">
        <f t="shared" ca="1" si="232"/>
        <v>1748619948011.6592</v>
      </c>
      <c r="K1675" s="48">
        <f t="shared" ca="1" si="233"/>
        <v>1.0208948561418445</v>
      </c>
    </row>
    <row r="1676" spans="2:11" ht="15" customHeight="1" x14ac:dyDescent="0.35">
      <c r="B1676" s="5">
        <v>1655</v>
      </c>
      <c r="C1676" s="46">
        <f t="shared" ca="1" si="225"/>
        <v>4.1851443894523523</v>
      </c>
      <c r="D1676" s="47">
        <f t="shared" ca="1" si="226"/>
        <v>20807398063.119061</v>
      </c>
      <c r="E1676" s="47">
        <f t="shared" ca="1" si="227"/>
        <v>30173419896806.359</v>
      </c>
      <c r="F1676" s="47">
        <f t="shared" ca="1" si="228"/>
        <v>4409560149249.7637</v>
      </c>
      <c r="G1676" s="47">
        <f t="shared" ca="1" si="229"/>
        <v>1030277061553.3625</v>
      </c>
      <c r="H1676" s="47">
        <f t="shared" ca="1" si="230"/>
        <v>30173419896806.359</v>
      </c>
      <c r="I1676" s="47">
        <f t="shared" ca="1" si="231"/>
        <v>2057889274713.4082</v>
      </c>
      <c r="J1676" s="47">
        <f t="shared" ca="1" si="232"/>
        <v>1098044429234.7687</v>
      </c>
      <c r="K1676" s="48">
        <f t="shared" ca="1" si="233"/>
        <v>1.8741402623822416</v>
      </c>
    </row>
    <row r="1677" spans="2:11" ht="15" customHeight="1" x14ac:dyDescent="0.35">
      <c r="B1677" s="5">
        <v>1656</v>
      </c>
      <c r="C1677" s="46">
        <f t="shared" ca="1" si="225"/>
        <v>2.550317650495157</v>
      </c>
      <c r="D1677" s="47">
        <f t="shared" ca="1" si="226"/>
        <v>2297902496.7899542</v>
      </c>
      <c r="E1677" s="47">
        <f t="shared" ca="1" si="227"/>
        <v>5824865632250.9229</v>
      </c>
      <c r="F1677" s="47">
        <f t="shared" ca="1" si="228"/>
        <v>1336346682362.4919</v>
      </c>
      <c r="G1677" s="47">
        <f t="shared" ca="1" si="229"/>
        <v>23291654453375.168</v>
      </c>
      <c r="H1677" s="47">
        <f t="shared" ca="1" si="230"/>
        <v>1336346682362.4919</v>
      </c>
      <c r="I1677" s="47">
        <f t="shared" ca="1" si="231"/>
        <v>43221575398768.961</v>
      </c>
      <c r="J1677" s="47">
        <f t="shared" ca="1" si="232"/>
        <v>426389657756.22144</v>
      </c>
      <c r="K1677" s="48">
        <f t="shared" ca="1" si="233"/>
        <v>101.36637841126979</v>
      </c>
    </row>
    <row r="1678" spans="2:11" ht="15" customHeight="1" x14ac:dyDescent="0.35">
      <c r="B1678" s="5">
        <v>1657</v>
      </c>
      <c r="C1678" s="46">
        <f t="shared" ca="1" si="225"/>
        <v>3.2576546661935271</v>
      </c>
      <c r="D1678" s="47">
        <f t="shared" ca="1" si="226"/>
        <v>6136182041.3331079</v>
      </c>
      <c r="E1678" s="47">
        <f t="shared" ca="1" si="227"/>
        <v>26325815758535.074</v>
      </c>
      <c r="F1678" s="47">
        <f t="shared" ca="1" si="228"/>
        <v>960604517892.54883</v>
      </c>
      <c r="G1678" s="47">
        <f t="shared" ca="1" si="229"/>
        <v>2723098951357.1714</v>
      </c>
      <c r="H1678" s="47">
        <f t="shared" ca="1" si="230"/>
        <v>2723098951357.1714</v>
      </c>
      <c r="I1678" s="47">
        <f t="shared" ca="1" si="231"/>
        <v>14029394591906.848</v>
      </c>
      <c r="J1678" s="47">
        <f t="shared" ca="1" si="232"/>
        <v>1456808713543.2898</v>
      </c>
      <c r="K1678" s="48">
        <f t="shared" ca="1" si="233"/>
        <v>9.6302242439120036</v>
      </c>
    </row>
    <row r="1679" spans="2:11" ht="15" customHeight="1" x14ac:dyDescent="0.35">
      <c r="B1679" s="5">
        <v>1658</v>
      </c>
      <c r="C1679" s="46">
        <f t="shared" ca="1" si="225"/>
        <v>3.907984921760526</v>
      </c>
      <c r="D1679" s="47">
        <f t="shared" ca="1" si="226"/>
        <v>20713378523.983597</v>
      </c>
      <c r="E1679" s="47">
        <f t="shared" ca="1" si="227"/>
        <v>21810443217220.777</v>
      </c>
      <c r="F1679" s="47">
        <f t="shared" ca="1" si="228"/>
        <v>2639879946627.4985</v>
      </c>
      <c r="G1679" s="47">
        <f t="shared" ca="1" si="229"/>
        <v>3722840548574.4575</v>
      </c>
      <c r="H1679" s="47">
        <f t="shared" ca="1" si="230"/>
        <v>21810443217220.777</v>
      </c>
      <c r="I1679" s="47">
        <f t="shared" ca="1" si="231"/>
        <v>31120776781279.477</v>
      </c>
      <c r="J1679" s="47">
        <f t="shared" ca="1" si="232"/>
        <v>2389157594887.8306</v>
      </c>
      <c r="K1679" s="48">
        <f t="shared" ca="1" si="233"/>
        <v>13.025836741732634</v>
      </c>
    </row>
    <row r="1680" spans="2:11" ht="15" customHeight="1" x14ac:dyDescent="0.35">
      <c r="B1680" s="5">
        <v>1659</v>
      </c>
      <c r="C1680" s="46">
        <f t="shared" ca="1" si="225"/>
        <v>2.8407277581876755</v>
      </c>
      <c r="D1680" s="47">
        <f t="shared" ca="1" si="226"/>
        <v>4364942565.7718515</v>
      </c>
      <c r="E1680" s="47">
        <f t="shared" ca="1" si="227"/>
        <v>10158198297894.539</v>
      </c>
      <c r="F1680" s="47">
        <f t="shared" ca="1" si="228"/>
        <v>5357441017926.7314</v>
      </c>
      <c r="G1680" s="47">
        <f t="shared" ca="1" si="229"/>
        <v>23879192326370.254</v>
      </c>
      <c r="H1680" s="47">
        <f t="shared" ca="1" si="230"/>
        <v>5357441017926.7314</v>
      </c>
      <c r="I1680" s="47">
        <f t="shared" ca="1" si="231"/>
        <v>31133252515002.359</v>
      </c>
      <c r="J1680" s="47">
        <f t="shared" ca="1" si="232"/>
        <v>1627488418068.9368</v>
      </c>
      <c r="K1680" s="48">
        <f t="shared" ca="1" si="233"/>
        <v>19.129630766861546</v>
      </c>
    </row>
    <row r="1681" spans="2:11" ht="15" customHeight="1" x14ac:dyDescent="0.35">
      <c r="B1681" s="5">
        <v>1660</v>
      </c>
      <c r="C1681" s="46">
        <f t="shared" ca="1" si="225"/>
        <v>3.1348228312316384</v>
      </c>
      <c r="D1681" s="47">
        <f t="shared" ca="1" si="226"/>
        <v>6231236325.4424467</v>
      </c>
      <c r="E1681" s="47">
        <f t="shared" ca="1" si="227"/>
        <v>46578417056555.555</v>
      </c>
      <c r="F1681" s="47">
        <f t="shared" ca="1" si="228"/>
        <v>2447128706671.7119</v>
      </c>
      <c r="G1681" s="47">
        <f t="shared" ca="1" si="229"/>
        <v>11471057728142.754</v>
      </c>
      <c r="H1681" s="47">
        <f t="shared" ca="1" si="230"/>
        <v>2447128706671.7119</v>
      </c>
      <c r="I1681" s="47">
        <f t="shared" ca="1" si="231"/>
        <v>2637538176190.2905</v>
      </c>
      <c r="J1681" s="47">
        <f t="shared" ca="1" si="232"/>
        <v>1098872941288.2581</v>
      </c>
      <c r="K1681" s="48">
        <f t="shared" ca="1" si="233"/>
        <v>2.4002212422285929</v>
      </c>
    </row>
    <row r="1682" spans="2:11" ht="15" customHeight="1" x14ac:dyDescent="0.35">
      <c r="B1682" s="5">
        <v>1661</v>
      </c>
      <c r="C1682" s="46">
        <f t="shared" ca="1" si="225"/>
        <v>3.3978242865127264</v>
      </c>
      <c r="D1682" s="47">
        <f t="shared" ca="1" si="226"/>
        <v>8495323325.025794</v>
      </c>
      <c r="E1682" s="47">
        <f t="shared" ca="1" si="227"/>
        <v>27508166541929.891</v>
      </c>
      <c r="F1682" s="47">
        <f t="shared" ca="1" si="228"/>
        <v>3401937931269.2842</v>
      </c>
      <c r="G1682" s="47">
        <f t="shared" ca="1" si="229"/>
        <v>26672829131069.266</v>
      </c>
      <c r="H1682" s="47">
        <f t="shared" ca="1" si="230"/>
        <v>26672829131069.266</v>
      </c>
      <c r="I1682" s="47">
        <f t="shared" ca="1" si="231"/>
        <v>13376925230844.301</v>
      </c>
      <c r="J1682" s="47">
        <f t="shared" ca="1" si="232"/>
        <v>1349879165509.0671</v>
      </c>
      <c r="K1682" s="48">
        <f t="shared" ca="1" si="233"/>
        <v>9.9097204939818351</v>
      </c>
    </row>
    <row r="1683" spans="2:11" ht="15" customHeight="1" x14ac:dyDescent="0.35">
      <c r="B1683" s="5">
        <v>1662</v>
      </c>
      <c r="C1683" s="46">
        <f t="shared" ca="1" si="225"/>
        <v>2.9954314470260521</v>
      </c>
      <c r="D1683" s="47">
        <f t="shared" ca="1" si="226"/>
        <v>5562214989.1778059</v>
      </c>
      <c r="E1683" s="47">
        <f t="shared" ca="1" si="227"/>
        <v>23934482681348.777</v>
      </c>
      <c r="F1683" s="47">
        <f t="shared" ca="1" si="228"/>
        <v>3399241378737.4155</v>
      </c>
      <c r="G1683" s="47">
        <f t="shared" ca="1" si="229"/>
        <v>865386044100.98596</v>
      </c>
      <c r="H1683" s="47">
        <f t="shared" ca="1" si="230"/>
        <v>3399241378737.4155</v>
      </c>
      <c r="I1683" s="47">
        <f t="shared" ca="1" si="231"/>
        <v>7989222715612.8594</v>
      </c>
      <c r="J1683" s="47">
        <f t="shared" ca="1" si="232"/>
        <v>2433148387894.6934</v>
      </c>
      <c r="K1683" s="48">
        <f t="shared" ca="1" si="233"/>
        <v>3.2834917736051503</v>
      </c>
    </row>
    <row r="1684" spans="2:11" ht="15" customHeight="1" x14ac:dyDescent="0.35">
      <c r="B1684" s="5">
        <v>1663</v>
      </c>
      <c r="C1684" s="46">
        <f t="shared" ca="1" si="225"/>
        <v>2.6264286980982234</v>
      </c>
      <c r="D1684" s="47">
        <f t="shared" ca="1" si="226"/>
        <v>2007244988.3903675</v>
      </c>
      <c r="E1684" s="47">
        <f t="shared" ca="1" si="227"/>
        <v>10548129220763.744</v>
      </c>
      <c r="F1684" s="47">
        <f t="shared" ca="1" si="228"/>
        <v>3082274401304.9585</v>
      </c>
      <c r="G1684" s="47">
        <f t="shared" ca="1" si="229"/>
        <v>22055235000165.199</v>
      </c>
      <c r="H1684" s="47">
        <f t="shared" ca="1" si="230"/>
        <v>3082274401304.9585</v>
      </c>
      <c r="I1684" s="47">
        <f t="shared" ca="1" si="231"/>
        <v>3192825749693.2095</v>
      </c>
      <c r="J1684" s="47">
        <f t="shared" ca="1" si="232"/>
        <v>1332791337796.8762</v>
      </c>
      <c r="K1684" s="48">
        <f t="shared" ca="1" si="233"/>
        <v>2.3955931128506562</v>
      </c>
    </row>
    <row r="1685" spans="2:11" ht="15" customHeight="1" x14ac:dyDescent="0.35">
      <c r="B1685" s="5">
        <v>1664</v>
      </c>
      <c r="C1685" s="46">
        <f t="shared" ca="1" si="225"/>
        <v>3.2269469380440943</v>
      </c>
      <c r="D1685" s="47">
        <f t="shared" ca="1" si="226"/>
        <v>5741517781.4191122</v>
      </c>
      <c r="E1685" s="47">
        <f t="shared" ca="1" si="227"/>
        <v>15847318475029.004</v>
      </c>
      <c r="F1685" s="47">
        <f t="shared" ca="1" si="228"/>
        <v>43869551995478.617</v>
      </c>
      <c r="G1685" s="47">
        <f t="shared" ca="1" si="229"/>
        <v>3524064426342.3584</v>
      </c>
      <c r="H1685" s="47">
        <f t="shared" ca="1" si="230"/>
        <v>15847318475029.004</v>
      </c>
      <c r="I1685" s="47">
        <f t="shared" ca="1" si="231"/>
        <v>852069167090.93726</v>
      </c>
      <c r="J1685" s="47">
        <f t="shared" ca="1" si="232"/>
        <v>1037307784559.1831</v>
      </c>
      <c r="K1685" s="48">
        <f t="shared" ca="1" si="233"/>
        <v>0.82142366978672077</v>
      </c>
    </row>
    <row r="1686" spans="2:11" ht="15" customHeight="1" x14ac:dyDescent="0.35">
      <c r="B1686" s="5">
        <v>1665</v>
      </c>
      <c r="C1686" s="46">
        <f t="shared" ref="C1686:C1749" ca="1" si="234">MEDIAN(1.8,NORMINV(RAND(),$C$7,$D$7),4.5)</f>
        <v>3.2962703276557841</v>
      </c>
      <c r="D1686" s="47">
        <f t="shared" ref="D1686:D1749" ca="1" si="235">($C$8+RAND()*($D$8-$C$8))*C1686^5</f>
        <v>6819659691.7385149</v>
      </c>
      <c r="E1686" s="47">
        <f t="shared" ref="E1686:E1749" ca="1" si="236">D1686*($C$10+RAND()*($D$10-$C$10))*EXP(NORMINV(RAND(),$C$9,$D$9))*($C$11+RAND()*($D$11-$C$11))</f>
        <v>13266494561100.395</v>
      </c>
      <c r="F1686" s="47">
        <f t="shared" ref="F1686:F1749" ca="1" si="237">EXP(NORMINV(RAND(),$C$12,$D$12))*EXP(NORMINV(RAND(),$C$13,$D$13))</f>
        <v>3064609969098.4048</v>
      </c>
      <c r="G1686" s="47">
        <f t="shared" ref="G1686:G1749" ca="1" si="238">EXP(NORMINV(RAND(),$C$14,$D$14))*($C$15+RAND()*($D$15-$C$15))*EXP(NORMINV(RAND(),$C$16,$D$16))/1000000*31536000</f>
        <v>7810452571530.7021</v>
      </c>
      <c r="H1686" s="47">
        <f t="shared" ref="H1686:H1749" ca="1" si="239">CHOOSE(RANDBETWEEN(1,3),E1686,F1686,G1686)</f>
        <v>13266494561100.395</v>
      </c>
      <c r="I1686" s="47">
        <f t="shared" ref="I1686:I1749" ca="1" si="240">EXP(NORMINV(RAND(),$C$14,$D$14))*($C$15+RAND()*($D$15-$C$15))*60</f>
        <v>39880437624434.141</v>
      </c>
      <c r="J1686" s="47">
        <f t="shared" ref="J1686:J1749" ca="1" si="241">($C$17+RAND()*($D$17-$C$17))*($C$18+RAND()*($D$18-$C$18))</f>
        <v>2261270127134.8691</v>
      </c>
      <c r="K1686" s="48">
        <f t="shared" ref="K1686:K1749" ca="1" si="242">I1686/J1686</f>
        <v>17.636299682145648</v>
      </c>
    </row>
    <row r="1687" spans="2:11" ht="15" customHeight="1" x14ac:dyDescent="0.35">
      <c r="B1687" s="5">
        <v>1666</v>
      </c>
      <c r="C1687" s="46">
        <f t="shared" ca="1" si="234"/>
        <v>2.4878335371533957</v>
      </c>
      <c r="D1687" s="47">
        <f t="shared" ca="1" si="235"/>
        <v>2010961832.552645</v>
      </c>
      <c r="E1687" s="47">
        <f t="shared" ca="1" si="236"/>
        <v>1487108537784.6892</v>
      </c>
      <c r="F1687" s="47">
        <f t="shared" ca="1" si="237"/>
        <v>3258788356074.9375</v>
      </c>
      <c r="G1687" s="47">
        <f t="shared" ca="1" si="238"/>
        <v>403155945962.30566</v>
      </c>
      <c r="H1687" s="47">
        <f t="shared" ca="1" si="239"/>
        <v>403155945962.30566</v>
      </c>
      <c r="I1687" s="47">
        <f t="shared" ca="1" si="240"/>
        <v>27126422319712.215</v>
      </c>
      <c r="J1687" s="47">
        <f t="shared" ca="1" si="241"/>
        <v>1622779138069.6755</v>
      </c>
      <c r="K1687" s="48">
        <f t="shared" ca="1" si="242"/>
        <v>16.716028499096662</v>
      </c>
    </row>
    <row r="1688" spans="2:11" ht="15" customHeight="1" x14ac:dyDescent="0.35">
      <c r="B1688" s="5">
        <v>1667</v>
      </c>
      <c r="C1688" s="46">
        <f t="shared" ca="1" si="234"/>
        <v>3.6266488110321982</v>
      </c>
      <c r="D1688" s="47">
        <f t="shared" ca="1" si="235"/>
        <v>11745029000.618338</v>
      </c>
      <c r="E1688" s="47">
        <f t="shared" ca="1" si="236"/>
        <v>22706657787275.941</v>
      </c>
      <c r="F1688" s="47">
        <f t="shared" ca="1" si="237"/>
        <v>1285966161020.2063</v>
      </c>
      <c r="G1688" s="47">
        <f t="shared" ca="1" si="238"/>
        <v>14309387342316.346</v>
      </c>
      <c r="H1688" s="47">
        <f t="shared" ca="1" si="239"/>
        <v>14309387342316.346</v>
      </c>
      <c r="I1688" s="47">
        <f t="shared" ca="1" si="240"/>
        <v>11564042848492.418</v>
      </c>
      <c r="J1688" s="47">
        <f t="shared" ca="1" si="241"/>
        <v>1269023895541.4683</v>
      </c>
      <c r="K1688" s="48">
        <f t="shared" ca="1" si="242"/>
        <v>9.1125493295445494</v>
      </c>
    </row>
    <row r="1689" spans="2:11" ht="15" customHeight="1" x14ac:dyDescent="0.35">
      <c r="B1689" s="5">
        <v>1668</v>
      </c>
      <c r="C1689" s="46">
        <f t="shared" ca="1" si="234"/>
        <v>3.5045756880284173</v>
      </c>
      <c r="D1689" s="47">
        <f t="shared" ca="1" si="235"/>
        <v>9437481443.2864742</v>
      </c>
      <c r="E1689" s="47">
        <f t="shared" ca="1" si="236"/>
        <v>31475769204884.621</v>
      </c>
      <c r="F1689" s="47">
        <f t="shared" ca="1" si="237"/>
        <v>8925725638488.418</v>
      </c>
      <c r="G1689" s="47">
        <f t="shared" ca="1" si="238"/>
        <v>8718922712809.8027</v>
      </c>
      <c r="H1689" s="47">
        <f t="shared" ca="1" si="239"/>
        <v>8925725638488.418</v>
      </c>
      <c r="I1689" s="47">
        <f t="shared" ca="1" si="240"/>
        <v>2978266973593.9619</v>
      </c>
      <c r="J1689" s="47">
        <f t="shared" ca="1" si="241"/>
        <v>1459701747764.1479</v>
      </c>
      <c r="K1689" s="48">
        <f t="shared" ca="1" si="242"/>
        <v>2.0403256885564658</v>
      </c>
    </row>
    <row r="1690" spans="2:11" ht="15" customHeight="1" x14ac:dyDescent="0.35">
      <c r="B1690" s="5">
        <v>1669</v>
      </c>
      <c r="C1690" s="46">
        <f t="shared" ca="1" si="234"/>
        <v>3.9019624248565337</v>
      </c>
      <c r="D1690" s="47">
        <f t="shared" ca="1" si="235"/>
        <v>14993979226.561127</v>
      </c>
      <c r="E1690" s="47">
        <f t="shared" ca="1" si="236"/>
        <v>116516132734279.34</v>
      </c>
      <c r="F1690" s="47">
        <f t="shared" ca="1" si="237"/>
        <v>5121964592132.7979</v>
      </c>
      <c r="G1690" s="47">
        <f t="shared" ca="1" si="238"/>
        <v>17436868547681.699</v>
      </c>
      <c r="H1690" s="47">
        <f t="shared" ca="1" si="239"/>
        <v>5121964592132.7979</v>
      </c>
      <c r="I1690" s="47">
        <f t="shared" ca="1" si="240"/>
        <v>12281699959887.545</v>
      </c>
      <c r="J1690" s="47">
        <f t="shared" ca="1" si="241"/>
        <v>2224569046886.4546</v>
      </c>
      <c r="K1690" s="48">
        <f t="shared" ca="1" si="242"/>
        <v>5.5209344826033719</v>
      </c>
    </row>
    <row r="1691" spans="2:11" ht="15" customHeight="1" x14ac:dyDescent="0.35">
      <c r="B1691" s="5">
        <v>1670</v>
      </c>
      <c r="C1691" s="46">
        <f t="shared" ca="1" si="234"/>
        <v>2.6498193293484222</v>
      </c>
      <c r="D1691" s="47">
        <f t="shared" ca="1" si="235"/>
        <v>2625696021.6116123</v>
      </c>
      <c r="E1691" s="47">
        <f t="shared" ca="1" si="236"/>
        <v>6501246238895.9473</v>
      </c>
      <c r="F1691" s="47">
        <f t="shared" ca="1" si="237"/>
        <v>5065226536588.6592</v>
      </c>
      <c r="G1691" s="47">
        <f t="shared" ca="1" si="238"/>
        <v>9714588453054.8789</v>
      </c>
      <c r="H1691" s="47">
        <f t="shared" ca="1" si="239"/>
        <v>6501246238895.9473</v>
      </c>
      <c r="I1691" s="47">
        <f t="shared" ca="1" si="240"/>
        <v>725238273847.33765</v>
      </c>
      <c r="J1691" s="47">
        <f t="shared" ca="1" si="241"/>
        <v>1182829649344.6121</v>
      </c>
      <c r="K1691" s="48">
        <f t="shared" ca="1" si="242"/>
        <v>0.61313839592132402</v>
      </c>
    </row>
    <row r="1692" spans="2:11" ht="15" customHeight="1" x14ac:dyDescent="0.35">
      <c r="B1692" s="5">
        <v>1671</v>
      </c>
      <c r="C1692" s="46">
        <f t="shared" ca="1" si="234"/>
        <v>2.6025660894901801</v>
      </c>
      <c r="D1692" s="47">
        <f t="shared" ca="1" si="235"/>
        <v>2248574671.1551285</v>
      </c>
      <c r="E1692" s="47">
        <f t="shared" ca="1" si="236"/>
        <v>8099823927363.7676</v>
      </c>
      <c r="F1692" s="47">
        <f t="shared" ca="1" si="237"/>
        <v>5849423317603.4883</v>
      </c>
      <c r="G1692" s="47">
        <f t="shared" ca="1" si="238"/>
        <v>2031314416596.228</v>
      </c>
      <c r="H1692" s="47">
        <f t="shared" ca="1" si="239"/>
        <v>5849423317603.4883</v>
      </c>
      <c r="I1692" s="47">
        <f t="shared" ca="1" si="240"/>
        <v>11546324145031.236</v>
      </c>
      <c r="J1692" s="47">
        <f t="shared" ca="1" si="241"/>
        <v>1011969793794.2208</v>
      </c>
      <c r="K1692" s="48">
        <f t="shared" ca="1" si="242"/>
        <v>11.409751769111724</v>
      </c>
    </row>
    <row r="1693" spans="2:11" ht="15" customHeight="1" x14ac:dyDescent="0.35">
      <c r="B1693" s="5">
        <v>1672</v>
      </c>
      <c r="C1693" s="46">
        <f t="shared" ca="1" si="234"/>
        <v>2.8302339226407081</v>
      </c>
      <c r="D1693" s="47">
        <f t="shared" ca="1" si="235"/>
        <v>3485042071.9822431</v>
      </c>
      <c r="E1693" s="47">
        <f t="shared" ca="1" si="236"/>
        <v>7760614474631.3896</v>
      </c>
      <c r="F1693" s="47">
        <f t="shared" ca="1" si="237"/>
        <v>145444135107.93439</v>
      </c>
      <c r="G1693" s="47">
        <f t="shared" ca="1" si="238"/>
        <v>20612358136148.957</v>
      </c>
      <c r="H1693" s="47">
        <f t="shared" ca="1" si="239"/>
        <v>145444135107.93439</v>
      </c>
      <c r="I1693" s="47">
        <f t="shared" ca="1" si="240"/>
        <v>52510212586495.352</v>
      </c>
      <c r="J1693" s="47">
        <f t="shared" ca="1" si="241"/>
        <v>1575960738495.8794</v>
      </c>
      <c r="K1693" s="48">
        <f t="shared" ca="1" si="242"/>
        <v>33.319492867958047</v>
      </c>
    </row>
    <row r="1694" spans="2:11" ht="15" customHeight="1" x14ac:dyDescent="0.35">
      <c r="B1694" s="5">
        <v>1673</v>
      </c>
      <c r="C1694" s="46">
        <f t="shared" ca="1" si="234"/>
        <v>3.7629354635546477</v>
      </c>
      <c r="D1694" s="47">
        <f t="shared" ca="1" si="235"/>
        <v>13073282863.916178</v>
      </c>
      <c r="E1694" s="47">
        <f t="shared" ca="1" si="236"/>
        <v>35598145941704.734</v>
      </c>
      <c r="F1694" s="47">
        <f t="shared" ca="1" si="237"/>
        <v>3918007788210.8892</v>
      </c>
      <c r="G1694" s="47">
        <f t="shared" ca="1" si="238"/>
        <v>10452353152782.76</v>
      </c>
      <c r="H1694" s="47">
        <f t="shared" ca="1" si="239"/>
        <v>3918007788210.8892</v>
      </c>
      <c r="I1694" s="47">
        <f t="shared" ca="1" si="240"/>
        <v>3357991323773.3945</v>
      </c>
      <c r="J1694" s="47">
        <f t="shared" ca="1" si="241"/>
        <v>1772033557633.5803</v>
      </c>
      <c r="K1694" s="48">
        <f t="shared" ca="1" si="242"/>
        <v>1.8949930769131389</v>
      </c>
    </row>
    <row r="1695" spans="2:11" ht="15" customHeight="1" x14ac:dyDescent="0.35">
      <c r="B1695" s="5">
        <v>1674</v>
      </c>
      <c r="C1695" s="46">
        <f t="shared" ca="1" si="234"/>
        <v>3.625752095777786</v>
      </c>
      <c r="D1695" s="47">
        <f t="shared" ca="1" si="235"/>
        <v>10915120134.962946</v>
      </c>
      <c r="E1695" s="47">
        <f t="shared" ca="1" si="236"/>
        <v>49410033296170.766</v>
      </c>
      <c r="F1695" s="47">
        <f t="shared" ca="1" si="237"/>
        <v>3821929422081.3657</v>
      </c>
      <c r="G1695" s="47">
        <f t="shared" ca="1" si="238"/>
        <v>3718554487705.7036</v>
      </c>
      <c r="H1695" s="47">
        <f t="shared" ca="1" si="239"/>
        <v>49410033296170.766</v>
      </c>
      <c r="I1695" s="47">
        <f t="shared" ca="1" si="240"/>
        <v>2198443646986.126</v>
      </c>
      <c r="J1695" s="47">
        <f t="shared" ca="1" si="241"/>
        <v>553251565089.94275</v>
      </c>
      <c r="K1695" s="48">
        <f t="shared" ca="1" si="242"/>
        <v>3.9736781343378982</v>
      </c>
    </row>
    <row r="1696" spans="2:11" ht="15" customHeight="1" x14ac:dyDescent="0.35">
      <c r="B1696" s="5">
        <v>1675</v>
      </c>
      <c r="C1696" s="46">
        <f t="shared" ca="1" si="234"/>
        <v>2.5955612487163089</v>
      </c>
      <c r="D1696" s="47">
        <f t="shared" ca="1" si="235"/>
        <v>2645677298.8241601</v>
      </c>
      <c r="E1696" s="47">
        <f t="shared" ca="1" si="236"/>
        <v>13465838700272.896</v>
      </c>
      <c r="F1696" s="47">
        <f t="shared" ca="1" si="237"/>
        <v>782171612377.75378</v>
      </c>
      <c r="G1696" s="47">
        <f t="shared" ca="1" si="238"/>
        <v>6949806352144.1055</v>
      </c>
      <c r="H1696" s="47">
        <f t="shared" ca="1" si="239"/>
        <v>6949806352144.1055</v>
      </c>
      <c r="I1696" s="47">
        <f t="shared" ca="1" si="240"/>
        <v>23230488367654.398</v>
      </c>
      <c r="J1696" s="47">
        <f t="shared" ca="1" si="241"/>
        <v>768011594708.5354</v>
      </c>
      <c r="K1696" s="48">
        <f t="shared" ca="1" si="242"/>
        <v>30.247575072705114</v>
      </c>
    </row>
    <row r="1697" spans="2:11" ht="15" customHeight="1" x14ac:dyDescent="0.35">
      <c r="B1697" s="5">
        <v>1676</v>
      </c>
      <c r="C1697" s="46">
        <f t="shared" ca="1" si="234"/>
        <v>2.3725504343246149</v>
      </c>
      <c r="D1697" s="47">
        <f t="shared" ca="1" si="235"/>
        <v>1534942095.9831924</v>
      </c>
      <c r="E1697" s="47">
        <f t="shared" ca="1" si="236"/>
        <v>2320993167753.8403</v>
      </c>
      <c r="F1697" s="47">
        <f t="shared" ca="1" si="237"/>
        <v>455176712279.86584</v>
      </c>
      <c r="G1697" s="47">
        <f t="shared" ca="1" si="238"/>
        <v>6057228678383.6475</v>
      </c>
      <c r="H1697" s="47">
        <f t="shared" ca="1" si="239"/>
        <v>6057228678383.6475</v>
      </c>
      <c r="I1697" s="47">
        <f t="shared" ca="1" si="240"/>
        <v>83139462744859.719</v>
      </c>
      <c r="J1697" s="47">
        <f t="shared" ca="1" si="241"/>
        <v>887687588963.0863</v>
      </c>
      <c r="K1697" s="48">
        <f t="shared" ca="1" si="242"/>
        <v>93.658471492178307</v>
      </c>
    </row>
    <row r="1698" spans="2:11" ht="15" customHeight="1" x14ac:dyDescent="0.35">
      <c r="B1698" s="5">
        <v>1677</v>
      </c>
      <c r="C1698" s="46">
        <f t="shared" ca="1" si="234"/>
        <v>2.9361683492464703</v>
      </c>
      <c r="D1698" s="47">
        <f t="shared" ca="1" si="235"/>
        <v>4496473974.3326569</v>
      </c>
      <c r="E1698" s="47">
        <f t="shared" ca="1" si="236"/>
        <v>19319052241468.012</v>
      </c>
      <c r="F1698" s="47">
        <f t="shared" ca="1" si="237"/>
        <v>232338166103.63489</v>
      </c>
      <c r="G1698" s="47">
        <f t="shared" ca="1" si="238"/>
        <v>2215309557759.2314</v>
      </c>
      <c r="H1698" s="47">
        <f t="shared" ca="1" si="239"/>
        <v>232338166103.63489</v>
      </c>
      <c r="I1698" s="47">
        <f t="shared" ca="1" si="240"/>
        <v>8066229906666.5723</v>
      </c>
      <c r="J1698" s="47">
        <f t="shared" ca="1" si="241"/>
        <v>1635800635535.2913</v>
      </c>
      <c r="K1698" s="48">
        <f t="shared" ca="1" si="242"/>
        <v>4.9310592815774399</v>
      </c>
    </row>
    <row r="1699" spans="2:11" ht="15" customHeight="1" x14ac:dyDescent="0.35">
      <c r="B1699" s="5">
        <v>1678</v>
      </c>
      <c r="C1699" s="46">
        <f t="shared" ca="1" si="234"/>
        <v>3.1456600936651027</v>
      </c>
      <c r="D1699" s="47">
        <f t="shared" ca="1" si="235"/>
        <v>7070282555.0471563</v>
      </c>
      <c r="E1699" s="47">
        <f t="shared" ca="1" si="236"/>
        <v>67172156282251.523</v>
      </c>
      <c r="F1699" s="47">
        <f t="shared" ca="1" si="237"/>
        <v>4888439833571.3984</v>
      </c>
      <c r="G1699" s="47">
        <f t="shared" ca="1" si="238"/>
        <v>2697533200937.5825</v>
      </c>
      <c r="H1699" s="47">
        <f t="shared" ca="1" si="239"/>
        <v>2697533200937.5825</v>
      </c>
      <c r="I1699" s="47">
        <f t="shared" ca="1" si="240"/>
        <v>14073709952645.045</v>
      </c>
      <c r="J1699" s="47">
        <f t="shared" ca="1" si="241"/>
        <v>1157211163128.1196</v>
      </c>
      <c r="K1699" s="48">
        <f t="shared" ca="1" si="242"/>
        <v>12.161747484877042</v>
      </c>
    </row>
    <row r="1700" spans="2:11" ht="15" customHeight="1" x14ac:dyDescent="0.35">
      <c r="B1700" s="5">
        <v>1679</v>
      </c>
      <c r="C1700" s="46">
        <f t="shared" ca="1" si="234"/>
        <v>2.2361654254357224</v>
      </c>
      <c r="D1700" s="47">
        <f t="shared" ca="1" si="235"/>
        <v>1091190014.6227653</v>
      </c>
      <c r="E1700" s="47">
        <f t="shared" ca="1" si="236"/>
        <v>2230980487291.2539</v>
      </c>
      <c r="F1700" s="47">
        <f t="shared" ca="1" si="237"/>
        <v>4731628789348.1768</v>
      </c>
      <c r="G1700" s="47">
        <f t="shared" ca="1" si="238"/>
        <v>43222600536911.148</v>
      </c>
      <c r="H1700" s="47">
        <f t="shared" ca="1" si="239"/>
        <v>43222600536911.148</v>
      </c>
      <c r="I1700" s="47">
        <f t="shared" ca="1" si="240"/>
        <v>1699010213512.1909</v>
      </c>
      <c r="J1700" s="47">
        <f t="shared" ca="1" si="241"/>
        <v>1256488447889.687</v>
      </c>
      <c r="K1700" s="48">
        <f t="shared" ca="1" si="242"/>
        <v>1.3521892830497038</v>
      </c>
    </row>
    <row r="1701" spans="2:11" ht="15" customHeight="1" x14ac:dyDescent="0.35">
      <c r="B1701" s="5">
        <v>1680</v>
      </c>
      <c r="C1701" s="46">
        <f t="shared" ca="1" si="234"/>
        <v>3.399598858279862</v>
      </c>
      <c r="D1701" s="47">
        <f t="shared" ca="1" si="235"/>
        <v>10654330994.941576</v>
      </c>
      <c r="E1701" s="47">
        <f t="shared" ca="1" si="236"/>
        <v>61369053072783.555</v>
      </c>
      <c r="F1701" s="47">
        <f t="shared" ca="1" si="237"/>
        <v>1213441790701.8469</v>
      </c>
      <c r="G1701" s="47">
        <f t="shared" ca="1" si="238"/>
        <v>1364209708927.4829</v>
      </c>
      <c r="H1701" s="47">
        <f t="shared" ca="1" si="239"/>
        <v>61369053072783.555</v>
      </c>
      <c r="I1701" s="47">
        <f t="shared" ca="1" si="240"/>
        <v>44121435752417.289</v>
      </c>
      <c r="J1701" s="47">
        <f t="shared" ca="1" si="241"/>
        <v>1601852720521.0713</v>
      </c>
      <c r="K1701" s="48">
        <f t="shared" ca="1" si="242"/>
        <v>27.544002758296593</v>
      </c>
    </row>
    <row r="1702" spans="2:11" ht="15" customHeight="1" x14ac:dyDescent="0.35">
      <c r="B1702" s="5">
        <v>1681</v>
      </c>
      <c r="C1702" s="46">
        <f t="shared" ca="1" si="234"/>
        <v>2.9222541458692679</v>
      </c>
      <c r="D1702" s="47">
        <f t="shared" ca="1" si="235"/>
        <v>3482081260.4031982</v>
      </c>
      <c r="E1702" s="47">
        <f t="shared" ca="1" si="236"/>
        <v>3520806920162.4434</v>
      </c>
      <c r="F1702" s="47">
        <f t="shared" ca="1" si="237"/>
        <v>734319089381.02966</v>
      </c>
      <c r="G1702" s="47">
        <f t="shared" ca="1" si="238"/>
        <v>828929041566.00586</v>
      </c>
      <c r="H1702" s="47">
        <f t="shared" ca="1" si="239"/>
        <v>828929041566.00586</v>
      </c>
      <c r="I1702" s="47">
        <f t="shared" ca="1" si="240"/>
        <v>1295795633244.5168</v>
      </c>
      <c r="J1702" s="47">
        <f t="shared" ca="1" si="241"/>
        <v>1369977821090.8958</v>
      </c>
      <c r="K1702" s="48">
        <f t="shared" ca="1" si="242"/>
        <v>0.94585154102180391</v>
      </c>
    </row>
    <row r="1703" spans="2:11" ht="15" customHeight="1" x14ac:dyDescent="0.35">
      <c r="B1703" s="5">
        <v>1682</v>
      </c>
      <c r="C1703" s="46">
        <f t="shared" ca="1" si="234"/>
        <v>3.2232397179411798</v>
      </c>
      <c r="D1703" s="47">
        <f t="shared" ca="1" si="235"/>
        <v>7908090880.9002485</v>
      </c>
      <c r="E1703" s="47">
        <f t="shared" ca="1" si="236"/>
        <v>26815255580967.961</v>
      </c>
      <c r="F1703" s="47">
        <f t="shared" ca="1" si="237"/>
        <v>1936741747059.488</v>
      </c>
      <c r="G1703" s="47">
        <f t="shared" ca="1" si="238"/>
        <v>7440030454075.876</v>
      </c>
      <c r="H1703" s="47">
        <f t="shared" ca="1" si="239"/>
        <v>26815255580967.961</v>
      </c>
      <c r="I1703" s="47">
        <f t="shared" ca="1" si="240"/>
        <v>2275038396683.1826</v>
      </c>
      <c r="J1703" s="47">
        <f t="shared" ca="1" si="241"/>
        <v>1079548200424.9247</v>
      </c>
      <c r="K1703" s="48">
        <f t="shared" ca="1" si="242"/>
        <v>2.1073986282295656</v>
      </c>
    </row>
    <row r="1704" spans="2:11" ht="15" customHeight="1" x14ac:dyDescent="0.35">
      <c r="B1704" s="5">
        <v>1683</v>
      </c>
      <c r="C1704" s="46">
        <f t="shared" ca="1" si="234"/>
        <v>2.8338748899438593</v>
      </c>
      <c r="D1704" s="47">
        <f t="shared" ca="1" si="235"/>
        <v>3762037711.1732068</v>
      </c>
      <c r="E1704" s="47">
        <f t="shared" ca="1" si="236"/>
        <v>13520361417454.215</v>
      </c>
      <c r="F1704" s="47">
        <f t="shared" ca="1" si="237"/>
        <v>19451100842455.152</v>
      </c>
      <c r="G1704" s="47">
        <f t="shared" ca="1" si="238"/>
        <v>3790614622705.519</v>
      </c>
      <c r="H1704" s="47">
        <f t="shared" ca="1" si="239"/>
        <v>19451100842455.152</v>
      </c>
      <c r="I1704" s="47">
        <f t="shared" ca="1" si="240"/>
        <v>12986275560385.234</v>
      </c>
      <c r="J1704" s="47">
        <f t="shared" ca="1" si="241"/>
        <v>1267722431369.7036</v>
      </c>
      <c r="K1704" s="48">
        <f t="shared" ca="1" si="242"/>
        <v>10.243784632219755</v>
      </c>
    </row>
    <row r="1705" spans="2:11" ht="15" customHeight="1" x14ac:dyDescent="0.35">
      <c r="B1705" s="5">
        <v>1684</v>
      </c>
      <c r="C1705" s="46">
        <f t="shared" ca="1" si="234"/>
        <v>1.9941992351790021</v>
      </c>
      <c r="D1705" s="47">
        <f t="shared" ca="1" si="235"/>
        <v>591964082.4729718</v>
      </c>
      <c r="E1705" s="47">
        <f t="shared" ca="1" si="236"/>
        <v>823470902553.28735</v>
      </c>
      <c r="F1705" s="47">
        <f t="shared" ca="1" si="237"/>
        <v>2929324957250.8813</v>
      </c>
      <c r="G1705" s="47">
        <f t="shared" ca="1" si="238"/>
        <v>8497369969264.9238</v>
      </c>
      <c r="H1705" s="47">
        <f t="shared" ca="1" si="239"/>
        <v>2929324957250.8813</v>
      </c>
      <c r="I1705" s="47">
        <f t="shared" ca="1" si="240"/>
        <v>973275194290.31921</v>
      </c>
      <c r="J1705" s="47">
        <f t="shared" ca="1" si="241"/>
        <v>784969099783.1759</v>
      </c>
      <c r="K1705" s="48">
        <f t="shared" ca="1" si="242"/>
        <v>1.2398898180312539</v>
      </c>
    </row>
    <row r="1706" spans="2:11" ht="15" customHeight="1" x14ac:dyDescent="0.35">
      <c r="B1706" s="5">
        <v>1685</v>
      </c>
      <c r="C1706" s="46">
        <f t="shared" ca="1" si="234"/>
        <v>2.4157661147431115</v>
      </c>
      <c r="D1706" s="47">
        <f t="shared" ca="1" si="235"/>
        <v>1508295491.0082917</v>
      </c>
      <c r="E1706" s="47">
        <f t="shared" ca="1" si="236"/>
        <v>14347163711456.596</v>
      </c>
      <c r="F1706" s="47">
        <f t="shared" ca="1" si="237"/>
        <v>892730289898.46924</v>
      </c>
      <c r="G1706" s="47">
        <f t="shared" ca="1" si="238"/>
        <v>15664619763152.916</v>
      </c>
      <c r="H1706" s="47">
        <f t="shared" ca="1" si="239"/>
        <v>14347163711456.596</v>
      </c>
      <c r="I1706" s="47">
        <f t="shared" ca="1" si="240"/>
        <v>9345629719708.5742</v>
      </c>
      <c r="J1706" s="47">
        <f t="shared" ca="1" si="241"/>
        <v>1539051378929.8296</v>
      </c>
      <c r="K1706" s="48">
        <f t="shared" ca="1" si="242"/>
        <v>6.0723312084662195</v>
      </c>
    </row>
    <row r="1707" spans="2:11" ht="15" customHeight="1" x14ac:dyDescent="0.35">
      <c r="B1707" s="5">
        <v>1686</v>
      </c>
      <c r="C1707" s="46">
        <f t="shared" ca="1" si="234"/>
        <v>3.1911623398910809</v>
      </c>
      <c r="D1707" s="47">
        <f t="shared" ca="1" si="235"/>
        <v>7021019437.2873554</v>
      </c>
      <c r="E1707" s="47">
        <f t="shared" ca="1" si="236"/>
        <v>36532959348737.578</v>
      </c>
      <c r="F1707" s="47">
        <f t="shared" ca="1" si="237"/>
        <v>10380569925812.068</v>
      </c>
      <c r="G1707" s="47">
        <f t="shared" ca="1" si="238"/>
        <v>49201410717260.555</v>
      </c>
      <c r="H1707" s="47">
        <f t="shared" ca="1" si="239"/>
        <v>49201410717260.555</v>
      </c>
      <c r="I1707" s="47">
        <f t="shared" ca="1" si="240"/>
        <v>15611592213726.803</v>
      </c>
      <c r="J1707" s="47">
        <f t="shared" ca="1" si="241"/>
        <v>1539641638533.2556</v>
      </c>
      <c r="K1707" s="48">
        <f t="shared" ca="1" si="242"/>
        <v>10.139757085680818</v>
      </c>
    </row>
    <row r="1708" spans="2:11" ht="15" customHeight="1" x14ac:dyDescent="0.35">
      <c r="B1708" s="5">
        <v>1687</v>
      </c>
      <c r="C1708" s="46">
        <f t="shared" ca="1" si="234"/>
        <v>3.3347957830929316</v>
      </c>
      <c r="D1708" s="47">
        <f t="shared" ca="1" si="235"/>
        <v>9601245185.3011112</v>
      </c>
      <c r="E1708" s="47">
        <f t="shared" ca="1" si="236"/>
        <v>72502851496084.813</v>
      </c>
      <c r="F1708" s="47">
        <f t="shared" ca="1" si="237"/>
        <v>5423301051543.2793</v>
      </c>
      <c r="G1708" s="47">
        <f t="shared" ca="1" si="238"/>
        <v>19658005361243.211</v>
      </c>
      <c r="H1708" s="47">
        <f t="shared" ca="1" si="239"/>
        <v>72502851496084.813</v>
      </c>
      <c r="I1708" s="47">
        <f t="shared" ca="1" si="240"/>
        <v>1477333904462.6167</v>
      </c>
      <c r="J1708" s="47">
        <f t="shared" ca="1" si="241"/>
        <v>736939386631.69604</v>
      </c>
      <c r="K1708" s="48">
        <f t="shared" ca="1" si="242"/>
        <v>2.0046884876312783</v>
      </c>
    </row>
    <row r="1709" spans="2:11" ht="15" customHeight="1" x14ac:dyDescent="0.35">
      <c r="B1709" s="5">
        <v>1688</v>
      </c>
      <c r="C1709" s="46">
        <f t="shared" ca="1" si="234"/>
        <v>2.8464070977955394</v>
      </c>
      <c r="D1709" s="47">
        <f t="shared" ca="1" si="235"/>
        <v>3663262048.1325741</v>
      </c>
      <c r="E1709" s="47">
        <f t="shared" ca="1" si="236"/>
        <v>3845471546823.4229</v>
      </c>
      <c r="F1709" s="47">
        <f t="shared" ca="1" si="237"/>
        <v>7468176070614.9434</v>
      </c>
      <c r="G1709" s="47">
        <f t="shared" ca="1" si="238"/>
        <v>1414944086075.467</v>
      </c>
      <c r="H1709" s="47">
        <f t="shared" ca="1" si="239"/>
        <v>7468176070614.9434</v>
      </c>
      <c r="I1709" s="47">
        <f t="shared" ca="1" si="240"/>
        <v>8280345735601.6484</v>
      </c>
      <c r="J1709" s="47">
        <f t="shared" ca="1" si="241"/>
        <v>877196701537.26697</v>
      </c>
      <c r="K1709" s="48">
        <f t="shared" ca="1" si="242"/>
        <v>9.4395541172128592</v>
      </c>
    </row>
    <row r="1710" spans="2:11" ht="15" customHeight="1" x14ac:dyDescent="0.35">
      <c r="B1710" s="5">
        <v>1689</v>
      </c>
      <c r="C1710" s="46">
        <f t="shared" ca="1" si="234"/>
        <v>3.4192111451663711</v>
      </c>
      <c r="D1710" s="47">
        <f t="shared" ca="1" si="235"/>
        <v>10837924211.615404</v>
      </c>
      <c r="E1710" s="47">
        <f t="shared" ca="1" si="236"/>
        <v>33537554594657.762</v>
      </c>
      <c r="F1710" s="47">
        <f t="shared" ca="1" si="237"/>
        <v>2445305627510.3647</v>
      </c>
      <c r="G1710" s="47">
        <f t="shared" ca="1" si="238"/>
        <v>2761099810855.291</v>
      </c>
      <c r="H1710" s="47">
        <f t="shared" ca="1" si="239"/>
        <v>2445305627510.3647</v>
      </c>
      <c r="I1710" s="47">
        <f t="shared" ca="1" si="240"/>
        <v>18843374665436.977</v>
      </c>
      <c r="J1710" s="47">
        <f t="shared" ca="1" si="241"/>
        <v>962084528999.76941</v>
      </c>
      <c r="K1710" s="48">
        <f t="shared" ca="1" si="242"/>
        <v>19.585986571291691</v>
      </c>
    </row>
    <row r="1711" spans="2:11" ht="15" customHeight="1" x14ac:dyDescent="0.35">
      <c r="B1711" s="5">
        <v>1690</v>
      </c>
      <c r="C1711" s="46">
        <f t="shared" ca="1" si="234"/>
        <v>3.0726426880684068</v>
      </c>
      <c r="D1711" s="47">
        <f t="shared" ca="1" si="235"/>
        <v>4987655179.7934952</v>
      </c>
      <c r="E1711" s="47">
        <f t="shared" ca="1" si="236"/>
        <v>7555565196269.2236</v>
      </c>
      <c r="F1711" s="47">
        <f t="shared" ca="1" si="237"/>
        <v>1295740645756.2229</v>
      </c>
      <c r="G1711" s="47">
        <f t="shared" ca="1" si="238"/>
        <v>3563226309193.0938</v>
      </c>
      <c r="H1711" s="47">
        <f t="shared" ca="1" si="239"/>
        <v>3563226309193.0938</v>
      </c>
      <c r="I1711" s="47">
        <f t="shared" ca="1" si="240"/>
        <v>35266677642525.914</v>
      </c>
      <c r="J1711" s="47">
        <f t="shared" ca="1" si="241"/>
        <v>642357860298.12061</v>
      </c>
      <c r="K1711" s="48">
        <f t="shared" ca="1" si="242"/>
        <v>54.901916551871132</v>
      </c>
    </row>
    <row r="1712" spans="2:11" ht="15" customHeight="1" x14ac:dyDescent="0.35">
      <c r="B1712" s="5">
        <v>1691</v>
      </c>
      <c r="C1712" s="46">
        <f t="shared" ca="1" si="234"/>
        <v>3.1427824281371772</v>
      </c>
      <c r="D1712" s="47">
        <f t="shared" ca="1" si="235"/>
        <v>4924712698.7820702</v>
      </c>
      <c r="E1712" s="47">
        <f t="shared" ca="1" si="236"/>
        <v>20196039891423.625</v>
      </c>
      <c r="F1712" s="47">
        <f t="shared" ca="1" si="237"/>
        <v>2876460153197.0308</v>
      </c>
      <c r="G1712" s="47">
        <f t="shared" ca="1" si="238"/>
        <v>3688709930582.9614</v>
      </c>
      <c r="H1712" s="47">
        <f t="shared" ca="1" si="239"/>
        <v>3688709930582.9614</v>
      </c>
      <c r="I1712" s="47">
        <f t="shared" ca="1" si="240"/>
        <v>6186091844558.2695</v>
      </c>
      <c r="J1712" s="47">
        <f t="shared" ca="1" si="241"/>
        <v>661728830222.82349</v>
      </c>
      <c r="K1712" s="48">
        <f t="shared" ca="1" si="242"/>
        <v>9.3483789159907555</v>
      </c>
    </row>
    <row r="1713" spans="2:11" ht="15" customHeight="1" x14ac:dyDescent="0.35">
      <c r="B1713" s="5">
        <v>1692</v>
      </c>
      <c r="C1713" s="46">
        <f t="shared" ca="1" si="234"/>
        <v>2.4858030383550513</v>
      </c>
      <c r="D1713" s="47">
        <f t="shared" ca="1" si="235"/>
        <v>1542417636.123076</v>
      </c>
      <c r="E1713" s="47">
        <f t="shared" ca="1" si="236"/>
        <v>7238382108130.9434</v>
      </c>
      <c r="F1713" s="47">
        <f t="shared" ca="1" si="237"/>
        <v>2776295894595.7358</v>
      </c>
      <c r="G1713" s="47">
        <f t="shared" ca="1" si="238"/>
        <v>585682605490.37439</v>
      </c>
      <c r="H1713" s="47">
        <f t="shared" ca="1" si="239"/>
        <v>585682605490.37439</v>
      </c>
      <c r="I1713" s="47">
        <f t="shared" ca="1" si="240"/>
        <v>27235349038257.285</v>
      </c>
      <c r="J1713" s="47">
        <f t="shared" ca="1" si="241"/>
        <v>1614050429242.3279</v>
      </c>
      <c r="K1713" s="48">
        <f t="shared" ca="1" si="242"/>
        <v>16.873914559808505</v>
      </c>
    </row>
    <row r="1714" spans="2:11" ht="15" customHeight="1" x14ac:dyDescent="0.35">
      <c r="B1714" s="5">
        <v>1693</v>
      </c>
      <c r="C1714" s="46">
        <f t="shared" ca="1" si="234"/>
        <v>3.19176690227017</v>
      </c>
      <c r="D1714" s="47">
        <f t="shared" ca="1" si="235"/>
        <v>5418746454.9788513</v>
      </c>
      <c r="E1714" s="47">
        <f t="shared" ca="1" si="236"/>
        <v>14196019946766.748</v>
      </c>
      <c r="F1714" s="47">
        <f t="shared" ca="1" si="237"/>
        <v>786289468442.57092</v>
      </c>
      <c r="G1714" s="47">
        <f t="shared" ca="1" si="238"/>
        <v>10223634252157.156</v>
      </c>
      <c r="H1714" s="47">
        <f t="shared" ca="1" si="239"/>
        <v>786289468442.57092</v>
      </c>
      <c r="I1714" s="47">
        <f t="shared" ca="1" si="240"/>
        <v>74318282345804.172</v>
      </c>
      <c r="J1714" s="47">
        <f t="shared" ca="1" si="241"/>
        <v>1038105162613.5294</v>
      </c>
      <c r="K1714" s="48">
        <f t="shared" ca="1" si="242"/>
        <v>71.590321503363654</v>
      </c>
    </row>
    <row r="1715" spans="2:11" ht="15" customHeight="1" x14ac:dyDescent="0.35">
      <c r="B1715" s="5">
        <v>1694</v>
      </c>
      <c r="C1715" s="46">
        <f t="shared" ca="1" si="234"/>
        <v>2.855732188230232</v>
      </c>
      <c r="D1715" s="47">
        <f t="shared" ca="1" si="235"/>
        <v>4319154650.4059649</v>
      </c>
      <c r="E1715" s="47">
        <f t="shared" ca="1" si="236"/>
        <v>17718693505219.484</v>
      </c>
      <c r="F1715" s="47">
        <f t="shared" ca="1" si="237"/>
        <v>3605994230836.8975</v>
      </c>
      <c r="G1715" s="47">
        <f t="shared" ca="1" si="238"/>
        <v>1609788190241.2969</v>
      </c>
      <c r="H1715" s="47">
        <f t="shared" ca="1" si="239"/>
        <v>1609788190241.2969</v>
      </c>
      <c r="I1715" s="47">
        <f t="shared" ca="1" si="240"/>
        <v>7699080556859.0078</v>
      </c>
      <c r="J1715" s="47">
        <f t="shared" ca="1" si="241"/>
        <v>1633605848245.3577</v>
      </c>
      <c r="K1715" s="48">
        <f t="shared" ca="1" si="242"/>
        <v>4.7129364559563287</v>
      </c>
    </row>
    <row r="1716" spans="2:11" ht="15" customHeight="1" x14ac:dyDescent="0.35">
      <c r="B1716" s="5">
        <v>1695</v>
      </c>
      <c r="C1716" s="46">
        <f t="shared" ca="1" si="234"/>
        <v>2.8223432585809856</v>
      </c>
      <c r="D1716" s="47">
        <f t="shared" ca="1" si="235"/>
        <v>3061655406.3281045</v>
      </c>
      <c r="E1716" s="47">
        <f t="shared" ca="1" si="236"/>
        <v>48619610852360.414</v>
      </c>
      <c r="F1716" s="47">
        <f t="shared" ca="1" si="237"/>
        <v>3004561313612.6367</v>
      </c>
      <c r="G1716" s="47">
        <f t="shared" ca="1" si="238"/>
        <v>24626679527587.035</v>
      </c>
      <c r="H1716" s="47">
        <f t="shared" ca="1" si="239"/>
        <v>3004561313612.6367</v>
      </c>
      <c r="I1716" s="47">
        <f t="shared" ca="1" si="240"/>
        <v>24464337008846.176</v>
      </c>
      <c r="J1716" s="47">
        <f t="shared" ca="1" si="241"/>
        <v>1649410380193.5483</v>
      </c>
      <c r="K1716" s="48">
        <f t="shared" ca="1" si="242"/>
        <v>14.832171121643745</v>
      </c>
    </row>
    <row r="1717" spans="2:11" ht="15" customHeight="1" x14ac:dyDescent="0.35">
      <c r="B1717" s="5">
        <v>1696</v>
      </c>
      <c r="C1717" s="46">
        <f t="shared" ca="1" si="234"/>
        <v>2.750081176416721</v>
      </c>
      <c r="D1717" s="47">
        <f t="shared" ca="1" si="235"/>
        <v>3622770796.7663183</v>
      </c>
      <c r="E1717" s="47">
        <f t="shared" ca="1" si="236"/>
        <v>4827063292520.2617</v>
      </c>
      <c r="F1717" s="47">
        <f t="shared" ca="1" si="237"/>
        <v>746352993003.70422</v>
      </c>
      <c r="G1717" s="47">
        <f t="shared" ca="1" si="238"/>
        <v>343226514379.9361</v>
      </c>
      <c r="H1717" s="47">
        <f t="shared" ca="1" si="239"/>
        <v>746352993003.70422</v>
      </c>
      <c r="I1717" s="47">
        <f t="shared" ca="1" si="240"/>
        <v>8768653679930.7529</v>
      </c>
      <c r="J1717" s="47">
        <f t="shared" ca="1" si="241"/>
        <v>1799527876179.4648</v>
      </c>
      <c r="K1717" s="48">
        <f t="shared" ca="1" si="242"/>
        <v>4.8727523457693103</v>
      </c>
    </row>
    <row r="1718" spans="2:11" ht="15" customHeight="1" x14ac:dyDescent="0.35">
      <c r="B1718" s="5">
        <v>1697</v>
      </c>
      <c r="C1718" s="46">
        <f t="shared" ca="1" si="234"/>
        <v>2.4222571602547536</v>
      </c>
      <c r="D1718" s="47">
        <f t="shared" ca="1" si="235"/>
        <v>1347183343.1877017</v>
      </c>
      <c r="E1718" s="47">
        <f t="shared" ca="1" si="236"/>
        <v>2534967971370.5005</v>
      </c>
      <c r="F1718" s="47">
        <f t="shared" ca="1" si="237"/>
        <v>8047837045995.4355</v>
      </c>
      <c r="G1718" s="47">
        <f t="shared" ca="1" si="238"/>
        <v>27849436849009.23</v>
      </c>
      <c r="H1718" s="47">
        <f t="shared" ca="1" si="239"/>
        <v>2534967971370.5005</v>
      </c>
      <c r="I1718" s="47">
        <f t="shared" ca="1" si="240"/>
        <v>6406613003905.6777</v>
      </c>
      <c r="J1718" s="47">
        <f t="shared" ca="1" si="241"/>
        <v>536671922904.36475</v>
      </c>
      <c r="K1718" s="48">
        <f t="shared" ca="1" si="242"/>
        <v>11.937671285716469</v>
      </c>
    </row>
    <row r="1719" spans="2:11" ht="15" customHeight="1" x14ac:dyDescent="0.35">
      <c r="B1719" s="5">
        <v>1698</v>
      </c>
      <c r="C1719" s="46">
        <f t="shared" ca="1" si="234"/>
        <v>3.2647146234618543</v>
      </c>
      <c r="D1719" s="47">
        <f t="shared" ca="1" si="235"/>
        <v>7576803526.9373455</v>
      </c>
      <c r="E1719" s="47">
        <f t="shared" ca="1" si="236"/>
        <v>13629641758516.277</v>
      </c>
      <c r="F1719" s="47">
        <f t="shared" ca="1" si="237"/>
        <v>8530974436978.5488</v>
      </c>
      <c r="G1719" s="47">
        <f t="shared" ca="1" si="238"/>
        <v>78489058359914.25</v>
      </c>
      <c r="H1719" s="47">
        <f t="shared" ca="1" si="239"/>
        <v>8530974436978.5488</v>
      </c>
      <c r="I1719" s="47">
        <f t="shared" ca="1" si="240"/>
        <v>68685830574779.398</v>
      </c>
      <c r="J1719" s="47">
        <f t="shared" ca="1" si="241"/>
        <v>855459724643.85193</v>
      </c>
      <c r="K1719" s="48">
        <f t="shared" ca="1" si="242"/>
        <v>80.291133055241062</v>
      </c>
    </row>
    <row r="1720" spans="2:11" ht="15" customHeight="1" x14ac:dyDescent="0.35">
      <c r="B1720" s="5">
        <v>1699</v>
      </c>
      <c r="C1720" s="46">
        <f t="shared" ca="1" si="234"/>
        <v>3.869699295441893</v>
      </c>
      <c r="D1720" s="47">
        <f t="shared" ca="1" si="235"/>
        <v>18756893444.062702</v>
      </c>
      <c r="E1720" s="47">
        <f t="shared" ca="1" si="236"/>
        <v>27326378852751.629</v>
      </c>
      <c r="F1720" s="47">
        <f t="shared" ca="1" si="237"/>
        <v>7224372298457.8555</v>
      </c>
      <c r="G1720" s="47">
        <f t="shared" ca="1" si="238"/>
        <v>74161516715806.828</v>
      </c>
      <c r="H1720" s="47">
        <f t="shared" ca="1" si="239"/>
        <v>74161516715806.828</v>
      </c>
      <c r="I1720" s="47">
        <f t="shared" ca="1" si="240"/>
        <v>14666118714503.051</v>
      </c>
      <c r="J1720" s="47">
        <f t="shared" ca="1" si="241"/>
        <v>1512682602945.8149</v>
      </c>
      <c r="K1720" s="48">
        <f t="shared" ca="1" si="242"/>
        <v>9.6954368920103189</v>
      </c>
    </row>
    <row r="1721" spans="2:11" ht="15" customHeight="1" x14ac:dyDescent="0.35">
      <c r="B1721" s="5">
        <v>1700</v>
      </c>
      <c r="C1721" s="46">
        <f t="shared" ca="1" si="234"/>
        <v>3.0813970249389699</v>
      </c>
      <c r="D1721" s="47">
        <f t="shared" ca="1" si="235"/>
        <v>4498203185.2847538</v>
      </c>
      <c r="E1721" s="47">
        <f t="shared" ca="1" si="236"/>
        <v>12088772487385.072</v>
      </c>
      <c r="F1721" s="47">
        <f t="shared" ca="1" si="237"/>
        <v>4978582860503.2998</v>
      </c>
      <c r="G1721" s="47">
        <f t="shared" ca="1" si="238"/>
        <v>23006294608275.402</v>
      </c>
      <c r="H1721" s="47">
        <f t="shared" ca="1" si="239"/>
        <v>23006294608275.402</v>
      </c>
      <c r="I1721" s="47">
        <f t="shared" ca="1" si="240"/>
        <v>26317625583078.355</v>
      </c>
      <c r="J1721" s="47">
        <f t="shared" ca="1" si="241"/>
        <v>1313593872513.113</v>
      </c>
      <c r="K1721" s="48">
        <f t="shared" ca="1" si="242"/>
        <v>20.034826694744375</v>
      </c>
    </row>
    <row r="1722" spans="2:11" ht="15" customHeight="1" x14ac:dyDescent="0.35">
      <c r="B1722" s="5">
        <v>1701</v>
      </c>
      <c r="C1722" s="46">
        <f t="shared" ca="1" si="234"/>
        <v>2.807427256740322</v>
      </c>
      <c r="D1722" s="47">
        <f t="shared" ca="1" si="235"/>
        <v>3667218428.1527038</v>
      </c>
      <c r="E1722" s="47">
        <f t="shared" ca="1" si="236"/>
        <v>13228399880848.367</v>
      </c>
      <c r="F1722" s="47">
        <f t="shared" ca="1" si="237"/>
        <v>1524548179940.9407</v>
      </c>
      <c r="G1722" s="47">
        <f t="shared" ca="1" si="238"/>
        <v>71212434514300.219</v>
      </c>
      <c r="H1722" s="47">
        <f t="shared" ca="1" si="239"/>
        <v>13228399880848.367</v>
      </c>
      <c r="I1722" s="47">
        <f t="shared" ca="1" si="240"/>
        <v>2489645293971.7598</v>
      </c>
      <c r="J1722" s="47">
        <f t="shared" ca="1" si="241"/>
        <v>1321433621541.5977</v>
      </c>
      <c r="K1722" s="48">
        <f t="shared" ca="1" si="242"/>
        <v>1.8840486978584021</v>
      </c>
    </row>
    <row r="1723" spans="2:11" ht="15" customHeight="1" x14ac:dyDescent="0.35">
      <c r="B1723" s="5">
        <v>1702</v>
      </c>
      <c r="C1723" s="46">
        <f t="shared" ca="1" si="234"/>
        <v>2.6096891763384078</v>
      </c>
      <c r="D1723" s="47">
        <f t="shared" ca="1" si="235"/>
        <v>2199982290.5586309</v>
      </c>
      <c r="E1723" s="47">
        <f t="shared" ca="1" si="236"/>
        <v>3711503155140.0308</v>
      </c>
      <c r="F1723" s="47">
        <f t="shared" ca="1" si="237"/>
        <v>702964982290.35754</v>
      </c>
      <c r="G1723" s="47">
        <f t="shared" ca="1" si="238"/>
        <v>1635649942128.9717</v>
      </c>
      <c r="H1723" s="47">
        <f t="shared" ca="1" si="239"/>
        <v>3711503155140.0308</v>
      </c>
      <c r="I1723" s="47">
        <f t="shared" ca="1" si="240"/>
        <v>6488235005016.1602</v>
      </c>
      <c r="J1723" s="47">
        <f t="shared" ca="1" si="241"/>
        <v>847211040658.42773</v>
      </c>
      <c r="K1723" s="48">
        <f t="shared" ca="1" si="242"/>
        <v>7.6583456702519985</v>
      </c>
    </row>
    <row r="1724" spans="2:11" ht="15" customHeight="1" x14ac:dyDescent="0.35">
      <c r="B1724" s="5">
        <v>1703</v>
      </c>
      <c r="C1724" s="46">
        <f t="shared" ca="1" si="234"/>
        <v>2.6108518972265307</v>
      </c>
      <c r="D1724" s="47">
        <f t="shared" ca="1" si="235"/>
        <v>2713530633.6504207</v>
      </c>
      <c r="E1724" s="47">
        <f t="shared" ca="1" si="236"/>
        <v>18796679689211.551</v>
      </c>
      <c r="F1724" s="47">
        <f t="shared" ca="1" si="237"/>
        <v>5742117755297.1602</v>
      </c>
      <c r="G1724" s="47">
        <f t="shared" ca="1" si="238"/>
        <v>142629109260035.81</v>
      </c>
      <c r="H1724" s="47">
        <f t="shared" ca="1" si="239"/>
        <v>142629109260035.81</v>
      </c>
      <c r="I1724" s="47">
        <f t="shared" ca="1" si="240"/>
        <v>2852897653118.207</v>
      </c>
      <c r="J1724" s="47">
        <f t="shared" ca="1" si="241"/>
        <v>2114948402902.7783</v>
      </c>
      <c r="K1724" s="48">
        <f t="shared" ca="1" si="242"/>
        <v>1.3489206872387947</v>
      </c>
    </row>
    <row r="1725" spans="2:11" ht="15" customHeight="1" x14ac:dyDescent="0.35">
      <c r="B1725" s="5">
        <v>1704</v>
      </c>
      <c r="C1725" s="46">
        <f t="shared" ca="1" si="234"/>
        <v>3.1523992884328682</v>
      </c>
      <c r="D1725" s="47">
        <f t="shared" ca="1" si="235"/>
        <v>7032328871.9354067</v>
      </c>
      <c r="E1725" s="47">
        <f t="shared" ca="1" si="236"/>
        <v>42551553101784.234</v>
      </c>
      <c r="F1725" s="47">
        <f t="shared" ca="1" si="237"/>
        <v>203141022837.23203</v>
      </c>
      <c r="G1725" s="47">
        <f t="shared" ca="1" si="238"/>
        <v>5007573917646.6982</v>
      </c>
      <c r="H1725" s="47">
        <f t="shared" ca="1" si="239"/>
        <v>5007573917646.6982</v>
      </c>
      <c r="I1725" s="47">
        <f t="shared" ca="1" si="240"/>
        <v>1064839276131.9724</v>
      </c>
      <c r="J1725" s="47">
        <f t="shared" ca="1" si="241"/>
        <v>1482435131252.6509</v>
      </c>
      <c r="K1725" s="48">
        <f t="shared" ca="1" si="242"/>
        <v>0.7183041292553477</v>
      </c>
    </row>
    <row r="1726" spans="2:11" ht="15" customHeight="1" x14ac:dyDescent="0.35">
      <c r="B1726" s="5">
        <v>1705</v>
      </c>
      <c r="C1726" s="46">
        <f t="shared" ca="1" si="234"/>
        <v>3.7665077522281489</v>
      </c>
      <c r="D1726" s="47">
        <f t="shared" ca="1" si="235"/>
        <v>12964273689.303511</v>
      </c>
      <c r="E1726" s="47">
        <f t="shared" ca="1" si="236"/>
        <v>52666940832626.234</v>
      </c>
      <c r="F1726" s="47">
        <f t="shared" ca="1" si="237"/>
        <v>9949232352467.0254</v>
      </c>
      <c r="G1726" s="47">
        <f t="shared" ca="1" si="238"/>
        <v>4813707401028.5938</v>
      </c>
      <c r="H1726" s="47">
        <f t="shared" ca="1" si="239"/>
        <v>52666940832626.234</v>
      </c>
      <c r="I1726" s="47">
        <f t="shared" ca="1" si="240"/>
        <v>9150565703355.7598</v>
      </c>
      <c r="J1726" s="47">
        <f t="shared" ca="1" si="241"/>
        <v>891344805328.22778</v>
      </c>
      <c r="K1726" s="48">
        <f t="shared" ca="1" si="242"/>
        <v>10.26602236155532</v>
      </c>
    </row>
    <row r="1727" spans="2:11" ht="15" customHeight="1" x14ac:dyDescent="0.35">
      <c r="B1727" s="5">
        <v>1706</v>
      </c>
      <c r="C1727" s="46">
        <f t="shared" ca="1" si="234"/>
        <v>3.0994611945898831</v>
      </c>
      <c r="D1727" s="47">
        <f t="shared" ca="1" si="235"/>
        <v>5239904773.9919252</v>
      </c>
      <c r="E1727" s="47">
        <f t="shared" ca="1" si="236"/>
        <v>32996009078228.012</v>
      </c>
      <c r="F1727" s="47">
        <f t="shared" ca="1" si="237"/>
        <v>927149345397.56836</v>
      </c>
      <c r="G1727" s="47">
        <f t="shared" ca="1" si="238"/>
        <v>93539119096717.422</v>
      </c>
      <c r="H1727" s="47">
        <f t="shared" ca="1" si="239"/>
        <v>93539119096717.422</v>
      </c>
      <c r="I1727" s="47">
        <f t="shared" ca="1" si="240"/>
        <v>23896845225391.941</v>
      </c>
      <c r="J1727" s="47">
        <f t="shared" ca="1" si="241"/>
        <v>2034632479256.1858</v>
      </c>
      <c r="K1727" s="48">
        <f t="shared" ca="1" si="242"/>
        <v>11.745042639901271</v>
      </c>
    </row>
    <row r="1728" spans="2:11" ht="15" customHeight="1" x14ac:dyDescent="0.35">
      <c r="B1728" s="5">
        <v>1707</v>
      </c>
      <c r="C1728" s="46">
        <f t="shared" ca="1" si="234"/>
        <v>3.3505046290387632</v>
      </c>
      <c r="D1728" s="47">
        <f t="shared" ca="1" si="235"/>
        <v>7165056502.5380592</v>
      </c>
      <c r="E1728" s="47">
        <f t="shared" ca="1" si="236"/>
        <v>12116492293778.348</v>
      </c>
      <c r="F1728" s="47">
        <f t="shared" ca="1" si="237"/>
        <v>6633738715509.6641</v>
      </c>
      <c r="G1728" s="47">
        <f t="shared" ca="1" si="238"/>
        <v>24471575873557.137</v>
      </c>
      <c r="H1728" s="47">
        <f t="shared" ca="1" si="239"/>
        <v>12116492293778.348</v>
      </c>
      <c r="I1728" s="47">
        <f t="shared" ca="1" si="240"/>
        <v>37197394077965.75</v>
      </c>
      <c r="J1728" s="47">
        <f t="shared" ca="1" si="241"/>
        <v>1520297723784.7068</v>
      </c>
      <c r="K1728" s="48">
        <f t="shared" ca="1" si="242"/>
        <v>24.467177379812593</v>
      </c>
    </row>
    <row r="1729" spans="2:11" ht="15" customHeight="1" x14ac:dyDescent="0.35">
      <c r="B1729" s="5">
        <v>1708</v>
      </c>
      <c r="C1729" s="46">
        <f t="shared" ca="1" si="234"/>
        <v>3.4518831406929973</v>
      </c>
      <c r="D1729" s="47">
        <f t="shared" ca="1" si="235"/>
        <v>10693386771.959545</v>
      </c>
      <c r="E1729" s="47">
        <f t="shared" ca="1" si="236"/>
        <v>23070173252345.043</v>
      </c>
      <c r="F1729" s="47">
        <f t="shared" ca="1" si="237"/>
        <v>3928335029067.4111</v>
      </c>
      <c r="G1729" s="47">
        <f t="shared" ca="1" si="238"/>
        <v>3580227044443.5684</v>
      </c>
      <c r="H1729" s="47">
        <f t="shared" ca="1" si="239"/>
        <v>23070173252345.043</v>
      </c>
      <c r="I1729" s="47">
        <f t="shared" ca="1" si="240"/>
        <v>7274114654404.9961</v>
      </c>
      <c r="J1729" s="47">
        <f t="shared" ca="1" si="241"/>
        <v>953740340913.38342</v>
      </c>
      <c r="K1729" s="48">
        <f t="shared" ca="1" si="242"/>
        <v>7.6269340221455675</v>
      </c>
    </row>
    <row r="1730" spans="2:11" ht="15" customHeight="1" x14ac:dyDescent="0.35">
      <c r="B1730" s="5">
        <v>1709</v>
      </c>
      <c r="C1730" s="46">
        <f t="shared" ca="1" si="234"/>
        <v>2.5904803290680825</v>
      </c>
      <c r="D1730" s="47">
        <f t="shared" ca="1" si="235"/>
        <v>2563560788.3298788</v>
      </c>
      <c r="E1730" s="47">
        <f t="shared" ca="1" si="236"/>
        <v>6036679937229.7314</v>
      </c>
      <c r="F1730" s="47">
        <f t="shared" ca="1" si="237"/>
        <v>6570321734475.4014</v>
      </c>
      <c r="G1730" s="47">
        <f t="shared" ca="1" si="238"/>
        <v>206390767214357.38</v>
      </c>
      <c r="H1730" s="47">
        <f t="shared" ca="1" si="239"/>
        <v>206390767214357.38</v>
      </c>
      <c r="I1730" s="47">
        <f t="shared" ca="1" si="240"/>
        <v>45506402372392.039</v>
      </c>
      <c r="J1730" s="47">
        <f t="shared" ca="1" si="241"/>
        <v>2107538246171.4121</v>
      </c>
      <c r="K1730" s="48">
        <f t="shared" ca="1" si="242"/>
        <v>21.592207142650768</v>
      </c>
    </row>
    <row r="1731" spans="2:11" ht="15" customHeight="1" x14ac:dyDescent="0.35">
      <c r="B1731" s="5">
        <v>1710</v>
      </c>
      <c r="C1731" s="46">
        <f t="shared" ca="1" si="234"/>
        <v>3.1113556553861708</v>
      </c>
      <c r="D1731" s="47">
        <f t="shared" ca="1" si="235"/>
        <v>5733541546.0783587</v>
      </c>
      <c r="E1731" s="47">
        <f t="shared" ca="1" si="236"/>
        <v>44960422999621.875</v>
      </c>
      <c r="F1731" s="47">
        <f t="shared" ca="1" si="237"/>
        <v>1740563485502.749</v>
      </c>
      <c r="G1731" s="47">
        <f t="shared" ca="1" si="238"/>
        <v>22019376063477.93</v>
      </c>
      <c r="H1731" s="47">
        <f t="shared" ca="1" si="239"/>
        <v>1740563485502.749</v>
      </c>
      <c r="I1731" s="47">
        <f t="shared" ca="1" si="240"/>
        <v>35089090035486.094</v>
      </c>
      <c r="J1731" s="47">
        <f t="shared" ca="1" si="241"/>
        <v>657895079218.47803</v>
      </c>
      <c r="K1731" s="48">
        <f t="shared" ca="1" si="242"/>
        <v>53.33538909755773</v>
      </c>
    </row>
    <row r="1732" spans="2:11" ht="15" customHeight="1" x14ac:dyDescent="0.35">
      <c r="B1732" s="5">
        <v>1711</v>
      </c>
      <c r="C1732" s="46">
        <f t="shared" ca="1" si="234"/>
        <v>2.5172273808894263</v>
      </c>
      <c r="D1732" s="47">
        <f t="shared" ca="1" si="235"/>
        <v>2005307561.5948687</v>
      </c>
      <c r="E1732" s="47">
        <f t="shared" ca="1" si="236"/>
        <v>16689112078765.611</v>
      </c>
      <c r="F1732" s="47">
        <f t="shared" ca="1" si="237"/>
        <v>3251156296858.8555</v>
      </c>
      <c r="G1732" s="47">
        <f t="shared" ca="1" si="238"/>
        <v>2917044503937.8037</v>
      </c>
      <c r="H1732" s="47">
        <f t="shared" ca="1" si="239"/>
        <v>16689112078765.611</v>
      </c>
      <c r="I1732" s="47">
        <f t="shared" ca="1" si="240"/>
        <v>42755259509520.445</v>
      </c>
      <c r="J1732" s="47">
        <f t="shared" ca="1" si="241"/>
        <v>1328106829560.3003</v>
      </c>
      <c r="K1732" s="48">
        <f t="shared" ca="1" si="242"/>
        <v>32.192635831618709</v>
      </c>
    </row>
    <row r="1733" spans="2:11" ht="15" customHeight="1" x14ac:dyDescent="0.35">
      <c r="B1733" s="5">
        <v>1712</v>
      </c>
      <c r="C1733" s="46">
        <f t="shared" ca="1" si="234"/>
        <v>2.6066554489260976</v>
      </c>
      <c r="D1733" s="47">
        <f t="shared" ca="1" si="235"/>
        <v>2842661817.2207885</v>
      </c>
      <c r="E1733" s="47">
        <f t="shared" ca="1" si="236"/>
        <v>5969644239185.6816</v>
      </c>
      <c r="F1733" s="47">
        <f t="shared" ca="1" si="237"/>
        <v>2691748870593.106</v>
      </c>
      <c r="G1733" s="47">
        <f t="shared" ca="1" si="238"/>
        <v>5610177526317.5449</v>
      </c>
      <c r="H1733" s="47">
        <f t="shared" ca="1" si="239"/>
        <v>5610177526317.5449</v>
      </c>
      <c r="I1733" s="47">
        <f t="shared" ca="1" si="240"/>
        <v>2611352186821.6006</v>
      </c>
      <c r="J1733" s="47">
        <f t="shared" ca="1" si="241"/>
        <v>2087373760092.1182</v>
      </c>
      <c r="K1733" s="48">
        <f t="shared" ca="1" si="242"/>
        <v>1.2510228099764742</v>
      </c>
    </row>
    <row r="1734" spans="2:11" ht="15" customHeight="1" x14ac:dyDescent="0.35">
      <c r="B1734" s="5">
        <v>1713</v>
      </c>
      <c r="C1734" s="46">
        <f t="shared" ca="1" si="234"/>
        <v>3.1253119923852246</v>
      </c>
      <c r="D1734" s="47">
        <f t="shared" ca="1" si="235"/>
        <v>5727980638.5801764</v>
      </c>
      <c r="E1734" s="47">
        <f t="shared" ca="1" si="236"/>
        <v>7497959387650.3701</v>
      </c>
      <c r="F1734" s="47">
        <f t="shared" ca="1" si="237"/>
        <v>2326734983400.4976</v>
      </c>
      <c r="G1734" s="47">
        <f t="shared" ca="1" si="238"/>
        <v>4300985592747.9409</v>
      </c>
      <c r="H1734" s="47">
        <f t="shared" ca="1" si="239"/>
        <v>2326734983400.4976</v>
      </c>
      <c r="I1734" s="47">
        <f t="shared" ca="1" si="240"/>
        <v>4435218451636.2373</v>
      </c>
      <c r="J1734" s="47">
        <f t="shared" ca="1" si="241"/>
        <v>813956670935.77917</v>
      </c>
      <c r="K1734" s="48">
        <f t="shared" ca="1" si="242"/>
        <v>5.4489613636770278</v>
      </c>
    </row>
    <row r="1735" spans="2:11" ht="15" customHeight="1" x14ac:dyDescent="0.35">
      <c r="B1735" s="5">
        <v>1714</v>
      </c>
      <c r="C1735" s="46">
        <f t="shared" ca="1" si="234"/>
        <v>2.8989805827083455</v>
      </c>
      <c r="D1735" s="47">
        <f t="shared" ca="1" si="235"/>
        <v>4155693929.5912609</v>
      </c>
      <c r="E1735" s="47">
        <f t="shared" ca="1" si="236"/>
        <v>49031918423623.688</v>
      </c>
      <c r="F1735" s="47">
        <f t="shared" ca="1" si="237"/>
        <v>45034006500625.477</v>
      </c>
      <c r="G1735" s="47">
        <f t="shared" ca="1" si="238"/>
        <v>94186742812991.969</v>
      </c>
      <c r="H1735" s="47">
        <f t="shared" ca="1" si="239"/>
        <v>49031918423623.688</v>
      </c>
      <c r="I1735" s="47">
        <f t="shared" ca="1" si="240"/>
        <v>1314722607553.1787</v>
      </c>
      <c r="J1735" s="47">
        <f t="shared" ca="1" si="241"/>
        <v>2032723127006.8</v>
      </c>
      <c r="K1735" s="48">
        <f t="shared" ca="1" si="242"/>
        <v>0.6467789882870657</v>
      </c>
    </row>
    <row r="1736" spans="2:11" ht="15" customHeight="1" x14ac:dyDescent="0.35">
      <c r="B1736" s="5">
        <v>1715</v>
      </c>
      <c r="C1736" s="46">
        <f t="shared" ca="1" si="234"/>
        <v>2.562861455254041</v>
      </c>
      <c r="D1736" s="47">
        <f t="shared" ca="1" si="235"/>
        <v>2319208638.2736483</v>
      </c>
      <c r="E1736" s="47">
        <f t="shared" ca="1" si="236"/>
        <v>7661174783422.0596</v>
      </c>
      <c r="F1736" s="47">
        <f t="shared" ca="1" si="237"/>
        <v>2928992460726.0112</v>
      </c>
      <c r="G1736" s="47">
        <f t="shared" ca="1" si="238"/>
        <v>4488001621543.7441</v>
      </c>
      <c r="H1736" s="47">
        <f t="shared" ca="1" si="239"/>
        <v>7661174783422.0596</v>
      </c>
      <c r="I1736" s="47">
        <f t="shared" ca="1" si="240"/>
        <v>21569776449299.176</v>
      </c>
      <c r="J1736" s="47">
        <f t="shared" ca="1" si="241"/>
        <v>1520497642787.155</v>
      </c>
      <c r="K1736" s="48">
        <f t="shared" ca="1" si="242"/>
        <v>14.185997953775582</v>
      </c>
    </row>
    <row r="1737" spans="2:11" ht="15" customHeight="1" x14ac:dyDescent="0.35">
      <c r="B1737" s="5">
        <v>1716</v>
      </c>
      <c r="C1737" s="46">
        <f t="shared" ca="1" si="234"/>
        <v>3.2749833107803568</v>
      </c>
      <c r="D1737" s="47">
        <f t="shared" ca="1" si="235"/>
        <v>6682202038.1345663</v>
      </c>
      <c r="E1737" s="47">
        <f t="shared" ca="1" si="236"/>
        <v>15481495869336.701</v>
      </c>
      <c r="F1737" s="47">
        <f t="shared" ca="1" si="237"/>
        <v>1707923261085.6189</v>
      </c>
      <c r="G1737" s="47">
        <f t="shared" ca="1" si="238"/>
        <v>25382851296007.418</v>
      </c>
      <c r="H1737" s="47">
        <f t="shared" ca="1" si="239"/>
        <v>25382851296007.418</v>
      </c>
      <c r="I1737" s="47">
        <f t="shared" ca="1" si="240"/>
        <v>23162281235490.047</v>
      </c>
      <c r="J1737" s="47">
        <f t="shared" ca="1" si="241"/>
        <v>637846417047.70862</v>
      </c>
      <c r="K1737" s="48">
        <f t="shared" ca="1" si="242"/>
        <v>36.313257574914921</v>
      </c>
    </row>
    <row r="1738" spans="2:11" ht="15" customHeight="1" x14ac:dyDescent="0.35">
      <c r="B1738" s="5">
        <v>1717</v>
      </c>
      <c r="C1738" s="46">
        <f t="shared" ca="1" si="234"/>
        <v>3.2069294557855539</v>
      </c>
      <c r="D1738" s="47">
        <f t="shared" ca="1" si="235"/>
        <v>6367663385.7140884</v>
      </c>
      <c r="E1738" s="47">
        <f t="shared" ca="1" si="236"/>
        <v>28348579084487.047</v>
      </c>
      <c r="F1738" s="47">
        <f t="shared" ca="1" si="237"/>
        <v>10313294081062.973</v>
      </c>
      <c r="G1738" s="47">
        <f t="shared" ca="1" si="238"/>
        <v>1849924135227.1575</v>
      </c>
      <c r="H1738" s="47">
        <f t="shared" ca="1" si="239"/>
        <v>10313294081062.973</v>
      </c>
      <c r="I1738" s="47">
        <f t="shared" ca="1" si="240"/>
        <v>21035454655181.703</v>
      </c>
      <c r="J1738" s="47">
        <f t="shared" ca="1" si="241"/>
        <v>2337089533230.8408</v>
      </c>
      <c r="K1738" s="48">
        <f t="shared" ca="1" si="242"/>
        <v>9.0007055168750245</v>
      </c>
    </row>
    <row r="1739" spans="2:11" ht="15" customHeight="1" x14ac:dyDescent="0.35">
      <c r="B1739" s="5">
        <v>1718</v>
      </c>
      <c r="C1739" s="46">
        <f t="shared" ca="1" si="234"/>
        <v>3.2634276433296794</v>
      </c>
      <c r="D1739" s="47">
        <f t="shared" ca="1" si="235"/>
        <v>8833332760.0215912</v>
      </c>
      <c r="E1739" s="47">
        <f t="shared" ca="1" si="236"/>
        <v>27810256114149.516</v>
      </c>
      <c r="F1739" s="47">
        <f t="shared" ca="1" si="237"/>
        <v>14335652073785.068</v>
      </c>
      <c r="G1739" s="47">
        <f t="shared" ca="1" si="238"/>
        <v>2389523060874.0894</v>
      </c>
      <c r="H1739" s="47">
        <f t="shared" ca="1" si="239"/>
        <v>27810256114149.516</v>
      </c>
      <c r="I1739" s="47">
        <f t="shared" ca="1" si="240"/>
        <v>5401861966357.4238</v>
      </c>
      <c r="J1739" s="47">
        <f t="shared" ca="1" si="241"/>
        <v>1544565204739.032</v>
      </c>
      <c r="K1739" s="48">
        <f t="shared" ca="1" si="242"/>
        <v>3.4973350103857328</v>
      </c>
    </row>
    <row r="1740" spans="2:11" ht="15" customHeight="1" x14ac:dyDescent="0.35">
      <c r="B1740" s="5">
        <v>1719</v>
      </c>
      <c r="C1740" s="46">
        <f t="shared" ca="1" si="234"/>
        <v>3.6650917188891392</v>
      </c>
      <c r="D1740" s="47">
        <f t="shared" ca="1" si="235"/>
        <v>14706312312.259455</v>
      </c>
      <c r="E1740" s="47">
        <f t="shared" ca="1" si="236"/>
        <v>53739291876355.828</v>
      </c>
      <c r="F1740" s="47">
        <f t="shared" ca="1" si="237"/>
        <v>338906303307.84515</v>
      </c>
      <c r="G1740" s="47">
        <f t="shared" ca="1" si="238"/>
        <v>852175876071.65344</v>
      </c>
      <c r="H1740" s="47">
        <f t="shared" ca="1" si="239"/>
        <v>338906303307.84515</v>
      </c>
      <c r="I1740" s="47">
        <f t="shared" ca="1" si="240"/>
        <v>17473152093201.387</v>
      </c>
      <c r="J1740" s="47">
        <f t="shared" ca="1" si="241"/>
        <v>1257444344554.8862</v>
      </c>
      <c r="K1740" s="48">
        <f t="shared" ca="1" si="242"/>
        <v>13.895765779905419</v>
      </c>
    </row>
    <row r="1741" spans="2:11" ht="15" customHeight="1" x14ac:dyDescent="0.35">
      <c r="B1741" s="5">
        <v>1720</v>
      </c>
      <c r="C1741" s="46">
        <f t="shared" ca="1" si="234"/>
        <v>2.9711561335430563</v>
      </c>
      <c r="D1741" s="47">
        <f t="shared" ca="1" si="235"/>
        <v>4071731501.7537689</v>
      </c>
      <c r="E1741" s="47">
        <f t="shared" ca="1" si="236"/>
        <v>109109116629076.7</v>
      </c>
      <c r="F1741" s="47">
        <f t="shared" ca="1" si="237"/>
        <v>610380652144.0238</v>
      </c>
      <c r="G1741" s="47">
        <f t="shared" ca="1" si="238"/>
        <v>7174802482979.2871</v>
      </c>
      <c r="H1741" s="47">
        <f t="shared" ca="1" si="239"/>
        <v>7174802482979.2871</v>
      </c>
      <c r="I1741" s="47">
        <f t="shared" ca="1" si="240"/>
        <v>10483806040844.563</v>
      </c>
      <c r="J1741" s="47">
        <f t="shared" ca="1" si="241"/>
        <v>1988705173997.2229</v>
      </c>
      <c r="K1741" s="48">
        <f t="shared" ca="1" si="242"/>
        <v>5.2716743426440154</v>
      </c>
    </row>
    <row r="1742" spans="2:11" ht="15" customHeight="1" x14ac:dyDescent="0.35">
      <c r="B1742" s="5">
        <v>1721</v>
      </c>
      <c r="C1742" s="46">
        <f t="shared" ca="1" si="234"/>
        <v>3.1199775795007185</v>
      </c>
      <c r="D1742" s="47">
        <f t="shared" ca="1" si="235"/>
        <v>4759959256.314086</v>
      </c>
      <c r="E1742" s="47">
        <f t="shared" ca="1" si="236"/>
        <v>9432063703515.8613</v>
      </c>
      <c r="F1742" s="47">
        <f t="shared" ca="1" si="237"/>
        <v>3663545222409.0474</v>
      </c>
      <c r="G1742" s="47">
        <f t="shared" ca="1" si="238"/>
        <v>4198928111547.8906</v>
      </c>
      <c r="H1742" s="47">
        <f t="shared" ca="1" si="239"/>
        <v>4198928111547.8906</v>
      </c>
      <c r="I1742" s="47">
        <f t="shared" ca="1" si="240"/>
        <v>26421626347699.238</v>
      </c>
      <c r="J1742" s="47">
        <f t="shared" ca="1" si="241"/>
        <v>2095409438403.9561</v>
      </c>
      <c r="K1742" s="48">
        <f t="shared" ca="1" si="242"/>
        <v>12.609290510700486</v>
      </c>
    </row>
    <row r="1743" spans="2:11" ht="15" customHeight="1" x14ac:dyDescent="0.35">
      <c r="B1743" s="5">
        <v>1722</v>
      </c>
      <c r="C1743" s="46">
        <f t="shared" ca="1" si="234"/>
        <v>3.4355438281386812</v>
      </c>
      <c r="D1743" s="47">
        <f t="shared" ca="1" si="235"/>
        <v>8880690131.9418526</v>
      </c>
      <c r="E1743" s="47">
        <f t="shared" ca="1" si="236"/>
        <v>28795304137049.648</v>
      </c>
      <c r="F1743" s="47">
        <f t="shared" ca="1" si="237"/>
        <v>1432858334531.9326</v>
      </c>
      <c r="G1743" s="47">
        <f t="shared" ca="1" si="238"/>
        <v>1016938670820.062</v>
      </c>
      <c r="H1743" s="47">
        <f t="shared" ca="1" si="239"/>
        <v>1432858334531.9326</v>
      </c>
      <c r="I1743" s="47">
        <f t="shared" ca="1" si="240"/>
        <v>53855529837338.945</v>
      </c>
      <c r="J1743" s="47">
        <f t="shared" ca="1" si="241"/>
        <v>1618213457597.427</v>
      </c>
      <c r="K1743" s="48">
        <f t="shared" ca="1" si="242"/>
        <v>33.28085648063923</v>
      </c>
    </row>
    <row r="1744" spans="2:11" ht="15" customHeight="1" x14ac:dyDescent="0.35">
      <c r="B1744" s="5">
        <v>1723</v>
      </c>
      <c r="C1744" s="46">
        <f t="shared" ca="1" si="234"/>
        <v>3.2186562195026505</v>
      </c>
      <c r="D1744" s="47">
        <f t="shared" ca="1" si="235"/>
        <v>6139785410.646039</v>
      </c>
      <c r="E1744" s="47">
        <f t="shared" ca="1" si="236"/>
        <v>5460634620220.6328</v>
      </c>
      <c r="F1744" s="47">
        <f t="shared" ca="1" si="237"/>
        <v>2227194718516.2368</v>
      </c>
      <c r="G1744" s="47">
        <f t="shared" ca="1" si="238"/>
        <v>3141572054829.9033</v>
      </c>
      <c r="H1744" s="47">
        <f t="shared" ca="1" si="239"/>
        <v>3141572054829.9033</v>
      </c>
      <c r="I1744" s="47">
        <f t="shared" ca="1" si="240"/>
        <v>14899912635021.668</v>
      </c>
      <c r="J1744" s="47">
        <f t="shared" ca="1" si="241"/>
        <v>1324668463996.751</v>
      </c>
      <c r="K1744" s="48">
        <f t="shared" ca="1" si="242"/>
        <v>11.248031518819499</v>
      </c>
    </row>
    <row r="1745" spans="2:11" ht="15" customHeight="1" x14ac:dyDescent="0.35">
      <c r="B1745" s="5">
        <v>1724</v>
      </c>
      <c r="C1745" s="46">
        <f t="shared" ca="1" si="234"/>
        <v>3.2456688923167909</v>
      </c>
      <c r="D1745" s="47">
        <f t="shared" ca="1" si="235"/>
        <v>6959734349.4470167</v>
      </c>
      <c r="E1745" s="47">
        <f t="shared" ca="1" si="236"/>
        <v>13217989200401.4</v>
      </c>
      <c r="F1745" s="47">
        <f t="shared" ca="1" si="237"/>
        <v>12450112901704.451</v>
      </c>
      <c r="G1745" s="47">
        <f t="shared" ca="1" si="238"/>
        <v>26912863959113.301</v>
      </c>
      <c r="H1745" s="47">
        <f t="shared" ca="1" si="239"/>
        <v>26912863959113.301</v>
      </c>
      <c r="I1745" s="47">
        <f t="shared" ca="1" si="240"/>
        <v>3337260668437.1909</v>
      </c>
      <c r="J1745" s="47">
        <f t="shared" ca="1" si="241"/>
        <v>1730019605266.2305</v>
      </c>
      <c r="K1745" s="48">
        <f t="shared" ca="1" si="242"/>
        <v>1.9290305487165993</v>
      </c>
    </row>
    <row r="1746" spans="2:11" ht="15" customHeight="1" x14ac:dyDescent="0.35">
      <c r="B1746" s="5">
        <v>1725</v>
      </c>
      <c r="C1746" s="46">
        <f t="shared" ca="1" si="234"/>
        <v>3.4477212295383812</v>
      </c>
      <c r="D1746" s="47">
        <f t="shared" ca="1" si="235"/>
        <v>8464469648.1620798</v>
      </c>
      <c r="E1746" s="47">
        <f t="shared" ca="1" si="236"/>
        <v>17941568891644.645</v>
      </c>
      <c r="F1746" s="47">
        <f t="shared" ca="1" si="237"/>
        <v>943344500786.55408</v>
      </c>
      <c r="G1746" s="47">
        <f t="shared" ca="1" si="238"/>
        <v>4910885901020.9043</v>
      </c>
      <c r="H1746" s="47">
        <f t="shared" ca="1" si="239"/>
        <v>17941568891644.645</v>
      </c>
      <c r="I1746" s="47">
        <f t="shared" ca="1" si="240"/>
        <v>3696288451101.7896</v>
      </c>
      <c r="J1746" s="47">
        <f t="shared" ca="1" si="241"/>
        <v>1376761127097.4792</v>
      </c>
      <c r="K1746" s="48">
        <f t="shared" ca="1" si="242"/>
        <v>2.6847710749172542</v>
      </c>
    </row>
    <row r="1747" spans="2:11" ht="15" customHeight="1" x14ac:dyDescent="0.35">
      <c r="B1747" s="5">
        <v>1726</v>
      </c>
      <c r="C1747" s="46">
        <f t="shared" ca="1" si="234"/>
        <v>3.3769316464985559</v>
      </c>
      <c r="D1747" s="47">
        <f t="shared" ca="1" si="235"/>
        <v>7166741555.8528643</v>
      </c>
      <c r="E1747" s="47">
        <f t="shared" ca="1" si="236"/>
        <v>47807775476215.578</v>
      </c>
      <c r="F1747" s="47">
        <f t="shared" ca="1" si="237"/>
        <v>2565489180959.6719</v>
      </c>
      <c r="G1747" s="47">
        <f t="shared" ca="1" si="238"/>
        <v>21343947541083.035</v>
      </c>
      <c r="H1747" s="47">
        <f t="shared" ca="1" si="239"/>
        <v>21343947541083.035</v>
      </c>
      <c r="I1747" s="47">
        <f t="shared" ca="1" si="240"/>
        <v>527987412356.60284</v>
      </c>
      <c r="J1747" s="47">
        <f t="shared" ca="1" si="241"/>
        <v>1565328969142.5652</v>
      </c>
      <c r="K1747" s="48">
        <f t="shared" ca="1" si="242"/>
        <v>0.33730124642477977</v>
      </c>
    </row>
    <row r="1748" spans="2:11" ht="15" customHeight="1" x14ac:dyDescent="0.35">
      <c r="B1748" s="5">
        <v>1727</v>
      </c>
      <c r="C1748" s="46">
        <f t="shared" ca="1" si="234"/>
        <v>3.5643893973627288</v>
      </c>
      <c r="D1748" s="47">
        <f t="shared" ca="1" si="235"/>
        <v>12996579229.890684</v>
      </c>
      <c r="E1748" s="47">
        <f t="shared" ca="1" si="236"/>
        <v>61326432380788.508</v>
      </c>
      <c r="F1748" s="47">
        <f t="shared" ca="1" si="237"/>
        <v>1419969503853.9924</v>
      </c>
      <c r="G1748" s="47">
        <f t="shared" ca="1" si="238"/>
        <v>1225123192459.6191</v>
      </c>
      <c r="H1748" s="47">
        <f t="shared" ca="1" si="239"/>
        <v>1225123192459.6191</v>
      </c>
      <c r="I1748" s="47">
        <f t="shared" ca="1" si="240"/>
        <v>69053218147772.727</v>
      </c>
      <c r="J1748" s="47">
        <f t="shared" ca="1" si="241"/>
        <v>1571917418875.5872</v>
      </c>
      <c r="K1748" s="48">
        <f t="shared" ca="1" si="242"/>
        <v>43.929291271018158</v>
      </c>
    </row>
    <row r="1749" spans="2:11" ht="15" customHeight="1" x14ac:dyDescent="0.35">
      <c r="B1749" s="5">
        <v>1728</v>
      </c>
      <c r="C1749" s="46">
        <f t="shared" ca="1" si="234"/>
        <v>3.8481814584621254</v>
      </c>
      <c r="D1749" s="47">
        <f t="shared" ca="1" si="235"/>
        <v>14221416232.650911</v>
      </c>
      <c r="E1749" s="47">
        <f t="shared" ca="1" si="236"/>
        <v>70326736446572.109</v>
      </c>
      <c r="F1749" s="47">
        <f t="shared" ca="1" si="237"/>
        <v>758765351298.95801</v>
      </c>
      <c r="G1749" s="47">
        <f t="shared" ca="1" si="238"/>
        <v>2023565992381.344</v>
      </c>
      <c r="H1749" s="47">
        <f t="shared" ca="1" si="239"/>
        <v>2023565992381.344</v>
      </c>
      <c r="I1749" s="47">
        <f t="shared" ca="1" si="240"/>
        <v>1170454878555.6113</v>
      </c>
      <c r="J1749" s="47">
        <f t="shared" ca="1" si="241"/>
        <v>1168353815722.864</v>
      </c>
      <c r="K1749" s="48">
        <f t="shared" ca="1" si="242"/>
        <v>1.001798310412884</v>
      </c>
    </row>
    <row r="1750" spans="2:11" ht="15" customHeight="1" x14ac:dyDescent="0.35">
      <c r="B1750" s="5">
        <v>1729</v>
      </c>
      <c r="C1750" s="46">
        <f t="shared" ref="C1750:C1813" ca="1" si="243">MEDIAN(1.8,NORMINV(RAND(),$C$7,$D$7),4.5)</f>
        <v>2.9132832070618973</v>
      </c>
      <c r="D1750" s="47">
        <f t="shared" ref="D1750:D1813" ca="1" si="244">($C$8+RAND()*($D$8-$C$8))*C1750^5</f>
        <v>3636377727.3914552</v>
      </c>
      <c r="E1750" s="47">
        <f t="shared" ref="E1750:E1813" ca="1" si="245">D1750*($C$10+RAND()*($D$10-$C$10))*EXP(NORMINV(RAND(),$C$9,$D$9))*($C$11+RAND()*($D$11-$C$11))</f>
        <v>12908499825010.865</v>
      </c>
      <c r="F1750" s="47">
        <f t="shared" ref="F1750:F1813" ca="1" si="246">EXP(NORMINV(RAND(),$C$12,$D$12))*EXP(NORMINV(RAND(),$C$13,$D$13))</f>
        <v>1896237750459.1738</v>
      </c>
      <c r="G1750" s="47">
        <f t="shared" ref="G1750:G1813" ca="1" si="247">EXP(NORMINV(RAND(),$C$14,$D$14))*($C$15+RAND()*($D$15-$C$15))*EXP(NORMINV(RAND(),$C$16,$D$16))/1000000*31536000</f>
        <v>900420478903.68494</v>
      </c>
      <c r="H1750" s="47">
        <f t="shared" ref="H1750:H1813" ca="1" si="248">CHOOSE(RANDBETWEEN(1,3),E1750,F1750,G1750)</f>
        <v>1896237750459.1738</v>
      </c>
      <c r="I1750" s="47">
        <f t="shared" ref="I1750:I1813" ca="1" si="249">EXP(NORMINV(RAND(),$C$14,$D$14))*($C$15+RAND()*($D$15-$C$15))*60</f>
        <v>53886392412845.766</v>
      </c>
      <c r="J1750" s="47">
        <f t="shared" ref="J1750:J1813" ca="1" si="250">($C$17+RAND()*($D$17-$C$17))*($C$18+RAND()*($D$18-$C$18))</f>
        <v>1259546212100.0017</v>
      </c>
      <c r="K1750" s="48">
        <f t="shared" ref="K1750:K1813" ca="1" si="251">I1750/J1750</f>
        <v>42.782386144453312</v>
      </c>
    </row>
    <row r="1751" spans="2:11" ht="15" customHeight="1" x14ac:dyDescent="0.35">
      <c r="B1751" s="5">
        <v>1730</v>
      </c>
      <c r="C1751" s="46">
        <f t="shared" ca="1" si="243"/>
        <v>3.248135423745083</v>
      </c>
      <c r="D1751" s="47">
        <f t="shared" ca="1" si="244"/>
        <v>6265438471.1404819</v>
      </c>
      <c r="E1751" s="47">
        <f t="shared" ca="1" si="245"/>
        <v>11385096709330.697</v>
      </c>
      <c r="F1751" s="47">
        <f t="shared" ca="1" si="246"/>
        <v>29223800945304.941</v>
      </c>
      <c r="G1751" s="47">
        <f t="shared" ca="1" si="247"/>
        <v>5278011666333.6602</v>
      </c>
      <c r="H1751" s="47">
        <f t="shared" ca="1" si="248"/>
        <v>11385096709330.697</v>
      </c>
      <c r="I1751" s="47">
        <f t="shared" ca="1" si="249"/>
        <v>5091664132420.7246</v>
      </c>
      <c r="J1751" s="47">
        <f t="shared" ca="1" si="250"/>
        <v>634174753431.21521</v>
      </c>
      <c r="K1751" s="48">
        <f t="shared" ca="1" si="251"/>
        <v>8.0288029519815698</v>
      </c>
    </row>
    <row r="1752" spans="2:11" ht="15" customHeight="1" x14ac:dyDescent="0.35">
      <c r="B1752" s="5">
        <v>1731</v>
      </c>
      <c r="C1752" s="46">
        <f t="shared" ca="1" si="243"/>
        <v>3.3237925297068216</v>
      </c>
      <c r="D1752" s="47">
        <f t="shared" ca="1" si="244"/>
        <v>6920136837.1838894</v>
      </c>
      <c r="E1752" s="47">
        <f t="shared" ca="1" si="245"/>
        <v>11439996653118.359</v>
      </c>
      <c r="F1752" s="47">
        <f t="shared" ca="1" si="246"/>
        <v>575969006374.33899</v>
      </c>
      <c r="G1752" s="47">
        <f t="shared" ca="1" si="247"/>
        <v>4052491082349.3525</v>
      </c>
      <c r="H1752" s="47">
        <f t="shared" ca="1" si="248"/>
        <v>575969006374.33899</v>
      </c>
      <c r="I1752" s="47">
        <f t="shared" ca="1" si="249"/>
        <v>2696085374175.1816</v>
      </c>
      <c r="J1752" s="47">
        <f t="shared" ca="1" si="250"/>
        <v>714712640394.40527</v>
      </c>
      <c r="K1752" s="48">
        <f t="shared" ca="1" si="251"/>
        <v>3.7722648541480677</v>
      </c>
    </row>
    <row r="1753" spans="2:11" ht="15" customHeight="1" x14ac:dyDescent="0.35">
      <c r="B1753" s="5">
        <v>1732</v>
      </c>
      <c r="C1753" s="46">
        <f t="shared" ca="1" si="243"/>
        <v>2.5724685874421329</v>
      </c>
      <c r="D1753" s="47">
        <f t="shared" ca="1" si="244"/>
        <v>2240268497.1694369</v>
      </c>
      <c r="E1753" s="47">
        <f t="shared" ca="1" si="245"/>
        <v>4068960171931.8198</v>
      </c>
      <c r="F1753" s="47">
        <f t="shared" ca="1" si="246"/>
        <v>1880714292990.1226</v>
      </c>
      <c r="G1753" s="47">
        <f t="shared" ca="1" si="247"/>
        <v>1892627628949.2583</v>
      </c>
      <c r="H1753" s="47">
        <f t="shared" ca="1" si="248"/>
        <v>1892627628949.2583</v>
      </c>
      <c r="I1753" s="47">
        <f t="shared" ca="1" si="249"/>
        <v>52682518577802.922</v>
      </c>
      <c r="J1753" s="47">
        <f t="shared" ca="1" si="250"/>
        <v>1635372491755.9353</v>
      </c>
      <c r="K1753" s="48">
        <f t="shared" ca="1" si="251"/>
        <v>32.214384700354444</v>
      </c>
    </row>
    <row r="1754" spans="2:11" ht="15" customHeight="1" x14ac:dyDescent="0.35">
      <c r="B1754" s="5">
        <v>1733</v>
      </c>
      <c r="C1754" s="46">
        <f t="shared" ca="1" si="243"/>
        <v>2.2929168257837635</v>
      </c>
      <c r="D1754" s="47">
        <f t="shared" ca="1" si="244"/>
        <v>1233019797.4805403</v>
      </c>
      <c r="E1754" s="47">
        <f t="shared" ca="1" si="245"/>
        <v>7742228093200.3643</v>
      </c>
      <c r="F1754" s="47">
        <f t="shared" ca="1" si="246"/>
        <v>3174122851413.6924</v>
      </c>
      <c r="G1754" s="47">
        <f t="shared" ca="1" si="247"/>
        <v>2145155177410.0205</v>
      </c>
      <c r="H1754" s="47">
        <f t="shared" ca="1" si="248"/>
        <v>2145155177410.0205</v>
      </c>
      <c r="I1754" s="47">
        <f t="shared" ca="1" si="249"/>
        <v>7750174061741.8389</v>
      </c>
      <c r="J1754" s="47">
        <f t="shared" ca="1" si="250"/>
        <v>1314821228700.856</v>
      </c>
      <c r="K1754" s="48">
        <f t="shared" ca="1" si="251"/>
        <v>5.8944698279625465</v>
      </c>
    </row>
    <row r="1755" spans="2:11" ht="15" customHeight="1" x14ac:dyDescent="0.35">
      <c r="B1755" s="5">
        <v>1734</v>
      </c>
      <c r="C1755" s="46">
        <f t="shared" ca="1" si="243"/>
        <v>3.3590147068462621</v>
      </c>
      <c r="D1755" s="47">
        <f t="shared" ca="1" si="244"/>
        <v>7230380119.1413689</v>
      </c>
      <c r="E1755" s="47">
        <f t="shared" ca="1" si="245"/>
        <v>45059994858694.164</v>
      </c>
      <c r="F1755" s="47">
        <f t="shared" ca="1" si="246"/>
        <v>983412697323.09753</v>
      </c>
      <c r="G1755" s="47">
        <f t="shared" ca="1" si="247"/>
        <v>28300133602679.074</v>
      </c>
      <c r="H1755" s="47">
        <f t="shared" ca="1" si="248"/>
        <v>28300133602679.074</v>
      </c>
      <c r="I1755" s="47">
        <f t="shared" ca="1" si="249"/>
        <v>33685063984774.035</v>
      </c>
      <c r="J1755" s="47">
        <f t="shared" ca="1" si="250"/>
        <v>1708983972314.3008</v>
      </c>
      <c r="K1755" s="48">
        <f t="shared" ca="1" si="251"/>
        <v>19.710579227468017</v>
      </c>
    </row>
    <row r="1756" spans="2:11" ht="15" customHeight="1" x14ac:dyDescent="0.35">
      <c r="B1756" s="5">
        <v>1735</v>
      </c>
      <c r="C1756" s="46">
        <f t="shared" ca="1" si="243"/>
        <v>3.1687074815610177</v>
      </c>
      <c r="D1756" s="47">
        <f t="shared" ca="1" si="244"/>
        <v>6275685007.3544254</v>
      </c>
      <c r="E1756" s="47">
        <f t="shared" ca="1" si="245"/>
        <v>25197832933250.871</v>
      </c>
      <c r="F1756" s="47">
        <f t="shared" ca="1" si="246"/>
        <v>6337698026729.2207</v>
      </c>
      <c r="G1756" s="47">
        <f t="shared" ca="1" si="247"/>
        <v>20168819480270.887</v>
      </c>
      <c r="H1756" s="47">
        <f t="shared" ca="1" si="248"/>
        <v>25197832933250.871</v>
      </c>
      <c r="I1756" s="47">
        <f t="shared" ca="1" si="249"/>
        <v>29392840660908.367</v>
      </c>
      <c r="J1756" s="47">
        <f t="shared" ca="1" si="250"/>
        <v>2364459240877.7661</v>
      </c>
      <c r="K1756" s="48">
        <f t="shared" ca="1" si="251"/>
        <v>12.43110481785965</v>
      </c>
    </row>
    <row r="1757" spans="2:11" ht="15" customHeight="1" x14ac:dyDescent="0.35">
      <c r="B1757" s="5">
        <v>1736</v>
      </c>
      <c r="C1757" s="46">
        <f t="shared" ca="1" si="243"/>
        <v>3.2767722551282423</v>
      </c>
      <c r="D1757" s="47">
        <f t="shared" ca="1" si="244"/>
        <v>8838871902.6135864</v>
      </c>
      <c r="E1757" s="47">
        <f t="shared" ca="1" si="245"/>
        <v>55446659578479.25</v>
      </c>
      <c r="F1757" s="47">
        <f t="shared" ca="1" si="246"/>
        <v>2799074293994.6782</v>
      </c>
      <c r="G1757" s="47">
        <f t="shared" ca="1" si="247"/>
        <v>2957047340584.042</v>
      </c>
      <c r="H1757" s="47">
        <f t="shared" ca="1" si="248"/>
        <v>2799074293994.6782</v>
      </c>
      <c r="I1757" s="47">
        <f t="shared" ca="1" si="249"/>
        <v>3474425107027.9805</v>
      </c>
      <c r="J1757" s="47">
        <f t="shared" ca="1" si="250"/>
        <v>1734223679548.2188</v>
      </c>
      <c r="K1757" s="48">
        <f t="shared" ca="1" si="251"/>
        <v>2.0034469301751781</v>
      </c>
    </row>
    <row r="1758" spans="2:11" ht="15" customHeight="1" x14ac:dyDescent="0.35">
      <c r="B1758" s="5">
        <v>1737</v>
      </c>
      <c r="C1758" s="46">
        <f t="shared" ca="1" si="243"/>
        <v>2.484357826117483</v>
      </c>
      <c r="D1758" s="47">
        <f t="shared" ca="1" si="244"/>
        <v>1683231577.0749164</v>
      </c>
      <c r="E1758" s="47">
        <f t="shared" ca="1" si="245"/>
        <v>5285488634069.5996</v>
      </c>
      <c r="F1758" s="47">
        <f t="shared" ca="1" si="246"/>
        <v>4325922706187.2344</v>
      </c>
      <c r="G1758" s="47">
        <f t="shared" ca="1" si="247"/>
        <v>2688061450016.2598</v>
      </c>
      <c r="H1758" s="47">
        <f t="shared" ca="1" si="248"/>
        <v>2688061450016.2598</v>
      </c>
      <c r="I1758" s="47">
        <f t="shared" ca="1" si="249"/>
        <v>7165209375388.4238</v>
      </c>
      <c r="J1758" s="47">
        <f t="shared" ca="1" si="250"/>
        <v>1548294771753.2212</v>
      </c>
      <c r="K1758" s="48">
        <f t="shared" ca="1" si="251"/>
        <v>4.6278069952240779</v>
      </c>
    </row>
    <row r="1759" spans="2:11" ht="15" customHeight="1" x14ac:dyDescent="0.35">
      <c r="B1759" s="5">
        <v>1738</v>
      </c>
      <c r="C1759" s="46">
        <f t="shared" ca="1" si="243"/>
        <v>2.7200467212739277</v>
      </c>
      <c r="D1759" s="47">
        <f t="shared" ca="1" si="244"/>
        <v>2393612418.3208122</v>
      </c>
      <c r="E1759" s="47">
        <f t="shared" ca="1" si="245"/>
        <v>7152661885217.9648</v>
      </c>
      <c r="F1759" s="47">
        <f t="shared" ca="1" si="246"/>
        <v>668461138053.76709</v>
      </c>
      <c r="G1759" s="47">
        <f t="shared" ca="1" si="247"/>
        <v>109951589355.82561</v>
      </c>
      <c r="H1759" s="47">
        <f t="shared" ca="1" si="248"/>
        <v>109951589355.82561</v>
      </c>
      <c r="I1759" s="47">
        <f t="shared" ca="1" si="249"/>
        <v>979093388837.32288</v>
      </c>
      <c r="J1759" s="47">
        <f t="shared" ca="1" si="250"/>
        <v>1270830211959.7495</v>
      </c>
      <c r="K1759" s="48">
        <f t="shared" ca="1" si="251"/>
        <v>0.77043603435226904</v>
      </c>
    </row>
    <row r="1760" spans="2:11" ht="15" customHeight="1" x14ac:dyDescent="0.35">
      <c r="B1760" s="5">
        <v>1739</v>
      </c>
      <c r="C1760" s="46">
        <f t="shared" ca="1" si="243"/>
        <v>3.3336834228205126</v>
      </c>
      <c r="D1760" s="47">
        <f t="shared" ca="1" si="244"/>
        <v>9293359334.4306602</v>
      </c>
      <c r="E1760" s="47">
        <f t="shared" ca="1" si="245"/>
        <v>27010802197773.441</v>
      </c>
      <c r="F1760" s="47">
        <f t="shared" ca="1" si="246"/>
        <v>1190529316847.3652</v>
      </c>
      <c r="G1760" s="47">
        <f t="shared" ca="1" si="247"/>
        <v>1490584277591.6833</v>
      </c>
      <c r="H1760" s="47">
        <f t="shared" ca="1" si="248"/>
        <v>27010802197773.441</v>
      </c>
      <c r="I1760" s="47">
        <f t="shared" ca="1" si="249"/>
        <v>60306866524562.133</v>
      </c>
      <c r="J1760" s="47">
        <f t="shared" ca="1" si="250"/>
        <v>1352074192277.2617</v>
      </c>
      <c r="K1760" s="48">
        <f t="shared" ca="1" si="251"/>
        <v>44.6032228623408</v>
      </c>
    </row>
    <row r="1761" spans="2:11" ht="15" customHeight="1" x14ac:dyDescent="0.35">
      <c r="B1761" s="5">
        <v>1740</v>
      </c>
      <c r="C1761" s="46">
        <f t="shared" ca="1" si="243"/>
        <v>3.1620615625698236</v>
      </c>
      <c r="D1761" s="47">
        <f t="shared" ca="1" si="244"/>
        <v>5370762437.9082232</v>
      </c>
      <c r="E1761" s="47">
        <f t="shared" ca="1" si="245"/>
        <v>13338705244605.059</v>
      </c>
      <c r="F1761" s="47">
        <f t="shared" ca="1" si="246"/>
        <v>1189099428758.7427</v>
      </c>
      <c r="G1761" s="47">
        <f t="shared" ca="1" si="247"/>
        <v>8370088924878.6064</v>
      </c>
      <c r="H1761" s="47">
        <f t="shared" ca="1" si="248"/>
        <v>1189099428758.7427</v>
      </c>
      <c r="I1761" s="47">
        <f t="shared" ca="1" si="249"/>
        <v>4993090608763.8467</v>
      </c>
      <c r="J1761" s="47">
        <f t="shared" ca="1" si="250"/>
        <v>1186274015539.5977</v>
      </c>
      <c r="K1761" s="48">
        <f t="shared" ca="1" si="251"/>
        <v>4.2090533412658893</v>
      </c>
    </row>
    <row r="1762" spans="2:11" ht="15" customHeight="1" x14ac:dyDescent="0.35">
      <c r="B1762" s="5">
        <v>1741</v>
      </c>
      <c r="C1762" s="46">
        <f t="shared" ca="1" si="243"/>
        <v>3.0613821670268542</v>
      </c>
      <c r="D1762" s="47">
        <f t="shared" ca="1" si="244"/>
        <v>5830175336.6143818</v>
      </c>
      <c r="E1762" s="47">
        <f t="shared" ca="1" si="245"/>
        <v>14605407576258.428</v>
      </c>
      <c r="F1762" s="47">
        <f t="shared" ca="1" si="246"/>
        <v>3721407019171.4644</v>
      </c>
      <c r="G1762" s="47">
        <f t="shared" ca="1" si="247"/>
        <v>6598779712127.3838</v>
      </c>
      <c r="H1762" s="47">
        <f t="shared" ca="1" si="248"/>
        <v>14605407576258.428</v>
      </c>
      <c r="I1762" s="47">
        <f t="shared" ca="1" si="249"/>
        <v>643212024664.29895</v>
      </c>
      <c r="J1762" s="47">
        <f t="shared" ca="1" si="250"/>
        <v>870540351373.27698</v>
      </c>
      <c r="K1762" s="48">
        <f t="shared" ca="1" si="251"/>
        <v>0.73886526184528067</v>
      </c>
    </row>
    <row r="1763" spans="2:11" ht="15" customHeight="1" x14ac:dyDescent="0.35">
      <c r="B1763" s="5">
        <v>1742</v>
      </c>
      <c r="C1763" s="46">
        <f t="shared" ca="1" si="243"/>
        <v>3.277436211750957</v>
      </c>
      <c r="D1763" s="47">
        <f t="shared" ca="1" si="244"/>
        <v>7428945502.063529</v>
      </c>
      <c r="E1763" s="47">
        <f t="shared" ca="1" si="245"/>
        <v>28123297353803.133</v>
      </c>
      <c r="F1763" s="47">
        <f t="shared" ca="1" si="246"/>
        <v>1578450933092.4182</v>
      </c>
      <c r="G1763" s="47">
        <f t="shared" ca="1" si="247"/>
        <v>95143041999342.156</v>
      </c>
      <c r="H1763" s="47">
        <f t="shared" ca="1" si="248"/>
        <v>28123297353803.133</v>
      </c>
      <c r="I1763" s="47">
        <f t="shared" ca="1" si="249"/>
        <v>24605810741104.539</v>
      </c>
      <c r="J1763" s="47">
        <f t="shared" ca="1" si="250"/>
        <v>1663231466105.1716</v>
      </c>
      <c r="K1763" s="48">
        <f t="shared" ca="1" si="251"/>
        <v>14.79397861484941</v>
      </c>
    </row>
    <row r="1764" spans="2:11" ht="15" customHeight="1" x14ac:dyDescent="0.35">
      <c r="B1764" s="5">
        <v>1743</v>
      </c>
      <c r="C1764" s="46">
        <f t="shared" ca="1" si="243"/>
        <v>3.008989839820789</v>
      </c>
      <c r="D1764" s="47">
        <f t="shared" ca="1" si="244"/>
        <v>4030300574.0492659</v>
      </c>
      <c r="E1764" s="47">
        <f t="shared" ca="1" si="245"/>
        <v>10657499460847.029</v>
      </c>
      <c r="F1764" s="47">
        <f t="shared" ca="1" si="246"/>
        <v>1796280821939.3503</v>
      </c>
      <c r="G1764" s="47">
        <f t="shared" ca="1" si="247"/>
        <v>3619652975582.6191</v>
      </c>
      <c r="H1764" s="47">
        <f t="shared" ca="1" si="248"/>
        <v>3619652975582.6191</v>
      </c>
      <c r="I1764" s="47">
        <f t="shared" ca="1" si="249"/>
        <v>1154096186349.0925</v>
      </c>
      <c r="J1764" s="47">
        <f t="shared" ca="1" si="250"/>
        <v>1339991863693.8748</v>
      </c>
      <c r="K1764" s="48">
        <f t="shared" ca="1" si="251"/>
        <v>0.86127104023427814</v>
      </c>
    </row>
    <row r="1765" spans="2:11" ht="15" customHeight="1" x14ac:dyDescent="0.35">
      <c r="B1765" s="5">
        <v>1744</v>
      </c>
      <c r="C1765" s="46">
        <f t="shared" ca="1" si="243"/>
        <v>3.1332585835897895</v>
      </c>
      <c r="D1765" s="47">
        <f t="shared" ca="1" si="244"/>
        <v>7225142638.8254395</v>
      </c>
      <c r="E1765" s="47">
        <f t="shared" ca="1" si="245"/>
        <v>35077574067454.313</v>
      </c>
      <c r="F1765" s="47">
        <f t="shared" ca="1" si="246"/>
        <v>6728717212397.2793</v>
      </c>
      <c r="G1765" s="47">
        <f t="shared" ca="1" si="247"/>
        <v>3677869459547.7778</v>
      </c>
      <c r="H1765" s="47">
        <f t="shared" ca="1" si="248"/>
        <v>35077574067454.313</v>
      </c>
      <c r="I1765" s="47">
        <f t="shared" ca="1" si="249"/>
        <v>574518258577.67163</v>
      </c>
      <c r="J1765" s="47">
        <f t="shared" ca="1" si="250"/>
        <v>1441375729704.324</v>
      </c>
      <c r="K1765" s="48">
        <f t="shared" ca="1" si="251"/>
        <v>0.39859021262660305</v>
      </c>
    </row>
    <row r="1766" spans="2:11" ht="15" customHeight="1" x14ac:dyDescent="0.35">
      <c r="B1766" s="5">
        <v>1745</v>
      </c>
      <c r="C1766" s="46">
        <f t="shared" ca="1" si="243"/>
        <v>2.4071267990658276</v>
      </c>
      <c r="D1766" s="47">
        <f t="shared" ca="1" si="244"/>
        <v>1370826865.1129644</v>
      </c>
      <c r="E1766" s="47">
        <f t="shared" ca="1" si="245"/>
        <v>5166372483558.0459</v>
      </c>
      <c r="F1766" s="47">
        <f t="shared" ca="1" si="246"/>
        <v>302610547570.86407</v>
      </c>
      <c r="G1766" s="47">
        <f t="shared" ca="1" si="247"/>
        <v>12547788105948.879</v>
      </c>
      <c r="H1766" s="47">
        <f t="shared" ca="1" si="248"/>
        <v>5166372483558.0459</v>
      </c>
      <c r="I1766" s="47">
        <f t="shared" ca="1" si="249"/>
        <v>853730835642.78381</v>
      </c>
      <c r="J1766" s="47">
        <f t="shared" ca="1" si="250"/>
        <v>2028203463849.3345</v>
      </c>
      <c r="K1766" s="48">
        <f t="shared" ca="1" si="251"/>
        <v>0.42092958170108097</v>
      </c>
    </row>
    <row r="1767" spans="2:11" ht="15" customHeight="1" x14ac:dyDescent="0.35">
      <c r="B1767" s="5">
        <v>1746</v>
      </c>
      <c r="C1767" s="46">
        <f t="shared" ca="1" si="243"/>
        <v>3.2629137675863231</v>
      </c>
      <c r="D1767" s="47">
        <f t="shared" ca="1" si="244"/>
        <v>8151831611.0357342</v>
      </c>
      <c r="E1767" s="47">
        <f t="shared" ca="1" si="245"/>
        <v>51446674499039.922</v>
      </c>
      <c r="F1767" s="47">
        <f t="shared" ca="1" si="246"/>
        <v>4453731696087.6875</v>
      </c>
      <c r="G1767" s="47">
        <f t="shared" ca="1" si="247"/>
        <v>24840875582884.625</v>
      </c>
      <c r="H1767" s="47">
        <f t="shared" ca="1" si="248"/>
        <v>51446674499039.922</v>
      </c>
      <c r="I1767" s="47">
        <f t="shared" ca="1" si="249"/>
        <v>26733763902000.652</v>
      </c>
      <c r="J1767" s="47">
        <f t="shared" ca="1" si="250"/>
        <v>1840363310992.9885</v>
      </c>
      <c r="K1767" s="48">
        <f t="shared" ca="1" si="251"/>
        <v>14.526351260271621</v>
      </c>
    </row>
    <row r="1768" spans="2:11" ht="15" customHeight="1" x14ac:dyDescent="0.35">
      <c r="B1768" s="5">
        <v>1747</v>
      </c>
      <c r="C1768" s="46">
        <f t="shared" ca="1" si="243"/>
        <v>3.2180486330514211</v>
      </c>
      <c r="D1768" s="47">
        <f t="shared" ca="1" si="244"/>
        <v>6791610830.0433826</v>
      </c>
      <c r="E1768" s="47">
        <f t="shared" ca="1" si="245"/>
        <v>81315011273525.922</v>
      </c>
      <c r="F1768" s="47">
        <f t="shared" ca="1" si="246"/>
        <v>1083371463111.5001</v>
      </c>
      <c r="G1768" s="47">
        <f t="shared" ca="1" si="247"/>
        <v>1509682652576.8721</v>
      </c>
      <c r="H1768" s="47">
        <f t="shared" ca="1" si="248"/>
        <v>1083371463111.5001</v>
      </c>
      <c r="I1768" s="47">
        <f t="shared" ca="1" si="249"/>
        <v>3080521428975.7139</v>
      </c>
      <c r="J1768" s="47">
        <f t="shared" ca="1" si="250"/>
        <v>1830533849784.5244</v>
      </c>
      <c r="K1768" s="48">
        <f t="shared" ca="1" si="251"/>
        <v>1.6828541189436774</v>
      </c>
    </row>
    <row r="1769" spans="2:11" ht="15" customHeight="1" x14ac:dyDescent="0.35">
      <c r="B1769" s="5">
        <v>1748</v>
      </c>
      <c r="C1769" s="46">
        <f t="shared" ca="1" si="243"/>
        <v>3.1625989510965202</v>
      </c>
      <c r="D1769" s="47">
        <f t="shared" ca="1" si="244"/>
        <v>7461315298.1110897</v>
      </c>
      <c r="E1769" s="47">
        <f t="shared" ca="1" si="245"/>
        <v>31131257366177.789</v>
      </c>
      <c r="F1769" s="47">
        <f t="shared" ca="1" si="246"/>
        <v>5254631092259.5381</v>
      </c>
      <c r="G1769" s="47">
        <f t="shared" ca="1" si="247"/>
        <v>4564651684035.0879</v>
      </c>
      <c r="H1769" s="47">
        <f t="shared" ca="1" si="248"/>
        <v>31131257366177.789</v>
      </c>
      <c r="I1769" s="47">
        <f t="shared" ca="1" si="249"/>
        <v>4400542037145</v>
      </c>
      <c r="J1769" s="47">
        <f t="shared" ca="1" si="250"/>
        <v>992773190929.69128</v>
      </c>
      <c r="K1769" s="48">
        <f t="shared" ca="1" si="251"/>
        <v>4.4325754133470037</v>
      </c>
    </row>
    <row r="1770" spans="2:11" ht="15" customHeight="1" x14ac:dyDescent="0.35">
      <c r="B1770" s="5">
        <v>1749</v>
      </c>
      <c r="C1770" s="46">
        <f t="shared" ca="1" si="243"/>
        <v>4.2891775068671922</v>
      </c>
      <c r="D1770" s="47">
        <f t="shared" ca="1" si="244"/>
        <v>30113346402.989765</v>
      </c>
      <c r="E1770" s="47">
        <f t="shared" ca="1" si="245"/>
        <v>37451585760187.563</v>
      </c>
      <c r="F1770" s="47">
        <f t="shared" ca="1" si="246"/>
        <v>1897596285913.7168</v>
      </c>
      <c r="G1770" s="47">
        <f t="shared" ca="1" si="247"/>
        <v>868689812620.65808</v>
      </c>
      <c r="H1770" s="47">
        <f t="shared" ca="1" si="248"/>
        <v>868689812620.65808</v>
      </c>
      <c r="I1770" s="47">
        <f t="shared" ca="1" si="249"/>
        <v>22998925331265.078</v>
      </c>
      <c r="J1770" s="47">
        <f t="shared" ca="1" si="250"/>
        <v>1104864501491.0872</v>
      </c>
      <c r="K1770" s="48">
        <f t="shared" ca="1" si="251"/>
        <v>20.816059616565216</v>
      </c>
    </row>
    <row r="1771" spans="2:11" ht="15" customHeight="1" x14ac:dyDescent="0.35">
      <c r="B1771" s="5">
        <v>1750</v>
      </c>
      <c r="C1771" s="46">
        <f t="shared" ca="1" si="243"/>
        <v>3.3229740173733311</v>
      </c>
      <c r="D1771" s="47">
        <f t="shared" ca="1" si="244"/>
        <v>6919122143.2579718</v>
      </c>
      <c r="E1771" s="47">
        <f t="shared" ca="1" si="245"/>
        <v>17964512598890.406</v>
      </c>
      <c r="F1771" s="47">
        <f t="shared" ca="1" si="246"/>
        <v>3303666783809.4927</v>
      </c>
      <c r="G1771" s="47">
        <f t="shared" ca="1" si="247"/>
        <v>2379793788531.8579</v>
      </c>
      <c r="H1771" s="47">
        <f t="shared" ca="1" si="248"/>
        <v>2379793788531.8579</v>
      </c>
      <c r="I1771" s="47">
        <f t="shared" ca="1" si="249"/>
        <v>2047619641423.2329</v>
      </c>
      <c r="J1771" s="47">
        <f t="shared" ca="1" si="250"/>
        <v>1763126752206.502</v>
      </c>
      <c r="K1771" s="48">
        <f t="shared" ca="1" si="251"/>
        <v>1.1613570260111454</v>
      </c>
    </row>
    <row r="1772" spans="2:11" ht="15" customHeight="1" x14ac:dyDescent="0.35">
      <c r="B1772" s="5">
        <v>1751</v>
      </c>
      <c r="C1772" s="46">
        <f t="shared" ca="1" si="243"/>
        <v>3.0728562815645741</v>
      </c>
      <c r="D1772" s="47">
        <f t="shared" ca="1" si="244"/>
        <v>6120204252.3523216</v>
      </c>
      <c r="E1772" s="47">
        <f t="shared" ca="1" si="245"/>
        <v>5590458755539.209</v>
      </c>
      <c r="F1772" s="47">
        <f t="shared" ca="1" si="246"/>
        <v>16608943253815.279</v>
      </c>
      <c r="G1772" s="47">
        <f t="shared" ca="1" si="247"/>
        <v>12552602706511.061</v>
      </c>
      <c r="H1772" s="47">
        <f t="shared" ca="1" si="248"/>
        <v>16608943253815.279</v>
      </c>
      <c r="I1772" s="47">
        <f t="shared" ca="1" si="249"/>
        <v>3061906227120.7988</v>
      </c>
      <c r="J1772" s="47">
        <f t="shared" ca="1" si="250"/>
        <v>1145969750367.0242</v>
      </c>
      <c r="K1772" s="48">
        <f t="shared" ca="1" si="251"/>
        <v>2.6718909693210926</v>
      </c>
    </row>
    <row r="1773" spans="2:11" ht="15" customHeight="1" x14ac:dyDescent="0.35">
      <c r="B1773" s="5">
        <v>1752</v>
      </c>
      <c r="C1773" s="46">
        <f t="shared" ca="1" si="243"/>
        <v>2.126549758369944</v>
      </c>
      <c r="D1773" s="47">
        <f t="shared" ca="1" si="244"/>
        <v>971761807.9160198</v>
      </c>
      <c r="E1773" s="47">
        <f t="shared" ca="1" si="245"/>
        <v>2968071688226.0474</v>
      </c>
      <c r="F1773" s="47">
        <f t="shared" ca="1" si="246"/>
        <v>716971198144.58801</v>
      </c>
      <c r="G1773" s="47">
        <f t="shared" ca="1" si="247"/>
        <v>104467355773346.16</v>
      </c>
      <c r="H1773" s="47">
        <f t="shared" ca="1" si="248"/>
        <v>716971198144.58801</v>
      </c>
      <c r="I1773" s="47">
        <f t="shared" ca="1" si="249"/>
        <v>33462438393287.52</v>
      </c>
      <c r="J1773" s="47">
        <f t="shared" ca="1" si="250"/>
        <v>1217394751924.7278</v>
      </c>
      <c r="K1773" s="48">
        <f t="shared" ca="1" si="251"/>
        <v>27.486925124642333</v>
      </c>
    </row>
    <row r="1774" spans="2:11" ht="15" customHeight="1" x14ac:dyDescent="0.35">
      <c r="B1774" s="5">
        <v>1753</v>
      </c>
      <c r="C1774" s="46">
        <f t="shared" ca="1" si="243"/>
        <v>2.7842757405483423</v>
      </c>
      <c r="D1774" s="47">
        <f t="shared" ca="1" si="244"/>
        <v>2850578761.8414478</v>
      </c>
      <c r="E1774" s="47">
        <f t="shared" ca="1" si="245"/>
        <v>14143429769126.078</v>
      </c>
      <c r="F1774" s="47">
        <f t="shared" ca="1" si="246"/>
        <v>5892355615375.749</v>
      </c>
      <c r="G1774" s="47">
        <f t="shared" ca="1" si="247"/>
        <v>3106302905566.668</v>
      </c>
      <c r="H1774" s="47">
        <f t="shared" ca="1" si="248"/>
        <v>5892355615375.749</v>
      </c>
      <c r="I1774" s="47">
        <f t="shared" ca="1" si="249"/>
        <v>7490429837640.5078</v>
      </c>
      <c r="J1774" s="47">
        <f t="shared" ca="1" si="250"/>
        <v>1378216585954.7744</v>
      </c>
      <c r="K1774" s="48">
        <f t="shared" ca="1" si="251"/>
        <v>5.4348713503918775</v>
      </c>
    </row>
    <row r="1775" spans="2:11" ht="15" customHeight="1" x14ac:dyDescent="0.35">
      <c r="B1775" s="5">
        <v>1754</v>
      </c>
      <c r="C1775" s="46">
        <f t="shared" ca="1" si="243"/>
        <v>3.8439136223379524</v>
      </c>
      <c r="D1775" s="47">
        <f t="shared" ca="1" si="244"/>
        <v>16026239112.673672</v>
      </c>
      <c r="E1775" s="47">
        <f t="shared" ca="1" si="245"/>
        <v>83484701055009.844</v>
      </c>
      <c r="F1775" s="47">
        <f t="shared" ca="1" si="246"/>
        <v>7041172499017.6924</v>
      </c>
      <c r="G1775" s="47">
        <f t="shared" ca="1" si="247"/>
        <v>334117425898.16241</v>
      </c>
      <c r="H1775" s="47">
        <f t="shared" ca="1" si="248"/>
        <v>7041172499017.6924</v>
      </c>
      <c r="I1775" s="47">
        <f t="shared" ca="1" si="249"/>
        <v>8648278189803.9131</v>
      </c>
      <c r="J1775" s="47">
        <f t="shared" ca="1" si="250"/>
        <v>1128955009465.0793</v>
      </c>
      <c r="K1775" s="48">
        <f t="shared" ca="1" si="251"/>
        <v>7.6604276674423319</v>
      </c>
    </row>
    <row r="1776" spans="2:11" ht="15" customHeight="1" x14ac:dyDescent="0.35">
      <c r="B1776" s="5">
        <v>1755</v>
      </c>
      <c r="C1776" s="46">
        <f t="shared" ca="1" si="243"/>
        <v>3.349129851898895</v>
      </c>
      <c r="D1776" s="47">
        <f t="shared" ca="1" si="244"/>
        <v>7473263105.5658131</v>
      </c>
      <c r="E1776" s="47">
        <f t="shared" ca="1" si="245"/>
        <v>23987398390329.918</v>
      </c>
      <c r="F1776" s="47">
        <f t="shared" ca="1" si="246"/>
        <v>2206800653054.8667</v>
      </c>
      <c r="G1776" s="47">
        <f t="shared" ca="1" si="247"/>
        <v>2126840984324.3015</v>
      </c>
      <c r="H1776" s="47">
        <f t="shared" ca="1" si="248"/>
        <v>23987398390329.918</v>
      </c>
      <c r="I1776" s="47">
        <f t="shared" ca="1" si="249"/>
        <v>33098784315506.102</v>
      </c>
      <c r="J1776" s="47">
        <f t="shared" ca="1" si="250"/>
        <v>1974138200433.356</v>
      </c>
      <c r="K1776" s="48">
        <f t="shared" ca="1" si="251"/>
        <v>16.766194133845527</v>
      </c>
    </row>
    <row r="1777" spans="2:11" ht="15" customHeight="1" x14ac:dyDescent="0.35">
      <c r="B1777" s="5">
        <v>1756</v>
      </c>
      <c r="C1777" s="46">
        <f t="shared" ca="1" si="243"/>
        <v>3.6799953995038486</v>
      </c>
      <c r="D1777" s="47">
        <f t="shared" ca="1" si="244"/>
        <v>14781633898.691422</v>
      </c>
      <c r="E1777" s="47">
        <f t="shared" ca="1" si="245"/>
        <v>78663448965842.531</v>
      </c>
      <c r="F1777" s="47">
        <f t="shared" ca="1" si="246"/>
        <v>3071233557782.7271</v>
      </c>
      <c r="G1777" s="47">
        <f t="shared" ca="1" si="247"/>
        <v>864639833109.08972</v>
      </c>
      <c r="H1777" s="47">
        <f t="shared" ca="1" si="248"/>
        <v>3071233557782.7271</v>
      </c>
      <c r="I1777" s="47">
        <f t="shared" ca="1" si="249"/>
        <v>75223434243541.156</v>
      </c>
      <c r="J1777" s="47">
        <f t="shared" ca="1" si="250"/>
        <v>1069026133825.939</v>
      </c>
      <c r="K1777" s="48">
        <f t="shared" ca="1" si="251"/>
        <v>70.366319272592449</v>
      </c>
    </row>
    <row r="1778" spans="2:11" ht="15" customHeight="1" x14ac:dyDescent="0.35">
      <c r="B1778" s="5">
        <v>1757</v>
      </c>
      <c r="C1778" s="46">
        <f t="shared" ca="1" si="243"/>
        <v>2.771891071643525</v>
      </c>
      <c r="D1778" s="47">
        <f t="shared" ca="1" si="244"/>
        <v>3685812811.0967317</v>
      </c>
      <c r="E1778" s="47">
        <f t="shared" ca="1" si="245"/>
        <v>8284918517608.0117</v>
      </c>
      <c r="F1778" s="47">
        <f t="shared" ca="1" si="246"/>
        <v>4069056827308.6934</v>
      </c>
      <c r="G1778" s="47">
        <f t="shared" ca="1" si="247"/>
        <v>39546766636273.148</v>
      </c>
      <c r="H1778" s="47">
        <f t="shared" ca="1" si="248"/>
        <v>4069056827308.6934</v>
      </c>
      <c r="I1778" s="47">
        <f t="shared" ca="1" si="249"/>
        <v>15811993674382.664</v>
      </c>
      <c r="J1778" s="47">
        <f t="shared" ca="1" si="250"/>
        <v>1756157140030.5701</v>
      </c>
      <c r="K1778" s="48">
        <f t="shared" ca="1" si="251"/>
        <v>9.0037464837044254</v>
      </c>
    </row>
    <row r="1779" spans="2:11" ht="15" customHeight="1" x14ac:dyDescent="0.35">
      <c r="B1779" s="5">
        <v>1758</v>
      </c>
      <c r="C1779" s="46">
        <f t="shared" ca="1" si="243"/>
        <v>2.7265015273888094</v>
      </c>
      <c r="D1779" s="47">
        <f t="shared" ca="1" si="244"/>
        <v>3411624224.5618277</v>
      </c>
      <c r="E1779" s="47">
        <f t="shared" ca="1" si="245"/>
        <v>17373228646521.48</v>
      </c>
      <c r="F1779" s="47">
        <f t="shared" ca="1" si="246"/>
        <v>2637667587084.4399</v>
      </c>
      <c r="G1779" s="47">
        <f t="shared" ca="1" si="247"/>
        <v>1124035710105.1895</v>
      </c>
      <c r="H1779" s="47">
        <f t="shared" ca="1" si="248"/>
        <v>2637667587084.4399</v>
      </c>
      <c r="I1779" s="47">
        <f t="shared" ca="1" si="249"/>
        <v>12433231673585.961</v>
      </c>
      <c r="J1779" s="47">
        <f t="shared" ca="1" si="250"/>
        <v>1574976637224.521</v>
      </c>
      <c r="K1779" s="48">
        <f t="shared" ca="1" si="251"/>
        <v>7.8942324474706096</v>
      </c>
    </row>
    <row r="1780" spans="2:11" ht="15" customHeight="1" x14ac:dyDescent="0.35">
      <c r="B1780" s="5">
        <v>1759</v>
      </c>
      <c r="C1780" s="46">
        <f t="shared" ca="1" si="243"/>
        <v>3.8810730577770909</v>
      </c>
      <c r="D1780" s="47">
        <f t="shared" ca="1" si="244"/>
        <v>17005231708.434242</v>
      </c>
      <c r="E1780" s="47">
        <f t="shared" ca="1" si="245"/>
        <v>41034437068824.031</v>
      </c>
      <c r="F1780" s="47">
        <f t="shared" ca="1" si="246"/>
        <v>24354611007582.652</v>
      </c>
      <c r="G1780" s="47">
        <f t="shared" ca="1" si="247"/>
        <v>25151821412185.621</v>
      </c>
      <c r="H1780" s="47">
        <f t="shared" ca="1" si="248"/>
        <v>25151821412185.621</v>
      </c>
      <c r="I1780" s="47">
        <f t="shared" ca="1" si="249"/>
        <v>2775860173534.0127</v>
      </c>
      <c r="J1780" s="47">
        <f t="shared" ca="1" si="250"/>
        <v>737786407036.54932</v>
      </c>
      <c r="K1780" s="48">
        <f t="shared" ca="1" si="251"/>
        <v>3.7624170722848502</v>
      </c>
    </row>
    <row r="1781" spans="2:11" ht="15" customHeight="1" x14ac:dyDescent="0.35">
      <c r="B1781" s="5">
        <v>1760</v>
      </c>
      <c r="C1781" s="46">
        <f t="shared" ca="1" si="243"/>
        <v>2.7724819713286184</v>
      </c>
      <c r="D1781" s="47">
        <f t="shared" ca="1" si="244"/>
        <v>2703124217.8763723</v>
      </c>
      <c r="E1781" s="47">
        <f t="shared" ca="1" si="245"/>
        <v>24923139670726.742</v>
      </c>
      <c r="F1781" s="47">
        <f t="shared" ca="1" si="246"/>
        <v>5078275935393.5459</v>
      </c>
      <c r="G1781" s="47">
        <f t="shared" ca="1" si="247"/>
        <v>3000012668210.873</v>
      </c>
      <c r="H1781" s="47">
        <f t="shared" ca="1" si="248"/>
        <v>24923139670726.742</v>
      </c>
      <c r="I1781" s="47">
        <f t="shared" ca="1" si="249"/>
        <v>21975213675696.582</v>
      </c>
      <c r="J1781" s="47">
        <f t="shared" ca="1" si="250"/>
        <v>2259429143008.7603</v>
      </c>
      <c r="K1781" s="48">
        <f t="shared" ca="1" si="251"/>
        <v>9.7260025806489203</v>
      </c>
    </row>
    <row r="1782" spans="2:11" ht="15" customHeight="1" x14ac:dyDescent="0.35">
      <c r="B1782" s="5">
        <v>1761</v>
      </c>
      <c r="C1782" s="46">
        <f t="shared" ca="1" si="243"/>
        <v>2.3854500153395013</v>
      </c>
      <c r="D1782" s="47">
        <f t="shared" ca="1" si="244"/>
        <v>1809681054.8832376</v>
      </c>
      <c r="E1782" s="47">
        <f t="shared" ca="1" si="245"/>
        <v>7141863254837.2344</v>
      </c>
      <c r="F1782" s="47">
        <f t="shared" ca="1" si="246"/>
        <v>4220209406135.7358</v>
      </c>
      <c r="G1782" s="47">
        <f t="shared" ca="1" si="247"/>
        <v>492236609443.73303</v>
      </c>
      <c r="H1782" s="47">
        <f t="shared" ca="1" si="248"/>
        <v>4220209406135.7358</v>
      </c>
      <c r="I1782" s="47">
        <f t="shared" ca="1" si="249"/>
        <v>791987219391.05847</v>
      </c>
      <c r="J1782" s="47">
        <f t="shared" ca="1" si="250"/>
        <v>1178532432386.845</v>
      </c>
      <c r="K1782" s="48">
        <f t="shared" ca="1" si="251"/>
        <v>0.67201139113929298</v>
      </c>
    </row>
    <row r="1783" spans="2:11" ht="15" customHeight="1" x14ac:dyDescent="0.35">
      <c r="B1783" s="5">
        <v>1762</v>
      </c>
      <c r="C1783" s="46">
        <f t="shared" ca="1" si="243"/>
        <v>3.2565129182222847</v>
      </c>
      <c r="D1783" s="47">
        <f t="shared" ca="1" si="244"/>
        <v>6019144680.7517319</v>
      </c>
      <c r="E1783" s="47">
        <f t="shared" ca="1" si="245"/>
        <v>31138429836879.434</v>
      </c>
      <c r="F1783" s="47">
        <f t="shared" ca="1" si="246"/>
        <v>1714123073906.9915</v>
      </c>
      <c r="G1783" s="47">
        <f t="shared" ca="1" si="247"/>
        <v>206638909720.57343</v>
      </c>
      <c r="H1783" s="47">
        <f t="shared" ca="1" si="248"/>
        <v>31138429836879.434</v>
      </c>
      <c r="I1783" s="47">
        <f t="shared" ca="1" si="249"/>
        <v>9707396629687.3867</v>
      </c>
      <c r="J1783" s="47">
        <f t="shared" ca="1" si="250"/>
        <v>1628156342973.3518</v>
      </c>
      <c r="K1783" s="48">
        <f t="shared" ca="1" si="251"/>
        <v>5.9622017698617711</v>
      </c>
    </row>
    <row r="1784" spans="2:11" ht="15" customHeight="1" x14ac:dyDescent="0.35">
      <c r="B1784" s="5">
        <v>1763</v>
      </c>
      <c r="C1784" s="46">
        <f t="shared" ca="1" si="243"/>
        <v>2.3358740067178392</v>
      </c>
      <c r="D1784" s="47">
        <f t="shared" ca="1" si="244"/>
        <v>1211584087.2783995</v>
      </c>
      <c r="E1784" s="47">
        <f t="shared" ca="1" si="245"/>
        <v>9009028856987.0117</v>
      </c>
      <c r="F1784" s="47">
        <f t="shared" ca="1" si="246"/>
        <v>3653854929513.915</v>
      </c>
      <c r="G1784" s="47">
        <f t="shared" ca="1" si="247"/>
        <v>99954945358763.547</v>
      </c>
      <c r="H1784" s="47">
        <f t="shared" ca="1" si="248"/>
        <v>9009028856987.0117</v>
      </c>
      <c r="I1784" s="47">
        <f t="shared" ca="1" si="249"/>
        <v>9707730634607.3828</v>
      </c>
      <c r="J1784" s="47">
        <f t="shared" ca="1" si="250"/>
        <v>1053931245624.384</v>
      </c>
      <c r="K1784" s="48">
        <f t="shared" ca="1" si="251"/>
        <v>9.2109714698288503</v>
      </c>
    </row>
    <row r="1785" spans="2:11" ht="15" customHeight="1" x14ac:dyDescent="0.35">
      <c r="B1785" s="5">
        <v>1764</v>
      </c>
      <c r="C1785" s="46">
        <f t="shared" ca="1" si="243"/>
        <v>3.2094488124964871</v>
      </c>
      <c r="D1785" s="47">
        <f t="shared" ca="1" si="244"/>
        <v>7540363175.8127356</v>
      </c>
      <c r="E1785" s="47">
        <f t="shared" ca="1" si="245"/>
        <v>38999012839681.43</v>
      </c>
      <c r="F1785" s="47">
        <f t="shared" ca="1" si="246"/>
        <v>36035424268916.344</v>
      </c>
      <c r="G1785" s="47">
        <f t="shared" ca="1" si="247"/>
        <v>3089999276076.8706</v>
      </c>
      <c r="H1785" s="47">
        <f t="shared" ca="1" si="248"/>
        <v>38999012839681.43</v>
      </c>
      <c r="I1785" s="47">
        <f t="shared" ca="1" si="249"/>
        <v>13030341235514.197</v>
      </c>
      <c r="J1785" s="47">
        <f t="shared" ca="1" si="250"/>
        <v>1582997892151.8142</v>
      </c>
      <c r="K1785" s="48">
        <f t="shared" ca="1" si="251"/>
        <v>8.2314330929409412</v>
      </c>
    </row>
    <row r="1786" spans="2:11" ht="15" customHeight="1" x14ac:dyDescent="0.35">
      <c r="B1786" s="5">
        <v>1765</v>
      </c>
      <c r="C1786" s="46">
        <f t="shared" ca="1" si="243"/>
        <v>3.0353302234605741</v>
      </c>
      <c r="D1786" s="47">
        <f t="shared" ca="1" si="244"/>
        <v>4510179787.0837898</v>
      </c>
      <c r="E1786" s="47">
        <f t="shared" ca="1" si="245"/>
        <v>7756803355774.1963</v>
      </c>
      <c r="F1786" s="47">
        <f t="shared" ca="1" si="246"/>
        <v>1150048258776.6853</v>
      </c>
      <c r="G1786" s="47">
        <f t="shared" ca="1" si="247"/>
        <v>91021987228541.359</v>
      </c>
      <c r="H1786" s="47">
        <f t="shared" ca="1" si="248"/>
        <v>7756803355774.1963</v>
      </c>
      <c r="I1786" s="47">
        <f t="shared" ca="1" si="249"/>
        <v>5567628725688.6768</v>
      </c>
      <c r="J1786" s="47">
        <f t="shared" ca="1" si="250"/>
        <v>866588469166.60815</v>
      </c>
      <c r="K1786" s="48">
        <f t="shared" ca="1" si="251"/>
        <v>6.4247666842867464</v>
      </c>
    </row>
    <row r="1787" spans="2:11" ht="15" customHeight="1" x14ac:dyDescent="0.35">
      <c r="B1787" s="5">
        <v>1766</v>
      </c>
      <c r="C1787" s="46">
        <f t="shared" ca="1" si="243"/>
        <v>2.0262692270920093</v>
      </c>
      <c r="D1787" s="47">
        <f t="shared" ca="1" si="244"/>
        <v>694107029.99764061</v>
      </c>
      <c r="E1787" s="47">
        <f t="shared" ca="1" si="245"/>
        <v>2794330739746.1421</v>
      </c>
      <c r="F1787" s="47">
        <f t="shared" ca="1" si="246"/>
        <v>181648049193.03925</v>
      </c>
      <c r="G1787" s="47">
        <f t="shared" ca="1" si="247"/>
        <v>24356037845978.586</v>
      </c>
      <c r="H1787" s="47">
        <f t="shared" ca="1" si="248"/>
        <v>24356037845978.586</v>
      </c>
      <c r="I1787" s="47">
        <f t="shared" ca="1" si="249"/>
        <v>46374434499499.859</v>
      </c>
      <c r="J1787" s="47">
        <f t="shared" ca="1" si="250"/>
        <v>885094009068.19849</v>
      </c>
      <c r="K1787" s="48">
        <f t="shared" ca="1" si="251"/>
        <v>52.394925312308381</v>
      </c>
    </row>
    <row r="1788" spans="2:11" ht="15" customHeight="1" x14ac:dyDescent="0.35">
      <c r="B1788" s="5">
        <v>1767</v>
      </c>
      <c r="C1788" s="46">
        <f t="shared" ca="1" si="243"/>
        <v>2.4381978880308326</v>
      </c>
      <c r="D1788" s="47">
        <f t="shared" ca="1" si="244"/>
        <v>1838591238.0081923</v>
      </c>
      <c r="E1788" s="47">
        <f t="shared" ca="1" si="245"/>
        <v>5439649222635.5742</v>
      </c>
      <c r="F1788" s="47">
        <f t="shared" ca="1" si="246"/>
        <v>1047142153370.3914</v>
      </c>
      <c r="G1788" s="47">
        <f t="shared" ca="1" si="247"/>
        <v>9902065802707.6094</v>
      </c>
      <c r="H1788" s="47">
        <f t="shared" ca="1" si="248"/>
        <v>9902065802707.6094</v>
      </c>
      <c r="I1788" s="47">
        <f t="shared" ca="1" si="249"/>
        <v>34339959103724.398</v>
      </c>
      <c r="J1788" s="47">
        <f t="shared" ca="1" si="250"/>
        <v>1336904106791.9956</v>
      </c>
      <c r="K1788" s="48">
        <f t="shared" ca="1" si="251"/>
        <v>25.686179681297993</v>
      </c>
    </row>
    <row r="1789" spans="2:11" ht="15" customHeight="1" x14ac:dyDescent="0.35">
      <c r="B1789" s="5">
        <v>1768</v>
      </c>
      <c r="C1789" s="46">
        <f t="shared" ca="1" si="243"/>
        <v>2.9080004841903606</v>
      </c>
      <c r="D1789" s="47">
        <f t="shared" ca="1" si="244"/>
        <v>4242755694.3346977</v>
      </c>
      <c r="E1789" s="47">
        <f t="shared" ca="1" si="245"/>
        <v>17245561562645.971</v>
      </c>
      <c r="F1789" s="47">
        <f t="shared" ca="1" si="246"/>
        <v>2810339311457.103</v>
      </c>
      <c r="G1789" s="47">
        <f t="shared" ca="1" si="247"/>
        <v>4797521167249.5791</v>
      </c>
      <c r="H1789" s="47">
        <f t="shared" ca="1" si="248"/>
        <v>17245561562645.971</v>
      </c>
      <c r="I1789" s="47">
        <f t="shared" ca="1" si="249"/>
        <v>995236971864.75452</v>
      </c>
      <c r="J1789" s="47">
        <f t="shared" ca="1" si="250"/>
        <v>1693971935243.0151</v>
      </c>
      <c r="K1789" s="48">
        <f t="shared" ca="1" si="251"/>
        <v>0.58751680069716095</v>
      </c>
    </row>
    <row r="1790" spans="2:11" ht="15" customHeight="1" x14ac:dyDescent="0.35">
      <c r="B1790" s="5">
        <v>1769</v>
      </c>
      <c r="C1790" s="46">
        <f t="shared" ca="1" si="243"/>
        <v>3.7528500479621716</v>
      </c>
      <c r="D1790" s="47">
        <f t="shared" ca="1" si="244"/>
        <v>12049132093.241316</v>
      </c>
      <c r="E1790" s="47">
        <f t="shared" ca="1" si="245"/>
        <v>60465284571538.695</v>
      </c>
      <c r="F1790" s="47">
        <f t="shared" ca="1" si="246"/>
        <v>5152494879792.3936</v>
      </c>
      <c r="G1790" s="47">
        <f t="shared" ca="1" si="247"/>
        <v>119773821472198.11</v>
      </c>
      <c r="H1790" s="47">
        <f t="shared" ca="1" si="248"/>
        <v>60465284571538.695</v>
      </c>
      <c r="I1790" s="47">
        <f t="shared" ca="1" si="249"/>
        <v>2185080616364.7385</v>
      </c>
      <c r="J1790" s="47">
        <f t="shared" ca="1" si="250"/>
        <v>1363648143687.228</v>
      </c>
      <c r="K1790" s="48">
        <f t="shared" ca="1" si="251"/>
        <v>1.6023786095263572</v>
      </c>
    </row>
    <row r="1791" spans="2:11" ht="15" customHeight="1" x14ac:dyDescent="0.35">
      <c r="B1791" s="5">
        <v>1770</v>
      </c>
      <c r="C1791" s="46">
        <f t="shared" ca="1" si="243"/>
        <v>3.0783663601940878</v>
      </c>
      <c r="D1791" s="47">
        <f t="shared" ca="1" si="244"/>
        <v>4725865619.2943735</v>
      </c>
      <c r="E1791" s="47">
        <f t="shared" ca="1" si="245"/>
        <v>37008971822534.477</v>
      </c>
      <c r="F1791" s="47">
        <f t="shared" ca="1" si="246"/>
        <v>2328950396007.9805</v>
      </c>
      <c r="G1791" s="47">
        <f t="shared" ca="1" si="247"/>
        <v>4936088734910.7109</v>
      </c>
      <c r="H1791" s="47">
        <f t="shared" ca="1" si="248"/>
        <v>2328950396007.9805</v>
      </c>
      <c r="I1791" s="47">
        <f t="shared" ca="1" si="249"/>
        <v>11742415287512.359</v>
      </c>
      <c r="J1791" s="47">
        <f t="shared" ca="1" si="250"/>
        <v>946691534024.18298</v>
      </c>
      <c r="K1791" s="48">
        <f t="shared" ca="1" si="251"/>
        <v>12.403633987934661</v>
      </c>
    </row>
    <row r="1792" spans="2:11" ht="15" customHeight="1" x14ac:dyDescent="0.35">
      <c r="B1792" s="5">
        <v>1771</v>
      </c>
      <c r="C1792" s="46">
        <f t="shared" ca="1" si="243"/>
        <v>3.1501513474146972</v>
      </c>
      <c r="D1792" s="47">
        <f t="shared" ca="1" si="244"/>
        <v>6605581767.4199495</v>
      </c>
      <c r="E1792" s="47">
        <f t="shared" ca="1" si="245"/>
        <v>26427704839751.652</v>
      </c>
      <c r="F1792" s="47">
        <f t="shared" ca="1" si="246"/>
        <v>5647240551338.0986</v>
      </c>
      <c r="G1792" s="47">
        <f t="shared" ca="1" si="247"/>
        <v>875439673469.85071</v>
      </c>
      <c r="H1792" s="47">
        <f t="shared" ca="1" si="248"/>
        <v>5647240551338.0986</v>
      </c>
      <c r="I1792" s="47">
        <f t="shared" ca="1" si="249"/>
        <v>3017801735160.3848</v>
      </c>
      <c r="J1792" s="47">
        <f t="shared" ca="1" si="250"/>
        <v>986754784198.05603</v>
      </c>
      <c r="K1792" s="48">
        <f t="shared" ca="1" si="251"/>
        <v>3.0583097072217167</v>
      </c>
    </row>
    <row r="1793" spans="2:11" ht="15" customHeight="1" x14ac:dyDescent="0.35">
      <c r="B1793" s="5">
        <v>1772</v>
      </c>
      <c r="C1793" s="46">
        <f t="shared" ca="1" si="243"/>
        <v>3.253569454830227</v>
      </c>
      <c r="D1793" s="47">
        <f t="shared" ca="1" si="244"/>
        <v>6163972314.1277113</v>
      </c>
      <c r="E1793" s="47">
        <f t="shared" ca="1" si="245"/>
        <v>44228433136317.156</v>
      </c>
      <c r="F1793" s="47">
        <f t="shared" ca="1" si="246"/>
        <v>1486519663869.5391</v>
      </c>
      <c r="G1793" s="47">
        <f t="shared" ca="1" si="247"/>
        <v>5811246006682.3584</v>
      </c>
      <c r="H1793" s="47">
        <f t="shared" ca="1" si="248"/>
        <v>44228433136317.156</v>
      </c>
      <c r="I1793" s="47">
        <f t="shared" ca="1" si="249"/>
        <v>3080112984272.5552</v>
      </c>
      <c r="J1793" s="47">
        <f t="shared" ca="1" si="250"/>
        <v>2173599769240.0015</v>
      </c>
      <c r="K1793" s="48">
        <f t="shared" ca="1" si="251"/>
        <v>1.4170561792751366</v>
      </c>
    </row>
    <row r="1794" spans="2:11" ht="15" customHeight="1" x14ac:dyDescent="0.35">
      <c r="B1794" s="5">
        <v>1773</v>
      </c>
      <c r="C1794" s="46">
        <f t="shared" ca="1" si="243"/>
        <v>3.0908458911934296</v>
      </c>
      <c r="D1794" s="47">
        <f t="shared" ca="1" si="244"/>
        <v>5118759021.0653362</v>
      </c>
      <c r="E1794" s="47">
        <f t="shared" ca="1" si="245"/>
        <v>49174835203301.102</v>
      </c>
      <c r="F1794" s="47">
        <f t="shared" ca="1" si="246"/>
        <v>6878312906766.5752</v>
      </c>
      <c r="G1794" s="47">
        <f t="shared" ca="1" si="247"/>
        <v>36408644555191.906</v>
      </c>
      <c r="H1794" s="47">
        <f t="shared" ca="1" si="248"/>
        <v>49174835203301.102</v>
      </c>
      <c r="I1794" s="47">
        <f t="shared" ca="1" si="249"/>
        <v>1371613071675.1724</v>
      </c>
      <c r="J1794" s="47">
        <f t="shared" ca="1" si="250"/>
        <v>747265730641.42261</v>
      </c>
      <c r="K1794" s="48">
        <f t="shared" ca="1" si="251"/>
        <v>1.8355091307316278</v>
      </c>
    </row>
    <row r="1795" spans="2:11" ht="15" customHeight="1" x14ac:dyDescent="0.35">
      <c r="B1795" s="5">
        <v>1774</v>
      </c>
      <c r="C1795" s="46">
        <f t="shared" ca="1" si="243"/>
        <v>2.5610216141740887</v>
      </c>
      <c r="D1795" s="47">
        <f t="shared" ca="1" si="244"/>
        <v>2121836118.563982</v>
      </c>
      <c r="E1795" s="47">
        <f t="shared" ca="1" si="245"/>
        <v>2588342854430.1245</v>
      </c>
      <c r="F1795" s="47">
        <f t="shared" ca="1" si="246"/>
        <v>6662574669100.543</v>
      </c>
      <c r="G1795" s="47">
        <f t="shared" ca="1" si="247"/>
        <v>910271729492.24414</v>
      </c>
      <c r="H1795" s="47">
        <f t="shared" ca="1" si="248"/>
        <v>6662574669100.543</v>
      </c>
      <c r="I1795" s="47">
        <f t="shared" ca="1" si="249"/>
        <v>18043688815948.68</v>
      </c>
      <c r="J1795" s="47">
        <f t="shared" ca="1" si="250"/>
        <v>1128786437754.5347</v>
      </c>
      <c r="K1795" s="48">
        <f t="shared" ca="1" si="251"/>
        <v>15.98503331758886</v>
      </c>
    </row>
    <row r="1796" spans="2:11" ht="15" customHeight="1" x14ac:dyDescent="0.35">
      <c r="B1796" s="5">
        <v>1775</v>
      </c>
      <c r="C1796" s="46">
        <f t="shared" ca="1" si="243"/>
        <v>2.8046908422571146</v>
      </c>
      <c r="D1796" s="47">
        <f t="shared" ca="1" si="244"/>
        <v>3094136508.300343</v>
      </c>
      <c r="E1796" s="47">
        <f t="shared" ca="1" si="245"/>
        <v>15437758203203.141</v>
      </c>
      <c r="F1796" s="47">
        <f t="shared" ca="1" si="246"/>
        <v>1562462680120.5461</v>
      </c>
      <c r="G1796" s="47">
        <f t="shared" ca="1" si="247"/>
        <v>85982520645879.234</v>
      </c>
      <c r="H1796" s="47">
        <f t="shared" ca="1" si="248"/>
        <v>85982520645879.234</v>
      </c>
      <c r="I1796" s="47">
        <f t="shared" ca="1" si="249"/>
        <v>6246567075357.8789</v>
      </c>
      <c r="J1796" s="47">
        <f t="shared" ca="1" si="250"/>
        <v>1368170723689.4612</v>
      </c>
      <c r="K1796" s="48">
        <f t="shared" ca="1" si="251"/>
        <v>4.5656342203501827</v>
      </c>
    </row>
    <row r="1797" spans="2:11" ht="15" customHeight="1" x14ac:dyDescent="0.35">
      <c r="B1797" s="5">
        <v>1776</v>
      </c>
      <c r="C1797" s="46">
        <f t="shared" ca="1" si="243"/>
        <v>3.0388941966839065</v>
      </c>
      <c r="D1797" s="47">
        <f t="shared" ca="1" si="244"/>
        <v>4838100132.8171749</v>
      </c>
      <c r="E1797" s="47">
        <f t="shared" ca="1" si="245"/>
        <v>8500573354292.7539</v>
      </c>
      <c r="F1797" s="47">
        <f t="shared" ca="1" si="246"/>
        <v>7813230834541.3584</v>
      </c>
      <c r="G1797" s="47">
        <f t="shared" ca="1" si="247"/>
        <v>67420802818.174072</v>
      </c>
      <c r="H1797" s="47">
        <f t="shared" ca="1" si="248"/>
        <v>8500573354292.7539</v>
      </c>
      <c r="I1797" s="47">
        <f t="shared" ca="1" si="249"/>
        <v>25144197311378.672</v>
      </c>
      <c r="J1797" s="47">
        <f t="shared" ca="1" si="250"/>
        <v>1308929663013.0759</v>
      </c>
      <c r="K1797" s="48">
        <f t="shared" ca="1" si="251"/>
        <v>19.209739088270236</v>
      </c>
    </row>
    <row r="1798" spans="2:11" ht="15" customHeight="1" x14ac:dyDescent="0.35">
      <c r="B1798" s="5">
        <v>1777</v>
      </c>
      <c r="C1798" s="46">
        <f t="shared" ca="1" si="243"/>
        <v>2.8114279220435261</v>
      </c>
      <c r="D1798" s="47">
        <f t="shared" ca="1" si="244"/>
        <v>3128891223.5662904</v>
      </c>
      <c r="E1798" s="47">
        <f t="shared" ca="1" si="245"/>
        <v>22508580381829.219</v>
      </c>
      <c r="F1798" s="47">
        <f t="shared" ca="1" si="246"/>
        <v>14585563133909.32</v>
      </c>
      <c r="G1798" s="47">
        <f t="shared" ca="1" si="247"/>
        <v>4921177250001.458</v>
      </c>
      <c r="H1798" s="47">
        <f t="shared" ca="1" si="248"/>
        <v>22508580381829.219</v>
      </c>
      <c r="I1798" s="47">
        <f t="shared" ca="1" si="249"/>
        <v>18907410109876.074</v>
      </c>
      <c r="J1798" s="47">
        <f t="shared" ca="1" si="250"/>
        <v>1194217580068.4602</v>
      </c>
      <c r="K1798" s="48">
        <f t="shared" ca="1" si="251"/>
        <v>15.832466734237977</v>
      </c>
    </row>
    <row r="1799" spans="2:11" ht="15" customHeight="1" x14ac:dyDescent="0.35">
      <c r="B1799" s="5">
        <v>1778</v>
      </c>
      <c r="C1799" s="46">
        <f t="shared" ca="1" si="243"/>
        <v>3.0268388884257869</v>
      </c>
      <c r="D1799" s="47">
        <f t="shared" ca="1" si="244"/>
        <v>5794156611.6342134</v>
      </c>
      <c r="E1799" s="47">
        <f t="shared" ca="1" si="245"/>
        <v>24395788874138.203</v>
      </c>
      <c r="F1799" s="47">
        <f t="shared" ca="1" si="246"/>
        <v>425322414895.82684</v>
      </c>
      <c r="G1799" s="47">
        <f t="shared" ca="1" si="247"/>
        <v>2131912204987.7046</v>
      </c>
      <c r="H1799" s="47">
        <f t="shared" ca="1" si="248"/>
        <v>2131912204987.7046</v>
      </c>
      <c r="I1799" s="47">
        <f t="shared" ca="1" si="249"/>
        <v>7137720345786.2393</v>
      </c>
      <c r="J1799" s="47">
        <f t="shared" ca="1" si="250"/>
        <v>1595288066829.0894</v>
      </c>
      <c r="K1799" s="48">
        <f t="shared" ca="1" si="251"/>
        <v>4.4742517004929976</v>
      </c>
    </row>
    <row r="1800" spans="2:11" ht="15" customHeight="1" x14ac:dyDescent="0.35">
      <c r="B1800" s="5">
        <v>1779</v>
      </c>
      <c r="C1800" s="46">
        <f t="shared" ca="1" si="243"/>
        <v>2.9936851817970802</v>
      </c>
      <c r="D1800" s="47">
        <f t="shared" ca="1" si="244"/>
        <v>4535978164.1417685</v>
      </c>
      <c r="E1800" s="47">
        <f t="shared" ca="1" si="245"/>
        <v>33518206982275.691</v>
      </c>
      <c r="F1800" s="47">
        <f t="shared" ca="1" si="246"/>
        <v>694091160142.42615</v>
      </c>
      <c r="G1800" s="47">
        <f t="shared" ca="1" si="247"/>
        <v>4816130944261.0156</v>
      </c>
      <c r="H1800" s="47">
        <f t="shared" ca="1" si="248"/>
        <v>694091160142.42615</v>
      </c>
      <c r="I1800" s="47">
        <f t="shared" ca="1" si="249"/>
        <v>13832711128019.717</v>
      </c>
      <c r="J1800" s="47">
        <f t="shared" ca="1" si="250"/>
        <v>666474847376.78198</v>
      </c>
      <c r="K1800" s="48">
        <f t="shared" ca="1" si="251"/>
        <v>20.755038517154411</v>
      </c>
    </row>
    <row r="1801" spans="2:11" ht="15" customHeight="1" x14ac:dyDescent="0.35">
      <c r="B1801" s="5">
        <v>1780</v>
      </c>
      <c r="C1801" s="46">
        <f t="shared" ca="1" si="243"/>
        <v>2.6563279051198418</v>
      </c>
      <c r="D1801" s="47">
        <f t="shared" ca="1" si="244"/>
        <v>2794973206.9216151</v>
      </c>
      <c r="E1801" s="47">
        <f t="shared" ca="1" si="245"/>
        <v>7945703271080.5635</v>
      </c>
      <c r="F1801" s="47">
        <f t="shared" ca="1" si="246"/>
        <v>2689665750300.6216</v>
      </c>
      <c r="G1801" s="47">
        <f t="shared" ca="1" si="247"/>
        <v>347773825173.89032</v>
      </c>
      <c r="H1801" s="47">
        <f t="shared" ca="1" si="248"/>
        <v>2689665750300.6216</v>
      </c>
      <c r="I1801" s="47">
        <f t="shared" ca="1" si="249"/>
        <v>7162075891693.0586</v>
      </c>
      <c r="J1801" s="47">
        <f t="shared" ca="1" si="250"/>
        <v>1409472564362.418</v>
      </c>
      <c r="K1801" s="48">
        <f t="shared" ca="1" si="251"/>
        <v>5.0813872314945412</v>
      </c>
    </row>
    <row r="1802" spans="2:11" ht="15" customHeight="1" x14ac:dyDescent="0.35">
      <c r="B1802" s="5">
        <v>1781</v>
      </c>
      <c r="C1802" s="46">
        <f t="shared" ca="1" si="243"/>
        <v>3.0366899676064398</v>
      </c>
      <c r="D1802" s="47">
        <f t="shared" ca="1" si="244"/>
        <v>5127312922.7421455</v>
      </c>
      <c r="E1802" s="47">
        <f t="shared" ca="1" si="245"/>
        <v>23157733102711.137</v>
      </c>
      <c r="F1802" s="47">
        <f t="shared" ca="1" si="246"/>
        <v>4298121859383.8296</v>
      </c>
      <c r="G1802" s="47">
        <f t="shared" ca="1" si="247"/>
        <v>37782048913732.047</v>
      </c>
      <c r="H1802" s="47">
        <f t="shared" ca="1" si="248"/>
        <v>23157733102711.137</v>
      </c>
      <c r="I1802" s="47">
        <f t="shared" ca="1" si="249"/>
        <v>4696229050994.5996</v>
      </c>
      <c r="J1802" s="47">
        <f t="shared" ca="1" si="250"/>
        <v>1469555827392.0654</v>
      </c>
      <c r="K1802" s="48">
        <f t="shared" ca="1" si="251"/>
        <v>3.1956792409368497</v>
      </c>
    </row>
    <row r="1803" spans="2:11" ht="15" customHeight="1" x14ac:dyDescent="0.35">
      <c r="B1803" s="5">
        <v>1782</v>
      </c>
      <c r="C1803" s="46">
        <f t="shared" ca="1" si="243"/>
        <v>2.0191520530343889</v>
      </c>
      <c r="D1803" s="47">
        <f t="shared" ca="1" si="244"/>
        <v>581193129.57493806</v>
      </c>
      <c r="E1803" s="47">
        <f t="shared" ca="1" si="245"/>
        <v>1272499442658.8198</v>
      </c>
      <c r="F1803" s="47">
        <f t="shared" ca="1" si="246"/>
        <v>34884104080634.523</v>
      </c>
      <c r="G1803" s="47">
        <f t="shared" ca="1" si="247"/>
        <v>42576117433654.625</v>
      </c>
      <c r="H1803" s="47">
        <f t="shared" ca="1" si="248"/>
        <v>42576117433654.625</v>
      </c>
      <c r="I1803" s="47">
        <f t="shared" ca="1" si="249"/>
        <v>2863311028623.209</v>
      </c>
      <c r="J1803" s="47">
        <f t="shared" ca="1" si="250"/>
        <v>1557844194035.6833</v>
      </c>
      <c r="K1803" s="48">
        <f t="shared" ca="1" si="251"/>
        <v>1.8379957633668358</v>
      </c>
    </row>
    <row r="1804" spans="2:11" ht="15" customHeight="1" x14ac:dyDescent="0.35">
      <c r="B1804" s="5">
        <v>1783</v>
      </c>
      <c r="C1804" s="46">
        <f t="shared" ca="1" si="243"/>
        <v>2.9638743955021334</v>
      </c>
      <c r="D1804" s="47">
        <f t="shared" ca="1" si="244"/>
        <v>4640455730.4993887</v>
      </c>
      <c r="E1804" s="47">
        <f t="shared" ca="1" si="245"/>
        <v>31376370330930.684</v>
      </c>
      <c r="F1804" s="47">
        <f t="shared" ca="1" si="246"/>
        <v>1767012313542.8928</v>
      </c>
      <c r="G1804" s="47">
        <f t="shared" ca="1" si="247"/>
        <v>391277943052.34424</v>
      </c>
      <c r="H1804" s="47">
        <f t="shared" ca="1" si="248"/>
        <v>1767012313542.8928</v>
      </c>
      <c r="I1804" s="47">
        <f t="shared" ca="1" si="249"/>
        <v>6485319694203.6807</v>
      </c>
      <c r="J1804" s="47">
        <f t="shared" ca="1" si="250"/>
        <v>1081274628863.214</v>
      </c>
      <c r="K1804" s="48">
        <f t="shared" ca="1" si="251"/>
        <v>5.9978469124184937</v>
      </c>
    </row>
    <row r="1805" spans="2:11" ht="15" customHeight="1" x14ac:dyDescent="0.35">
      <c r="B1805" s="5">
        <v>1784</v>
      </c>
      <c r="C1805" s="46">
        <f t="shared" ca="1" si="243"/>
        <v>3.7225605014806344</v>
      </c>
      <c r="D1805" s="47">
        <f t="shared" ca="1" si="244"/>
        <v>14938773117.395252</v>
      </c>
      <c r="E1805" s="47">
        <f t="shared" ca="1" si="245"/>
        <v>38206167031152.516</v>
      </c>
      <c r="F1805" s="47">
        <f t="shared" ca="1" si="246"/>
        <v>1108321936722.5251</v>
      </c>
      <c r="G1805" s="47">
        <f t="shared" ca="1" si="247"/>
        <v>5874362005405.8721</v>
      </c>
      <c r="H1805" s="47">
        <f t="shared" ca="1" si="248"/>
        <v>5874362005405.8721</v>
      </c>
      <c r="I1805" s="47">
        <f t="shared" ca="1" si="249"/>
        <v>4024960623736.166</v>
      </c>
      <c r="J1805" s="47">
        <f t="shared" ca="1" si="250"/>
        <v>779216181632.80334</v>
      </c>
      <c r="K1805" s="48">
        <f t="shared" ca="1" si="251"/>
        <v>5.1653966108636107</v>
      </c>
    </row>
    <row r="1806" spans="2:11" ht="15" customHeight="1" x14ac:dyDescent="0.35">
      <c r="B1806" s="5">
        <v>1785</v>
      </c>
      <c r="C1806" s="46">
        <f t="shared" ca="1" si="243"/>
        <v>2.5823669730551977</v>
      </c>
      <c r="D1806" s="47">
        <f t="shared" ca="1" si="244"/>
        <v>2586710483.1195602</v>
      </c>
      <c r="E1806" s="47">
        <f t="shared" ca="1" si="245"/>
        <v>10804969387660.361</v>
      </c>
      <c r="F1806" s="47">
        <f t="shared" ca="1" si="246"/>
        <v>6111183068702.5</v>
      </c>
      <c r="G1806" s="47">
        <f t="shared" ca="1" si="247"/>
        <v>9394597252998.0195</v>
      </c>
      <c r="H1806" s="47">
        <f t="shared" ca="1" si="248"/>
        <v>6111183068702.5</v>
      </c>
      <c r="I1806" s="47">
        <f t="shared" ca="1" si="249"/>
        <v>16662710513900.871</v>
      </c>
      <c r="J1806" s="47">
        <f t="shared" ca="1" si="250"/>
        <v>2098396949478.4431</v>
      </c>
      <c r="K1806" s="48">
        <f t="shared" ca="1" si="251"/>
        <v>7.940685635309559</v>
      </c>
    </row>
    <row r="1807" spans="2:11" ht="15" customHeight="1" x14ac:dyDescent="0.35">
      <c r="B1807" s="5">
        <v>1786</v>
      </c>
      <c r="C1807" s="46">
        <f t="shared" ca="1" si="243"/>
        <v>2.8743603421036803</v>
      </c>
      <c r="D1807" s="47">
        <f t="shared" ca="1" si="244"/>
        <v>3970305829.348155</v>
      </c>
      <c r="E1807" s="47">
        <f t="shared" ca="1" si="245"/>
        <v>13840946913924.451</v>
      </c>
      <c r="F1807" s="47">
        <f t="shared" ca="1" si="246"/>
        <v>2914936813223.8198</v>
      </c>
      <c r="G1807" s="47">
        <f t="shared" ca="1" si="247"/>
        <v>7877038747112.4873</v>
      </c>
      <c r="H1807" s="47">
        <f t="shared" ca="1" si="248"/>
        <v>2914936813223.8198</v>
      </c>
      <c r="I1807" s="47">
        <f t="shared" ca="1" si="249"/>
        <v>15591445291313.791</v>
      </c>
      <c r="J1807" s="47">
        <f t="shared" ca="1" si="250"/>
        <v>1168873683880.9165</v>
      </c>
      <c r="K1807" s="48">
        <f t="shared" ca="1" si="251"/>
        <v>13.338862450514567</v>
      </c>
    </row>
    <row r="1808" spans="2:11" ht="15" customHeight="1" x14ac:dyDescent="0.35">
      <c r="B1808" s="5">
        <v>1787</v>
      </c>
      <c r="C1808" s="46">
        <f t="shared" ca="1" si="243"/>
        <v>2.8152399607762653</v>
      </c>
      <c r="D1808" s="47">
        <f t="shared" ca="1" si="244"/>
        <v>3379220817.8545766</v>
      </c>
      <c r="E1808" s="47">
        <f t="shared" ca="1" si="245"/>
        <v>18507121438574.926</v>
      </c>
      <c r="F1808" s="47">
        <f t="shared" ca="1" si="246"/>
        <v>12324226643712.555</v>
      </c>
      <c r="G1808" s="47">
        <f t="shared" ca="1" si="247"/>
        <v>12391937810272.342</v>
      </c>
      <c r="H1808" s="47">
        <f t="shared" ca="1" si="248"/>
        <v>18507121438574.926</v>
      </c>
      <c r="I1808" s="47">
        <f t="shared" ca="1" si="249"/>
        <v>34691222657168.109</v>
      </c>
      <c r="J1808" s="47">
        <f t="shared" ca="1" si="250"/>
        <v>1162139926182.9468</v>
      </c>
      <c r="K1808" s="48">
        <f t="shared" ca="1" si="251"/>
        <v>29.851158088261858</v>
      </c>
    </row>
    <row r="1809" spans="2:11" ht="15" customHeight="1" x14ac:dyDescent="0.35">
      <c r="B1809" s="5">
        <v>1788</v>
      </c>
      <c r="C1809" s="46">
        <f t="shared" ca="1" si="243"/>
        <v>3.2511736466934411</v>
      </c>
      <c r="D1809" s="47">
        <f t="shared" ca="1" si="244"/>
        <v>8308662127.7053165</v>
      </c>
      <c r="E1809" s="47">
        <f t="shared" ca="1" si="245"/>
        <v>57976422010561.813</v>
      </c>
      <c r="F1809" s="47">
        <f t="shared" ca="1" si="246"/>
        <v>4977415759596.8086</v>
      </c>
      <c r="G1809" s="47">
        <f t="shared" ca="1" si="247"/>
        <v>6587109531254.8623</v>
      </c>
      <c r="H1809" s="47">
        <f t="shared" ca="1" si="248"/>
        <v>4977415759596.8086</v>
      </c>
      <c r="I1809" s="47">
        <f t="shared" ca="1" si="249"/>
        <v>3575759003458.5977</v>
      </c>
      <c r="J1809" s="47">
        <f t="shared" ca="1" si="250"/>
        <v>721196406329.80432</v>
      </c>
      <c r="K1809" s="48">
        <f t="shared" ca="1" si="251"/>
        <v>4.9580932074464572</v>
      </c>
    </row>
    <row r="1810" spans="2:11" ht="15" customHeight="1" x14ac:dyDescent="0.35">
      <c r="B1810" s="5">
        <v>1789</v>
      </c>
      <c r="C1810" s="46">
        <f t="shared" ca="1" si="243"/>
        <v>2.3697391236163901</v>
      </c>
      <c r="D1810" s="47">
        <f t="shared" ca="1" si="244"/>
        <v>1278398916.7765441</v>
      </c>
      <c r="E1810" s="47">
        <f t="shared" ca="1" si="245"/>
        <v>7420293797484.1543</v>
      </c>
      <c r="F1810" s="47">
        <f t="shared" ca="1" si="246"/>
        <v>2501012736490.2754</v>
      </c>
      <c r="G1810" s="47">
        <f t="shared" ca="1" si="247"/>
        <v>2792261805559.5195</v>
      </c>
      <c r="H1810" s="47">
        <f t="shared" ca="1" si="248"/>
        <v>2501012736490.2754</v>
      </c>
      <c r="I1810" s="47">
        <f t="shared" ca="1" si="249"/>
        <v>45346035919670.789</v>
      </c>
      <c r="J1810" s="47">
        <f t="shared" ca="1" si="250"/>
        <v>1880029220874.0691</v>
      </c>
      <c r="K1810" s="48">
        <f t="shared" ca="1" si="251"/>
        <v>24.119856976791226</v>
      </c>
    </row>
    <row r="1811" spans="2:11" ht="15" customHeight="1" x14ac:dyDescent="0.35">
      <c r="B1811" s="5">
        <v>1790</v>
      </c>
      <c r="C1811" s="46">
        <f t="shared" ca="1" si="243"/>
        <v>3.817815781326412</v>
      </c>
      <c r="D1811" s="47">
        <f t="shared" ca="1" si="244"/>
        <v>14364703021.599857</v>
      </c>
      <c r="E1811" s="47">
        <f t="shared" ca="1" si="245"/>
        <v>48069868034181.828</v>
      </c>
      <c r="F1811" s="47">
        <f t="shared" ca="1" si="246"/>
        <v>2754053950093.8848</v>
      </c>
      <c r="G1811" s="47">
        <f t="shared" ca="1" si="247"/>
        <v>15229588393617.621</v>
      </c>
      <c r="H1811" s="47">
        <f t="shared" ca="1" si="248"/>
        <v>15229588393617.621</v>
      </c>
      <c r="I1811" s="47">
        <f t="shared" ca="1" si="249"/>
        <v>15832206867523.094</v>
      </c>
      <c r="J1811" s="47">
        <f t="shared" ca="1" si="250"/>
        <v>672516859628.62451</v>
      </c>
      <c r="K1811" s="48">
        <f t="shared" ca="1" si="251"/>
        <v>23.541724851724776</v>
      </c>
    </row>
    <row r="1812" spans="2:11" ht="15" customHeight="1" x14ac:dyDescent="0.35">
      <c r="B1812" s="5">
        <v>1791</v>
      </c>
      <c r="C1812" s="46">
        <f t="shared" ca="1" si="243"/>
        <v>3.0022982901065944</v>
      </c>
      <c r="D1812" s="47">
        <f t="shared" ca="1" si="244"/>
        <v>4327305065.3318424</v>
      </c>
      <c r="E1812" s="47">
        <f t="shared" ca="1" si="245"/>
        <v>26311135972493.863</v>
      </c>
      <c r="F1812" s="47">
        <f t="shared" ca="1" si="246"/>
        <v>4738617806345.4395</v>
      </c>
      <c r="G1812" s="47">
        <f t="shared" ca="1" si="247"/>
        <v>22341964008170.215</v>
      </c>
      <c r="H1812" s="47">
        <f t="shared" ca="1" si="248"/>
        <v>22341964008170.215</v>
      </c>
      <c r="I1812" s="47">
        <f t="shared" ca="1" si="249"/>
        <v>2254368307341.6523</v>
      </c>
      <c r="J1812" s="47">
        <f t="shared" ca="1" si="250"/>
        <v>1226214414918.5896</v>
      </c>
      <c r="K1812" s="48">
        <f t="shared" ca="1" si="251"/>
        <v>1.8384780670608276</v>
      </c>
    </row>
    <row r="1813" spans="2:11" ht="15" customHeight="1" x14ac:dyDescent="0.35">
      <c r="B1813" s="5">
        <v>1792</v>
      </c>
      <c r="C1813" s="46">
        <f t="shared" ca="1" si="243"/>
        <v>3.6869363967025834</v>
      </c>
      <c r="D1813" s="47">
        <f t="shared" ca="1" si="244"/>
        <v>12297200663.477276</v>
      </c>
      <c r="E1813" s="47">
        <f t="shared" ca="1" si="245"/>
        <v>40292192100375.648</v>
      </c>
      <c r="F1813" s="47">
        <f t="shared" ca="1" si="246"/>
        <v>2498754002762.0586</v>
      </c>
      <c r="G1813" s="47">
        <f t="shared" ca="1" si="247"/>
        <v>9063452736622.4453</v>
      </c>
      <c r="H1813" s="47">
        <f t="shared" ca="1" si="248"/>
        <v>9063452736622.4453</v>
      </c>
      <c r="I1813" s="47">
        <f t="shared" ca="1" si="249"/>
        <v>4594028882687.0381</v>
      </c>
      <c r="J1813" s="47">
        <f t="shared" ca="1" si="250"/>
        <v>2048239367446.0327</v>
      </c>
      <c r="K1813" s="48">
        <f t="shared" ca="1" si="251"/>
        <v>2.2429160164104123</v>
      </c>
    </row>
    <row r="1814" spans="2:11" ht="15" customHeight="1" x14ac:dyDescent="0.35">
      <c r="B1814" s="5">
        <v>1793</v>
      </c>
      <c r="C1814" s="46">
        <f t="shared" ref="C1814:C1877" ca="1" si="252">MEDIAN(1.8,NORMINV(RAND(),$C$7,$D$7),4.5)</f>
        <v>2.4174091855984186</v>
      </c>
      <c r="D1814" s="47">
        <f t="shared" ref="D1814:D1877" ca="1" si="253">($C$8+RAND()*($D$8-$C$8))*C1814^5</f>
        <v>1806017023.4615393</v>
      </c>
      <c r="E1814" s="47">
        <f t="shared" ref="E1814:E1877" ca="1" si="254">D1814*($C$10+RAND()*($D$10-$C$10))*EXP(NORMINV(RAND(),$C$9,$D$9))*($C$11+RAND()*($D$11-$C$11))</f>
        <v>4928670942317.4834</v>
      </c>
      <c r="F1814" s="47">
        <f t="shared" ref="F1814:F1877" ca="1" si="255">EXP(NORMINV(RAND(),$C$12,$D$12))*EXP(NORMINV(RAND(),$C$13,$D$13))</f>
        <v>2753134481590.4448</v>
      </c>
      <c r="G1814" s="47">
        <f t="shared" ref="G1814:G1877" ca="1" si="256">EXP(NORMINV(RAND(),$C$14,$D$14))*($C$15+RAND()*($D$15-$C$15))*EXP(NORMINV(RAND(),$C$16,$D$16))/1000000*31536000</f>
        <v>581390325278.70361</v>
      </c>
      <c r="H1814" s="47">
        <f t="shared" ref="H1814:H1877" ca="1" si="257">CHOOSE(RANDBETWEEN(1,3),E1814,F1814,G1814)</f>
        <v>2753134481590.4448</v>
      </c>
      <c r="I1814" s="47">
        <f t="shared" ref="I1814:I1877" ca="1" si="258">EXP(NORMINV(RAND(),$C$14,$D$14))*($C$15+RAND()*($D$15-$C$15))*60</f>
        <v>2944758116081.9746</v>
      </c>
      <c r="J1814" s="47">
        <f t="shared" ref="J1814:J1877" ca="1" si="259">($C$17+RAND()*($D$17-$C$17))*($C$18+RAND()*($D$18-$C$18))</f>
        <v>1996591096626.7654</v>
      </c>
      <c r="K1814" s="48">
        <f t="shared" ref="K1814:K1877" ca="1" si="260">I1814/J1814</f>
        <v>1.4748929418032237</v>
      </c>
    </row>
    <row r="1815" spans="2:11" ht="15" customHeight="1" x14ac:dyDescent="0.35">
      <c r="B1815" s="5">
        <v>1794</v>
      </c>
      <c r="C1815" s="46">
        <f t="shared" ca="1" si="252"/>
        <v>3.207628163336953</v>
      </c>
      <c r="D1815" s="47">
        <f t="shared" ca="1" si="253"/>
        <v>7983996027.6024733</v>
      </c>
      <c r="E1815" s="47">
        <f t="shared" ca="1" si="254"/>
        <v>10667140594203.471</v>
      </c>
      <c r="F1815" s="47">
        <f t="shared" ca="1" si="255"/>
        <v>2667454621535.4268</v>
      </c>
      <c r="G1815" s="47">
        <f t="shared" ca="1" si="256"/>
        <v>363448310030180.06</v>
      </c>
      <c r="H1815" s="47">
        <f t="shared" ca="1" si="257"/>
        <v>10667140594203.471</v>
      </c>
      <c r="I1815" s="47">
        <f t="shared" ca="1" si="258"/>
        <v>48848830542221.516</v>
      </c>
      <c r="J1815" s="47">
        <f t="shared" ca="1" si="259"/>
        <v>1176623274498.0479</v>
      </c>
      <c r="K1815" s="48">
        <f t="shared" ca="1" si="260"/>
        <v>41.516117861140067</v>
      </c>
    </row>
    <row r="1816" spans="2:11" ht="15" customHeight="1" x14ac:dyDescent="0.35">
      <c r="B1816" s="5">
        <v>1795</v>
      </c>
      <c r="C1816" s="46">
        <f t="shared" ca="1" si="252"/>
        <v>3.0251587331952363</v>
      </c>
      <c r="D1816" s="47">
        <f t="shared" ca="1" si="253"/>
        <v>4703954521.4685774</v>
      </c>
      <c r="E1816" s="47">
        <f t="shared" ca="1" si="254"/>
        <v>21685559076999.848</v>
      </c>
      <c r="F1816" s="47">
        <f t="shared" ca="1" si="255"/>
        <v>2331403912245.4565</v>
      </c>
      <c r="G1816" s="47">
        <f t="shared" ca="1" si="256"/>
        <v>4434230438505.1406</v>
      </c>
      <c r="H1816" s="47">
        <f t="shared" ca="1" si="257"/>
        <v>21685559076999.848</v>
      </c>
      <c r="I1816" s="47">
        <f t="shared" ca="1" si="258"/>
        <v>8291028278751.1191</v>
      </c>
      <c r="J1816" s="47">
        <f t="shared" ca="1" si="259"/>
        <v>2007694131001.3806</v>
      </c>
      <c r="K1816" s="48">
        <f t="shared" ca="1" si="260"/>
        <v>4.1296271930703856</v>
      </c>
    </row>
    <row r="1817" spans="2:11" ht="15" customHeight="1" x14ac:dyDescent="0.35">
      <c r="B1817" s="5">
        <v>1796</v>
      </c>
      <c r="C1817" s="46">
        <f t="shared" ca="1" si="252"/>
        <v>2.6416164827992663</v>
      </c>
      <c r="D1817" s="47">
        <f t="shared" ca="1" si="253"/>
        <v>2304617929.2071037</v>
      </c>
      <c r="E1817" s="47">
        <f t="shared" ca="1" si="254"/>
        <v>10008386716827.174</v>
      </c>
      <c r="F1817" s="47">
        <f t="shared" ca="1" si="255"/>
        <v>26906255751817.641</v>
      </c>
      <c r="G1817" s="47">
        <f t="shared" ca="1" si="256"/>
        <v>45318559386053.031</v>
      </c>
      <c r="H1817" s="47">
        <f t="shared" ca="1" si="257"/>
        <v>45318559386053.031</v>
      </c>
      <c r="I1817" s="47">
        <f t="shared" ca="1" si="258"/>
        <v>10635348989038.713</v>
      </c>
      <c r="J1817" s="47">
        <f t="shared" ca="1" si="259"/>
        <v>1136467775910.6289</v>
      </c>
      <c r="K1817" s="48">
        <f t="shared" ca="1" si="260"/>
        <v>9.3582494941546592</v>
      </c>
    </row>
    <row r="1818" spans="2:11" ht="15" customHeight="1" x14ac:dyDescent="0.35">
      <c r="B1818" s="5">
        <v>1797</v>
      </c>
      <c r="C1818" s="46">
        <f t="shared" ca="1" si="252"/>
        <v>2.6358356519418713</v>
      </c>
      <c r="D1818" s="47">
        <f t="shared" ca="1" si="253"/>
        <v>2359060903.5940018</v>
      </c>
      <c r="E1818" s="47">
        <f t="shared" ca="1" si="254"/>
        <v>4414970752686.0664</v>
      </c>
      <c r="F1818" s="47">
        <f t="shared" ca="1" si="255"/>
        <v>2423230591441.582</v>
      </c>
      <c r="G1818" s="47">
        <f t="shared" ca="1" si="256"/>
        <v>19060619443082.055</v>
      </c>
      <c r="H1818" s="47">
        <f t="shared" ca="1" si="257"/>
        <v>19060619443082.055</v>
      </c>
      <c r="I1818" s="47">
        <f t="shared" ca="1" si="258"/>
        <v>1773770262771.3406</v>
      </c>
      <c r="J1818" s="47">
        <f t="shared" ca="1" si="259"/>
        <v>1370925076234.9451</v>
      </c>
      <c r="K1818" s="48">
        <f t="shared" ca="1" si="260"/>
        <v>1.2938491632546059</v>
      </c>
    </row>
    <row r="1819" spans="2:11" ht="15" customHeight="1" x14ac:dyDescent="0.35">
      <c r="B1819" s="5">
        <v>1798</v>
      </c>
      <c r="C1819" s="46">
        <f t="shared" ca="1" si="252"/>
        <v>3.8567313956280689</v>
      </c>
      <c r="D1819" s="47">
        <f t="shared" ca="1" si="253"/>
        <v>14420794095.242653</v>
      </c>
      <c r="E1819" s="47">
        <f t="shared" ca="1" si="254"/>
        <v>33466220201722.973</v>
      </c>
      <c r="F1819" s="47">
        <f t="shared" ca="1" si="255"/>
        <v>3101442142244.2983</v>
      </c>
      <c r="G1819" s="47">
        <f t="shared" ca="1" si="256"/>
        <v>3200134811017.5581</v>
      </c>
      <c r="H1819" s="47">
        <f t="shared" ca="1" si="257"/>
        <v>33466220201722.973</v>
      </c>
      <c r="I1819" s="47">
        <f t="shared" ca="1" si="258"/>
        <v>29124416905546.789</v>
      </c>
      <c r="J1819" s="47">
        <f t="shared" ca="1" si="259"/>
        <v>1130073331081.2417</v>
      </c>
      <c r="K1819" s="48">
        <f t="shared" ca="1" si="260"/>
        <v>25.772147792993991</v>
      </c>
    </row>
    <row r="1820" spans="2:11" ht="15" customHeight="1" x14ac:dyDescent="0.35">
      <c r="B1820" s="5">
        <v>1799</v>
      </c>
      <c r="C1820" s="46">
        <f t="shared" ca="1" si="252"/>
        <v>2.2690893441805691</v>
      </c>
      <c r="D1820" s="47">
        <f t="shared" ca="1" si="253"/>
        <v>1227547588.4069252</v>
      </c>
      <c r="E1820" s="47">
        <f t="shared" ca="1" si="254"/>
        <v>8797019812937.8027</v>
      </c>
      <c r="F1820" s="47">
        <f t="shared" ca="1" si="255"/>
        <v>1833629668843.4692</v>
      </c>
      <c r="G1820" s="47">
        <f t="shared" ca="1" si="256"/>
        <v>22724237966260.219</v>
      </c>
      <c r="H1820" s="47">
        <f t="shared" ca="1" si="257"/>
        <v>1833629668843.4692</v>
      </c>
      <c r="I1820" s="47">
        <f t="shared" ca="1" si="258"/>
        <v>52948491788414.492</v>
      </c>
      <c r="J1820" s="47">
        <f t="shared" ca="1" si="259"/>
        <v>1907100597552.7034</v>
      </c>
      <c r="K1820" s="48">
        <f t="shared" ca="1" si="260"/>
        <v>27.763869329368841</v>
      </c>
    </row>
    <row r="1821" spans="2:11" ht="15" customHeight="1" x14ac:dyDescent="0.35">
      <c r="B1821" s="5">
        <v>1800</v>
      </c>
      <c r="C1821" s="46">
        <f t="shared" ca="1" si="252"/>
        <v>3.3877250337832878</v>
      </c>
      <c r="D1821" s="47">
        <f t="shared" ca="1" si="253"/>
        <v>10180342712.06852</v>
      </c>
      <c r="E1821" s="47">
        <f t="shared" ca="1" si="254"/>
        <v>30680241176003.602</v>
      </c>
      <c r="F1821" s="47">
        <f t="shared" ca="1" si="255"/>
        <v>1886777752330.6409</v>
      </c>
      <c r="G1821" s="47">
        <f t="shared" ca="1" si="256"/>
        <v>594152867869.3667</v>
      </c>
      <c r="H1821" s="47">
        <f t="shared" ca="1" si="257"/>
        <v>1886777752330.6409</v>
      </c>
      <c r="I1821" s="47">
        <f t="shared" ca="1" si="258"/>
        <v>41726391817588.633</v>
      </c>
      <c r="J1821" s="47">
        <f t="shared" ca="1" si="259"/>
        <v>1480728614844.9673</v>
      </c>
      <c r="K1821" s="48">
        <f t="shared" ca="1" si="260"/>
        <v>28.179634944082849</v>
      </c>
    </row>
    <row r="1822" spans="2:11" ht="15" customHeight="1" x14ac:dyDescent="0.35">
      <c r="B1822" s="5">
        <v>1801</v>
      </c>
      <c r="C1822" s="46">
        <f t="shared" ca="1" si="252"/>
        <v>3.6667664602452854</v>
      </c>
      <c r="D1822" s="47">
        <f t="shared" ca="1" si="253"/>
        <v>14938974689.69219</v>
      </c>
      <c r="E1822" s="47">
        <f t="shared" ca="1" si="254"/>
        <v>59393335509471.344</v>
      </c>
      <c r="F1822" s="47">
        <f t="shared" ca="1" si="255"/>
        <v>3258547296373.689</v>
      </c>
      <c r="G1822" s="47">
        <f t="shared" ca="1" si="256"/>
        <v>25948573979957.781</v>
      </c>
      <c r="H1822" s="47">
        <f t="shared" ca="1" si="257"/>
        <v>59393335509471.344</v>
      </c>
      <c r="I1822" s="47">
        <f t="shared" ca="1" si="258"/>
        <v>2731788040163.9316</v>
      </c>
      <c r="J1822" s="47">
        <f t="shared" ca="1" si="259"/>
        <v>787592082468.82922</v>
      </c>
      <c r="K1822" s="48">
        <f t="shared" ca="1" si="260"/>
        <v>3.4685316180435937</v>
      </c>
    </row>
    <row r="1823" spans="2:11" ht="15" customHeight="1" x14ac:dyDescent="0.35">
      <c r="B1823" s="5">
        <v>1802</v>
      </c>
      <c r="C1823" s="46">
        <f t="shared" ca="1" si="252"/>
        <v>3.1181410520041144</v>
      </c>
      <c r="D1823" s="47">
        <f t="shared" ca="1" si="253"/>
        <v>6144675163.5137987</v>
      </c>
      <c r="E1823" s="47">
        <f t="shared" ca="1" si="254"/>
        <v>6583801923075.1162</v>
      </c>
      <c r="F1823" s="47">
        <f t="shared" ca="1" si="255"/>
        <v>2172420773249.9834</v>
      </c>
      <c r="G1823" s="47">
        <f t="shared" ca="1" si="256"/>
        <v>816861439449.93762</v>
      </c>
      <c r="H1823" s="47">
        <f t="shared" ca="1" si="257"/>
        <v>6583801923075.1162</v>
      </c>
      <c r="I1823" s="47">
        <f t="shared" ca="1" si="258"/>
        <v>6801144589571.4375</v>
      </c>
      <c r="J1823" s="47">
        <f t="shared" ca="1" si="259"/>
        <v>2264619798682.1875</v>
      </c>
      <c r="K1823" s="48">
        <f t="shared" ca="1" si="260"/>
        <v>3.0032169609791075</v>
      </c>
    </row>
    <row r="1824" spans="2:11" ht="15" customHeight="1" x14ac:dyDescent="0.35">
      <c r="B1824" s="5">
        <v>1803</v>
      </c>
      <c r="C1824" s="46">
        <f t="shared" ca="1" si="252"/>
        <v>3.0869927825918246</v>
      </c>
      <c r="D1824" s="47">
        <f t="shared" ca="1" si="253"/>
        <v>5534263341.4253139</v>
      </c>
      <c r="E1824" s="47">
        <f t="shared" ca="1" si="254"/>
        <v>14590783906260.406</v>
      </c>
      <c r="F1824" s="47">
        <f t="shared" ca="1" si="255"/>
        <v>1690191955203.448</v>
      </c>
      <c r="G1824" s="47">
        <f t="shared" ca="1" si="256"/>
        <v>25462859155423.738</v>
      </c>
      <c r="H1824" s="47">
        <f t="shared" ca="1" si="257"/>
        <v>25462859155423.738</v>
      </c>
      <c r="I1824" s="47">
        <f t="shared" ca="1" si="258"/>
        <v>26588392069051.063</v>
      </c>
      <c r="J1824" s="47">
        <f t="shared" ca="1" si="259"/>
        <v>822005521631.70239</v>
      </c>
      <c r="K1824" s="48">
        <f t="shared" ca="1" si="260"/>
        <v>32.345758476503185</v>
      </c>
    </row>
    <row r="1825" spans="2:11" ht="15" customHeight="1" x14ac:dyDescent="0.35">
      <c r="B1825" s="5">
        <v>1804</v>
      </c>
      <c r="C1825" s="46">
        <f t="shared" ca="1" si="252"/>
        <v>2.6405900889927389</v>
      </c>
      <c r="D1825" s="47">
        <f t="shared" ca="1" si="253"/>
        <v>2568252709.4034953</v>
      </c>
      <c r="E1825" s="47">
        <f t="shared" ca="1" si="254"/>
        <v>5844119861402.9316</v>
      </c>
      <c r="F1825" s="47">
        <f t="shared" ca="1" si="255"/>
        <v>9336746240857.041</v>
      </c>
      <c r="G1825" s="47">
        <f t="shared" ca="1" si="256"/>
        <v>5391242639109.3643</v>
      </c>
      <c r="H1825" s="47">
        <f t="shared" ca="1" si="257"/>
        <v>5391242639109.3643</v>
      </c>
      <c r="I1825" s="47">
        <f t="shared" ca="1" si="258"/>
        <v>3049574463985.4302</v>
      </c>
      <c r="J1825" s="47">
        <f t="shared" ca="1" si="259"/>
        <v>1373286414963.4646</v>
      </c>
      <c r="K1825" s="48">
        <f t="shared" ca="1" si="260"/>
        <v>2.2206397957170223</v>
      </c>
    </row>
    <row r="1826" spans="2:11" ht="15" customHeight="1" x14ac:dyDescent="0.35">
      <c r="B1826" s="5">
        <v>1805</v>
      </c>
      <c r="C1826" s="46">
        <f t="shared" ca="1" si="252"/>
        <v>2.4311712416495288</v>
      </c>
      <c r="D1826" s="47">
        <f t="shared" ca="1" si="253"/>
        <v>1902888734.2448778</v>
      </c>
      <c r="E1826" s="47">
        <f t="shared" ca="1" si="254"/>
        <v>10195184416855.254</v>
      </c>
      <c r="F1826" s="47">
        <f t="shared" ca="1" si="255"/>
        <v>1500125144624.8743</v>
      </c>
      <c r="G1826" s="47">
        <f t="shared" ca="1" si="256"/>
        <v>4583801757795.6514</v>
      </c>
      <c r="H1826" s="47">
        <f t="shared" ca="1" si="257"/>
        <v>4583801757795.6514</v>
      </c>
      <c r="I1826" s="47">
        <f t="shared" ca="1" si="258"/>
        <v>226451816671337.28</v>
      </c>
      <c r="J1826" s="47">
        <f t="shared" ca="1" si="259"/>
        <v>796630081005.53772</v>
      </c>
      <c r="K1826" s="48">
        <f t="shared" ca="1" si="260"/>
        <v>284.26219655865987</v>
      </c>
    </row>
    <row r="1827" spans="2:11" ht="15" customHeight="1" x14ac:dyDescent="0.35">
      <c r="B1827" s="5">
        <v>1806</v>
      </c>
      <c r="C1827" s="46">
        <f t="shared" ca="1" si="252"/>
        <v>2.9324960071254456</v>
      </c>
      <c r="D1827" s="47">
        <f t="shared" ca="1" si="253"/>
        <v>4968002210.3039942</v>
      </c>
      <c r="E1827" s="47">
        <f t="shared" ca="1" si="254"/>
        <v>15219886388961.023</v>
      </c>
      <c r="F1827" s="47">
        <f t="shared" ca="1" si="255"/>
        <v>2794905597731.2876</v>
      </c>
      <c r="G1827" s="47">
        <f t="shared" ca="1" si="256"/>
        <v>641082855535.54431</v>
      </c>
      <c r="H1827" s="47">
        <f t="shared" ca="1" si="257"/>
        <v>2794905597731.2876</v>
      </c>
      <c r="I1827" s="47">
        <f t="shared" ca="1" si="258"/>
        <v>24871559810444.129</v>
      </c>
      <c r="J1827" s="47">
        <f t="shared" ca="1" si="259"/>
        <v>941996154814.32312</v>
      </c>
      <c r="K1827" s="48">
        <f t="shared" ca="1" si="260"/>
        <v>26.403037510643092</v>
      </c>
    </row>
    <row r="1828" spans="2:11" ht="15" customHeight="1" x14ac:dyDescent="0.35">
      <c r="B1828" s="5">
        <v>1807</v>
      </c>
      <c r="C1828" s="46">
        <f t="shared" ca="1" si="252"/>
        <v>2.3628394920130011</v>
      </c>
      <c r="D1828" s="47">
        <f t="shared" ca="1" si="253"/>
        <v>1298001395.6058905</v>
      </c>
      <c r="E1828" s="47">
        <f t="shared" ca="1" si="254"/>
        <v>6578727983416.6943</v>
      </c>
      <c r="F1828" s="47">
        <f t="shared" ca="1" si="255"/>
        <v>3049788027902.4033</v>
      </c>
      <c r="G1828" s="47">
        <f t="shared" ca="1" si="256"/>
        <v>1915754208792.9773</v>
      </c>
      <c r="H1828" s="47">
        <f t="shared" ca="1" si="257"/>
        <v>3049788027902.4033</v>
      </c>
      <c r="I1828" s="47">
        <f t="shared" ca="1" si="258"/>
        <v>2943771898410.7627</v>
      </c>
      <c r="J1828" s="47">
        <f t="shared" ca="1" si="259"/>
        <v>1009832930003.4681</v>
      </c>
      <c r="K1828" s="48">
        <f t="shared" ca="1" si="260"/>
        <v>2.915107846998664</v>
      </c>
    </row>
    <row r="1829" spans="2:11" ht="15" customHeight="1" x14ac:dyDescent="0.35">
      <c r="B1829" s="5">
        <v>1808</v>
      </c>
      <c r="C1829" s="46">
        <f t="shared" ca="1" si="252"/>
        <v>2.5585546395037602</v>
      </c>
      <c r="D1829" s="47">
        <f t="shared" ca="1" si="253"/>
        <v>1762839170.0008185</v>
      </c>
      <c r="E1829" s="47">
        <f t="shared" ca="1" si="254"/>
        <v>7088851595549.1797</v>
      </c>
      <c r="F1829" s="47">
        <f t="shared" ca="1" si="255"/>
        <v>7131006589715.5361</v>
      </c>
      <c r="G1829" s="47">
        <f t="shared" ca="1" si="256"/>
        <v>623549017420.62488</v>
      </c>
      <c r="H1829" s="47">
        <f t="shared" ca="1" si="257"/>
        <v>7088851595549.1797</v>
      </c>
      <c r="I1829" s="47">
        <f t="shared" ca="1" si="258"/>
        <v>9371287204980.3184</v>
      </c>
      <c r="J1829" s="47">
        <f t="shared" ca="1" si="259"/>
        <v>1539373833051.7854</v>
      </c>
      <c r="K1829" s="48">
        <f t="shared" ca="1" si="260"/>
        <v>6.0877267131414614</v>
      </c>
    </row>
    <row r="1830" spans="2:11" ht="15" customHeight="1" x14ac:dyDescent="0.35">
      <c r="B1830" s="5">
        <v>1809</v>
      </c>
      <c r="C1830" s="46">
        <f t="shared" ca="1" si="252"/>
        <v>2.9729080795744127</v>
      </c>
      <c r="D1830" s="47">
        <f t="shared" ca="1" si="253"/>
        <v>4363870330.4647579</v>
      </c>
      <c r="E1830" s="47">
        <f t="shared" ca="1" si="254"/>
        <v>9303472412953.9727</v>
      </c>
      <c r="F1830" s="47">
        <f t="shared" ca="1" si="255"/>
        <v>3832914201151.5322</v>
      </c>
      <c r="G1830" s="47">
        <f t="shared" ca="1" si="256"/>
        <v>5823178893444.5977</v>
      </c>
      <c r="H1830" s="47">
        <f t="shared" ca="1" si="257"/>
        <v>5823178893444.5977</v>
      </c>
      <c r="I1830" s="47">
        <f t="shared" ca="1" si="258"/>
        <v>233065110451312.09</v>
      </c>
      <c r="J1830" s="47">
        <f t="shared" ca="1" si="259"/>
        <v>761771311353.40405</v>
      </c>
      <c r="K1830" s="48">
        <f t="shared" ca="1" si="260"/>
        <v>305.95154605814184</v>
      </c>
    </row>
    <row r="1831" spans="2:11" ht="15" customHeight="1" x14ac:dyDescent="0.35">
      <c r="B1831" s="5">
        <v>1810</v>
      </c>
      <c r="C1831" s="46">
        <f t="shared" ca="1" si="252"/>
        <v>3.8531921941405813</v>
      </c>
      <c r="D1831" s="47">
        <f t="shared" ca="1" si="253"/>
        <v>14834100144.136673</v>
      </c>
      <c r="E1831" s="47">
        <f t="shared" ca="1" si="254"/>
        <v>55524731104391.102</v>
      </c>
      <c r="F1831" s="47">
        <f t="shared" ca="1" si="255"/>
        <v>2924528751739.7988</v>
      </c>
      <c r="G1831" s="47">
        <f t="shared" ca="1" si="256"/>
        <v>22913892651461.004</v>
      </c>
      <c r="H1831" s="47">
        <f t="shared" ca="1" si="257"/>
        <v>22913892651461.004</v>
      </c>
      <c r="I1831" s="47">
        <f t="shared" ca="1" si="258"/>
        <v>5446792001957.665</v>
      </c>
      <c r="J1831" s="47">
        <f t="shared" ca="1" si="259"/>
        <v>1100890494421.792</v>
      </c>
      <c r="K1831" s="48">
        <f t="shared" ca="1" si="260"/>
        <v>4.947623791427521</v>
      </c>
    </row>
    <row r="1832" spans="2:11" ht="15" customHeight="1" x14ac:dyDescent="0.35">
      <c r="B1832" s="5">
        <v>1811</v>
      </c>
      <c r="C1832" s="46">
        <f t="shared" ca="1" si="252"/>
        <v>2.667263786526163</v>
      </c>
      <c r="D1832" s="47">
        <f t="shared" ca="1" si="253"/>
        <v>2634914945.7760396</v>
      </c>
      <c r="E1832" s="47">
        <f t="shared" ca="1" si="254"/>
        <v>8030567262117.6748</v>
      </c>
      <c r="F1832" s="47">
        <f t="shared" ca="1" si="255"/>
        <v>1835187263014.0974</v>
      </c>
      <c r="G1832" s="47">
        <f t="shared" ca="1" si="256"/>
        <v>1270481430156.7551</v>
      </c>
      <c r="H1832" s="47">
        <f t="shared" ca="1" si="257"/>
        <v>1270481430156.7551</v>
      </c>
      <c r="I1832" s="47">
        <f t="shared" ca="1" si="258"/>
        <v>15521076018983.584</v>
      </c>
      <c r="J1832" s="47">
        <f t="shared" ca="1" si="259"/>
        <v>1001565827035.9591</v>
      </c>
      <c r="K1832" s="48">
        <f t="shared" ca="1" si="260"/>
        <v>15.496810693828047</v>
      </c>
    </row>
    <row r="1833" spans="2:11" ht="15" customHeight="1" x14ac:dyDescent="0.35">
      <c r="B1833" s="5">
        <v>1812</v>
      </c>
      <c r="C1833" s="46">
        <f t="shared" ca="1" si="252"/>
        <v>2.5419098796966502</v>
      </c>
      <c r="D1833" s="47">
        <f t="shared" ca="1" si="253"/>
        <v>1976926649.3554873</v>
      </c>
      <c r="E1833" s="47">
        <f t="shared" ca="1" si="254"/>
        <v>3845351457907.5107</v>
      </c>
      <c r="F1833" s="47">
        <f t="shared" ca="1" si="255"/>
        <v>6652236748088.5439</v>
      </c>
      <c r="G1833" s="47">
        <f t="shared" ca="1" si="256"/>
        <v>1648000099359.4065</v>
      </c>
      <c r="H1833" s="47">
        <f t="shared" ca="1" si="257"/>
        <v>3845351457907.5107</v>
      </c>
      <c r="I1833" s="47">
        <f t="shared" ca="1" si="258"/>
        <v>4339678493968.6733</v>
      </c>
      <c r="J1833" s="47">
        <f t="shared" ca="1" si="259"/>
        <v>1629926491233.0984</v>
      </c>
      <c r="K1833" s="48">
        <f t="shared" ca="1" si="260"/>
        <v>2.6624995159662381</v>
      </c>
    </row>
    <row r="1834" spans="2:11" ht="15" customHeight="1" x14ac:dyDescent="0.35">
      <c r="B1834" s="5">
        <v>1813</v>
      </c>
      <c r="C1834" s="46">
        <f t="shared" ca="1" si="252"/>
        <v>2.8735813332295246</v>
      </c>
      <c r="D1834" s="47">
        <f t="shared" ca="1" si="253"/>
        <v>4450342476.2850323</v>
      </c>
      <c r="E1834" s="47">
        <f t="shared" ca="1" si="254"/>
        <v>21640164488878.777</v>
      </c>
      <c r="F1834" s="47">
        <f t="shared" ca="1" si="255"/>
        <v>1853817738141.0168</v>
      </c>
      <c r="G1834" s="47">
        <f t="shared" ca="1" si="256"/>
        <v>14325037768812.918</v>
      </c>
      <c r="H1834" s="47">
        <f t="shared" ca="1" si="257"/>
        <v>21640164488878.777</v>
      </c>
      <c r="I1834" s="47">
        <f t="shared" ca="1" si="258"/>
        <v>2769077511596.2891</v>
      </c>
      <c r="J1834" s="47">
        <f t="shared" ca="1" si="259"/>
        <v>1099683956704.6953</v>
      </c>
      <c r="K1834" s="48">
        <f t="shared" ca="1" si="260"/>
        <v>2.5180666633476094</v>
      </c>
    </row>
    <row r="1835" spans="2:11" ht="15" customHeight="1" x14ac:dyDescent="0.35">
      <c r="B1835" s="5">
        <v>1814</v>
      </c>
      <c r="C1835" s="46">
        <f t="shared" ca="1" si="252"/>
        <v>3.3698977176163338</v>
      </c>
      <c r="D1835" s="47">
        <f t="shared" ca="1" si="253"/>
        <v>8123815392.5854883</v>
      </c>
      <c r="E1835" s="47">
        <f t="shared" ca="1" si="254"/>
        <v>26537012065118.906</v>
      </c>
      <c r="F1835" s="47">
        <f t="shared" ca="1" si="255"/>
        <v>3220370440927.6294</v>
      </c>
      <c r="G1835" s="47">
        <f t="shared" ca="1" si="256"/>
        <v>15852738093089.836</v>
      </c>
      <c r="H1835" s="47">
        <f t="shared" ca="1" si="257"/>
        <v>26537012065118.906</v>
      </c>
      <c r="I1835" s="47">
        <f t="shared" ca="1" si="258"/>
        <v>6411400426721.3574</v>
      </c>
      <c r="J1835" s="47">
        <f t="shared" ca="1" si="259"/>
        <v>1993434997698.4475</v>
      </c>
      <c r="K1835" s="48">
        <f t="shared" ca="1" si="260"/>
        <v>3.2162575825766795</v>
      </c>
    </row>
    <row r="1836" spans="2:11" ht="15" customHeight="1" x14ac:dyDescent="0.35">
      <c r="B1836" s="5">
        <v>1815</v>
      </c>
      <c r="C1836" s="46">
        <f t="shared" ca="1" si="252"/>
        <v>2.7619278106819003</v>
      </c>
      <c r="D1836" s="47">
        <f t="shared" ca="1" si="253"/>
        <v>2588882270.5868826</v>
      </c>
      <c r="E1836" s="47">
        <f t="shared" ca="1" si="254"/>
        <v>12622362730441.025</v>
      </c>
      <c r="F1836" s="47">
        <f t="shared" ca="1" si="255"/>
        <v>2118518281557.7761</v>
      </c>
      <c r="G1836" s="47">
        <f t="shared" ca="1" si="256"/>
        <v>53969921019082.781</v>
      </c>
      <c r="H1836" s="47">
        <f t="shared" ca="1" si="257"/>
        <v>2118518281557.7761</v>
      </c>
      <c r="I1836" s="47">
        <f t="shared" ca="1" si="258"/>
        <v>13745005013287.893</v>
      </c>
      <c r="J1836" s="47">
        <f t="shared" ca="1" si="259"/>
        <v>1164297302133.937</v>
      </c>
      <c r="K1836" s="48">
        <f t="shared" ca="1" si="260"/>
        <v>11.805408281970502</v>
      </c>
    </row>
    <row r="1837" spans="2:11" ht="15" customHeight="1" x14ac:dyDescent="0.35">
      <c r="B1837" s="5">
        <v>1816</v>
      </c>
      <c r="C1837" s="46">
        <f t="shared" ca="1" si="252"/>
        <v>2.429005780038576</v>
      </c>
      <c r="D1837" s="47">
        <f t="shared" ca="1" si="253"/>
        <v>1353344056.408293</v>
      </c>
      <c r="E1837" s="47">
        <f t="shared" ca="1" si="254"/>
        <v>2541804252291.5972</v>
      </c>
      <c r="F1837" s="47">
        <f t="shared" ca="1" si="255"/>
        <v>2514649683723.4736</v>
      </c>
      <c r="G1837" s="47">
        <f t="shared" ca="1" si="256"/>
        <v>13498683400656.266</v>
      </c>
      <c r="H1837" s="47">
        <f t="shared" ca="1" si="257"/>
        <v>13498683400656.266</v>
      </c>
      <c r="I1837" s="47">
        <f t="shared" ca="1" si="258"/>
        <v>57709324220689.75</v>
      </c>
      <c r="J1837" s="47">
        <f t="shared" ca="1" si="259"/>
        <v>1481228252429.7705</v>
      </c>
      <c r="K1837" s="48">
        <f t="shared" ca="1" si="260"/>
        <v>38.960453344057399</v>
      </c>
    </row>
    <row r="1838" spans="2:11" ht="15" customHeight="1" x14ac:dyDescent="0.35">
      <c r="B1838" s="5">
        <v>1817</v>
      </c>
      <c r="C1838" s="46">
        <f t="shared" ca="1" si="252"/>
        <v>2.9052157362167561</v>
      </c>
      <c r="D1838" s="47">
        <f t="shared" ca="1" si="253"/>
        <v>4385493473.3579807</v>
      </c>
      <c r="E1838" s="47">
        <f t="shared" ca="1" si="254"/>
        <v>15491542083252.348</v>
      </c>
      <c r="F1838" s="47">
        <f t="shared" ca="1" si="255"/>
        <v>2885409201914.415</v>
      </c>
      <c r="G1838" s="47">
        <f t="shared" ca="1" si="256"/>
        <v>50331379361168.656</v>
      </c>
      <c r="H1838" s="47">
        <f t="shared" ca="1" si="257"/>
        <v>50331379361168.656</v>
      </c>
      <c r="I1838" s="47">
        <f t="shared" ca="1" si="258"/>
        <v>3849564387139.1274</v>
      </c>
      <c r="J1838" s="47">
        <f t="shared" ca="1" si="259"/>
        <v>904655013573.13574</v>
      </c>
      <c r="K1838" s="48">
        <f t="shared" ca="1" si="260"/>
        <v>4.2552844226601021</v>
      </c>
    </row>
    <row r="1839" spans="2:11" ht="15" customHeight="1" x14ac:dyDescent="0.35">
      <c r="B1839" s="5">
        <v>1818</v>
      </c>
      <c r="C1839" s="46">
        <f t="shared" ca="1" si="252"/>
        <v>3.4145588265389515</v>
      </c>
      <c r="D1839" s="47">
        <f t="shared" ca="1" si="253"/>
        <v>10310086987.033714</v>
      </c>
      <c r="E1839" s="47">
        <f t="shared" ca="1" si="254"/>
        <v>26511781770249.844</v>
      </c>
      <c r="F1839" s="47">
        <f t="shared" ca="1" si="255"/>
        <v>1441755941269.5042</v>
      </c>
      <c r="G1839" s="47">
        <f t="shared" ca="1" si="256"/>
        <v>15273060113169.664</v>
      </c>
      <c r="H1839" s="47">
        <f t="shared" ca="1" si="257"/>
        <v>26511781770249.844</v>
      </c>
      <c r="I1839" s="47">
        <f t="shared" ca="1" si="258"/>
        <v>16933337771384.234</v>
      </c>
      <c r="J1839" s="47">
        <f t="shared" ca="1" si="259"/>
        <v>1214909069242.7688</v>
      </c>
      <c r="K1839" s="48">
        <f t="shared" ca="1" si="260"/>
        <v>13.937946633272301</v>
      </c>
    </row>
    <row r="1840" spans="2:11" ht="15" customHeight="1" x14ac:dyDescent="0.35">
      <c r="B1840" s="5">
        <v>1819</v>
      </c>
      <c r="C1840" s="46">
        <f t="shared" ca="1" si="252"/>
        <v>3.4792918286144987</v>
      </c>
      <c r="D1840" s="47">
        <f t="shared" ca="1" si="253"/>
        <v>8423740066.7471867</v>
      </c>
      <c r="E1840" s="47">
        <f t="shared" ca="1" si="254"/>
        <v>64753114499281.531</v>
      </c>
      <c r="F1840" s="47">
        <f t="shared" ca="1" si="255"/>
        <v>509658688153.21466</v>
      </c>
      <c r="G1840" s="47">
        <f t="shared" ca="1" si="256"/>
        <v>570061532521.01453</v>
      </c>
      <c r="H1840" s="47">
        <f t="shared" ca="1" si="257"/>
        <v>509658688153.21466</v>
      </c>
      <c r="I1840" s="47">
        <f t="shared" ca="1" si="258"/>
        <v>30273336077855.027</v>
      </c>
      <c r="J1840" s="47">
        <f t="shared" ca="1" si="259"/>
        <v>1005270010481.7334</v>
      </c>
      <c r="K1840" s="48">
        <f t="shared" ca="1" si="260"/>
        <v>30.11463165338813</v>
      </c>
    </row>
    <row r="1841" spans="2:11" ht="15" customHeight="1" x14ac:dyDescent="0.35">
      <c r="B1841" s="5">
        <v>1820</v>
      </c>
      <c r="C1841" s="46">
        <f t="shared" ca="1" si="252"/>
        <v>2.9548917102472987</v>
      </c>
      <c r="D1841" s="47">
        <f t="shared" ca="1" si="253"/>
        <v>4287742669.9377127</v>
      </c>
      <c r="E1841" s="47">
        <f t="shared" ca="1" si="254"/>
        <v>10241600828607.576</v>
      </c>
      <c r="F1841" s="47">
        <f t="shared" ca="1" si="255"/>
        <v>721732283300.23291</v>
      </c>
      <c r="G1841" s="47">
        <f t="shared" ca="1" si="256"/>
        <v>94107804397319.328</v>
      </c>
      <c r="H1841" s="47">
        <f t="shared" ca="1" si="257"/>
        <v>10241600828607.576</v>
      </c>
      <c r="I1841" s="47">
        <f t="shared" ca="1" si="258"/>
        <v>5037951418886.0088</v>
      </c>
      <c r="J1841" s="47">
        <f t="shared" ca="1" si="259"/>
        <v>2002190366326.6025</v>
      </c>
      <c r="K1841" s="48">
        <f t="shared" ca="1" si="260"/>
        <v>2.5162199876773381</v>
      </c>
    </row>
    <row r="1842" spans="2:11" ht="15" customHeight="1" x14ac:dyDescent="0.35">
      <c r="B1842" s="5">
        <v>1821</v>
      </c>
      <c r="C1842" s="46">
        <f t="shared" ca="1" si="252"/>
        <v>2.567497887302892</v>
      </c>
      <c r="D1842" s="47">
        <f t="shared" ca="1" si="253"/>
        <v>2603605973.7603788</v>
      </c>
      <c r="E1842" s="47">
        <f t="shared" ca="1" si="254"/>
        <v>8090365556345.2334</v>
      </c>
      <c r="F1842" s="47">
        <f t="shared" ca="1" si="255"/>
        <v>453797721688.97937</v>
      </c>
      <c r="G1842" s="47">
        <f t="shared" ca="1" si="256"/>
        <v>698665880596.22473</v>
      </c>
      <c r="H1842" s="47">
        <f t="shared" ca="1" si="257"/>
        <v>8090365556345.2334</v>
      </c>
      <c r="I1842" s="47">
        <f t="shared" ca="1" si="258"/>
        <v>1681219718784.8101</v>
      </c>
      <c r="J1842" s="47">
        <f t="shared" ca="1" si="259"/>
        <v>745742097536.88745</v>
      </c>
      <c r="K1842" s="48">
        <f t="shared" ca="1" si="260"/>
        <v>2.2544251214162547</v>
      </c>
    </row>
    <row r="1843" spans="2:11" ht="15" customHeight="1" x14ac:dyDescent="0.35">
      <c r="B1843" s="5">
        <v>1822</v>
      </c>
      <c r="C1843" s="46">
        <f t="shared" ca="1" si="252"/>
        <v>2.859550034574343</v>
      </c>
      <c r="D1843" s="47">
        <f t="shared" ca="1" si="253"/>
        <v>4331950961.349432</v>
      </c>
      <c r="E1843" s="47">
        <f t="shared" ca="1" si="254"/>
        <v>12477683261810.455</v>
      </c>
      <c r="F1843" s="47">
        <f t="shared" ca="1" si="255"/>
        <v>1094691044018.2288</v>
      </c>
      <c r="G1843" s="47">
        <f t="shared" ca="1" si="256"/>
        <v>2597739828933.5918</v>
      </c>
      <c r="H1843" s="47">
        <f t="shared" ca="1" si="257"/>
        <v>12477683261810.455</v>
      </c>
      <c r="I1843" s="47">
        <f t="shared" ca="1" si="258"/>
        <v>8713234424648.0771</v>
      </c>
      <c r="J1843" s="47">
        <f t="shared" ca="1" si="259"/>
        <v>902495659064.26636</v>
      </c>
      <c r="K1843" s="48">
        <f t="shared" ca="1" si="260"/>
        <v>9.6545998167816247</v>
      </c>
    </row>
    <row r="1844" spans="2:11" ht="15" customHeight="1" x14ac:dyDescent="0.35">
      <c r="B1844" s="5">
        <v>1823</v>
      </c>
      <c r="C1844" s="46">
        <f t="shared" ca="1" si="252"/>
        <v>2.89205269213815</v>
      </c>
      <c r="D1844" s="47">
        <f t="shared" ca="1" si="253"/>
        <v>4715405713.7282009</v>
      </c>
      <c r="E1844" s="47">
        <f t="shared" ca="1" si="254"/>
        <v>21100374034196.711</v>
      </c>
      <c r="F1844" s="47">
        <f t="shared" ca="1" si="255"/>
        <v>3406103714125.1455</v>
      </c>
      <c r="G1844" s="47">
        <f t="shared" ca="1" si="256"/>
        <v>8471326001109.5586</v>
      </c>
      <c r="H1844" s="47">
        <f t="shared" ca="1" si="257"/>
        <v>21100374034196.711</v>
      </c>
      <c r="I1844" s="47">
        <f t="shared" ca="1" si="258"/>
        <v>16283733812969.299</v>
      </c>
      <c r="J1844" s="47">
        <f t="shared" ca="1" si="259"/>
        <v>791708489095.78894</v>
      </c>
      <c r="K1844" s="48">
        <f t="shared" ca="1" si="260"/>
        <v>20.567840356956342</v>
      </c>
    </row>
    <row r="1845" spans="2:11" ht="15" customHeight="1" x14ac:dyDescent="0.35">
      <c r="B1845" s="5">
        <v>1824</v>
      </c>
      <c r="C1845" s="46">
        <f t="shared" ca="1" si="252"/>
        <v>2.655803009328384</v>
      </c>
      <c r="D1845" s="47">
        <f t="shared" ca="1" si="253"/>
        <v>3090707662.2187901</v>
      </c>
      <c r="E1845" s="47">
        <f t="shared" ca="1" si="254"/>
        <v>6354032341359.6064</v>
      </c>
      <c r="F1845" s="47">
        <f t="shared" ca="1" si="255"/>
        <v>1476075073110.2625</v>
      </c>
      <c r="G1845" s="47">
        <f t="shared" ca="1" si="256"/>
        <v>1920515244963.5498</v>
      </c>
      <c r="H1845" s="47">
        <f t="shared" ca="1" si="257"/>
        <v>1476075073110.2625</v>
      </c>
      <c r="I1845" s="47">
        <f t="shared" ca="1" si="258"/>
        <v>1121156885089.3159</v>
      </c>
      <c r="J1845" s="47">
        <f t="shared" ca="1" si="259"/>
        <v>2294741083670.3633</v>
      </c>
      <c r="K1845" s="48">
        <f t="shared" ca="1" si="260"/>
        <v>0.48857663858794131</v>
      </c>
    </row>
    <row r="1846" spans="2:11" ht="15" customHeight="1" x14ac:dyDescent="0.35">
      <c r="B1846" s="5">
        <v>1825</v>
      </c>
      <c r="C1846" s="46">
        <f t="shared" ca="1" si="252"/>
        <v>3.1467725137741644</v>
      </c>
      <c r="D1846" s="47">
        <f t="shared" ca="1" si="253"/>
        <v>7068498633.3947744</v>
      </c>
      <c r="E1846" s="47">
        <f t="shared" ca="1" si="254"/>
        <v>29916006580696.121</v>
      </c>
      <c r="F1846" s="47">
        <f t="shared" ca="1" si="255"/>
        <v>389239920120.74524</v>
      </c>
      <c r="G1846" s="47">
        <f t="shared" ca="1" si="256"/>
        <v>664041877155.07642</v>
      </c>
      <c r="H1846" s="47">
        <f t="shared" ca="1" si="257"/>
        <v>29916006580696.121</v>
      </c>
      <c r="I1846" s="47">
        <f t="shared" ca="1" si="258"/>
        <v>17959928289728.379</v>
      </c>
      <c r="J1846" s="47">
        <f t="shared" ca="1" si="259"/>
        <v>724794225678.9353</v>
      </c>
      <c r="K1846" s="48">
        <f t="shared" ca="1" si="260"/>
        <v>24.779347921687435</v>
      </c>
    </row>
    <row r="1847" spans="2:11" ht="15" customHeight="1" x14ac:dyDescent="0.35">
      <c r="B1847" s="5">
        <v>1826</v>
      </c>
      <c r="C1847" s="46">
        <f t="shared" ca="1" si="252"/>
        <v>2.708817365667572</v>
      </c>
      <c r="D1847" s="47">
        <f t="shared" ca="1" si="253"/>
        <v>3230452890.8000593</v>
      </c>
      <c r="E1847" s="47">
        <f t="shared" ca="1" si="254"/>
        <v>9642554774088.2266</v>
      </c>
      <c r="F1847" s="47">
        <f t="shared" ca="1" si="255"/>
        <v>3764583358444.6382</v>
      </c>
      <c r="G1847" s="47">
        <f t="shared" ca="1" si="256"/>
        <v>46102992164901.492</v>
      </c>
      <c r="H1847" s="47">
        <f t="shared" ca="1" si="257"/>
        <v>9642554774088.2266</v>
      </c>
      <c r="I1847" s="47">
        <f t="shared" ca="1" si="258"/>
        <v>16260156789862.438</v>
      </c>
      <c r="J1847" s="47">
        <f t="shared" ca="1" si="259"/>
        <v>1097519267718.4471</v>
      </c>
      <c r="K1847" s="48">
        <f t="shared" ca="1" si="260"/>
        <v>14.815372511559175</v>
      </c>
    </row>
    <row r="1848" spans="2:11" ht="15" customHeight="1" x14ac:dyDescent="0.35">
      <c r="B1848" s="5">
        <v>1827</v>
      </c>
      <c r="C1848" s="46">
        <f t="shared" ca="1" si="252"/>
        <v>2.7980539722287805</v>
      </c>
      <c r="D1848" s="47">
        <f t="shared" ca="1" si="253"/>
        <v>3885928915.249208</v>
      </c>
      <c r="E1848" s="47">
        <f t="shared" ca="1" si="254"/>
        <v>12348930791594.914</v>
      </c>
      <c r="F1848" s="47">
        <f t="shared" ca="1" si="255"/>
        <v>2858749579451.1689</v>
      </c>
      <c r="G1848" s="47">
        <f t="shared" ca="1" si="256"/>
        <v>2785754744301.4585</v>
      </c>
      <c r="H1848" s="47">
        <f t="shared" ca="1" si="257"/>
        <v>12348930791594.914</v>
      </c>
      <c r="I1848" s="47">
        <f t="shared" ca="1" si="258"/>
        <v>5479553489667.6475</v>
      </c>
      <c r="J1848" s="47">
        <f t="shared" ca="1" si="259"/>
        <v>1019083520211.5315</v>
      </c>
      <c r="K1848" s="48">
        <f t="shared" ca="1" si="260"/>
        <v>5.3769424988152634</v>
      </c>
    </row>
    <row r="1849" spans="2:11" ht="15" customHeight="1" x14ac:dyDescent="0.35">
      <c r="B1849" s="5">
        <v>1828</v>
      </c>
      <c r="C1849" s="46">
        <f t="shared" ca="1" si="252"/>
        <v>3.0875705734094749</v>
      </c>
      <c r="D1849" s="47">
        <f t="shared" ca="1" si="253"/>
        <v>4882300995.5856113</v>
      </c>
      <c r="E1849" s="47">
        <f t="shared" ca="1" si="254"/>
        <v>18894440539975.309</v>
      </c>
      <c r="F1849" s="47">
        <f t="shared" ca="1" si="255"/>
        <v>1188144047615.0313</v>
      </c>
      <c r="G1849" s="47">
        <f t="shared" ca="1" si="256"/>
        <v>1116748168727.677</v>
      </c>
      <c r="H1849" s="47">
        <f t="shared" ca="1" si="257"/>
        <v>1188144047615.0313</v>
      </c>
      <c r="I1849" s="47">
        <f t="shared" ca="1" si="258"/>
        <v>1289333388809.73</v>
      </c>
      <c r="J1849" s="47">
        <f t="shared" ca="1" si="259"/>
        <v>1120543081730.8635</v>
      </c>
      <c r="K1849" s="48">
        <f t="shared" ca="1" si="260"/>
        <v>1.1506325904204791</v>
      </c>
    </row>
    <row r="1850" spans="2:11" ht="15" customHeight="1" x14ac:dyDescent="0.35">
      <c r="B1850" s="5">
        <v>1829</v>
      </c>
      <c r="C1850" s="46">
        <f t="shared" ca="1" si="252"/>
        <v>3.0259923566065745</v>
      </c>
      <c r="D1850" s="47">
        <f t="shared" ca="1" si="253"/>
        <v>5276399124.557271</v>
      </c>
      <c r="E1850" s="47">
        <f t="shared" ca="1" si="254"/>
        <v>29885566516084.445</v>
      </c>
      <c r="F1850" s="47">
        <f t="shared" ca="1" si="255"/>
        <v>3191136108150.3691</v>
      </c>
      <c r="G1850" s="47">
        <f t="shared" ca="1" si="256"/>
        <v>1892686529870.5945</v>
      </c>
      <c r="H1850" s="47">
        <f t="shared" ca="1" si="257"/>
        <v>1892686529870.5945</v>
      </c>
      <c r="I1850" s="47">
        <f t="shared" ca="1" si="258"/>
        <v>12873786903614.32</v>
      </c>
      <c r="J1850" s="47">
        <f t="shared" ca="1" si="259"/>
        <v>1722543115054.1262</v>
      </c>
      <c r="K1850" s="48">
        <f t="shared" ca="1" si="260"/>
        <v>7.4737095351078029</v>
      </c>
    </row>
    <row r="1851" spans="2:11" ht="15" customHeight="1" x14ac:dyDescent="0.35">
      <c r="B1851" s="5">
        <v>1830</v>
      </c>
      <c r="C1851" s="46">
        <f t="shared" ca="1" si="252"/>
        <v>2.6229847580415409</v>
      </c>
      <c r="D1851" s="47">
        <f t="shared" ca="1" si="253"/>
        <v>2787308573.777698</v>
      </c>
      <c r="E1851" s="47">
        <f t="shared" ca="1" si="254"/>
        <v>11842790929380.598</v>
      </c>
      <c r="F1851" s="47">
        <f t="shared" ca="1" si="255"/>
        <v>12966596731298.686</v>
      </c>
      <c r="G1851" s="47">
        <f t="shared" ca="1" si="256"/>
        <v>2470975646173.645</v>
      </c>
      <c r="H1851" s="47">
        <f t="shared" ca="1" si="257"/>
        <v>12966596731298.686</v>
      </c>
      <c r="I1851" s="47">
        <f t="shared" ca="1" si="258"/>
        <v>13035651189591.854</v>
      </c>
      <c r="J1851" s="47">
        <f t="shared" ca="1" si="259"/>
        <v>1094192433517.9532</v>
      </c>
      <c r="K1851" s="48">
        <f t="shared" ca="1" si="260"/>
        <v>11.913490525318979</v>
      </c>
    </row>
    <row r="1852" spans="2:11" ht="15" customHeight="1" x14ac:dyDescent="0.35">
      <c r="B1852" s="5">
        <v>1831</v>
      </c>
      <c r="C1852" s="46">
        <f t="shared" ca="1" si="252"/>
        <v>3.1890165437467686</v>
      </c>
      <c r="D1852" s="47">
        <f t="shared" ca="1" si="253"/>
        <v>6471103062.6091805</v>
      </c>
      <c r="E1852" s="47">
        <f t="shared" ca="1" si="254"/>
        <v>13744722909631.734</v>
      </c>
      <c r="F1852" s="47">
        <f t="shared" ca="1" si="255"/>
        <v>3343731978804.02</v>
      </c>
      <c r="G1852" s="47">
        <f t="shared" ca="1" si="256"/>
        <v>10417022409450.166</v>
      </c>
      <c r="H1852" s="47">
        <f t="shared" ca="1" si="257"/>
        <v>3343731978804.02</v>
      </c>
      <c r="I1852" s="47">
        <f t="shared" ca="1" si="258"/>
        <v>3433575257093.1211</v>
      </c>
      <c r="J1852" s="47">
        <f t="shared" ca="1" si="259"/>
        <v>1826640024932.7014</v>
      </c>
      <c r="K1852" s="48">
        <f t="shared" ca="1" si="260"/>
        <v>1.879721899348846</v>
      </c>
    </row>
    <row r="1853" spans="2:11" ht="15" customHeight="1" x14ac:dyDescent="0.35">
      <c r="B1853" s="5">
        <v>1832</v>
      </c>
      <c r="C1853" s="46">
        <f t="shared" ca="1" si="252"/>
        <v>2.6838691850267473</v>
      </c>
      <c r="D1853" s="47">
        <f t="shared" ca="1" si="253"/>
        <v>3202967457.5031619</v>
      </c>
      <c r="E1853" s="47">
        <f t="shared" ca="1" si="254"/>
        <v>6482979953531.4941</v>
      </c>
      <c r="F1853" s="47">
        <f t="shared" ca="1" si="255"/>
        <v>26437749750409.012</v>
      </c>
      <c r="G1853" s="47">
        <f t="shared" ca="1" si="256"/>
        <v>22356604592028.027</v>
      </c>
      <c r="H1853" s="47">
        <f t="shared" ca="1" si="257"/>
        <v>26437749750409.012</v>
      </c>
      <c r="I1853" s="47">
        <f t="shared" ca="1" si="258"/>
        <v>6723486834765.5068</v>
      </c>
      <c r="J1853" s="47">
        <f t="shared" ca="1" si="259"/>
        <v>1731552183967.9666</v>
      </c>
      <c r="K1853" s="48">
        <f t="shared" ca="1" si="260"/>
        <v>3.8829247521482091</v>
      </c>
    </row>
    <row r="1854" spans="2:11" ht="15" customHeight="1" x14ac:dyDescent="0.35">
      <c r="B1854" s="5">
        <v>1833</v>
      </c>
      <c r="C1854" s="46">
        <f t="shared" ca="1" si="252"/>
        <v>2.6965968435791097</v>
      </c>
      <c r="D1854" s="47">
        <f t="shared" ca="1" si="253"/>
        <v>2324555401.0200391</v>
      </c>
      <c r="E1854" s="47">
        <f t="shared" ca="1" si="254"/>
        <v>25846752349774.723</v>
      </c>
      <c r="F1854" s="47">
        <f t="shared" ca="1" si="255"/>
        <v>8339419122307.5859</v>
      </c>
      <c r="G1854" s="47">
        <f t="shared" ca="1" si="256"/>
        <v>813252773717.31934</v>
      </c>
      <c r="H1854" s="47">
        <f t="shared" ca="1" si="257"/>
        <v>25846752349774.723</v>
      </c>
      <c r="I1854" s="47">
        <f t="shared" ca="1" si="258"/>
        <v>14261161986138.875</v>
      </c>
      <c r="J1854" s="47">
        <f t="shared" ca="1" si="259"/>
        <v>1166400398018.5916</v>
      </c>
      <c r="K1854" s="48">
        <f t="shared" ca="1" si="260"/>
        <v>12.226643621148321</v>
      </c>
    </row>
    <row r="1855" spans="2:11" ht="15" customHeight="1" x14ac:dyDescent="0.35">
      <c r="B1855" s="5">
        <v>1834</v>
      </c>
      <c r="C1855" s="46">
        <f t="shared" ca="1" si="252"/>
        <v>3.6028842029993942</v>
      </c>
      <c r="D1855" s="47">
        <f t="shared" ca="1" si="253"/>
        <v>13987172722.870609</v>
      </c>
      <c r="E1855" s="47">
        <f t="shared" ca="1" si="254"/>
        <v>22899859608167.68</v>
      </c>
      <c r="F1855" s="47">
        <f t="shared" ca="1" si="255"/>
        <v>623992078642.33508</v>
      </c>
      <c r="G1855" s="47">
        <f t="shared" ca="1" si="256"/>
        <v>5174848459021.3896</v>
      </c>
      <c r="H1855" s="47">
        <f t="shared" ca="1" si="257"/>
        <v>22899859608167.68</v>
      </c>
      <c r="I1855" s="47">
        <f t="shared" ca="1" si="258"/>
        <v>109092095715358.08</v>
      </c>
      <c r="J1855" s="47">
        <f t="shared" ca="1" si="259"/>
        <v>1858846527100.8135</v>
      </c>
      <c r="K1855" s="48">
        <f t="shared" ca="1" si="260"/>
        <v>58.688059570741274</v>
      </c>
    </row>
    <row r="1856" spans="2:11" ht="15" customHeight="1" x14ac:dyDescent="0.35">
      <c r="B1856" s="5">
        <v>1835</v>
      </c>
      <c r="C1856" s="46">
        <f t="shared" ca="1" si="252"/>
        <v>2.4048481410695675</v>
      </c>
      <c r="D1856" s="47">
        <f t="shared" ca="1" si="253"/>
        <v>1619711806.5028136</v>
      </c>
      <c r="E1856" s="47">
        <f t="shared" ca="1" si="254"/>
        <v>8128317788822.3193</v>
      </c>
      <c r="F1856" s="47">
        <f t="shared" ca="1" si="255"/>
        <v>573550949041.21973</v>
      </c>
      <c r="G1856" s="47">
        <f t="shared" ca="1" si="256"/>
        <v>1296004026057.6274</v>
      </c>
      <c r="H1856" s="47">
        <f t="shared" ca="1" si="257"/>
        <v>8128317788822.3193</v>
      </c>
      <c r="I1856" s="47">
        <f t="shared" ca="1" si="258"/>
        <v>32377625109906.215</v>
      </c>
      <c r="J1856" s="47">
        <f t="shared" ca="1" si="259"/>
        <v>915854371811.36499</v>
      </c>
      <c r="K1856" s="48">
        <f t="shared" ca="1" si="260"/>
        <v>35.352372720425151</v>
      </c>
    </row>
    <row r="1857" spans="2:11" ht="15" customHeight="1" x14ac:dyDescent="0.35">
      <c r="B1857" s="5">
        <v>1836</v>
      </c>
      <c r="C1857" s="46">
        <f t="shared" ca="1" si="252"/>
        <v>3.6342654079527597</v>
      </c>
      <c r="D1857" s="47">
        <f t="shared" ca="1" si="253"/>
        <v>14754168699.356087</v>
      </c>
      <c r="E1857" s="47">
        <f t="shared" ca="1" si="254"/>
        <v>66869788365646.688</v>
      </c>
      <c r="F1857" s="47">
        <f t="shared" ca="1" si="255"/>
        <v>9707669190014.5</v>
      </c>
      <c r="G1857" s="47">
        <f t="shared" ca="1" si="256"/>
        <v>3170523992075.8481</v>
      </c>
      <c r="H1857" s="47">
        <f t="shared" ca="1" si="257"/>
        <v>9707669190014.5</v>
      </c>
      <c r="I1857" s="47">
        <f t="shared" ca="1" si="258"/>
        <v>2635924329114.5732</v>
      </c>
      <c r="J1857" s="47">
        <f t="shared" ca="1" si="259"/>
        <v>751264971429.50574</v>
      </c>
      <c r="K1857" s="48">
        <f t="shared" ca="1" si="260"/>
        <v>3.50864798620777</v>
      </c>
    </row>
    <row r="1858" spans="2:11" ht="15" customHeight="1" x14ac:dyDescent="0.35">
      <c r="B1858" s="5">
        <v>1837</v>
      </c>
      <c r="C1858" s="46">
        <f t="shared" ca="1" si="252"/>
        <v>3.5986634782071132</v>
      </c>
      <c r="D1858" s="47">
        <f t="shared" ca="1" si="253"/>
        <v>9693545322.6788311</v>
      </c>
      <c r="E1858" s="47">
        <f t="shared" ca="1" si="254"/>
        <v>37518645463877.133</v>
      </c>
      <c r="F1858" s="47">
        <f t="shared" ca="1" si="255"/>
        <v>1585633710357.3862</v>
      </c>
      <c r="G1858" s="47">
        <f t="shared" ca="1" si="256"/>
        <v>37571914774800.758</v>
      </c>
      <c r="H1858" s="47">
        <f t="shared" ca="1" si="257"/>
        <v>37571914774800.758</v>
      </c>
      <c r="I1858" s="47">
        <f t="shared" ca="1" si="258"/>
        <v>96416847097190.156</v>
      </c>
      <c r="J1858" s="47">
        <f t="shared" ca="1" si="259"/>
        <v>1784729527188.4495</v>
      </c>
      <c r="K1858" s="48">
        <f t="shared" ca="1" si="260"/>
        <v>54.023226280723435</v>
      </c>
    </row>
    <row r="1859" spans="2:11" ht="15" customHeight="1" x14ac:dyDescent="0.35">
      <c r="B1859" s="5">
        <v>1838</v>
      </c>
      <c r="C1859" s="46">
        <f t="shared" ca="1" si="252"/>
        <v>2.5985498560202589</v>
      </c>
      <c r="D1859" s="47">
        <f t="shared" ca="1" si="253"/>
        <v>1964027739.1499171</v>
      </c>
      <c r="E1859" s="47">
        <f t="shared" ca="1" si="254"/>
        <v>5617773378592.3691</v>
      </c>
      <c r="F1859" s="47">
        <f t="shared" ca="1" si="255"/>
        <v>3196002267636.2432</v>
      </c>
      <c r="G1859" s="47">
        <f t="shared" ca="1" si="256"/>
        <v>269777828136.87549</v>
      </c>
      <c r="H1859" s="47">
        <f t="shared" ca="1" si="257"/>
        <v>3196002267636.2432</v>
      </c>
      <c r="I1859" s="47">
        <f t="shared" ca="1" si="258"/>
        <v>28774234442050.867</v>
      </c>
      <c r="J1859" s="47">
        <f t="shared" ca="1" si="259"/>
        <v>1723687170591.0481</v>
      </c>
      <c r="K1859" s="48">
        <f t="shared" ca="1" si="260"/>
        <v>16.693420321846599</v>
      </c>
    </row>
    <row r="1860" spans="2:11" ht="15" customHeight="1" x14ac:dyDescent="0.35">
      <c r="B1860" s="5">
        <v>1839</v>
      </c>
      <c r="C1860" s="46">
        <f t="shared" ca="1" si="252"/>
        <v>3.5769486120875063</v>
      </c>
      <c r="D1860" s="47">
        <f t="shared" ca="1" si="253"/>
        <v>13186197945.195768</v>
      </c>
      <c r="E1860" s="47">
        <f t="shared" ca="1" si="254"/>
        <v>37211009222402.094</v>
      </c>
      <c r="F1860" s="47">
        <f t="shared" ca="1" si="255"/>
        <v>3600773569033.0107</v>
      </c>
      <c r="G1860" s="47">
        <f t="shared" ca="1" si="256"/>
        <v>122512439222869.2</v>
      </c>
      <c r="H1860" s="47">
        <f t="shared" ca="1" si="257"/>
        <v>37211009222402.094</v>
      </c>
      <c r="I1860" s="47">
        <f t="shared" ca="1" si="258"/>
        <v>19966208425041.75</v>
      </c>
      <c r="J1860" s="47">
        <f t="shared" ca="1" si="259"/>
        <v>2468015241799.9897</v>
      </c>
      <c r="K1860" s="48">
        <f t="shared" ca="1" si="260"/>
        <v>8.0899858667322722</v>
      </c>
    </row>
    <row r="1861" spans="2:11" ht="15" customHeight="1" x14ac:dyDescent="0.35">
      <c r="B1861" s="5">
        <v>1840</v>
      </c>
      <c r="C1861" s="46">
        <f t="shared" ca="1" si="252"/>
        <v>2.6146407357626105</v>
      </c>
      <c r="D1861" s="47">
        <f t="shared" ca="1" si="253"/>
        <v>2759279863.4683557</v>
      </c>
      <c r="E1861" s="47">
        <f t="shared" ca="1" si="254"/>
        <v>3093103453502.8228</v>
      </c>
      <c r="F1861" s="47">
        <f t="shared" ca="1" si="255"/>
        <v>5369222661626.2266</v>
      </c>
      <c r="G1861" s="47">
        <f t="shared" ca="1" si="256"/>
        <v>18030143990358.27</v>
      </c>
      <c r="H1861" s="47">
        <f t="shared" ca="1" si="257"/>
        <v>3093103453502.8228</v>
      </c>
      <c r="I1861" s="47">
        <f t="shared" ca="1" si="258"/>
        <v>13274575924247.842</v>
      </c>
      <c r="J1861" s="47">
        <f t="shared" ca="1" si="259"/>
        <v>513767682184.54706</v>
      </c>
      <c r="K1861" s="48">
        <f t="shared" ca="1" si="260"/>
        <v>25.837701327970198</v>
      </c>
    </row>
    <row r="1862" spans="2:11" ht="15" customHeight="1" x14ac:dyDescent="0.35">
      <c r="B1862" s="5">
        <v>1841</v>
      </c>
      <c r="C1862" s="46">
        <f t="shared" ca="1" si="252"/>
        <v>3.1411441381882894</v>
      </c>
      <c r="D1862" s="47">
        <f t="shared" ca="1" si="253"/>
        <v>5500254880.8938503</v>
      </c>
      <c r="E1862" s="47">
        <f t="shared" ca="1" si="254"/>
        <v>35524333289122.977</v>
      </c>
      <c r="F1862" s="47">
        <f t="shared" ca="1" si="255"/>
        <v>541652988734.44171</v>
      </c>
      <c r="G1862" s="47">
        <f t="shared" ca="1" si="256"/>
        <v>5342340878442.9336</v>
      </c>
      <c r="H1862" s="47">
        <f t="shared" ca="1" si="257"/>
        <v>35524333289122.977</v>
      </c>
      <c r="I1862" s="47">
        <f t="shared" ca="1" si="258"/>
        <v>3753723934066.0322</v>
      </c>
      <c r="J1862" s="47">
        <f t="shared" ca="1" si="259"/>
        <v>1957595926485.3398</v>
      </c>
      <c r="K1862" s="48">
        <f t="shared" ca="1" si="260"/>
        <v>1.9175172379958174</v>
      </c>
    </row>
    <row r="1863" spans="2:11" ht="15" customHeight="1" x14ac:dyDescent="0.35">
      <c r="B1863" s="5">
        <v>1842</v>
      </c>
      <c r="C1863" s="46">
        <f t="shared" ca="1" si="252"/>
        <v>2.8296681753980146</v>
      </c>
      <c r="D1863" s="47">
        <f t="shared" ca="1" si="253"/>
        <v>4335052748.5697336</v>
      </c>
      <c r="E1863" s="47">
        <f t="shared" ca="1" si="254"/>
        <v>10510735955826.193</v>
      </c>
      <c r="F1863" s="47">
        <f t="shared" ca="1" si="255"/>
        <v>5202303987845.3887</v>
      </c>
      <c r="G1863" s="47">
        <f t="shared" ca="1" si="256"/>
        <v>159044013340.89612</v>
      </c>
      <c r="H1863" s="47">
        <f t="shared" ca="1" si="257"/>
        <v>159044013340.89612</v>
      </c>
      <c r="I1863" s="47">
        <f t="shared" ca="1" si="258"/>
        <v>42974644846094.797</v>
      </c>
      <c r="J1863" s="47">
        <f t="shared" ca="1" si="259"/>
        <v>1663362085356.1677</v>
      </c>
      <c r="K1863" s="48">
        <f t="shared" ca="1" si="260"/>
        <v>25.836013231534519</v>
      </c>
    </row>
    <row r="1864" spans="2:11" ht="15" customHeight="1" x14ac:dyDescent="0.35">
      <c r="B1864" s="5">
        <v>1843</v>
      </c>
      <c r="C1864" s="46">
        <f t="shared" ca="1" si="252"/>
        <v>3.430087066651458</v>
      </c>
      <c r="D1864" s="47">
        <f t="shared" ca="1" si="253"/>
        <v>9759691598.4928455</v>
      </c>
      <c r="E1864" s="47">
        <f t="shared" ca="1" si="254"/>
        <v>106599061564604.59</v>
      </c>
      <c r="F1864" s="47">
        <f t="shared" ca="1" si="255"/>
        <v>186480616630.93137</v>
      </c>
      <c r="G1864" s="47">
        <f t="shared" ca="1" si="256"/>
        <v>499792031963594.31</v>
      </c>
      <c r="H1864" s="47">
        <f t="shared" ca="1" si="257"/>
        <v>499792031963594.31</v>
      </c>
      <c r="I1864" s="47">
        <f t="shared" ca="1" si="258"/>
        <v>8215903213566.3965</v>
      </c>
      <c r="J1864" s="47">
        <f t="shared" ca="1" si="259"/>
        <v>2054268677960.9148</v>
      </c>
      <c r="K1864" s="48">
        <f t="shared" ca="1" si="260"/>
        <v>3.9994297248992643</v>
      </c>
    </row>
    <row r="1865" spans="2:11" ht="15" customHeight="1" x14ac:dyDescent="0.35">
      <c r="B1865" s="5">
        <v>1844</v>
      </c>
      <c r="C1865" s="46">
        <f t="shared" ca="1" si="252"/>
        <v>2.815734136598766</v>
      </c>
      <c r="D1865" s="47">
        <f t="shared" ca="1" si="253"/>
        <v>2959607558.3729382</v>
      </c>
      <c r="E1865" s="47">
        <f t="shared" ca="1" si="254"/>
        <v>10961650085026.781</v>
      </c>
      <c r="F1865" s="47">
        <f t="shared" ca="1" si="255"/>
        <v>2485853147285.8413</v>
      </c>
      <c r="G1865" s="47">
        <f t="shared" ca="1" si="256"/>
        <v>3550545526754.8169</v>
      </c>
      <c r="H1865" s="47">
        <f t="shared" ca="1" si="257"/>
        <v>10961650085026.781</v>
      </c>
      <c r="I1865" s="47">
        <f t="shared" ca="1" si="258"/>
        <v>27531605033717.727</v>
      </c>
      <c r="J1865" s="47">
        <f t="shared" ca="1" si="259"/>
        <v>569815127390.50098</v>
      </c>
      <c r="K1865" s="48">
        <f t="shared" ca="1" si="260"/>
        <v>48.316732410738538</v>
      </c>
    </row>
    <row r="1866" spans="2:11" ht="15" customHeight="1" x14ac:dyDescent="0.35">
      <c r="B1866" s="5">
        <v>1845</v>
      </c>
      <c r="C1866" s="46">
        <f t="shared" ca="1" si="252"/>
        <v>2.9698327232862307</v>
      </c>
      <c r="D1866" s="47">
        <f t="shared" ca="1" si="253"/>
        <v>5215605137.5577822</v>
      </c>
      <c r="E1866" s="47">
        <f t="shared" ca="1" si="254"/>
        <v>23499562778307.547</v>
      </c>
      <c r="F1866" s="47">
        <f t="shared" ca="1" si="255"/>
        <v>10086924640506.146</v>
      </c>
      <c r="G1866" s="47">
        <f t="shared" ca="1" si="256"/>
        <v>4605372472910.71</v>
      </c>
      <c r="H1866" s="47">
        <f t="shared" ca="1" si="257"/>
        <v>23499562778307.547</v>
      </c>
      <c r="I1866" s="47">
        <f t="shared" ca="1" si="258"/>
        <v>18574402061444.316</v>
      </c>
      <c r="J1866" s="47">
        <f t="shared" ca="1" si="259"/>
        <v>699563135850.83215</v>
      </c>
      <c r="K1866" s="48">
        <f t="shared" ca="1" si="260"/>
        <v>26.551430613697942</v>
      </c>
    </row>
    <row r="1867" spans="2:11" ht="15" customHeight="1" x14ac:dyDescent="0.35">
      <c r="B1867" s="5">
        <v>1846</v>
      </c>
      <c r="C1867" s="46">
        <f t="shared" ca="1" si="252"/>
        <v>2.7775098173655439</v>
      </c>
      <c r="D1867" s="47">
        <f t="shared" ca="1" si="253"/>
        <v>3540484861.3754034</v>
      </c>
      <c r="E1867" s="47">
        <f t="shared" ca="1" si="254"/>
        <v>16281711202854.434</v>
      </c>
      <c r="F1867" s="47">
        <f t="shared" ca="1" si="255"/>
        <v>4566718113288.1572</v>
      </c>
      <c r="G1867" s="47">
        <f t="shared" ca="1" si="256"/>
        <v>1284807779931.998</v>
      </c>
      <c r="H1867" s="47">
        <f t="shared" ca="1" si="257"/>
        <v>16281711202854.434</v>
      </c>
      <c r="I1867" s="47">
        <f t="shared" ca="1" si="258"/>
        <v>11470380637615.279</v>
      </c>
      <c r="J1867" s="47">
        <f t="shared" ca="1" si="259"/>
        <v>692186781034.73926</v>
      </c>
      <c r="K1867" s="48">
        <f t="shared" ca="1" si="260"/>
        <v>16.571221745189046</v>
      </c>
    </row>
    <row r="1868" spans="2:11" ht="15" customHeight="1" x14ac:dyDescent="0.35">
      <c r="B1868" s="5">
        <v>1847</v>
      </c>
      <c r="C1868" s="46">
        <f t="shared" ca="1" si="252"/>
        <v>2.6684796755047202</v>
      </c>
      <c r="D1868" s="47">
        <f t="shared" ca="1" si="253"/>
        <v>2755466039.7634721</v>
      </c>
      <c r="E1868" s="47">
        <f t="shared" ca="1" si="254"/>
        <v>7856504264926.5742</v>
      </c>
      <c r="F1868" s="47">
        <f t="shared" ca="1" si="255"/>
        <v>9178825413542.0918</v>
      </c>
      <c r="G1868" s="47">
        <f t="shared" ca="1" si="256"/>
        <v>8300093983016.3574</v>
      </c>
      <c r="H1868" s="47">
        <f t="shared" ca="1" si="257"/>
        <v>9178825413542.0918</v>
      </c>
      <c r="I1868" s="47">
        <f t="shared" ca="1" si="258"/>
        <v>48581927673430.242</v>
      </c>
      <c r="J1868" s="47">
        <f t="shared" ca="1" si="259"/>
        <v>1021958273500.8969</v>
      </c>
      <c r="K1868" s="48">
        <f t="shared" ca="1" si="260"/>
        <v>47.538073650506639</v>
      </c>
    </row>
    <row r="1869" spans="2:11" ht="15" customHeight="1" x14ac:dyDescent="0.35">
      <c r="B1869" s="5">
        <v>1848</v>
      </c>
      <c r="C1869" s="46">
        <f t="shared" ca="1" si="252"/>
        <v>3.4609626421109332</v>
      </c>
      <c r="D1869" s="47">
        <f t="shared" ca="1" si="253"/>
        <v>11370462939.600878</v>
      </c>
      <c r="E1869" s="47">
        <f t="shared" ca="1" si="254"/>
        <v>24605201683493.34</v>
      </c>
      <c r="F1869" s="47">
        <f t="shared" ca="1" si="255"/>
        <v>1627987769002.5422</v>
      </c>
      <c r="G1869" s="47">
        <f t="shared" ca="1" si="256"/>
        <v>7926791247174.1523</v>
      </c>
      <c r="H1869" s="47">
        <f t="shared" ca="1" si="257"/>
        <v>7926791247174.1523</v>
      </c>
      <c r="I1869" s="47">
        <f t="shared" ca="1" si="258"/>
        <v>52697659853836.523</v>
      </c>
      <c r="J1869" s="47">
        <f t="shared" ca="1" si="259"/>
        <v>994102640252.85791</v>
      </c>
      <c r="K1869" s="48">
        <f t="shared" ca="1" si="260"/>
        <v>53.010280548528122</v>
      </c>
    </row>
    <row r="1870" spans="2:11" ht="15" customHeight="1" x14ac:dyDescent="0.35">
      <c r="B1870" s="5">
        <v>1849</v>
      </c>
      <c r="C1870" s="46">
        <f t="shared" ca="1" si="252"/>
        <v>3.3598014894158963</v>
      </c>
      <c r="D1870" s="47">
        <f t="shared" ca="1" si="253"/>
        <v>8756026915.1771927</v>
      </c>
      <c r="E1870" s="47">
        <f t="shared" ca="1" si="254"/>
        <v>51743795664335.063</v>
      </c>
      <c r="F1870" s="47">
        <f t="shared" ca="1" si="255"/>
        <v>4579010071312.3447</v>
      </c>
      <c r="G1870" s="47">
        <f t="shared" ca="1" si="256"/>
        <v>3149865849428.062</v>
      </c>
      <c r="H1870" s="47">
        <f t="shared" ca="1" si="257"/>
        <v>4579010071312.3447</v>
      </c>
      <c r="I1870" s="47">
        <f t="shared" ca="1" si="258"/>
        <v>2193481202533.45</v>
      </c>
      <c r="J1870" s="47">
        <f t="shared" ca="1" si="259"/>
        <v>2337183485578.8823</v>
      </c>
      <c r="K1870" s="48">
        <f t="shared" ca="1" si="260"/>
        <v>0.93851476192086836</v>
      </c>
    </row>
    <row r="1871" spans="2:11" ht="15" customHeight="1" x14ac:dyDescent="0.35">
      <c r="B1871" s="5">
        <v>1850</v>
      </c>
      <c r="C1871" s="46">
        <f t="shared" ca="1" si="252"/>
        <v>3.5997066905842896</v>
      </c>
      <c r="D1871" s="47">
        <f t="shared" ca="1" si="253"/>
        <v>13017653897.142756</v>
      </c>
      <c r="E1871" s="47">
        <f t="shared" ca="1" si="254"/>
        <v>25182066687248.766</v>
      </c>
      <c r="F1871" s="47">
        <f t="shared" ca="1" si="255"/>
        <v>3714766406976.0962</v>
      </c>
      <c r="G1871" s="47">
        <f t="shared" ca="1" si="256"/>
        <v>4312818670591.0405</v>
      </c>
      <c r="H1871" s="47">
        <f t="shared" ca="1" si="257"/>
        <v>3714766406976.0962</v>
      </c>
      <c r="I1871" s="47">
        <f t="shared" ca="1" si="258"/>
        <v>37643674342325.43</v>
      </c>
      <c r="J1871" s="47">
        <f t="shared" ca="1" si="259"/>
        <v>1647527227377.377</v>
      </c>
      <c r="K1871" s="48">
        <f t="shared" ca="1" si="260"/>
        <v>22.84859012755053</v>
      </c>
    </row>
    <row r="1872" spans="2:11" ht="15" customHeight="1" x14ac:dyDescent="0.35">
      <c r="B1872" s="5">
        <v>1851</v>
      </c>
      <c r="C1872" s="46">
        <f t="shared" ca="1" si="252"/>
        <v>2.7248975372305373</v>
      </c>
      <c r="D1872" s="47">
        <f t="shared" ca="1" si="253"/>
        <v>3031259771.9423752</v>
      </c>
      <c r="E1872" s="47">
        <f t="shared" ca="1" si="254"/>
        <v>40971330450924.195</v>
      </c>
      <c r="F1872" s="47">
        <f t="shared" ca="1" si="255"/>
        <v>272955509176.4313</v>
      </c>
      <c r="G1872" s="47">
        <f t="shared" ca="1" si="256"/>
        <v>3013802097864.0449</v>
      </c>
      <c r="H1872" s="47">
        <f t="shared" ca="1" si="257"/>
        <v>272955509176.4313</v>
      </c>
      <c r="I1872" s="47">
        <f t="shared" ca="1" si="258"/>
        <v>3751995260375.439</v>
      </c>
      <c r="J1872" s="47">
        <f t="shared" ca="1" si="259"/>
        <v>1663461083485.7432</v>
      </c>
      <c r="K1872" s="48">
        <f t="shared" ca="1" si="260"/>
        <v>2.2555353399150295</v>
      </c>
    </row>
    <row r="1873" spans="2:11" ht="15" customHeight="1" x14ac:dyDescent="0.35">
      <c r="B1873" s="5">
        <v>1852</v>
      </c>
      <c r="C1873" s="46">
        <f t="shared" ca="1" si="252"/>
        <v>3.1215952567904051</v>
      </c>
      <c r="D1873" s="47">
        <f t="shared" ca="1" si="253"/>
        <v>6766042466.916791</v>
      </c>
      <c r="E1873" s="47">
        <f t="shared" ca="1" si="254"/>
        <v>44834855833948.945</v>
      </c>
      <c r="F1873" s="47">
        <f t="shared" ca="1" si="255"/>
        <v>10342652950664.064</v>
      </c>
      <c r="G1873" s="47">
        <f t="shared" ca="1" si="256"/>
        <v>1910028994663.1628</v>
      </c>
      <c r="H1873" s="47">
        <f t="shared" ca="1" si="257"/>
        <v>1910028994663.1628</v>
      </c>
      <c r="I1873" s="47">
        <f t="shared" ca="1" si="258"/>
        <v>10052225398256.826</v>
      </c>
      <c r="J1873" s="47">
        <f t="shared" ca="1" si="259"/>
        <v>1868166363367.9644</v>
      </c>
      <c r="K1873" s="48">
        <f t="shared" ca="1" si="260"/>
        <v>5.3807977679966852</v>
      </c>
    </row>
    <row r="1874" spans="2:11" ht="15" customHeight="1" x14ac:dyDescent="0.35">
      <c r="B1874" s="5">
        <v>1853</v>
      </c>
      <c r="C1874" s="46">
        <f t="shared" ca="1" si="252"/>
        <v>2.7891776100772714</v>
      </c>
      <c r="D1874" s="47">
        <f t="shared" ca="1" si="253"/>
        <v>3113622583.1177583</v>
      </c>
      <c r="E1874" s="47">
        <f t="shared" ca="1" si="254"/>
        <v>8123493964240.29</v>
      </c>
      <c r="F1874" s="47">
        <f t="shared" ca="1" si="255"/>
        <v>8237179519291.8203</v>
      </c>
      <c r="G1874" s="47">
        <f t="shared" ca="1" si="256"/>
        <v>5636299528982.4043</v>
      </c>
      <c r="H1874" s="47">
        <f t="shared" ca="1" si="257"/>
        <v>8237179519291.8203</v>
      </c>
      <c r="I1874" s="47">
        <f t="shared" ca="1" si="258"/>
        <v>7346868341357.248</v>
      </c>
      <c r="J1874" s="47">
        <f t="shared" ca="1" si="259"/>
        <v>794685009147.8407</v>
      </c>
      <c r="K1874" s="48">
        <f t="shared" ca="1" si="260"/>
        <v>9.2450068351427266</v>
      </c>
    </row>
    <row r="1875" spans="2:11" ht="15" customHeight="1" x14ac:dyDescent="0.35">
      <c r="B1875" s="5">
        <v>1854</v>
      </c>
      <c r="C1875" s="46">
        <f t="shared" ca="1" si="252"/>
        <v>2.0563436574109786</v>
      </c>
      <c r="D1875" s="47">
        <f t="shared" ca="1" si="253"/>
        <v>735917770.68973136</v>
      </c>
      <c r="E1875" s="47">
        <f t="shared" ca="1" si="254"/>
        <v>503335572845.79095</v>
      </c>
      <c r="F1875" s="47">
        <f t="shared" ca="1" si="255"/>
        <v>108185313437239.25</v>
      </c>
      <c r="G1875" s="47">
        <f t="shared" ca="1" si="256"/>
        <v>2168506138310.8384</v>
      </c>
      <c r="H1875" s="47">
        <f t="shared" ca="1" si="257"/>
        <v>108185313437239.25</v>
      </c>
      <c r="I1875" s="47">
        <f t="shared" ca="1" si="258"/>
        <v>6398197379541.6494</v>
      </c>
      <c r="J1875" s="47">
        <f t="shared" ca="1" si="259"/>
        <v>1238423514435.5872</v>
      </c>
      <c r="K1875" s="48">
        <f t="shared" ca="1" si="260"/>
        <v>5.1664049535248324</v>
      </c>
    </row>
    <row r="1876" spans="2:11" ht="15" customHeight="1" x14ac:dyDescent="0.35">
      <c r="B1876" s="5">
        <v>1855</v>
      </c>
      <c r="C1876" s="46">
        <f t="shared" ca="1" si="252"/>
        <v>3.2187586711430187</v>
      </c>
      <c r="D1876" s="47">
        <f t="shared" ca="1" si="253"/>
        <v>7107089408.9376802</v>
      </c>
      <c r="E1876" s="47">
        <f t="shared" ca="1" si="254"/>
        <v>22218217686087.723</v>
      </c>
      <c r="F1876" s="47">
        <f t="shared" ca="1" si="255"/>
        <v>671642210065.86572</v>
      </c>
      <c r="G1876" s="47">
        <f t="shared" ca="1" si="256"/>
        <v>1201128839867.304</v>
      </c>
      <c r="H1876" s="47">
        <f t="shared" ca="1" si="257"/>
        <v>671642210065.86572</v>
      </c>
      <c r="I1876" s="47">
        <f t="shared" ca="1" si="258"/>
        <v>279711191766705.25</v>
      </c>
      <c r="J1876" s="47">
        <f t="shared" ca="1" si="259"/>
        <v>1327135189217.7</v>
      </c>
      <c r="K1876" s="48">
        <f t="shared" ca="1" si="260"/>
        <v>210.76314910433899</v>
      </c>
    </row>
    <row r="1877" spans="2:11" ht="15" customHeight="1" x14ac:dyDescent="0.35">
      <c r="B1877" s="5">
        <v>1856</v>
      </c>
      <c r="C1877" s="46">
        <f t="shared" ca="1" si="252"/>
        <v>2.6589646763278396</v>
      </c>
      <c r="D1877" s="47">
        <f t="shared" ca="1" si="253"/>
        <v>2487798232.96802</v>
      </c>
      <c r="E1877" s="47">
        <f t="shared" ca="1" si="254"/>
        <v>2915552362414.9761</v>
      </c>
      <c r="F1877" s="47">
        <f t="shared" ca="1" si="255"/>
        <v>1629017639257.1069</v>
      </c>
      <c r="G1877" s="47">
        <f t="shared" ca="1" si="256"/>
        <v>10103468033631.463</v>
      </c>
      <c r="H1877" s="47">
        <f t="shared" ca="1" si="257"/>
        <v>2915552362414.9761</v>
      </c>
      <c r="I1877" s="47">
        <f t="shared" ca="1" si="258"/>
        <v>8826927837179.582</v>
      </c>
      <c r="J1877" s="47">
        <f t="shared" ca="1" si="259"/>
        <v>2063800019637.1323</v>
      </c>
      <c r="K1877" s="48">
        <f t="shared" ca="1" si="260"/>
        <v>4.2770267240968325</v>
      </c>
    </row>
    <row r="1878" spans="2:11" ht="15" customHeight="1" x14ac:dyDescent="0.35">
      <c r="B1878" s="5">
        <v>1857</v>
      </c>
      <c r="C1878" s="46">
        <f t="shared" ref="C1878:C1941" ca="1" si="261">MEDIAN(1.8,NORMINV(RAND(),$C$7,$D$7),4.5)</f>
        <v>2.8299791729731614</v>
      </c>
      <c r="D1878" s="47">
        <f t="shared" ref="D1878:D1941" ca="1" si="262">($C$8+RAND()*($D$8-$C$8))*C1878^5</f>
        <v>3844853851.0100112</v>
      </c>
      <c r="E1878" s="47">
        <f t="shared" ref="E1878:E1941" ca="1" si="263">D1878*($C$10+RAND()*($D$10-$C$10))*EXP(NORMINV(RAND(),$C$9,$D$9))*($C$11+RAND()*($D$11-$C$11))</f>
        <v>9709967032305.293</v>
      </c>
      <c r="F1878" s="47">
        <f t="shared" ref="F1878:F1941" ca="1" si="264">EXP(NORMINV(RAND(),$C$12,$D$12))*EXP(NORMINV(RAND(),$C$13,$D$13))</f>
        <v>11868208821951.637</v>
      </c>
      <c r="G1878" s="47">
        <f t="shared" ref="G1878:G1941" ca="1" si="265">EXP(NORMINV(RAND(),$C$14,$D$14))*($C$15+RAND()*($D$15-$C$15))*EXP(NORMINV(RAND(),$C$16,$D$16))/1000000*31536000</f>
        <v>3439863271378.125</v>
      </c>
      <c r="H1878" s="47">
        <f t="shared" ref="H1878:H1941" ca="1" si="266">CHOOSE(RANDBETWEEN(1,3),E1878,F1878,G1878)</f>
        <v>11868208821951.637</v>
      </c>
      <c r="I1878" s="47">
        <f t="shared" ref="I1878:I1941" ca="1" si="267">EXP(NORMINV(RAND(),$C$14,$D$14))*($C$15+RAND()*($D$15-$C$15))*60</f>
        <v>13161208146406.697</v>
      </c>
      <c r="J1878" s="47">
        <f t="shared" ref="J1878:J1941" ca="1" si="268">($C$17+RAND()*($D$17-$C$17))*($C$18+RAND()*($D$18-$C$18))</f>
        <v>1402951198074.729</v>
      </c>
      <c r="K1878" s="48">
        <f t="shared" ref="K1878:K1941" ca="1" si="269">I1878/J1878</f>
        <v>9.3810876418708169</v>
      </c>
    </row>
    <row r="1879" spans="2:11" ht="15" customHeight="1" x14ac:dyDescent="0.35">
      <c r="B1879" s="5">
        <v>1858</v>
      </c>
      <c r="C1879" s="46">
        <f t="shared" ca="1" si="261"/>
        <v>2.8662593202060256</v>
      </c>
      <c r="D1879" s="47">
        <f t="shared" ca="1" si="262"/>
        <v>4575574385.4583607</v>
      </c>
      <c r="E1879" s="47">
        <f t="shared" ca="1" si="263"/>
        <v>13986059259185.639</v>
      </c>
      <c r="F1879" s="47">
        <f t="shared" ca="1" si="264"/>
        <v>5667513834037.3047</v>
      </c>
      <c r="G1879" s="47">
        <f t="shared" ca="1" si="265"/>
        <v>511941230134.02399</v>
      </c>
      <c r="H1879" s="47">
        <f t="shared" ca="1" si="266"/>
        <v>13986059259185.639</v>
      </c>
      <c r="I1879" s="47">
        <f t="shared" ca="1" si="267"/>
        <v>2179977396992.5745</v>
      </c>
      <c r="J1879" s="47">
        <f t="shared" ca="1" si="268"/>
        <v>1246512046697.2417</v>
      </c>
      <c r="K1879" s="48">
        <f t="shared" ca="1" si="269"/>
        <v>1.7488618764404584</v>
      </c>
    </row>
    <row r="1880" spans="2:11" ht="15" customHeight="1" x14ac:dyDescent="0.35">
      <c r="B1880" s="5">
        <v>1859</v>
      </c>
      <c r="C1880" s="46">
        <f t="shared" ca="1" si="261"/>
        <v>2.5370469732297591</v>
      </c>
      <c r="D1880" s="47">
        <f t="shared" ca="1" si="262"/>
        <v>1976159674.2854083</v>
      </c>
      <c r="E1880" s="47">
        <f t="shared" ca="1" si="263"/>
        <v>5751857713576.0625</v>
      </c>
      <c r="F1880" s="47">
        <f t="shared" ca="1" si="264"/>
        <v>14652474438843.063</v>
      </c>
      <c r="G1880" s="47">
        <f t="shared" ca="1" si="265"/>
        <v>948674089422.37097</v>
      </c>
      <c r="H1880" s="47">
        <f t="shared" ca="1" si="266"/>
        <v>14652474438843.063</v>
      </c>
      <c r="I1880" s="47">
        <f t="shared" ca="1" si="267"/>
        <v>31468648545846.516</v>
      </c>
      <c r="J1880" s="47">
        <f t="shared" ca="1" si="268"/>
        <v>2138660723606.6836</v>
      </c>
      <c r="K1880" s="48">
        <f t="shared" ca="1" si="269"/>
        <v>14.714184535440062</v>
      </c>
    </row>
    <row r="1881" spans="2:11" ht="15" customHeight="1" x14ac:dyDescent="0.35">
      <c r="B1881" s="5">
        <v>1860</v>
      </c>
      <c r="C1881" s="46">
        <f t="shared" ca="1" si="261"/>
        <v>2.6480738434692102</v>
      </c>
      <c r="D1881" s="47">
        <f t="shared" ca="1" si="262"/>
        <v>2296449141.4987645</v>
      </c>
      <c r="E1881" s="47">
        <f t="shared" ca="1" si="263"/>
        <v>9669652752488.0313</v>
      </c>
      <c r="F1881" s="47">
        <f t="shared" ca="1" si="264"/>
        <v>4308223780231.1841</v>
      </c>
      <c r="G1881" s="47">
        <f t="shared" ca="1" si="265"/>
        <v>11959545214988.686</v>
      </c>
      <c r="H1881" s="47">
        <f t="shared" ca="1" si="266"/>
        <v>4308223780231.1841</v>
      </c>
      <c r="I1881" s="47">
        <f t="shared" ca="1" si="267"/>
        <v>37817030489426.648</v>
      </c>
      <c r="J1881" s="47">
        <f t="shared" ca="1" si="268"/>
        <v>567938151146.11646</v>
      </c>
      <c r="K1881" s="48">
        <f t="shared" ca="1" si="269"/>
        <v>66.586529559795778</v>
      </c>
    </row>
    <row r="1882" spans="2:11" ht="15" customHeight="1" x14ac:dyDescent="0.35">
      <c r="B1882" s="5">
        <v>1861</v>
      </c>
      <c r="C1882" s="46">
        <f t="shared" ca="1" si="261"/>
        <v>3.3249738083653608</v>
      </c>
      <c r="D1882" s="47">
        <f t="shared" ca="1" si="262"/>
        <v>9067632593.0918579</v>
      </c>
      <c r="E1882" s="47">
        <f t="shared" ca="1" si="263"/>
        <v>11734939243042.016</v>
      </c>
      <c r="F1882" s="47">
        <f t="shared" ca="1" si="264"/>
        <v>649981963757.59521</v>
      </c>
      <c r="G1882" s="47">
        <f t="shared" ca="1" si="265"/>
        <v>5657628248053.8652</v>
      </c>
      <c r="H1882" s="47">
        <f t="shared" ca="1" si="266"/>
        <v>649981963757.59521</v>
      </c>
      <c r="I1882" s="47">
        <f t="shared" ca="1" si="267"/>
        <v>3700848025746.915</v>
      </c>
      <c r="J1882" s="47">
        <f t="shared" ca="1" si="268"/>
        <v>1110756768889.6367</v>
      </c>
      <c r="K1882" s="48">
        <f t="shared" ca="1" si="269"/>
        <v>3.3318257690623412</v>
      </c>
    </row>
    <row r="1883" spans="2:11" ht="15" customHeight="1" x14ac:dyDescent="0.35">
      <c r="B1883" s="5">
        <v>1862</v>
      </c>
      <c r="C1883" s="46">
        <f t="shared" ca="1" si="261"/>
        <v>3.255049480725666</v>
      </c>
      <c r="D1883" s="47">
        <f t="shared" ca="1" si="262"/>
        <v>6053505196.2424736</v>
      </c>
      <c r="E1883" s="47">
        <f t="shared" ca="1" si="263"/>
        <v>13835710846194.443</v>
      </c>
      <c r="F1883" s="47">
        <f t="shared" ca="1" si="264"/>
        <v>11051352768198.398</v>
      </c>
      <c r="G1883" s="47">
        <f t="shared" ca="1" si="265"/>
        <v>573613143575.64465</v>
      </c>
      <c r="H1883" s="47">
        <f t="shared" ca="1" si="266"/>
        <v>573613143575.64465</v>
      </c>
      <c r="I1883" s="47">
        <f t="shared" ca="1" si="267"/>
        <v>28280002183446.547</v>
      </c>
      <c r="J1883" s="47">
        <f t="shared" ca="1" si="268"/>
        <v>549506969345.98846</v>
      </c>
      <c r="K1883" s="48">
        <f t="shared" ca="1" si="269"/>
        <v>51.464319400907335</v>
      </c>
    </row>
    <row r="1884" spans="2:11" ht="15" customHeight="1" x14ac:dyDescent="0.35">
      <c r="B1884" s="5">
        <v>1863</v>
      </c>
      <c r="C1884" s="46">
        <f t="shared" ca="1" si="261"/>
        <v>3.2345034060606852</v>
      </c>
      <c r="D1884" s="47">
        <f t="shared" ca="1" si="262"/>
        <v>7730207178.2372141</v>
      </c>
      <c r="E1884" s="47">
        <f t="shared" ca="1" si="263"/>
        <v>14687229782134.383</v>
      </c>
      <c r="F1884" s="47">
        <f t="shared" ca="1" si="264"/>
        <v>1936947558467.2949</v>
      </c>
      <c r="G1884" s="47">
        <f t="shared" ca="1" si="265"/>
        <v>13462821264775.576</v>
      </c>
      <c r="H1884" s="47">
        <f t="shared" ca="1" si="266"/>
        <v>13462821264775.576</v>
      </c>
      <c r="I1884" s="47">
        <f t="shared" ca="1" si="267"/>
        <v>7615145038645.0225</v>
      </c>
      <c r="J1884" s="47">
        <f t="shared" ca="1" si="268"/>
        <v>529540163555.24023</v>
      </c>
      <c r="K1884" s="48">
        <f t="shared" ca="1" si="269"/>
        <v>14.380675088964486</v>
      </c>
    </row>
    <row r="1885" spans="2:11" ht="15" customHeight="1" x14ac:dyDescent="0.35">
      <c r="B1885" s="5">
        <v>1864</v>
      </c>
      <c r="C1885" s="46">
        <f t="shared" ca="1" si="261"/>
        <v>2.8854123536080478</v>
      </c>
      <c r="D1885" s="47">
        <f t="shared" ca="1" si="262"/>
        <v>3834436978.3007789</v>
      </c>
      <c r="E1885" s="47">
        <f t="shared" ca="1" si="263"/>
        <v>20612564959417.449</v>
      </c>
      <c r="F1885" s="47">
        <f t="shared" ca="1" si="264"/>
        <v>2584381716597.5132</v>
      </c>
      <c r="G1885" s="47">
        <f t="shared" ca="1" si="265"/>
        <v>5003956634243.7031</v>
      </c>
      <c r="H1885" s="47">
        <f t="shared" ca="1" si="266"/>
        <v>20612564959417.449</v>
      </c>
      <c r="I1885" s="47">
        <f t="shared" ca="1" si="267"/>
        <v>26531114253058.441</v>
      </c>
      <c r="J1885" s="47">
        <f t="shared" ca="1" si="268"/>
        <v>642235478513.65906</v>
      </c>
      <c r="K1885" s="48">
        <f t="shared" ca="1" si="269"/>
        <v>41.310570874190937</v>
      </c>
    </row>
    <row r="1886" spans="2:11" ht="15" customHeight="1" x14ac:dyDescent="0.35">
      <c r="B1886" s="5">
        <v>1865</v>
      </c>
      <c r="C1886" s="46">
        <f t="shared" ca="1" si="261"/>
        <v>2.8247895980267117</v>
      </c>
      <c r="D1886" s="47">
        <f t="shared" ca="1" si="262"/>
        <v>3292940144.0089445</v>
      </c>
      <c r="E1886" s="47">
        <f t="shared" ca="1" si="263"/>
        <v>8534737601297.75</v>
      </c>
      <c r="F1886" s="47">
        <f t="shared" ca="1" si="264"/>
        <v>2085379924909.5029</v>
      </c>
      <c r="G1886" s="47">
        <f t="shared" ca="1" si="265"/>
        <v>3414102737823.6108</v>
      </c>
      <c r="H1886" s="47">
        <f t="shared" ca="1" si="266"/>
        <v>2085379924909.5029</v>
      </c>
      <c r="I1886" s="47">
        <f t="shared" ca="1" si="267"/>
        <v>6779961278623.7314</v>
      </c>
      <c r="J1886" s="47">
        <f t="shared" ca="1" si="268"/>
        <v>1157177920593.1182</v>
      </c>
      <c r="K1886" s="48">
        <f t="shared" ca="1" si="269"/>
        <v>5.8590482569427387</v>
      </c>
    </row>
    <row r="1887" spans="2:11" ht="15" customHeight="1" x14ac:dyDescent="0.35">
      <c r="B1887" s="5">
        <v>1866</v>
      </c>
      <c r="C1887" s="46">
        <f t="shared" ca="1" si="261"/>
        <v>2.6260917376191877</v>
      </c>
      <c r="D1887" s="47">
        <f t="shared" ca="1" si="262"/>
        <v>2575332066.2197781</v>
      </c>
      <c r="E1887" s="47">
        <f t="shared" ca="1" si="263"/>
        <v>8142598916598.9375</v>
      </c>
      <c r="F1887" s="47">
        <f t="shared" ca="1" si="264"/>
        <v>2111588391311.6711</v>
      </c>
      <c r="G1887" s="47">
        <f t="shared" ca="1" si="265"/>
        <v>9567726664735.6387</v>
      </c>
      <c r="H1887" s="47">
        <f t="shared" ca="1" si="266"/>
        <v>2111588391311.6711</v>
      </c>
      <c r="I1887" s="47">
        <f t="shared" ca="1" si="267"/>
        <v>2315742834694.9678</v>
      </c>
      <c r="J1887" s="47">
        <f t="shared" ca="1" si="268"/>
        <v>1191828499171.999</v>
      </c>
      <c r="K1887" s="48">
        <f t="shared" ca="1" si="269"/>
        <v>1.9430168319550905</v>
      </c>
    </row>
    <row r="1888" spans="2:11" ht="15" customHeight="1" x14ac:dyDescent="0.35">
      <c r="B1888" s="5">
        <v>1867</v>
      </c>
      <c r="C1888" s="46">
        <f t="shared" ca="1" si="261"/>
        <v>2.1754453154041569</v>
      </c>
      <c r="D1888" s="47">
        <f t="shared" ca="1" si="262"/>
        <v>815989631.48399615</v>
      </c>
      <c r="E1888" s="47">
        <f t="shared" ca="1" si="263"/>
        <v>2157720679940.8809</v>
      </c>
      <c r="F1888" s="47">
        <f t="shared" ca="1" si="264"/>
        <v>2777935020905.3975</v>
      </c>
      <c r="G1888" s="47">
        <f t="shared" ca="1" si="265"/>
        <v>771101599535.72986</v>
      </c>
      <c r="H1888" s="47">
        <f t="shared" ca="1" si="266"/>
        <v>2777935020905.3975</v>
      </c>
      <c r="I1888" s="47">
        <f t="shared" ca="1" si="267"/>
        <v>7278136367129.2891</v>
      </c>
      <c r="J1888" s="47">
        <f t="shared" ca="1" si="268"/>
        <v>697222098446.17883</v>
      </c>
      <c r="K1888" s="48">
        <f t="shared" ca="1" si="269"/>
        <v>10.438763176539098</v>
      </c>
    </row>
    <row r="1889" spans="2:11" ht="15" customHeight="1" x14ac:dyDescent="0.35">
      <c r="B1889" s="5">
        <v>1868</v>
      </c>
      <c r="C1889" s="46">
        <f t="shared" ca="1" si="261"/>
        <v>2.6115371213094654</v>
      </c>
      <c r="D1889" s="47">
        <f t="shared" ca="1" si="262"/>
        <v>2588803080.5717235</v>
      </c>
      <c r="E1889" s="47">
        <f t="shared" ca="1" si="263"/>
        <v>8772886882515.4346</v>
      </c>
      <c r="F1889" s="47">
        <f t="shared" ca="1" si="264"/>
        <v>95650070680.729416</v>
      </c>
      <c r="G1889" s="47">
        <f t="shared" ca="1" si="265"/>
        <v>16952183683062.613</v>
      </c>
      <c r="H1889" s="47">
        <f t="shared" ca="1" si="266"/>
        <v>95650070680.729416</v>
      </c>
      <c r="I1889" s="47">
        <f t="shared" ca="1" si="267"/>
        <v>7493775595711.6914</v>
      </c>
      <c r="J1889" s="47">
        <f t="shared" ca="1" si="268"/>
        <v>878683113568.5437</v>
      </c>
      <c r="K1889" s="48">
        <f t="shared" ca="1" si="269"/>
        <v>8.5284165360566266</v>
      </c>
    </row>
    <row r="1890" spans="2:11" ht="15" customHeight="1" x14ac:dyDescent="0.35">
      <c r="B1890" s="5">
        <v>1869</v>
      </c>
      <c r="C1890" s="46">
        <f t="shared" ca="1" si="261"/>
        <v>2.9422183129529396</v>
      </c>
      <c r="D1890" s="47">
        <f t="shared" ca="1" si="262"/>
        <v>4941644324.3350296</v>
      </c>
      <c r="E1890" s="47">
        <f t="shared" ca="1" si="263"/>
        <v>5977418048813.0098</v>
      </c>
      <c r="F1890" s="47">
        <f t="shared" ca="1" si="264"/>
        <v>178897880720.67706</v>
      </c>
      <c r="G1890" s="47">
        <f t="shared" ca="1" si="265"/>
        <v>1699710961662.6196</v>
      </c>
      <c r="H1890" s="47">
        <f t="shared" ca="1" si="266"/>
        <v>178897880720.67706</v>
      </c>
      <c r="I1890" s="47">
        <f t="shared" ca="1" si="267"/>
        <v>16721723160427.006</v>
      </c>
      <c r="J1890" s="47">
        <f t="shared" ca="1" si="268"/>
        <v>1766458270576.7344</v>
      </c>
      <c r="K1890" s="48">
        <f t="shared" ca="1" si="269"/>
        <v>9.4662429557237697</v>
      </c>
    </row>
    <row r="1891" spans="2:11" ht="15" customHeight="1" x14ac:dyDescent="0.35">
      <c r="B1891" s="5">
        <v>1870</v>
      </c>
      <c r="C1891" s="46">
        <f t="shared" ca="1" si="261"/>
        <v>3.4449172437116573</v>
      </c>
      <c r="D1891" s="47">
        <f t="shared" ca="1" si="262"/>
        <v>9999301172.9690742</v>
      </c>
      <c r="E1891" s="47">
        <f t="shared" ca="1" si="263"/>
        <v>17625290731108.855</v>
      </c>
      <c r="F1891" s="47">
        <f t="shared" ca="1" si="264"/>
        <v>8490083838419.6719</v>
      </c>
      <c r="G1891" s="47">
        <f t="shared" ca="1" si="265"/>
        <v>42583629755419.211</v>
      </c>
      <c r="H1891" s="47">
        <f t="shared" ca="1" si="266"/>
        <v>17625290731108.855</v>
      </c>
      <c r="I1891" s="47">
        <f t="shared" ca="1" si="267"/>
        <v>12120711691052.738</v>
      </c>
      <c r="J1891" s="47">
        <f t="shared" ca="1" si="268"/>
        <v>2056980243083.0774</v>
      </c>
      <c r="K1891" s="48">
        <f t="shared" ca="1" si="269"/>
        <v>5.8924784191829529</v>
      </c>
    </row>
    <row r="1892" spans="2:11" ht="15" customHeight="1" x14ac:dyDescent="0.35">
      <c r="B1892" s="5">
        <v>1871</v>
      </c>
      <c r="C1892" s="46">
        <f t="shared" ca="1" si="261"/>
        <v>3.4812389976977274</v>
      </c>
      <c r="D1892" s="47">
        <f t="shared" ca="1" si="262"/>
        <v>11643314573.754091</v>
      </c>
      <c r="E1892" s="47">
        <f t="shared" ca="1" si="263"/>
        <v>27485657610357.461</v>
      </c>
      <c r="F1892" s="47">
        <f t="shared" ca="1" si="264"/>
        <v>6488102107864.7012</v>
      </c>
      <c r="G1892" s="47">
        <f t="shared" ca="1" si="265"/>
        <v>22469315043222.777</v>
      </c>
      <c r="H1892" s="47">
        <f t="shared" ca="1" si="266"/>
        <v>22469315043222.777</v>
      </c>
      <c r="I1892" s="47">
        <f t="shared" ca="1" si="267"/>
        <v>472377439482.2207</v>
      </c>
      <c r="J1892" s="47">
        <f t="shared" ca="1" si="268"/>
        <v>2444113320509.1768</v>
      </c>
      <c r="K1892" s="48">
        <f t="shared" ca="1" si="269"/>
        <v>0.19327149666849791</v>
      </c>
    </row>
    <row r="1893" spans="2:11" ht="15" customHeight="1" x14ac:dyDescent="0.35">
      <c r="B1893" s="5">
        <v>1872</v>
      </c>
      <c r="C1893" s="46">
        <f t="shared" ca="1" si="261"/>
        <v>2.8100669675395253</v>
      </c>
      <c r="D1893" s="47">
        <f t="shared" ca="1" si="262"/>
        <v>4158173654.0469222</v>
      </c>
      <c r="E1893" s="47">
        <f t="shared" ca="1" si="263"/>
        <v>15635811626762.082</v>
      </c>
      <c r="F1893" s="47">
        <f t="shared" ca="1" si="264"/>
        <v>4710159357512.4639</v>
      </c>
      <c r="G1893" s="47">
        <f t="shared" ca="1" si="265"/>
        <v>91957064681345.094</v>
      </c>
      <c r="H1893" s="47">
        <f t="shared" ca="1" si="266"/>
        <v>91957064681345.094</v>
      </c>
      <c r="I1893" s="47">
        <f t="shared" ca="1" si="267"/>
        <v>3344525958030.4448</v>
      </c>
      <c r="J1893" s="47">
        <f t="shared" ca="1" si="268"/>
        <v>1062059895230.938</v>
      </c>
      <c r="K1893" s="48">
        <f t="shared" ca="1" si="269"/>
        <v>3.1490935426981728</v>
      </c>
    </row>
    <row r="1894" spans="2:11" ht="15" customHeight="1" x14ac:dyDescent="0.35">
      <c r="B1894" s="5">
        <v>1873</v>
      </c>
      <c r="C1894" s="46">
        <f t="shared" ca="1" si="261"/>
        <v>3.0981354548782432</v>
      </c>
      <c r="D1894" s="47">
        <f t="shared" ca="1" si="262"/>
        <v>6618284805.0498667</v>
      </c>
      <c r="E1894" s="47">
        <f t="shared" ca="1" si="263"/>
        <v>26874867569733.508</v>
      </c>
      <c r="F1894" s="47">
        <f t="shared" ca="1" si="264"/>
        <v>4320106922445.7241</v>
      </c>
      <c r="G1894" s="47">
        <f t="shared" ca="1" si="265"/>
        <v>22023073170354.883</v>
      </c>
      <c r="H1894" s="47">
        <f t="shared" ca="1" si="266"/>
        <v>26874867569733.508</v>
      </c>
      <c r="I1894" s="47">
        <f t="shared" ca="1" si="267"/>
        <v>11049446462977.574</v>
      </c>
      <c r="J1894" s="47">
        <f t="shared" ca="1" si="268"/>
        <v>864821802585.4845</v>
      </c>
      <c r="K1894" s="48">
        <f t="shared" ca="1" si="269"/>
        <v>12.77655862738888</v>
      </c>
    </row>
    <row r="1895" spans="2:11" ht="15" customHeight="1" x14ac:dyDescent="0.35">
      <c r="B1895" s="5">
        <v>1874</v>
      </c>
      <c r="C1895" s="46">
        <f t="shared" ca="1" si="261"/>
        <v>3.3238762734887226</v>
      </c>
      <c r="D1895" s="47">
        <f t="shared" ca="1" si="262"/>
        <v>9140315905.576931</v>
      </c>
      <c r="E1895" s="47">
        <f t="shared" ca="1" si="263"/>
        <v>30976473424157.793</v>
      </c>
      <c r="F1895" s="47">
        <f t="shared" ca="1" si="264"/>
        <v>3482097337623.6782</v>
      </c>
      <c r="G1895" s="47">
        <f t="shared" ca="1" si="265"/>
        <v>2097069892228.8582</v>
      </c>
      <c r="H1895" s="47">
        <f t="shared" ca="1" si="266"/>
        <v>3482097337623.6782</v>
      </c>
      <c r="I1895" s="47">
        <f t="shared" ca="1" si="267"/>
        <v>833976477795.04907</v>
      </c>
      <c r="J1895" s="47">
        <f t="shared" ca="1" si="268"/>
        <v>618010166310.86914</v>
      </c>
      <c r="K1895" s="48">
        <f t="shared" ca="1" si="269"/>
        <v>1.3494543023027641</v>
      </c>
    </row>
    <row r="1896" spans="2:11" ht="15" customHeight="1" x14ac:dyDescent="0.35">
      <c r="B1896" s="5">
        <v>1875</v>
      </c>
      <c r="C1896" s="46">
        <f t="shared" ca="1" si="261"/>
        <v>2.3024618319828902</v>
      </c>
      <c r="D1896" s="47">
        <f t="shared" ca="1" si="262"/>
        <v>1048678453.5246274</v>
      </c>
      <c r="E1896" s="47">
        <f t="shared" ca="1" si="263"/>
        <v>6362699626749.3213</v>
      </c>
      <c r="F1896" s="47">
        <f t="shared" ca="1" si="264"/>
        <v>4294009156728.4883</v>
      </c>
      <c r="G1896" s="47">
        <f t="shared" ca="1" si="265"/>
        <v>23558237598652.887</v>
      </c>
      <c r="H1896" s="47">
        <f t="shared" ca="1" si="266"/>
        <v>6362699626749.3213</v>
      </c>
      <c r="I1896" s="47">
        <f t="shared" ca="1" si="267"/>
        <v>18294655175467.695</v>
      </c>
      <c r="J1896" s="47">
        <f t="shared" ca="1" si="268"/>
        <v>506703685107.95209</v>
      </c>
      <c r="K1896" s="48">
        <f t="shared" ca="1" si="269"/>
        <v>36.10523411048424</v>
      </c>
    </row>
    <row r="1897" spans="2:11" ht="15" customHeight="1" x14ac:dyDescent="0.35">
      <c r="B1897" s="5">
        <v>1876</v>
      </c>
      <c r="C1897" s="46">
        <f t="shared" ca="1" si="261"/>
        <v>3.1182461363916496</v>
      </c>
      <c r="D1897" s="47">
        <f t="shared" ca="1" si="262"/>
        <v>4868675757.392931</v>
      </c>
      <c r="E1897" s="47">
        <f t="shared" ca="1" si="263"/>
        <v>9661674226834.8125</v>
      </c>
      <c r="F1897" s="47">
        <f t="shared" ca="1" si="264"/>
        <v>2007765059344.7676</v>
      </c>
      <c r="G1897" s="47">
        <f t="shared" ca="1" si="265"/>
        <v>8280210169330.9297</v>
      </c>
      <c r="H1897" s="47">
        <f t="shared" ca="1" si="266"/>
        <v>2007765059344.7676</v>
      </c>
      <c r="I1897" s="47">
        <f t="shared" ca="1" si="267"/>
        <v>24737478679786.691</v>
      </c>
      <c r="J1897" s="47">
        <f t="shared" ca="1" si="268"/>
        <v>712817749444.25659</v>
      </c>
      <c r="K1897" s="48">
        <f t="shared" ca="1" si="269"/>
        <v>34.703791676165608</v>
      </c>
    </row>
    <row r="1898" spans="2:11" ht="15" customHeight="1" x14ac:dyDescent="0.35">
      <c r="B1898" s="5">
        <v>1877</v>
      </c>
      <c r="C1898" s="46">
        <f t="shared" ca="1" si="261"/>
        <v>3.0514317613674926</v>
      </c>
      <c r="D1898" s="47">
        <f t="shared" ca="1" si="262"/>
        <v>5080311689.0174074</v>
      </c>
      <c r="E1898" s="47">
        <f t="shared" ca="1" si="263"/>
        <v>16484584949403.906</v>
      </c>
      <c r="F1898" s="47">
        <f t="shared" ca="1" si="264"/>
        <v>1217337330004.1072</v>
      </c>
      <c r="G1898" s="47">
        <f t="shared" ca="1" si="265"/>
        <v>3862081295031.4482</v>
      </c>
      <c r="H1898" s="47">
        <f t="shared" ca="1" si="266"/>
        <v>16484584949403.906</v>
      </c>
      <c r="I1898" s="47">
        <f t="shared" ca="1" si="267"/>
        <v>20481781350440.246</v>
      </c>
      <c r="J1898" s="47">
        <f t="shared" ca="1" si="268"/>
        <v>1970383143578.9504</v>
      </c>
      <c r="K1898" s="48">
        <f t="shared" ca="1" si="269"/>
        <v>10.394821645315995</v>
      </c>
    </row>
    <row r="1899" spans="2:11" ht="15" customHeight="1" x14ac:dyDescent="0.35">
      <c r="B1899" s="5">
        <v>1878</v>
      </c>
      <c r="C1899" s="46">
        <f t="shared" ca="1" si="261"/>
        <v>3.3888697747483345</v>
      </c>
      <c r="D1899" s="47">
        <f t="shared" ca="1" si="262"/>
        <v>9799191483.128088</v>
      </c>
      <c r="E1899" s="47">
        <f t="shared" ca="1" si="263"/>
        <v>13920353412743.299</v>
      </c>
      <c r="F1899" s="47">
        <f t="shared" ca="1" si="264"/>
        <v>1378849480897.6851</v>
      </c>
      <c r="G1899" s="47">
        <f t="shared" ca="1" si="265"/>
        <v>23775099347252.043</v>
      </c>
      <c r="H1899" s="47">
        <f t="shared" ca="1" si="266"/>
        <v>1378849480897.6851</v>
      </c>
      <c r="I1899" s="47">
        <f t="shared" ca="1" si="267"/>
        <v>807960074759.42444</v>
      </c>
      <c r="J1899" s="47">
        <f t="shared" ca="1" si="268"/>
        <v>2112658616598.3867</v>
      </c>
      <c r="K1899" s="48">
        <f t="shared" ca="1" si="269"/>
        <v>0.38243759233582625</v>
      </c>
    </row>
    <row r="1900" spans="2:11" ht="15" customHeight="1" x14ac:dyDescent="0.35">
      <c r="B1900" s="5">
        <v>1879</v>
      </c>
      <c r="C1900" s="46">
        <f t="shared" ca="1" si="261"/>
        <v>2.1830121037171786</v>
      </c>
      <c r="D1900" s="47">
        <f t="shared" ca="1" si="262"/>
        <v>957734551.88120186</v>
      </c>
      <c r="E1900" s="47">
        <f t="shared" ca="1" si="263"/>
        <v>2812532172814.0166</v>
      </c>
      <c r="F1900" s="47">
        <f t="shared" ca="1" si="264"/>
        <v>2814098927496.6963</v>
      </c>
      <c r="G1900" s="47">
        <f t="shared" ca="1" si="265"/>
        <v>37178290151365.484</v>
      </c>
      <c r="H1900" s="47">
        <f t="shared" ca="1" si="266"/>
        <v>2812532172814.0166</v>
      </c>
      <c r="I1900" s="47">
        <f t="shared" ca="1" si="267"/>
        <v>22299457131645.844</v>
      </c>
      <c r="J1900" s="47">
        <f t="shared" ca="1" si="268"/>
        <v>953891547311.84375</v>
      </c>
      <c r="K1900" s="48">
        <f t="shared" ca="1" si="269"/>
        <v>23.377350595555455</v>
      </c>
    </row>
    <row r="1901" spans="2:11" ht="15" customHeight="1" x14ac:dyDescent="0.35">
      <c r="B1901" s="5">
        <v>1880</v>
      </c>
      <c r="C1901" s="46">
        <f t="shared" ca="1" si="261"/>
        <v>3.1322855945181289</v>
      </c>
      <c r="D1901" s="47">
        <f t="shared" ca="1" si="262"/>
        <v>5397415191.3367271</v>
      </c>
      <c r="E1901" s="47">
        <f t="shared" ca="1" si="263"/>
        <v>26474799242852.422</v>
      </c>
      <c r="F1901" s="47">
        <f t="shared" ca="1" si="264"/>
        <v>4337262186964.0063</v>
      </c>
      <c r="G1901" s="47">
        <f t="shared" ca="1" si="265"/>
        <v>39948298420507.156</v>
      </c>
      <c r="H1901" s="47">
        <f t="shared" ca="1" si="266"/>
        <v>39948298420507.156</v>
      </c>
      <c r="I1901" s="47">
        <f t="shared" ca="1" si="267"/>
        <v>16615508774103.461</v>
      </c>
      <c r="J1901" s="47">
        <f t="shared" ca="1" si="268"/>
        <v>1041824306406.1937</v>
      </c>
      <c r="K1901" s="48">
        <f t="shared" ca="1" si="269"/>
        <v>15.948474874251293</v>
      </c>
    </row>
    <row r="1902" spans="2:11" ht="15" customHeight="1" x14ac:dyDescent="0.35">
      <c r="B1902" s="5">
        <v>1881</v>
      </c>
      <c r="C1902" s="46">
        <f t="shared" ca="1" si="261"/>
        <v>3.9962890015475883</v>
      </c>
      <c r="D1902" s="47">
        <f t="shared" ca="1" si="262"/>
        <v>21096339427.310028</v>
      </c>
      <c r="E1902" s="47">
        <f t="shared" ca="1" si="263"/>
        <v>78496955623493.281</v>
      </c>
      <c r="F1902" s="47">
        <f t="shared" ca="1" si="264"/>
        <v>1659519882570.908</v>
      </c>
      <c r="G1902" s="47">
        <f t="shared" ca="1" si="265"/>
        <v>3101086808819.7271</v>
      </c>
      <c r="H1902" s="47">
        <f t="shared" ca="1" si="266"/>
        <v>78496955623493.281</v>
      </c>
      <c r="I1902" s="47">
        <f t="shared" ca="1" si="267"/>
        <v>606978923456.2301</v>
      </c>
      <c r="J1902" s="47">
        <f t="shared" ca="1" si="268"/>
        <v>1464109507414.8855</v>
      </c>
      <c r="K1902" s="48">
        <f t="shared" ca="1" si="269"/>
        <v>0.41457207974009158</v>
      </c>
    </row>
    <row r="1903" spans="2:11" ht="15" customHeight="1" x14ac:dyDescent="0.35">
      <c r="B1903" s="5">
        <v>1882</v>
      </c>
      <c r="C1903" s="46">
        <f t="shared" ca="1" si="261"/>
        <v>3.2374880776496169</v>
      </c>
      <c r="D1903" s="47">
        <f t="shared" ca="1" si="262"/>
        <v>7457316222.5175591</v>
      </c>
      <c r="E1903" s="47">
        <f t="shared" ca="1" si="263"/>
        <v>31631868383610.715</v>
      </c>
      <c r="F1903" s="47">
        <f t="shared" ca="1" si="264"/>
        <v>1428537217195.0325</v>
      </c>
      <c r="G1903" s="47">
        <f t="shared" ca="1" si="265"/>
        <v>800997712252.72876</v>
      </c>
      <c r="H1903" s="47">
        <f t="shared" ca="1" si="266"/>
        <v>1428537217195.0325</v>
      </c>
      <c r="I1903" s="47">
        <f t="shared" ca="1" si="267"/>
        <v>2309253109400.4009</v>
      </c>
      <c r="J1903" s="47">
        <f t="shared" ca="1" si="268"/>
        <v>1166526182269.4216</v>
      </c>
      <c r="K1903" s="48">
        <f t="shared" ca="1" si="269"/>
        <v>1.9795981817637887</v>
      </c>
    </row>
    <row r="1904" spans="2:11" ht="15" customHeight="1" x14ac:dyDescent="0.35">
      <c r="B1904" s="5">
        <v>1883</v>
      </c>
      <c r="C1904" s="46">
        <f t="shared" ca="1" si="261"/>
        <v>3.3716889897221751</v>
      </c>
      <c r="D1904" s="47">
        <f t="shared" ca="1" si="262"/>
        <v>9488281294.934576</v>
      </c>
      <c r="E1904" s="47">
        <f t="shared" ca="1" si="263"/>
        <v>86149987295258.969</v>
      </c>
      <c r="F1904" s="47">
        <f t="shared" ca="1" si="264"/>
        <v>14458755348492.883</v>
      </c>
      <c r="G1904" s="47">
        <f t="shared" ca="1" si="265"/>
        <v>9975099481386.7129</v>
      </c>
      <c r="H1904" s="47">
        <f t="shared" ca="1" si="266"/>
        <v>14458755348492.883</v>
      </c>
      <c r="I1904" s="47">
        <f t="shared" ca="1" si="267"/>
        <v>23721718165911.379</v>
      </c>
      <c r="J1904" s="47">
        <f t="shared" ca="1" si="268"/>
        <v>751439308390.81213</v>
      </c>
      <c r="K1904" s="48">
        <f t="shared" ca="1" si="269"/>
        <v>31.568375384448313</v>
      </c>
    </row>
    <row r="1905" spans="2:11" ht="15" customHeight="1" x14ac:dyDescent="0.35">
      <c r="B1905" s="5">
        <v>1884</v>
      </c>
      <c r="C1905" s="46">
        <f t="shared" ca="1" si="261"/>
        <v>4.1691015993711771</v>
      </c>
      <c r="D1905" s="47">
        <f t="shared" ca="1" si="262"/>
        <v>24376375452.317081</v>
      </c>
      <c r="E1905" s="47">
        <f t="shared" ca="1" si="263"/>
        <v>63562799547821.5</v>
      </c>
      <c r="F1905" s="47">
        <f t="shared" ca="1" si="264"/>
        <v>1337618949976.2983</v>
      </c>
      <c r="G1905" s="47">
        <f t="shared" ca="1" si="265"/>
        <v>3917072912478.6489</v>
      </c>
      <c r="H1905" s="47">
        <f t="shared" ca="1" si="266"/>
        <v>3917072912478.6489</v>
      </c>
      <c r="I1905" s="47">
        <f t="shared" ca="1" si="267"/>
        <v>3707792971958.9546</v>
      </c>
      <c r="J1905" s="47">
        <f t="shared" ca="1" si="268"/>
        <v>682727372211.53113</v>
      </c>
      <c r="K1905" s="48">
        <f t="shared" ca="1" si="269"/>
        <v>5.4308544272195372</v>
      </c>
    </row>
    <row r="1906" spans="2:11" ht="15" customHeight="1" x14ac:dyDescent="0.35">
      <c r="B1906" s="5">
        <v>1885</v>
      </c>
      <c r="C1906" s="46">
        <f t="shared" ca="1" si="261"/>
        <v>2.6490455967201103</v>
      </c>
      <c r="D1906" s="47">
        <f t="shared" ca="1" si="262"/>
        <v>3051821736.6482377</v>
      </c>
      <c r="E1906" s="47">
        <f t="shared" ca="1" si="263"/>
        <v>3061954523348.4849</v>
      </c>
      <c r="F1906" s="47">
        <f t="shared" ca="1" si="264"/>
        <v>5188346311457.5986</v>
      </c>
      <c r="G1906" s="47">
        <f t="shared" ca="1" si="265"/>
        <v>15498663699017.59</v>
      </c>
      <c r="H1906" s="47">
        <f t="shared" ca="1" si="266"/>
        <v>15498663699017.59</v>
      </c>
      <c r="I1906" s="47">
        <f t="shared" ca="1" si="267"/>
        <v>23882810538103.262</v>
      </c>
      <c r="J1906" s="47">
        <f t="shared" ca="1" si="268"/>
        <v>1652199046416.7349</v>
      </c>
      <c r="K1906" s="48">
        <f t="shared" ca="1" si="269"/>
        <v>14.455165429310682</v>
      </c>
    </row>
    <row r="1907" spans="2:11" ht="15" customHeight="1" x14ac:dyDescent="0.35">
      <c r="B1907" s="5">
        <v>1886</v>
      </c>
      <c r="C1907" s="46">
        <f t="shared" ca="1" si="261"/>
        <v>3.5836582034214075</v>
      </c>
      <c r="D1907" s="47">
        <f t="shared" ca="1" si="262"/>
        <v>11624885735.452873</v>
      </c>
      <c r="E1907" s="47">
        <f t="shared" ca="1" si="263"/>
        <v>68626981628404.57</v>
      </c>
      <c r="F1907" s="47">
        <f t="shared" ca="1" si="264"/>
        <v>4783768595272.9014</v>
      </c>
      <c r="G1907" s="47">
        <f t="shared" ca="1" si="265"/>
        <v>7018613383808.2002</v>
      </c>
      <c r="H1907" s="47">
        <f t="shared" ca="1" si="266"/>
        <v>7018613383808.2002</v>
      </c>
      <c r="I1907" s="47">
        <f t="shared" ca="1" si="267"/>
        <v>1587978913026.7463</v>
      </c>
      <c r="J1907" s="47">
        <f t="shared" ca="1" si="268"/>
        <v>1512570670665.1882</v>
      </c>
      <c r="K1907" s="48">
        <f t="shared" ca="1" si="269"/>
        <v>1.049854359749284</v>
      </c>
    </row>
    <row r="1908" spans="2:11" ht="15" customHeight="1" x14ac:dyDescent="0.35">
      <c r="B1908" s="5">
        <v>1887</v>
      </c>
      <c r="C1908" s="46">
        <f t="shared" ca="1" si="261"/>
        <v>2.7794659229994605</v>
      </c>
      <c r="D1908" s="47">
        <f t="shared" ca="1" si="262"/>
        <v>2778240940.6064491</v>
      </c>
      <c r="E1908" s="47">
        <f t="shared" ca="1" si="263"/>
        <v>14281192235715.803</v>
      </c>
      <c r="F1908" s="47">
        <f t="shared" ca="1" si="264"/>
        <v>443908254475.65826</v>
      </c>
      <c r="G1908" s="47">
        <f t="shared" ca="1" si="265"/>
        <v>3307253271566.8789</v>
      </c>
      <c r="H1908" s="47">
        <f t="shared" ca="1" si="266"/>
        <v>443908254475.65826</v>
      </c>
      <c r="I1908" s="47">
        <f t="shared" ca="1" si="267"/>
        <v>3499532722493.7275</v>
      </c>
      <c r="J1908" s="47">
        <f t="shared" ca="1" si="268"/>
        <v>580370667887.11218</v>
      </c>
      <c r="K1908" s="48">
        <f t="shared" ca="1" si="269"/>
        <v>6.0298235526513917</v>
      </c>
    </row>
    <row r="1909" spans="2:11" ht="15" customHeight="1" x14ac:dyDescent="0.35">
      <c r="B1909" s="5">
        <v>1888</v>
      </c>
      <c r="C1909" s="46">
        <f t="shared" ca="1" si="261"/>
        <v>2.8211974538329727</v>
      </c>
      <c r="D1909" s="47">
        <f t="shared" ca="1" si="262"/>
        <v>2934583776.5902381</v>
      </c>
      <c r="E1909" s="47">
        <f t="shared" ca="1" si="263"/>
        <v>9863228743455.5547</v>
      </c>
      <c r="F1909" s="47">
        <f t="shared" ca="1" si="264"/>
        <v>14387503194872.316</v>
      </c>
      <c r="G1909" s="47">
        <f t="shared" ca="1" si="265"/>
        <v>13254837752575.342</v>
      </c>
      <c r="H1909" s="47">
        <f t="shared" ca="1" si="266"/>
        <v>14387503194872.316</v>
      </c>
      <c r="I1909" s="47">
        <f t="shared" ca="1" si="267"/>
        <v>44239043487467.289</v>
      </c>
      <c r="J1909" s="47">
        <f t="shared" ca="1" si="268"/>
        <v>1914371528578.7534</v>
      </c>
      <c r="K1909" s="48">
        <f t="shared" ca="1" si="269"/>
        <v>23.108912155787625</v>
      </c>
    </row>
    <row r="1910" spans="2:11" ht="15" customHeight="1" x14ac:dyDescent="0.35">
      <c r="B1910" s="5">
        <v>1889</v>
      </c>
      <c r="C1910" s="46">
        <f t="shared" ca="1" si="261"/>
        <v>3.2860366594429324</v>
      </c>
      <c r="D1910" s="47">
        <f t="shared" ca="1" si="262"/>
        <v>8340190263.7696867</v>
      </c>
      <c r="E1910" s="47">
        <f t="shared" ca="1" si="263"/>
        <v>9349500759319.707</v>
      </c>
      <c r="F1910" s="47">
        <f t="shared" ca="1" si="264"/>
        <v>1589538831832.7026</v>
      </c>
      <c r="G1910" s="47">
        <f t="shared" ca="1" si="265"/>
        <v>2975485813153.2119</v>
      </c>
      <c r="H1910" s="47">
        <f t="shared" ca="1" si="266"/>
        <v>1589538831832.7026</v>
      </c>
      <c r="I1910" s="47">
        <f t="shared" ca="1" si="267"/>
        <v>11764422671895.578</v>
      </c>
      <c r="J1910" s="47">
        <f t="shared" ca="1" si="268"/>
        <v>2082052771879.7668</v>
      </c>
      <c r="K1910" s="48">
        <f t="shared" ca="1" si="269"/>
        <v>5.6503960085863483</v>
      </c>
    </row>
    <row r="1911" spans="2:11" ht="15" customHeight="1" x14ac:dyDescent="0.35">
      <c r="B1911" s="5">
        <v>1890</v>
      </c>
      <c r="C1911" s="46">
        <f t="shared" ca="1" si="261"/>
        <v>2.8327715170701078</v>
      </c>
      <c r="D1911" s="47">
        <f t="shared" ca="1" si="262"/>
        <v>3460813837.958704</v>
      </c>
      <c r="E1911" s="47">
        <f t="shared" ca="1" si="263"/>
        <v>7015496332335.3105</v>
      </c>
      <c r="F1911" s="47">
        <f t="shared" ca="1" si="264"/>
        <v>2646792672737.2637</v>
      </c>
      <c r="G1911" s="47">
        <f t="shared" ca="1" si="265"/>
        <v>15520506767153.391</v>
      </c>
      <c r="H1911" s="47">
        <f t="shared" ca="1" si="266"/>
        <v>2646792672737.2637</v>
      </c>
      <c r="I1911" s="47">
        <f t="shared" ca="1" si="267"/>
        <v>2756896137118.4966</v>
      </c>
      <c r="J1911" s="47">
        <f t="shared" ca="1" si="268"/>
        <v>1653271502267.8901</v>
      </c>
      <c r="K1911" s="48">
        <f t="shared" ca="1" si="269"/>
        <v>1.6675398646481836</v>
      </c>
    </row>
    <row r="1912" spans="2:11" ht="15" customHeight="1" x14ac:dyDescent="0.35">
      <c r="B1912" s="5">
        <v>1891</v>
      </c>
      <c r="C1912" s="46">
        <f t="shared" ca="1" si="261"/>
        <v>2.977178016204781</v>
      </c>
      <c r="D1912" s="47">
        <f t="shared" ca="1" si="262"/>
        <v>4445037111.3491411</v>
      </c>
      <c r="E1912" s="47">
        <f t="shared" ca="1" si="263"/>
        <v>17284257579377.33</v>
      </c>
      <c r="F1912" s="47">
        <f t="shared" ca="1" si="264"/>
        <v>298693325042.92633</v>
      </c>
      <c r="G1912" s="47">
        <f t="shared" ca="1" si="265"/>
        <v>623422966005.15869</v>
      </c>
      <c r="H1912" s="47">
        <f t="shared" ca="1" si="266"/>
        <v>623422966005.15869</v>
      </c>
      <c r="I1912" s="47">
        <f t="shared" ca="1" si="267"/>
        <v>8607886027414.9805</v>
      </c>
      <c r="J1912" s="47">
        <f t="shared" ca="1" si="268"/>
        <v>1102699357499.6406</v>
      </c>
      <c r="K1912" s="48">
        <f t="shared" ca="1" si="269"/>
        <v>7.8061948334977478</v>
      </c>
    </row>
    <row r="1913" spans="2:11" ht="15" customHeight="1" x14ac:dyDescent="0.35">
      <c r="B1913" s="5">
        <v>1892</v>
      </c>
      <c r="C1913" s="46">
        <f t="shared" ca="1" si="261"/>
        <v>3.7727499708153123</v>
      </c>
      <c r="D1913" s="47">
        <f t="shared" ca="1" si="262"/>
        <v>18060527330.253685</v>
      </c>
      <c r="E1913" s="47">
        <f t="shared" ca="1" si="263"/>
        <v>19112296985045.539</v>
      </c>
      <c r="F1913" s="47">
        <f t="shared" ca="1" si="264"/>
        <v>1020419528705.8756</v>
      </c>
      <c r="G1913" s="47">
        <f t="shared" ca="1" si="265"/>
        <v>50956865139976.195</v>
      </c>
      <c r="H1913" s="47">
        <f t="shared" ca="1" si="266"/>
        <v>19112296985045.539</v>
      </c>
      <c r="I1913" s="47">
        <f t="shared" ca="1" si="267"/>
        <v>6335676952863.9648</v>
      </c>
      <c r="J1913" s="47">
        <f t="shared" ca="1" si="268"/>
        <v>1373332443190.5642</v>
      </c>
      <c r="K1913" s="48">
        <f t="shared" ca="1" si="269"/>
        <v>4.6133599947182082</v>
      </c>
    </row>
    <row r="1914" spans="2:11" ht="15" customHeight="1" x14ac:dyDescent="0.35">
      <c r="B1914" s="5">
        <v>1893</v>
      </c>
      <c r="C1914" s="46">
        <f t="shared" ca="1" si="261"/>
        <v>2.7103671528381681</v>
      </c>
      <c r="D1914" s="47">
        <f t="shared" ca="1" si="262"/>
        <v>3501807519.3960323</v>
      </c>
      <c r="E1914" s="47">
        <f t="shared" ca="1" si="263"/>
        <v>8199221914341.0059</v>
      </c>
      <c r="F1914" s="47">
        <f t="shared" ca="1" si="264"/>
        <v>9353301619464.7441</v>
      </c>
      <c r="G1914" s="47">
        <f t="shared" ca="1" si="265"/>
        <v>4147863959356.9336</v>
      </c>
      <c r="H1914" s="47">
        <f t="shared" ca="1" si="266"/>
        <v>9353301619464.7441</v>
      </c>
      <c r="I1914" s="47">
        <f t="shared" ca="1" si="267"/>
        <v>13247967763691.201</v>
      </c>
      <c r="J1914" s="47">
        <f t="shared" ca="1" si="268"/>
        <v>1893207985587.0249</v>
      </c>
      <c r="K1914" s="48">
        <f t="shared" ca="1" si="269"/>
        <v>6.9976293489927457</v>
      </c>
    </row>
    <row r="1915" spans="2:11" ht="15" customHeight="1" x14ac:dyDescent="0.35">
      <c r="B1915" s="5">
        <v>1894</v>
      </c>
      <c r="C1915" s="46">
        <f t="shared" ca="1" si="261"/>
        <v>2.4790064245614145</v>
      </c>
      <c r="D1915" s="47">
        <f t="shared" ca="1" si="262"/>
        <v>1774793838.4451606</v>
      </c>
      <c r="E1915" s="47">
        <f t="shared" ca="1" si="263"/>
        <v>3003479453781.5112</v>
      </c>
      <c r="F1915" s="47">
        <f t="shared" ca="1" si="264"/>
        <v>2900835034915.228</v>
      </c>
      <c r="G1915" s="47">
        <f t="shared" ca="1" si="265"/>
        <v>25445377558838.648</v>
      </c>
      <c r="H1915" s="47">
        <f t="shared" ca="1" si="266"/>
        <v>25445377558838.648</v>
      </c>
      <c r="I1915" s="47">
        <f t="shared" ca="1" si="267"/>
        <v>6375689976911.5264</v>
      </c>
      <c r="J1915" s="47">
        <f t="shared" ca="1" si="268"/>
        <v>1506640912349.0964</v>
      </c>
      <c r="K1915" s="48">
        <f t="shared" ca="1" si="269"/>
        <v>4.2317249748453971</v>
      </c>
    </row>
    <row r="1916" spans="2:11" ht="15" customHeight="1" x14ac:dyDescent="0.35">
      <c r="B1916" s="5">
        <v>1895</v>
      </c>
      <c r="C1916" s="46">
        <f t="shared" ca="1" si="261"/>
        <v>2.6381674354962534</v>
      </c>
      <c r="D1916" s="47">
        <f t="shared" ca="1" si="262"/>
        <v>2562116144.3971138</v>
      </c>
      <c r="E1916" s="47">
        <f t="shared" ca="1" si="263"/>
        <v>4744783953700.7676</v>
      </c>
      <c r="F1916" s="47">
        <f t="shared" ca="1" si="264"/>
        <v>246134221878.34811</v>
      </c>
      <c r="G1916" s="47">
        <f t="shared" ca="1" si="265"/>
        <v>20736088476713.773</v>
      </c>
      <c r="H1916" s="47">
        <f t="shared" ca="1" si="266"/>
        <v>4744783953700.7676</v>
      </c>
      <c r="I1916" s="47">
        <f t="shared" ca="1" si="267"/>
        <v>3783187819651.7578</v>
      </c>
      <c r="J1916" s="47">
        <f t="shared" ca="1" si="268"/>
        <v>1317550472964.2261</v>
      </c>
      <c r="K1916" s="48">
        <f t="shared" ca="1" si="269"/>
        <v>2.8713798046311947</v>
      </c>
    </row>
    <row r="1917" spans="2:11" ht="15" customHeight="1" x14ac:dyDescent="0.35">
      <c r="B1917" s="5">
        <v>1896</v>
      </c>
      <c r="C1917" s="46">
        <f t="shared" ca="1" si="261"/>
        <v>3.4284433649763173</v>
      </c>
      <c r="D1917" s="47">
        <f t="shared" ca="1" si="262"/>
        <v>8247815921.3814583</v>
      </c>
      <c r="E1917" s="47">
        <f t="shared" ca="1" si="263"/>
        <v>25292292390620.559</v>
      </c>
      <c r="F1917" s="47">
        <f t="shared" ca="1" si="264"/>
        <v>694719916436.00378</v>
      </c>
      <c r="G1917" s="47">
        <f t="shared" ca="1" si="265"/>
        <v>753510367245.19714</v>
      </c>
      <c r="H1917" s="47">
        <f t="shared" ca="1" si="266"/>
        <v>25292292390620.559</v>
      </c>
      <c r="I1917" s="47">
        <f t="shared" ca="1" si="267"/>
        <v>3668566778828.6841</v>
      </c>
      <c r="J1917" s="47">
        <f t="shared" ca="1" si="268"/>
        <v>1601164895492.521</v>
      </c>
      <c r="K1917" s="48">
        <f t="shared" ca="1" si="269"/>
        <v>2.291186116530632</v>
      </c>
    </row>
    <row r="1918" spans="2:11" ht="15" customHeight="1" x14ac:dyDescent="0.35">
      <c r="B1918" s="5">
        <v>1897</v>
      </c>
      <c r="C1918" s="46">
        <f t="shared" ca="1" si="261"/>
        <v>3.6762179788481264</v>
      </c>
      <c r="D1918" s="47">
        <f t="shared" ca="1" si="262"/>
        <v>14724313744.708487</v>
      </c>
      <c r="E1918" s="47">
        <f t="shared" ca="1" si="263"/>
        <v>59888209737832.094</v>
      </c>
      <c r="F1918" s="47">
        <f t="shared" ca="1" si="264"/>
        <v>7594549979462.5508</v>
      </c>
      <c r="G1918" s="47">
        <f t="shared" ca="1" si="265"/>
        <v>2811592195664.7124</v>
      </c>
      <c r="H1918" s="47">
        <f t="shared" ca="1" si="266"/>
        <v>2811592195664.7124</v>
      </c>
      <c r="I1918" s="47">
        <f t="shared" ca="1" si="267"/>
        <v>27735254492758.344</v>
      </c>
      <c r="J1918" s="47">
        <f t="shared" ca="1" si="268"/>
        <v>1875575975432.3486</v>
      </c>
      <c r="K1918" s="48">
        <f t="shared" ca="1" si="269"/>
        <v>14.787593174605975</v>
      </c>
    </row>
    <row r="1919" spans="2:11" ht="15" customHeight="1" x14ac:dyDescent="0.35">
      <c r="B1919" s="5">
        <v>1898</v>
      </c>
      <c r="C1919" s="46">
        <f t="shared" ca="1" si="261"/>
        <v>3.3794035562172038</v>
      </c>
      <c r="D1919" s="47">
        <f t="shared" ca="1" si="262"/>
        <v>8081499509.1676645</v>
      </c>
      <c r="E1919" s="47">
        <f t="shared" ca="1" si="263"/>
        <v>18170029359152.797</v>
      </c>
      <c r="F1919" s="47">
        <f t="shared" ca="1" si="264"/>
        <v>5368977295713.2422</v>
      </c>
      <c r="G1919" s="47">
        <f t="shared" ca="1" si="265"/>
        <v>4662199316112.2598</v>
      </c>
      <c r="H1919" s="47">
        <f t="shared" ca="1" si="266"/>
        <v>4662199316112.2598</v>
      </c>
      <c r="I1919" s="47">
        <f t="shared" ca="1" si="267"/>
        <v>17857723306626.277</v>
      </c>
      <c r="J1919" s="47">
        <f t="shared" ca="1" si="268"/>
        <v>1985615198059.3394</v>
      </c>
      <c r="K1919" s="48">
        <f t="shared" ca="1" si="269"/>
        <v>8.9935468483922261</v>
      </c>
    </row>
    <row r="1920" spans="2:11" ht="15" customHeight="1" x14ac:dyDescent="0.35">
      <c r="B1920" s="5">
        <v>1899</v>
      </c>
      <c r="C1920" s="46">
        <f t="shared" ca="1" si="261"/>
        <v>3.2278834710251019</v>
      </c>
      <c r="D1920" s="47">
        <f t="shared" ca="1" si="262"/>
        <v>8008773810.9708109</v>
      </c>
      <c r="E1920" s="47">
        <f t="shared" ca="1" si="263"/>
        <v>34136272477478.598</v>
      </c>
      <c r="F1920" s="47">
        <f t="shared" ca="1" si="264"/>
        <v>1143244429201.2874</v>
      </c>
      <c r="G1920" s="47">
        <f t="shared" ca="1" si="265"/>
        <v>9114126456428.1641</v>
      </c>
      <c r="H1920" s="47">
        <f t="shared" ca="1" si="266"/>
        <v>1143244429201.2874</v>
      </c>
      <c r="I1920" s="47">
        <f t="shared" ca="1" si="267"/>
        <v>17498116685572.986</v>
      </c>
      <c r="J1920" s="47">
        <f t="shared" ca="1" si="268"/>
        <v>1704556006723.021</v>
      </c>
      <c r="K1920" s="48">
        <f t="shared" ca="1" si="269"/>
        <v>10.265498239164819</v>
      </c>
    </row>
    <row r="1921" spans="2:11" ht="15" customHeight="1" x14ac:dyDescent="0.35">
      <c r="B1921" s="5">
        <v>1900</v>
      </c>
      <c r="C1921" s="46">
        <f t="shared" ca="1" si="261"/>
        <v>2.1581435210679363</v>
      </c>
      <c r="D1921" s="47">
        <f t="shared" ca="1" si="262"/>
        <v>984582239.93340707</v>
      </c>
      <c r="E1921" s="47">
        <f t="shared" ca="1" si="263"/>
        <v>1065788571306.444</v>
      </c>
      <c r="F1921" s="47">
        <f t="shared" ca="1" si="264"/>
        <v>2339832890333.2168</v>
      </c>
      <c r="G1921" s="47">
        <f t="shared" ca="1" si="265"/>
        <v>3304840227163.1143</v>
      </c>
      <c r="H1921" s="47">
        <f t="shared" ca="1" si="266"/>
        <v>3304840227163.1143</v>
      </c>
      <c r="I1921" s="47">
        <f t="shared" ca="1" si="267"/>
        <v>13007511745419.428</v>
      </c>
      <c r="J1921" s="47">
        <f t="shared" ca="1" si="268"/>
        <v>1422294938627.238</v>
      </c>
      <c r="K1921" s="48">
        <f t="shared" ca="1" si="269"/>
        <v>9.1454391013821219</v>
      </c>
    </row>
    <row r="1922" spans="2:11" ht="15" customHeight="1" x14ac:dyDescent="0.35">
      <c r="B1922" s="5">
        <v>1901</v>
      </c>
      <c r="C1922" s="46">
        <f t="shared" ca="1" si="261"/>
        <v>2.3747895001655408</v>
      </c>
      <c r="D1922" s="47">
        <f t="shared" ca="1" si="262"/>
        <v>1650646318.4309669</v>
      </c>
      <c r="E1922" s="47">
        <f t="shared" ca="1" si="263"/>
        <v>1230497086026.6758</v>
      </c>
      <c r="F1922" s="47">
        <f t="shared" ca="1" si="264"/>
        <v>45647464384815.273</v>
      </c>
      <c r="G1922" s="47">
        <f t="shared" ca="1" si="265"/>
        <v>1193771745163.5149</v>
      </c>
      <c r="H1922" s="47">
        <f t="shared" ca="1" si="266"/>
        <v>1193771745163.5149</v>
      </c>
      <c r="I1922" s="47">
        <f t="shared" ca="1" si="267"/>
        <v>9496741938904.8516</v>
      </c>
      <c r="J1922" s="47">
        <f t="shared" ca="1" si="268"/>
        <v>2191858202117.1035</v>
      </c>
      <c r="K1922" s="48">
        <f t="shared" ca="1" si="269"/>
        <v>4.3327355436277779</v>
      </c>
    </row>
    <row r="1923" spans="2:11" ht="15" customHeight="1" x14ac:dyDescent="0.35">
      <c r="B1923" s="5">
        <v>1902</v>
      </c>
      <c r="C1923" s="46">
        <f t="shared" ca="1" si="261"/>
        <v>3.2139924807354618</v>
      </c>
      <c r="D1923" s="47">
        <f t="shared" ca="1" si="262"/>
        <v>7569804178.1331196</v>
      </c>
      <c r="E1923" s="47">
        <f t="shared" ca="1" si="263"/>
        <v>19237060620687.137</v>
      </c>
      <c r="F1923" s="47">
        <f t="shared" ca="1" si="264"/>
        <v>1128988055026.0203</v>
      </c>
      <c r="G1923" s="47">
        <f t="shared" ca="1" si="265"/>
        <v>9506454480505.916</v>
      </c>
      <c r="H1923" s="47">
        <f t="shared" ca="1" si="266"/>
        <v>19237060620687.137</v>
      </c>
      <c r="I1923" s="47">
        <f t="shared" ca="1" si="267"/>
        <v>23036680795908.902</v>
      </c>
      <c r="J1923" s="47">
        <f t="shared" ca="1" si="268"/>
        <v>859645979846.15369</v>
      </c>
      <c r="K1923" s="48">
        <f t="shared" ca="1" si="269"/>
        <v>26.797869513717327</v>
      </c>
    </row>
    <row r="1924" spans="2:11" ht="15" customHeight="1" x14ac:dyDescent="0.35">
      <c r="B1924" s="5">
        <v>1903</v>
      </c>
      <c r="C1924" s="46">
        <f t="shared" ca="1" si="261"/>
        <v>2.6914849955974649</v>
      </c>
      <c r="D1924" s="47">
        <f t="shared" ca="1" si="262"/>
        <v>2335922781.8826756</v>
      </c>
      <c r="E1924" s="47">
        <f t="shared" ca="1" si="263"/>
        <v>14879291182555.406</v>
      </c>
      <c r="F1924" s="47">
        <f t="shared" ca="1" si="264"/>
        <v>8435449476708.3574</v>
      </c>
      <c r="G1924" s="47">
        <f t="shared" ca="1" si="265"/>
        <v>5798674763878.5244</v>
      </c>
      <c r="H1924" s="47">
        <f t="shared" ca="1" si="266"/>
        <v>8435449476708.3574</v>
      </c>
      <c r="I1924" s="47">
        <f t="shared" ca="1" si="267"/>
        <v>35810172598343.805</v>
      </c>
      <c r="J1924" s="47">
        <f t="shared" ca="1" si="268"/>
        <v>908144607102.61877</v>
      </c>
      <c r="K1924" s="48">
        <f t="shared" ca="1" si="269"/>
        <v>39.432236141988469</v>
      </c>
    </row>
    <row r="1925" spans="2:11" ht="15" customHeight="1" x14ac:dyDescent="0.35">
      <c r="B1925" s="5">
        <v>1904</v>
      </c>
      <c r="C1925" s="46">
        <f t="shared" ca="1" si="261"/>
        <v>3.6156595197374557</v>
      </c>
      <c r="D1925" s="47">
        <f t="shared" ca="1" si="262"/>
        <v>13251454950.208624</v>
      </c>
      <c r="E1925" s="47">
        <f t="shared" ca="1" si="263"/>
        <v>16959027950111.914</v>
      </c>
      <c r="F1925" s="47">
        <f t="shared" ca="1" si="264"/>
        <v>49836121998111.188</v>
      </c>
      <c r="G1925" s="47">
        <f t="shared" ca="1" si="265"/>
        <v>6493938074871.585</v>
      </c>
      <c r="H1925" s="47">
        <f t="shared" ca="1" si="266"/>
        <v>16959027950111.914</v>
      </c>
      <c r="I1925" s="47">
        <f t="shared" ca="1" si="267"/>
        <v>593800824401615.38</v>
      </c>
      <c r="J1925" s="47">
        <f t="shared" ca="1" si="268"/>
        <v>1068273646921.8804</v>
      </c>
      <c r="K1925" s="48">
        <f t="shared" ca="1" si="269"/>
        <v>555.85085910580199</v>
      </c>
    </row>
    <row r="1926" spans="2:11" ht="15" customHeight="1" x14ac:dyDescent="0.35">
      <c r="B1926" s="5">
        <v>1905</v>
      </c>
      <c r="C1926" s="46">
        <f t="shared" ca="1" si="261"/>
        <v>2.9188606336310667</v>
      </c>
      <c r="D1926" s="47">
        <f t="shared" ca="1" si="262"/>
        <v>3796338866.7147837</v>
      </c>
      <c r="E1926" s="47">
        <f t="shared" ca="1" si="263"/>
        <v>10247765291256.973</v>
      </c>
      <c r="F1926" s="47">
        <f t="shared" ca="1" si="264"/>
        <v>2302391858983.3647</v>
      </c>
      <c r="G1926" s="47">
        <f t="shared" ca="1" si="265"/>
        <v>10977146378589.713</v>
      </c>
      <c r="H1926" s="47">
        <f t="shared" ca="1" si="266"/>
        <v>2302391858983.3647</v>
      </c>
      <c r="I1926" s="47">
        <f t="shared" ca="1" si="267"/>
        <v>1768510008868.0208</v>
      </c>
      <c r="J1926" s="47">
        <f t="shared" ca="1" si="268"/>
        <v>1179104335431.9385</v>
      </c>
      <c r="K1926" s="48">
        <f t="shared" ca="1" si="269"/>
        <v>1.4998757580008106</v>
      </c>
    </row>
    <row r="1927" spans="2:11" ht="15" customHeight="1" x14ac:dyDescent="0.35">
      <c r="B1927" s="5">
        <v>1906</v>
      </c>
      <c r="C1927" s="46">
        <f t="shared" ca="1" si="261"/>
        <v>3.0716914616463846</v>
      </c>
      <c r="D1927" s="47">
        <f t="shared" ca="1" si="262"/>
        <v>5549239239.8377838</v>
      </c>
      <c r="E1927" s="47">
        <f t="shared" ca="1" si="263"/>
        <v>16450100730618.408</v>
      </c>
      <c r="F1927" s="47">
        <f t="shared" ca="1" si="264"/>
        <v>497184636055.50665</v>
      </c>
      <c r="G1927" s="47">
        <f t="shared" ca="1" si="265"/>
        <v>16823217145416.369</v>
      </c>
      <c r="H1927" s="47">
        <f t="shared" ca="1" si="266"/>
        <v>16823217145416.369</v>
      </c>
      <c r="I1927" s="47">
        <f t="shared" ca="1" si="267"/>
        <v>4194796887670.2603</v>
      </c>
      <c r="J1927" s="47">
        <f t="shared" ca="1" si="268"/>
        <v>2298865985045.7471</v>
      </c>
      <c r="K1927" s="48">
        <f t="shared" ca="1" si="269"/>
        <v>1.8247244141057595</v>
      </c>
    </row>
    <row r="1928" spans="2:11" ht="15" customHeight="1" x14ac:dyDescent="0.35">
      <c r="B1928" s="5">
        <v>1907</v>
      </c>
      <c r="C1928" s="46">
        <f t="shared" ca="1" si="261"/>
        <v>2.8295999025291332</v>
      </c>
      <c r="D1928" s="47">
        <f t="shared" ca="1" si="262"/>
        <v>4034037430.4556508</v>
      </c>
      <c r="E1928" s="47">
        <f t="shared" ca="1" si="263"/>
        <v>15622967799910.684</v>
      </c>
      <c r="F1928" s="47">
        <f t="shared" ca="1" si="264"/>
        <v>2552054210700.9771</v>
      </c>
      <c r="G1928" s="47">
        <f t="shared" ca="1" si="265"/>
        <v>894039352551.48047</v>
      </c>
      <c r="H1928" s="47">
        <f t="shared" ca="1" si="266"/>
        <v>15622967799910.684</v>
      </c>
      <c r="I1928" s="47">
        <f t="shared" ca="1" si="267"/>
        <v>669167675089.48181</v>
      </c>
      <c r="J1928" s="47">
        <f t="shared" ca="1" si="268"/>
        <v>1115660173270.9758</v>
      </c>
      <c r="K1928" s="48">
        <f t="shared" ca="1" si="269"/>
        <v>0.59979525228328801</v>
      </c>
    </row>
    <row r="1929" spans="2:11" ht="15" customHeight="1" x14ac:dyDescent="0.35">
      <c r="B1929" s="5">
        <v>1908</v>
      </c>
      <c r="C1929" s="46">
        <f t="shared" ca="1" si="261"/>
        <v>4.0978517488297967</v>
      </c>
      <c r="D1929" s="47">
        <f t="shared" ca="1" si="262"/>
        <v>24858437859.136967</v>
      </c>
      <c r="E1929" s="47">
        <f t="shared" ca="1" si="263"/>
        <v>171980903484245.59</v>
      </c>
      <c r="F1929" s="47">
        <f t="shared" ca="1" si="264"/>
        <v>5022110082601.6221</v>
      </c>
      <c r="G1929" s="47">
        <f t="shared" ca="1" si="265"/>
        <v>5577441096566.3047</v>
      </c>
      <c r="H1929" s="47">
        <f t="shared" ca="1" si="266"/>
        <v>171980903484245.59</v>
      </c>
      <c r="I1929" s="47">
        <f t="shared" ca="1" si="267"/>
        <v>67710341275421.953</v>
      </c>
      <c r="J1929" s="47">
        <f t="shared" ca="1" si="268"/>
        <v>965608796142.34094</v>
      </c>
      <c r="K1929" s="48">
        <f t="shared" ca="1" si="269"/>
        <v>70.121918468357379</v>
      </c>
    </row>
    <row r="1930" spans="2:11" ht="15" customHeight="1" x14ac:dyDescent="0.35">
      <c r="B1930" s="5">
        <v>1909</v>
      </c>
      <c r="C1930" s="46">
        <f t="shared" ca="1" si="261"/>
        <v>2.7746910254430084</v>
      </c>
      <c r="D1930" s="47">
        <f t="shared" ca="1" si="262"/>
        <v>3324719136.1889257</v>
      </c>
      <c r="E1930" s="47">
        <f t="shared" ca="1" si="263"/>
        <v>8713749723492.207</v>
      </c>
      <c r="F1930" s="47">
        <f t="shared" ca="1" si="264"/>
        <v>1510569913168.6375</v>
      </c>
      <c r="G1930" s="47">
        <f t="shared" ca="1" si="265"/>
        <v>3435008809188.8613</v>
      </c>
      <c r="H1930" s="47">
        <f t="shared" ca="1" si="266"/>
        <v>1510569913168.6375</v>
      </c>
      <c r="I1930" s="47">
        <f t="shared" ca="1" si="267"/>
        <v>20877493787599.406</v>
      </c>
      <c r="J1930" s="47">
        <f t="shared" ca="1" si="268"/>
        <v>1665342495862.7942</v>
      </c>
      <c r="K1930" s="48">
        <f t="shared" ca="1" si="269"/>
        <v>12.536456518383039</v>
      </c>
    </row>
    <row r="1931" spans="2:11" ht="15" customHeight="1" x14ac:dyDescent="0.35">
      <c r="B1931" s="5">
        <v>1910</v>
      </c>
      <c r="C1931" s="46">
        <f t="shared" ca="1" si="261"/>
        <v>2.775088825820569</v>
      </c>
      <c r="D1931" s="47">
        <f t="shared" ca="1" si="262"/>
        <v>3283976476.3457441</v>
      </c>
      <c r="E1931" s="47">
        <f t="shared" ca="1" si="263"/>
        <v>14652325913605.793</v>
      </c>
      <c r="F1931" s="47">
        <f t="shared" ca="1" si="264"/>
        <v>215691609540.83667</v>
      </c>
      <c r="G1931" s="47">
        <f t="shared" ca="1" si="265"/>
        <v>727485714928.80127</v>
      </c>
      <c r="H1931" s="47">
        <f t="shared" ca="1" si="266"/>
        <v>14652325913605.793</v>
      </c>
      <c r="I1931" s="47">
        <f t="shared" ca="1" si="267"/>
        <v>11813030721280.154</v>
      </c>
      <c r="J1931" s="47">
        <f t="shared" ca="1" si="268"/>
        <v>1983120464923.0017</v>
      </c>
      <c r="K1931" s="48">
        <f t="shared" ca="1" si="269"/>
        <v>5.9567892774173039</v>
      </c>
    </row>
    <row r="1932" spans="2:11" ht="15" customHeight="1" x14ac:dyDescent="0.35">
      <c r="B1932" s="5">
        <v>1911</v>
      </c>
      <c r="C1932" s="46">
        <f t="shared" ca="1" si="261"/>
        <v>2.5512915189905789</v>
      </c>
      <c r="D1932" s="47">
        <f t="shared" ca="1" si="262"/>
        <v>1765988411.917093</v>
      </c>
      <c r="E1932" s="47">
        <f t="shared" ca="1" si="263"/>
        <v>5976612242444.2422</v>
      </c>
      <c r="F1932" s="47">
        <f t="shared" ca="1" si="264"/>
        <v>1356763437509.6931</v>
      </c>
      <c r="G1932" s="47">
        <f t="shared" ca="1" si="265"/>
        <v>4572697218362.7168</v>
      </c>
      <c r="H1932" s="47">
        <f t="shared" ca="1" si="266"/>
        <v>1356763437509.6931</v>
      </c>
      <c r="I1932" s="47">
        <f t="shared" ca="1" si="267"/>
        <v>18956165148294.512</v>
      </c>
      <c r="J1932" s="47">
        <f t="shared" ca="1" si="268"/>
        <v>1756779589744.6694</v>
      </c>
      <c r="K1932" s="48">
        <f t="shared" ca="1" si="269"/>
        <v>10.790292225019305</v>
      </c>
    </row>
    <row r="1933" spans="2:11" ht="15" customHeight="1" x14ac:dyDescent="0.35">
      <c r="B1933" s="5">
        <v>1912</v>
      </c>
      <c r="C1933" s="46">
        <f t="shared" ca="1" si="261"/>
        <v>3.2848720096992849</v>
      </c>
      <c r="D1933" s="47">
        <f t="shared" ca="1" si="262"/>
        <v>7116316734.2480412</v>
      </c>
      <c r="E1933" s="47">
        <f t="shared" ca="1" si="263"/>
        <v>6402260003480.0605</v>
      </c>
      <c r="F1933" s="47">
        <f t="shared" ca="1" si="264"/>
        <v>1062034570178.3331</v>
      </c>
      <c r="G1933" s="47">
        <f t="shared" ca="1" si="265"/>
        <v>3702999598720.5176</v>
      </c>
      <c r="H1933" s="47">
        <f t="shared" ca="1" si="266"/>
        <v>6402260003480.0605</v>
      </c>
      <c r="I1933" s="47">
        <f t="shared" ca="1" si="267"/>
        <v>1299405552570.6472</v>
      </c>
      <c r="J1933" s="47">
        <f t="shared" ca="1" si="268"/>
        <v>765590367544.51453</v>
      </c>
      <c r="K1933" s="48">
        <f t="shared" ca="1" si="269"/>
        <v>1.6972595367653898</v>
      </c>
    </row>
    <row r="1934" spans="2:11" ht="15" customHeight="1" x14ac:dyDescent="0.35">
      <c r="B1934" s="5">
        <v>1913</v>
      </c>
      <c r="C1934" s="46">
        <f t="shared" ca="1" si="261"/>
        <v>3.4437357424888857</v>
      </c>
      <c r="D1934" s="47">
        <f t="shared" ca="1" si="262"/>
        <v>9572262251.9773636</v>
      </c>
      <c r="E1934" s="47">
        <f t="shared" ca="1" si="263"/>
        <v>19168061476649.051</v>
      </c>
      <c r="F1934" s="47">
        <f t="shared" ca="1" si="264"/>
        <v>1312903006617.4275</v>
      </c>
      <c r="G1934" s="47">
        <f t="shared" ca="1" si="265"/>
        <v>10272696297166.129</v>
      </c>
      <c r="H1934" s="47">
        <f t="shared" ca="1" si="266"/>
        <v>10272696297166.129</v>
      </c>
      <c r="I1934" s="47">
        <f t="shared" ca="1" si="267"/>
        <v>8561542423940.8613</v>
      </c>
      <c r="J1934" s="47">
        <f t="shared" ca="1" si="268"/>
        <v>861118480219.19849</v>
      </c>
      <c r="K1934" s="48">
        <f t="shared" ca="1" si="269"/>
        <v>9.9423512798860294</v>
      </c>
    </row>
    <row r="1935" spans="2:11" ht="15" customHeight="1" x14ac:dyDescent="0.35">
      <c r="B1935" s="5">
        <v>1914</v>
      </c>
      <c r="C1935" s="46">
        <f t="shared" ca="1" si="261"/>
        <v>2.4419239199338394</v>
      </c>
      <c r="D1935" s="47">
        <f t="shared" ca="1" si="262"/>
        <v>1578733597.2450116</v>
      </c>
      <c r="E1935" s="47">
        <f t="shared" ca="1" si="263"/>
        <v>6933087641747.4717</v>
      </c>
      <c r="F1935" s="47">
        <f t="shared" ca="1" si="264"/>
        <v>6681094423377.2559</v>
      </c>
      <c r="G1935" s="47">
        <f t="shared" ca="1" si="265"/>
        <v>7737286040573.4531</v>
      </c>
      <c r="H1935" s="47">
        <f t="shared" ca="1" si="266"/>
        <v>6933087641747.4717</v>
      </c>
      <c r="I1935" s="47">
        <f t="shared" ca="1" si="267"/>
        <v>1060354321220.6298</v>
      </c>
      <c r="J1935" s="47">
        <f t="shared" ca="1" si="268"/>
        <v>2197243983837.5637</v>
      </c>
      <c r="K1935" s="48">
        <f t="shared" ca="1" si="269"/>
        <v>0.48258378633431676</v>
      </c>
    </row>
    <row r="1936" spans="2:11" ht="15" customHeight="1" x14ac:dyDescent="0.35">
      <c r="B1936" s="5">
        <v>1915</v>
      </c>
      <c r="C1936" s="46">
        <f t="shared" ca="1" si="261"/>
        <v>3.0662213749879914</v>
      </c>
      <c r="D1936" s="47">
        <f t="shared" ca="1" si="262"/>
        <v>4926790084.4645567</v>
      </c>
      <c r="E1936" s="47">
        <f t="shared" ca="1" si="263"/>
        <v>14576144395598.281</v>
      </c>
      <c r="F1936" s="47">
        <f t="shared" ca="1" si="264"/>
        <v>13113398770722.613</v>
      </c>
      <c r="G1936" s="47">
        <f t="shared" ca="1" si="265"/>
        <v>36505480333701.836</v>
      </c>
      <c r="H1936" s="47">
        <f t="shared" ca="1" si="266"/>
        <v>13113398770722.613</v>
      </c>
      <c r="I1936" s="47">
        <f t="shared" ca="1" si="267"/>
        <v>3403639306646.0244</v>
      </c>
      <c r="J1936" s="47">
        <f t="shared" ca="1" si="268"/>
        <v>1699108063099.1599</v>
      </c>
      <c r="K1936" s="48">
        <f t="shared" ca="1" si="269"/>
        <v>2.0031917807733857</v>
      </c>
    </row>
    <row r="1937" spans="2:11" ht="15" customHeight="1" x14ac:dyDescent="0.35">
      <c r="B1937" s="5">
        <v>1916</v>
      </c>
      <c r="C1937" s="46">
        <f t="shared" ca="1" si="261"/>
        <v>3.5471685639560007</v>
      </c>
      <c r="D1937" s="47">
        <f t="shared" ca="1" si="262"/>
        <v>11133335053.275562</v>
      </c>
      <c r="E1937" s="47">
        <f t="shared" ca="1" si="263"/>
        <v>25730881796028.73</v>
      </c>
      <c r="F1937" s="47">
        <f t="shared" ca="1" si="264"/>
        <v>8333662975557.5547</v>
      </c>
      <c r="G1937" s="47">
        <f t="shared" ca="1" si="265"/>
        <v>6822944080153.3379</v>
      </c>
      <c r="H1937" s="47">
        <f t="shared" ca="1" si="266"/>
        <v>8333662975557.5547</v>
      </c>
      <c r="I1937" s="47">
        <f t="shared" ca="1" si="267"/>
        <v>31721059429338.789</v>
      </c>
      <c r="J1937" s="47">
        <f t="shared" ca="1" si="268"/>
        <v>1351076962804.0576</v>
      </c>
      <c r="K1937" s="48">
        <f t="shared" ca="1" si="269"/>
        <v>23.478351198812643</v>
      </c>
    </row>
    <row r="1938" spans="2:11" ht="15" customHeight="1" x14ac:dyDescent="0.35">
      <c r="B1938" s="5">
        <v>1917</v>
      </c>
      <c r="C1938" s="46">
        <f t="shared" ca="1" si="261"/>
        <v>3.6582742889203588</v>
      </c>
      <c r="D1938" s="47">
        <f t="shared" ca="1" si="262"/>
        <v>15340834232.22307</v>
      </c>
      <c r="E1938" s="47">
        <f t="shared" ca="1" si="263"/>
        <v>57908112275526.406</v>
      </c>
      <c r="F1938" s="47">
        <f t="shared" ca="1" si="264"/>
        <v>6864210565170.3105</v>
      </c>
      <c r="G1938" s="47">
        <f t="shared" ca="1" si="265"/>
        <v>1244460400690.4482</v>
      </c>
      <c r="H1938" s="47">
        <f t="shared" ca="1" si="266"/>
        <v>1244460400690.4482</v>
      </c>
      <c r="I1938" s="47">
        <f t="shared" ca="1" si="267"/>
        <v>9470923839078.2969</v>
      </c>
      <c r="J1938" s="47">
        <f t="shared" ca="1" si="268"/>
        <v>1423625852105.0977</v>
      </c>
      <c r="K1938" s="48">
        <f t="shared" ca="1" si="269"/>
        <v>6.652677615451954</v>
      </c>
    </row>
    <row r="1939" spans="2:11" ht="15" customHeight="1" x14ac:dyDescent="0.35">
      <c r="B1939" s="5">
        <v>1918</v>
      </c>
      <c r="C1939" s="46">
        <f t="shared" ca="1" si="261"/>
        <v>3.4124950447684501</v>
      </c>
      <c r="D1939" s="47">
        <f t="shared" ca="1" si="262"/>
        <v>9227559499.8835297</v>
      </c>
      <c r="E1939" s="47">
        <f t="shared" ca="1" si="263"/>
        <v>25153649530393.004</v>
      </c>
      <c r="F1939" s="47">
        <f t="shared" ca="1" si="264"/>
        <v>8660445345288.3623</v>
      </c>
      <c r="G1939" s="47">
        <f t="shared" ca="1" si="265"/>
        <v>2202742856823.8027</v>
      </c>
      <c r="H1939" s="47">
        <f t="shared" ca="1" si="266"/>
        <v>2202742856823.8027</v>
      </c>
      <c r="I1939" s="47">
        <f t="shared" ca="1" si="267"/>
        <v>49845293997413.969</v>
      </c>
      <c r="J1939" s="47">
        <f t="shared" ca="1" si="268"/>
        <v>840522942395.53784</v>
      </c>
      <c r="K1939" s="48">
        <f t="shared" ca="1" si="269"/>
        <v>59.302716776953247</v>
      </c>
    </row>
    <row r="1940" spans="2:11" ht="15" customHeight="1" x14ac:dyDescent="0.35">
      <c r="B1940" s="5">
        <v>1919</v>
      </c>
      <c r="C1940" s="46">
        <f t="shared" ca="1" si="261"/>
        <v>1.8505156846216595</v>
      </c>
      <c r="D1940" s="47">
        <f t="shared" ca="1" si="262"/>
        <v>479356270.99997371</v>
      </c>
      <c r="E1940" s="47">
        <f t="shared" ca="1" si="263"/>
        <v>709453096013.64136</v>
      </c>
      <c r="F1940" s="47">
        <f t="shared" ca="1" si="264"/>
        <v>1302022452645.8103</v>
      </c>
      <c r="G1940" s="47">
        <f t="shared" ca="1" si="265"/>
        <v>8683532376417.585</v>
      </c>
      <c r="H1940" s="47">
        <f t="shared" ca="1" si="266"/>
        <v>8683532376417.585</v>
      </c>
      <c r="I1940" s="47">
        <f t="shared" ca="1" si="267"/>
        <v>6020816676953.1455</v>
      </c>
      <c r="J1940" s="47">
        <f t="shared" ca="1" si="268"/>
        <v>993022027968.0249</v>
      </c>
      <c r="K1940" s="48">
        <f t="shared" ca="1" si="269"/>
        <v>6.0631249935847489</v>
      </c>
    </row>
    <row r="1941" spans="2:11" ht="15" customHeight="1" x14ac:dyDescent="0.35">
      <c r="B1941" s="5">
        <v>1920</v>
      </c>
      <c r="C1941" s="46">
        <f t="shared" ca="1" si="261"/>
        <v>3.1568357695237004</v>
      </c>
      <c r="D1941" s="47">
        <f t="shared" ca="1" si="262"/>
        <v>6227549786.8772602</v>
      </c>
      <c r="E1941" s="47">
        <f t="shared" ca="1" si="263"/>
        <v>52651152217476.391</v>
      </c>
      <c r="F1941" s="47">
        <f t="shared" ca="1" si="264"/>
        <v>808481084286.31104</v>
      </c>
      <c r="G1941" s="47">
        <f t="shared" ca="1" si="265"/>
        <v>5370922437693.6426</v>
      </c>
      <c r="H1941" s="47">
        <f t="shared" ca="1" si="266"/>
        <v>5370922437693.6426</v>
      </c>
      <c r="I1941" s="47">
        <f t="shared" ca="1" si="267"/>
        <v>1386757020381.7339</v>
      </c>
      <c r="J1941" s="47">
        <f t="shared" ca="1" si="268"/>
        <v>2044045146313.6682</v>
      </c>
      <c r="K1941" s="48">
        <f t="shared" ca="1" si="269"/>
        <v>0.67843756919101317</v>
      </c>
    </row>
    <row r="1942" spans="2:11" ht="15" customHeight="1" x14ac:dyDescent="0.35">
      <c r="B1942" s="5">
        <v>1921</v>
      </c>
      <c r="C1942" s="46">
        <f t="shared" ref="C1942:C2005" ca="1" si="270">MEDIAN(1.8,NORMINV(RAND(),$C$7,$D$7),4.5)</f>
        <v>2.4148230338392684</v>
      </c>
      <c r="D1942" s="47">
        <f t="shared" ref="D1942:D2005" ca="1" si="271">($C$8+RAND()*($D$8-$C$8))*C1942^5</f>
        <v>1551225667.7846053</v>
      </c>
      <c r="E1942" s="47">
        <f t="shared" ref="E1942:E2005" ca="1" si="272">D1942*($C$10+RAND()*($D$10-$C$10))*EXP(NORMINV(RAND(),$C$9,$D$9))*($C$11+RAND()*($D$11-$C$11))</f>
        <v>3981091028518.353</v>
      </c>
      <c r="F1942" s="47">
        <f t="shared" ref="F1942:F2005" ca="1" si="273">EXP(NORMINV(RAND(),$C$12,$D$12))*EXP(NORMINV(RAND(),$C$13,$D$13))</f>
        <v>4223498849474.5864</v>
      </c>
      <c r="G1942" s="47">
        <f t="shared" ref="G1942:G2005" ca="1" si="274">EXP(NORMINV(RAND(),$C$14,$D$14))*($C$15+RAND()*($D$15-$C$15))*EXP(NORMINV(RAND(),$C$16,$D$16))/1000000*31536000</f>
        <v>1538106570179.3127</v>
      </c>
      <c r="H1942" s="47">
        <f t="shared" ref="H1942:H2005" ca="1" si="275">CHOOSE(RANDBETWEEN(1,3),E1942,F1942,G1942)</f>
        <v>4223498849474.5864</v>
      </c>
      <c r="I1942" s="47">
        <f t="shared" ref="I1942:I2005" ca="1" si="276">EXP(NORMINV(RAND(),$C$14,$D$14))*($C$15+RAND()*($D$15-$C$15))*60</f>
        <v>29112354833326.57</v>
      </c>
      <c r="J1942" s="47">
        <f t="shared" ref="J1942:J2005" ca="1" si="277">($C$17+RAND()*($D$17-$C$17))*($C$18+RAND()*($D$18-$C$18))</f>
        <v>1786140473678.3081</v>
      </c>
      <c r="K1942" s="48">
        <f t="shared" ref="K1942:K2005" ca="1" si="278">I1942/J1942</f>
        <v>16.299028694744106</v>
      </c>
    </row>
    <row r="1943" spans="2:11" ht="15" customHeight="1" x14ac:dyDescent="0.35">
      <c r="B1943" s="5">
        <v>1922</v>
      </c>
      <c r="C1943" s="46">
        <f t="shared" ca="1" si="270"/>
        <v>2.910133215135454</v>
      </c>
      <c r="D1943" s="47">
        <f t="shared" ca="1" si="271"/>
        <v>3817877113.6607342</v>
      </c>
      <c r="E1943" s="47">
        <f t="shared" ca="1" si="272"/>
        <v>11735434940452.408</v>
      </c>
      <c r="F1943" s="47">
        <f t="shared" ca="1" si="273"/>
        <v>3791549876608.6392</v>
      </c>
      <c r="G1943" s="47">
        <f t="shared" ca="1" si="274"/>
        <v>1905487039915.9561</v>
      </c>
      <c r="H1943" s="47">
        <f t="shared" ca="1" si="275"/>
        <v>11735434940452.408</v>
      </c>
      <c r="I1943" s="47">
        <f t="shared" ca="1" si="276"/>
        <v>6800125163477.2529</v>
      </c>
      <c r="J1943" s="47">
        <f t="shared" ca="1" si="277"/>
        <v>938571049275.578</v>
      </c>
      <c r="K1943" s="48">
        <f t="shared" ca="1" si="278"/>
        <v>7.2451895556823613</v>
      </c>
    </row>
    <row r="1944" spans="2:11" ht="15" customHeight="1" x14ac:dyDescent="0.35">
      <c r="B1944" s="5">
        <v>1923</v>
      </c>
      <c r="C1944" s="46">
        <f t="shared" ca="1" si="270"/>
        <v>2.4278041888226238</v>
      </c>
      <c r="D1944" s="47">
        <f t="shared" ca="1" si="271"/>
        <v>1879070198.3038404</v>
      </c>
      <c r="E1944" s="47">
        <f t="shared" ca="1" si="272"/>
        <v>10834858724368.723</v>
      </c>
      <c r="F1944" s="47">
        <f t="shared" ca="1" si="273"/>
        <v>4602159351617.8486</v>
      </c>
      <c r="G1944" s="47">
        <f t="shared" ca="1" si="274"/>
        <v>10760060837531.564</v>
      </c>
      <c r="H1944" s="47">
        <f t="shared" ca="1" si="275"/>
        <v>4602159351617.8486</v>
      </c>
      <c r="I1944" s="47">
        <f t="shared" ca="1" si="276"/>
        <v>230804921210072.75</v>
      </c>
      <c r="J1944" s="47">
        <f t="shared" ca="1" si="277"/>
        <v>1839729173659.1731</v>
      </c>
      <c r="K1944" s="48">
        <f t="shared" ca="1" si="278"/>
        <v>125.45592281444763</v>
      </c>
    </row>
    <row r="1945" spans="2:11" ht="15" customHeight="1" x14ac:dyDescent="0.35">
      <c r="B1945" s="5">
        <v>1924</v>
      </c>
      <c r="C1945" s="46">
        <f t="shared" ca="1" si="270"/>
        <v>2.2997262343428302</v>
      </c>
      <c r="D1945" s="47">
        <f t="shared" ca="1" si="271"/>
        <v>1535113691.3609095</v>
      </c>
      <c r="E1945" s="47">
        <f t="shared" ca="1" si="272"/>
        <v>12829475718442.162</v>
      </c>
      <c r="F1945" s="47">
        <f t="shared" ca="1" si="273"/>
        <v>1858960558281.6465</v>
      </c>
      <c r="G1945" s="47">
        <f t="shared" ca="1" si="274"/>
        <v>179144219987.82385</v>
      </c>
      <c r="H1945" s="47">
        <f t="shared" ca="1" si="275"/>
        <v>1858960558281.6465</v>
      </c>
      <c r="I1945" s="47">
        <f t="shared" ca="1" si="276"/>
        <v>2109110175243.1841</v>
      </c>
      <c r="J1945" s="47">
        <f t="shared" ca="1" si="277"/>
        <v>664249029194.06213</v>
      </c>
      <c r="K1945" s="48">
        <f t="shared" ca="1" si="278"/>
        <v>3.1751799137774905</v>
      </c>
    </row>
    <row r="1946" spans="2:11" ht="15" customHeight="1" x14ac:dyDescent="0.35">
      <c r="B1946" s="5">
        <v>1925</v>
      </c>
      <c r="C1946" s="46">
        <f t="shared" ca="1" si="270"/>
        <v>3.6946421372758587</v>
      </c>
      <c r="D1946" s="47">
        <f t="shared" ca="1" si="271"/>
        <v>13154947187.974325</v>
      </c>
      <c r="E1946" s="47">
        <f t="shared" ca="1" si="272"/>
        <v>77602650483160</v>
      </c>
      <c r="F1946" s="47">
        <f t="shared" ca="1" si="273"/>
        <v>6927977354284.752</v>
      </c>
      <c r="G1946" s="47">
        <f t="shared" ca="1" si="274"/>
        <v>3046959984039.373</v>
      </c>
      <c r="H1946" s="47">
        <f t="shared" ca="1" si="275"/>
        <v>3046959984039.373</v>
      </c>
      <c r="I1946" s="47">
        <f t="shared" ca="1" si="276"/>
        <v>2921838406897.1133</v>
      </c>
      <c r="J1946" s="47">
        <f t="shared" ca="1" si="277"/>
        <v>2458911469644.6934</v>
      </c>
      <c r="K1946" s="48">
        <f t="shared" ca="1" si="278"/>
        <v>1.1882649875635058</v>
      </c>
    </row>
    <row r="1947" spans="2:11" ht="15" customHeight="1" x14ac:dyDescent="0.35">
      <c r="B1947" s="5">
        <v>1926</v>
      </c>
      <c r="C1947" s="46">
        <f t="shared" ca="1" si="270"/>
        <v>3.8239830802287953</v>
      </c>
      <c r="D1947" s="47">
        <f t="shared" ca="1" si="271"/>
        <v>16811592508.411417</v>
      </c>
      <c r="E1947" s="47">
        <f t="shared" ca="1" si="272"/>
        <v>40186392975097.438</v>
      </c>
      <c r="F1947" s="47">
        <f t="shared" ca="1" si="273"/>
        <v>2661626053900.0195</v>
      </c>
      <c r="G1947" s="47">
        <f t="shared" ca="1" si="274"/>
        <v>250728393341.95877</v>
      </c>
      <c r="H1947" s="47">
        <f t="shared" ca="1" si="275"/>
        <v>2661626053900.0195</v>
      </c>
      <c r="I1947" s="47">
        <f t="shared" ca="1" si="276"/>
        <v>26512683416136.484</v>
      </c>
      <c r="J1947" s="47">
        <f t="shared" ca="1" si="277"/>
        <v>702729356873.72766</v>
      </c>
      <c r="K1947" s="48">
        <f t="shared" ca="1" si="278"/>
        <v>37.728156874056005</v>
      </c>
    </row>
    <row r="1948" spans="2:11" ht="15" customHeight="1" x14ac:dyDescent="0.35">
      <c r="B1948" s="5">
        <v>1927</v>
      </c>
      <c r="C1948" s="46">
        <f t="shared" ca="1" si="270"/>
        <v>2.7977388114396651</v>
      </c>
      <c r="D1948" s="47">
        <f t="shared" ca="1" si="271"/>
        <v>3554476652.6134682</v>
      </c>
      <c r="E1948" s="47">
        <f t="shared" ca="1" si="272"/>
        <v>10161716936044.303</v>
      </c>
      <c r="F1948" s="47">
        <f t="shared" ca="1" si="273"/>
        <v>16921416315925.586</v>
      </c>
      <c r="G1948" s="47">
        <f t="shared" ca="1" si="274"/>
        <v>13687601388848.973</v>
      </c>
      <c r="H1948" s="47">
        <f t="shared" ca="1" si="275"/>
        <v>10161716936044.303</v>
      </c>
      <c r="I1948" s="47">
        <f t="shared" ca="1" si="276"/>
        <v>5836175292592.874</v>
      </c>
      <c r="J1948" s="47">
        <f t="shared" ca="1" si="277"/>
        <v>994235785832.01147</v>
      </c>
      <c r="K1948" s="48">
        <f t="shared" ca="1" si="278"/>
        <v>5.8700112948649874</v>
      </c>
    </row>
    <row r="1949" spans="2:11" ht="15" customHeight="1" x14ac:dyDescent="0.35">
      <c r="B1949" s="5">
        <v>1928</v>
      </c>
      <c r="C1949" s="46">
        <f t="shared" ca="1" si="270"/>
        <v>2.961868570743083</v>
      </c>
      <c r="D1949" s="47">
        <f t="shared" ca="1" si="271"/>
        <v>3675233050.4149914</v>
      </c>
      <c r="E1949" s="47">
        <f t="shared" ca="1" si="272"/>
        <v>20802756262802.289</v>
      </c>
      <c r="F1949" s="47">
        <f t="shared" ca="1" si="273"/>
        <v>4179891709127.8672</v>
      </c>
      <c r="G1949" s="47">
        <f t="shared" ca="1" si="274"/>
        <v>3184169424378.4653</v>
      </c>
      <c r="H1949" s="47">
        <f t="shared" ca="1" si="275"/>
        <v>4179891709127.8672</v>
      </c>
      <c r="I1949" s="47">
        <f t="shared" ca="1" si="276"/>
        <v>3070839903481.814</v>
      </c>
      <c r="J1949" s="47">
        <f t="shared" ca="1" si="277"/>
        <v>839331061391.20471</v>
      </c>
      <c r="K1949" s="48">
        <f t="shared" ca="1" si="278"/>
        <v>3.6586753960848863</v>
      </c>
    </row>
    <row r="1950" spans="2:11" ht="15" customHeight="1" x14ac:dyDescent="0.35">
      <c r="B1950" s="5">
        <v>1929</v>
      </c>
      <c r="C1950" s="46">
        <f t="shared" ca="1" si="270"/>
        <v>2.4307926830742783</v>
      </c>
      <c r="D1950" s="47">
        <f t="shared" ca="1" si="271"/>
        <v>1473477857.3072298</v>
      </c>
      <c r="E1950" s="47">
        <f t="shared" ca="1" si="272"/>
        <v>2380023606335.7983</v>
      </c>
      <c r="F1950" s="47">
        <f t="shared" ca="1" si="273"/>
        <v>5936390223940.9785</v>
      </c>
      <c r="G1950" s="47">
        <f t="shared" ca="1" si="274"/>
        <v>6767543022219.0791</v>
      </c>
      <c r="H1950" s="47">
        <f t="shared" ca="1" si="275"/>
        <v>2380023606335.7983</v>
      </c>
      <c r="I1950" s="47">
        <f t="shared" ca="1" si="276"/>
        <v>2903015529222.5098</v>
      </c>
      <c r="J1950" s="47">
        <f t="shared" ca="1" si="277"/>
        <v>1743025364850.1313</v>
      </c>
      <c r="K1950" s="48">
        <f t="shared" ca="1" si="278"/>
        <v>1.6655038921204206</v>
      </c>
    </row>
    <row r="1951" spans="2:11" ht="15" customHeight="1" x14ac:dyDescent="0.35">
      <c r="B1951" s="5">
        <v>1930</v>
      </c>
      <c r="C1951" s="46">
        <f t="shared" ca="1" si="270"/>
        <v>2.8152285651889013</v>
      </c>
      <c r="D1951" s="47">
        <f t="shared" ca="1" si="271"/>
        <v>4040260054.3882608</v>
      </c>
      <c r="E1951" s="47">
        <f t="shared" ca="1" si="272"/>
        <v>23028985272457.43</v>
      </c>
      <c r="F1951" s="47">
        <f t="shared" ca="1" si="273"/>
        <v>2086088460753.4841</v>
      </c>
      <c r="G1951" s="47">
        <f t="shared" ca="1" si="274"/>
        <v>38247519034920.742</v>
      </c>
      <c r="H1951" s="47">
        <f t="shared" ca="1" si="275"/>
        <v>38247519034920.742</v>
      </c>
      <c r="I1951" s="47">
        <f t="shared" ca="1" si="276"/>
        <v>16179555164241.605</v>
      </c>
      <c r="J1951" s="47">
        <f t="shared" ca="1" si="277"/>
        <v>1800915000557.8679</v>
      </c>
      <c r="K1951" s="48">
        <f t="shared" ca="1" si="278"/>
        <v>8.9840748504119734</v>
      </c>
    </row>
    <row r="1952" spans="2:11" ht="15" customHeight="1" x14ac:dyDescent="0.35">
      <c r="B1952" s="5">
        <v>1931</v>
      </c>
      <c r="C1952" s="46">
        <f t="shared" ca="1" si="270"/>
        <v>3.4747005979432295</v>
      </c>
      <c r="D1952" s="47">
        <f t="shared" ca="1" si="271"/>
        <v>11381728023.617029</v>
      </c>
      <c r="E1952" s="47">
        <f t="shared" ca="1" si="272"/>
        <v>38037068236623.609</v>
      </c>
      <c r="F1952" s="47">
        <f t="shared" ca="1" si="273"/>
        <v>3795417550600.1733</v>
      </c>
      <c r="G1952" s="47">
        <f t="shared" ca="1" si="274"/>
        <v>1248022433672.3906</v>
      </c>
      <c r="H1952" s="47">
        <f t="shared" ca="1" si="275"/>
        <v>38037068236623.609</v>
      </c>
      <c r="I1952" s="47">
        <f t="shared" ca="1" si="276"/>
        <v>17067924915325.73</v>
      </c>
      <c r="J1952" s="47">
        <f t="shared" ca="1" si="277"/>
        <v>1096983393456.4127</v>
      </c>
      <c r="K1952" s="48">
        <f t="shared" ca="1" si="278"/>
        <v>15.558963806687656</v>
      </c>
    </row>
    <row r="1953" spans="2:11" ht="15" customHeight="1" x14ac:dyDescent="0.35">
      <c r="B1953" s="5">
        <v>1932</v>
      </c>
      <c r="C1953" s="46">
        <f t="shared" ca="1" si="270"/>
        <v>2.3537475428377816</v>
      </c>
      <c r="D1953" s="47">
        <f t="shared" ca="1" si="271"/>
        <v>1168136397.1229625</v>
      </c>
      <c r="E1953" s="47">
        <f t="shared" ca="1" si="272"/>
        <v>12130416840965.107</v>
      </c>
      <c r="F1953" s="47">
        <f t="shared" ca="1" si="273"/>
        <v>5642914365313.8691</v>
      </c>
      <c r="G1953" s="47">
        <f t="shared" ca="1" si="274"/>
        <v>1595623980620.1692</v>
      </c>
      <c r="H1953" s="47">
        <f t="shared" ca="1" si="275"/>
        <v>5642914365313.8691</v>
      </c>
      <c r="I1953" s="47">
        <f t="shared" ca="1" si="276"/>
        <v>1438167196598.1831</v>
      </c>
      <c r="J1953" s="47">
        <f t="shared" ca="1" si="277"/>
        <v>488378120357.22626</v>
      </c>
      <c r="K1953" s="48">
        <f t="shared" ca="1" si="278"/>
        <v>2.9447822018444021</v>
      </c>
    </row>
    <row r="1954" spans="2:11" ht="15" customHeight="1" x14ac:dyDescent="0.35">
      <c r="B1954" s="5">
        <v>1933</v>
      </c>
      <c r="C1954" s="46">
        <f t="shared" ca="1" si="270"/>
        <v>2.8863717893996079</v>
      </c>
      <c r="D1954" s="47">
        <f t="shared" ca="1" si="271"/>
        <v>4663990246.5384693</v>
      </c>
      <c r="E1954" s="47">
        <f t="shared" ca="1" si="272"/>
        <v>12295606443312.42</v>
      </c>
      <c r="F1954" s="47">
        <f t="shared" ca="1" si="273"/>
        <v>3041961483905.9287</v>
      </c>
      <c r="G1954" s="47">
        <f t="shared" ca="1" si="274"/>
        <v>29466183499091.941</v>
      </c>
      <c r="H1954" s="47">
        <f t="shared" ca="1" si="275"/>
        <v>12295606443312.42</v>
      </c>
      <c r="I1954" s="47">
        <f t="shared" ca="1" si="276"/>
        <v>491467203136.23981</v>
      </c>
      <c r="J1954" s="47">
        <f t="shared" ca="1" si="277"/>
        <v>1076189989763.5197</v>
      </c>
      <c r="K1954" s="48">
        <f t="shared" ca="1" si="278"/>
        <v>0.4566732712726998</v>
      </c>
    </row>
    <row r="1955" spans="2:11" ht="15" customHeight="1" x14ac:dyDescent="0.35">
      <c r="B1955" s="5">
        <v>1934</v>
      </c>
      <c r="C1955" s="46">
        <f t="shared" ca="1" si="270"/>
        <v>3.128053330404859</v>
      </c>
      <c r="D1955" s="47">
        <f t="shared" ca="1" si="271"/>
        <v>6618671510.665535</v>
      </c>
      <c r="E1955" s="47">
        <f t="shared" ca="1" si="272"/>
        <v>55127458421181.609</v>
      </c>
      <c r="F1955" s="47">
        <f t="shared" ca="1" si="273"/>
        <v>2784954129789.3486</v>
      </c>
      <c r="G1955" s="47">
        <f t="shared" ca="1" si="274"/>
        <v>3054354927330.123</v>
      </c>
      <c r="H1955" s="47">
        <f t="shared" ca="1" si="275"/>
        <v>55127458421181.609</v>
      </c>
      <c r="I1955" s="47">
        <f t="shared" ca="1" si="276"/>
        <v>3497820815555.3521</v>
      </c>
      <c r="J1955" s="47">
        <f t="shared" ca="1" si="277"/>
        <v>1019321478623.5961</v>
      </c>
      <c r="K1955" s="48">
        <f t="shared" ca="1" si="278"/>
        <v>3.431518798444734</v>
      </c>
    </row>
    <row r="1956" spans="2:11" ht="15" customHeight="1" x14ac:dyDescent="0.35">
      <c r="B1956" s="5">
        <v>1935</v>
      </c>
      <c r="C1956" s="46">
        <f t="shared" ca="1" si="270"/>
        <v>2.9643446930965078</v>
      </c>
      <c r="D1956" s="47">
        <f t="shared" ca="1" si="271"/>
        <v>5492918048.7269325</v>
      </c>
      <c r="E1956" s="47">
        <f t="shared" ca="1" si="272"/>
        <v>12793142264006.023</v>
      </c>
      <c r="F1956" s="47">
        <f t="shared" ca="1" si="273"/>
        <v>479776874837.89636</v>
      </c>
      <c r="G1956" s="47">
        <f t="shared" ca="1" si="274"/>
        <v>18501004291366.305</v>
      </c>
      <c r="H1956" s="47">
        <f t="shared" ca="1" si="275"/>
        <v>18501004291366.305</v>
      </c>
      <c r="I1956" s="47">
        <f t="shared" ca="1" si="276"/>
        <v>18429004235496.414</v>
      </c>
      <c r="J1956" s="47">
        <f t="shared" ca="1" si="277"/>
        <v>1492479066615.1123</v>
      </c>
      <c r="K1956" s="48">
        <f t="shared" ca="1" si="278"/>
        <v>12.34791471969702</v>
      </c>
    </row>
    <row r="1957" spans="2:11" ht="15" customHeight="1" x14ac:dyDescent="0.35">
      <c r="B1957" s="5">
        <v>1936</v>
      </c>
      <c r="C1957" s="46">
        <f t="shared" ca="1" si="270"/>
        <v>2.5656849658727987</v>
      </c>
      <c r="D1957" s="47">
        <f t="shared" ca="1" si="271"/>
        <v>1917995494.6853333</v>
      </c>
      <c r="E1957" s="47">
        <f t="shared" ca="1" si="272"/>
        <v>6799119864976.6621</v>
      </c>
      <c r="F1957" s="47">
        <f t="shared" ca="1" si="273"/>
        <v>3843050679902.9902</v>
      </c>
      <c r="G1957" s="47">
        <f t="shared" ca="1" si="274"/>
        <v>9861351011385.3457</v>
      </c>
      <c r="H1957" s="47">
        <f t="shared" ca="1" si="275"/>
        <v>3843050679902.9902</v>
      </c>
      <c r="I1957" s="47">
        <f t="shared" ca="1" si="276"/>
        <v>1233980744098.1296</v>
      </c>
      <c r="J1957" s="47">
        <f t="shared" ca="1" si="277"/>
        <v>1019206696988.9589</v>
      </c>
      <c r="K1957" s="48">
        <f t="shared" ca="1" si="278"/>
        <v>1.2107266835507238</v>
      </c>
    </row>
    <row r="1958" spans="2:11" ht="15" customHeight="1" x14ac:dyDescent="0.35">
      <c r="B1958" s="5">
        <v>1937</v>
      </c>
      <c r="C1958" s="46">
        <f t="shared" ca="1" si="270"/>
        <v>3.8789351446266007</v>
      </c>
      <c r="D1958" s="47">
        <f t="shared" ca="1" si="271"/>
        <v>19073340985.13686</v>
      </c>
      <c r="E1958" s="47">
        <f t="shared" ca="1" si="272"/>
        <v>100629463652626</v>
      </c>
      <c r="F1958" s="47">
        <f t="shared" ca="1" si="273"/>
        <v>2147968453492.8743</v>
      </c>
      <c r="G1958" s="47">
        <f t="shared" ca="1" si="274"/>
        <v>5031983656495.6797</v>
      </c>
      <c r="H1958" s="47">
        <f t="shared" ca="1" si="275"/>
        <v>2147968453492.8743</v>
      </c>
      <c r="I1958" s="47">
        <f t="shared" ca="1" si="276"/>
        <v>31032382714389.996</v>
      </c>
      <c r="J1958" s="47">
        <f t="shared" ca="1" si="277"/>
        <v>1158675477839.8259</v>
      </c>
      <c r="K1958" s="48">
        <f t="shared" ca="1" si="278"/>
        <v>26.782635265782229</v>
      </c>
    </row>
    <row r="1959" spans="2:11" ht="15" customHeight="1" x14ac:dyDescent="0.35">
      <c r="B1959" s="5">
        <v>1938</v>
      </c>
      <c r="C1959" s="46">
        <f t="shared" ca="1" si="270"/>
        <v>2.2566548029087512</v>
      </c>
      <c r="D1959" s="47">
        <f t="shared" ca="1" si="271"/>
        <v>1211555303.1573665</v>
      </c>
      <c r="E1959" s="47">
        <f t="shared" ca="1" si="272"/>
        <v>2446573689597.0171</v>
      </c>
      <c r="F1959" s="47">
        <f t="shared" ca="1" si="273"/>
        <v>8844854131264.1875</v>
      </c>
      <c r="G1959" s="47">
        <f t="shared" ca="1" si="274"/>
        <v>15524991720872.451</v>
      </c>
      <c r="H1959" s="47">
        <f t="shared" ca="1" si="275"/>
        <v>15524991720872.451</v>
      </c>
      <c r="I1959" s="47">
        <f t="shared" ca="1" si="276"/>
        <v>36564159023034.266</v>
      </c>
      <c r="J1959" s="47">
        <f t="shared" ca="1" si="277"/>
        <v>555764462136.46985</v>
      </c>
      <c r="K1959" s="48">
        <f t="shared" ca="1" si="278"/>
        <v>65.790746825506474</v>
      </c>
    </row>
    <row r="1960" spans="2:11" ht="15" customHeight="1" x14ac:dyDescent="0.35">
      <c r="B1960" s="5">
        <v>1939</v>
      </c>
      <c r="C1960" s="46">
        <f t="shared" ca="1" si="270"/>
        <v>3.3088660871333202</v>
      </c>
      <c r="D1960" s="47">
        <f t="shared" ca="1" si="271"/>
        <v>6546506728.8169651</v>
      </c>
      <c r="E1960" s="47">
        <f t="shared" ca="1" si="272"/>
        <v>31335726080654.57</v>
      </c>
      <c r="F1960" s="47">
        <f t="shared" ca="1" si="273"/>
        <v>21666227631641.992</v>
      </c>
      <c r="G1960" s="47">
        <f t="shared" ca="1" si="274"/>
        <v>39064812104768.086</v>
      </c>
      <c r="H1960" s="47">
        <f t="shared" ca="1" si="275"/>
        <v>21666227631641.992</v>
      </c>
      <c r="I1960" s="47">
        <f t="shared" ca="1" si="276"/>
        <v>2064413546055.5886</v>
      </c>
      <c r="J1960" s="47">
        <f t="shared" ca="1" si="277"/>
        <v>893669352026.05981</v>
      </c>
      <c r="K1960" s="48">
        <f t="shared" ca="1" si="278"/>
        <v>2.3100417860087803</v>
      </c>
    </row>
    <row r="1961" spans="2:11" ht="15" customHeight="1" x14ac:dyDescent="0.35">
      <c r="B1961" s="5">
        <v>1940</v>
      </c>
      <c r="C1961" s="46">
        <f t="shared" ca="1" si="270"/>
        <v>3.5609066831605007</v>
      </c>
      <c r="D1961" s="47">
        <f t="shared" ca="1" si="271"/>
        <v>11030247554.055687</v>
      </c>
      <c r="E1961" s="47">
        <f t="shared" ca="1" si="272"/>
        <v>142538055003951.97</v>
      </c>
      <c r="F1961" s="47">
        <f t="shared" ca="1" si="273"/>
        <v>1483022844800.3484</v>
      </c>
      <c r="G1961" s="47">
        <f t="shared" ca="1" si="274"/>
        <v>7567468715937.6787</v>
      </c>
      <c r="H1961" s="47">
        <f t="shared" ca="1" si="275"/>
        <v>142538055003951.97</v>
      </c>
      <c r="I1961" s="47">
        <f t="shared" ca="1" si="276"/>
        <v>3440699357096.5977</v>
      </c>
      <c r="J1961" s="47">
        <f t="shared" ca="1" si="277"/>
        <v>669725235104.31226</v>
      </c>
      <c r="K1961" s="48">
        <f t="shared" ca="1" si="278"/>
        <v>5.1374790387892366</v>
      </c>
    </row>
    <row r="1962" spans="2:11" ht="15" customHeight="1" x14ac:dyDescent="0.35">
      <c r="B1962" s="5">
        <v>1941</v>
      </c>
      <c r="C1962" s="46">
        <f t="shared" ca="1" si="270"/>
        <v>2.8290008513671481</v>
      </c>
      <c r="D1962" s="47">
        <f t="shared" ca="1" si="271"/>
        <v>4227725263.7085314</v>
      </c>
      <c r="E1962" s="47">
        <f t="shared" ca="1" si="272"/>
        <v>5650565753529.2227</v>
      </c>
      <c r="F1962" s="47">
        <f t="shared" ca="1" si="273"/>
        <v>4228145396763.7695</v>
      </c>
      <c r="G1962" s="47">
        <f t="shared" ca="1" si="274"/>
        <v>339527538074.23425</v>
      </c>
      <c r="H1962" s="47">
        <f t="shared" ca="1" si="275"/>
        <v>5650565753529.2227</v>
      </c>
      <c r="I1962" s="47">
        <f t="shared" ca="1" si="276"/>
        <v>7220811208278.4561</v>
      </c>
      <c r="J1962" s="47">
        <f t="shared" ca="1" si="277"/>
        <v>1791528726217.8059</v>
      </c>
      <c r="K1962" s="48">
        <f t="shared" ca="1" si="278"/>
        <v>4.0305305198888464</v>
      </c>
    </row>
    <row r="1963" spans="2:11" ht="15" customHeight="1" x14ac:dyDescent="0.35">
      <c r="B1963" s="5">
        <v>1942</v>
      </c>
      <c r="C1963" s="46">
        <f t="shared" ca="1" si="270"/>
        <v>3.9949291113541836</v>
      </c>
      <c r="D1963" s="47">
        <f t="shared" ca="1" si="271"/>
        <v>24247919316.994637</v>
      </c>
      <c r="E1963" s="47">
        <f t="shared" ca="1" si="272"/>
        <v>38902824736651.609</v>
      </c>
      <c r="F1963" s="47">
        <f t="shared" ca="1" si="273"/>
        <v>6699815409149.6143</v>
      </c>
      <c r="G1963" s="47">
        <f t="shared" ca="1" si="274"/>
        <v>14648539238168.078</v>
      </c>
      <c r="H1963" s="47">
        <f t="shared" ca="1" si="275"/>
        <v>14648539238168.078</v>
      </c>
      <c r="I1963" s="47">
        <f t="shared" ca="1" si="276"/>
        <v>5825723029661.0537</v>
      </c>
      <c r="J1963" s="47">
        <f t="shared" ca="1" si="277"/>
        <v>806583167361.45947</v>
      </c>
      <c r="K1963" s="48">
        <f t="shared" ca="1" si="278"/>
        <v>7.2227183325911559</v>
      </c>
    </row>
    <row r="1964" spans="2:11" ht="15" customHeight="1" x14ac:dyDescent="0.35">
      <c r="B1964" s="5">
        <v>1943</v>
      </c>
      <c r="C1964" s="46">
        <f t="shared" ca="1" si="270"/>
        <v>3.8876946851371392</v>
      </c>
      <c r="D1964" s="47">
        <f t="shared" ca="1" si="271"/>
        <v>16514581265.648762</v>
      </c>
      <c r="E1964" s="47">
        <f t="shared" ca="1" si="272"/>
        <v>104466020823082.58</v>
      </c>
      <c r="F1964" s="47">
        <f t="shared" ca="1" si="273"/>
        <v>2379705445384.3921</v>
      </c>
      <c r="G1964" s="47">
        <f t="shared" ca="1" si="274"/>
        <v>29199336444222.668</v>
      </c>
      <c r="H1964" s="47">
        <f t="shared" ca="1" si="275"/>
        <v>2379705445384.3921</v>
      </c>
      <c r="I1964" s="47">
        <f t="shared" ca="1" si="276"/>
        <v>1965508611274.3967</v>
      </c>
      <c r="J1964" s="47">
        <f t="shared" ca="1" si="277"/>
        <v>1115401018996.2266</v>
      </c>
      <c r="K1964" s="48">
        <f t="shared" ca="1" si="278"/>
        <v>1.762154218796752</v>
      </c>
    </row>
    <row r="1965" spans="2:11" ht="15" customHeight="1" x14ac:dyDescent="0.35">
      <c r="B1965" s="5">
        <v>1944</v>
      </c>
      <c r="C1965" s="46">
        <f t="shared" ca="1" si="270"/>
        <v>2.7235220247399057</v>
      </c>
      <c r="D1965" s="47">
        <f t="shared" ca="1" si="271"/>
        <v>3116691144.6152864</v>
      </c>
      <c r="E1965" s="47">
        <f t="shared" ca="1" si="272"/>
        <v>8671735807385.3652</v>
      </c>
      <c r="F1965" s="47">
        <f t="shared" ca="1" si="273"/>
        <v>930077451738.2019</v>
      </c>
      <c r="G1965" s="47">
        <f t="shared" ca="1" si="274"/>
        <v>5401393123686.4951</v>
      </c>
      <c r="H1965" s="47">
        <f t="shared" ca="1" si="275"/>
        <v>930077451738.2019</v>
      </c>
      <c r="I1965" s="47">
        <f t="shared" ca="1" si="276"/>
        <v>1969544435557.6497</v>
      </c>
      <c r="J1965" s="47">
        <f t="shared" ca="1" si="277"/>
        <v>1483346699147.897</v>
      </c>
      <c r="K1965" s="48">
        <f t="shared" ca="1" si="278"/>
        <v>1.3277708014512366</v>
      </c>
    </row>
    <row r="1966" spans="2:11" ht="15" customHeight="1" x14ac:dyDescent="0.35">
      <c r="B1966" s="5">
        <v>1945</v>
      </c>
      <c r="C1966" s="46">
        <f t="shared" ca="1" si="270"/>
        <v>3.3082546981449537</v>
      </c>
      <c r="D1966" s="47">
        <f t="shared" ca="1" si="271"/>
        <v>8616756264.632906</v>
      </c>
      <c r="E1966" s="47">
        <f t="shared" ca="1" si="272"/>
        <v>12874293385514.422</v>
      </c>
      <c r="F1966" s="47">
        <f t="shared" ca="1" si="273"/>
        <v>1724810633739.2588</v>
      </c>
      <c r="G1966" s="47">
        <f t="shared" ca="1" si="274"/>
        <v>28438808053701.449</v>
      </c>
      <c r="H1966" s="47">
        <f t="shared" ca="1" si="275"/>
        <v>12874293385514.422</v>
      </c>
      <c r="I1966" s="47">
        <f t="shared" ca="1" si="276"/>
        <v>2890853885350.9756</v>
      </c>
      <c r="J1966" s="47">
        <f t="shared" ca="1" si="277"/>
        <v>1055971998184.4327</v>
      </c>
      <c r="K1966" s="48">
        <f t="shared" ca="1" si="278"/>
        <v>2.7376236210063483</v>
      </c>
    </row>
    <row r="1967" spans="2:11" ht="15" customHeight="1" x14ac:dyDescent="0.35">
      <c r="B1967" s="5">
        <v>1946</v>
      </c>
      <c r="C1967" s="46">
        <f t="shared" ca="1" si="270"/>
        <v>3.1312393161796015</v>
      </c>
      <c r="D1967" s="47">
        <f t="shared" ca="1" si="271"/>
        <v>6646360184.7499084</v>
      </c>
      <c r="E1967" s="47">
        <f t="shared" ca="1" si="272"/>
        <v>10475608879597.186</v>
      </c>
      <c r="F1967" s="47">
        <f t="shared" ca="1" si="273"/>
        <v>2029102939433.0945</v>
      </c>
      <c r="G1967" s="47">
        <f t="shared" ca="1" si="274"/>
        <v>4530796671894.5938</v>
      </c>
      <c r="H1967" s="47">
        <f t="shared" ca="1" si="275"/>
        <v>10475608879597.186</v>
      </c>
      <c r="I1967" s="47">
        <f t="shared" ca="1" si="276"/>
        <v>10422697032373.787</v>
      </c>
      <c r="J1967" s="47">
        <f t="shared" ca="1" si="277"/>
        <v>977049492512.20117</v>
      </c>
      <c r="K1967" s="48">
        <f t="shared" ca="1" si="278"/>
        <v>10.667522077694166</v>
      </c>
    </row>
    <row r="1968" spans="2:11" ht="15" customHeight="1" x14ac:dyDescent="0.35">
      <c r="B1968" s="5">
        <v>1947</v>
      </c>
      <c r="C1968" s="46">
        <f t="shared" ca="1" si="270"/>
        <v>2.4991547292432097</v>
      </c>
      <c r="D1968" s="47">
        <f t="shared" ca="1" si="271"/>
        <v>1579322182.3726778</v>
      </c>
      <c r="E1968" s="47">
        <f t="shared" ca="1" si="272"/>
        <v>6330520115749.043</v>
      </c>
      <c r="F1968" s="47">
        <f t="shared" ca="1" si="273"/>
        <v>1382160429456.8091</v>
      </c>
      <c r="G1968" s="47">
        <f t="shared" ca="1" si="274"/>
        <v>1827840631237.6343</v>
      </c>
      <c r="H1968" s="47">
        <f t="shared" ca="1" si="275"/>
        <v>6330520115749.043</v>
      </c>
      <c r="I1968" s="47">
        <f t="shared" ca="1" si="276"/>
        <v>12362292740786.639</v>
      </c>
      <c r="J1968" s="47">
        <f t="shared" ca="1" si="277"/>
        <v>623346268725.85645</v>
      </c>
      <c r="K1968" s="48">
        <f t="shared" ca="1" si="278"/>
        <v>19.832143643140171</v>
      </c>
    </row>
    <row r="1969" spans="2:11" ht="15" customHeight="1" x14ac:dyDescent="0.35">
      <c r="B1969" s="5">
        <v>1948</v>
      </c>
      <c r="C1969" s="46">
        <f t="shared" ca="1" si="270"/>
        <v>3.3483303759218996</v>
      </c>
      <c r="D1969" s="47">
        <f t="shared" ca="1" si="271"/>
        <v>9212304628.6365566</v>
      </c>
      <c r="E1969" s="47">
        <f t="shared" ca="1" si="272"/>
        <v>32294816805673.707</v>
      </c>
      <c r="F1969" s="47">
        <f t="shared" ca="1" si="273"/>
        <v>9420939648338.1426</v>
      </c>
      <c r="G1969" s="47">
        <f t="shared" ca="1" si="274"/>
        <v>741194761331.14673</v>
      </c>
      <c r="H1969" s="47">
        <f t="shared" ca="1" si="275"/>
        <v>9420939648338.1426</v>
      </c>
      <c r="I1969" s="47">
        <f t="shared" ca="1" si="276"/>
        <v>7583284272871.3691</v>
      </c>
      <c r="J1969" s="47">
        <f t="shared" ca="1" si="277"/>
        <v>1506015084546.6306</v>
      </c>
      <c r="K1969" s="48">
        <f t="shared" ca="1" si="278"/>
        <v>5.0353308879068992</v>
      </c>
    </row>
    <row r="1970" spans="2:11" ht="15" customHeight="1" x14ac:dyDescent="0.35">
      <c r="B1970" s="5">
        <v>1949</v>
      </c>
      <c r="C1970" s="46">
        <f t="shared" ca="1" si="270"/>
        <v>2.387809614493841</v>
      </c>
      <c r="D1970" s="47">
        <f t="shared" ca="1" si="271"/>
        <v>1695776896.8493876</v>
      </c>
      <c r="E1970" s="47">
        <f t="shared" ca="1" si="272"/>
        <v>4263862595676.2856</v>
      </c>
      <c r="F1970" s="47">
        <f t="shared" ca="1" si="273"/>
        <v>2112757108848.2773</v>
      </c>
      <c r="G1970" s="47">
        <f t="shared" ca="1" si="274"/>
        <v>2610015347606.9268</v>
      </c>
      <c r="H1970" s="47">
        <f t="shared" ca="1" si="275"/>
        <v>2112757108848.2773</v>
      </c>
      <c r="I1970" s="47">
        <f t="shared" ca="1" si="276"/>
        <v>6629114136274.835</v>
      </c>
      <c r="J1970" s="47">
        <f t="shared" ca="1" si="277"/>
        <v>670508564463.11523</v>
      </c>
      <c r="K1970" s="48">
        <f t="shared" ca="1" si="278"/>
        <v>9.8866956928176624</v>
      </c>
    </row>
    <row r="1971" spans="2:11" ht="15" customHeight="1" x14ac:dyDescent="0.35">
      <c r="B1971" s="5">
        <v>1950</v>
      </c>
      <c r="C1971" s="46">
        <f t="shared" ca="1" si="270"/>
        <v>2.6796699257926582</v>
      </c>
      <c r="D1971" s="47">
        <f t="shared" ca="1" si="271"/>
        <v>2303634029.6824417</v>
      </c>
      <c r="E1971" s="47">
        <f t="shared" ca="1" si="272"/>
        <v>4893880061498.0479</v>
      </c>
      <c r="F1971" s="47">
        <f t="shared" ca="1" si="273"/>
        <v>1519127623190.4194</v>
      </c>
      <c r="G1971" s="47">
        <f t="shared" ca="1" si="274"/>
        <v>5327806295992.0586</v>
      </c>
      <c r="H1971" s="47">
        <f t="shared" ca="1" si="275"/>
        <v>5327806295992.0586</v>
      </c>
      <c r="I1971" s="47">
        <f t="shared" ca="1" si="276"/>
        <v>241496044178.3277</v>
      </c>
      <c r="J1971" s="47">
        <f t="shared" ca="1" si="277"/>
        <v>849012274589.31934</v>
      </c>
      <c r="K1971" s="48">
        <f t="shared" ca="1" si="278"/>
        <v>0.28444352503047515</v>
      </c>
    </row>
    <row r="1972" spans="2:11" ht="15" customHeight="1" x14ac:dyDescent="0.35">
      <c r="B1972" s="5">
        <v>1951</v>
      </c>
      <c r="C1972" s="46">
        <f t="shared" ca="1" si="270"/>
        <v>3.2326353746987104</v>
      </c>
      <c r="D1972" s="47">
        <f t="shared" ca="1" si="271"/>
        <v>7965947041.6141653</v>
      </c>
      <c r="E1972" s="47">
        <f t="shared" ca="1" si="272"/>
        <v>32083280086167.887</v>
      </c>
      <c r="F1972" s="47">
        <f t="shared" ca="1" si="273"/>
        <v>1906164751135.5127</v>
      </c>
      <c r="G1972" s="47">
        <f t="shared" ca="1" si="274"/>
        <v>27196181375443.773</v>
      </c>
      <c r="H1972" s="47">
        <f t="shared" ca="1" si="275"/>
        <v>27196181375443.773</v>
      </c>
      <c r="I1972" s="47">
        <f t="shared" ca="1" si="276"/>
        <v>4220354759505.3999</v>
      </c>
      <c r="J1972" s="47">
        <f t="shared" ca="1" si="277"/>
        <v>723198085933.98792</v>
      </c>
      <c r="K1972" s="48">
        <f t="shared" ca="1" si="278"/>
        <v>5.8356829775827501</v>
      </c>
    </row>
    <row r="1973" spans="2:11" ht="15" customHeight="1" x14ac:dyDescent="0.35">
      <c r="B1973" s="5">
        <v>1952</v>
      </c>
      <c r="C1973" s="46">
        <f t="shared" ca="1" si="270"/>
        <v>3.0292250931141464</v>
      </c>
      <c r="D1973" s="47">
        <f t="shared" ca="1" si="271"/>
        <v>5985635832.0071058</v>
      </c>
      <c r="E1973" s="47">
        <f t="shared" ca="1" si="272"/>
        <v>28622099602783.617</v>
      </c>
      <c r="F1973" s="47">
        <f t="shared" ca="1" si="273"/>
        <v>506673677354.18365</v>
      </c>
      <c r="G1973" s="47">
        <f t="shared" ca="1" si="274"/>
        <v>4713937494266.2969</v>
      </c>
      <c r="H1973" s="47">
        <f t="shared" ca="1" si="275"/>
        <v>28622099602783.617</v>
      </c>
      <c r="I1973" s="47">
        <f t="shared" ca="1" si="276"/>
        <v>4415033920159.2002</v>
      </c>
      <c r="J1973" s="47">
        <f t="shared" ca="1" si="277"/>
        <v>666190457830.25244</v>
      </c>
      <c r="K1973" s="48">
        <f t="shared" ca="1" si="278"/>
        <v>6.6272848376404783</v>
      </c>
    </row>
    <row r="1974" spans="2:11" ht="15" customHeight="1" x14ac:dyDescent="0.35">
      <c r="B1974" s="5">
        <v>1953</v>
      </c>
      <c r="C1974" s="46">
        <f t="shared" ca="1" si="270"/>
        <v>3.5959610759240661</v>
      </c>
      <c r="D1974" s="47">
        <f t="shared" ca="1" si="271"/>
        <v>10735651078.450586</v>
      </c>
      <c r="E1974" s="47">
        <f t="shared" ca="1" si="272"/>
        <v>68641519871487.172</v>
      </c>
      <c r="F1974" s="47">
        <f t="shared" ca="1" si="273"/>
        <v>4706885960030.0439</v>
      </c>
      <c r="G1974" s="47">
        <f t="shared" ca="1" si="274"/>
        <v>413913016174.5918</v>
      </c>
      <c r="H1974" s="47">
        <f t="shared" ca="1" si="275"/>
        <v>68641519871487.172</v>
      </c>
      <c r="I1974" s="47">
        <f t="shared" ca="1" si="276"/>
        <v>40881499735275.797</v>
      </c>
      <c r="J1974" s="47">
        <f t="shared" ca="1" si="277"/>
        <v>596899068860.62341</v>
      </c>
      <c r="K1974" s="48">
        <f t="shared" ca="1" si="278"/>
        <v>68.489803164396747</v>
      </c>
    </row>
    <row r="1975" spans="2:11" ht="15" customHeight="1" x14ac:dyDescent="0.35">
      <c r="B1975" s="5">
        <v>1954</v>
      </c>
      <c r="C1975" s="46">
        <f t="shared" ca="1" si="270"/>
        <v>3.0133097314642443</v>
      </c>
      <c r="D1975" s="47">
        <f t="shared" ca="1" si="271"/>
        <v>5557367258.7179794</v>
      </c>
      <c r="E1975" s="47">
        <f t="shared" ca="1" si="272"/>
        <v>25937992850143.605</v>
      </c>
      <c r="F1975" s="47">
        <f t="shared" ca="1" si="273"/>
        <v>3460948372431.9229</v>
      </c>
      <c r="G1975" s="47">
        <f t="shared" ca="1" si="274"/>
        <v>21988117049544.043</v>
      </c>
      <c r="H1975" s="47">
        <f t="shared" ca="1" si="275"/>
        <v>3460948372431.9229</v>
      </c>
      <c r="I1975" s="47">
        <f t="shared" ca="1" si="276"/>
        <v>6765111662026.5645</v>
      </c>
      <c r="J1975" s="47">
        <f t="shared" ca="1" si="277"/>
        <v>1661246517417.9775</v>
      </c>
      <c r="K1975" s="48">
        <f t="shared" ca="1" si="278"/>
        <v>4.0723105156851505</v>
      </c>
    </row>
    <row r="1976" spans="2:11" ht="15" customHeight="1" x14ac:dyDescent="0.35">
      <c r="B1976" s="5">
        <v>1955</v>
      </c>
      <c r="C1976" s="46">
        <f t="shared" ca="1" si="270"/>
        <v>3.237619647627163</v>
      </c>
      <c r="D1976" s="47">
        <f t="shared" ca="1" si="271"/>
        <v>7583321823.4707489</v>
      </c>
      <c r="E1976" s="47">
        <f t="shared" ca="1" si="272"/>
        <v>10800341202274.107</v>
      </c>
      <c r="F1976" s="47">
        <f t="shared" ca="1" si="273"/>
        <v>1429717293237.0703</v>
      </c>
      <c r="G1976" s="47">
        <f t="shared" ca="1" si="274"/>
        <v>608852345889.02307</v>
      </c>
      <c r="H1976" s="47">
        <f t="shared" ca="1" si="275"/>
        <v>10800341202274.107</v>
      </c>
      <c r="I1976" s="47">
        <f t="shared" ca="1" si="276"/>
        <v>3107828033542.8423</v>
      </c>
      <c r="J1976" s="47">
        <f t="shared" ca="1" si="277"/>
        <v>695736762420.51697</v>
      </c>
      <c r="K1976" s="48">
        <f t="shared" ca="1" si="278"/>
        <v>4.4669596338857973</v>
      </c>
    </row>
    <row r="1977" spans="2:11" ht="15" customHeight="1" x14ac:dyDescent="0.35">
      <c r="B1977" s="5">
        <v>1956</v>
      </c>
      <c r="C1977" s="46">
        <f t="shared" ca="1" si="270"/>
        <v>3.2750074112593204</v>
      </c>
      <c r="D1977" s="47">
        <f t="shared" ca="1" si="271"/>
        <v>8184887407.1316671</v>
      </c>
      <c r="E1977" s="47">
        <f t="shared" ca="1" si="272"/>
        <v>12034921341750.9</v>
      </c>
      <c r="F1977" s="47">
        <f t="shared" ca="1" si="273"/>
        <v>2268920785755.4346</v>
      </c>
      <c r="G1977" s="47">
        <f t="shared" ca="1" si="274"/>
        <v>4120206579001.04</v>
      </c>
      <c r="H1977" s="47">
        <f t="shared" ca="1" si="275"/>
        <v>12034921341750.9</v>
      </c>
      <c r="I1977" s="47">
        <f t="shared" ca="1" si="276"/>
        <v>463765646698.24078</v>
      </c>
      <c r="J1977" s="47">
        <f t="shared" ca="1" si="277"/>
        <v>1504329488275.8962</v>
      </c>
      <c r="K1977" s="48">
        <f t="shared" ca="1" si="278"/>
        <v>0.30828728035489089</v>
      </c>
    </row>
    <row r="1978" spans="2:11" ht="15" customHeight="1" x14ac:dyDescent="0.35">
      <c r="B1978" s="5">
        <v>1957</v>
      </c>
      <c r="C1978" s="46">
        <f t="shared" ca="1" si="270"/>
        <v>2.2889146340184459</v>
      </c>
      <c r="D1978" s="47">
        <f t="shared" ca="1" si="271"/>
        <v>1223920465.0727484</v>
      </c>
      <c r="E1978" s="47">
        <f t="shared" ca="1" si="272"/>
        <v>5118545099215.7383</v>
      </c>
      <c r="F1978" s="47">
        <f t="shared" ca="1" si="273"/>
        <v>4302145237757.7124</v>
      </c>
      <c r="G1978" s="47">
        <f t="shared" ca="1" si="274"/>
        <v>57498133628692.117</v>
      </c>
      <c r="H1978" s="47">
        <f t="shared" ca="1" si="275"/>
        <v>5118545099215.7383</v>
      </c>
      <c r="I1978" s="47">
        <f t="shared" ca="1" si="276"/>
        <v>62089338903529.391</v>
      </c>
      <c r="J1978" s="47">
        <f t="shared" ca="1" si="277"/>
        <v>488919348675.8924</v>
      </c>
      <c r="K1978" s="48">
        <f t="shared" ca="1" si="278"/>
        <v>126.99300829816164</v>
      </c>
    </row>
    <row r="1979" spans="2:11" ht="15" customHeight="1" x14ac:dyDescent="0.35">
      <c r="B1979" s="5">
        <v>1958</v>
      </c>
      <c r="C1979" s="46">
        <f t="shared" ca="1" si="270"/>
        <v>3.0896379891644052</v>
      </c>
      <c r="D1979" s="47">
        <f t="shared" ca="1" si="271"/>
        <v>6476234415.2503223</v>
      </c>
      <c r="E1979" s="47">
        <f t="shared" ca="1" si="272"/>
        <v>28081455519825.969</v>
      </c>
      <c r="F1979" s="47">
        <f t="shared" ca="1" si="273"/>
        <v>531780911229.63214</v>
      </c>
      <c r="G1979" s="47">
        <f t="shared" ca="1" si="274"/>
        <v>567097111120.86316</v>
      </c>
      <c r="H1979" s="47">
        <f t="shared" ca="1" si="275"/>
        <v>531780911229.63214</v>
      </c>
      <c r="I1979" s="47">
        <f t="shared" ca="1" si="276"/>
        <v>24818604059303.586</v>
      </c>
      <c r="J1979" s="47">
        <f t="shared" ca="1" si="277"/>
        <v>2326683363086.4375</v>
      </c>
      <c r="K1979" s="48">
        <f t="shared" ca="1" si="278"/>
        <v>10.666945254802839</v>
      </c>
    </row>
    <row r="1980" spans="2:11" ht="15" customHeight="1" x14ac:dyDescent="0.35">
      <c r="B1980" s="5">
        <v>1959</v>
      </c>
      <c r="C1980" s="46">
        <f t="shared" ca="1" si="270"/>
        <v>4.2819342547886006</v>
      </c>
      <c r="D1980" s="47">
        <f t="shared" ca="1" si="271"/>
        <v>33061886746.521057</v>
      </c>
      <c r="E1980" s="47">
        <f t="shared" ca="1" si="272"/>
        <v>101189848917094.25</v>
      </c>
      <c r="F1980" s="47">
        <f t="shared" ca="1" si="273"/>
        <v>1189026809269.1406</v>
      </c>
      <c r="G1980" s="47">
        <f t="shared" ca="1" si="274"/>
        <v>97064701025.265869</v>
      </c>
      <c r="H1980" s="47">
        <f t="shared" ca="1" si="275"/>
        <v>97064701025.265869</v>
      </c>
      <c r="I1980" s="47">
        <f t="shared" ca="1" si="276"/>
        <v>4000446477332.8877</v>
      </c>
      <c r="J1980" s="47">
        <f t="shared" ca="1" si="277"/>
        <v>1777355255355.5115</v>
      </c>
      <c r="K1980" s="48">
        <f t="shared" ca="1" si="278"/>
        <v>2.2507860852684218</v>
      </c>
    </row>
    <row r="1981" spans="2:11" ht="15" customHeight="1" x14ac:dyDescent="0.35">
      <c r="B1981" s="5">
        <v>1960</v>
      </c>
      <c r="C1981" s="46">
        <f t="shared" ca="1" si="270"/>
        <v>2.7977869549088825</v>
      </c>
      <c r="D1981" s="47">
        <f t="shared" ca="1" si="271"/>
        <v>4004570999.8691716</v>
      </c>
      <c r="E1981" s="47">
        <f t="shared" ca="1" si="272"/>
        <v>8782304780912.0703</v>
      </c>
      <c r="F1981" s="47">
        <f t="shared" ca="1" si="273"/>
        <v>1683921994681.0398</v>
      </c>
      <c r="G1981" s="47">
        <f t="shared" ca="1" si="274"/>
        <v>5425767554010.3174</v>
      </c>
      <c r="H1981" s="47">
        <f t="shared" ca="1" si="275"/>
        <v>5425767554010.3174</v>
      </c>
      <c r="I1981" s="47">
        <f t="shared" ca="1" si="276"/>
        <v>12276777806203.258</v>
      </c>
      <c r="J1981" s="47">
        <f t="shared" ca="1" si="277"/>
        <v>713365515839.82141</v>
      </c>
      <c r="K1981" s="48">
        <f t="shared" ca="1" si="278"/>
        <v>17.209659751705573</v>
      </c>
    </row>
    <row r="1982" spans="2:11" ht="15" customHeight="1" x14ac:dyDescent="0.35">
      <c r="B1982" s="5">
        <v>1961</v>
      </c>
      <c r="C1982" s="46">
        <f t="shared" ca="1" si="270"/>
        <v>2.6726934903847832</v>
      </c>
      <c r="D1982" s="47">
        <f t="shared" ca="1" si="271"/>
        <v>2757266296.4989715</v>
      </c>
      <c r="E1982" s="47">
        <f t="shared" ca="1" si="272"/>
        <v>20657267232663.66</v>
      </c>
      <c r="F1982" s="47">
        <f t="shared" ca="1" si="273"/>
        <v>564141649757.94238</v>
      </c>
      <c r="G1982" s="47">
        <f t="shared" ca="1" si="274"/>
        <v>4785636633339.5869</v>
      </c>
      <c r="H1982" s="47">
        <f t="shared" ca="1" si="275"/>
        <v>20657267232663.66</v>
      </c>
      <c r="I1982" s="47">
        <f t="shared" ca="1" si="276"/>
        <v>41568564436152.102</v>
      </c>
      <c r="J1982" s="47">
        <f t="shared" ca="1" si="277"/>
        <v>588299897086.3075</v>
      </c>
      <c r="K1982" s="48">
        <f t="shared" ca="1" si="278"/>
        <v>70.658799435509195</v>
      </c>
    </row>
    <row r="1983" spans="2:11" ht="15" customHeight="1" x14ac:dyDescent="0.35">
      <c r="B1983" s="5">
        <v>1962</v>
      </c>
      <c r="C1983" s="46">
        <f t="shared" ca="1" si="270"/>
        <v>2.8130073034847798</v>
      </c>
      <c r="D1983" s="47">
        <f t="shared" ca="1" si="271"/>
        <v>3939643071.1102881</v>
      </c>
      <c r="E1983" s="47">
        <f t="shared" ca="1" si="272"/>
        <v>18816773546477.758</v>
      </c>
      <c r="F1983" s="47">
        <f t="shared" ca="1" si="273"/>
        <v>2833739023894.3022</v>
      </c>
      <c r="G1983" s="47">
        <f t="shared" ca="1" si="274"/>
        <v>167380131113.97357</v>
      </c>
      <c r="H1983" s="47">
        <f t="shared" ca="1" si="275"/>
        <v>167380131113.97357</v>
      </c>
      <c r="I1983" s="47">
        <f t="shared" ca="1" si="276"/>
        <v>1208869750009.6667</v>
      </c>
      <c r="J1983" s="47">
        <f t="shared" ca="1" si="277"/>
        <v>1715342741119.1321</v>
      </c>
      <c r="K1983" s="48">
        <f t="shared" ca="1" si="278"/>
        <v>0.70473947919059621</v>
      </c>
    </row>
    <row r="1984" spans="2:11" ht="15" customHeight="1" x14ac:dyDescent="0.35">
      <c r="B1984" s="5">
        <v>1963</v>
      </c>
      <c r="C1984" s="46">
        <f t="shared" ca="1" si="270"/>
        <v>3.0274376521474902</v>
      </c>
      <c r="D1984" s="47">
        <f t="shared" ca="1" si="271"/>
        <v>5442169063.7519798</v>
      </c>
      <c r="E1984" s="47">
        <f t="shared" ca="1" si="272"/>
        <v>22847547218687.852</v>
      </c>
      <c r="F1984" s="47">
        <f t="shared" ca="1" si="273"/>
        <v>1470013285799.4819</v>
      </c>
      <c r="G1984" s="47">
        <f t="shared" ca="1" si="274"/>
        <v>4780351922374.1328</v>
      </c>
      <c r="H1984" s="47">
        <f t="shared" ca="1" si="275"/>
        <v>1470013285799.4819</v>
      </c>
      <c r="I1984" s="47">
        <f t="shared" ca="1" si="276"/>
        <v>15353970851025.406</v>
      </c>
      <c r="J1984" s="47">
        <f t="shared" ca="1" si="277"/>
        <v>1055153296148.0543</v>
      </c>
      <c r="K1984" s="48">
        <f t="shared" ca="1" si="278"/>
        <v>14.551412488665539</v>
      </c>
    </row>
    <row r="1985" spans="2:11" ht="15" customHeight="1" x14ac:dyDescent="0.35">
      <c r="B1985" s="5">
        <v>1964</v>
      </c>
      <c r="C1985" s="46">
        <f t="shared" ca="1" si="270"/>
        <v>2.9929205332283826</v>
      </c>
      <c r="D1985" s="47">
        <f t="shared" ca="1" si="271"/>
        <v>4606890634.0177841</v>
      </c>
      <c r="E1985" s="47">
        <f t="shared" ca="1" si="272"/>
        <v>20631120559690.344</v>
      </c>
      <c r="F1985" s="47">
        <f t="shared" ca="1" si="273"/>
        <v>807171945882.73694</v>
      </c>
      <c r="G1985" s="47">
        <f t="shared" ca="1" si="274"/>
        <v>5037949070555.3262</v>
      </c>
      <c r="H1985" s="47">
        <f t="shared" ca="1" si="275"/>
        <v>5037949070555.3262</v>
      </c>
      <c r="I1985" s="47">
        <f t="shared" ca="1" si="276"/>
        <v>13993618142046.127</v>
      </c>
      <c r="J1985" s="47">
        <f t="shared" ca="1" si="277"/>
        <v>1478518845651.0918</v>
      </c>
      <c r="K1985" s="48">
        <f t="shared" ca="1" si="278"/>
        <v>9.4646193947455508</v>
      </c>
    </row>
    <row r="1986" spans="2:11" ht="15" customHeight="1" x14ac:dyDescent="0.35">
      <c r="B1986" s="5">
        <v>1965</v>
      </c>
      <c r="C1986" s="46">
        <f t="shared" ca="1" si="270"/>
        <v>2.9547519785056364</v>
      </c>
      <c r="D1986" s="47">
        <f t="shared" ca="1" si="271"/>
        <v>5153697244.0486593</v>
      </c>
      <c r="E1986" s="47">
        <f t="shared" ca="1" si="272"/>
        <v>17171526251198.404</v>
      </c>
      <c r="F1986" s="47">
        <f t="shared" ca="1" si="273"/>
        <v>3126530861484.9185</v>
      </c>
      <c r="G1986" s="47">
        <f t="shared" ca="1" si="274"/>
        <v>1346471747119.2842</v>
      </c>
      <c r="H1986" s="47">
        <f t="shared" ca="1" si="275"/>
        <v>17171526251198.404</v>
      </c>
      <c r="I1986" s="47">
        <f t="shared" ca="1" si="276"/>
        <v>59144063009858.133</v>
      </c>
      <c r="J1986" s="47">
        <f t="shared" ca="1" si="277"/>
        <v>1385481764329.9333</v>
      </c>
      <c r="K1986" s="48">
        <f t="shared" ca="1" si="278"/>
        <v>42.688445660244568</v>
      </c>
    </row>
    <row r="1987" spans="2:11" ht="15" customHeight="1" x14ac:dyDescent="0.35">
      <c r="B1987" s="5">
        <v>1966</v>
      </c>
      <c r="C1987" s="46">
        <f t="shared" ca="1" si="270"/>
        <v>2.8476532340371032</v>
      </c>
      <c r="D1987" s="47">
        <f t="shared" ca="1" si="271"/>
        <v>3217776683.5102973</v>
      </c>
      <c r="E1987" s="47">
        <f t="shared" ca="1" si="272"/>
        <v>25741568833621.285</v>
      </c>
      <c r="F1987" s="47">
        <f t="shared" ca="1" si="273"/>
        <v>5461693285295.6768</v>
      </c>
      <c r="G1987" s="47">
        <f t="shared" ca="1" si="274"/>
        <v>8141632299399.7891</v>
      </c>
      <c r="H1987" s="47">
        <f t="shared" ca="1" si="275"/>
        <v>5461693285295.6768</v>
      </c>
      <c r="I1987" s="47">
        <f t="shared" ca="1" si="276"/>
        <v>17541521671628.877</v>
      </c>
      <c r="J1987" s="47">
        <f t="shared" ca="1" si="277"/>
        <v>2137099476401.2036</v>
      </c>
      <c r="K1987" s="48">
        <f t="shared" ca="1" si="278"/>
        <v>8.2080978753352891</v>
      </c>
    </row>
    <row r="1988" spans="2:11" ht="15" customHeight="1" x14ac:dyDescent="0.35">
      <c r="B1988" s="5">
        <v>1967</v>
      </c>
      <c r="C1988" s="46">
        <f t="shared" ca="1" si="270"/>
        <v>3.4142498519332083</v>
      </c>
      <c r="D1988" s="47">
        <f t="shared" ca="1" si="271"/>
        <v>7823162300.5669765</v>
      </c>
      <c r="E1988" s="47">
        <f t="shared" ca="1" si="272"/>
        <v>19288807317406.629</v>
      </c>
      <c r="F1988" s="47">
        <f t="shared" ca="1" si="273"/>
        <v>3900835178794.7827</v>
      </c>
      <c r="G1988" s="47">
        <f t="shared" ca="1" si="274"/>
        <v>597885777930.32556</v>
      </c>
      <c r="H1988" s="47">
        <f t="shared" ca="1" si="275"/>
        <v>597885777930.32556</v>
      </c>
      <c r="I1988" s="47">
        <f t="shared" ca="1" si="276"/>
        <v>7480717208478.1016</v>
      </c>
      <c r="J1988" s="47">
        <f t="shared" ca="1" si="277"/>
        <v>1393481528501.6348</v>
      </c>
      <c r="K1988" s="48">
        <f t="shared" ca="1" si="278"/>
        <v>5.3683648153713763</v>
      </c>
    </row>
    <row r="1989" spans="2:11" ht="15" customHeight="1" x14ac:dyDescent="0.35">
      <c r="B1989" s="5">
        <v>1968</v>
      </c>
      <c r="C1989" s="46">
        <f t="shared" ca="1" si="270"/>
        <v>3.7936846496970178</v>
      </c>
      <c r="D1989" s="47">
        <f t="shared" ca="1" si="271"/>
        <v>14673007134.401119</v>
      </c>
      <c r="E1989" s="47">
        <f t="shared" ca="1" si="272"/>
        <v>35877881909275.852</v>
      </c>
      <c r="F1989" s="47">
        <f t="shared" ca="1" si="273"/>
        <v>1637652698072.6848</v>
      </c>
      <c r="G1989" s="47">
        <f t="shared" ca="1" si="274"/>
        <v>1959373549043.5303</v>
      </c>
      <c r="H1989" s="47">
        <f t="shared" ca="1" si="275"/>
        <v>1637652698072.6848</v>
      </c>
      <c r="I1989" s="47">
        <f t="shared" ca="1" si="276"/>
        <v>2509218340607.6396</v>
      </c>
      <c r="J1989" s="47">
        <f t="shared" ca="1" si="277"/>
        <v>1261811769214.6206</v>
      </c>
      <c r="K1989" s="48">
        <f t="shared" ca="1" si="278"/>
        <v>1.9885837189246003</v>
      </c>
    </row>
    <row r="1990" spans="2:11" ht="15" customHeight="1" x14ac:dyDescent="0.35">
      <c r="B1990" s="5">
        <v>1969</v>
      </c>
      <c r="C1990" s="46">
        <f t="shared" ca="1" si="270"/>
        <v>2.8209704934597326</v>
      </c>
      <c r="D1990" s="47">
        <f t="shared" ca="1" si="271"/>
        <v>3553708370.6619411</v>
      </c>
      <c r="E1990" s="47">
        <f t="shared" ca="1" si="272"/>
        <v>3984514364377.6533</v>
      </c>
      <c r="F1990" s="47">
        <f t="shared" ca="1" si="273"/>
        <v>1270928533788.2012</v>
      </c>
      <c r="G1990" s="47">
        <f t="shared" ca="1" si="274"/>
        <v>4346947038628.3154</v>
      </c>
      <c r="H1990" s="47">
        <f t="shared" ca="1" si="275"/>
        <v>1270928533788.2012</v>
      </c>
      <c r="I1990" s="47">
        <f t="shared" ca="1" si="276"/>
        <v>5485982002539.9775</v>
      </c>
      <c r="J1990" s="47">
        <f t="shared" ca="1" si="277"/>
        <v>1032565329536.7479</v>
      </c>
      <c r="K1990" s="48">
        <f t="shared" ca="1" si="278"/>
        <v>5.3129635923387228</v>
      </c>
    </row>
    <row r="1991" spans="2:11" ht="15" customHeight="1" x14ac:dyDescent="0.35">
      <c r="B1991" s="5">
        <v>1970</v>
      </c>
      <c r="C1991" s="46">
        <f t="shared" ca="1" si="270"/>
        <v>2.722710410854841</v>
      </c>
      <c r="D1991" s="47">
        <f t="shared" ca="1" si="271"/>
        <v>2806099974.3976469</v>
      </c>
      <c r="E1991" s="47">
        <f t="shared" ca="1" si="272"/>
        <v>3804857253386.6167</v>
      </c>
      <c r="F1991" s="47">
        <f t="shared" ca="1" si="273"/>
        <v>5376054279618.4912</v>
      </c>
      <c r="G1991" s="47">
        <f t="shared" ca="1" si="274"/>
        <v>11731942301375.125</v>
      </c>
      <c r="H1991" s="47">
        <f t="shared" ca="1" si="275"/>
        <v>5376054279618.4912</v>
      </c>
      <c r="I1991" s="47">
        <f t="shared" ca="1" si="276"/>
        <v>151182445026.09549</v>
      </c>
      <c r="J1991" s="47">
        <f t="shared" ca="1" si="277"/>
        <v>1316256545897.3301</v>
      </c>
      <c r="K1991" s="48">
        <f t="shared" ca="1" si="278"/>
        <v>0.11485788655510926</v>
      </c>
    </row>
    <row r="1992" spans="2:11" ht="15" customHeight="1" x14ac:dyDescent="0.35">
      <c r="B1992" s="5">
        <v>1971</v>
      </c>
      <c r="C1992" s="46">
        <f t="shared" ca="1" si="270"/>
        <v>3.4670366201912914</v>
      </c>
      <c r="D1992" s="47">
        <f t="shared" ca="1" si="271"/>
        <v>11821939675.852699</v>
      </c>
      <c r="E1992" s="47">
        <f t="shared" ca="1" si="272"/>
        <v>43924794307245.641</v>
      </c>
      <c r="F1992" s="47">
        <f t="shared" ca="1" si="273"/>
        <v>1114329688614.6357</v>
      </c>
      <c r="G1992" s="47">
        <f t="shared" ca="1" si="274"/>
        <v>2707948600370.0679</v>
      </c>
      <c r="H1992" s="47">
        <f t="shared" ca="1" si="275"/>
        <v>43924794307245.641</v>
      </c>
      <c r="I1992" s="47">
        <f t="shared" ca="1" si="276"/>
        <v>62621013490329.453</v>
      </c>
      <c r="J1992" s="47">
        <f t="shared" ca="1" si="277"/>
        <v>1363100278053.1855</v>
      </c>
      <c r="K1992" s="48">
        <f t="shared" ca="1" si="278"/>
        <v>45.940136979332422</v>
      </c>
    </row>
    <row r="1993" spans="2:11" ht="15" customHeight="1" x14ac:dyDescent="0.35">
      <c r="B1993" s="5">
        <v>1972</v>
      </c>
      <c r="C1993" s="46">
        <f t="shared" ca="1" si="270"/>
        <v>2.6143641521336956</v>
      </c>
      <c r="D1993" s="47">
        <f t="shared" ca="1" si="271"/>
        <v>2836440484.2788711</v>
      </c>
      <c r="E1993" s="47">
        <f t="shared" ca="1" si="272"/>
        <v>28415750253267.082</v>
      </c>
      <c r="F1993" s="47">
        <f t="shared" ca="1" si="273"/>
        <v>7812885850038.8135</v>
      </c>
      <c r="G1993" s="47">
        <f t="shared" ca="1" si="274"/>
        <v>287005802108.86426</v>
      </c>
      <c r="H1993" s="47">
        <f t="shared" ca="1" si="275"/>
        <v>287005802108.86426</v>
      </c>
      <c r="I1993" s="47">
        <f t="shared" ca="1" si="276"/>
        <v>4508753745686.373</v>
      </c>
      <c r="J1993" s="47">
        <f t="shared" ca="1" si="277"/>
        <v>1792227480295.7454</v>
      </c>
      <c r="K1993" s="48">
        <f t="shared" ca="1" si="278"/>
        <v>2.5157262653635679</v>
      </c>
    </row>
    <row r="1994" spans="2:11" ht="15" customHeight="1" x14ac:dyDescent="0.35">
      <c r="B1994" s="5">
        <v>1973</v>
      </c>
      <c r="C1994" s="46">
        <f t="shared" ca="1" si="270"/>
        <v>3.6599465039972428</v>
      </c>
      <c r="D1994" s="47">
        <f t="shared" ca="1" si="271"/>
        <v>12665920831.644497</v>
      </c>
      <c r="E1994" s="47">
        <f t="shared" ca="1" si="272"/>
        <v>29692947388167.09</v>
      </c>
      <c r="F1994" s="47">
        <f t="shared" ca="1" si="273"/>
        <v>2377579171089.5581</v>
      </c>
      <c r="G1994" s="47">
        <f t="shared" ca="1" si="274"/>
        <v>1409805822763.4053</v>
      </c>
      <c r="H1994" s="47">
        <f t="shared" ca="1" si="275"/>
        <v>2377579171089.5581</v>
      </c>
      <c r="I1994" s="47">
        <f t="shared" ca="1" si="276"/>
        <v>3272810349565.1543</v>
      </c>
      <c r="J1994" s="47">
        <f t="shared" ca="1" si="277"/>
        <v>2312980104361.3799</v>
      </c>
      <c r="K1994" s="48">
        <f t="shared" ca="1" si="278"/>
        <v>1.4149755734577691</v>
      </c>
    </row>
    <row r="1995" spans="2:11" ht="15" customHeight="1" x14ac:dyDescent="0.35">
      <c r="B1995" s="5">
        <v>1974</v>
      </c>
      <c r="C1995" s="46">
        <f t="shared" ca="1" si="270"/>
        <v>3.1723216813306396</v>
      </c>
      <c r="D1995" s="47">
        <f t="shared" ca="1" si="271"/>
        <v>5490839564.2855721</v>
      </c>
      <c r="E1995" s="47">
        <f t="shared" ca="1" si="272"/>
        <v>11808980072583.936</v>
      </c>
      <c r="F1995" s="47">
        <f t="shared" ca="1" si="273"/>
        <v>5553427637612.084</v>
      </c>
      <c r="G1995" s="47">
        <f t="shared" ca="1" si="274"/>
        <v>375559786874.43054</v>
      </c>
      <c r="H1995" s="47">
        <f t="shared" ca="1" si="275"/>
        <v>5553427637612.084</v>
      </c>
      <c r="I1995" s="47">
        <f t="shared" ca="1" si="276"/>
        <v>29832985534756.195</v>
      </c>
      <c r="J1995" s="47">
        <f t="shared" ca="1" si="277"/>
        <v>1034757259295.4476</v>
      </c>
      <c r="K1995" s="48">
        <f t="shared" ca="1" si="278"/>
        <v>28.830902384844418</v>
      </c>
    </row>
    <row r="1996" spans="2:11" ht="15" customHeight="1" x14ac:dyDescent="0.35">
      <c r="B1996" s="5">
        <v>1975</v>
      </c>
      <c r="C1996" s="46">
        <f t="shared" ca="1" si="270"/>
        <v>2.8016744791444133</v>
      </c>
      <c r="D1996" s="47">
        <f t="shared" ca="1" si="271"/>
        <v>3659049050.0918016</v>
      </c>
      <c r="E1996" s="47">
        <f t="shared" ca="1" si="272"/>
        <v>12962637972569.781</v>
      </c>
      <c r="F1996" s="47">
        <f t="shared" ca="1" si="273"/>
        <v>2526918028728.2876</v>
      </c>
      <c r="G1996" s="47">
        <f t="shared" ca="1" si="274"/>
        <v>9813022667488.8848</v>
      </c>
      <c r="H1996" s="47">
        <f t="shared" ca="1" si="275"/>
        <v>2526918028728.2876</v>
      </c>
      <c r="I1996" s="47">
        <f t="shared" ca="1" si="276"/>
        <v>7647734399261.4971</v>
      </c>
      <c r="J1996" s="47">
        <f t="shared" ca="1" si="277"/>
        <v>1257379192629.4336</v>
      </c>
      <c r="K1996" s="48">
        <f t="shared" ca="1" si="278"/>
        <v>6.08228165703024</v>
      </c>
    </row>
    <row r="1997" spans="2:11" ht="15" customHeight="1" x14ac:dyDescent="0.35">
      <c r="B1997" s="5">
        <v>1976</v>
      </c>
      <c r="C1997" s="46">
        <f t="shared" ca="1" si="270"/>
        <v>2.8395311239705601</v>
      </c>
      <c r="D1997" s="47">
        <f t="shared" ca="1" si="271"/>
        <v>3606460468.352972</v>
      </c>
      <c r="E1997" s="47">
        <f t="shared" ca="1" si="272"/>
        <v>2449997326327.708</v>
      </c>
      <c r="F1997" s="47">
        <f t="shared" ca="1" si="273"/>
        <v>2531684962016.8579</v>
      </c>
      <c r="G1997" s="47">
        <f t="shared" ca="1" si="274"/>
        <v>6034625931978.1846</v>
      </c>
      <c r="H1997" s="47">
        <f t="shared" ca="1" si="275"/>
        <v>2449997326327.708</v>
      </c>
      <c r="I1997" s="47">
        <f t="shared" ca="1" si="276"/>
        <v>3713768588284.5293</v>
      </c>
      <c r="J1997" s="47">
        <f t="shared" ca="1" si="277"/>
        <v>1684631848522.7087</v>
      </c>
      <c r="K1997" s="48">
        <f t="shared" ca="1" si="278"/>
        <v>2.2044986217856537</v>
      </c>
    </row>
    <row r="1998" spans="2:11" ht="15" customHeight="1" x14ac:dyDescent="0.35">
      <c r="B1998" s="5">
        <v>1977</v>
      </c>
      <c r="C1998" s="46">
        <f t="shared" ca="1" si="270"/>
        <v>3.24749777629853</v>
      </c>
      <c r="D1998" s="47">
        <f t="shared" ca="1" si="271"/>
        <v>6895269209.0089455</v>
      </c>
      <c r="E1998" s="47">
        <f t="shared" ca="1" si="272"/>
        <v>32694651999742.473</v>
      </c>
      <c r="F1998" s="47">
        <f t="shared" ca="1" si="273"/>
        <v>721793540782.36938</v>
      </c>
      <c r="G1998" s="47">
        <f t="shared" ca="1" si="274"/>
        <v>67803949513.348183</v>
      </c>
      <c r="H1998" s="47">
        <f t="shared" ca="1" si="275"/>
        <v>32694651999742.473</v>
      </c>
      <c r="I1998" s="47">
        <f t="shared" ca="1" si="276"/>
        <v>13527483305491.377</v>
      </c>
      <c r="J1998" s="47">
        <f t="shared" ca="1" si="277"/>
        <v>2067940637925.4844</v>
      </c>
      <c r="K1998" s="48">
        <f t="shared" ca="1" si="278"/>
        <v>6.5415239960958793</v>
      </c>
    </row>
    <row r="1999" spans="2:11" ht="15" customHeight="1" x14ac:dyDescent="0.35">
      <c r="B1999" s="5">
        <v>1978</v>
      </c>
      <c r="C1999" s="46">
        <f t="shared" ca="1" si="270"/>
        <v>2.5556093611585253</v>
      </c>
      <c r="D1999" s="47">
        <f t="shared" ca="1" si="271"/>
        <v>2208329462.3246994</v>
      </c>
      <c r="E1999" s="47">
        <f t="shared" ca="1" si="272"/>
        <v>9066188655206.3027</v>
      </c>
      <c r="F1999" s="47">
        <f t="shared" ca="1" si="273"/>
        <v>29556120613577.969</v>
      </c>
      <c r="G1999" s="47">
        <f t="shared" ca="1" si="274"/>
        <v>1274818695724.9919</v>
      </c>
      <c r="H1999" s="47">
        <f t="shared" ca="1" si="275"/>
        <v>9066188655206.3027</v>
      </c>
      <c r="I1999" s="47">
        <f t="shared" ca="1" si="276"/>
        <v>5098599560964.7734</v>
      </c>
      <c r="J1999" s="47">
        <f t="shared" ca="1" si="277"/>
        <v>2024962840317.6875</v>
      </c>
      <c r="K1999" s="48">
        <f t="shared" ca="1" si="278"/>
        <v>2.5178731478178022</v>
      </c>
    </row>
    <row r="2000" spans="2:11" ht="15" customHeight="1" x14ac:dyDescent="0.35">
      <c r="B2000" s="5">
        <v>1979</v>
      </c>
      <c r="C2000" s="46">
        <f t="shared" ca="1" si="270"/>
        <v>2.7972319254222193</v>
      </c>
      <c r="D2000" s="47">
        <f t="shared" ca="1" si="271"/>
        <v>3443353322.1773372</v>
      </c>
      <c r="E2000" s="47">
        <f t="shared" ca="1" si="272"/>
        <v>11751536853489.098</v>
      </c>
      <c r="F2000" s="47">
        <f t="shared" ca="1" si="273"/>
        <v>5945618439145.2383</v>
      </c>
      <c r="G2000" s="47">
        <f t="shared" ca="1" si="274"/>
        <v>5432130817900.7197</v>
      </c>
      <c r="H2000" s="47">
        <f t="shared" ca="1" si="275"/>
        <v>5432130817900.7197</v>
      </c>
      <c r="I2000" s="47">
        <f t="shared" ca="1" si="276"/>
        <v>7588586109012.5313</v>
      </c>
      <c r="J2000" s="47">
        <f t="shared" ca="1" si="277"/>
        <v>1630706804946.481</v>
      </c>
      <c r="K2000" s="48">
        <f t="shared" ca="1" si="278"/>
        <v>4.65355641246716</v>
      </c>
    </row>
    <row r="2001" spans="2:11" ht="15" customHeight="1" x14ac:dyDescent="0.35">
      <c r="B2001" s="5">
        <v>1980</v>
      </c>
      <c r="C2001" s="46">
        <f t="shared" ca="1" si="270"/>
        <v>2.7748437510222814</v>
      </c>
      <c r="D2001" s="47">
        <f t="shared" ca="1" si="271"/>
        <v>3421750453.4362574</v>
      </c>
      <c r="E2001" s="47">
        <f t="shared" ca="1" si="272"/>
        <v>17358079558552.58</v>
      </c>
      <c r="F2001" s="47">
        <f t="shared" ca="1" si="273"/>
        <v>18793181580285.453</v>
      </c>
      <c r="G2001" s="47">
        <f t="shared" ca="1" si="274"/>
        <v>1318245899356.7944</v>
      </c>
      <c r="H2001" s="47">
        <f t="shared" ca="1" si="275"/>
        <v>18793181580285.453</v>
      </c>
      <c r="I2001" s="47">
        <f t="shared" ca="1" si="276"/>
        <v>4655427804340.5059</v>
      </c>
      <c r="J2001" s="47">
        <f t="shared" ca="1" si="277"/>
        <v>2077548829073.479</v>
      </c>
      <c r="K2001" s="48">
        <f t="shared" ca="1" si="278"/>
        <v>2.2408271416738152</v>
      </c>
    </row>
    <row r="2002" spans="2:11" ht="15" customHeight="1" x14ac:dyDescent="0.35">
      <c r="B2002" s="5">
        <v>1981</v>
      </c>
      <c r="C2002" s="46">
        <f t="shared" ca="1" si="270"/>
        <v>2.7804824775881376</v>
      </c>
      <c r="D2002" s="47">
        <f t="shared" ca="1" si="271"/>
        <v>3434652663.4804525</v>
      </c>
      <c r="E2002" s="47">
        <f t="shared" ca="1" si="272"/>
        <v>12261437842977.168</v>
      </c>
      <c r="F2002" s="47">
        <f t="shared" ca="1" si="273"/>
        <v>2220142928146.0317</v>
      </c>
      <c r="G2002" s="47">
        <f t="shared" ca="1" si="274"/>
        <v>31213656490014.824</v>
      </c>
      <c r="H2002" s="47">
        <f t="shared" ca="1" si="275"/>
        <v>31213656490014.824</v>
      </c>
      <c r="I2002" s="47">
        <f t="shared" ca="1" si="276"/>
        <v>24785617844125.48</v>
      </c>
      <c r="J2002" s="47">
        <f t="shared" ca="1" si="277"/>
        <v>1805634278253.5432</v>
      </c>
      <c r="K2002" s="48">
        <f t="shared" ca="1" si="278"/>
        <v>13.726820620673406</v>
      </c>
    </row>
    <row r="2003" spans="2:11" ht="15" customHeight="1" x14ac:dyDescent="0.35">
      <c r="B2003" s="5">
        <v>1982</v>
      </c>
      <c r="C2003" s="46">
        <f t="shared" ca="1" si="270"/>
        <v>2.5531428696492089</v>
      </c>
      <c r="D2003" s="47">
        <f t="shared" ca="1" si="271"/>
        <v>2375310703.127862</v>
      </c>
      <c r="E2003" s="47">
        <f t="shared" ca="1" si="272"/>
        <v>8581307858094.9922</v>
      </c>
      <c r="F2003" s="47">
        <f t="shared" ca="1" si="273"/>
        <v>6144974323172.5684</v>
      </c>
      <c r="G2003" s="47">
        <f t="shared" ca="1" si="274"/>
        <v>324330630022.27539</v>
      </c>
      <c r="H2003" s="47">
        <f t="shared" ca="1" si="275"/>
        <v>6144974323172.5684</v>
      </c>
      <c r="I2003" s="47">
        <f t="shared" ca="1" si="276"/>
        <v>10694516583081.582</v>
      </c>
      <c r="J2003" s="47">
        <f t="shared" ca="1" si="277"/>
        <v>2563579085088.5669</v>
      </c>
      <c r="K2003" s="48">
        <f t="shared" ca="1" si="278"/>
        <v>4.1717131510737486</v>
      </c>
    </row>
    <row r="2004" spans="2:11" ht="15" customHeight="1" x14ac:dyDescent="0.35">
      <c r="B2004" s="5">
        <v>1983</v>
      </c>
      <c r="C2004" s="46">
        <f t="shared" ca="1" si="270"/>
        <v>3.1608535874429693</v>
      </c>
      <c r="D2004" s="47">
        <f t="shared" ca="1" si="271"/>
        <v>5150220099.4849386</v>
      </c>
      <c r="E2004" s="47">
        <f t="shared" ca="1" si="272"/>
        <v>10901287775458.539</v>
      </c>
      <c r="F2004" s="47">
        <f t="shared" ca="1" si="273"/>
        <v>1094757690862.8491</v>
      </c>
      <c r="G2004" s="47">
        <f t="shared" ca="1" si="274"/>
        <v>99065945203469.578</v>
      </c>
      <c r="H2004" s="47">
        <f t="shared" ca="1" si="275"/>
        <v>10901287775458.539</v>
      </c>
      <c r="I2004" s="47">
        <f t="shared" ca="1" si="276"/>
        <v>1475083746454.543</v>
      </c>
      <c r="J2004" s="47">
        <f t="shared" ca="1" si="277"/>
        <v>1066719804659.1666</v>
      </c>
      <c r="K2004" s="48">
        <f t="shared" ca="1" si="278"/>
        <v>1.3828221244339369</v>
      </c>
    </row>
    <row r="2005" spans="2:11" ht="15" customHeight="1" x14ac:dyDescent="0.35">
      <c r="B2005" s="5">
        <v>1984</v>
      </c>
      <c r="C2005" s="46">
        <f t="shared" ca="1" si="270"/>
        <v>2.9181364136379195</v>
      </c>
      <c r="D2005" s="47">
        <f t="shared" ca="1" si="271"/>
        <v>3813012503.2689528</v>
      </c>
      <c r="E2005" s="47">
        <f t="shared" ca="1" si="272"/>
        <v>15195632937517.748</v>
      </c>
      <c r="F2005" s="47">
        <f t="shared" ca="1" si="273"/>
        <v>2110593283962.5579</v>
      </c>
      <c r="G2005" s="47">
        <f t="shared" ca="1" si="274"/>
        <v>1056403017083.3893</v>
      </c>
      <c r="H2005" s="47">
        <f t="shared" ca="1" si="275"/>
        <v>2110593283962.5579</v>
      </c>
      <c r="I2005" s="47">
        <f t="shared" ca="1" si="276"/>
        <v>25641449691376.797</v>
      </c>
      <c r="J2005" s="47">
        <f t="shared" ca="1" si="277"/>
        <v>1092057454741.3718</v>
      </c>
      <c r="K2005" s="48">
        <f t="shared" ca="1" si="278"/>
        <v>23.479945656750608</v>
      </c>
    </row>
    <row r="2006" spans="2:11" ht="15" customHeight="1" x14ac:dyDescent="0.35">
      <c r="B2006" s="5">
        <v>1985</v>
      </c>
      <c r="C2006" s="46">
        <f t="shared" ref="C2006:C2021" ca="1" si="279">MEDIAN(1.8,NORMINV(RAND(),$C$7,$D$7),4.5)</f>
        <v>2.3595098602998159</v>
      </c>
      <c r="D2006" s="47">
        <f t="shared" ref="D2006:D2021" ca="1" si="280">($C$8+RAND()*($D$8-$C$8))*C2006^5</f>
        <v>1626192366.6425848</v>
      </c>
      <c r="E2006" s="47">
        <f t="shared" ref="E2006:E2021" ca="1" si="281">D2006*($C$10+RAND()*($D$10-$C$10))*EXP(NORMINV(RAND(),$C$9,$D$9))*($C$11+RAND()*($D$11-$C$11))</f>
        <v>9859966614109.3027</v>
      </c>
      <c r="F2006" s="47">
        <f t="shared" ref="F2006:F2021" ca="1" si="282">EXP(NORMINV(RAND(),$C$12,$D$12))*EXP(NORMINV(RAND(),$C$13,$D$13))</f>
        <v>6994494333921.3457</v>
      </c>
      <c r="G2006" s="47">
        <f t="shared" ref="G2006:G2021" ca="1" si="283">EXP(NORMINV(RAND(),$C$14,$D$14))*($C$15+RAND()*($D$15-$C$15))*EXP(NORMINV(RAND(),$C$16,$D$16))/1000000*31536000</f>
        <v>6705373817498.9482</v>
      </c>
      <c r="H2006" s="47">
        <f t="shared" ref="H2006:H2021" ca="1" si="284">CHOOSE(RANDBETWEEN(1,3),E2006,F2006,G2006)</f>
        <v>6705373817498.9482</v>
      </c>
      <c r="I2006" s="47">
        <f t="shared" ref="I2006:I2021" ca="1" si="285">EXP(NORMINV(RAND(),$C$14,$D$14))*($C$15+RAND()*($D$15-$C$15))*60</f>
        <v>4593147710225.6553</v>
      </c>
      <c r="J2006" s="47">
        <f t="shared" ref="J2006:J2021" ca="1" si="286">($C$17+RAND()*($D$17-$C$17))*($C$18+RAND()*($D$18-$C$18))</f>
        <v>1046423999613.0519</v>
      </c>
      <c r="K2006" s="48">
        <f t="shared" ref="K2006:K2021" ca="1" si="287">I2006/J2006</f>
        <v>4.3893753506457385</v>
      </c>
    </row>
    <row r="2007" spans="2:11" ht="15" customHeight="1" x14ac:dyDescent="0.35">
      <c r="B2007" s="5">
        <v>1986</v>
      </c>
      <c r="C2007" s="46">
        <f t="shared" ca="1" si="279"/>
        <v>3.5071093090141012</v>
      </c>
      <c r="D2007" s="47">
        <f t="shared" ca="1" si="280"/>
        <v>12109103536.242737</v>
      </c>
      <c r="E2007" s="47">
        <f t="shared" ca="1" si="281"/>
        <v>38319682196874.195</v>
      </c>
      <c r="F2007" s="47">
        <f t="shared" ca="1" si="282"/>
        <v>969972222625.29944</v>
      </c>
      <c r="G2007" s="47">
        <f t="shared" ca="1" si="283"/>
        <v>3204700857329.979</v>
      </c>
      <c r="H2007" s="47">
        <f t="shared" ca="1" si="284"/>
        <v>969972222625.29944</v>
      </c>
      <c r="I2007" s="47">
        <f t="shared" ca="1" si="285"/>
        <v>2852571277736.3091</v>
      </c>
      <c r="J2007" s="47">
        <f t="shared" ca="1" si="286"/>
        <v>1935725858117.6111</v>
      </c>
      <c r="K2007" s="48">
        <f t="shared" ca="1" si="287"/>
        <v>1.4736442486284089</v>
      </c>
    </row>
    <row r="2008" spans="2:11" ht="15" customHeight="1" x14ac:dyDescent="0.35">
      <c r="B2008" s="5">
        <v>1987</v>
      </c>
      <c r="C2008" s="46">
        <f t="shared" ca="1" si="279"/>
        <v>2.9197650290536106</v>
      </c>
      <c r="D2008" s="47">
        <f t="shared" ca="1" si="280"/>
        <v>4312364478.4444151</v>
      </c>
      <c r="E2008" s="47">
        <f t="shared" ca="1" si="281"/>
        <v>4435756235291.8506</v>
      </c>
      <c r="F2008" s="47">
        <f t="shared" ca="1" si="282"/>
        <v>1377650095211.4514</v>
      </c>
      <c r="G2008" s="47">
        <f t="shared" ca="1" si="283"/>
        <v>51836307979702.063</v>
      </c>
      <c r="H2008" s="47">
        <f t="shared" ca="1" si="284"/>
        <v>51836307979702.063</v>
      </c>
      <c r="I2008" s="47">
        <f t="shared" ca="1" si="285"/>
        <v>82427514500649.625</v>
      </c>
      <c r="J2008" s="47">
        <f t="shared" ca="1" si="286"/>
        <v>1124747089047.8062</v>
      </c>
      <c r="K2008" s="48">
        <f t="shared" ca="1" si="287"/>
        <v>73.285377044568762</v>
      </c>
    </row>
    <row r="2009" spans="2:11" ht="15" customHeight="1" x14ac:dyDescent="0.35">
      <c r="B2009" s="5">
        <v>1988</v>
      </c>
      <c r="C2009" s="46">
        <f t="shared" ca="1" si="279"/>
        <v>2.2131754194988074</v>
      </c>
      <c r="D2009" s="47">
        <f t="shared" ca="1" si="280"/>
        <v>1260525641.1173313</v>
      </c>
      <c r="E2009" s="47">
        <f t="shared" ca="1" si="281"/>
        <v>2328403051972.2905</v>
      </c>
      <c r="F2009" s="47">
        <f t="shared" ca="1" si="282"/>
        <v>2260011919996.9917</v>
      </c>
      <c r="G2009" s="47">
        <f t="shared" ca="1" si="283"/>
        <v>3128310799779.0039</v>
      </c>
      <c r="H2009" s="47">
        <f t="shared" ca="1" si="284"/>
        <v>3128310799779.0039</v>
      </c>
      <c r="I2009" s="47">
        <f t="shared" ca="1" si="285"/>
        <v>18268681053975.801</v>
      </c>
      <c r="J2009" s="47">
        <f t="shared" ca="1" si="286"/>
        <v>1421632276185.7302</v>
      </c>
      <c r="K2009" s="48">
        <f t="shared" ca="1" si="287"/>
        <v>12.850496826782143</v>
      </c>
    </row>
    <row r="2010" spans="2:11" ht="15" customHeight="1" x14ac:dyDescent="0.35">
      <c r="B2010" s="5">
        <v>1989</v>
      </c>
      <c r="C2010" s="46">
        <f t="shared" ca="1" si="279"/>
        <v>2.7376013352500141</v>
      </c>
      <c r="D2010" s="47">
        <f t="shared" ca="1" si="280"/>
        <v>3160063244.1780057</v>
      </c>
      <c r="E2010" s="47">
        <f t="shared" ca="1" si="281"/>
        <v>9394692117911.8184</v>
      </c>
      <c r="F2010" s="47">
        <f t="shared" ca="1" si="282"/>
        <v>357661602627.64502</v>
      </c>
      <c r="G2010" s="47">
        <f t="shared" ca="1" si="283"/>
        <v>31359914792533.289</v>
      </c>
      <c r="H2010" s="47">
        <f t="shared" ca="1" si="284"/>
        <v>357661602627.64502</v>
      </c>
      <c r="I2010" s="47">
        <f t="shared" ca="1" si="285"/>
        <v>28087510944918.008</v>
      </c>
      <c r="J2010" s="47">
        <f t="shared" ca="1" si="286"/>
        <v>968971320584.69299</v>
      </c>
      <c r="K2010" s="48">
        <f t="shared" ca="1" si="287"/>
        <v>28.986937330580176</v>
      </c>
    </row>
    <row r="2011" spans="2:11" ht="15" customHeight="1" x14ac:dyDescent="0.35">
      <c r="B2011" s="5">
        <v>1990</v>
      </c>
      <c r="C2011" s="46">
        <f t="shared" ca="1" si="279"/>
        <v>3.1726451787818903</v>
      </c>
      <c r="D2011" s="47">
        <f t="shared" ca="1" si="280"/>
        <v>5712400300.656209</v>
      </c>
      <c r="E2011" s="47">
        <f t="shared" ca="1" si="281"/>
        <v>31392214603703.906</v>
      </c>
      <c r="F2011" s="47">
        <f t="shared" ca="1" si="282"/>
        <v>17630434402575.246</v>
      </c>
      <c r="G2011" s="47">
        <f t="shared" ca="1" si="283"/>
        <v>24476845175153.707</v>
      </c>
      <c r="H2011" s="47">
        <f t="shared" ca="1" si="284"/>
        <v>17630434402575.246</v>
      </c>
      <c r="I2011" s="47">
        <f t="shared" ca="1" si="285"/>
        <v>46374844828130.227</v>
      </c>
      <c r="J2011" s="47">
        <f t="shared" ca="1" si="286"/>
        <v>705731385617.27222</v>
      </c>
      <c r="K2011" s="48">
        <f t="shared" ca="1" si="287"/>
        <v>65.711750636636609</v>
      </c>
    </row>
    <row r="2012" spans="2:11" ht="15" customHeight="1" x14ac:dyDescent="0.35">
      <c r="B2012" s="5">
        <v>1991</v>
      </c>
      <c r="C2012" s="46">
        <f t="shared" ca="1" si="279"/>
        <v>2.6788444396810327</v>
      </c>
      <c r="D2012" s="47">
        <f t="shared" ca="1" si="280"/>
        <v>3217924273.9693532</v>
      </c>
      <c r="E2012" s="47">
        <f t="shared" ca="1" si="281"/>
        <v>10091556640703.809</v>
      </c>
      <c r="F2012" s="47">
        <f t="shared" ca="1" si="282"/>
        <v>839758218922.3418</v>
      </c>
      <c r="G2012" s="47">
        <f t="shared" ca="1" si="283"/>
        <v>859776472033.35559</v>
      </c>
      <c r="H2012" s="47">
        <f t="shared" ca="1" si="284"/>
        <v>839758218922.3418</v>
      </c>
      <c r="I2012" s="47">
        <f t="shared" ca="1" si="285"/>
        <v>16080446627828.387</v>
      </c>
      <c r="J2012" s="47">
        <f t="shared" ca="1" si="286"/>
        <v>1085068521458.3134</v>
      </c>
      <c r="K2012" s="48">
        <f t="shared" ca="1" si="287"/>
        <v>14.819752218243824</v>
      </c>
    </row>
    <row r="2013" spans="2:11" ht="15" customHeight="1" x14ac:dyDescent="0.35">
      <c r="B2013" s="5">
        <v>1992</v>
      </c>
      <c r="C2013" s="46">
        <f t="shared" ca="1" si="279"/>
        <v>2.850739092693396</v>
      </c>
      <c r="D2013" s="47">
        <f t="shared" ca="1" si="280"/>
        <v>4327937906.0200014</v>
      </c>
      <c r="E2013" s="47">
        <f t="shared" ca="1" si="281"/>
        <v>21772184814055.355</v>
      </c>
      <c r="F2013" s="47">
        <f t="shared" ca="1" si="282"/>
        <v>3958676340613.48</v>
      </c>
      <c r="G2013" s="47">
        <f t="shared" ca="1" si="283"/>
        <v>693364911400.53894</v>
      </c>
      <c r="H2013" s="47">
        <f t="shared" ca="1" si="284"/>
        <v>21772184814055.355</v>
      </c>
      <c r="I2013" s="47">
        <f t="shared" ca="1" si="285"/>
        <v>2134181242372.9307</v>
      </c>
      <c r="J2013" s="47">
        <f t="shared" ca="1" si="286"/>
        <v>949036918631.50269</v>
      </c>
      <c r="K2013" s="48">
        <f t="shared" ca="1" si="287"/>
        <v>2.2487863227179705</v>
      </c>
    </row>
    <row r="2014" spans="2:11" ht="15" customHeight="1" x14ac:dyDescent="0.35">
      <c r="B2014" s="5">
        <v>1993</v>
      </c>
      <c r="C2014" s="46">
        <f t="shared" ca="1" si="279"/>
        <v>2.6516359123330919</v>
      </c>
      <c r="D2014" s="47">
        <f t="shared" ca="1" si="280"/>
        <v>2216251486.7397757</v>
      </c>
      <c r="E2014" s="47">
        <f t="shared" ca="1" si="281"/>
        <v>5562651562811.1221</v>
      </c>
      <c r="F2014" s="47">
        <f t="shared" ca="1" si="282"/>
        <v>2395476694125.6279</v>
      </c>
      <c r="G2014" s="47">
        <f t="shared" ca="1" si="283"/>
        <v>1029031605670.5084</v>
      </c>
      <c r="H2014" s="47">
        <f t="shared" ca="1" si="284"/>
        <v>1029031605670.5084</v>
      </c>
      <c r="I2014" s="47">
        <f t="shared" ca="1" si="285"/>
        <v>2922673263108.875</v>
      </c>
      <c r="J2014" s="47">
        <f t="shared" ca="1" si="286"/>
        <v>1821857683489.1951</v>
      </c>
      <c r="K2014" s="48">
        <f t="shared" ca="1" si="287"/>
        <v>1.6042269874293442</v>
      </c>
    </row>
    <row r="2015" spans="2:11" ht="15" customHeight="1" x14ac:dyDescent="0.35">
      <c r="B2015" s="5">
        <v>1994</v>
      </c>
      <c r="C2015" s="46">
        <f t="shared" ca="1" si="279"/>
        <v>3.2759611838119369</v>
      </c>
      <c r="D2015" s="47">
        <f t="shared" ca="1" si="280"/>
        <v>9012917178.9411373</v>
      </c>
      <c r="E2015" s="47">
        <f t="shared" ca="1" si="281"/>
        <v>61370783942780.344</v>
      </c>
      <c r="F2015" s="47">
        <f t="shared" ca="1" si="282"/>
        <v>562106153082.83679</v>
      </c>
      <c r="G2015" s="47">
        <f t="shared" ca="1" si="283"/>
        <v>115053725003650.2</v>
      </c>
      <c r="H2015" s="47">
        <f t="shared" ca="1" si="284"/>
        <v>61370783942780.344</v>
      </c>
      <c r="I2015" s="47">
        <f t="shared" ca="1" si="285"/>
        <v>1651402403577.6799</v>
      </c>
      <c r="J2015" s="47">
        <f t="shared" ca="1" si="286"/>
        <v>1996666645563.3284</v>
      </c>
      <c r="K2015" s="48">
        <f t="shared" ca="1" si="287"/>
        <v>0.82707967664365045</v>
      </c>
    </row>
    <row r="2016" spans="2:11" ht="15" customHeight="1" x14ac:dyDescent="0.35">
      <c r="B2016" s="5">
        <v>1995</v>
      </c>
      <c r="C2016" s="46">
        <f t="shared" ca="1" si="279"/>
        <v>2.4606559590755568</v>
      </c>
      <c r="D2016" s="47">
        <f t="shared" ca="1" si="280"/>
        <v>1720293433.3930295</v>
      </c>
      <c r="E2016" s="47">
        <f t="shared" ca="1" si="281"/>
        <v>6987814105583.5879</v>
      </c>
      <c r="F2016" s="47">
        <f t="shared" ca="1" si="282"/>
        <v>2740465759753.3994</v>
      </c>
      <c r="G2016" s="47">
        <f t="shared" ca="1" si="283"/>
        <v>13660484107513.482</v>
      </c>
      <c r="H2016" s="47">
        <f t="shared" ca="1" si="284"/>
        <v>13660484107513.482</v>
      </c>
      <c r="I2016" s="47">
        <f t="shared" ca="1" si="285"/>
        <v>33047168271839.211</v>
      </c>
      <c r="J2016" s="47">
        <f t="shared" ca="1" si="286"/>
        <v>1105289217990.2346</v>
      </c>
      <c r="K2016" s="48">
        <f t="shared" ca="1" si="287"/>
        <v>29.899113945876913</v>
      </c>
    </row>
    <row r="2017" spans="2:11" ht="15" customHeight="1" x14ac:dyDescent="0.35">
      <c r="B2017" s="5">
        <v>1996</v>
      </c>
      <c r="C2017" s="46">
        <f t="shared" ca="1" si="279"/>
        <v>2.8865463147409636</v>
      </c>
      <c r="D2017" s="47">
        <f t="shared" ca="1" si="280"/>
        <v>3325456029.9393153</v>
      </c>
      <c r="E2017" s="47">
        <f t="shared" ca="1" si="281"/>
        <v>35572810819368.141</v>
      </c>
      <c r="F2017" s="47">
        <f t="shared" ca="1" si="282"/>
        <v>3762068591957.3032</v>
      </c>
      <c r="G2017" s="47">
        <f t="shared" ca="1" si="283"/>
        <v>218114945701.88062</v>
      </c>
      <c r="H2017" s="47">
        <f t="shared" ca="1" si="284"/>
        <v>218114945701.88062</v>
      </c>
      <c r="I2017" s="47">
        <f t="shared" ca="1" si="285"/>
        <v>279599246023.32977</v>
      </c>
      <c r="J2017" s="47">
        <f t="shared" ca="1" si="286"/>
        <v>1621746132188.469</v>
      </c>
      <c r="K2017" s="48">
        <f t="shared" ca="1" si="287"/>
        <v>0.17240629743079697</v>
      </c>
    </row>
    <row r="2018" spans="2:11" ht="15" customHeight="1" x14ac:dyDescent="0.35">
      <c r="B2018" s="5">
        <v>1997</v>
      </c>
      <c r="C2018" s="46">
        <f t="shared" ca="1" si="279"/>
        <v>3.0599648689349159</v>
      </c>
      <c r="D2018" s="47">
        <f t="shared" ca="1" si="280"/>
        <v>5245021940.4378424</v>
      </c>
      <c r="E2018" s="47">
        <f t="shared" ca="1" si="281"/>
        <v>29784340763183.184</v>
      </c>
      <c r="F2018" s="47">
        <f t="shared" ca="1" si="282"/>
        <v>4912121621612.0361</v>
      </c>
      <c r="G2018" s="47">
        <f t="shared" ca="1" si="283"/>
        <v>15447414783219.943</v>
      </c>
      <c r="H2018" s="47">
        <f t="shared" ca="1" si="284"/>
        <v>15447414783219.943</v>
      </c>
      <c r="I2018" s="47">
        <f t="shared" ca="1" si="285"/>
        <v>11926492770756.361</v>
      </c>
      <c r="J2018" s="47">
        <f t="shared" ca="1" si="286"/>
        <v>1686278641752.8279</v>
      </c>
      <c r="K2018" s="48">
        <f t="shared" ca="1" si="287"/>
        <v>7.07267024289603</v>
      </c>
    </row>
    <row r="2019" spans="2:11" ht="15" customHeight="1" x14ac:dyDescent="0.35">
      <c r="B2019" s="5">
        <v>1998</v>
      </c>
      <c r="C2019" s="46">
        <f t="shared" ca="1" si="279"/>
        <v>2.973460963017815</v>
      </c>
      <c r="D2019" s="47">
        <f t="shared" ca="1" si="280"/>
        <v>4418787636.2631769</v>
      </c>
      <c r="E2019" s="47">
        <f t="shared" ca="1" si="281"/>
        <v>11563464655612.561</v>
      </c>
      <c r="F2019" s="47">
        <f t="shared" ca="1" si="282"/>
        <v>1334803765237.2605</v>
      </c>
      <c r="G2019" s="47">
        <f t="shared" ca="1" si="283"/>
        <v>1640519852300.385</v>
      </c>
      <c r="H2019" s="47">
        <f t="shared" ca="1" si="284"/>
        <v>1334803765237.2605</v>
      </c>
      <c r="I2019" s="47">
        <f t="shared" ca="1" si="285"/>
        <v>29237124736317.211</v>
      </c>
      <c r="J2019" s="47">
        <f t="shared" ca="1" si="286"/>
        <v>1615722406596.9336</v>
      </c>
      <c r="K2019" s="48">
        <f t="shared" ca="1" si="287"/>
        <v>18.095388550002856</v>
      </c>
    </row>
    <row r="2020" spans="2:11" ht="15" customHeight="1" x14ac:dyDescent="0.35">
      <c r="B2020" s="5">
        <v>1999</v>
      </c>
      <c r="C2020" s="46">
        <f t="shared" ca="1" si="279"/>
        <v>2.7501683076913284</v>
      </c>
      <c r="D2020" s="47">
        <f t="shared" ca="1" si="280"/>
        <v>3032062650.2224116</v>
      </c>
      <c r="E2020" s="47">
        <f t="shared" ca="1" si="281"/>
        <v>6469778165238.0371</v>
      </c>
      <c r="F2020" s="47">
        <f t="shared" ca="1" si="282"/>
        <v>5335489190180.415</v>
      </c>
      <c r="G2020" s="47">
        <f t="shared" ca="1" si="283"/>
        <v>9023539144386.582</v>
      </c>
      <c r="H2020" s="47">
        <f t="shared" ca="1" si="284"/>
        <v>5335489190180.415</v>
      </c>
      <c r="I2020" s="47">
        <f t="shared" ca="1" si="285"/>
        <v>31057139374611.895</v>
      </c>
      <c r="J2020" s="47">
        <f t="shared" ca="1" si="286"/>
        <v>1634115632814.3845</v>
      </c>
      <c r="K2020" s="48">
        <f t="shared" ca="1" si="287"/>
        <v>19.005472287859572</v>
      </c>
    </row>
    <row r="2021" spans="2:11" ht="15" customHeight="1" x14ac:dyDescent="0.35">
      <c r="B2021" s="5">
        <v>2000</v>
      </c>
      <c r="C2021" s="46">
        <f t="shared" ca="1" si="279"/>
        <v>2.2253072288985245</v>
      </c>
      <c r="D2021" s="47">
        <f t="shared" ca="1" si="280"/>
        <v>974203186.72533345</v>
      </c>
      <c r="E2021" s="47">
        <f t="shared" ca="1" si="281"/>
        <v>3445501653348.0391</v>
      </c>
      <c r="F2021" s="47">
        <f t="shared" ca="1" si="282"/>
        <v>985632667740.1366</v>
      </c>
      <c r="G2021" s="47">
        <f t="shared" ca="1" si="283"/>
        <v>13690571750497.854</v>
      </c>
      <c r="H2021" s="47">
        <f t="shared" ca="1" si="284"/>
        <v>13690571750497.854</v>
      </c>
      <c r="I2021" s="47">
        <f t="shared" ca="1" si="285"/>
        <v>24788597710494.254</v>
      </c>
      <c r="J2021" s="47">
        <f t="shared" ca="1" si="286"/>
        <v>1849128815817.9294</v>
      </c>
      <c r="K2021" s="48">
        <f t="shared" ca="1" si="287"/>
        <v>13.405554820435512</v>
      </c>
    </row>
  </sheetData>
  <mergeCells count="13">
    <mergeCell ref="F18:I18"/>
    <mergeCell ref="F12:I12"/>
    <mergeCell ref="F13:I13"/>
    <mergeCell ref="F14:I14"/>
    <mergeCell ref="F15:I15"/>
    <mergeCell ref="F16:I16"/>
    <mergeCell ref="F17:I17"/>
    <mergeCell ref="F11:I11"/>
    <mergeCell ref="F6:I6"/>
    <mergeCell ref="F7:I7"/>
    <mergeCell ref="F8:I8"/>
    <mergeCell ref="F9:I9"/>
    <mergeCell ref="F10:I10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26" customWidth="1"/>
    <col min="3" max="5" width="14" customWidth="1"/>
    <col min="6" max="8" width="16" customWidth="1"/>
  </cols>
  <sheetData>
    <row r="1" spans="1:11" ht="18" customHeight="1" x14ac:dyDescent="0.4">
      <c r="A1" s="11" t="s">
        <v>295</v>
      </c>
    </row>
    <row r="2" spans="1:11" ht="15" customHeight="1" x14ac:dyDescent="0.35">
      <c r="A2" s="2" t="s">
        <v>296</v>
      </c>
    </row>
    <row r="3" spans="1:11" ht="15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5" spans="1:11" ht="15" customHeight="1" x14ac:dyDescent="0.35">
      <c r="A5" s="3" t="s">
        <v>297</v>
      </c>
      <c r="B5" s="4"/>
      <c r="C5" s="4"/>
      <c r="D5" s="4"/>
      <c r="E5" s="4"/>
      <c r="F5" s="4"/>
      <c r="G5" s="4"/>
      <c r="H5" s="4"/>
    </row>
    <row r="6" spans="1:11" ht="15" customHeight="1" x14ac:dyDescent="0.35">
      <c r="B6" s="5" t="s">
        <v>298</v>
      </c>
      <c r="C6" s="49">
        <v>1000000000000</v>
      </c>
    </row>
    <row r="7" spans="1:11" ht="15" customHeight="1" x14ac:dyDescent="0.35">
      <c r="B7" s="5" t="s">
        <v>299</v>
      </c>
      <c r="C7" s="50">
        <v>0.1</v>
      </c>
    </row>
    <row r="8" spans="1:11" ht="15" customHeight="1" x14ac:dyDescent="0.35">
      <c r="B8" s="5" t="s">
        <v>300</v>
      </c>
      <c r="C8" s="29">
        <v>0.83</v>
      </c>
    </row>
    <row r="9" spans="1:11" ht="15" customHeight="1" x14ac:dyDescent="0.35">
      <c r="B9" s="6" t="s">
        <v>301</v>
      </c>
      <c r="C9" s="36">
        <f>C6*C7*C8/1000000*31536000</f>
        <v>2617488000000</v>
      </c>
    </row>
    <row r="11" spans="1:11" ht="15" customHeight="1" x14ac:dyDescent="0.35">
      <c r="A11" s="3" t="s">
        <v>302</v>
      </c>
      <c r="B11" s="4"/>
      <c r="C11" s="4"/>
      <c r="D11" s="4"/>
      <c r="E11" s="4"/>
      <c r="F11" s="4"/>
      <c r="G11" s="4"/>
      <c r="H11" s="4"/>
    </row>
    <row r="12" spans="1:11" ht="15" customHeight="1" x14ac:dyDescent="0.35">
      <c r="B12" s="45" t="s">
        <v>303</v>
      </c>
      <c r="C12" s="45" t="s">
        <v>304</v>
      </c>
      <c r="D12" s="45" t="s">
        <v>305</v>
      </c>
      <c r="E12" s="45" t="s">
        <v>306</v>
      </c>
      <c r="F12" s="45" t="s">
        <v>307</v>
      </c>
      <c r="G12" s="45" t="s">
        <v>308</v>
      </c>
    </row>
    <row r="13" spans="1:11" ht="15" customHeight="1" x14ac:dyDescent="0.35">
      <c r="B13" s="5" t="s">
        <v>298</v>
      </c>
      <c r="C13" s="51">
        <v>300000000000</v>
      </c>
      <c r="D13" s="51">
        <v>2000000000000</v>
      </c>
      <c r="E13" s="52">
        <f>C13*$C$7*$C$8/1000000*31536000</f>
        <v>785246400000</v>
      </c>
      <c r="F13" s="52">
        <f>D13*$C$7*$C$8/1000000*31536000</f>
        <v>5234976000000</v>
      </c>
      <c r="G13" s="52">
        <f>ABS(F13-E13)</f>
        <v>4449729600000</v>
      </c>
    </row>
    <row r="14" spans="1:11" ht="15" customHeight="1" x14ac:dyDescent="0.35">
      <c r="B14" s="5" t="s">
        <v>299</v>
      </c>
      <c r="C14" s="53">
        <v>0.05</v>
      </c>
      <c r="D14" s="53">
        <v>0.3</v>
      </c>
      <c r="E14" s="52">
        <f>$C$6*C14*$C$8/1000000*31536000</f>
        <v>1308744000000</v>
      </c>
      <c r="F14" s="52">
        <f>$C$6*D14*$C$8/1000000*31536000</f>
        <v>7852464000000</v>
      </c>
      <c r="G14" s="52">
        <f>ABS(F14-E14)</f>
        <v>6543720000000</v>
      </c>
    </row>
    <row r="15" spans="1:11" ht="15" customHeight="1" x14ac:dyDescent="0.35">
      <c r="B15" s="5" t="s">
        <v>300</v>
      </c>
      <c r="C15" s="54">
        <v>0.4</v>
      </c>
      <c r="D15" s="54">
        <v>3.5</v>
      </c>
      <c r="E15" s="52">
        <f>$C$6*$C$7*C15/1000000*31536000</f>
        <v>1261440000000</v>
      </c>
      <c r="F15" s="52">
        <f>$C$6*$C$7*D15/1000000*31536000</f>
        <v>11037600000000</v>
      </c>
      <c r="G15" s="52">
        <f>ABS(F15-E15)</f>
        <v>9776160000000</v>
      </c>
    </row>
    <row r="17" spans="2:2" ht="15" customHeight="1" x14ac:dyDescent="0.35">
      <c r="B17" s="10" t="s">
        <v>309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Inputs &amp; Sources</vt:lpstr>
      <vt:lpstr>2026 Baseline</vt:lpstr>
      <vt:lpstr>2031 Projection</vt:lpstr>
      <vt:lpstr>Scale &amp; Human</vt:lpstr>
      <vt:lpstr>Monte Carlo</vt:lpstr>
      <vt:lpstr>Scenario L-B-H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Justin Olive</cp:lastModifiedBy>
  <cp:revision>2</cp:revision>
  <dcterms:created xsi:type="dcterms:W3CDTF">2026-06-14T02:03:34Z</dcterms:created>
  <dcterms:modified xsi:type="dcterms:W3CDTF">2026-06-14T20:19:57Z</dcterms:modified>
  <dc:language>en-US</dc:language>
</cp:coreProperties>
</file>