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\Claude\Projects\economics of AGI\"/>
    </mc:Choice>
  </mc:AlternateContent>
  <xr:revisionPtr revIDLastSave="0" documentId="8_{B6440E6C-9168-4485-A66E-DC9077322BA8}" xr6:coauthVersionLast="47" xr6:coauthVersionMax="47" xr10:uidLastSave="{00000000-0000-0000-0000-000000000000}"/>
  <bookViews>
    <workbookView xWindow="-11360" yWindow="-21710" windowWidth="38620" windowHeight="21100" tabRatio="500" activeTab="7" xr2:uid="{00000000-000D-0000-FFFF-FFFF00000000}"/>
  </bookViews>
  <sheets>
    <sheet name="Cover" sheetId="1" r:id="rId1"/>
    <sheet name="Inputs &amp; Sources" sheetId="2" r:id="rId2"/>
    <sheet name="Derivations" sheetId="3" r:id="rId3"/>
    <sheet name="2026 Baseline" sheetId="4" r:id="rId4"/>
    <sheet name="2031 Projection" sheetId="5" r:id="rId5"/>
    <sheet name="Scale &amp; Human" sheetId="6" r:id="rId6"/>
    <sheet name="Monte Carlo" sheetId="7" r:id="rId7"/>
    <sheet name="Scenario L-B-H" sheetId="8" r:id="rId8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8" l="1"/>
  <c r="J9" i="7"/>
  <c r="J18" i="7"/>
  <c r="J17" i="7"/>
  <c r="J16" i="7"/>
  <c r="J15" i="7"/>
  <c r="J14" i="7"/>
  <c r="J13" i="7"/>
  <c r="J12" i="7"/>
  <c r="J11" i="7"/>
  <c r="J10" i="7"/>
  <c r="J8" i="7"/>
  <c r="J7" i="7"/>
  <c r="C25" i="3" l="1"/>
  <c r="C38" i="3"/>
  <c r="C36" i="3"/>
  <c r="C33" i="3"/>
  <c r="C10" i="2" s="1"/>
  <c r="C10" i="4" s="1"/>
  <c r="G15" i="8"/>
  <c r="F15" i="8"/>
  <c r="E15" i="8"/>
  <c r="F14" i="8"/>
  <c r="G14" i="8" s="1"/>
  <c r="E14" i="8"/>
  <c r="G13" i="8"/>
  <c r="F13" i="8"/>
  <c r="E13" i="8"/>
  <c r="J2021" i="7"/>
  <c r="I2021" i="7"/>
  <c r="G2021" i="7"/>
  <c r="F2021" i="7"/>
  <c r="C2021" i="7"/>
  <c r="D2021" i="7" s="1"/>
  <c r="E2021" i="7" s="1"/>
  <c r="J2020" i="7"/>
  <c r="I2020" i="7"/>
  <c r="G2020" i="7"/>
  <c r="F2020" i="7"/>
  <c r="C2020" i="7"/>
  <c r="D2020" i="7" s="1"/>
  <c r="E2020" i="7" s="1"/>
  <c r="J2019" i="7"/>
  <c r="I2019" i="7"/>
  <c r="G2019" i="7"/>
  <c r="F2019" i="7"/>
  <c r="C2019" i="7"/>
  <c r="D2019" i="7" s="1"/>
  <c r="E2019" i="7" s="1"/>
  <c r="J2018" i="7"/>
  <c r="I2018" i="7"/>
  <c r="G2018" i="7"/>
  <c r="F2018" i="7"/>
  <c r="C2018" i="7"/>
  <c r="D2018" i="7" s="1"/>
  <c r="E2018" i="7" s="1"/>
  <c r="J2017" i="7"/>
  <c r="I2017" i="7"/>
  <c r="G2017" i="7"/>
  <c r="F2017" i="7"/>
  <c r="C2017" i="7"/>
  <c r="D2017" i="7" s="1"/>
  <c r="E2017" i="7" s="1"/>
  <c r="J2016" i="7"/>
  <c r="I2016" i="7"/>
  <c r="G2016" i="7"/>
  <c r="F2016" i="7"/>
  <c r="C2016" i="7"/>
  <c r="D2016" i="7" s="1"/>
  <c r="E2016" i="7" s="1"/>
  <c r="J2015" i="7"/>
  <c r="I2015" i="7"/>
  <c r="G2015" i="7"/>
  <c r="F2015" i="7"/>
  <c r="C2015" i="7"/>
  <c r="D2015" i="7" s="1"/>
  <c r="E2015" i="7" s="1"/>
  <c r="J2014" i="7"/>
  <c r="I2014" i="7"/>
  <c r="G2014" i="7"/>
  <c r="F2014" i="7"/>
  <c r="C2014" i="7"/>
  <c r="D2014" i="7" s="1"/>
  <c r="E2014" i="7" s="1"/>
  <c r="J2013" i="7"/>
  <c r="I2013" i="7"/>
  <c r="G2013" i="7"/>
  <c r="F2013" i="7"/>
  <c r="C2013" i="7"/>
  <c r="D2013" i="7" s="1"/>
  <c r="E2013" i="7" s="1"/>
  <c r="J2012" i="7"/>
  <c r="I2012" i="7"/>
  <c r="G2012" i="7"/>
  <c r="F2012" i="7"/>
  <c r="C2012" i="7"/>
  <c r="D2012" i="7" s="1"/>
  <c r="E2012" i="7" s="1"/>
  <c r="J2011" i="7"/>
  <c r="I2011" i="7"/>
  <c r="G2011" i="7"/>
  <c r="F2011" i="7"/>
  <c r="C2011" i="7"/>
  <c r="D2011" i="7" s="1"/>
  <c r="E2011" i="7" s="1"/>
  <c r="J2010" i="7"/>
  <c r="I2010" i="7"/>
  <c r="G2010" i="7"/>
  <c r="F2010" i="7"/>
  <c r="C2010" i="7"/>
  <c r="D2010" i="7" s="1"/>
  <c r="E2010" i="7" s="1"/>
  <c r="J2009" i="7"/>
  <c r="I2009" i="7"/>
  <c r="G2009" i="7"/>
  <c r="F2009" i="7"/>
  <c r="C2009" i="7"/>
  <c r="D2009" i="7" s="1"/>
  <c r="E2009" i="7" s="1"/>
  <c r="J2008" i="7"/>
  <c r="I2008" i="7"/>
  <c r="G2008" i="7"/>
  <c r="F2008" i="7"/>
  <c r="C2008" i="7"/>
  <c r="D2008" i="7" s="1"/>
  <c r="E2008" i="7" s="1"/>
  <c r="J2007" i="7"/>
  <c r="I2007" i="7"/>
  <c r="G2007" i="7"/>
  <c r="F2007" i="7"/>
  <c r="C2007" i="7"/>
  <c r="D2007" i="7" s="1"/>
  <c r="E2007" i="7" s="1"/>
  <c r="J2006" i="7"/>
  <c r="I2006" i="7"/>
  <c r="G2006" i="7"/>
  <c r="F2006" i="7"/>
  <c r="C2006" i="7"/>
  <c r="D2006" i="7" s="1"/>
  <c r="E2006" i="7" s="1"/>
  <c r="J2005" i="7"/>
  <c r="I2005" i="7"/>
  <c r="G2005" i="7"/>
  <c r="F2005" i="7"/>
  <c r="C2005" i="7"/>
  <c r="D2005" i="7" s="1"/>
  <c r="E2005" i="7" s="1"/>
  <c r="J2004" i="7"/>
  <c r="I2004" i="7"/>
  <c r="G2004" i="7"/>
  <c r="F2004" i="7"/>
  <c r="C2004" i="7"/>
  <c r="D2004" i="7" s="1"/>
  <c r="E2004" i="7" s="1"/>
  <c r="J2003" i="7"/>
  <c r="I2003" i="7"/>
  <c r="G2003" i="7"/>
  <c r="F2003" i="7"/>
  <c r="C2003" i="7"/>
  <c r="D2003" i="7" s="1"/>
  <c r="E2003" i="7" s="1"/>
  <c r="J2002" i="7"/>
  <c r="I2002" i="7"/>
  <c r="G2002" i="7"/>
  <c r="F2002" i="7"/>
  <c r="C2002" i="7"/>
  <c r="D2002" i="7" s="1"/>
  <c r="E2002" i="7" s="1"/>
  <c r="J2001" i="7"/>
  <c r="I2001" i="7"/>
  <c r="G2001" i="7"/>
  <c r="F2001" i="7"/>
  <c r="C2001" i="7"/>
  <c r="D2001" i="7" s="1"/>
  <c r="E2001" i="7" s="1"/>
  <c r="J2000" i="7"/>
  <c r="I2000" i="7"/>
  <c r="G2000" i="7"/>
  <c r="F2000" i="7"/>
  <c r="C2000" i="7"/>
  <c r="D2000" i="7" s="1"/>
  <c r="E2000" i="7" s="1"/>
  <c r="J1999" i="7"/>
  <c r="I1999" i="7"/>
  <c r="G1999" i="7"/>
  <c r="F1999" i="7"/>
  <c r="C1999" i="7"/>
  <c r="D1999" i="7" s="1"/>
  <c r="E1999" i="7" s="1"/>
  <c r="J1998" i="7"/>
  <c r="I1998" i="7"/>
  <c r="G1998" i="7"/>
  <c r="F1998" i="7"/>
  <c r="C1998" i="7"/>
  <c r="D1998" i="7" s="1"/>
  <c r="E1998" i="7" s="1"/>
  <c r="J1997" i="7"/>
  <c r="I1997" i="7"/>
  <c r="G1997" i="7"/>
  <c r="F1997" i="7"/>
  <c r="C1997" i="7"/>
  <c r="D1997" i="7" s="1"/>
  <c r="E1997" i="7" s="1"/>
  <c r="J1996" i="7"/>
  <c r="I1996" i="7"/>
  <c r="G1996" i="7"/>
  <c r="F1996" i="7"/>
  <c r="C1996" i="7"/>
  <c r="D1996" i="7" s="1"/>
  <c r="E1996" i="7" s="1"/>
  <c r="J1995" i="7"/>
  <c r="I1995" i="7"/>
  <c r="G1995" i="7"/>
  <c r="F1995" i="7"/>
  <c r="C1995" i="7"/>
  <c r="D1995" i="7" s="1"/>
  <c r="E1995" i="7" s="1"/>
  <c r="J1994" i="7"/>
  <c r="I1994" i="7"/>
  <c r="G1994" i="7"/>
  <c r="F1994" i="7"/>
  <c r="C1994" i="7"/>
  <c r="D1994" i="7" s="1"/>
  <c r="E1994" i="7" s="1"/>
  <c r="J1993" i="7"/>
  <c r="I1993" i="7"/>
  <c r="G1993" i="7"/>
  <c r="F1993" i="7"/>
  <c r="C1993" i="7"/>
  <c r="D1993" i="7" s="1"/>
  <c r="E1993" i="7" s="1"/>
  <c r="J1992" i="7"/>
  <c r="I1992" i="7"/>
  <c r="G1992" i="7"/>
  <c r="F1992" i="7"/>
  <c r="C1992" i="7"/>
  <c r="D1992" i="7" s="1"/>
  <c r="E1992" i="7" s="1"/>
  <c r="J1991" i="7"/>
  <c r="I1991" i="7"/>
  <c r="G1991" i="7"/>
  <c r="F1991" i="7"/>
  <c r="C1991" i="7"/>
  <c r="D1991" i="7" s="1"/>
  <c r="E1991" i="7" s="1"/>
  <c r="J1990" i="7"/>
  <c r="I1990" i="7"/>
  <c r="G1990" i="7"/>
  <c r="F1990" i="7"/>
  <c r="C1990" i="7"/>
  <c r="D1990" i="7" s="1"/>
  <c r="E1990" i="7" s="1"/>
  <c r="J1989" i="7"/>
  <c r="I1989" i="7"/>
  <c r="G1989" i="7"/>
  <c r="F1989" i="7"/>
  <c r="C1989" i="7"/>
  <c r="D1989" i="7" s="1"/>
  <c r="E1989" i="7" s="1"/>
  <c r="J1988" i="7"/>
  <c r="I1988" i="7"/>
  <c r="G1988" i="7"/>
  <c r="F1988" i="7"/>
  <c r="C1988" i="7"/>
  <c r="D1988" i="7" s="1"/>
  <c r="E1988" i="7" s="1"/>
  <c r="J1987" i="7"/>
  <c r="I1987" i="7"/>
  <c r="G1987" i="7"/>
  <c r="F1987" i="7"/>
  <c r="C1987" i="7"/>
  <c r="D1987" i="7" s="1"/>
  <c r="E1987" i="7" s="1"/>
  <c r="J1986" i="7"/>
  <c r="I1986" i="7"/>
  <c r="G1986" i="7"/>
  <c r="F1986" i="7"/>
  <c r="C1986" i="7"/>
  <c r="D1986" i="7" s="1"/>
  <c r="E1986" i="7" s="1"/>
  <c r="J1985" i="7"/>
  <c r="I1985" i="7"/>
  <c r="G1985" i="7"/>
  <c r="F1985" i="7"/>
  <c r="C1985" i="7"/>
  <c r="D1985" i="7" s="1"/>
  <c r="E1985" i="7" s="1"/>
  <c r="J1984" i="7"/>
  <c r="I1984" i="7"/>
  <c r="G1984" i="7"/>
  <c r="F1984" i="7"/>
  <c r="C1984" i="7"/>
  <c r="D1984" i="7" s="1"/>
  <c r="E1984" i="7" s="1"/>
  <c r="J1983" i="7"/>
  <c r="I1983" i="7"/>
  <c r="G1983" i="7"/>
  <c r="F1983" i="7"/>
  <c r="C1983" i="7"/>
  <c r="D1983" i="7" s="1"/>
  <c r="E1983" i="7" s="1"/>
  <c r="J1982" i="7"/>
  <c r="I1982" i="7"/>
  <c r="G1982" i="7"/>
  <c r="F1982" i="7"/>
  <c r="C1982" i="7"/>
  <c r="D1982" i="7" s="1"/>
  <c r="E1982" i="7" s="1"/>
  <c r="J1981" i="7"/>
  <c r="I1981" i="7"/>
  <c r="G1981" i="7"/>
  <c r="F1981" i="7"/>
  <c r="C1981" i="7"/>
  <c r="D1981" i="7" s="1"/>
  <c r="E1981" i="7" s="1"/>
  <c r="J1980" i="7"/>
  <c r="I1980" i="7"/>
  <c r="G1980" i="7"/>
  <c r="F1980" i="7"/>
  <c r="C1980" i="7"/>
  <c r="D1980" i="7" s="1"/>
  <c r="E1980" i="7" s="1"/>
  <c r="J1979" i="7"/>
  <c r="I1979" i="7"/>
  <c r="G1979" i="7"/>
  <c r="F1979" i="7"/>
  <c r="C1979" i="7"/>
  <c r="D1979" i="7" s="1"/>
  <c r="E1979" i="7" s="1"/>
  <c r="J1978" i="7"/>
  <c r="I1978" i="7"/>
  <c r="G1978" i="7"/>
  <c r="F1978" i="7"/>
  <c r="C1978" i="7"/>
  <c r="D1978" i="7" s="1"/>
  <c r="E1978" i="7" s="1"/>
  <c r="J1977" i="7"/>
  <c r="I1977" i="7"/>
  <c r="G1977" i="7"/>
  <c r="F1977" i="7"/>
  <c r="C1977" i="7"/>
  <c r="D1977" i="7" s="1"/>
  <c r="E1977" i="7" s="1"/>
  <c r="J1976" i="7"/>
  <c r="I1976" i="7"/>
  <c r="G1976" i="7"/>
  <c r="F1976" i="7"/>
  <c r="C1976" i="7"/>
  <c r="D1976" i="7" s="1"/>
  <c r="E1976" i="7" s="1"/>
  <c r="J1975" i="7"/>
  <c r="I1975" i="7"/>
  <c r="G1975" i="7"/>
  <c r="F1975" i="7"/>
  <c r="C1975" i="7"/>
  <c r="D1975" i="7" s="1"/>
  <c r="E1975" i="7" s="1"/>
  <c r="J1974" i="7"/>
  <c r="I1974" i="7"/>
  <c r="G1974" i="7"/>
  <c r="F1974" i="7"/>
  <c r="C1974" i="7"/>
  <c r="D1974" i="7" s="1"/>
  <c r="E1974" i="7" s="1"/>
  <c r="J1973" i="7"/>
  <c r="I1973" i="7"/>
  <c r="G1973" i="7"/>
  <c r="F1973" i="7"/>
  <c r="C1973" i="7"/>
  <c r="D1973" i="7" s="1"/>
  <c r="E1973" i="7" s="1"/>
  <c r="J1972" i="7"/>
  <c r="I1972" i="7"/>
  <c r="G1972" i="7"/>
  <c r="F1972" i="7"/>
  <c r="C1972" i="7"/>
  <c r="D1972" i="7" s="1"/>
  <c r="E1972" i="7" s="1"/>
  <c r="J1971" i="7"/>
  <c r="I1971" i="7"/>
  <c r="G1971" i="7"/>
  <c r="F1971" i="7"/>
  <c r="C1971" i="7"/>
  <c r="D1971" i="7" s="1"/>
  <c r="E1971" i="7" s="1"/>
  <c r="J1970" i="7"/>
  <c r="I1970" i="7"/>
  <c r="G1970" i="7"/>
  <c r="F1970" i="7"/>
  <c r="C1970" i="7"/>
  <c r="D1970" i="7" s="1"/>
  <c r="E1970" i="7" s="1"/>
  <c r="J1969" i="7"/>
  <c r="I1969" i="7"/>
  <c r="G1969" i="7"/>
  <c r="F1969" i="7"/>
  <c r="C1969" i="7"/>
  <c r="D1969" i="7" s="1"/>
  <c r="E1969" i="7" s="1"/>
  <c r="J1968" i="7"/>
  <c r="I1968" i="7"/>
  <c r="G1968" i="7"/>
  <c r="F1968" i="7"/>
  <c r="C1968" i="7"/>
  <c r="D1968" i="7" s="1"/>
  <c r="E1968" i="7" s="1"/>
  <c r="J1967" i="7"/>
  <c r="I1967" i="7"/>
  <c r="G1967" i="7"/>
  <c r="F1967" i="7"/>
  <c r="C1967" i="7"/>
  <c r="D1967" i="7" s="1"/>
  <c r="E1967" i="7" s="1"/>
  <c r="J1966" i="7"/>
  <c r="I1966" i="7"/>
  <c r="G1966" i="7"/>
  <c r="F1966" i="7"/>
  <c r="C1966" i="7"/>
  <c r="D1966" i="7" s="1"/>
  <c r="E1966" i="7" s="1"/>
  <c r="J1965" i="7"/>
  <c r="I1965" i="7"/>
  <c r="G1965" i="7"/>
  <c r="F1965" i="7"/>
  <c r="C1965" i="7"/>
  <c r="D1965" i="7" s="1"/>
  <c r="E1965" i="7" s="1"/>
  <c r="J1964" i="7"/>
  <c r="I1964" i="7"/>
  <c r="G1964" i="7"/>
  <c r="F1964" i="7"/>
  <c r="C1964" i="7"/>
  <c r="D1964" i="7" s="1"/>
  <c r="E1964" i="7" s="1"/>
  <c r="J1963" i="7"/>
  <c r="I1963" i="7"/>
  <c r="G1963" i="7"/>
  <c r="F1963" i="7"/>
  <c r="C1963" i="7"/>
  <c r="D1963" i="7" s="1"/>
  <c r="E1963" i="7" s="1"/>
  <c r="J1962" i="7"/>
  <c r="I1962" i="7"/>
  <c r="G1962" i="7"/>
  <c r="F1962" i="7"/>
  <c r="C1962" i="7"/>
  <c r="D1962" i="7" s="1"/>
  <c r="E1962" i="7" s="1"/>
  <c r="J1961" i="7"/>
  <c r="I1961" i="7"/>
  <c r="G1961" i="7"/>
  <c r="F1961" i="7"/>
  <c r="C1961" i="7"/>
  <c r="D1961" i="7" s="1"/>
  <c r="E1961" i="7" s="1"/>
  <c r="J1960" i="7"/>
  <c r="I1960" i="7"/>
  <c r="G1960" i="7"/>
  <c r="F1960" i="7"/>
  <c r="C1960" i="7"/>
  <c r="D1960" i="7" s="1"/>
  <c r="E1960" i="7" s="1"/>
  <c r="J1959" i="7"/>
  <c r="I1959" i="7"/>
  <c r="G1959" i="7"/>
  <c r="F1959" i="7"/>
  <c r="C1959" i="7"/>
  <c r="D1959" i="7" s="1"/>
  <c r="E1959" i="7" s="1"/>
  <c r="J1958" i="7"/>
  <c r="I1958" i="7"/>
  <c r="G1958" i="7"/>
  <c r="F1958" i="7"/>
  <c r="C1958" i="7"/>
  <c r="D1958" i="7" s="1"/>
  <c r="E1958" i="7" s="1"/>
  <c r="J1957" i="7"/>
  <c r="I1957" i="7"/>
  <c r="G1957" i="7"/>
  <c r="F1957" i="7"/>
  <c r="C1957" i="7"/>
  <c r="D1957" i="7" s="1"/>
  <c r="E1957" i="7" s="1"/>
  <c r="J1956" i="7"/>
  <c r="I1956" i="7"/>
  <c r="G1956" i="7"/>
  <c r="F1956" i="7"/>
  <c r="C1956" i="7"/>
  <c r="D1956" i="7" s="1"/>
  <c r="E1956" i="7" s="1"/>
  <c r="J1955" i="7"/>
  <c r="I1955" i="7"/>
  <c r="G1955" i="7"/>
  <c r="F1955" i="7"/>
  <c r="C1955" i="7"/>
  <c r="D1955" i="7" s="1"/>
  <c r="E1955" i="7" s="1"/>
  <c r="J1954" i="7"/>
  <c r="I1954" i="7"/>
  <c r="G1954" i="7"/>
  <c r="F1954" i="7"/>
  <c r="C1954" i="7"/>
  <c r="D1954" i="7" s="1"/>
  <c r="E1954" i="7" s="1"/>
  <c r="J1953" i="7"/>
  <c r="I1953" i="7"/>
  <c r="G1953" i="7"/>
  <c r="F1953" i="7"/>
  <c r="C1953" i="7"/>
  <c r="D1953" i="7" s="1"/>
  <c r="E1953" i="7" s="1"/>
  <c r="J1952" i="7"/>
  <c r="I1952" i="7"/>
  <c r="G1952" i="7"/>
  <c r="F1952" i="7"/>
  <c r="C1952" i="7"/>
  <c r="D1952" i="7" s="1"/>
  <c r="E1952" i="7" s="1"/>
  <c r="J1951" i="7"/>
  <c r="I1951" i="7"/>
  <c r="G1951" i="7"/>
  <c r="F1951" i="7"/>
  <c r="C1951" i="7"/>
  <c r="D1951" i="7" s="1"/>
  <c r="E1951" i="7" s="1"/>
  <c r="J1950" i="7"/>
  <c r="I1950" i="7"/>
  <c r="G1950" i="7"/>
  <c r="F1950" i="7"/>
  <c r="C1950" i="7"/>
  <c r="D1950" i="7" s="1"/>
  <c r="E1950" i="7" s="1"/>
  <c r="J1949" i="7"/>
  <c r="I1949" i="7"/>
  <c r="G1949" i="7"/>
  <c r="F1949" i="7"/>
  <c r="C1949" i="7"/>
  <c r="D1949" i="7" s="1"/>
  <c r="E1949" i="7" s="1"/>
  <c r="J1948" i="7"/>
  <c r="I1948" i="7"/>
  <c r="G1948" i="7"/>
  <c r="F1948" i="7"/>
  <c r="C1948" i="7"/>
  <c r="D1948" i="7" s="1"/>
  <c r="E1948" i="7" s="1"/>
  <c r="J1947" i="7"/>
  <c r="I1947" i="7"/>
  <c r="G1947" i="7"/>
  <c r="F1947" i="7"/>
  <c r="C1947" i="7"/>
  <c r="D1947" i="7" s="1"/>
  <c r="E1947" i="7" s="1"/>
  <c r="J1946" i="7"/>
  <c r="I1946" i="7"/>
  <c r="G1946" i="7"/>
  <c r="F1946" i="7"/>
  <c r="C1946" i="7"/>
  <c r="D1946" i="7" s="1"/>
  <c r="E1946" i="7" s="1"/>
  <c r="J1945" i="7"/>
  <c r="I1945" i="7"/>
  <c r="G1945" i="7"/>
  <c r="F1945" i="7"/>
  <c r="C1945" i="7"/>
  <c r="D1945" i="7" s="1"/>
  <c r="E1945" i="7" s="1"/>
  <c r="J1944" i="7"/>
  <c r="I1944" i="7"/>
  <c r="G1944" i="7"/>
  <c r="F1944" i="7"/>
  <c r="C1944" i="7"/>
  <c r="D1944" i="7" s="1"/>
  <c r="E1944" i="7" s="1"/>
  <c r="J1943" i="7"/>
  <c r="I1943" i="7"/>
  <c r="G1943" i="7"/>
  <c r="F1943" i="7"/>
  <c r="C1943" i="7"/>
  <c r="D1943" i="7" s="1"/>
  <c r="E1943" i="7" s="1"/>
  <c r="J1942" i="7"/>
  <c r="I1942" i="7"/>
  <c r="G1942" i="7"/>
  <c r="F1942" i="7"/>
  <c r="C1942" i="7"/>
  <c r="D1942" i="7" s="1"/>
  <c r="E1942" i="7" s="1"/>
  <c r="J1941" i="7"/>
  <c r="I1941" i="7"/>
  <c r="G1941" i="7"/>
  <c r="F1941" i="7"/>
  <c r="C1941" i="7"/>
  <c r="D1941" i="7" s="1"/>
  <c r="E1941" i="7" s="1"/>
  <c r="J1940" i="7"/>
  <c r="I1940" i="7"/>
  <c r="G1940" i="7"/>
  <c r="F1940" i="7"/>
  <c r="C1940" i="7"/>
  <c r="D1940" i="7" s="1"/>
  <c r="E1940" i="7" s="1"/>
  <c r="J1939" i="7"/>
  <c r="I1939" i="7"/>
  <c r="G1939" i="7"/>
  <c r="F1939" i="7"/>
  <c r="C1939" i="7"/>
  <c r="D1939" i="7" s="1"/>
  <c r="E1939" i="7" s="1"/>
  <c r="H1939" i="7" s="1"/>
  <c r="J1938" i="7"/>
  <c r="I1938" i="7"/>
  <c r="G1938" i="7"/>
  <c r="F1938" i="7"/>
  <c r="C1938" i="7"/>
  <c r="D1938" i="7" s="1"/>
  <c r="E1938" i="7" s="1"/>
  <c r="J1937" i="7"/>
  <c r="I1937" i="7"/>
  <c r="G1937" i="7"/>
  <c r="F1937" i="7"/>
  <c r="C1937" i="7"/>
  <c r="D1937" i="7" s="1"/>
  <c r="E1937" i="7" s="1"/>
  <c r="J1936" i="7"/>
  <c r="I1936" i="7"/>
  <c r="G1936" i="7"/>
  <c r="F1936" i="7"/>
  <c r="C1936" i="7"/>
  <c r="D1936" i="7" s="1"/>
  <c r="E1936" i="7" s="1"/>
  <c r="J1935" i="7"/>
  <c r="I1935" i="7"/>
  <c r="G1935" i="7"/>
  <c r="F1935" i="7"/>
  <c r="C1935" i="7"/>
  <c r="D1935" i="7" s="1"/>
  <c r="E1935" i="7" s="1"/>
  <c r="J1934" i="7"/>
  <c r="I1934" i="7"/>
  <c r="G1934" i="7"/>
  <c r="F1934" i="7"/>
  <c r="C1934" i="7"/>
  <c r="D1934" i="7" s="1"/>
  <c r="E1934" i="7" s="1"/>
  <c r="J1933" i="7"/>
  <c r="I1933" i="7"/>
  <c r="G1933" i="7"/>
  <c r="F1933" i="7"/>
  <c r="C1933" i="7"/>
  <c r="D1933" i="7" s="1"/>
  <c r="E1933" i="7" s="1"/>
  <c r="J1932" i="7"/>
  <c r="I1932" i="7"/>
  <c r="G1932" i="7"/>
  <c r="F1932" i="7"/>
  <c r="C1932" i="7"/>
  <c r="D1932" i="7" s="1"/>
  <c r="E1932" i="7" s="1"/>
  <c r="J1931" i="7"/>
  <c r="I1931" i="7"/>
  <c r="G1931" i="7"/>
  <c r="F1931" i="7"/>
  <c r="C1931" i="7"/>
  <c r="D1931" i="7" s="1"/>
  <c r="E1931" i="7" s="1"/>
  <c r="J1930" i="7"/>
  <c r="I1930" i="7"/>
  <c r="G1930" i="7"/>
  <c r="F1930" i="7"/>
  <c r="C1930" i="7"/>
  <c r="D1930" i="7" s="1"/>
  <c r="E1930" i="7" s="1"/>
  <c r="J1929" i="7"/>
  <c r="I1929" i="7"/>
  <c r="G1929" i="7"/>
  <c r="F1929" i="7"/>
  <c r="C1929" i="7"/>
  <c r="D1929" i="7" s="1"/>
  <c r="E1929" i="7" s="1"/>
  <c r="J1928" i="7"/>
  <c r="I1928" i="7"/>
  <c r="G1928" i="7"/>
  <c r="F1928" i="7"/>
  <c r="C1928" i="7"/>
  <c r="D1928" i="7" s="1"/>
  <c r="E1928" i="7" s="1"/>
  <c r="J1927" i="7"/>
  <c r="I1927" i="7"/>
  <c r="G1927" i="7"/>
  <c r="F1927" i="7"/>
  <c r="C1927" i="7"/>
  <c r="D1927" i="7" s="1"/>
  <c r="E1927" i="7" s="1"/>
  <c r="J1926" i="7"/>
  <c r="I1926" i="7"/>
  <c r="G1926" i="7"/>
  <c r="F1926" i="7"/>
  <c r="C1926" i="7"/>
  <c r="D1926" i="7" s="1"/>
  <c r="E1926" i="7" s="1"/>
  <c r="J1925" i="7"/>
  <c r="I1925" i="7"/>
  <c r="G1925" i="7"/>
  <c r="F1925" i="7"/>
  <c r="C1925" i="7"/>
  <c r="D1925" i="7" s="1"/>
  <c r="E1925" i="7" s="1"/>
  <c r="J1924" i="7"/>
  <c r="I1924" i="7"/>
  <c r="G1924" i="7"/>
  <c r="F1924" i="7"/>
  <c r="C1924" i="7"/>
  <c r="D1924" i="7" s="1"/>
  <c r="E1924" i="7" s="1"/>
  <c r="J1923" i="7"/>
  <c r="I1923" i="7"/>
  <c r="G1923" i="7"/>
  <c r="F1923" i="7"/>
  <c r="C1923" i="7"/>
  <c r="D1923" i="7" s="1"/>
  <c r="E1923" i="7" s="1"/>
  <c r="J1922" i="7"/>
  <c r="I1922" i="7"/>
  <c r="G1922" i="7"/>
  <c r="F1922" i="7"/>
  <c r="C1922" i="7"/>
  <c r="D1922" i="7" s="1"/>
  <c r="E1922" i="7" s="1"/>
  <c r="J1921" i="7"/>
  <c r="I1921" i="7"/>
  <c r="G1921" i="7"/>
  <c r="F1921" i="7"/>
  <c r="C1921" i="7"/>
  <c r="D1921" i="7" s="1"/>
  <c r="E1921" i="7" s="1"/>
  <c r="J1920" i="7"/>
  <c r="I1920" i="7"/>
  <c r="G1920" i="7"/>
  <c r="F1920" i="7"/>
  <c r="C1920" i="7"/>
  <c r="D1920" i="7" s="1"/>
  <c r="E1920" i="7" s="1"/>
  <c r="J1919" i="7"/>
  <c r="I1919" i="7"/>
  <c r="G1919" i="7"/>
  <c r="F1919" i="7"/>
  <c r="C1919" i="7"/>
  <c r="D1919" i="7" s="1"/>
  <c r="E1919" i="7" s="1"/>
  <c r="J1918" i="7"/>
  <c r="I1918" i="7"/>
  <c r="G1918" i="7"/>
  <c r="F1918" i="7"/>
  <c r="C1918" i="7"/>
  <c r="D1918" i="7" s="1"/>
  <c r="E1918" i="7" s="1"/>
  <c r="J1917" i="7"/>
  <c r="I1917" i="7"/>
  <c r="G1917" i="7"/>
  <c r="F1917" i="7"/>
  <c r="C1917" i="7"/>
  <c r="D1917" i="7" s="1"/>
  <c r="E1917" i="7" s="1"/>
  <c r="J1916" i="7"/>
  <c r="I1916" i="7"/>
  <c r="G1916" i="7"/>
  <c r="F1916" i="7"/>
  <c r="C1916" i="7"/>
  <c r="D1916" i="7" s="1"/>
  <c r="E1916" i="7" s="1"/>
  <c r="J1915" i="7"/>
  <c r="I1915" i="7"/>
  <c r="G1915" i="7"/>
  <c r="F1915" i="7"/>
  <c r="C1915" i="7"/>
  <c r="D1915" i="7" s="1"/>
  <c r="E1915" i="7" s="1"/>
  <c r="J1914" i="7"/>
  <c r="I1914" i="7"/>
  <c r="G1914" i="7"/>
  <c r="F1914" i="7"/>
  <c r="C1914" i="7"/>
  <c r="D1914" i="7" s="1"/>
  <c r="E1914" i="7" s="1"/>
  <c r="J1913" i="7"/>
  <c r="I1913" i="7"/>
  <c r="G1913" i="7"/>
  <c r="F1913" i="7"/>
  <c r="C1913" i="7"/>
  <c r="D1913" i="7" s="1"/>
  <c r="E1913" i="7" s="1"/>
  <c r="J1912" i="7"/>
  <c r="I1912" i="7"/>
  <c r="G1912" i="7"/>
  <c r="F1912" i="7"/>
  <c r="C1912" i="7"/>
  <c r="D1912" i="7" s="1"/>
  <c r="E1912" i="7" s="1"/>
  <c r="J1911" i="7"/>
  <c r="I1911" i="7"/>
  <c r="G1911" i="7"/>
  <c r="F1911" i="7"/>
  <c r="C1911" i="7"/>
  <c r="D1911" i="7" s="1"/>
  <c r="E1911" i="7" s="1"/>
  <c r="J1910" i="7"/>
  <c r="I1910" i="7"/>
  <c r="G1910" i="7"/>
  <c r="F1910" i="7"/>
  <c r="C1910" i="7"/>
  <c r="D1910" i="7" s="1"/>
  <c r="E1910" i="7" s="1"/>
  <c r="J1909" i="7"/>
  <c r="I1909" i="7"/>
  <c r="G1909" i="7"/>
  <c r="F1909" i="7"/>
  <c r="C1909" i="7"/>
  <c r="D1909" i="7" s="1"/>
  <c r="E1909" i="7" s="1"/>
  <c r="J1908" i="7"/>
  <c r="I1908" i="7"/>
  <c r="G1908" i="7"/>
  <c r="F1908" i="7"/>
  <c r="C1908" i="7"/>
  <c r="D1908" i="7" s="1"/>
  <c r="E1908" i="7" s="1"/>
  <c r="J1907" i="7"/>
  <c r="I1907" i="7"/>
  <c r="G1907" i="7"/>
  <c r="F1907" i="7"/>
  <c r="C1907" i="7"/>
  <c r="D1907" i="7" s="1"/>
  <c r="E1907" i="7" s="1"/>
  <c r="J1906" i="7"/>
  <c r="I1906" i="7"/>
  <c r="G1906" i="7"/>
  <c r="F1906" i="7"/>
  <c r="C1906" i="7"/>
  <c r="D1906" i="7" s="1"/>
  <c r="E1906" i="7" s="1"/>
  <c r="J1905" i="7"/>
  <c r="I1905" i="7"/>
  <c r="G1905" i="7"/>
  <c r="F1905" i="7"/>
  <c r="C1905" i="7"/>
  <c r="D1905" i="7" s="1"/>
  <c r="E1905" i="7" s="1"/>
  <c r="J1904" i="7"/>
  <c r="I1904" i="7"/>
  <c r="G1904" i="7"/>
  <c r="F1904" i="7"/>
  <c r="C1904" i="7"/>
  <c r="D1904" i="7" s="1"/>
  <c r="E1904" i="7" s="1"/>
  <c r="J1903" i="7"/>
  <c r="I1903" i="7"/>
  <c r="G1903" i="7"/>
  <c r="F1903" i="7"/>
  <c r="C1903" i="7"/>
  <c r="D1903" i="7" s="1"/>
  <c r="E1903" i="7" s="1"/>
  <c r="J1902" i="7"/>
  <c r="I1902" i="7"/>
  <c r="G1902" i="7"/>
  <c r="F1902" i="7"/>
  <c r="C1902" i="7"/>
  <c r="D1902" i="7" s="1"/>
  <c r="E1902" i="7" s="1"/>
  <c r="J1901" i="7"/>
  <c r="I1901" i="7"/>
  <c r="G1901" i="7"/>
  <c r="F1901" i="7"/>
  <c r="C1901" i="7"/>
  <c r="D1901" i="7" s="1"/>
  <c r="E1901" i="7" s="1"/>
  <c r="J1900" i="7"/>
  <c r="I1900" i="7"/>
  <c r="G1900" i="7"/>
  <c r="F1900" i="7"/>
  <c r="C1900" i="7"/>
  <c r="D1900" i="7" s="1"/>
  <c r="E1900" i="7" s="1"/>
  <c r="J1899" i="7"/>
  <c r="I1899" i="7"/>
  <c r="G1899" i="7"/>
  <c r="F1899" i="7"/>
  <c r="C1899" i="7"/>
  <c r="D1899" i="7" s="1"/>
  <c r="E1899" i="7" s="1"/>
  <c r="J1898" i="7"/>
  <c r="I1898" i="7"/>
  <c r="G1898" i="7"/>
  <c r="F1898" i="7"/>
  <c r="C1898" i="7"/>
  <c r="D1898" i="7" s="1"/>
  <c r="E1898" i="7" s="1"/>
  <c r="J1897" i="7"/>
  <c r="I1897" i="7"/>
  <c r="G1897" i="7"/>
  <c r="F1897" i="7"/>
  <c r="C1897" i="7"/>
  <c r="D1897" i="7" s="1"/>
  <c r="E1897" i="7" s="1"/>
  <c r="J1896" i="7"/>
  <c r="I1896" i="7"/>
  <c r="G1896" i="7"/>
  <c r="F1896" i="7"/>
  <c r="C1896" i="7"/>
  <c r="D1896" i="7" s="1"/>
  <c r="E1896" i="7" s="1"/>
  <c r="J1895" i="7"/>
  <c r="I1895" i="7"/>
  <c r="G1895" i="7"/>
  <c r="F1895" i="7"/>
  <c r="C1895" i="7"/>
  <c r="D1895" i="7" s="1"/>
  <c r="E1895" i="7" s="1"/>
  <c r="J1894" i="7"/>
  <c r="I1894" i="7"/>
  <c r="G1894" i="7"/>
  <c r="F1894" i="7"/>
  <c r="C1894" i="7"/>
  <c r="D1894" i="7" s="1"/>
  <c r="E1894" i="7" s="1"/>
  <c r="J1893" i="7"/>
  <c r="I1893" i="7"/>
  <c r="G1893" i="7"/>
  <c r="F1893" i="7"/>
  <c r="C1893" i="7"/>
  <c r="D1893" i="7" s="1"/>
  <c r="E1893" i="7" s="1"/>
  <c r="J1892" i="7"/>
  <c r="I1892" i="7"/>
  <c r="G1892" i="7"/>
  <c r="F1892" i="7"/>
  <c r="C1892" i="7"/>
  <c r="D1892" i="7" s="1"/>
  <c r="E1892" i="7" s="1"/>
  <c r="J1891" i="7"/>
  <c r="I1891" i="7"/>
  <c r="G1891" i="7"/>
  <c r="F1891" i="7"/>
  <c r="C1891" i="7"/>
  <c r="D1891" i="7" s="1"/>
  <c r="E1891" i="7" s="1"/>
  <c r="J1890" i="7"/>
  <c r="I1890" i="7"/>
  <c r="G1890" i="7"/>
  <c r="F1890" i="7"/>
  <c r="C1890" i="7"/>
  <c r="D1890" i="7" s="1"/>
  <c r="E1890" i="7" s="1"/>
  <c r="J1889" i="7"/>
  <c r="I1889" i="7"/>
  <c r="G1889" i="7"/>
  <c r="F1889" i="7"/>
  <c r="C1889" i="7"/>
  <c r="D1889" i="7" s="1"/>
  <c r="E1889" i="7" s="1"/>
  <c r="J1888" i="7"/>
  <c r="I1888" i="7"/>
  <c r="G1888" i="7"/>
  <c r="F1888" i="7"/>
  <c r="C1888" i="7"/>
  <c r="D1888" i="7" s="1"/>
  <c r="E1888" i="7" s="1"/>
  <c r="J1887" i="7"/>
  <c r="I1887" i="7"/>
  <c r="G1887" i="7"/>
  <c r="F1887" i="7"/>
  <c r="C1887" i="7"/>
  <c r="D1887" i="7" s="1"/>
  <c r="E1887" i="7" s="1"/>
  <c r="J1886" i="7"/>
  <c r="I1886" i="7"/>
  <c r="G1886" i="7"/>
  <c r="F1886" i="7"/>
  <c r="C1886" i="7"/>
  <c r="D1886" i="7" s="1"/>
  <c r="E1886" i="7" s="1"/>
  <c r="J1885" i="7"/>
  <c r="I1885" i="7"/>
  <c r="G1885" i="7"/>
  <c r="F1885" i="7"/>
  <c r="C1885" i="7"/>
  <c r="D1885" i="7" s="1"/>
  <c r="E1885" i="7" s="1"/>
  <c r="J1884" i="7"/>
  <c r="I1884" i="7"/>
  <c r="G1884" i="7"/>
  <c r="F1884" i="7"/>
  <c r="C1884" i="7"/>
  <c r="D1884" i="7" s="1"/>
  <c r="E1884" i="7" s="1"/>
  <c r="J1883" i="7"/>
  <c r="I1883" i="7"/>
  <c r="G1883" i="7"/>
  <c r="F1883" i="7"/>
  <c r="C1883" i="7"/>
  <c r="D1883" i="7" s="1"/>
  <c r="E1883" i="7" s="1"/>
  <c r="J1882" i="7"/>
  <c r="I1882" i="7"/>
  <c r="G1882" i="7"/>
  <c r="F1882" i="7"/>
  <c r="C1882" i="7"/>
  <c r="D1882" i="7" s="1"/>
  <c r="E1882" i="7" s="1"/>
  <c r="J1881" i="7"/>
  <c r="I1881" i="7"/>
  <c r="G1881" i="7"/>
  <c r="F1881" i="7"/>
  <c r="C1881" i="7"/>
  <c r="D1881" i="7" s="1"/>
  <c r="E1881" i="7" s="1"/>
  <c r="J1880" i="7"/>
  <c r="I1880" i="7"/>
  <c r="G1880" i="7"/>
  <c r="F1880" i="7"/>
  <c r="C1880" i="7"/>
  <c r="D1880" i="7" s="1"/>
  <c r="E1880" i="7" s="1"/>
  <c r="J1879" i="7"/>
  <c r="I1879" i="7"/>
  <c r="G1879" i="7"/>
  <c r="F1879" i="7"/>
  <c r="C1879" i="7"/>
  <c r="D1879" i="7" s="1"/>
  <c r="E1879" i="7" s="1"/>
  <c r="J1878" i="7"/>
  <c r="I1878" i="7"/>
  <c r="G1878" i="7"/>
  <c r="F1878" i="7"/>
  <c r="C1878" i="7"/>
  <c r="D1878" i="7" s="1"/>
  <c r="E1878" i="7" s="1"/>
  <c r="J1877" i="7"/>
  <c r="I1877" i="7"/>
  <c r="G1877" i="7"/>
  <c r="F1877" i="7"/>
  <c r="C1877" i="7"/>
  <c r="D1877" i="7" s="1"/>
  <c r="E1877" i="7" s="1"/>
  <c r="J1876" i="7"/>
  <c r="I1876" i="7"/>
  <c r="G1876" i="7"/>
  <c r="F1876" i="7"/>
  <c r="C1876" i="7"/>
  <c r="D1876" i="7" s="1"/>
  <c r="E1876" i="7" s="1"/>
  <c r="J1875" i="7"/>
  <c r="I1875" i="7"/>
  <c r="G1875" i="7"/>
  <c r="F1875" i="7"/>
  <c r="C1875" i="7"/>
  <c r="D1875" i="7" s="1"/>
  <c r="E1875" i="7" s="1"/>
  <c r="J1874" i="7"/>
  <c r="I1874" i="7"/>
  <c r="G1874" i="7"/>
  <c r="F1874" i="7"/>
  <c r="C1874" i="7"/>
  <c r="D1874" i="7" s="1"/>
  <c r="E1874" i="7" s="1"/>
  <c r="J1873" i="7"/>
  <c r="I1873" i="7"/>
  <c r="G1873" i="7"/>
  <c r="F1873" i="7"/>
  <c r="C1873" i="7"/>
  <c r="D1873" i="7" s="1"/>
  <c r="E1873" i="7" s="1"/>
  <c r="J1872" i="7"/>
  <c r="I1872" i="7"/>
  <c r="G1872" i="7"/>
  <c r="F1872" i="7"/>
  <c r="C1872" i="7"/>
  <c r="D1872" i="7" s="1"/>
  <c r="E1872" i="7" s="1"/>
  <c r="J1871" i="7"/>
  <c r="I1871" i="7"/>
  <c r="G1871" i="7"/>
  <c r="F1871" i="7"/>
  <c r="C1871" i="7"/>
  <c r="D1871" i="7" s="1"/>
  <c r="E1871" i="7" s="1"/>
  <c r="J1870" i="7"/>
  <c r="I1870" i="7"/>
  <c r="G1870" i="7"/>
  <c r="F1870" i="7"/>
  <c r="C1870" i="7"/>
  <c r="D1870" i="7" s="1"/>
  <c r="E1870" i="7" s="1"/>
  <c r="J1869" i="7"/>
  <c r="I1869" i="7"/>
  <c r="G1869" i="7"/>
  <c r="F1869" i="7"/>
  <c r="C1869" i="7"/>
  <c r="D1869" i="7" s="1"/>
  <c r="E1869" i="7" s="1"/>
  <c r="J1868" i="7"/>
  <c r="I1868" i="7"/>
  <c r="G1868" i="7"/>
  <c r="F1868" i="7"/>
  <c r="C1868" i="7"/>
  <c r="D1868" i="7" s="1"/>
  <c r="E1868" i="7" s="1"/>
  <c r="J1867" i="7"/>
  <c r="I1867" i="7"/>
  <c r="G1867" i="7"/>
  <c r="F1867" i="7"/>
  <c r="C1867" i="7"/>
  <c r="D1867" i="7" s="1"/>
  <c r="E1867" i="7" s="1"/>
  <c r="J1866" i="7"/>
  <c r="I1866" i="7"/>
  <c r="G1866" i="7"/>
  <c r="F1866" i="7"/>
  <c r="C1866" i="7"/>
  <c r="D1866" i="7" s="1"/>
  <c r="E1866" i="7" s="1"/>
  <c r="J1865" i="7"/>
  <c r="I1865" i="7"/>
  <c r="G1865" i="7"/>
  <c r="F1865" i="7"/>
  <c r="C1865" i="7"/>
  <c r="D1865" i="7" s="1"/>
  <c r="E1865" i="7" s="1"/>
  <c r="J1864" i="7"/>
  <c r="I1864" i="7"/>
  <c r="G1864" i="7"/>
  <c r="F1864" i="7"/>
  <c r="C1864" i="7"/>
  <c r="D1864" i="7" s="1"/>
  <c r="E1864" i="7" s="1"/>
  <c r="J1863" i="7"/>
  <c r="I1863" i="7"/>
  <c r="G1863" i="7"/>
  <c r="F1863" i="7"/>
  <c r="C1863" i="7"/>
  <c r="D1863" i="7" s="1"/>
  <c r="E1863" i="7" s="1"/>
  <c r="J1862" i="7"/>
  <c r="I1862" i="7"/>
  <c r="G1862" i="7"/>
  <c r="F1862" i="7"/>
  <c r="C1862" i="7"/>
  <c r="D1862" i="7" s="1"/>
  <c r="E1862" i="7" s="1"/>
  <c r="J1861" i="7"/>
  <c r="I1861" i="7"/>
  <c r="G1861" i="7"/>
  <c r="F1861" i="7"/>
  <c r="C1861" i="7"/>
  <c r="D1861" i="7" s="1"/>
  <c r="E1861" i="7" s="1"/>
  <c r="J1860" i="7"/>
  <c r="I1860" i="7"/>
  <c r="G1860" i="7"/>
  <c r="F1860" i="7"/>
  <c r="C1860" i="7"/>
  <c r="D1860" i="7" s="1"/>
  <c r="E1860" i="7" s="1"/>
  <c r="J1859" i="7"/>
  <c r="I1859" i="7"/>
  <c r="G1859" i="7"/>
  <c r="F1859" i="7"/>
  <c r="C1859" i="7"/>
  <c r="D1859" i="7" s="1"/>
  <c r="E1859" i="7" s="1"/>
  <c r="H1859" i="7" s="1"/>
  <c r="J1858" i="7"/>
  <c r="I1858" i="7"/>
  <c r="G1858" i="7"/>
  <c r="F1858" i="7"/>
  <c r="C1858" i="7"/>
  <c r="D1858" i="7" s="1"/>
  <c r="E1858" i="7" s="1"/>
  <c r="J1857" i="7"/>
  <c r="I1857" i="7"/>
  <c r="G1857" i="7"/>
  <c r="F1857" i="7"/>
  <c r="C1857" i="7"/>
  <c r="D1857" i="7" s="1"/>
  <c r="E1857" i="7" s="1"/>
  <c r="J1856" i="7"/>
  <c r="I1856" i="7"/>
  <c r="G1856" i="7"/>
  <c r="F1856" i="7"/>
  <c r="C1856" i="7"/>
  <c r="D1856" i="7" s="1"/>
  <c r="E1856" i="7" s="1"/>
  <c r="J1855" i="7"/>
  <c r="I1855" i="7"/>
  <c r="G1855" i="7"/>
  <c r="F1855" i="7"/>
  <c r="C1855" i="7"/>
  <c r="D1855" i="7" s="1"/>
  <c r="E1855" i="7" s="1"/>
  <c r="J1854" i="7"/>
  <c r="I1854" i="7"/>
  <c r="G1854" i="7"/>
  <c r="F1854" i="7"/>
  <c r="C1854" i="7"/>
  <c r="D1854" i="7" s="1"/>
  <c r="E1854" i="7" s="1"/>
  <c r="J1853" i="7"/>
  <c r="I1853" i="7"/>
  <c r="G1853" i="7"/>
  <c r="F1853" i="7"/>
  <c r="C1853" i="7"/>
  <c r="D1853" i="7" s="1"/>
  <c r="E1853" i="7" s="1"/>
  <c r="J1852" i="7"/>
  <c r="I1852" i="7"/>
  <c r="G1852" i="7"/>
  <c r="F1852" i="7"/>
  <c r="C1852" i="7"/>
  <c r="D1852" i="7" s="1"/>
  <c r="E1852" i="7" s="1"/>
  <c r="J1851" i="7"/>
  <c r="I1851" i="7"/>
  <c r="G1851" i="7"/>
  <c r="F1851" i="7"/>
  <c r="C1851" i="7"/>
  <c r="D1851" i="7" s="1"/>
  <c r="E1851" i="7" s="1"/>
  <c r="J1850" i="7"/>
  <c r="I1850" i="7"/>
  <c r="G1850" i="7"/>
  <c r="F1850" i="7"/>
  <c r="C1850" i="7"/>
  <c r="D1850" i="7" s="1"/>
  <c r="E1850" i="7" s="1"/>
  <c r="J1849" i="7"/>
  <c r="I1849" i="7"/>
  <c r="G1849" i="7"/>
  <c r="F1849" i="7"/>
  <c r="C1849" i="7"/>
  <c r="D1849" i="7" s="1"/>
  <c r="E1849" i="7" s="1"/>
  <c r="J1848" i="7"/>
  <c r="I1848" i="7"/>
  <c r="G1848" i="7"/>
  <c r="F1848" i="7"/>
  <c r="C1848" i="7"/>
  <c r="D1848" i="7" s="1"/>
  <c r="E1848" i="7" s="1"/>
  <c r="J1847" i="7"/>
  <c r="I1847" i="7"/>
  <c r="G1847" i="7"/>
  <c r="F1847" i="7"/>
  <c r="C1847" i="7"/>
  <c r="D1847" i="7" s="1"/>
  <c r="E1847" i="7" s="1"/>
  <c r="J1846" i="7"/>
  <c r="I1846" i="7"/>
  <c r="G1846" i="7"/>
  <c r="F1846" i="7"/>
  <c r="C1846" i="7"/>
  <c r="D1846" i="7" s="1"/>
  <c r="E1846" i="7" s="1"/>
  <c r="J1845" i="7"/>
  <c r="I1845" i="7"/>
  <c r="G1845" i="7"/>
  <c r="F1845" i="7"/>
  <c r="C1845" i="7"/>
  <c r="D1845" i="7" s="1"/>
  <c r="E1845" i="7" s="1"/>
  <c r="J1844" i="7"/>
  <c r="I1844" i="7"/>
  <c r="G1844" i="7"/>
  <c r="F1844" i="7"/>
  <c r="C1844" i="7"/>
  <c r="D1844" i="7" s="1"/>
  <c r="E1844" i="7" s="1"/>
  <c r="J1843" i="7"/>
  <c r="I1843" i="7"/>
  <c r="G1843" i="7"/>
  <c r="F1843" i="7"/>
  <c r="C1843" i="7"/>
  <c r="D1843" i="7" s="1"/>
  <c r="E1843" i="7" s="1"/>
  <c r="J1842" i="7"/>
  <c r="I1842" i="7"/>
  <c r="G1842" i="7"/>
  <c r="F1842" i="7"/>
  <c r="C1842" i="7"/>
  <c r="D1842" i="7" s="1"/>
  <c r="E1842" i="7" s="1"/>
  <c r="J1841" i="7"/>
  <c r="I1841" i="7"/>
  <c r="G1841" i="7"/>
  <c r="F1841" i="7"/>
  <c r="C1841" i="7"/>
  <c r="D1841" i="7" s="1"/>
  <c r="E1841" i="7" s="1"/>
  <c r="J1840" i="7"/>
  <c r="I1840" i="7"/>
  <c r="G1840" i="7"/>
  <c r="F1840" i="7"/>
  <c r="C1840" i="7"/>
  <c r="D1840" i="7" s="1"/>
  <c r="E1840" i="7" s="1"/>
  <c r="J1839" i="7"/>
  <c r="I1839" i="7"/>
  <c r="G1839" i="7"/>
  <c r="F1839" i="7"/>
  <c r="C1839" i="7"/>
  <c r="D1839" i="7" s="1"/>
  <c r="E1839" i="7" s="1"/>
  <c r="J1838" i="7"/>
  <c r="I1838" i="7"/>
  <c r="G1838" i="7"/>
  <c r="F1838" i="7"/>
  <c r="C1838" i="7"/>
  <c r="D1838" i="7" s="1"/>
  <c r="E1838" i="7" s="1"/>
  <c r="J1837" i="7"/>
  <c r="I1837" i="7"/>
  <c r="G1837" i="7"/>
  <c r="F1837" i="7"/>
  <c r="C1837" i="7"/>
  <c r="D1837" i="7" s="1"/>
  <c r="E1837" i="7" s="1"/>
  <c r="J1836" i="7"/>
  <c r="I1836" i="7"/>
  <c r="G1836" i="7"/>
  <c r="F1836" i="7"/>
  <c r="C1836" i="7"/>
  <c r="D1836" i="7" s="1"/>
  <c r="E1836" i="7" s="1"/>
  <c r="J1835" i="7"/>
  <c r="I1835" i="7"/>
  <c r="G1835" i="7"/>
  <c r="F1835" i="7"/>
  <c r="C1835" i="7"/>
  <c r="D1835" i="7" s="1"/>
  <c r="E1835" i="7" s="1"/>
  <c r="J1834" i="7"/>
  <c r="I1834" i="7"/>
  <c r="G1834" i="7"/>
  <c r="F1834" i="7"/>
  <c r="C1834" i="7"/>
  <c r="D1834" i="7" s="1"/>
  <c r="E1834" i="7" s="1"/>
  <c r="J1833" i="7"/>
  <c r="I1833" i="7"/>
  <c r="G1833" i="7"/>
  <c r="F1833" i="7"/>
  <c r="C1833" i="7"/>
  <c r="D1833" i="7" s="1"/>
  <c r="E1833" i="7" s="1"/>
  <c r="J1832" i="7"/>
  <c r="I1832" i="7"/>
  <c r="G1832" i="7"/>
  <c r="F1832" i="7"/>
  <c r="C1832" i="7"/>
  <c r="D1832" i="7" s="1"/>
  <c r="E1832" i="7" s="1"/>
  <c r="J1831" i="7"/>
  <c r="I1831" i="7"/>
  <c r="G1831" i="7"/>
  <c r="F1831" i="7"/>
  <c r="C1831" i="7"/>
  <c r="D1831" i="7" s="1"/>
  <c r="E1831" i="7" s="1"/>
  <c r="J1830" i="7"/>
  <c r="I1830" i="7"/>
  <c r="G1830" i="7"/>
  <c r="F1830" i="7"/>
  <c r="C1830" i="7"/>
  <c r="D1830" i="7" s="1"/>
  <c r="E1830" i="7" s="1"/>
  <c r="J1829" i="7"/>
  <c r="I1829" i="7"/>
  <c r="G1829" i="7"/>
  <c r="F1829" i="7"/>
  <c r="C1829" i="7"/>
  <c r="D1829" i="7" s="1"/>
  <c r="E1829" i="7" s="1"/>
  <c r="J1828" i="7"/>
  <c r="I1828" i="7"/>
  <c r="G1828" i="7"/>
  <c r="F1828" i="7"/>
  <c r="C1828" i="7"/>
  <c r="D1828" i="7" s="1"/>
  <c r="E1828" i="7" s="1"/>
  <c r="J1827" i="7"/>
  <c r="I1827" i="7"/>
  <c r="G1827" i="7"/>
  <c r="F1827" i="7"/>
  <c r="C1827" i="7"/>
  <c r="D1827" i="7" s="1"/>
  <c r="E1827" i="7" s="1"/>
  <c r="J1826" i="7"/>
  <c r="I1826" i="7"/>
  <c r="G1826" i="7"/>
  <c r="F1826" i="7"/>
  <c r="C1826" i="7"/>
  <c r="D1826" i="7" s="1"/>
  <c r="E1826" i="7" s="1"/>
  <c r="J1825" i="7"/>
  <c r="I1825" i="7"/>
  <c r="G1825" i="7"/>
  <c r="F1825" i="7"/>
  <c r="C1825" i="7"/>
  <c r="D1825" i="7" s="1"/>
  <c r="E1825" i="7" s="1"/>
  <c r="J1824" i="7"/>
  <c r="I1824" i="7"/>
  <c r="G1824" i="7"/>
  <c r="F1824" i="7"/>
  <c r="C1824" i="7"/>
  <c r="D1824" i="7" s="1"/>
  <c r="E1824" i="7" s="1"/>
  <c r="J1823" i="7"/>
  <c r="I1823" i="7"/>
  <c r="G1823" i="7"/>
  <c r="F1823" i="7"/>
  <c r="C1823" i="7"/>
  <c r="D1823" i="7" s="1"/>
  <c r="E1823" i="7" s="1"/>
  <c r="J1822" i="7"/>
  <c r="I1822" i="7"/>
  <c r="G1822" i="7"/>
  <c r="F1822" i="7"/>
  <c r="C1822" i="7"/>
  <c r="D1822" i="7" s="1"/>
  <c r="E1822" i="7" s="1"/>
  <c r="J1821" i="7"/>
  <c r="I1821" i="7"/>
  <c r="G1821" i="7"/>
  <c r="F1821" i="7"/>
  <c r="C1821" i="7"/>
  <c r="D1821" i="7" s="1"/>
  <c r="E1821" i="7" s="1"/>
  <c r="J1820" i="7"/>
  <c r="I1820" i="7"/>
  <c r="G1820" i="7"/>
  <c r="F1820" i="7"/>
  <c r="C1820" i="7"/>
  <c r="D1820" i="7" s="1"/>
  <c r="E1820" i="7" s="1"/>
  <c r="J1819" i="7"/>
  <c r="I1819" i="7"/>
  <c r="G1819" i="7"/>
  <c r="F1819" i="7"/>
  <c r="C1819" i="7"/>
  <c r="D1819" i="7" s="1"/>
  <c r="E1819" i="7" s="1"/>
  <c r="J1818" i="7"/>
  <c r="I1818" i="7"/>
  <c r="G1818" i="7"/>
  <c r="F1818" i="7"/>
  <c r="C1818" i="7"/>
  <c r="D1818" i="7" s="1"/>
  <c r="E1818" i="7" s="1"/>
  <c r="J1817" i="7"/>
  <c r="I1817" i="7"/>
  <c r="G1817" i="7"/>
  <c r="F1817" i="7"/>
  <c r="C1817" i="7"/>
  <c r="D1817" i="7" s="1"/>
  <c r="E1817" i="7" s="1"/>
  <c r="J1816" i="7"/>
  <c r="I1816" i="7"/>
  <c r="G1816" i="7"/>
  <c r="F1816" i="7"/>
  <c r="C1816" i="7"/>
  <c r="D1816" i="7" s="1"/>
  <c r="E1816" i="7" s="1"/>
  <c r="J1815" i="7"/>
  <c r="I1815" i="7"/>
  <c r="G1815" i="7"/>
  <c r="F1815" i="7"/>
  <c r="C1815" i="7"/>
  <c r="D1815" i="7" s="1"/>
  <c r="E1815" i="7" s="1"/>
  <c r="J1814" i="7"/>
  <c r="I1814" i="7"/>
  <c r="G1814" i="7"/>
  <c r="F1814" i="7"/>
  <c r="C1814" i="7"/>
  <c r="D1814" i="7" s="1"/>
  <c r="E1814" i="7" s="1"/>
  <c r="J1813" i="7"/>
  <c r="I1813" i="7"/>
  <c r="G1813" i="7"/>
  <c r="F1813" i="7"/>
  <c r="C1813" i="7"/>
  <c r="D1813" i="7" s="1"/>
  <c r="E1813" i="7" s="1"/>
  <c r="J1812" i="7"/>
  <c r="I1812" i="7"/>
  <c r="G1812" i="7"/>
  <c r="F1812" i="7"/>
  <c r="C1812" i="7"/>
  <c r="D1812" i="7" s="1"/>
  <c r="E1812" i="7" s="1"/>
  <c r="J1811" i="7"/>
  <c r="I1811" i="7"/>
  <c r="G1811" i="7"/>
  <c r="F1811" i="7"/>
  <c r="C1811" i="7"/>
  <c r="D1811" i="7" s="1"/>
  <c r="E1811" i="7" s="1"/>
  <c r="J1810" i="7"/>
  <c r="I1810" i="7"/>
  <c r="G1810" i="7"/>
  <c r="F1810" i="7"/>
  <c r="C1810" i="7"/>
  <c r="D1810" i="7" s="1"/>
  <c r="E1810" i="7" s="1"/>
  <c r="J1809" i="7"/>
  <c r="I1809" i="7"/>
  <c r="G1809" i="7"/>
  <c r="F1809" i="7"/>
  <c r="C1809" i="7"/>
  <c r="D1809" i="7" s="1"/>
  <c r="E1809" i="7" s="1"/>
  <c r="J1808" i="7"/>
  <c r="I1808" i="7"/>
  <c r="G1808" i="7"/>
  <c r="F1808" i="7"/>
  <c r="C1808" i="7"/>
  <c r="D1808" i="7" s="1"/>
  <c r="E1808" i="7" s="1"/>
  <c r="J1807" i="7"/>
  <c r="I1807" i="7"/>
  <c r="G1807" i="7"/>
  <c r="F1807" i="7"/>
  <c r="C1807" i="7"/>
  <c r="D1807" i="7" s="1"/>
  <c r="E1807" i="7" s="1"/>
  <c r="J1806" i="7"/>
  <c r="I1806" i="7"/>
  <c r="G1806" i="7"/>
  <c r="F1806" i="7"/>
  <c r="C1806" i="7"/>
  <c r="D1806" i="7" s="1"/>
  <c r="E1806" i="7" s="1"/>
  <c r="J1805" i="7"/>
  <c r="I1805" i="7"/>
  <c r="G1805" i="7"/>
  <c r="F1805" i="7"/>
  <c r="C1805" i="7"/>
  <c r="D1805" i="7" s="1"/>
  <c r="E1805" i="7" s="1"/>
  <c r="J1804" i="7"/>
  <c r="I1804" i="7"/>
  <c r="G1804" i="7"/>
  <c r="F1804" i="7"/>
  <c r="C1804" i="7"/>
  <c r="D1804" i="7" s="1"/>
  <c r="E1804" i="7" s="1"/>
  <c r="J1803" i="7"/>
  <c r="I1803" i="7"/>
  <c r="G1803" i="7"/>
  <c r="F1803" i="7"/>
  <c r="C1803" i="7"/>
  <c r="D1803" i="7" s="1"/>
  <c r="E1803" i="7" s="1"/>
  <c r="J1802" i="7"/>
  <c r="I1802" i="7"/>
  <c r="G1802" i="7"/>
  <c r="F1802" i="7"/>
  <c r="C1802" i="7"/>
  <c r="D1802" i="7" s="1"/>
  <c r="E1802" i="7" s="1"/>
  <c r="J1801" i="7"/>
  <c r="I1801" i="7"/>
  <c r="G1801" i="7"/>
  <c r="F1801" i="7"/>
  <c r="C1801" i="7"/>
  <c r="D1801" i="7" s="1"/>
  <c r="E1801" i="7" s="1"/>
  <c r="J1800" i="7"/>
  <c r="I1800" i="7"/>
  <c r="G1800" i="7"/>
  <c r="F1800" i="7"/>
  <c r="C1800" i="7"/>
  <c r="D1800" i="7" s="1"/>
  <c r="E1800" i="7" s="1"/>
  <c r="J1799" i="7"/>
  <c r="I1799" i="7"/>
  <c r="G1799" i="7"/>
  <c r="F1799" i="7"/>
  <c r="C1799" i="7"/>
  <c r="D1799" i="7" s="1"/>
  <c r="E1799" i="7" s="1"/>
  <c r="J1798" i="7"/>
  <c r="I1798" i="7"/>
  <c r="G1798" i="7"/>
  <c r="F1798" i="7"/>
  <c r="C1798" i="7"/>
  <c r="D1798" i="7" s="1"/>
  <c r="E1798" i="7" s="1"/>
  <c r="J1797" i="7"/>
  <c r="I1797" i="7"/>
  <c r="G1797" i="7"/>
  <c r="F1797" i="7"/>
  <c r="C1797" i="7"/>
  <c r="D1797" i="7" s="1"/>
  <c r="E1797" i="7" s="1"/>
  <c r="J1796" i="7"/>
  <c r="I1796" i="7"/>
  <c r="G1796" i="7"/>
  <c r="F1796" i="7"/>
  <c r="C1796" i="7"/>
  <c r="D1796" i="7" s="1"/>
  <c r="E1796" i="7" s="1"/>
  <c r="J1795" i="7"/>
  <c r="I1795" i="7"/>
  <c r="G1795" i="7"/>
  <c r="F1795" i="7"/>
  <c r="C1795" i="7"/>
  <c r="D1795" i="7" s="1"/>
  <c r="E1795" i="7" s="1"/>
  <c r="J1794" i="7"/>
  <c r="I1794" i="7"/>
  <c r="G1794" i="7"/>
  <c r="F1794" i="7"/>
  <c r="C1794" i="7"/>
  <c r="D1794" i="7" s="1"/>
  <c r="E1794" i="7" s="1"/>
  <c r="J1793" i="7"/>
  <c r="I1793" i="7"/>
  <c r="G1793" i="7"/>
  <c r="F1793" i="7"/>
  <c r="C1793" i="7"/>
  <c r="D1793" i="7" s="1"/>
  <c r="E1793" i="7" s="1"/>
  <c r="J1792" i="7"/>
  <c r="I1792" i="7"/>
  <c r="G1792" i="7"/>
  <c r="F1792" i="7"/>
  <c r="C1792" i="7"/>
  <c r="D1792" i="7" s="1"/>
  <c r="E1792" i="7" s="1"/>
  <c r="J1791" i="7"/>
  <c r="I1791" i="7"/>
  <c r="G1791" i="7"/>
  <c r="F1791" i="7"/>
  <c r="C1791" i="7"/>
  <c r="D1791" i="7" s="1"/>
  <c r="E1791" i="7" s="1"/>
  <c r="J1790" i="7"/>
  <c r="I1790" i="7"/>
  <c r="G1790" i="7"/>
  <c r="F1790" i="7"/>
  <c r="C1790" i="7"/>
  <c r="D1790" i="7" s="1"/>
  <c r="E1790" i="7" s="1"/>
  <c r="J1789" i="7"/>
  <c r="I1789" i="7"/>
  <c r="G1789" i="7"/>
  <c r="F1789" i="7"/>
  <c r="C1789" i="7"/>
  <c r="D1789" i="7" s="1"/>
  <c r="E1789" i="7" s="1"/>
  <c r="J1788" i="7"/>
  <c r="I1788" i="7"/>
  <c r="G1788" i="7"/>
  <c r="F1788" i="7"/>
  <c r="C1788" i="7"/>
  <c r="D1788" i="7" s="1"/>
  <c r="E1788" i="7" s="1"/>
  <c r="J1787" i="7"/>
  <c r="I1787" i="7"/>
  <c r="G1787" i="7"/>
  <c r="F1787" i="7"/>
  <c r="C1787" i="7"/>
  <c r="D1787" i="7" s="1"/>
  <c r="E1787" i="7" s="1"/>
  <c r="J1786" i="7"/>
  <c r="I1786" i="7"/>
  <c r="G1786" i="7"/>
  <c r="F1786" i="7"/>
  <c r="C1786" i="7"/>
  <c r="D1786" i="7" s="1"/>
  <c r="E1786" i="7" s="1"/>
  <c r="J1785" i="7"/>
  <c r="I1785" i="7"/>
  <c r="G1785" i="7"/>
  <c r="F1785" i="7"/>
  <c r="C1785" i="7"/>
  <c r="D1785" i="7" s="1"/>
  <c r="E1785" i="7" s="1"/>
  <c r="J1784" i="7"/>
  <c r="I1784" i="7"/>
  <c r="G1784" i="7"/>
  <c r="F1784" i="7"/>
  <c r="C1784" i="7"/>
  <c r="D1784" i="7" s="1"/>
  <c r="E1784" i="7" s="1"/>
  <c r="J1783" i="7"/>
  <c r="I1783" i="7"/>
  <c r="G1783" i="7"/>
  <c r="F1783" i="7"/>
  <c r="C1783" i="7"/>
  <c r="D1783" i="7" s="1"/>
  <c r="E1783" i="7" s="1"/>
  <c r="J1782" i="7"/>
  <c r="I1782" i="7"/>
  <c r="G1782" i="7"/>
  <c r="F1782" i="7"/>
  <c r="C1782" i="7"/>
  <c r="D1782" i="7" s="1"/>
  <c r="E1782" i="7" s="1"/>
  <c r="J1781" i="7"/>
  <c r="I1781" i="7"/>
  <c r="G1781" i="7"/>
  <c r="F1781" i="7"/>
  <c r="C1781" i="7"/>
  <c r="D1781" i="7" s="1"/>
  <c r="E1781" i="7" s="1"/>
  <c r="J1780" i="7"/>
  <c r="I1780" i="7"/>
  <c r="G1780" i="7"/>
  <c r="F1780" i="7"/>
  <c r="C1780" i="7"/>
  <c r="D1780" i="7" s="1"/>
  <c r="E1780" i="7" s="1"/>
  <c r="J1779" i="7"/>
  <c r="I1779" i="7"/>
  <c r="G1779" i="7"/>
  <c r="F1779" i="7"/>
  <c r="C1779" i="7"/>
  <c r="D1779" i="7" s="1"/>
  <c r="E1779" i="7" s="1"/>
  <c r="J1778" i="7"/>
  <c r="I1778" i="7"/>
  <c r="G1778" i="7"/>
  <c r="F1778" i="7"/>
  <c r="C1778" i="7"/>
  <c r="D1778" i="7" s="1"/>
  <c r="E1778" i="7" s="1"/>
  <c r="J1777" i="7"/>
  <c r="I1777" i="7"/>
  <c r="G1777" i="7"/>
  <c r="F1777" i="7"/>
  <c r="C1777" i="7"/>
  <c r="D1777" i="7" s="1"/>
  <c r="E1777" i="7" s="1"/>
  <c r="J1776" i="7"/>
  <c r="I1776" i="7"/>
  <c r="G1776" i="7"/>
  <c r="F1776" i="7"/>
  <c r="C1776" i="7"/>
  <c r="D1776" i="7" s="1"/>
  <c r="E1776" i="7" s="1"/>
  <c r="J1775" i="7"/>
  <c r="I1775" i="7"/>
  <c r="G1775" i="7"/>
  <c r="F1775" i="7"/>
  <c r="C1775" i="7"/>
  <c r="D1775" i="7" s="1"/>
  <c r="E1775" i="7" s="1"/>
  <c r="J1774" i="7"/>
  <c r="I1774" i="7"/>
  <c r="G1774" i="7"/>
  <c r="F1774" i="7"/>
  <c r="C1774" i="7"/>
  <c r="D1774" i="7" s="1"/>
  <c r="E1774" i="7" s="1"/>
  <c r="J1773" i="7"/>
  <c r="I1773" i="7"/>
  <c r="G1773" i="7"/>
  <c r="F1773" i="7"/>
  <c r="C1773" i="7"/>
  <c r="D1773" i="7" s="1"/>
  <c r="E1773" i="7" s="1"/>
  <c r="J1772" i="7"/>
  <c r="I1772" i="7"/>
  <c r="G1772" i="7"/>
  <c r="F1772" i="7"/>
  <c r="C1772" i="7"/>
  <c r="D1772" i="7" s="1"/>
  <c r="E1772" i="7" s="1"/>
  <c r="J1771" i="7"/>
  <c r="I1771" i="7"/>
  <c r="G1771" i="7"/>
  <c r="F1771" i="7"/>
  <c r="C1771" i="7"/>
  <c r="D1771" i="7" s="1"/>
  <c r="E1771" i="7" s="1"/>
  <c r="J1770" i="7"/>
  <c r="I1770" i="7"/>
  <c r="G1770" i="7"/>
  <c r="F1770" i="7"/>
  <c r="C1770" i="7"/>
  <c r="D1770" i="7" s="1"/>
  <c r="E1770" i="7" s="1"/>
  <c r="J1769" i="7"/>
  <c r="I1769" i="7"/>
  <c r="G1769" i="7"/>
  <c r="F1769" i="7"/>
  <c r="C1769" i="7"/>
  <c r="D1769" i="7" s="1"/>
  <c r="E1769" i="7" s="1"/>
  <c r="J1768" i="7"/>
  <c r="I1768" i="7"/>
  <c r="G1768" i="7"/>
  <c r="F1768" i="7"/>
  <c r="C1768" i="7"/>
  <c r="D1768" i="7" s="1"/>
  <c r="E1768" i="7" s="1"/>
  <c r="J1767" i="7"/>
  <c r="I1767" i="7"/>
  <c r="G1767" i="7"/>
  <c r="F1767" i="7"/>
  <c r="C1767" i="7"/>
  <c r="D1767" i="7" s="1"/>
  <c r="E1767" i="7" s="1"/>
  <c r="J1766" i="7"/>
  <c r="I1766" i="7"/>
  <c r="G1766" i="7"/>
  <c r="F1766" i="7"/>
  <c r="C1766" i="7"/>
  <c r="D1766" i="7" s="1"/>
  <c r="E1766" i="7" s="1"/>
  <c r="J1765" i="7"/>
  <c r="I1765" i="7"/>
  <c r="G1765" i="7"/>
  <c r="F1765" i="7"/>
  <c r="C1765" i="7"/>
  <c r="D1765" i="7" s="1"/>
  <c r="E1765" i="7" s="1"/>
  <c r="J1764" i="7"/>
  <c r="I1764" i="7"/>
  <c r="G1764" i="7"/>
  <c r="F1764" i="7"/>
  <c r="C1764" i="7"/>
  <c r="D1764" i="7" s="1"/>
  <c r="E1764" i="7" s="1"/>
  <c r="J1763" i="7"/>
  <c r="I1763" i="7"/>
  <c r="G1763" i="7"/>
  <c r="F1763" i="7"/>
  <c r="C1763" i="7"/>
  <c r="D1763" i="7" s="1"/>
  <c r="E1763" i="7" s="1"/>
  <c r="J1762" i="7"/>
  <c r="I1762" i="7"/>
  <c r="G1762" i="7"/>
  <c r="F1762" i="7"/>
  <c r="C1762" i="7"/>
  <c r="D1762" i="7" s="1"/>
  <c r="E1762" i="7" s="1"/>
  <c r="J1761" i="7"/>
  <c r="I1761" i="7"/>
  <c r="G1761" i="7"/>
  <c r="F1761" i="7"/>
  <c r="C1761" i="7"/>
  <c r="D1761" i="7" s="1"/>
  <c r="E1761" i="7" s="1"/>
  <c r="J1760" i="7"/>
  <c r="I1760" i="7"/>
  <c r="G1760" i="7"/>
  <c r="F1760" i="7"/>
  <c r="C1760" i="7"/>
  <c r="D1760" i="7" s="1"/>
  <c r="E1760" i="7" s="1"/>
  <c r="J1759" i="7"/>
  <c r="I1759" i="7"/>
  <c r="G1759" i="7"/>
  <c r="F1759" i="7"/>
  <c r="C1759" i="7"/>
  <c r="D1759" i="7" s="1"/>
  <c r="E1759" i="7" s="1"/>
  <c r="J1758" i="7"/>
  <c r="I1758" i="7"/>
  <c r="G1758" i="7"/>
  <c r="F1758" i="7"/>
  <c r="C1758" i="7"/>
  <c r="D1758" i="7" s="1"/>
  <c r="E1758" i="7" s="1"/>
  <c r="J1757" i="7"/>
  <c r="I1757" i="7"/>
  <c r="G1757" i="7"/>
  <c r="F1757" i="7"/>
  <c r="C1757" i="7"/>
  <c r="D1757" i="7" s="1"/>
  <c r="E1757" i="7" s="1"/>
  <c r="J1756" i="7"/>
  <c r="I1756" i="7"/>
  <c r="G1756" i="7"/>
  <c r="F1756" i="7"/>
  <c r="C1756" i="7"/>
  <c r="D1756" i="7" s="1"/>
  <c r="E1756" i="7" s="1"/>
  <c r="J1755" i="7"/>
  <c r="I1755" i="7"/>
  <c r="G1755" i="7"/>
  <c r="F1755" i="7"/>
  <c r="C1755" i="7"/>
  <c r="D1755" i="7" s="1"/>
  <c r="E1755" i="7" s="1"/>
  <c r="J1754" i="7"/>
  <c r="I1754" i="7"/>
  <c r="G1754" i="7"/>
  <c r="F1754" i="7"/>
  <c r="C1754" i="7"/>
  <c r="D1754" i="7" s="1"/>
  <c r="E1754" i="7" s="1"/>
  <c r="J1753" i="7"/>
  <c r="I1753" i="7"/>
  <c r="G1753" i="7"/>
  <c r="F1753" i="7"/>
  <c r="C1753" i="7"/>
  <c r="D1753" i="7" s="1"/>
  <c r="E1753" i="7" s="1"/>
  <c r="J1752" i="7"/>
  <c r="I1752" i="7"/>
  <c r="G1752" i="7"/>
  <c r="F1752" i="7"/>
  <c r="C1752" i="7"/>
  <c r="D1752" i="7" s="1"/>
  <c r="E1752" i="7" s="1"/>
  <c r="J1751" i="7"/>
  <c r="I1751" i="7"/>
  <c r="G1751" i="7"/>
  <c r="F1751" i="7"/>
  <c r="C1751" i="7"/>
  <c r="D1751" i="7" s="1"/>
  <c r="E1751" i="7" s="1"/>
  <c r="J1750" i="7"/>
  <c r="I1750" i="7"/>
  <c r="G1750" i="7"/>
  <c r="F1750" i="7"/>
  <c r="C1750" i="7"/>
  <c r="D1750" i="7" s="1"/>
  <c r="E1750" i="7" s="1"/>
  <c r="J1749" i="7"/>
  <c r="I1749" i="7"/>
  <c r="G1749" i="7"/>
  <c r="F1749" i="7"/>
  <c r="C1749" i="7"/>
  <c r="D1749" i="7" s="1"/>
  <c r="E1749" i="7" s="1"/>
  <c r="J1748" i="7"/>
  <c r="I1748" i="7"/>
  <c r="G1748" i="7"/>
  <c r="F1748" i="7"/>
  <c r="C1748" i="7"/>
  <c r="D1748" i="7" s="1"/>
  <c r="E1748" i="7" s="1"/>
  <c r="J1747" i="7"/>
  <c r="I1747" i="7"/>
  <c r="G1747" i="7"/>
  <c r="F1747" i="7"/>
  <c r="C1747" i="7"/>
  <c r="D1747" i="7" s="1"/>
  <c r="E1747" i="7" s="1"/>
  <c r="J1746" i="7"/>
  <c r="I1746" i="7"/>
  <c r="G1746" i="7"/>
  <c r="F1746" i="7"/>
  <c r="C1746" i="7"/>
  <c r="D1746" i="7" s="1"/>
  <c r="E1746" i="7" s="1"/>
  <c r="J1745" i="7"/>
  <c r="I1745" i="7"/>
  <c r="G1745" i="7"/>
  <c r="F1745" i="7"/>
  <c r="C1745" i="7"/>
  <c r="D1745" i="7" s="1"/>
  <c r="E1745" i="7" s="1"/>
  <c r="J1744" i="7"/>
  <c r="I1744" i="7"/>
  <c r="G1744" i="7"/>
  <c r="F1744" i="7"/>
  <c r="C1744" i="7"/>
  <c r="D1744" i="7" s="1"/>
  <c r="E1744" i="7" s="1"/>
  <c r="J1743" i="7"/>
  <c r="I1743" i="7"/>
  <c r="G1743" i="7"/>
  <c r="F1743" i="7"/>
  <c r="C1743" i="7"/>
  <c r="D1743" i="7" s="1"/>
  <c r="E1743" i="7" s="1"/>
  <c r="J1742" i="7"/>
  <c r="I1742" i="7"/>
  <c r="G1742" i="7"/>
  <c r="F1742" i="7"/>
  <c r="C1742" i="7"/>
  <c r="D1742" i="7" s="1"/>
  <c r="E1742" i="7" s="1"/>
  <c r="J1741" i="7"/>
  <c r="I1741" i="7"/>
  <c r="G1741" i="7"/>
  <c r="F1741" i="7"/>
  <c r="C1741" i="7"/>
  <c r="D1741" i="7" s="1"/>
  <c r="E1741" i="7" s="1"/>
  <c r="J1740" i="7"/>
  <c r="I1740" i="7"/>
  <c r="G1740" i="7"/>
  <c r="F1740" i="7"/>
  <c r="C1740" i="7"/>
  <c r="D1740" i="7" s="1"/>
  <c r="E1740" i="7" s="1"/>
  <c r="J1739" i="7"/>
  <c r="I1739" i="7"/>
  <c r="G1739" i="7"/>
  <c r="F1739" i="7"/>
  <c r="C1739" i="7"/>
  <c r="D1739" i="7" s="1"/>
  <c r="E1739" i="7" s="1"/>
  <c r="J1738" i="7"/>
  <c r="I1738" i="7"/>
  <c r="G1738" i="7"/>
  <c r="F1738" i="7"/>
  <c r="C1738" i="7"/>
  <c r="D1738" i="7" s="1"/>
  <c r="E1738" i="7" s="1"/>
  <c r="J1737" i="7"/>
  <c r="I1737" i="7"/>
  <c r="G1737" i="7"/>
  <c r="F1737" i="7"/>
  <c r="C1737" i="7"/>
  <c r="D1737" i="7" s="1"/>
  <c r="E1737" i="7" s="1"/>
  <c r="J1736" i="7"/>
  <c r="I1736" i="7"/>
  <c r="G1736" i="7"/>
  <c r="F1736" i="7"/>
  <c r="C1736" i="7"/>
  <c r="D1736" i="7" s="1"/>
  <c r="E1736" i="7" s="1"/>
  <c r="J1735" i="7"/>
  <c r="I1735" i="7"/>
  <c r="G1735" i="7"/>
  <c r="F1735" i="7"/>
  <c r="C1735" i="7"/>
  <c r="D1735" i="7" s="1"/>
  <c r="E1735" i="7" s="1"/>
  <c r="J1734" i="7"/>
  <c r="I1734" i="7"/>
  <c r="G1734" i="7"/>
  <c r="F1734" i="7"/>
  <c r="C1734" i="7"/>
  <c r="D1734" i="7" s="1"/>
  <c r="E1734" i="7" s="1"/>
  <c r="J1733" i="7"/>
  <c r="I1733" i="7"/>
  <c r="G1733" i="7"/>
  <c r="F1733" i="7"/>
  <c r="C1733" i="7"/>
  <c r="D1733" i="7" s="1"/>
  <c r="E1733" i="7" s="1"/>
  <c r="J1732" i="7"/>
  <c r="I1732" i="7"/>
  <c r="G1732" i="7"/>
  <c r="F1732" i="7"/>
  <c r="C1732" i="7"/>
  <c r="D1732" i="7" s="1"/>
  <c r="E1732" i="7" s="1"/>
  <c r="J1731" i="7"/>
  <c r="I1731" i="7"/>
  <c r="G1731" i="7"/>
  <c r="F1731" i="7"/>
  <c r="C1731" i="7"/>
  <c r="D1731" i="7" s="1"/>
  <c r="E1731" i="7" s="1"/>
  <c r="J1730" i="7"/>
  <c r="I1730" i="7"/>
  <c r="G1730" i="7"/>
  <c r="F1730" i="7"/>
  <c r="C1730" i="7"/>
  <c r="D1730" i="7" s="1"/>
  <c r="E1730" i="7" s="1"/>
  <c r="J1729" i="7"/>
  <c r="I1729" i="7"/>
  <c r="G1729" i="7"/>
  <c r="F1729" i="7"/>
  <c r="C1729" i="7"/>
  <c r="D1729" i="7" s="1"/>
  <c r="E1729" i="7" s="1"/>
  <c r="J1728" i="7"/>
  <c r="I1728" i="7"/>
  <c r="G1728" i="7"/>
  <c r="F1728" i="7"/>
  <c r="C1728" i="7"/>
  <c r="D1728" i="7" s="1"/>
  <c r="E1728" i="7" s="1"/>
  <c r="J1727" i="7"/>
  <c r="I1727" i="7"/>
  <c r="G1727" i="7"/>
  <c r="F1727" i="7"/>
  <c r="C1727" i="7"/>
  <c r="D1727" i="7" s="1"/>
  <c r="E1727" i="7" s="1"/>
  <c r="J1726" i="7"/>
  <c r="I1726" i="7"/>
  <c r="G1726" i="7"/>
  <c r="F1726" i="7"/>
  <c r="C1726" i="7"/>
  <c r="D1726" i="7" s="1"/>
  <c r="E1726" i="7" s="1"/>
  <c r="J1725" i="7"/>
  <c r="I1725" i="7"/>
  <c r="G1725" i="7"/>
  <c r="F1725" i="7"/>
  <c r="C1725" i="7"/>
  <c r="D1725" i="7" s="1"/>
  <c r="E1725" i="7" s="1"/>
  <c r="J1724" i="7"/>
  <c r="I1724" i="7"/>
  <c r="G1724" i="7"/>
  <c r="F1724" i="7"/>
  <c r="C1724" i="7"/>
  <c r="D1724" i="7" s="1"/>
  <c r="E1724" i="7" s="1"/>
  <c r="J1723" i="7"/>
  <c r="I1723" i="7"/>
  <c r="G1723" i="7"/>
  <c r="F1723" i="7"/>
  <c r="C1723" i="7"/>
  <c r="D1723" i="7" s="1"/>
  <c r="E1723" i="7" s="1"/>
  <c r="J1722" i="7"/>
  <c r="I1722" i="7"/>
  <c r="G1722" i="7"/>
  <c r="F1722" i="7"/>
  <c r="C1722" i="7"/>
  <c r="D1722" i="7" s="1"/>
  <c r="E1722" i="7" s="1"/>
  <c r="J1721" i="7"/>
  <c r="I1721" i="7"/>
  <c r="G1721" i="7"/>
  <c r="F1721" i="7"/>
  <c r="C1721" i="7"/>
  <c r="D1721" i="7" s="1"/>
  <c r="E1721" i="7" s="1"/>
  <c r="J1720" i="7"/>
  <c r="I1720" i="7"/>
  <c r="G1720" i="7"/>
  <c r="F1720" i="7"/>
  <c r="C1720" i="7"/>
  <c r="D1720" i="7" s="1"/>
  <c r="E1720" i="7" s="1"/>
  <c r="J1719" i="7"/>
  <c r="I1719" i="7"/>
  <c r="G1719" i="7"/>
  <c r="F1719" i="7"/>
  <c r="C1719" i="7"/>
  <c r="D1719" i="7" s="1"/>
  <c r="E1719" i="7" s="1"/>
  <c r="J1718" i="7"/>
  <c r="I1718" i="7"/>
  <c r="G1718" i="7"/>
  <c r="F1718" i="7"/>
  <c r="C1718" i="7"/>
  <c r="D1718" i="7" s="1"/>
  <c r="E1718" i="7" s="1"/>
  <c r="J1717" i="7"/>
  <c r="I1717" i="7"/>
  <c r="G1717" i="7"/>
  <c r="F1717" i="7"/>
  <c r="C1717" i="7"/>
  <c r="D1717" i="7" s="1"/>
  <c r="E1717" i="7" s="1"/>
  <c r="J1716" i="7"/>
  <c r="I1716" i="7"/>
  <c r="G1716" i="7"/>
  <c r="F1716" i="7"/>
  <c r="C1716" i="7"/>
  <c r="D1716" i="7" s="1"/>
  <c r="E1716" i="7" s="1"/>
  <c r="J1715" i="7"/>
  <c r="I1715" i="7"/>
  <c r="G1715" i="7"/>
  <c r="F1715" i="7"/>
  <c r="C1715" i="7"/>
  <c r="D1715" i="7" s="1"/>
  <c r="E1715" i="7" s="1"/>
  <c r="J1714" i="7"/>
  <c r="I1714" i="7"/>
  <c r="G1714" i="7"/>
  <c r="F1714" i="7"/>
  <c r="C1714" i="7"/>
  <c r="D1714" i="7" s="1"/>
  <c r="E1714" i="7" s="1"/>
  <c r="J1713" i="7"/>
  <c r="I1713" i="7"/>
  <c r="G1713" i="7"/>
  <c r="F1713" i="7"/>
  <c r="C1713" i="7"/>
  <c r="D1713" i="7" s="1"/>
  <c r="E1713" i="7" s="1"/>
  <c r="J1712" i="7"/>
  <c r="I1712" i="7"/>
  <c r="G1712" i="7"/>
  <c r="F1712" i="7"/>
  <c r="C1712" i="7"/>
  <c r="D1712" i="7" s="1"/>
  <c r="E1712" i="7" s="1"/>
  <c r="J1711" i="7"/>
  <c r="I1711" i="7"/>
  <c r="G1711" i="7"/>
  <c r="F1711" i="7"/>
  <c r="C1711" i="7"/>
  <c r="D1711" i="7" s="1"/>
  <c r="E1711" i="7" s="1"/>
  <c r="J1710" i="7"/>
  <c r="I1710" i="7"/>
  <c r="G1710" i="7"/>
  <c r="F1710" i="7"/>
  <c r="C1710" i="7"/>
  <c r="D1710" i="7" s="1"/>
  <c r="E1710" i="7" s="1"/>
  <c r="J1709" i="7"/>
  <c r="I1709" i="7"/>
  <c r="G1709" i="7"/>
  <c r="F1709" i="7"/>
  <c r="C1709" i="7"/>
  <c r="D1709" i="7" s="1"/>
  <c r="E1709" i="7" s="1"/>
  <c r="J1708" i="7"/>
  <c r="I1708" i="7"/>
  <c r="G1708" i="7"/>
  <c r="F1708" i="7"/>
  <c r="C1708" i="7"/>
  <c r="D1708" i="7" s="1"/>
  <c r="E1708" i="7" s="1"/>
  <c r="J1707" i="7"/>
  <c r="I1707" i="7"/>
  <c r="G1707" i="7"/>
  <c r="F1707" i="7"/>
  <c r="C1707" i="7"/>
  <c r="D1707" i="7" s="1"/>
  <c r="E1707" i="7" s="1"/>
  <c r="J1706" i="7"/>
  <c r="I1706" i="7"/>
  <c r="G1706" i="7"/>
  <c r="F1706" i="7"/>
  <c r="C1706" i="7"/>
  <c r="D1706" i="7" s="1"/>
  <c r="E1706" i="7" s="1"/>
  <c r="J1705" i="7"/>
  <c r="I1705" i="7"/>
  <c r="G1705" i="7"/>
  <c r="F1705" i="7"/>
  <c r="C1705" i="7"/>
  <c r="D1705" i="7" s="1"/>
  <c r="E1705" i="7" s="1"/>
  <c r="J1704" i="7"/>
  <c r="I1704" i="7"/>
  <c r="G1704" i="7"/>
  <c r="F1704" i="7"/>
  <c r="C1704" i="7"/>
  <c r="D1704" i="7" s="1"/>
  <c r="E1704" i="7" s="1"/>
  <c r="J1703" i="7"/>
  <c r="I1703" i="7"/>
  <c r="G1703" i="7"/>
  <c r="F1703" i="7"/>
  <c r="C1703" i="7"/>
  <c r="D1703" i="7" s="1"/>
  <c r="E1703" i="7" s="1"/>
  <c r="J1702" i="7"/>
  <c r="I1702" i="7"/>
  <c r="G1702" i="7"/>
  <c r="F1702" i="7"/>
  <c r="C1702" i="7"/>
  <c r="D1702" i="7" s="1"/>
  <c r="E1702" i="7" s="1"/>
  <c r="J1701" i="7"/>
  <c r="I1701" i="7"/>
  <c r="G1701" i="7"/>
  <c r="F1701" i="7"/>
  <c r="C1701" i="7"/>
  <c r="D1701" i="7" s="1"/>
  <c r="E1701" i="7" s="1"/>
  <c r="J1700" i="7"/>
  <c r="I1700" i="7"/>
  <c r="G1700" i="7"/>
  <c r="F1700" i="7"/>
  <c r="C1700" i="7"/>
  <c r="D1700" i="7" s="1"/>
  <c r="E1700" i="7" s="1"/>
  <c r="J1699" i="7"/>
  <c r="I1699" i="7"/>
  <c r="G1699" i="7"/>
  <c r="F1699" i="7"/>
  <c r="C1699" i="7"/>
  <c r="D1699" i="7" s="1"/>
  <c r="E1699" i="7" s="1"/>
  <c r="J1698" i="7"/>
  <c r="I1698" i="7"/>
  <c r="G1698" i="7"/>
  <c r="F1698" i="7"/>
  <c r="C1698" i="7"/>
  <c r="D1698" i="7" s="1"/>
  <c r="E1698" i="7" s="1"/>
  <c r="J1697" i="7"/>
  <c r="I1697" i="7"/>
  <c r="G1697" i="7"/>
  <c r="F1697" i="7"/>
  <c r="C1697" i="7"/>
  <c r="D1697" i="7" s="1"/>
  <c r="E1697" i="7" s="1"/>
  <c r="J1696" i="7"/>
  <c r="I1696" i="7"/>
  <c r="G1696" i="7"/>
  <c r="F1696" i="7"/>
  <c r="C1696" i="7"/>
  <c r="D1696" i="7" s="1"/>
  <c r="E1696" i="7" s="1"/>
  <c r="J1695" i="7"/>
  <c r="I1695" i="7"/>
  <c r="G1695" i="7"/>
  <c r="F1695" i="7"/>
  <c r="C1695" i="7"/>
  <c r="D1695" i="7" s="1"/>
  <c r="E1695" i="7" s="1"/>
  <c r="J1694" i="7"/>
  <c r="I1694" i="7"/>
  <c r="G1694" i="7"/>
  <c r="F1694" i="7"/>
  <c r="C1694" i="7"/>
  <c r="D1694" i="7" s="1"/>
  <c r="E1694" i="7" s="1"/>
  <c r="J1693" i="7"/>
  <c r="I1693" i="7"/>
  <c r="G1693" i="7"/>
  <c r="F1693" i="7"/>
  <c r="C1693" i="7"/>
  <c r="D1693" i="7" s="1"/>
  <c r="E1693" i="7" s="1"/>
  <c r="J1692" i="7"/>
  <c r="I1692" i="7"/>
  <c r="G1692" i="7"/>
  <c r="F1692" i="7"/>
  <c r="C1692" i="7"/>
  <c r="D1692" i="7" s="1"/>
  <c r="E1692" i="7" s="1"/>
  <c r="J1691" i="7"/>
  <c r="I1691" i="7"/>
  <c r="G1691" i="7"/>
  <c r="F1691" i="7"/>
  <c r="C1691" i="7"/>
  <c r="D1691" i="7" s="1"/>
  <c r="E1691" i="7" s="1"/>
  <c r="J1690" i="7"/>
  <c r="I1690" i="7"/>
  <c r="G1690" i="7"/>
  <c r="F1690" i="7"/>
  <c r="C1690" i="7"/>
  <c r="D1690" i="7" s="1"/>
  <c r="E1690" i="7" s="1"/>
  <c r="J1689" i="7"/>
  <c r="I1689" i="7"/>
  <c r="G1689" i="7"/>
  <c r="F1689" i="7"/>
  <c r="C1689" i="7"/>
  <c r="D1689" i="7" s="1"/>
  <c r="E1689" i="7" s="1"/>
  <c r="J1688" i="7"/>
  <c r="I1688" i="7"/>
  <c r="G1688" i="7"/>
  <c r="F1688" i="7"/>
  <c r="C1688" i="7"/>
  <c r="D1688" i="7" s="1"/>
  <c r="E1688" i="7" s="1"/>
  <c r="J1687" i="7"/>
  <c r="I1687" i="7"/>
  <c r="G1687" i="7"/>
  <c r="F1687" i="7"/>
  <c r="C1687" i="7"/>
  <c r="D1687" i="7" s="1"/>
  <c r="E1687" i="7" s="1"/>
  <c r="J1686" i="7"/>
  <c r="I1686" i="7"/>
  <c r="G1686" i="7"/>
  <c r="F1686" i="7"/>
  <c r="C1686" i="7"/>
  <c r="D1686" i="7" s="1"/>
  <c r="E1686" i="7" s="1"/>
  <c r="J1685" i="7"/>
  <c r="I1685" i="7"/>
  <c r="G1685" i="7"/>
  <c r="F1685" i="7"/>
  <c r="C1685" i="7"/>
  <c r="D1685" i="7" s="1"/>
  <c r="E1685" i="7" s="1"/>
  <c r="J1684" i="7"/>
  <c r="I1684" i="7"/>
  <c r="G1684" i="7"/>
  <c r="F1684" i="7"/>
  <c r="C1684" i="7"/>
  <c r="D1684" i="7" s="1"/>
  <c r="E1684" i="7" s="1"/>
  <c r="J1683" i="7"/>
  <c r="I1683" i="7"/>
  <c r="G1683" i="7"/>
  <c r="F1683" i="7"/>
  <c r="C1683" i="7"/>
  <c r="D1683" i="7" s="1"/>
  <c r="E1683" i="7" s="1"/>
  <c r="J1682" i="7"/>
  <c r="I1682" i="7"/>
  <c r="G1682" i="7"/>
  <c r="F1682" i="7"/>
  <c r="C1682" i="7"/>
  <c r="D1682" i="7" s="1"/>
  <c r="E1682" i="7" s="1"/>
  <c r="J1681" i="7"/>
  <c r="I1681" i="7"/>
  <c r="G1681" i="7"/>
  <c r="F1681" i="7"/>
  <c r="C1681" i="7"/>
  <c r="D1681" i="7" s="1"/>
  <c r="E1681" i="7" s="1"/>
  <c r="J1680" i="7"/>
  <c r="I1680" i="7"/>
  <c r="G1680" i="7"/>
  <c r="F1680" i="7"/>
  <c r="C1680" i="7"/>
  <c r="D1680" i="7" s="1"/>
  <c r="E1680" i="7" s="1"/>
  <c r="J1679" i="7"/>
  <c r="I1679" i="7"/>
  <c r="G1679" i="7"/>
  <c r="F1679" i="7"/>
  <c r="C1679" i="7"/>
  <c r="D1679" i="7" s="1"/>
  <c r="E1679" i="7" s="1"/>
  <c r="J1678" i="7"/>
  <c r="I1678" i="7"/>
  <c r="G1678" i="7"/>
  <c r="F1678" i="7"/>
  <c r="C1678" i="7"/>
  <c r="D1678" i="7" s="1"/>
  <c r="E1678" i="7" s="1"/>
  <c r="J1677" i="7"/>
  <c r="I1677" i="7"/>
  <c r="G1677" i="7"/>
  <c r="F1677" i="7"/>
  <c r="C1677" i="7"/>
  <c r="D1677" i="7" s="1"/>
  <c r="E1677" i="7" s="1"/>
  <c r="J1676" i="7"/>
  <c r="I1676" i="7"/>
  <c r="G1676" i="7"/>
  <c r="F1676" i="7"/>
  <c r="C1676" i="7"/>
  <c r="D1676" i="7" s="1"/>
  <c r="E1676" i="7" s="1"/>
  <c r="J1675" i="7"/>
  <c r="I1675" i="7"/>
  <c r="G1675" i="7"/>
  <c r="F1675" i="7"/>
  <c r="C1675" i="7"/>
  <c r="D1675" i="7" s="1"/>
  <c r="E1675" i="7" s="1"/>
  <c r="J1674" i="7"/>
  <c r="I1674" i="7"/>
  <c r="G1674" i="7"/>
  <c r="F1674" i="7"/>
  <c r="C1674" i="7"/>
  <c r="D1674" i="7" s="1"/>
  <c r="E1674" i="7" s="1"/>
  <c r="J1673" i="7"/>
  <c r="I1673" i="7"/>
  <c r="G1673" i="7"/>
  <c r="F1673" i="7"/>
  <c r="C1673" i="7"/>
  <c r="D1673" i="7" s="1"/>
  <c r="E1673" i="7" s="1"/>
  <c r="J1672" i="7"/>
  <c r="I1672" i="7"/>
  <c r="G1672" i="7"/>
  <c r="F1672" i="7"/>
  <c r="C1672" i="7"/>
  <c r="D1672" i="7" s="1"/>
  <c r="E1672" i="7" s="1"/>
  <c r="J1671" i="7"/>
  <c r="I1671" i="7"/>
  <c r="G1671" i="7"/>
  <c r="F1671" i="7"/>
  <c r="C1671" i="7"/>
  <c r="D1671" i="7" s="1"/>
  <c r="E1671" i="7" s="1"/>
  <c r="J1670" i="7"/>
  <c r="I1670" i="7"/>
  <c r="G1670" i="7"/>
  <c r="F1670" i="7"/>
  <c r="C1670" i="7"/>
  <c r="D1670" i="7" s="1"/>
  <c r="E1670" i="7" s="1"/>
  <c r="J1669" i="7"/>
  <c r="I1669" i="7"/>
  <c r="G1669" i="7"/>
  <c r="F1669" i="7"/>
  <c r="C1669" i="7"/>
  <c r="D1669" i="7" s="1"/>
  <c r="E1669" i="7" s="1"/>
  <c r="J1668" i="7"/>
  <c r="I1668" i="7"/>
  <c r="G1668" i="7"/>
  <c r="F1668" i="7"/>
  <c r="C1668" i="7"/>
  <c r="D1668" i="7" s="1"/>
  <c r="E1668" i="7" s="1"/>
  <c r="J1667" i="7"/>
  <c r="I1667" i="7"/>
  <c r="G1667" i="7"/>
  <c r="F1667" i="7"/>
  <c r="C1667" i="7"/>
  <c r="D1667" i="7" s="1"/>
  <c r="E1667" i="7" s="1"/>
  <c r="J1666" i="7"/>
  <c r="I1666" i="7"/>
  <c r="G1666" i="7"/>
  <c r="F1666" i="7"/>
  <c r="C1666" i="7"/>
  <c r="D1666" i="7" s="1"/>
  <c r="E1666" i="7" s="1"/>
  <c r="J1665" i="7"/>
  <c r="I1665" i="7"/>
  <c r="G1665" i="7"/>
  <c r="F1665" i="7"/>
  <c r="C1665" i="7"/>
  <c r="D1665" i="7" s="1"/>
  <c r="E1665" i="7" s="1"/>
  <c r="J1664" i="7"/>
  <c r="I1664" i="7"/>
  <c r="G1664" i="7"/>
  <c r="F1664" i="7"/>
  <c r="C1664" i="7"/>
  <c r="D1664" i="7" s="1"/>
  <c r="E1664" i="7" s="1"/>
  <c r="J1663" i="7"/>
  <c r="I1663" i="7"/>
  <c r="G1663" i="7"/>
  <c r="F1663" i="7"/>
  <c r="C1663" i="7"/>
  <c r="D1663" i="7" s="1"/>
  <c r="E1663" i="7" s="1"/>
  <c r="J1662" i="7"/>
  <c r="I1662" i="7"/>
  <c r="G1662" i="7"/>
  <c r="F1662" i="7"/>
  <c r="C1662" i="7"/>
  <c r="D1662" i="7" s="1"/>
  <c r="E1662" i="7" s="1"/>
  <c r="J1661" i="7"/>
  <c r="I1661" i="7"/>
  <c r="G1661" i="7"/>
  <c r="F1661" i="7"/>
  <c r="C1661" i="7"/>
  <c r="D1661" i="7" s="1"/>
  <c r="E1661" i="7" s="1"/>
  <c r="J1660" i="7"/>
  <c r="I1660" i="7"/>
  <c r="G1660" i="7"/>
  <c r="F1660" i="7"/>
  <c r="C1660" i="7"/>
  <c r="D1660" i="7" s="1"/>
  <c r="E1660" i="7" s="1"/>
  <c r="J1659" i="7"/>
  <c r="I1659" i="7"/>
  <c r="G1659" i="7"/>
  <c r="F1659" i="7"/>
  <c r="C1659" i="7"/>
  <c r="D1659" i="7" s="1"/>
  <c r="E1659" i="7" s="1"/>
  <c r="J1658" i="7"/>
  <c r="I1658" i="7"/>
  <c r="G1658" i="7"/>
  <c r="F1658" i="7"/>
  <c r="C1658" i="7"/>
  <c r="D1658" i="7" s="1"/>
  <c r="E1658" i="7" s="1"/>
  <c r="J1657" i="7"/>
  <c r="I1657" i="7"/>
  <c r="G1657" i="7"/>
  <c r="F1657" i="7"/>
  <c r="C1657" i="7"/>
  <c r="D1657" i="7" s="1"/>
  <c r="E1657" i="7" s="1"/>
  <c r="J1656" i="7"/>
  <c r="I1656" i="7"/>
  <c r="G1656" i="7"/>
  <c r="F1656" i="7"/>
  <c r="C1656" i="7"/>
  <c r="D1656" i="7" s="1"/>
  <c r="E1656" i="7" s="1"/>
  <c r="J1655" i="7"/>
  <c r="I1655" i="7"/>
  <c r="G1655" i="7"/>
  <c r="F1655" i="7"/>
  <c r="C1655" i="7"/>
  <c r="D1655" i="7" s="1"/>
  <c r="E1655" i="7" s="1"/>
  <c r="J1654" i="7"/>
  <c r="I1654" i="7"/>
  <c r="G1654" i="7"/>
  <c r="F1654" i="7"/>
  <c r="C1654" i="7"/>
  <c r="D1654" i="7" s="1"/>
  <c r="E1654" i="7" s="1"/>
  <c r="J1653" i="7"/>
  <c r="I1653" i="7"/>
  <c r="G1653" i="7"/>
  <c r="F1653" i="7"/>
  <c r="C1653" i="7"/>
  <c r="D1653" i="7" s="1"/>
  <c r="E1653" i="7" s="1"/>
  <c r="J1652" i="7"/>
  <c r="I1652" i="7"/>
  <c r="G1652" i="7"/>
  <c r="F1652" i="7"/>
  <c r="C1652" i="7"/>
  <c r="D1652" i="7" s="1"/>
  <c r="E1652" i="7" s="1"/>
  <c r="J1651" i="7"/>
  <c r="I1651" i="7"/>
  <c r="G1651" i="7"/>
  <c r="F1651" i="7"/>
  <c r="C1651" i="7"/>
  <c r="D1651" i="7" s="1"/>
  <c r="E1651" i="7" s="1"/>
  <c r="J1650" i="7"/>
  <c r="I1650" i="7"/>
  <c r="G1650" i="7"/>
  <c r="F1650" i="7"/>
  <c r="C1650" i="7"/>
  <c r="D1650" i="7" s="1"/>
  <c r="E1650" i="7" s="1"/>
  <c r="J1649" i="7"/>
  <c r="I1649" i="7"/>
  <c r="G1649" i="7"/>
  <c r="F1649" i="7"/>
  <c r="C1649" i="7"/>
  <c r="D1649" i="7" s="1"/>
  <c r="E1649" i="7" s="1"/>
  <c r="J1648" i="7"/>
  <c r="I1648" i="7"/>
  <c r="G1648" i="7"/>
  <c r="F1648" i="7"/>
  <c r="C1648" i="7"/>
  <c r="D1648" i="7" s="1"/>
  <c r="E1648" i="7" s="1"/>
  <c r="J1647" i="7"/>
  <c r="I1647" i="7"/>
  <c r="G1647" i="7"/>
  <c r="F1647" i="7"/>
  <c r="C1647" i="7"/>
  <c r="D1647" i="7" s="1"/>
  <c r="E1647" i="7" s="1"/>
  <c r="J1646" i="7"/>
  <c r="I1646" i="7"/>
  <c r="G1646" i="7"/>
  <c r="F1646" i="7"/>
  <c r="C1646" i="7"/>
  <c r="D1646" i="7" s="1"/>
  <c r="E1646" i="7" s="1"/>
  <c r="J1645" i="7"/>
  <c r="I1645" i="7"/>
  <c r="G1645" i="7"/>
  <c r="F1645" i="7"/>
  <c r="C1645" i="7"/>
  <c r="D1645" i="7" s="1"/>
  <c r="E1645" i="7" s="1"/>
  <c r="J1644" i="7"/>
  <c r="I1644" i="7"/>
  <c r="G1644" i="7"/>
  <c r="F1644" i="7"/>
  <c r="C1644" i="7"/>
  <c r="D1644" i="7" s="1"/>
  <c r="E1644" i="7" s="1"/>
  <c r="J1643" i="7"/>
  <c r="I1643" i="7"/>
  <c r="G1643" i="7"/>
  <c r="F1643" i="7"/>
  <c r="C1643" i="7"/>
  <c r="D1643" i="7" s="1"/>
  <c r="E1643" i="7" s="1"/>
  <c r="J1642" i="7"/>
  <c r="I1642" i="7"/>
  <c r="G1642" i="7"/>
  <c r="F1642" i="7"/>
  <c r="C1642" i="7"/>
  <c r="D1642" i="7" s="1"/>
  <c r="E1642" i="7" s="1"/>
  <c r="J1641" i="7"/>
  <c r="I1641" i="7"/>
  <c r="G1641" i="7"/>
  <c r="F1641" i="7"/>
  <c r="C1641" i="7"/>
  <c r="D1641" i="7" s="1"/>
  <c r="E1641" i="7" s="1"/>
  <c r="J1640" i="7"/>
  <c r="I1640" i="7"/>
  <c r="G1640" i="7"/>
  <c r="F1640" i="7"/>
  <c r="C1640" i="7"/>
  <c r="D1640" i="7" s="1"/>
  <c r="E1640" i="7" s="1"/>
  <c r="J1639" i="7"/>
  <c r="I1639" i="7"/>
  <c r="G1639" i="7"/>
  <c r="F1639" i="7"/>
  <c r="C1639" i="7"/>
  <c r="D1639" i="7" s="1"/>
  <c r="E1639" i="7" s="1"/>
  <c r="J1638" i="7"/>
  <c r="I1638" i="7"/>
  <c r="G1638" i="7"/>
  <c r="F1638" i="7"/>
  <c r="C1638" i="7"/>
  <c r="D1638" i="7" s="1"/>
  <c r="E1638" i="7" s="1"/>
  <c r="H1638" i="7" s="1"/>
  <c r="J1637" i="7"/>
  <c r="I1637" i="7"/>
  <c r="G1637" i="7"/>
  <c r="F1637" i="7"/>
  <c r="C1637" i="7"/>
  <c r="D1637" i="7" s="1"/>
  <c r="E1637" i="7" s="1"/>
  <c r="J1636" i="7"/>
  <c r="I1636" i="7"/>
  <c r="G1636" i="7"/>
  <c r="F1636" i="7"/>
  <c r="C1636" i="7"/>
  <c r="D1636" i="7" s="1"/>
  <c r="E1636" i="7" s="1"/>
  <c r="J1635" i="7"/>
  <c r="I1635" i="7"/>
  <c r="G1635" i="7"/>
  <c r="F1635" i="7"/>
  <c r="C1635" i="7"/>
  <c r="D1635" i="7" s="1"/>
  <c r="E1635" i="7" s="1"/>
  <c r="J1634" i="7"/>
  <c r="I1634" i="7"/>
  <c r="G1634" i="7"/>
  <c r="F1634" i="7"/>
  <c r="C1634" i="7"/>
  <c r="D1634" i="7" s="1"/>
  <c r="E1634" i="7" s="1"/>
  <c r="J1633" i="7"/>
  <c r="I1633" i="7"/>
  <c r="G1633" i="7"/>
  <c r="F1633" i="7"/>
  <c r="C1633" i="7"/>
  <c r="D1633" i="7" s="1"/>
  <c r="E1633" i="7" s="1"/>
  <c r="J1632" i="7"/>
  <c r="I1632" i="7"/>
  <c r="G1632" i="7"/>
  <c r="F1632" i="7"/>
  <c r="C1632" i="7"/>
  <c r="D1632" i="7" s="1"/>
  <c r="E1632" i="7" s="1"/>
  <c r="J1631" i="7"/>
  <c r="I1631" i="7"/>
  <c r="G1631" i="7"/>
  <c r="F1631" i="7"/>
  <c r="C1631" i="7"/>
  <c r="D1631" i="7" s="1"/>
  <c r="E1631" i="7" s="1"/>
  <c r="J1630" i="7"/>
  <c r="I1630" i="7"/>
  <c r="G1630" i="7"/>
  <c r="F1630" i="7"/>
  <c r="C1630" i="7"/>
  <c r="D1630" i="7" s="1"/>
  <c r="E1630" i="7" s="1"/>
  <c r="J1629" i="7"/>
  <c r="I1629" i="7"/>
  <c r="G1629" i="7"/>
  <c r="F1629" i="7"/>
  <c r="C1629" i="7"/>
  <c r="D1629" i="7" s="1"/>
  <c r="E1629" i="7" s="1"/>
  <c r="J1628" i="7"/>
  <c r="I1628" i="7"/>
  <c r="G1628" i="7"/>
  <c r="F1628" i="7"/>
  <c r="C1628" i="7"/>
  <c r="D1628" i="7" s="1"/>
  <c r="E1628" i="7" s="1"/>
  <c r="J1627" i="7"/>
  <c r="I1627" i="7"/>
  <c r="G1627" i="7"/>
  <c r="F1627" i="7"/>
  <c r="C1627" i="7"/>
  <c r="D1627" i="7" s="1"/>
  <c r="E1627" i="7" s="1"/>
  <c r="J1626" i="7"/>
  <c r="I1626" i="7"/>
  <c r="G1626" i="7"/>
  <c r="F1626" i="7"/>
  <c r="C1626" i="7"/>
  <c r="D1626" i="7" s="1"/>
  <c r="E1626" i="7" s="1"/>
  <c r="J1625" i="7"/>
  <c r="I1625" i="7"/>
  <c r="G1625" i="7"/>
  <c r="F1625" i="7"/>
  <c r="C1625" i="7"/>
  <c r="D1625" i="7" s="1"/>
  <c r="E1625" i="7" s="1"/>
  <c r="J1624" i="7"/>
  <c r="I1624" i="7"/>
  <c r="G1624" i="7"/>
  <c r="F1624" i="7"/>
  <c r="C1624" i="7"/>
  <c r="D1624" i="7" s="1"/>
  <c r="E1624" i="7" s="1"/>
  <c r="J1623" i="7"/>
  <c r="I1623" i="7"/>
  <c r="G1623" i="7"/>
  <c r="F1623" i="7"/>
  <c r="C1623" i="7"/>
  <c r="D1623" i="7" s="1"/>
  <c r="E1623" i="7" s="1"/>
  <c r="J1622" i="7"/>
  <c r="I1622" i="7"/>
  <c r="G1622" i="7"/>
  <c r="F1622" i="7"/>
  <c r="C1622" i="7"/>
  <c r="D1622" i="7" s="1"/>
  <c r="E1622" i="7" s="1"/>
  <c r="J1621" i="7"/>
  <c r="I1621" i="7"/>
  <c r="G1621" i="7"/>
  <c r="F1621" i="7"/>
  <c r="C1621" i="7"/>
  <c r="D1621" i="7" s="1"/>
  <c r="E1621" i="7" s="1"/>
  <c r="J1620" i="7"/>
  <c r="I1620" i="7"/>
  <c r="G1620" i="7"/>
  <c r="F1620" i="7"/>
  <c r="C1620" i="7"/>
  <c r="D1620" i="7" s="1"/>
  <c r="E1620" i="7" s="1"/>
  <c r="J1619" i="7"/>
  <c r="I1619" i="7"/>
  <c r="G1619" i="7"/>
  <c r="F1619" i="7"/>
  <c r="C1619" i="7"/>
  <c r="D1619" i="7" s="1"/>
  <c r="E1619" i="7" s="1"/>
  <c r="J1618" i="7"/>
  <c r="I1618" i="7"/>
  <c r="G1618" i="7"/>
  <c r="F1618" i="7"/>
  <c r="C1618" i="7"/>
  <c r="D1618" i="7" s="1"/>
  <c r="E1618" i="7" s="1"/>
  <c r="J1617" i="7"/>
  <c r="I1617" i="7"/>
  <c r="G1617" i="7"/>
  <c r="F1617" i="7"/>
  <c r="C1617" i="7"/>
  <c r="D1617" i="7" s="1"/>
  <c r="E1617" i="7" s="1"/>
  <c r="J1616" i="7"/>
  <c r="I1616" i="7"/>
  <c r="G1616" i="7"/>
  <c r="F1616" i="7"/>
  <c r="C1616" i="7"/>
  <c r="D1616" i="7" s="1"/>
  <c r="E1616" i="7" s="1"/>
  <c r="J1615" i="7"/>
  <c r="I1615" i="7"/>
  <c r="G1615" i="7"/>
  <c r="F1615" i="7"/>
  <c r="C1615" i="7"/>
  <c r="D1615" i="7" s="1"/>
  <c r="E1615" i="7" s="1"/>
  <c r="J1614" i="7"/>
  <c r="I1614" i="7"/>
  <c r="G1614" i="7"/>
  <c r="F1614" i="7"/>
  <c r="C1614" i="7"/>
  <c r="D1614" i="7" s="1"/>
  <c r="E1614" i="7" s="1"/>
  <c r="J1613" i="7"/>
  <c r="I1613" i="7"/>
  <c r="G1613" i="7"/>
  <c r="F1613" i="7"/>
  <c r="C1613" i="7"/>
  <c r="D1613" i="7" s="1"/>
  <c r="E1613" i="7" s="1"/>
  <c r="J1612" i="7"/>
  <c r="I1612" i="7"/>
  <c r="G1612" i="7"/>
  <c r="F1612" i="7"/>
  <c r="C1612" i="7"/>
  <c r="D1612" i="7" s="1"/>
  <c r="E1612" i="7" s="1"/>
  <c r="J1611" i="7"/>
  <c r="I1611" i="7"/>
  <c r="G1611" i="7"/>
  <c r="F1611" i="7"/>
  <c r="C1611" i="7"/>
  <c r="D1611" i="7" s="1"/>
  <c r="E1611" i="7" s="1"/>
  <c r="J1610" i="7"/>
  <c r="I1610" i="7"/>
  <c r="G1610" i="7"/>
  <c r="F1610" i="7"/>
  <c r="C1610" i="7"/>
  <c r="D1610" i="7" s="1"/>
  <c r="E1610" i="7" s="1"/>
  <c r="J1609" i="7"/>
  <c r="I1609" i="7"/>
  <c r="G1609" i="7"/>
  <c r="F1609" i="7"/>
  <c r="C1609" i="7"/>
  <c r="D1609" i="7" s="1"/>
  <c r="E1609" i="7" s="1"/>
  <c r="J1608" i="7"/>
  <c r="I1608" i="7"/>
  <c r="G1608" i="7"/>
  <c r="F1608" i="7"/>
  <c r="C1608" i="7"/>
  <c r="D1608" i="7" s="1"/>
  <c r="E1608" i="7" s="1"/>
  <c r="J1607" i="7"/>
  <c r="I1607" i="7"/>
  <c r="G1607" i="7"/>
  <c r="F1607" i="7"/>
  <c r="C1607" i="7"/>
  <c r="D1607" i="7" s="1"/>
  <c r="E1607" i="7" s="1"/>
  <c r="J1606" i="7"/>
  <c r="I1606" i="7"/>
  <c r="G1606" i="7"/>
  <c r="F1606" i="7"/>
  <c r="C1606" i="7"/>
  <c r="D1606" i="7" s="1"/>
  <c r="E1606" i="7" s="1"/>
  <c r="J1605" i="7"/>
  <c r="I1605" i="7"/>
  <c r="G1605" i="7"/>
  <c r="F1605" i="7"/>
  <c r="C1605" i="7"/>
  <c r="D1605" i="7" s="1"/>
  <c r="E1605" i="7" s="1"/>
  <c r="J1604" i="7"/>
  <c r="I1604" i="7"/>
  <c r="G1604" i="7"/>
  <c r="F1604" i="7"/>
  <c r="C1604" i="7"/>
  <c r="D1604" i="7" s="1"/>
  <c r="E1604" i="7" s="1"/>
  <c r="J1603" i="7"/>
  <c r="I1603" i="7"/>
  <c r="G1603" i="7"/>
  <c r="F1603" i="7"/>
  <c r="C1603" i="7"/>
  <c r="D1603" i="7" s="1"/>
  <c r="E1603" i="7" s="1"/>
  <c r="J1602" i="7"/>
  <c r="I1602" i="7"/>
  <c r="G1602" i="7"/>
  <c r="F1602" i="7"/>
  <c r="C1602" i="7"/>
  <c r="D1602" i="7" s="1"/>
  <c r="E1602" i="7" s="1"/>
  <c r="J1601" i="7"/>
  <c r="I1601" i="7"/>
  <c r="G1601" i="7"/>
  <c r="F1601" i="7"/>
  <c r="C1601" i="7"/>
  <c r="D1601" i="7" s="1"/>
  <c r="E1601" i="7" s="1"/>
  <c r="J1600" i="7"/>
  <c r="I1600" i="7"/>
  <c r="G1600" i="7"/>
  <c r="F1600" i="7"/>
  <c r="C1600" i="7"/>
  <c r="D1600" i="7" s="1"/>
  <c r="E1600" i="7" s="1"/>
  <c r="J1599" i="7"/>
  <c r="I1599" i="7"/>
  <c r="G1599" i="7"/>
  <c r="F1599" i="7"/>
  <c r="C1599" i="7"/>
  <c r="D1599" i="7" s="1"/>
  <c r="E1599" i="7" s="1"/>
  <c r="J1598" i="7"/>
  <c r="I1598" i="7"/>
  <c r="G1598" i="7"/>
  <c r="F1598" i="7"/>
  <c r="C1598" i="7"/>
  <c r="D1598" i="7" s="1"/>
  <c r="E1598" i="7" s="1"/>
  <c r="J1597" i="7"/>
  <c r="I1597" i="7"/>
  <c r="G1597" i="7"/>
  <c r="F1597" i="7"/>
  <c r="C1597" i="7"/>
  <c r="D1597" i="7" s="1"/>
  <c r="E1597" i="7" s="1"/>
  <c r="J1596" i="7"/>
  <c r="I1596" i="7"/>
  <c r="G1596" i="7"/>
  <c r="F1596" i="7"/>
  <c r="C1596" i="7"/>
  <c r="D1596" i="7" s="1"/>
  <c r="E1596" i="7" s="1"/>
  <c r="J1595" i="7"/>
  <c r="I1595" i="7"/>
  <c r="G1595" i="7"/>
  <c r="F1595" i="7"/>
  <c r="C1595" i="7"/>
  <c r="D1595" i="7" s="1"/>
  <c r="E1595" i="7" s="1"/>
  <c r="J1594" i="7"/>
  <c r="I1594" i="7"/>
  <c r="G1594" i="7"/>
  <c r="F1594" i="7"/>
  <c r="C1594" i="7"/>
  <c r="D1594" i="7" s="1"/>
  <c r="E1594" i="7" s="1"/>
  <c r="J1593" i="7"/>
  <c r="I1593" i="7"/>
  <c r="G1593" i="7"/>
  <c r="F1593" i="7"/>
  <c r="C1593" i="7"/>
  <c r="D1593" i="7" s="1"/>
  <c r="E1593" i="7" s="1"/>
  <c r="J1592" i="7"/>
  <c r="I1592" i="7"/>
  <c r="G1592" i="7"/>
  <c r="F1592" i="7"/>
  <c r="C1592" i="7"/>
  <c r="D1592" i="7" s="1"/>
  <c r="E1592" i="7" s="1"/>
  <c r="J1591" i="7"/>
  <c r="I1591" i="7"/>
  <c r="G1591" i="7"/>
  <c r="F1591" i="7"/>
  <c r="C1591" i="7"/>
  <c r="D1591" i="7" s="1"/>
  <c r="E1591" i="7" s="1"/>
  <c r="J1590" i="7"/>
  <c r="I1590" i="7"/>
  <c r="G1590" i="7"/>
  <c r="F1590" i="7"/>
  <c r="C1590" i="7"/>
  <c r="D1590" i="7" s="1"/>
  <c r="E1590" i="7" s="1"/>
  <c r="J1589" i="7"/>
  <c r="I1589" i="7"/>
  <c r="G1589" i="7"/>
  <c r="F1589" i="7"/>
  <c r="C1589" i="7"/>
  <c r="D1589" i="7" s="1"/>
  <c r="E1589" i="7" s="1"/>
  <c r="J1588" i="7"/>
  <c r="I1588" i="7"/>
  <c r="G1588" i="7"/>
  <c r="F1588" i="7"/>
  <c r="C1588" i="7"/>
  <c r="D1588" i="7" s="1"/>
  <c r="E1588" i="7" s="1"/>
  <c r="J1587" i="7"/>
  <c r="I1587" i="7"/>
  <c r="G1587" i="7"/>
  <c r="F1587" i="7"/>
  <c r="C1587" i="7"/>
  <c r="D1587" i="7" s="1"/>
  <c r="E1587" i="7" s="1"/>
  <c r="J1586" i="7"/>
  <c r="I1586" i="7"/>
  <c r="G1586" i="7"/>
  <c r="F1586" i="7"/>
  <c r="C1586" i="7"/>
  <c r="D1586" i="7" s="1"/>
  <c r="E1586" i="7" s="1"/>
  <c r="J1585" i="7"/>
  <c r="I1585" i="7"/>
  <c r="G1585" i="7"/>
  <c r="F1585" i="7"/>
  <c r="C1585" i="7"/>
  <c r="D1585" i="7" s="1"/>
  <c r="E1585" i="7" s="1"/>
  <c r="J1584" i="7"/>
  <c r="I1584" i="7"/>
  <c r="G1584" i="7"/>
  <c r="F1584" i="7"/>
  <c r="C1584" i="7"/>
  <c r="D1584" i="7" s="1"/>
  <c r="E1584" i="7" s="1"/>
  <c r="J1583" i="7"/>
  <c r="I1583" i="7"/>
  <c r="G1583" i="7"/>
  <c r="F1583" i="7"/>
  <c r="C1583" i="7"/>
  <c r="D1583" i="7" s="1"/>
  <c r="E1583" i="7" s="1"/>
  <c r="J1582" i="7"/>
  <c r="I1582" i="7"/>
  <c r="G1582" i="7"/>
  <c r="F1582" i="7"/>
  <c r="C1582" i="7"/>
  <c r="D1582" i="7" s="1"/>
  <c r="E1582" i="7" s="1"/>
  <c r="J1581" i="7"/>
  <c r="I1581" i="7"/>
  <c r="G1581" i="7"/>
  <c r="F1581" i="7"/>
  <c r="C1581" i="7"/>
  <c r="D1581" i="7" s="1"/>
  <c r="E1581" i="7" s="1"/>
  <c r="J1580" i="7"/>
  <c r="I1580" i="7"/>
  <c r="G1580" i="7"/>
  <c r="F1580" i="7"/>
  <c r="C1580" i="7"/>
  <c r="D1580" i="7" s="1"/>
  <c r="E1580" i="7" s="1"/>
  <c r="J1579" i="7"/>
  <c r="I1579" i="7"/>
  <c r="G1579" i="7"/>
  <c r="F1579" i="7"/>
  <c r="C1579" i="7"/>
  <c r="D1579" i="7" s="1"/>
  <c r="E1579" i="7" s="1"/>
  <c r="J1578" i="7"/>
  <c r="I1578" i="7"/>
  <c r="G1578" i="7"/>
  <c r="F1578" i="7"/>
  <c r="C1578" i="7"/>
  <c r="D1578" i="7" s="1"/>
  <c r="E1578" i="7" s="1"/>
  <c r="J1577" i="7"/>
  <c r="I1577" i="7"/>
  <c r="G1577" i="7"/>
  <c r="F1577" i="7"/>
  <c r="C1577" i="7"/>
  <c r="D1577" i="7" s="1"/>
  <c r="E1577" i="7" s="1"/>
  <c r="J1576" i="7"/>
  <c r="I1576" i="7"/>
  <c r="G1576" i="7"/>
  <c r="F1576" i="7"/>
  <c r="C1576" i="7"/>
  <c r="D1576" i="7" s="1"/>
  <c r="E1576" i="7" s="1"/>
  <c r="J1575" i="7"/>
  <c r="I1575" i="7"/>
  <c r="G1575" i="7"/>
  <c r="F1575" i="7"/>
  <c r="C1575" i="7"/>
  <c r="D1575" i="7" s="1"/>
  <c r="E1575" i="7" s="1"/>
  <c r="J1574" i="7"/>
  <c r="I1574" i="7"/>
  <c r="G1574" i="7"/>
  <c r="F1574" i="7"/>
  <c r="C1574" i="7"/>
  <c r="D1574" i="7" s="1"/>
  <c r="E1574" i="7" s="1"/>
  <c r="J1573" i="7"/>
  <c r="I1573" i="7"/>
  <c r="G1573" i="7"/>
  <c r="F1573" i="7"/>
  <c r="C1573" i="7"/>
  <c r="D1573" i="7" s="1"/>
  <c r="E1573" i="7" s="1"/>
  <c r="J1572" i="7"/>
  <c r="I1572" i="7"/>
  <c r="G1572" i="7"/>
  <c r="F1572" i="7"/>
  <c r="C1572" i="7"/>
  <c r="D1572" i="7" s="1"/>
  <c r="E1572" i="7" s="1"/>
  <c r="J1571" i="7"/>
  <c r="I1571" i="7"/>
  <c r="G1571" i="7"/>
  <c r="F1571" i="7"/>
  <c r="C1571" i="7"/>
  <c r="D1571" i="7" s="1"/>
  <c r="E1571" i="7" s="1"/>
  <c r="J1570" i="7"/>
  <c r="I1570" i="7"/>
  <c r="G1570" i="7"/>
  <c r="F1570" i="7"/>
  <c r="C1570" i="7"/>
  <c r="D1570" i="7" s="1"/>
  <c r="E1570" i="7" s="1"/>
  <c r="J1569" i="7"/>
  <c r="I1569" i="7"/>
  <c r="G1569" i="7"/>
  <c r="F1569" i="7"/>
  <c r="C1569" i="7"/>
  <c r="D1569" i="7" s="1"/>
  <c r="E1569" i="7" s="1"/>
  <c r="J1568" i="7"/>
  <c r="I1568" i="7"/>
  <c r="G1568" i="7"/>
  <c r="F1568" i="7"/>
  <c r="C1568" i="7"/>
  <c r="D1568" i="7" s="1"/>
  <c r="E1568" i="7" s="1"/>
  <c r="J1567" i="7"/>
  <c r="I1567" i="7"/>
  <c r="G1567" i="7"/>
  <c r="F1567" i="7"/>
  <c r="C1567" i="7"/>
  <c r="D1567" i="7" s="1"/>
  <c r="E1567" i="7" s="1"/>
  <c r="J1566" i="7"/>
  <c r="I1566" i="7"/>
  <c r="G1566" i="7"/>
  <c r="F1566" i="7"/>
  <c r="C1566" i="7"/>
  <c r="D1566" i="7" s="1"/>
  <c r="E1566" i="7" s="1"/>
  <c r="J1565" i="7"/>
  <c r="I1565" i="7"/>
  <c r="G1565" i="7"/>
  <c r="F1565" i="7"/>
  <c r="C1565" i="7"/>
  <c r="D1565" i="7" s="1"/>
  <c r="E1565" i="7" s="1"/>
  <c r="J1564" i="7"/>
  <c r="I1564" i="7"/>
  <c r="G1564" i="7"/>
  <c r="F1564" i="7"/>
  <c r="C1564" i="7"/>
  <c r="D1564" i="7" s="1"/>
  <c r="E1564" i="7" s="1"/>
  <c r="J1563" i="7"/>
  <c r="I1563" i="7"/>
  <c r="G1563" i="7"/>
  <c r="F1563" i="7"/>
  <c r="C1563" i="7"/>
  <c r="D1563" i="7" s="1"/>
  <c r="E1563" i="7" s="1"/>
  <c r="J1562" i="7"/>
  <c r="I1562" i="7"/>
  <c r="G1562" i="7"/>
  <c r="F1562" i="7"/>
  <c r="C1562" i="7"/>
  <c r="D1562" i="7" s="1"/>
  <c r="E1562" i="7" s="1"/>
  <c r="J1561" i="7"/>
  <c r="I1561" i="7"/>
  <c r="G1561" i="7"/>
  <c r="F1561" i="7"/>
  <c r="C1561" i="7"/>
  <c r="D1561" i="7" s="1"/>
  <c r="E1561" i="7" s="1"/>
  <c r="J1560" i="7"/>
  <c r="I1560" i="7"/>
  <c r="G1560" i="7"/>
  <c r="F1560" i="7"/>
  <c r="C1560" i="7"/>
  <c r="D1560" i="7" s="1"/>
  <c r="E1560" i="7" s="1"/>
  <c r="J1559" i="7"/>
  <c r="I1559" i="7"/>
  <c r="G1559" i="7"/>
  <c r="F1559" i="7"/>
  <c r="C1559" i="7"/>
  <c r="D1559" i="7" s="1"/>
  <c r="E1559" i="7" s="1"/>
  <c r="J1558" i="7"/>
  <c r="I1558" i="7"/>
  <c r="G1558" i="7"/>
  <c r="F1558" i="7"/>
  <c r="C1558" i="7"/>
  <c r="D1558" i="7" s="1"/>
  <c r="E1558" i="7" s="1"/>
  <c r="J1557" i="7"/>
  <c r="I1557" i="7"/>
  <c r="G1557" i="7"/>
  <c r="F1557" i="7"/>
  <c r="C1557" i="7"/>
  <c r="D1557" i="7" s="1"/>
  <c r="E1557" i="7" s="1"/>
  <c r="J1556" i="7"/>
  <c r="I1556" i="7"/>
  <c r="G1556" i="7"/>
  <c r="F1556" i="7"/>
  <c r="C1556" i="7"/>
  <c r="D1556" i="7" s="1"/>
  <c r="E1556" i="7" s="1"/>
  <c r="J1555" i="7"/>
  <c r="I1555" i="7"/>
  <c r="G1555" i="7"/>
  <c r="F1555" i="7"/>
  <c r="C1555" i="7"/>
  <c r="D1555" i="7" s="1"/>
  <c r="E1555" i="7" s="1"/>
  <c r="J1554" i="7"/>
  <c r="I1554" i="7"/>
  <c r="G1554" i="7"/>
  <c r="F1554" i="7"/>
  <c r="C1554" i="7"/>
  <c r="D1554" i="7" s="1"/>
  <c r="E1554" i="7" s="1"/>
  <c r="J1553" i="7"/>
  <c r="I1553" i="7"/>
  <c r="G1553" i="7"/>
  <c r="F1553" i="7"/>
  <c r="C1553" i="7"/>
  <c r="D1553" i="7" s="1"/>
  <c r="E1553" i="7" s="1"/>
  <c r="J1552" i="7"/>
  <c r="I1552" i="7"/>
  <c r="G1552" i="7"/>
  <c r="F1552" i="7"/>
  <c r="C1552" i="7"/>
  <c r="D1552" i="7" s="1"/>
  <c r="E1552" i="7" s="1"/>
  <c r="J1551" i="7"/>
  <c r="I1551" i="7"/>
  <c r="G1551" i="7"/>
  <c r="F1551" i="7"/>
  <c r="C1551" i="7"/>
  <c r="D1551" i="7" s="1"/>
  <c r="E1551" i="7" s="1"/>
  <c r="J1550" i="7"/>
  <c r="I1550" i="7"/>
  <c r="G1550" i="7"/>
  <c r="F1550" i="7"/>
  <c r="C1550" i="7"/>
  <c r="D1550" i="7" s="1"/>
  <c r="E1550" i="7" s="1"/>
  <c r="J1549" i="7"/>
  <c r="I1549" i="7"/>
  <c r="G1549" i="7"/>
  <c r="F1549" i="7"/>
  <c r="C1549" i="7"/>
  <c r="D1549" i="7" s="1"/>
  <c r="E1549" i="7" s="1"/>
  <c r="J1548" i="7"/>
  <c r="I1548" i="7"/>
  <c r="G1548" i="7"/>
  <c r="F1548" i="7"/>
  <c r="C1548" i="7"/>
  <c r="D1548" i="7" s="1"/>
  <c r="E1548" i="7" s="1"/>
  <c r="J1547" i="7"/>
  <c r="I1547" i="7"/>
  <c r="G1547" i="7"/>
  <c r="F1547" i="7"/>
  <c r="C1547" i="7"/>
  <c r="D1547" i="7" s="1"/>
  <c r="E1547" i="7" s="1"/>
  <c r="J1546" i="7"/>
  <c r="I1546" i="7"/>
  <c r="G1546" i="7"/>
  <c r="F1546" i="7"/>
  <c r="C1546" i="7"/>
  <c r="D1546" i="7" s="1"/>
  <c r="E1546" i="7" s="1"/>
  <c r="J1545" i="7"/>
  <c r="I1545" i="7"/>
  <c r="G1545" i="7"/>
  <c r="F1545" i="7"/>
  <c r="C1545" i="7"/>
  <c r="D1545" i="7" s="1"/>
  <c r="E1545" i="7" s="1"/>
  <c r="J1544" i="7"/>
  <c r="I1544" i="7"/>
  <c r="G1544" i="7"/>
  <c r="F1544" i="7"/>
  <c r="C1544" i="7"/>
  <c r="D1544" i="7" s="1"/>
  <c r="E1544" i="7" s="1"/>
  <c r="J1543" i="7"/>
  <c r="I1543" i="7"/>
  <c r="G1543" i="7"/>
  <c r="F1543" i="7"/>
  <c r="C1543" i="7"/>
  <c r="D1543" i="7" s="1"/>
  <c r="E1543" i="7" s="1"/>
  <c r="J1542" i="7"/>
  <c r="I1542" i="7"/>
  <c r="G1542" i="7"/>
  <c r="F1542" i="7"/>
  <c r="C1542" i="7"/>
  <c r="D1542" i="7" s="1"/>
  <c r="E1542" i="7" s="1"/>
  <c r="J1541" i="7"/>
  <c r="I1541" i="7"/>
  <c r="G1541" i="7"/>
  <c r="F1541" i="7"/>
  <c r="C1541" i="7"/>
  <c r="D1541" i="7" s="1"/>
  <c r="E1541" i="7" s="1"/>
  <c r="J1540" i="7"/>
  <c r="I1540" i="7"/>
  <c r="G1540" i="7"/>
  <c r="F1540" i="7"/>
  <c r="C1540" i="7"/>
  <c r="D1540" i="7" s="1"/>
  <c r="E1540" i="7" s="1"/>
  <c r="J1539" i="7"/>
  <c r="I1539" i="7"/>
  <c r="G1539" i="7"/>
  <c r="F1539" i="7"/>
  <c r="C1539" i="7"/>
  <c r="D1539" i="7" s="1"/>
  <c r="E1539" i="7" s="1"/>
  <c r="J1538" i="7"/>
  <c r="I1538" i="7"/>
  <c r="G1538" i="7"/>
  <c r="F1538" i="7"/>
  <c r="C1538" i="7"/>
  <c r="D1538" i="7" s="1"/>
  <c r="E1538" i="7" s="1"/>
  <c r="J1537" i="7"/>
  <c r="I1537" i="7"/>
  <c r="G1537" i="7"/>
  <c r="F1537" i="7"/>
  <c r="C1537" i="7"/>
  <c r="D1537" i="7" s="1"/>
  <c r="E1537" i="7" s="1"/>
  <c r="J1536" i="7"/>
  <c r="I1536" i="7"/>
  <c r="G1536" i="7"/>
  <c r="F1536" i="7"/>
  <c r="C1536" i="7"/>
  <c r="D1536" i="7" s="1"/>
  <c r="E1536" i="7" s="1"/>
  <c r="J1535" i="7"/>
  <c r="I1535" i="7"/>
  <c r="G1535" i="7"/>
  <c r="F1535" i="7"/>
  <c r="C1535" i="7"/>
  <c r="D1535" i="7" s="1"/>
  <c r="E1535" i="7" s="1"/>
  <c r="J1534" i="7"/>
  <c r="I1534" i="7"/>
  <c r="G1534" i="7"/>
  <c r="F1534" i="7"/>
  <c r="C1534" i="7"/>
  <c r="D1534" i="7" s="1"/>
  <c r="E1534" i="7" s="1"/>
  <c r="J1533" i="7"/>
  <c r="I1533" i="7"/>
  <c r="G1533" i="7"/>
  <c r="F1533" i="7"/>
  <c r="C1533" i="7"/>
  <c r="D1533" i="7" s="1"/>
  <c r="E1533" i="7" s="1"/>
  <c r="J1532" i="7"/>
  <c r="I1532" i="7"/>
  <c r="G1532" i="7"/>
  <c r="F1532" i="7"/>
  <c r="C1532" i="7"/>
  <c r="D1532" i="7" s="1"/>
  <c r="E1532" i="7" s="1"/>
  <c r="J1531" i="7"/>
  <c r="I1531" i="7"/>
  <c r="G1531" i="7"/>
  <c r="F1531" i="7"/>
  <c r="C1531" i="7"/>
  <c r="D1531" i="7" s="1"/>
  <c r="E1531" i="7" s="1"/>
  <c r="J1530" i="7"/>
  <c r="I1530" i="7"/>
  <c r="G1530" i="7"/>
  <c r="F1530" i="7"/>
  <c r="C1530" i="7"/>
  <c r="D1530" i="7" s="1"/>
  <c r="E1530" i="7" s="1"/>
  <c r="J1529" i="7"/>
  <c r="I1529" i="7"/>
  <c r="G1529" i="7"/>
  <c r="F1529" i="7"/>
  <c r="C1529" i="7"/>
  <c r="D1529" i="7" s="1"/>
  <c r="E1529" i="7" s="1"/>
  <c r="J1528" i="7"/>
  <c r="I1528" i="7"/>
  <c r="G1528" i="7"/>
  <c r="F1528" i="7"/>
  <c r="C1528" i="7"/>
  <c r="D1528" i="7" s="1"/>
  <c r="E1528" i="7" s="1"/>
  <c r="J1527" i="7"/>
  <c r="I1527" i="7"/>
  <c r="G1527" i="7"/>
  <c r="F1527" i="7"/>
  <c r="C1527" i="7"/>
  <c r="D1527" i="7" s="1"/>
  <c r="E1527" i="7" s="1"/>
  <c r="J1526" i="7"/>
  <c r="I1526" i="7"/>
  <c r="G1526" i="7"/>
  <c r="F1526" i="7"/>
  <c r="C1526" i="7"/>
  <c r="D1526" i="7" s="1"/>
  <c r="E1526" i="7" s="1"/>
  <c r="J1525" i="7"/>
  <c r="I1525" i="7"/>
  <c r="G1525" i="7"/>
  <c r="F1525" i="7"/>
  <c r="C1525" i="7"/>
  <c r="D1525" i="7" s="1"/>
  <c r="E1525" i="7" s="1"/>
  <c r="J1524" i="7"/>
  <c r="I1524" i="7"/>
  <c r="G1524" i="7"/>
  <c r="F1524" i="7"/>
  <c r="C1524" i="7"/>
  <c r="D1524" i="7" s="1"/>
  <c r="E1524" i="7" s="1"/>
  <c r="J1523" i="7"/>
  <c r="I1523" i="7"/>
  <c r="G1523" i="7"/>
  <c r="F1523" i="7"/>
  <c r="C1523" i="7"/>
  <c r="D1523" i="7" s="1"/>
  <c r="E1523" i="7" s="1"/>
  <c r="J1522" i="7"/>
  <c r="I1522" i="7"/>
  <c r="G1522" i="7"/>
  <c r="F1522" i="7"/>
  <c r="C1522" i="7"/>
  <c r="D1522" i="7" s="1"/>
  <c r="E1522" i="7" s="1"/>
  <c r="J1521" i="7"/>
  <c r="I1521" i="7"/>
  <c r="G1521" i="7"/>
  <c r="F1521" i="7"/>
  <c r="C1521" i="7"/>
  <c r="D1521" i="7" s="1"/>
  <c r="E1521" i="7" s="1"/>
  <c r="J1520" i="7"/>
  <c r="I1520" i="7"/>
  <c r="G1520" i="7"/>
  <c r="F1520" i="7"/>
  <c r="C1520" i="7"/>
  <c r="D1520" i="7" s="1"/>
  <c r="E1520" i="7" s="1"/>
  <c r="J1519" i="7"/>
  <c r="I1519" i="7"/>
  <c r="G1519" i="7"/>
  <c r="F1519" i="7"/>
  <c r="C1519" i="7"/>
  <c r="D1519" i="7" s="1"/>
  <c r="E1519" i="7" s="1"/>
  <c r="J1518" i="7"/>
  <c r="I1518" i="7"/>
  <c r="G1518" i="7"/>
  <c r="F1518" i="7"/>
  <c r="C1518" i="7"/>
  <c r="D1518" i="7" s="1"/>
  <c r="E1518" i="7" s="1"/>
  <c r="J1517" i="7"/>
  <c r="I1517" i="7"/>
  <c r="G1517" i="7"/>
  <c r="F1517" i="7"/>
  <c r="C1517" i="7"/>
  <c r="D1517" i="7" s="1"/>
  <c r="E1517" i="7" s="1"/>
  <c r="J1516" i="7"/>
  <c r="I1516" i="7"/>
  <c r="G1516" i="7"/>
  <c r="F1516" i="7"/>
  <c r="C1516" i="7"/>
  <c r="D1516" i="7" s="1"/>
  <c r="E1516" i="7" s="1"/>
  <c r="J1515" i="7"/>
  <c r="I1515" i="7"/>
  <c r="G1515" i="7"/>
  <c r="F1515" i="7"/>
  <c r="C1515" i="7"/>
  <c r="D1515" i="7" s="1"/>
  <c r="E1515" i="7" s="1"/>
  <c r="J1514" i="7"/>
  <c r="I1514" i="7"/>
  <c r="G1514" i="7"/>
  <c r="F1514" i="7"/>
  <c r="C1514" i="7"/>
  <c r="D1514" i="7" s="1"/>
  <c r="E1514" i="7" s="1"/>
  <c r="J1513" i="7"/>
  <c r="I1513" i="7"/>
  <c r="G1513" i="7"/>
  <c r="F1513" i="7"/>
  <c r="C1513" i="7"/>
  <c r="D1513" i="7" s="1"/>
  <c r="E1513" i="7" s="1"/>
  <c r="J1512" i="7"/>
  <c r="I1512" i="7"/>
  <c r="G1512" i="7"/>
  <c r="F1512" i="7"/>
  <c r="C1512" i="7"/>
  <c r="D1512" i="7" s="1"/>
  <c r="E1512" i="7" s="1"/>
  <c r="J1511" i="7"/>
  <c r="I1511" i="7"/>
  <c r="G1511" i="7"/>
  <c r="F1511" i="7"/>
  <c r="C1511" i="7"/>
  <c r="D1511" i="7" s="1"/>
  <c r="E1511" i="7" s="1"/>
  <c r="J1510" i="7"/>
  <c r="I1510" i="7"/>
  <c r="G1510" i="7"/>
  <c r="F1510" i="7"/>
  <c r="C1510" i="7"/>
  <c r="D1510" i="7" s="1"/>
  <c r="E1510" i="7" s="1"/>
  <c r="J1509" i="7"/>
  <c r="I1509" i="7"/>
  <c r="G1509" i="7"/>
  <c r="F1509" i="7"/>
  <c r="C1509" i="7"/>
  <c r="D1509" i="7" s="1"/>
  <c r="E1509" i="7" s="1"/>
  <c r="J1508" i="7"/>
  <c r="I1508" i="7"/>
  <c r="G1508" i="7"/>
  <c r="F1508" i="7"/>
  <c r="C1508" i="7"/>
  <c r="D1508" i="7" s="1"/>
  <c r="E1508" i="7" s="1"/>
  <c r="J1507" i="7"/>
  <c r="I1507" i="7"/>
  <c r="G1507" i="7"/>
  <c r="F1507" i="7"/>
  <c r="C1507" i="7"/>
  <c r="D1507" i="7" s="1"/>
  <c r="E1507" i="7" s="1"/>
  <c r="J1506" i="7"/>
  <c r="I1506" i="7"/>
  <c r="G1506" i="7"/>
  <c r="F1506" i="7"/>
  <c r="C1506" i="7"/>
  <c r="D1506" i="7" s="1"/>
  <c r="E1506" i="7" s="1"/>
  <c r="J1505" i="7"/>
  <c r="I1505" i="7"/>
  <c r="G1505" i="7"/>
  <c r="F1505" i="7"/>
  <c r="C1505" i="7"/>
  <c r="D1505" i="7" s="1"/>
  <c r="E1505" i="7" s="1"/>
  <c r="J1504" i="7"/>
  <c r="I1504" i="7"/>
  <c r="G1504" i="7"/>
  <c r="F1504" i="7"/>
  <c r="C1504" i="7"/>
  <c r="D1504" i="7" s="1"/>
  <c r="E1504" i="7" s="1"/>
  <c r="J1503" i="7"/>
  <c r="I1503" i="7"/>
  <c r="G1503" i="7"/>
  <c r="F1503" i="7"/>
  <c r="C1503" i="7"/>
  <c r="D1503" i="7" s="1"/>
  <c r="E1503" i="7" s="1"/>
  <c r="J1502" i="7"/>
  <c r="I1502" i="7"/>
  <c r="G1502" i="7"/>
  <c r="F1502" i="7"/>
  <c r="C1502" i="7"/>
  <c r="D1502" i="7" s="1"/>
  <c r="E1502" i="7" s="1"/>
  <c r="J1501" i="7"/>
  <c r="I1501" i="7"/>
  <c r="G1501" i="7"/>
  <c r="F1501" i="7"/>
  <c r="C1501" i="7"/>
  <c r="D1501" i="7" s="1"/>
  <c r="E1501" i="7" s="1"/>
  <c r="J1500" i="7"/>
  <c r="I1500" i="7"/>
  <c r="G1500" i="7"/>
  <c r="F1500" i="7"/>
  <c r="C1500" i="7"/>
  <c r="D1500" i="7" s="1"/>
  <c r="E1500" i="7" s="1"/>
  <c r="J1499" i="7"/>
  <c r="I1499" i="7"/>
  <c r="G1499" i="7"/>
  <c r="F1499" i="7"/>
  <c r="C1499" i="7"/>
  <c r="D1499" i="7" s="1"/>
  <c r="E1499" i="7" s="1"/>
  <c r="J1498" i="7"/>
  <c r="I1498" i="7"/>
  <c r="G1498" i="7"/>
  <c r="F1498" i="7"/>
  <c r="C1498" i="7"/>
  <c r="D1498" i="7" s="1"/>
  <c r="E1498" i="7" s="1"/>
  <c r="J1497" i="7"/>
  <c r="I1497" i="7"/>
  <c r="G1497" i="7"/>
  <c r="F1497" i="7"/>
  <c r="C1497" i="7"/>
  <c r="D1497" i="7" s="1"/>
  <c r="E1497" i="7" s="1"/>
  <c r="J1496" i="7"/>
  <c r="I1496" i="7"/>
  <c r="G1496" i="7"/>
  <c r="F1496" i="7"/>
  <c r="C1496" i="7"/>
  <c r="D1496" i="7" s="1"/>
  <c r="E1496" i="7" s="1"/>
  <c r="J1495" i="7"/>
  <c r="I1495" i="7"/>
  <c r="G1495" i="7"/>
  <c r="F1495" i="7"/>
  <c r="C1495" i="7"/>
  <c r="D1495" i="7" s="1"/>
  <c r="E1495" i="7" s="1"/>
  <c r="J1494" i="7"/>
  <c r="I1494" i="7"/>
  <c r="G1494" i="7"/>
  <c r="F1494" i="7"/>
  <c r="C1494" i="7"/>
  <c r="D1494" i="7" s="1"/>
  <c r="E1494" i="7" s="1"/>
  <c r="J1493" i="7"/>
  <c r="I1493" i="7"/>
  <c r="G1493" i="7"/>
  <c r="F1493" i="7"/>
  <c r="C1493" i="7"/>
  <c r="D1493" i="7" s="1"/>
  <c r="E1493" i="7" s="1"/>
  <c r="J1492" i="7"/>
  <c r="I1492" i="7"/>
  <c r="G1492" i="7"/>
  <c r="F1492" i="7"/>
  <c r="C1492" i="7"/>
  <c r="D1492" i="7" s="1"/>
  <c r="E1492" i="7" s="1"/>
  <c r="J1491" i="7"/>
  <c r="I1491" i="7"/>
  <c r="G1491" i="7"/>
  <c r="F1491" i="7"/>
  <c r="C1491" i="7"/>
  <c r="D1491" i="7" s="1"/>
  <c r="E1491" i="7" s="1"/>
  <c r="J1490" i="7"/>
  <c r="I1490" i="7"/>
  <c r="G1490" i="7"/>
  <c r="F1490" i="7"/>
  <c r="C1490" i="7"/>
  <c r="D1490" i="7" s="1"/>
  <c r="E1490" i="7" s="1"/>
  <c r="J1489" i="7"/>
  <c r="I1489" i="7"/>
  <c r="G1489" i="7"/>
  <c r="F1489" i="7"/>
  <c r="C1489" i="7"/>
  <c r="D1489" i="7" s="1"/>
  <c r="E1489" i="7" s="1"/>
  <c r="J1488" i="7"/>
  <c r="I1488" i="7"/>
  <c r="G1488" i="7"/>
  <c r="F1488" i="7"/>
  <c r="C1488" i="7"/>
  <c r="D1488" i="7" s="1"/>
  <c r="E1488" i="7" s="1"/>
  <c r="J1487" i="7"/>
  <c r="I1487" i="7"/>
  <c r="G1487" i="7"/>
  <c r="F1487" i="7"/>
  <c r="C1487" i="7"/>
  <c r="D1487" i="7" s="1"/>
  <c r="E1487" i="7" s="1"/>
  <c r="J1486" i="7"/>
  <c r="I1486" i="7"/>
  <c r="G1486" i="7"/>
  <c r="F1486" i="7"/>
  <c r="C1486" i="7"/>
  <c r="D1486" i="7" s="1"/>
  <c r="E1486" i="7" s="1"/>
  <c r="J1485" i="7"/>
  <c r="I1485" i="7"/>
  <c r="G1485" i="7"/>
  <c r="F1485" i="7"/>
  <c r="C1485" i="7"/>
  <c r="D1485" i="7" s="1"/>
  <c r="E1485" i="7" s="1"/>
  <c r="J1484" i="7"/>
  <c r="I1484" i="7"/>
  <c r="G1484" i="7"/>
  <c r="F1484" i="7"/>
  <c r="C1484" i="7"/>
  <c r="D1484" i="7" s="1"/>
  <c r="E1484" i="7" s="1"/>
  <c r="J1483" i="7"/>
  <c r="I1483" i="7"/>
  <c r="G1483" i="7"/>
  <c r="F1483" i="7"/>
  <c r="C1483" i="7"/>
  <c r="D1483" i="7" s="1"/>
  <c r="E1483" i="7" s="1"/>
  <c r="J1482" i="7"/>
  <c r="I1482" i="7"/>
  <c r="G1482" i="7"/>
  <c r="F1482" i="7"/>
  <c r="C1482" i="7"/>
  <c r="D1482" i="7" s="1"/>
  <c r="E1482" i="7" s="1"/>
  <c r="J1481" i="7"/>
  <c r="I1481" i="7"/>
  <c r="G1481" i="7"/>
  <c r="F1481" i="7"/>
  <c r="C1481" i="7"/>
  <c r="D1481" i="7" s="1"/>
  <c r="E1481" i="7" s="1"/>
  <c r="J1480" i="7"/>
  <c r="I1480" i="7"/>
  <c r="G1480" i="7"/>
  <c r="F1480" i="7"/>
  <c r="C1480" i="7"/>
  <c r="D1480" i="7" s="1"/>
  <c r="E1480" i="7" s="1"/>
  <c r="J1479" i="7"/>
  <c r="I1479" i="7"/>
  <c r="G1479" i="7"/>
  <c r="F1479" i="7"/>
  <c r="C1479" i="7"/>
  <c r="D1479" i="7" s="1"/>
  <c r="E1479" i="7" s="1"/>
  <c r="J1478" i="7"/>
  <c r="I1478" i="7"/>
  <c r="G1478" i="7"/>
  <c r="F1478" i="7"/>
  <c r="C1478" i="7"/>
  <c r="D1478" i="7" s="1"/>
  <c r="E1478" i="7" s="1"/>
  <c r="J1477" i="7"/>
  <c r="I1477" i="7"/>
  <c r="G1477" i="7"/>
  <c r="F1477" i="7"/>
  <c r="C1477" i="7"/>
  <c r="D1477" i="7" s="1"/>
  <c r="E1477" i="7" s="1"/>
  <c r="J1476" i="7"/>
  <c r="I1476" i="7"/>
  <c r="G1476" i="7"/>
  <c r="F1476" i="7"/>
  <c r="C1476" i="7"/>
  <c r="D1476" i="7" s="1"/>
  <c r="E1476" i="7" s="1"/>
  <c r="J1475" i="7"/>
  <c r="I1475" i="7"/>
  <c r="G1475" i="7"/>
  <c r="F1475" i="7"/>
  <c r="C1475" i="7"/>
  <c r="D1475" i="7" s="1"/>
  <c r="E1475" i="7" s="1"/>
  <c r="J1474" i="7"/>
  <c r="I1474" i="7"/>
  <c r="G1474" i="7"/>
  <c r="F1474" i="7"/>
  <c r="C1474" i="7"/>
  <c r="D1474" i="7" s="1"/>
  <c r="E1474" i="7" s="1"/>
  <c r="J1473" i="7"/>
  <c r="I1473" i="7"/>
  <c r="G1473" i="7"/>
  <c r="F1473" i="7"/>
  <c r="C1473" i="7"/>
  <c r="D1473" i="7" s="1"/>
  <c r="E1473" i="7" s="1"/>
  <c r="J1472" i="7"/>
  <c r="I1472" i="7"/>
  <c r="G1472" i="7"/>
  <c r="F1472" i="7"/>
  <c r="C1472" i="7"/>
  <c r="D1472" i="7" s="1"/>
  <c r="E1472" i="7" s="1"/>
  <c r="J1471" i="7"/>
  <c r="I1471" i="7"/>
  <c r="G1471" i="7"/>
  <c r="F1471" i="7"/>
  <c r="C1471" i="7"/>
  <c r="D1471" i="7" s="1"/>
  <c r="E1471" i="7" s="1"/>
  <c r="J1470" i="7"/>
  <c r="I1470" i="7"/>
  <c r="G1470" i="7"/>
  <c r="F1470" i="7"/>
  <c r="C1470" i="7"/>
  <c r="D1470" i="7" s="1"/>
  <c r="E1470" i="7" s="1"/>
  <c r="J1469" i="7"/>
  <c r="I1469" i="7"/>
  <c r="G1469" i="7"/>
  <c r="F1469" i="7"/>
  <c r="C1469" i="7"/>
  <c r="D1469" i="7" s="1"/>
  <c r="E1469" i="7" s="1"/>
  <c r="J1468" i="7"/>
  <c r="I1468" i="7"/>
  <c r="G1468" i="7"/>
  <c r="F1468" i="7"/>
  <c r="C1468" i="7"/>
  <c r="D1468" i="7" s="1"/>
  <c r="E1468" i="7" s="1"/>
  <c r="J1467" i="7"/>
  <c r="I1467" i="7"/>
  <c r="G1467" i="7"/>
  <c r="F1467" i="7"/>
  <c r="C1467" i="7"/>
  <c r="D1467" i="7" s="1"/>
  <c r="E1467" i="7" s="1"/>
  <c r="J1466" i="7"/>
  <c r="I1466" i="7"/>
  <c r="G1466" i="7"/>
  <c r="F1466" i="7"/>
  <c r="C1466" i="7"/>
  <c r="D1466" i="7" s="1"/>
  <c r="E1466" i="7" s="1"/>
  <c r="J1465" i="7"/>
  <c r="I1465" i="7"/>
  <c r="G1465" i="7"/>
  <c r="F1465" i="7"/>
  <c r="C1465" i="7"/>
  <c r="D1465" i="7" s="1"/>
  <c r="E1465" i="7" s="1"/>
  <c r="J1464" i="7"/>
  <c r="I1464" i="7"/>
  <c r="G1464" i="7"/>
  <c r="F1464" i="7"/>
  <c r="C1464" i="7"/>
  <c r="D1464" i="7" s="1"/>
  <c r="E1464" i="7" s="1"/>
  <c r="J1463" i="7"/>
  <c r="I1463" i="7"/>
  <c r="G1463" i="7"/>
  <c r="F1463" i="7"/>
  <c r="C1463" i="7"/>
  <c r="D1463" i="7" s="1"/>
  <c r="E1463" i="7" s="1"/>
  <c r="J1462" i="7"/>
  <c r="I1462" i="7"/>
  <c r="G1462" i="7"/>
  <c r="F1462" i="7"/>
  <c r="C1462" i="7"/>
  <c r="D1462" i="7" s="1"/>
  <c r="E1462" i="7" s="1"/>
  <c r="H1462" i="7" s="1"/>
  <c r="J1461" i="7"/>
  <c r="I1461" i="7"/>
  <c r="G1461" i="7"/>
  <c r="F1461" i="7"/>
  <c r="C1461" i="7"/>
  <c r="D1461" i="7" s="1"/>
  <c r="E1461" i="7" s="1"/>
  <c r="J1460" i="7"/>
  <c r="I1460" i="7"/>
  <c r="G1460" i="7"/>
  <c r="F1460" i="7"/>
  <c r="C1460" i="7"/>
  <c r="D1460" i="7" s="1"/>
  <c r="E1460" i="7" s="1"/>
  <c r="J1459" i="7"/>
  <c r="I1459" i="7"/>
  <c r="G1459" i="7"/>
  <c r="F1459" i="7"/>
  <c r="C1459" i="7"/>
  <c r="D1459" i="7" s="1"/>
  <c r="E1459" i="7" s="1"/>
  <c r="J1458" i="7"/>
  <c r="I1458" i="7"/>
  <c r="G1458" i="7"/>
  <c r="F1458" i="7"/>
  <c r="C1458" i="7"/>
  <c r="D1458" i="7" s="1"/>
  <c r="E1458" i="7" s="1"/>
  <c r="J1457" i="7"/>
  <c r="I1457" i="7"/>
  <c r="G1457" i="7"/>
  <c r="F1457" i="7"/>
  <c r="C1457" i="7"/>
  <c r="D1457" i="7" s="1"/>
  <c r="E1457" i="7" s="1"/>
  <c r="J1456" i="7"/>
  <c r="I1456" i="7"/>
  <c r="G1456" i="7"/>
  <c r="F1456" i="7"/>
  <c r="C1456" i="7"/>
  <c r="D1456" i="7" s="1"/>
  <c r="E1456" i="7" s="1"/>
  <c r="J1455" i="7"/>
  <c r="I1455" i="7"/>
  <c r="G1455" i="7"/>
  <c r="F1455" i="7"/>
  <c r="C1455" i="7"/>
  <c r="D1455" i="7" s="1"/>
  <c r="E1455" i="7" s="1"/>
  <c r="J1454" i="7"/>
  <c r="I1454" i="7"/>
  <c r="G1454" i="7"/>
  <c r="F1454" i="7"/>
  <c r="C1454" i="7"/>
  <c r="D1454" i="7" s="1"/>
  <c r="E1454" i="7" s="1"/>
  <c r="J1453" i="7"/>
  <c r="I1453" i="7"/>
  <c r="G1453" i="7"/>
  <c r="F1453" i="7"/>
  <c r="C1453" i="7"/>
  <c r="D1453" i="7" s="1"/>
  <c r="E1453" i="7" s="1"/>
  <c r="J1452" i="7"/>
  <c r="I1452" i="7"/>
  <c r="G1452" i="7"/>
  <c r="F1452" i="7"/>
  <c r="C1452" i="7"/>
  <c r="D1452" i="7" s="1"/>
  <c r="E1452" i="7" s="1"/>
  <c r="J1451" i="7"/>
  <c r="I1451" i="7"/>
  <c r="G1451" i="7"/>
  <c r="F1451" i="7"/>
  <c r="C1451" i="7"/>
  <c r="D1451" i="7" s="1"/>
  <c r="E1451" i="7" s="1"/>
  <c r="J1450" i="7"/>
  <c r="I1450" i="7"/>
  <c r="G1450" i="7"/>
  <c r="F1450" i="7"/>
  <c r="C1450" i="7"/>
  <c r="D1450" i="7" s="1"/>
  <c r="E1450" i="7" s="1"/>
  <c r="J1449" i="7"/>
  <c r="I1449" i="7"/>
  <c r="G1449" i="7"/>
  <c r="F1449" i="7"/>
  <c r="C1449" i="7"/>
  <c r="D1449" i="7" s="1"/>
  <c r="E1449" i="7" s="1"/>
  <c r="J1448" i="7"/>
  <c r="I1448" i="7"/>
  <c r="G1448" i="7"/>
  <c r="F1448" i="7"/>
  <c r="C1448" i="7"/>
  <c r="D1448" i="7" s="1"/>
  <c r="E1448" i="7" s="1"/>
  <c r="J1447" i="7"/>
  <c r="I1447" i="7"/>
  <c r="G1447" i="7"/>
  <c r="F1447" i="7"/>
  <c r="C1447" i="7"/>
  <c r="D1447" i="7" s="1"/>
  <c r="E1447" i="7" s="1"/>
  <c r="J1446" i="7"/>
  <c r="I1446" i="7"/>
  <c r="G1446" i="7"/>
  <c r="F1446" i="7"/>
  <c r="C1446" i="7"/>
  <c r="D1446" i="7" s="1"/>
  <c r="E1446" i="7" s="1"/>
  <c r="J1445" i="7"/>
  <c r="I1445" i="7"/>
  <c r="G1445" i="7"/>
  <c r="F1445" i="7"/>
  <c r="C1445" i="7"/>
  <c r="D1445" i="7" s="1"/>
  <c r="E1445" i="7" s="1"/>
  <c r="J1444" i="7"/>
  <c r="I1444" i="7"/>
  <c r="G1444" i="7"/>
  <c r="F1444" i="7"/>
  <c r="C1444" i="7"/>
  <c r="D1444" i="7" s="1"/>
  <c r="E1444" i="7" s="1"/>
  <c r="J1443" i="7"/>
  <c r="I1443" i="7"/>
  <c r="G1443" i="7"/>
  <c r="F1443" i="7"/>
  <c r="C1443" i="7"/>
  <c r="D1443" i="7" s="1"/>
  <c r="E1443" i="7" s="1"/>
  <c r="J1442" i="7"/>
  <c r="I1442" i="7"/>
  <c r="G1442" i="7"/>
  <c r="F1442" i="7"/>
  <c r="C1442" i="7"/>
  <c r="D1442" i="7" s="1"/>
  <c r="E1442" i="7" s="1"/>
  <c r="J1441" i="7"/>
  <c r="I1441" i="7"/>
  <c r="G1441" i="7"/>
  <c r="F1441" i="7"/>
  <c r="C1441" i="7"/>
  <c r="D1441" i="7" s="1"/>
  <c r="E1441" i="7" s="1"/>
  <c r="J1440" i="7"/>
  <c r="I1440" i="7"/>
  <c r="G1440" i="7"/>
  <c r="F1440" i="7"/>
  <c r="C1440" i="7"/>
  <c r="D1440" i="7" s="1"/>
  <c r="E1440" i="7" s="1"/>
  <c r="J1439" i="7"/>
  <c r="I1439" i="7"/>
  <c r="G1439" i="7"/>
  <c r="F1439" i="7"/>
  <c r="C1439" i="7"/>
  <c r="D1439" i="7" s="1"/>
  <c r="E1439" i="7" s="1"/>
  <c r="J1438" i="7"/>
  <c r="I1438" i="7"/>
  <c r="G1438" i="7"/>
  <c r="F1438" i="7"/>
  <c r="C1438" i="7"/>
  <c r="D1438" i="7" s="1"/>
  <c r="E1438" i="7" s="1"/>
  <c r="J1437" i="7"/>
  <c r="I1437" i="7"/>
  <c r="G1437" i="7"/>
  <c r="F1437" i="7"/>
  <c r="C1437" i="7"/>
  <c r="D1437" i="7" s="1"/>
  <c r="E1437" i="7" s="1"/>
  <c r="J1436" i="7"/>
  <c r="I1436" i="7"/>
  <c r="G1436" i="7"/>
  <c r="F1436" i="7"/>
  <c r="C1436" i="7"/>
  <c r="D1436" i="7" s="1"/>
  <c r="E1436" i="7" s="1"/>
  <c r="J1435" i="7"/>
  <c r="I1435" i="7"/>
  <c r="G1435" i="7"/>
  <c r="F1435" i="7"/>
  <c r="C1435" i="7"/>
  <c r="D1435" i="7" s="1"/>
  <c r="E1435" i="7" s="1"/>
  <c r="J1434" i="7"/>
  <c r="I1434" i="7"/>
  <c r="G1434" i="7"/>
  <c r="F1434" i="7"/>
  <c r="C1434" i="7"/>
  <c r="D1434" i="7" s="1"/>
  <c r="E1434" i="7" s="1"/>
  <c r="J1433" i="7"/>
  <c r="I1433" i="7"/>
  <c r="G1433" i="7"/>
  <c r="F1433" i="7"/>
  <c r="C1433" i="7"/>
  <c r="D1433" i="7" s="1"/>
  <c r="E1433" i="7" s="1"/>
  <c r="J1432" i="7"/>
  <c r="I1432" i="7"/>
  <c r="G1432" i="7"/>
  <c r="F1432" i="7"/>
  <c r="C1432" i="7"/>
  <c r="D1432" i="7" s="1"/>
  <c r="E1432" i="7" s="1"/>
  <c r="J1431" i="7"/>
  <c r="I1431" i="7"/>
  <c r="G1431" i="7"/>
  <c r="F1431" i="7"/>
  <c r="C1431" i="7"/>
  <c r="D1431" i="7" s="1"/>
  <c r="E1431" i="7" s="1"/>
  <c r="J1430" i="7"/>
  <c r="I1430" i="7"/>
  <c r="G1430" i="7"/>
  <c r="F1430" i="7"/>
  <c r="C1430" i="7"/>
  <c r="D1430" i="7" s="1"/>
  <c r="E1430" i="7" s="1"/>
  <c r="J1429" i="7"/>
  <c r="I1429" i="7"/>
  <c r="G1429" i="7"/>
  <c r="F1429" i="7"/>
  <c r="C1429" i="7"/>
  <c r="D1429" i="7" s="1"/>
  <c r="E1429" i="7" s="1"/>
  <c r="J1428" i="7"/>
  <c r="I1428" i="7"/>
  <c r="G1428" i="7"/>
  <c r="F1428" i="7"/>
  <c r="C1428" i="7"/>
  <c r="D1428" i="7" s="1"/>
  <c r="E1428" i="7" s="1"/>
  <c r="J1427" i="7"/>
  <c r="I1427" i="7"/>
  <c r="G1427" i="7"/>
  <c r="F1427" i="7"/>
  <c r="C1427" i="7"/>
  <c r="D1427" i="7" s="1"/>
  <c r="E1427" i="7" s="1"/>
  <c r="J1426" i="7"/>
  <c r="I1426" i="7"/>
  <c r="G1426" i="7"/>
  <c r="F1426" i="7"/>
  <c r="C1426" i="7"/>
  <c r="D1426" i="7" s="1"/>
  <c r="E1426" i="7" s="1"/>
  <c r="J1425" i="7"/>
  <c r="I1425" i="7"/>
  <c r="G1425" i="7"/>
  <c r="F1425" i="7"/>
  <c r="C1425" i="7"/>
  <c r="D1425" i="7" s="1"/>
  <c r="E1425" i="7" s="1"/>
  <c r="J1424" i="7"/>
  <c r="I1424" i="7"/>
  <c r="G1424" i="7"/>
  <c r="F1424" i="7"/>
  <c r="C1424" i="7"/>
  <c r="D1424" i="7" s="1"/>
  <c r="E1424" i="7" s="1"/>
  <c r="J1423" i="7"/>
  <c r="I1423" i="7"/>
  <c r="G1423" i="7"/>
  <c r="F1423" i="7"/>
  <c r="C1423" i="7"/>
  <c r="D1423" i="7" s="1"/>
  <c r="E1423" i="7" s="1"/>
  <c r="J1422" i="7"/>
  <c r="I1422" i="7"/>
  <c r="G1422" i="7"/>
  <c r="F1422" i="7"/>
  <c r="C1422" i="7"/>
  <c r="D1422" i="7" s="1"/>
  <c r="E1422" i="7" s="1"/>
  <c r="J1421" i="7"/>
  <c r="I1421" i="7"/>
  <c r="G1421" i="7"/>
  <c r="F1421" i="7"/>
  <c r="C1421" i="7"/>
  <c r="D1421" i="7" s="1"/>
  <c r="E1421" i="7" s="1"/>
  <c r="J1420" i="7"/>
  <c r="I1420" i="7"/>
  <c r="G1420" i="7"/>
  <c r="F1420" i="7"/>
  <c r="C1420" i="7"/>
  <c r="D1420" i="7" s="1"/>
  <c r="E1420" i="7" s="1"/>
  <c r="J1419" i="7"/>
  <c r="I1419" i="7"/>
  <c r="G1419" i="7"/>
  <c r="F1419" i="7"/>
  <c r="C1419" i="7"/>
  <c r="D1419" i="7" s="1"/>
  <c r="E1419" i="7" s="1"/>
  <c r="J1418" i="7"/>
  <c r="I1418" i="7"/>
  <c r="G1418" i="7"/>
  <c r="F1418" i="7"/>
  <c r="C1418" i="7"/>
  <c r="D1418" i="7" s="1"/>
  <c r="E1418" i="7" s="1"/>
  <c r="J1417" i="7"/>
  <c r="I1417" i="7"/>
  <c r="G1417" i="7"/>
  <c r="F1417" i="7"/>
  <c r="C1417" i="7"/>
  <c r="D1417" i="7" s="1"/>
  <c r="E1417" i="7" s="1"/>
  <c r="J1416" i="7"/>
  <c r="I1416" i="7"/>
  <c r="G1416" i="7"/>
  <c r="F1416" i="7"/>
  <c r="C1416" i="7"/>
  <c r="D1416" i="7" s="1"/>
  <c r="E1416" i="7" s="1"/>
  <c r="J1415" i="7"/>
  <c r="I1415" i="7"/>
  <c r="G1415" i="7"/>
  <c r="F1415" i="7"/>
  <c r="C1415" i="7"/>
  <c r="D1415" i="7" s="1"/>
  <c r="E1415" i="7" s="1"/>
  <c r="J1414" i="7"/>
  <c r="I1414" i="7"/>
  <c r="G1414" i="7"/>
  <c r="F1414" i="7"/>
  <c r="C1414" i="7"/>
  <c r="D1414" i="7" s="1"/>
  <c r="E1414" i="7" s="1"/>
  <c r="J1413" i="7"/>
  <c r="I1413" i="7"/>
  <c r="G1413" i="7"/>
  <c r="F1413" i="7"/>
  <c r="C1413" i="7"/>
  <c r="D1413" i="7" s="1"/>
  <c r="E1413" i="7" s="1"/>
  <c r="J1412" i="7"/>
  <c r="I1412" i="7"/>
  <c r="G1412" i="7"/>
  <c r="F1412" i="7"/>
  <c r="C1412" i="7"/>
  <c r="D1412" i="7" s="1"/>
  <c r="E1412" i="7" s="1"/>
  <c r="J1411" i="7"/>
  <c r="I1411" i="7"/>
  <c r="G1411" i="7"/>
  <c r="F1411" i="7"/>
  <c r="C1411" i="7"/>
  <c r="D1411" i="7" s="1"/>
  <c r="E1411" i="7" s="1"/>
  <c r="J1410" i="7"/>
  <c r="I1410" i="7"/>
  <c r="G1410" i="7"/>
  <c r="F1410" i="7"/>
  <c r="C1410" i="7"/>
  <c r="D1410" i="7" s="1"/>
  <c r="E1410" i="7" s="1"/>
  <c r="J1409" i="7"/>
  <c r="I1409" i="7"/>
  <c r="G1409" i="7"/>
  <c r="F1409" i="7"/>
  <c r="C1409" i="7"/>
  <c r="D1409" i="7" s="1"/>
  <c r="E1409" i="7" s="1"/>
  <c r="J1408" i="7"/>
  <c r="I1408" i="7"/>
  <c r="G1408" i="7"/>
  <c r="F1408" i="7"/>
  <c r="C1408" i="7"/>
  <c r="D1408" i="7" s="1"/>
  <c r="E1408" i="7" s="1"/>
  <c r="J1407" i="7"/>
  <c r="I1407" i="7"/>
  <c r="G1407" i="7"/>
  <c r="F1407" i="7"/>
  <c r="C1407" i="7"/>
  <c r="D1407" i="7" s="1"/>
  <c r="E1407" i="7" s="1"/>
  <c r="J1406" i="7"/>
  <c r="I1406" i="7"/>
  <c r="G1406" i="7"/>
  <c r="F1406" i="7"/>
  <c r="C1406" i="7"/>
  <c r="D1406" i="7" s="1"/>
  <c r="E1406" i="7" s="1"/>
  <c r="J1405" i="7"/>
  <c r="I1405" i="7"/>
  <c r="G1405" i="7"/>
  <c r="F1405" i="7"/>
  <c r="C1405" i="7"/>
  <c r="D1405" i="7" s="1"/>
  <c r="E1405" i="7" s="1"/>
  <c r="J1404" i="7"/>
  <c r="I1404" i="7"/>
  <c r="G1404" i="7"/>
  <c r="F1404" i="7"/>
  <c r="C1404" i="7"/>
  <c r="D1404" i="7" s="1"/>
  <c r="E1404" i="7" s="1"/>
  <c r="J1403" i="7"/>
  <c r="I1403" i="7"/>
  <c r="G1403" i="7"/>
  <c r="F1403" i="7"/>
  <c r="C1403" i="7"/>
  <c r="D1403" i="7" s="1"/>
  <c r="E1403" i="7" s="1"/>
  <c r="J1402" i="7"/>
  <c r="I1402" i="7"/>
  <c r="G1402" i="7"/>
  <c r="F1402" i="7"/>
  <c r="C1402" i="7"/>
  <c r="D1402" i="7" s="1"/>
  <c r="E1402" i="7" s="1"/>
  <c r="J1401" i="7"/>
  <c r="I1401" i="7"/>
  <c r="G1401" i="7"/>
  <c r="F1401" i="7"/>
  <c r="C1401" i="7"/>
  <c r="D1401" i="7" s="1"/>
  <c r="E1401" i="7" s="1"/>
  <c r="J1400" i="7"/>
  <c r="I1400" i="7"/>
  <c r="G1400" i="7"/>
  <c r="F1400" i="7"/>
  <c r="C1400" i="7"/>
  <c r="D1400" i="7" s="1"/>
  <c r="E1400" i="7" s="1"/>
  <c r="J1399" i="7"/>
  <c r="I1399" i="7"/>
  <c r="G1399" i="7"/>
  <c r="F1399" i="7"/>
  <c r="C1399" i="7"/>
  <c r="D1399" i="7" s="1"/>
  <c r="E1399" i="7" s="1"/>
  <c r="J1398" i="7"/>
  <c r="I1398" i="7"/>
  <c r="G1398" i="7"/>
  <c r="F1398" i="7"/>
  <c r="C1398" i="7"/>
  <c r="D1398" i="7" s="1"/>
  <c r="E1398" i="7" s="1"/>
  <c r="J1397" i="7"/>
  <c r="I1397" i="7"/>
  <c r="G1397" i="7"/>
  <c r="F1397" i="7"/>
  <c r="C1397" i="7"/>
  <c r="D1397" i="7" s="1"/>
  <c r="E1397" i="7" s="1"/>
  <c r="J1396" i="7"/>
  <c r="I1396" i="7"/>
  <c r="G1396" i="7"/>
  <c r="F1396" i="7"/>
  <c r="C1396" i="7"/>
  <c r="D1396" i="7" s="1"/>
  <c r="E1396" i="7" s="1"/>
  <c r="J1395" i="7"/>
  <c r="I1395" i="7"/>
  <c r="G1395" i="7"/>
  <c r="F1395" i="7"/>
  <c r="C1395" i="7"/>
  <c r="D1395" i="7" s="1"/>
  <c r="E1395" i="7" s="1"/>
  <c r="J1394" i="7"/>
  <c r="I1394" i="7"/>
  <c r="G1394" i="7"/>
  <c r="F1394" i="7"/>
  <c r="C1394" i="7"/>
  <c r="D1394" i="7" s="1"/>
  <c r="E1394" i="7" s="1"/>
  <c r="J1393" i="7"/>
  <c r="I1393" i="7"/>
  <c r="G1393" i="7"/>
  <c r="F1393" i="7"/>
  <c r="C1393" i="7"/>
  <c r="D1393" i="7" s="1"/>
  <c r="E1393" i="7" s="1"/>
  <c r="J1392" i="7"/>
  <c r="I1392" i="7"/>
  <c r="G1392" i="7"/>
  <c r="F1392" i="7"/>
  <c r="C1392" i="7"/>
  <c r="D1392" i="7" s="1"/>
  <c r="E1392" i="7" s="1"/>
  <c r="J1391" i="7"/>
  <c r="I1391" i="7"/>
  <c r="G1391" i="7"/>
  <c r="F1391" i="7"/>
  <c r="C1391" i="7"/>
  <c r="D1391" i="7" s="1"/>
  <c r="E1391" i="7" s="1"/>
  <c r="J1390" i="7"/>
  <c r="I1390" i="7"/>
  <c r="G1390" i="7"/>
  <c r="F1390" i="7"/>
  <c r="C1390" i="7"/>
  <c r="D1390" i="7" s="1"/>
  <c r="E1390" i="7" s="1"/>
  <c r="J1389" i="7"/>
  <c r="I1389" i="7"/>
  <c r="G1389" i="7"/>
  <c r="F1389" i="7"/>
  <c r="C1389" i="7"/>
  <c r="D1389" i="7" s="1"/>
  <c r="E1389" i="7" s="1"/>
  <c r="J1388" i="7"/>
  <c r="I1388" i="7"/>
  <c r="G1388" i="7"/>
  <c r="F1388" i="7"/>
  <c r="C1388" i="7"/>
  <c r="D1388" i="7" s="1"/>
  <c r="E1388" i="7" s="1"/>
  <c r="J1387" i="7"/>
  <c r="I1387" i="7"/>
  <c r="G1387" i="7"/>
  <c r="F1387" i="7"/>
  <c r="C1387" i="7"/>
  <c r="D1387" i="7" s="1"/>
  <c r="E1387" i="7" s="1"/>
  <c r="J1386" i="7"/>
  <c r="I1386" i="7"/>
  <c r="G1386" i="7"/>
  <c r="F1386" i="7"/>
  <c r="C1386" i="7"/>
  <c r="D1386" i="7" s="1"/>
  <c r="E1386" i="7" s="1"/>
  <c r="J1385" i="7"/>
  <c r="I1385" i="7"/>
  <c r="G1385" i="7"/>
  <c r="F1385" i="7"/>
  <c r="C1385" i="7"/>
  <c r="D1385" i="7" s="1"/>
  <c r="E1385" i="7" s="1"/>
  <c r="J1384" i="7"/>
  <c r="I1384" i="7"/>
  <c r="G1384" i="7"/>
  <c r="F1384" i="7"/>
  <c r="C1384" i="7"/>
  <c r="D1384" i="7" s="1"/>
  <c r="E1384" i="7" s="1"/>
  <c r="J1383" i="7"/>
  <c r="I1383" i="7"/>
  <c r="G1383" i="7"/>
  <c r="F1383" i="7"/>
  <c r="C1383" i="7"/>
  <c r="D1383" i="7" s="1"/>
  <c r="E1383" i="7" s="1"/>
  <c r="J1382" i="7"/>
  <c r="I1382" i="7"/>
  <c r="G1382" i="7"/>
  <c r="F1382" i="7"/>
  <c r="C1382" i="7"/>
  <c r="D1382" i="7" s="1"/>
  <c r="E1382" i="7" s="1"/>
  <c r="J1381" i="7"/>
  <c r="I1381" i="7"/>
  <c r="G1381" i="7"/>
  <c r="F1381" i="7"/>
  <c r="C1381" i="7"/>
  <c r="D1381" i="7" s="1"/>
  <c r="E1381" i="7" s="1"/>
  <c r="J1380" i="7"/>
  <c r="I1380" i="7"/>
  <c r="G1380" i="7"/>
  <c r="F1380" i="7"/>
  <c r="C1380" i="7"/>
  <c r="D1380" i="7" s="1"/>
  <c r="E1380" i="7" s="1"/>
  <c r="J1379" i="7"/>
  <c r="I1379" i="7"/>
  <c r="G1379" i="7"/>
  <c r="F1379" i="7"/>
  <c r="C1379" i="7"/>
  <c r="D1379" i="7" s="1"/>
  <c r="E1379" i="7" s="1"/>
  <c r="J1378" i="7"/>
  <c r="I1378" i="7"/>
  <c r="G1378" i="7"/>
  <c r="F1378" i="7"/>
  <c r="C1378" i="7"/>
  <c r="D1378" i="7" s="1"/>
  <c r="E1378" i="7" s="1"/>
  <c r="J1377" i="7"/>
  <c r="I1377" i="7"/>
  <c r="G1377" i="7"/>
  <c r="F1377" i="7"/>
  <c r="C1377" i="7"/>
  <c r="D1377" i="7" s="1"/>
  <c r="E1377" i="7" s="1"/>
  <c r="J1376" i="7"/>
  <c r="I1376" i="7"/>
  <c r="G1376" i="7"/>
  <c r="F1376" i="7"/>
  <c r="C1376" i="7"/>
  <c r="D1376" i="7" s="1"/>
  <c r="E1376" i="7" s="1"/>
  <c r="J1375" i="7"/>
  <c r="I1375" i="7"/>
  <c r="G1375" i="7"/>
  <c r="F1375" i="7"/>
  <c r="C1375" i="7"/>
  <c r="D1375" i="7" s="1"/>
  <c r="E1375" i="7" s="1"/>
  <c r="J1374" i="7"/>
  <c r="I1374" i="7"/>
  <c r="G1374" i="7"/>
  <c r="F1374" i="7"/>
  <c r="C1374" i="7"/>
  <c r="D1374" i="7" s="1"/>
  <c r="E1374" i="7" s="1"/>
  <c r="J1373" i="7"/>
  <c r="I1373" i="7"/>
  <c r="G1373" i="7"/>
  <c r="F1373" i="7"/>
  <c r="C1373" i="7"/>
  <c r="D1373" i="7" s="1"/>
  <c r="E1373" i="7" s="1"/>
  <c r="J1372" i="7"/>
  <c r="I1372" i="7"/>
  <c r="G1372" i="7"/>
  <c r="F1372" i="7"/>
  <c r="C1372" i="7"/>
  <c r="D1372" i="7" s="1"/>
  <c r="E1372" i="7" s="1"/>
  <c r="J1371" i="7"/>
  <c r="I1371" i="7"/>
  <c r="G1371" i="7"/>
  <c r="F1371" i="7"/>
  <c r="C1371" i="7"/>
  <c r="D1371" i="7" s="1"/>
  <c r="E1371" i="7" s="1"/>
  <c r="J1370" i="7"/>
  <c r="I1370" i="7"/>
  <c r="G1370" i="7"/>
  <c r="F1370" i="7"/>
  <c r="C1370" i="7"/>
  <c r="D1370" i="7" s="1"/>
  <c r="E1370" i="7" s="1"/>
  <c r="J1369" i="7"/>
  <c r="I1369" i="7"/>
  <c r="G1369" i="7"/>
  <c r="F1369" i="7"/>
  <c r="C1369" i="7"/>
  <c r="D1369" i="7" s="1"/>
  <c r="E1369" i="7" s="1"/>
  <c r="J1368" i="7"/>
  <c r="I1368" i="7"/>
  <c r="G1368" i="7"/>
  <c r="F1368" i="7"/>
  <c r="C1368" i="7"/>
  <c r="D1368" i="7" s="1"/>
  <c r="E1368" i="7" s="1"/>
  <c r="J1367" i="7"/>
  <c r="I1367" i="7"/>
  <c r="G1367" i="7"/>
  <c r="F1367" i="7"/>
  <c r="C1367" i="7"/>
  <c r="D1367" i="7" s="1"/>
  <c r="E1367" i="7" s="1"/>
  <c r="J1366" i="7"/>
  <c r="I1366" i="7"/>
  <c r="G1366" i="7"/>
  <c r="F1366" i="7"/>
  <c r="C1366" i="7"/>
  <c r="D1366" i="7" s="1"/>
  <c r="E1366" i="7" s="1"/>
  <c r="J1365" i="7"/>
  <c r="I1365" i="7"/>
  <c r="G1365" i="7"/>
  <c r="F1365" i="7"/>
  <c r="C1365" i="7"/>
  <c r="D1365" i="7" s="1"/>
  <c r="E1365" i="7" s="1"/>
  <c r="J1364" i="7"/>
  <c r="I1364" i="7"/>
  <c r="G1364" i="7"/>
  <c r="F1364" i="7"/>
  <c r="C1364" i="7"/>
  <c r="D1364" i="7" s="1"/>
  <c r="E1364" i="7" s="1"/>
  <c r="J1363" i="7"/>
  <c r="I1363" i="7"/>
  <c r="G1363" i="7"/>
  <c r="F1363" i="7"/>
  <c r="C1363" i="7"/>
  <c r="D1363" i="7" s="1"/>
  <c r="E1363" i="7" s="1"/>
  <c r="J1362" i="7"/>
  <c r="I1362" i="7"/>
  <c r="G1362" i="7"/>
  <c r="F1362" i="7"/>
  <c r="C1362" i="7"/>
  <c r="D1362" i="7" s="1"/>
  <c r="E1362" i="7" s="1"/>
  <c r="J1361" i="7"/>
  <c r="I1361" i="7"/>
  <c r="G1361" i="7"/>
  <c r="F1361" i="7"/>
  <c r="C1361" i="7"/>
  <c r="D1361" i="7" s="1"/>
  <c r="E1361" i="7" s="1"/>
  <c r="J1360" i="7"/>
  <c r="I1360" i="7"/>
  <c r="G1360" i="7"/>
  <c r="F1360" i="7"/>
  <c r="C1360" i="7"/>
  <c r="D1360" i="7" s="1"/>
  <c r="E1360" i="7" s="1"/>
  <c r="J1359" i="7"/>
  <c r="I1359" i="7"/>
  <c r="G1359" i="7"/>
  <c r="F1359" i="7"/>
  <c r="C1359" i="7"/>
  <c r="D1359" i="7" s="1"/>
  <c r="E1359" i="7" s="1"/>
  <c r="J1358" i="7"/>
  <c r="I1358" i="7"/>
  <c r="G1358" i="7"/>
  <c r="F1358" i="7"/>
  <c r="C1358" i="7"/>
  <c r="D1358" i="7" s="1"/>
  <c r="E1358" i="7" s="1"/>
  <c r="J1357" i="7"/>
  <c r="I1357" i="7"/>
  <c r="G1357" i="7"/>
  <c r="F1357" i="7"/>
  <c r="C1357" i="7"/>
  <c r="D1357" i="7" s="1"/>
  <c r="E1357" i="7" s="1"/>
  <c r="J1356" i="7"/>
  <c r="I1356" i="7"/>
  <c r="G1356" i="7"/>
  <c r="F1356" i="7"/>
  <c r="C1356" i="7"/>
  <c r="D1356" i="7" s="1"/>
  <c r="E1356" i="7" s="1"/>
  <c r="J1355" i="7"/>
  <c r="I1355" i="7"/>
  <c r="G1355" i="7"/>
  <c r="F1355" i="7"/>
  <c r="C1355" i="7"/>
  <c r="D1355" i="7" s="1"/>
  <c r="E1355" i="7" s="1"/>
  <c r="J1354" i="7"/>
  <c r="I1354" i="7"/>
  <c r="G1354" i="7"/>
  <c r="F1354" i="7"/>
  <c r="C1354" i="7"/>
  <c r="D1354" i="7" s="1"/>
  <c r="E1354" i="7" s="1"/>
  <c r="J1353" i="7"/>
  <c r="I1353" i="7"/>
  <c r="G1353" i="7"/>
  <c r="F1353" i="7"/>
  <c r="C1353" i="7"/>
  <c r="D1353" i="7" s="1"/>
  <c r="E1353" i="7" s="1"/>
  <c r="J1352" i="7"/>
  <c r="I1352" i="7"/>
  <c r="G1352" i="7"/>
  <c r="F1352" i="7"/>
  <c r="C1352" i="7"/>
  <c r="D1352" i="7" s="1"/>
  <c r="E1352" i="7" s="1"/>
  <c r="J1351" i="7"/>
  <c r="I1351" i="7"/>
  <c r="G1351" i="7"/>
  <c r="F1351" i="7"/>
  <c r="C1351" i="7"/>
  <c r="D1351" i="7" s="1"/>
  <c r="E1351" i="7" s="1"/>
  <c r="J1350" i="7"/>
  <c r="I1350" i="7"/>
  <c r="G1350" i="7"/>
  <c r="F1350" i="7"/>
  <c r="C1350" i="7"/>
  <c r="D1350" i="7" s="1"/>
  <c r="E1350" i="7" s="1"/>
  <c r="J1349" i="7"/>
  <c r="I1349" i="7"/>
  <c r="G1349" i="7"/>
  <c r="F1349" i="7"/>
  <c r="C1349" i="7"/>
  <c r="D1349" i="7" s="1"/>
  <c r="E1349" i="7" s="1"/>
  <c r="J1348" i="7"/>
  <c r="I1348" i="7"/>
  <c r="G1348" i="7"/>
  <c r="F1348" i="7"/>
  <c r="C1348" i="7"/>
  <c r="D1348" i="7" s="1"/>
  <c r="E1348" i="7" s="1"/>
  <c r="J1347" i="7"/>
  <c r="I1347" i="7"/>
  <c r="G1347" i="7"/>
  <c r="F1347" i="7"/>
  <c r="C1347" i="7"/>
  <c r="D1347" i="7" s="1"/>
  <c r="E1347" i="7" s="1"/>
  <c r="J1346" i="7"/>
  <c r="I1346" i="7"/>
  <c r="G1346" i="7"/>
  <c r="F1346" i="7"/>
  <c r="C1346" i="7"/>
  <c r="D1346" i="7" s="1"/>
  <c r="E1346" i="7" s="1"/>
  <c r="J1345" i="7"/>
  <c r="I1345" i="7"/>
  <c r="G1345" i="7"/>
  <c r="F1345" i="7"/>
  <c r="C1345" i="7"/>
  <c r="D1345" i="7" s="1"/>
  <c r="E1345" i="7" s="1"/>
  <c r="J1344" i="7"/>
  <c r="I1344" i="7"/>
  <c r="G1344" i="7"/>
  <c r="F1344" i="7"/>
  <c r="C1344" i="7"/>
  <c r="D1344" i="7" s="1"/>
  <c r="E1344" i="7" s="1"/>
  <c r="J1343" i="7"/>
  <c r="I1343" i="7"/>
  <c r="G1343" i="7"/>
  <c r="F1343" i="7"/>
  <c r="C1343" i="7"/>
  <c r="D1343" i="7" s="1"/>
  <c r="E1343" i="7" s="1"/>
  <c r="J1342" i="7"/>
  <c r="I1342" i="7"/>
  <c r="G1342" i="7"/>
  <c r="F1342" i="7"/>
  <c r="C1342" i="7"/>
  <c r="D1342" i="7" s="1"/>
  <c r="E1342" i="7" s="1"/>
  <c r="J1341" i="7"/>
  <c r="I1341" i="7"/>
  <c r="G1341" i="7"/>
  <c r="F1341" i="7"/>
  <c r="C1341" i="7"/>
  <c r="D1341" i="7" s="1"/>
  <c r="E1341" i="7" s="1"/>
  <c r="J1340" i="7"/>
  <c r="I1340" i="7"/>
  <c r="G1340" i="7"/>
  <c r="F1340" i="7"/>
  <c r="C1340" i="7"/>
  <c r="D1340" i="7" s="1"/>
  <c r="E1340" i="7" s="1"/>
  <c r="J1339" i="7"/>
  <c r="I1339" i="7"/>
  <c r="G1339" i="7"/>
  <c r="F1339" i="7"/>
  <c r="C1339" i="7"/>
  <c r="D1339" i="7" s="1"/>
  <c r="E1339" i="7" s="1"/>
  <c r="J1338" i="7"/>
  <c r="I1338" i="7"/>
  <c r="G1338" i="7"/>
  <c r="F1338" i="7"/>
  <c r="C1338" i="7"/>
  <c r="D1338" i="7" s="1"/>
  <c r="E1338" i="7" s="1"/>
  <c r="J1337" i="7"/>
  <c r="I1337" i="7"/>
  <c r="G1337" i="7"/>
  <c r="F1337" i="7"/>
  <c r="C1337" i="7"/>
  <c r="D1337" i="7" s="1"/>
  <c r="E1337" i="7" s="1"/>
  <c r="J1336" i="7"/>
  <c r="I1336" i="7"/>
  <c r="G1336" i="7"/>
  <c r="F1336" i="7"/>
  <c r="C1336" i="7"/>
  <c r="D1336" i="7" s="1"/>
  <c r="E1336" i="7" s="1"/>
  <c r="J1335" i="7"/>
  <c r="I1335" i="7"/>
  <c r="G1335" i="7"/>
  <c r="F1335" i="7"/>
  <c r="C1335" i="7"/>
  <c r="D1335" i="7" s="1"/>
  <c r="E1335" i="7" s="1"/>
  <c r="J1334" i="7"/>
  <c r="I1334" i="7"/>
  <c r="G1334" i="7"/>
  <c r="F1334" i="7"/>
  <c r="C1334" i="7"/>
  <c r="D1334" i="7" s="1"/>
  <c r="E1334" i="7" s="1"/>
  <c r="J1333" i="7"/>
  <c r="I1333" i="7"/>
  <c r="G1333" i="7"/>
  <c r="F1333" i="7"/>
  <c r="C1333" i="7"/>
  <c r="D1333" i="7" s="1"/>
  <c r="E1333" i="7" s="1"/>
  <c r="J1332" i="7"/>
  <c r="I1332" i="7"/>
  <c r="G1332" i="7"/>
  <c r="F1332" i="7"/>
  <c r="C1332" i="7"/>
  <c r="D1332" i="7" s="1"/>
  <c r="E1332" i="7" s="1"/>
  <c r="J1331" i="7"/>
  <c r="I1331" i="7"/>
  <c r="G1331" i="7"/>
  <c r="F1331" i="7"/>
  <c r="C1331" i="7"/>
  <c r="D1331" i="7" s="1"/>
  <c r="E1331" i="7" s="1"/>
  <c r="J1330" i="7"/>
  <c r="I1330" i="7"/>
  <c r="G1330" i="7"/>
  <c r="F1330" i="7"/>
  <c r="C1330" i="7"/>
  <c r="D1330" i="7" s="1"/>
  <c r="E1330" i="7" s="1"/>
  <c r="J1329" i="7"/>
  <c r="I1329" i="7"/>
  <c r="G1329" i="7"/>
  <c r="F1329" i="7"/>
  <c r="C1329" i="7"/>
  <c r="D1329" i="7" s="1"/>
  <c r="E1329" i="7" s="1"/>
  <c r="J1328" i="7"/>
  <c r="I1328" i="7"/>
  <c r="G1328" i="7"/>
  <c r="F1328" i="7"/>
  <c r="C1328" i="7"/>
  <c r="D1328" i="7" s="1"/>
  <c r="E1328" i="7" s="1"/>
  <c r="J1327" i="7"/>
  <c r="I1327" i="7"/>
  <c r="G1327" i="7"/>
  <c r="F1327" i="7"/>
  <c r="C1327" i="7"/>
  <c r="D1327" i="7" s="1"/>
  <c r="E1327" i="7" s="1"/>
  <c r="J1326" i="7"/>
  <c r="I1326" i="7"/>
  <c r="G1326" i="7"/>
  <c r="F1326" i="7"/>
  <c r="C1326" i="7"/>
  <c r="D1326" i="7" s="1"/>
  <c r="E1326" i="7" s="1"/>
  <c r="J1325" i="7"/>
  <c r="I1325" i="7"/>
  <c r="G1325" i="7"/>
  <c r="F1325" i="7"/>
  <c r="C1325" i="7"/>
  <c r="D1325" i="7" s="1"/>
  <c r="E1325" i="7" s="1"/>
  <c r="J1324" i="7"/>
  <c r="I1324" i="7"/>
  <c r="G1324" i="7"/>
  <c r="F1324" i="7"/>
  <c r="C1324" i="7"/>
  <c r="D1324" i="7" s="1"/>
  <c r="E1324" i="7" s="1"/>
  <c r="J1323" i="7"/>
  <c r="I1323" i="7"/>
  <c r="G1323" i="7"/>
  <c r="F1323" i="7"/>
  <c r="C1323" i="7"/>
  <c r="D1323" i="7" s="1"/>
  <c r="E1323" i="7" s="1"/>
  <c r="J1322" i="7"/>
  <c r="I1322" i="7"/>
  <c r="G1322" i="7"/>
  <c r="F1322" i="7"/>
  <c r="C1322" i="7"/>
  <c r="D1322" i="7" s="1"/>
  <c r="E1322" i="7" s="1"/>
  <c r="J1321" i="7"/>
  <c r="I1321" i="7"/>
  <c r="G1321" i="7"/>
  <c r="F1321" i="7"/>
  <c r="C1321" i="7"/>
  <c r="D1321" i="7" s="1"/>
  <c r="E1321" i="7" s="1"/>
  <c r="J1320" i="7"/>
  <c r="I1320" i="7"/>
  <c r="G1320" i="7"/>
  <c r="F1320" i="7"/>
  <c r="C1320" i="7"/>
  <c r="D1320" i="7" s="1"/>
  <c r="E1320" i="7" s="1"/>
  <c r="J1319" i="7"/>
  <c r="I1319" i="7"/>
  <c r="G1319" i="7"/>
  <c r="F1319" i="7"/>
  <c r="C1319" i="7"/>
  <c r="D1319" i="7" s="1"/>
  <c r="E1319" i="7" s="1"/>
  <c r="J1318" i="7"/>
  <c r="I1318" i="7"/>
  <c r="G1318" i="7"/>
  <c r="F1318" i="7"/>
  <c r="C1318" i="7"/>
  <c r="D1318" i="7" s="1"/>
  <c r="E1318" i="7" s="1"/>
  <c r="J1317" i="7"/>
  <c r="I1317" i="7"/>
  <c r="G1317" i="7"/>
  <c r="F1317" i="7"/>
  <c r="C1317" i="7"/>
  <c r="D1317" i="7" s="1"/>
  <c r="E1317" i="7" s="1"/>
  <c r="J1316" i="7"/>
  <c r="I1316" i="7"/>
  <c r="G1316" i="7"/>
  <c r="F1316" i="7"/>
  <c r="C1316" i="7"/>
  <c r="D1316" i="7" s="1"/>
  <c r="E1316" i="7" s="1"/>
  <c r="J1315" i="7"/>
  <c r="I1315" i="7"/>
  <c r="G1315" i="7"/>
  <c r="F1315" i="7"/>
  <c r="C1315" i="7"/>
  <c r="D1315" i="7" s="1"/>
  <c r="E1315" i="7" s="1"/>
  <c r="J1314" i="7"/>
  <c r="I1314" i="7"/>
  <c r="G1314" i="7"/>
  <c r="F1314" i="7"/>
  <c r="C1314" i="7"/>
  <c r="D1314" i="7" s="1"/>
  <c r="E1314" i="7" s="1"/>
  <c r="J1313" i="7"/>
  <c r="I1313" i="7"/>
  <c r="G1313" i="7"/>
  <c r="F1313" i="7"/>
  <c r="C1313" i="7"/>
  <c r="D1313" i="7" s="1"/>
  <c r="E1313" i="7" s="1"/>
  <c r="J1312" i="7"/>
  <c r="I1312" i="7"/>
  <c r="G1312" i="7"/>
  <c r="F1312" i="7"/>
  <c r="C1312" i="7"/>
  <c r="D1312" i="7" s="1"/>
  <c r="E1312" i="7" s="1"/>
  <c r="J1311" i="7"/>
  <c r="I1311" i="7"/>
  <c r="G1311" i="7"/>
  <c r="F1311" i="7"/>
  <c r="C1311" i="7"/>
  <c r="D1311" i="7" s="1"/>
  <c r="E1311" i="7" s="1"/>
  <c r="J1310" i="7"/>
  <c r="I1310" i="7"/>
  <c r="G1310" i="7"/>
  <c r="F1310" i="7"/>
  <c r="C1310" i="7"/>
  <c r="D1310" i="7" s="1"/>
  <c r="E1310" i="7" s="1"/>
  <c r="J1309" i="7"/>
  <c r="I1309" i="7"/>
  <c r="G1309" i="7"/>
  <c r="F1309" i="7"/>
  <c r="C1309" i="7"/>
  <c r="D1309" i="7" s="1"/>
  <c r="E1309" i="7" s="1"/>
  <c r="J1308" i="7"/>
  <c r="I1308" i="7"/>
  <c r="G1308" i="7"/>
  <c r="F1308" i="7"/>
  <c r="C1308" i="7"/>
  <c r="D1308" i="7" s="1"/>
  <c r="E1308" i="7" s="1"/>
  <c r="J1307" i="7"/>
  <c r="I1307" i="7"/>
  <c r="G1307" i="7"/>
  <c r="F1307" i="7"/>
  <c r="C1307" i="7"/>
  <c r="D1307" i="7" s="1"/>
  <c r="E1307" i="7" s="1"/>
  <c r="J1306" i="7"/>
  <c r="I1306" i="7"/>
  <c r="G1306" i="7"/>
  <c r="F1306" i="7"/>
  <c r="C1306" i="7"/>
  <c r="D1306" i="7" s="1"/>
  <c r="E1306" i="7" s="1"/>
  <c r="J1305" i="7"/>
  <c r="I1305" i="7"/>
  <c r="G1305" i="7"/>
  <c r="F1305" i="7"/>
  <c r="C1305" i="7"/>
  <c r="D1305" i="7" s="1"/>
  <c r="E1305" i="7" s="1"/>
  <c r="J1304" i="7"/>
  <c r="I1304" i="7"/>
  <c r="G1304" i="7"/>
  <c r="F1304" i="7"/>
  <c r="C1304" i="7"/>
  <c r="D1304" i="7" s="1"/>
  <c r="E1304" i="7" s="1"/>
  <c r="J1303" i="7"/>
  <c r="I1303" i="7"/>
  <c r="G1303" i="7"/>
  <c r="F1303" i="7"/>
  <c r="C1303" i="7"/>
  <c r="D1303" i="7" s="1"/>
  <c r="E1303" i="7" s="1"/>
  <c r="J1302" i="7"/>
  <c r="I1302" i="7"/>
  <c r="G1302" i="7"/>
  <c r="F1302" i="7"/>
  <c r="C1302" i="7"/>
  <c r="D1302" i="7" s="1"/>
  <c r="E1302" i="7" s="1"/>
  <c r="J1301" i="7"/>
  <c r="I1301" i="7"/>
  <c r="G1301" i="7"/>
  <c r="F1301" i="7"/>
  <c r="C1301" i="7"/>
  <c r="D1301" i="7" s="1"/>
  <c r="E1301" i="7" s="1"/>
  <c r="J1300" i="7"/>
  <c r="I1300" i="7"/>
  <c r="G1300" i="7"/>
  <c r="F1300" i="7"/>
  <c r="C1300" i="7"/>
  <c r="D1300" i="7" s="1"/>
  <c r="E1300" i="7" s="1"/>
  <c r="J1299" i="7"/>
  <c r="I1299" i="7"/>
  <c r="G1299" i="7"/>
  <c r="F1299" i="7"/>
  <c r="C1299" i="7"/>
  <c r="D1299" i="7" s="1"/>
  <c r="E1299" i="7" s="1"/>
  <c r="J1298" i="7"/>
  <c r="I1298" i="7"/>
  <c r="G1298" i="7"/>
  <c r="F1298" i="7"/>
  <c r="C1298" i="7"/>
  <c r="D1298" i="7" s="1"/>
  <c r="E1298" i="7" s="1"/>
  <c r="J1297" i="7"/>
  <c r="I1297" i="7"/>
  <c r="G1297" i="7"/>
  <c r="F1297" i="7"/>
  <c r="C1297" i="7"/>
  <c r="D1297" i="7" s="1"/>
  <c r="E1297" i="7" s="1"/>
  <c r="J1296" i="7"/>
  <c r="I1296" i="7"/>
  <c r="G1296" i="7"/>
  <c r="F1296" i="7"/>
  <c r="C1296" i="7"/>
  <c r="D1296" i="7" s="1"/>
  <c r="E1296" i="7" s="1"/>
  <c r="J1295" i="7"/>
  <c r="I1295" i="7"/>
  <c r="G1295" i="7"/>
  <c r="F1295" i="7"/>
  <c r="C1295" i="7"/>
  <c r="D1295" i="7" s="1"/>
  <c r="E1295" i="7" s="1"/>
  <c r="J1294" i="7"/>
  <c r="I1294" i="7"/>
  <c r="G1294" i="7"/>
  <c r="F1294" i="7"/>
  <c r="C1294" i="7"/>
  <c r="D1294" i="7" s="1"/>
  <c r="E1294" i="7" s="1"/>
  <c r="J1293" i="7"/>
  <c r="I1293" i="7"/>
  <c r="G1293" i="7"/>
  <c r="F1293" i="7"/>
  <c r="C1293" i="7"/>
  <c r="D1293" i="7" s="1"/>
  <c r="E1293" i="7" s="1"/>
  <c r="J1292" i="7"/>
  <c r="I1292" i="7"/>
  <c r="G1292" i="7"/>
  <c r="F1292" i="7"/>
  <c r="C1292" i="7"/>
  <c r="D1292" i="7" s="1"/>
  <c r="E1292" i="7" s="1"/>
  <c r="J1291" i="7"/>
  <c r="I1291" i="7"/>
  <c r="G1291" i="7"/>
  <c r="F1291" i="7"/>
  <c r="C1291" i="7"/>
  <c r="D1291" i="7" s="1"/>
  <c r="E1291" i="7" s="1"/>
  <c r="J1290" i="7"/>
  <c r="I1290" i="7"/>
  <c r="G1290" i="7"/>
  <c r="F1290" i="7"/>
  <c r="C1290" i="7"/>
  <c r="D1290" i="7" s="1"/>
  <c r="E1290" i="7" s="1"/>
  <c r="J1289" i="7"/>
  <c r="I1289" i="7"/>
  <c r="G1289" i="7"/>
  <c r="F1289" i="7"/>
  <c r="C1289" i="7"/>
  <c r="D1289" i="7" s="1"/>
  <c r="E1289" i="7" s="1"/>
  <c r="J1288" i="7"/>
  <c r="I1288" i="7"/>
  <c r="G1288" i="7"/>
  <c r="F1288" i="7"/>
  <c r="C1288" i="7"/>
  <c r="D1288" i="7" s="1"/>
  <c r="E1288" i="7" s="1"/>
  <c r="J1287" i="7"/>
  <c r="I1287" i="7"/>
  <c r="G1287" i="7"/>
  <c r="F1287" i="7"/>
  <c r="C1287" i="7"/>
  <c r="D1287" i="7" s="1"/>
  <c r="E1287" i="7" s="1"/>
  <c r="J1286" i="7"/>
  <c r="I1286" i="7"/>
  <c r="G1286" i="7"/>
  <c r="F1286" i="7"/>
  <c r="C1286" i="7"/>
  <c r="D1286" i="7" s="1"/>
  <c r="E1286" i="7" s="1"/>
  <c r="J1285" i="7"/>
  <c r="I1285" i="7"/>
  <c r="G1285" i="7"/>
  <c r="F1285" i="7"/>
  <c r="C1285" i="7"/>
  <c r="D1285" i="7" s="1"/>
  <c r="E1285" i="7" s="1"/>
  <c r="J1284" i="7"/>
  <c r="I1284" i="7"/>
  <c r="G1284" i="7"/>
  <c r="F1284" i="7"/>
  <c r="C1284" i="7"/>
  <c r="D1284" i="7" s="1"/>
  <c r="E1284" i="7" s="1"/>
  <c r="J1283" i="7"/>
  <c r="I1283" i="7"/>
  <c r="G1283" i="7"/>
  <c r="F1283" i="7"/>
  <c r="C1283" i="7"/>
  <c r="D1283" i="7" s="1"/>
  <c r="E1283" i="7" s="1"/>
  <c r="J1282" i="7"/>
  <c r="I1282" i="7"/>
  <c r="G1282" i="7"/>
  <c r="F1282" i="7"/>
  <c r="C1282" i="7"/>
  <c r="D1282" i="7" s="1"/>
  <c r="E1282" i="7" s="1"/>
  <c r="J1281" i="7"/>
  <c r="I1281" i="7"/>
  <c r="G1281" i="7"/>
  <c r="F1281" i="7"/>
  <c r="C1281" i="7"/>
  <c r="D1281" i="7" s="1"/>
  <c r="E1281" i="7" s="1"/>
  <c r="J1280" i="7"/>
  <c r="I1280" i="7"/>
  <c r="G1280" i="7"/>
  <c r="F1280" i="7"/>
  <c r="C1280" i="7"/>
  <c r="D1280" i="7" s="1"/>
  <c r="E1280" i="7" s="1"/>
  <c r="J1279" i="7"/>
  <c r="I1279" i="7"/>
  <c r="G1279" i="7"/>
  <c r="F1279" i="7"/>
  <c r="C1279" i="7"/>
  <c r="D1279" i="7" s="1"/>
  <c r="E1279" i="7" s="1"/>
  <c r="J1278" i="7"/>
  <c r="I1278" i="7"/>
  <c r="G1278" i="7"/>
  <c r="F1278" i="7"/>
  <c r="C1278" i="7"/>
  <c r="D1278" i="7" s="1"/>
  <c r="E1278" i="7" s="1"/>
  <c r="J1277" i="7"/>
  <c r="I1277" i="7"/>
  <c r="G1277" i="7"/>
  <c r="F1277" i="7"/>
  <c r="C1277" i="7"/>
  <c r="D1277" i="7" s="1"/>
  <c r="E1277" i="7" s="1"/>
  <c r="J1276" i="7"/>
  <c r="I1276" i="7"/>
  <c r="G1276" i="7"/>
  <c r="F1276" i="7"/>
  <c r="C1276" i="7"/>
  <c r="D1276" i="7" s="1"/>
  <c r="E1276" i="7" s="1"/>
  <c r="J1275" i="7"/>
  <c r="I1275" i="7"/>
  <c r="G1275" i="7"/>
  <c r="F1275" i="7"/>
  <c r="C1275" i="7"/>
  <c r="D1275" i="7" s="1"/>
  <c r="E1275" i="7" s="1"/>
  <c r="J1274" i="7"/>
  <c r="I1274" i="7"/>
  <c r="G1274" i="7"/>
  <c r="F1274" i="7"/>
  <c r="C1274" i="7"/>
  <c r="D1274" i="7" s="1"/>
  <c r="E1274" i="7" s="1"/>
  <c r="J1273" i="7"/>
  <c r="I1273" i="7"/>
  <c r="G1273" i="7"/>
  <c r="F1273" i="7"/>
  <c r="C1273" i="7"/>
  <c r="D1273" i="7" s="1"/>
  <c r="E1273" i="7" s="1"/>
  <c r="J1272" i="7"/>
  <c r="I1272" i="7"/>
  <c r="G1272" i="7"/>
  <c r="F1272" i="7"/>
  <c r="C1272" i="7"/>
  <c r="D1272" i="7" s="1"/>
  <c r="E1272" i="7" s="1"/>
  <c r="J1271" i="7"/>
  <c r="I1271" i="7"/>
  <c r="G1271" i="7"/>
  <c r="F1271" i="7"/>
  <c r="C1271" i="7"/>
  <c r="D1271" i="7" s="1"/>
  <c r="E1271" i="7" s="1"/>
  <c r="J1270" i="7"/>
  <c r="I1270" i="7"/>
  <c r="G1270" i="7"/>
  <c r="F1270" i="7"/>
  <c r="C1270" i="7"/>
  <c r="D1270" i="7" s="1"/>
  <c r="E1270" i="7" s="1"/>
  <c r="J1269" i="7"/>
  <c r="I1269" i="7"/>
  <c r="G1269" i="7"/>
  <c r="F1269" i="7"/>
  <c r="C1269" i="7"/>
  <c r="D1269" i="7" s="1"/>
  <c r="E1269" i="7" s="1"/>
  <c r="J1268" i="7"/>
  <c r="I1268" i="7"/>
  <c r="G1268" i="7"/>
  <c r="F1268" i="7"/>
  <c r="C1268" i="7"/>
  <c r="D1268" i="7" s="1"/>
  <c r="E1268" i="7" s="1"/>
  <c r="J1267" i="7"/>
  <c r="I1267" i="7"/>
  <c r="G1267" i="7"/>
  <c r="F1267" i="7"/>
  <c r="C1267" i="7"/>
  <c r="D1267" i="7" s="1"/>
  <c r="E1267" i="7" s="1"/>
  <c r="J1266" i="7"/>
  <c r="I1266" i="7"/>
  <c r="G1266" i="7"/>
  <c r="F1266" i="7"/>
  <c r="C1266" i="7"/>
  <c r="D1266" i="7" s="1"/>
  <c r="E1266" i="7" s="1"/>
  <c r="J1265" i="7"/>
  <c r="I1265" i="7"/>
  <c r="G1265" i="7"/>
  <c r="F1265" i="7"/>
  <c r="C1265" i="7"/>
  <c r="D1265" i="7" s="1"/>
  <c r="E1265" i="7" s="1"/>
  <c r="J1264" i="7"/>
  <c r="I1264" i="7"/>
  <c r="G1264" i="7"/>
  <c r="F1264" i="7"/>
  <c r="C1264" i="7"/>
  <c r="D1264" i="7" s="1"/>
  <c r="E1264" i="7" s="1"/>
  <c r="J1263" i="7"/>
  <c r="I1263" i="7"/>
  <c r="G1263" i="7"/>
  <c r="F1263" i="7"/>
  <c r="C1263" i="7"/>
  <c r="D1263" i="7" s="1"/>
  <c r="E1263" i="7" s="1"/>
  <c r="J1262" i="7"/>
  <c r="I1262" i="7"/>
  <c r="G1262" i="7"/>
  <c r="F1262" i="7"/>
  <c r="C1262" i="7"/>
  <c r="D1262" i="7" s="1"/>
  <c r="E1262" i="7" s="1"/>
  <c r="J1261" i="7"/>
  <c r="I1261" i="7"/>
  <c r="G1261" i="7"/>
  <c r="F1261" i="7"/>
  <c r="C1261" i="7"/>
  <c r="D1261" i="7" s="1"/>
  <c r="E1261" i="7" s="1"/>
  <c r="J1260" i="7"/>
  <c r="I1260" i="7"/>
  <c r="G1260" i="7"/>
  <c r="F1260" i="7"/>
  <c r="C1260" i="7"/>
  <c r="D1260" i="7" s="1"/>
  <c r="E1260" i="7" s="1"/>
  <c r="J1259" i="7"/>
  <c r="I1259" i="7"/>
  <c r="G1259" i="7"/>
  <c r="F1259" i="7"/>
  <c r="C1259" i="7"/>
  <c r="D1259" i="7" s="1"/>
  <c r="E1259" i="7" s="1"/>
  <c r="J1258" i="7"/>
  <c r="I1258" i="7"/>
  <c r="G1258" i="7"/>
  <c r="F1258" i="7"/>
  <c r="C1258" i="7"/>
  <c r="D1258" i="7" s="1"/>
  <c r="E1258" i="7" s="1"/>
  <c r="J1257" i="7"/>
  <c r="I1257" i="7"/>
  <c r="G1257" i="7"/>
  <c r="F1257" i="7"/>
  <c r="C1257" i="7"/>
  <c r="D1257" i="7" s="1"/>
  <c r="E1257" i="7" s="1"/>
  <c r="J1256" i="7"/>
  <c r="I1256" i="7"/>
  <c r="G1256" i="7"/>
  <c r="F1256" i="7"/>
  <c r="C1256" i="7"/>
  <c r="D1256" i="7" s="1"/>
  <c r="E1256" i="7" s="1"/>
  <c r="J1255" i="7"/>
  <c r="I1255" i="7"/>
  <c r="G1255" i="7"/>
  <c r="F1255" i="7"/>
  <c r="C1255" i="7"/>
  <c r="D1255" i="7" s="1"/>
  <c r="E1255" i="7" s="1"/>
  <c r="J1254" i="7"/>
  <c r="I1254" i="7"/>
  <c r="G1254" i="7"/>
  <c r="F1254" i="7"/>
  <c r="C1254" i="7"/>
  <c r="D1254" i="7" s="1"/>
  <c r="E1254" i="7" s="1"/>
  <c r="J1253" i="7"/>
  <c r="I1253" i="7"/>
  <c r="G1253" i="7"/>
  <c r="F1253" i="7"/>
  <c r="C1253" i="7"/>
  <c r="D1253" i="7" s="1"/>
  <c r="E1253" i="7" s="1"/>
  <c r="J1252" i="7"/>
  <c r="I1252" i="7"/>
  <c r="G1252" i="7"/>
  <c r="F1252" i="7"/>
  <c r="C1252" i="7"/>
  <c r="D1252" i="7" s="1"/>
  <c r="E1252" i="7" s="1"/>
  <c r="J1251" i="7"/>
  <c r="I1251" i="7"/>
  <c r="G1251" i="7"/>
  <c r="F1251" i="7"/>
  <c r="C1251" i="7"/>
  <c r="D1251" i="7" s="1"/>
  <c r="E1251" i="7" s="1"/>
  <c r="J1250" i="7"/>
  <c r="I1250" i="7"/>
  <c r="G1250" i="7"/>
  <c r="F1250" i="7"/>
  <c r="C1250" i="7"/>
  <c r="D1250" i="7" s="1"/>
  <c r="E1250" i="7" s="1"/>
  <c r="J1249" i="7"/>
  <c r="I1249" i="7"/>
  <c r="G1249" i="7"/>
  <c r="F1249" i="7"/>
  <c r="C1249" i="7"/>
  <c r="D1249" i="7" s="1"/>
  <c r="E1249" i="7" s="1"/>
  <c r="J1248" i="7"/>
  <c r="I1248" i="7"/>
  <c r="G1248" i="7"/>
  <c r="F1248" i="7"/>
  <c r="C1248" i="7"/>
  <c r="D1248" i="7" s="1"/>
  <c r="E1248" i="7" s="1"/>
  <c r="J1247" i="7"/>
  <c r="I1247" i="7"/>
  <c r="G1247" i="7"/>
  <c r="F1247" i="7"/>
  <c r="C1247" i="7"/>
  <c r="D1247" i="7" s="1"/>
  <c r="E1247" i="7" s="1"/>
  <c r="J1246" i="7"/>
  <c r="I1246" i="7"/>
  <c r="G1246" i="7"/>
  <c r="F1246" i="7"/>
  <c r="C1246" i="7"/>
  <c r="D1246" i="7" s="1"/>
  <c r="E1246" i="7" s="1"/>
  <c r="J1245" i="7"/>
  <c r="I1245" i="7"/>
  <c r="G1245" i="7"/>
  <c r="F1245" i="7"/>
  <c r="C1245" i="7"/>
  <c r="D1245" i="7" s="1"/>
  <c r="E1245" i="7" s="1"/>
  <c r="J1244" i="7"/>
  <c r="I1244" i="7"/>
  <c r="G1244" i="7"/>
  <c r="F1244" i="7"/>
  <c r="C1244" i="7"/>
  <c r="D1244" i="7" s="1"/>
  <c r="E1244" i="7" s="1"/>
  <c r="J1243" i="7"/>
  <c r="I1243" i="7"/>
  <c r="G1243" i="7"/>
  <c r="F1243" i="7"/>
  <c r="C1243" i="7"/>
  <c r="D1243" i="7" s="1"/>
  <c r="E1243" i="7" s="1"/>
  <c r="J1242" i="7"/>
  <c r="I1242" i="7"/>
  <c r="G1242" i="7"/>
  <c r="F1242" i="7"/>
  <c r="C1242" i="7"/>
  <c r="D1242" i="7" s="1"/>
  <c r="E1242" i="7" s="1"/>
  <c r="J1241" i="7"/>
  <c r="I1241" i="7"/>
  <c r="G1241" i="7"/>
  <c r="F1241" i="7"/>
  <c r="C1241" i="7"/>
  <c r="D1241" i="7" s="1"/>
  <c r="E1241" i="7" s="1"/>
  <c r="J1240" i="7"/>
  <c r="I1240" i="7"/>
  <c r="G1240" i="7"/>
  <c r="F1240" i="7"/>
  <c r="C1240" i="7"/>
  <c r="D1240" i="7" s="1"/>
  <c r="E1240" i="7" s="1"/>
  <c r="J1239" i="7"/>
  <c r="I1239" i="7"/>
  <c r="G1239" i="7"/>
  <c r="F1239" i="7"/>
  <c r="C1239" i="7"/>
  <c r="D1239" i="7" s="1"/>
  <c r="E1239" i="7" s="1"/>
  <c r="J1238" i="7"/>
  <c r="I1238" i="7"/>
  <c r="G1238" i="7"/>
  <c r="F1238" i="7"/>
  <c r="C1238" i="7"/>
  <c r="D1238" i="7" s="1"/>
  <c r="E1238" i="7" s="1"/>
  <c r="J1237" i="7"/>
  <c r="I1237" i="7"/>
  <c r="G1237" i="7"/>
  <c r="F1237" i="7"/>
  <c r="C1237" i="7"/>
  <c r="D1237" i="7" s="1"/>
  <c r="E1237" i="7" s="1"/>
  <c r="J1236" i="7"/>
  <c r="I1236" i="7"/>
  <c r="G1236" i="7"/>
  <c r="F1236" i="7"/>
  <c r="C1236" i="7"/>
  <c r="D1236" i="7" s="1"/>
  <c r="E1236" i="7" s="1"/>
  <c r="J1235" i="7"/>
  <c r="I1235" i="7"/>
  <c r="G1235" i="7"/>
  <c r="F1235" i="7"/>
  <c r="C1235" i="7"/>
  <c r="D1235" i="7" s="1"/>
  <c r="E1235" i="7" s="1"/>
  <c r="J1234" i="7"/>
  <c r="I1234" i="7"/>
  <c r="G1234" i="7"/>
  <c r="F1234" i="7"/>
  <c r="C1234" i="7"/>
  <c r="D1234" i="7" s="1"/>
  <c r="E1234" i="7" s="1"/>
  <c r="J1233" i="7"/>
  <c r="I1233" i="7"/>
  <c r="G1233" i="7"/>
  <c r="F1233" i="7"/>
  <c r="C1233" i="7"/>
  <c r="D1233" i="7" s="1"/>
  <c r="E1233" i="7" s="1"/>
  <c r="J1232" i="7"/>
  <c r="I1232" i="7"/>
  <c r="G1232" i="7"/>
  <c r="F1232" i="7"/>
  <c r="C1232" i="7"/>
  <c r="D1232" i="7" s="1"/>
  <c r="E1232" i="7" s="1"/>
  <c r="J1231" i="7"/>
  <c r="I1231" i="7"/>
  <c r="G1231" i="7"/>
  <c r="F1231" i="7"/>
  <c r="C1231" i="7"/>
  <c r="D1231" i="7" s="1"/>
  <c r="E1231" i="7" s="1"/>
  <c r="J1230" i="7"/>
  <c r="I1230" i="7"/>
  <c r="G1230" i="7"/>
  <c r="F1230" i="7"/>
  <c r="C1230" i="7"/>
  <c r="D1230" i="7" s="1"/>
  <c r="E1230" i="7" s="1"/>
  <c r="J1229" i="7"/>
  <c r="I1229" i="7"/>
  <c r="G1229" i="7"/>
  <c r="F1229" i="7"/>
  <c r="C1229" i="7"/>
  <c r="D1229" i="7" s="1"/>
  <c r="E1229" i="7" s="1"/>
  <c r="J1228" i="7"/>
  <c r="I1228" i="7"/>
  <c r="G1228" i="7"/>
  <c r="F1228" i="7"/>
  <c r="C1228" i="7"/>
  <c r="D1228" i="7" s="1"/>
  <c r="E1228" i="7" s="1"/>
  <c r="J1227" i="7"/>
  <c r="I1227" i="7"/>
  <c r="G1227" i="7"/>
  <c r="F1227" i="7"/>
  <c r="C1227" i="7"/>
  <c r="D1227" i="7" s="1"/>
  <c r="E1227" i="7" s="1"/>
  <c r="J1226" i="7"/>
  <c r="I1226" i="7"/>
  <c r="G1226" i="7"/>
  <c r="F1226" i="7"/>
  <c r="C1226" i="7"/>
  <c r="D1226" i="7" s="1"/>
  <c r="E1226" i="7" s="1"/>
  <c r="J1225" i="7"/>
  <c r="I1225" i="7"/>
  <c r="G1225" i="7"/>
  <c r="F1225" i="7"/>
  <c r="C1225" i="7"/>
  <c r="D1225" i="7" s="1"/>
  <c r="E1225" i="7" s="1"/>
  <c r="J1224" i="7"/>
  <c r="I1224" i="7"/>
  <c r="G1224" i="7"/>
  <c r="F1224" i="7"/>
  <c r="C1224" i="7"/>
  <c r="D1224" i="7" s="1"/>
  <c r="E1224" i="7" s="1"/>
  <c r="J1223" i="7"/>
  <c r="I1223" i="7"/>
  <c r="G1223" i="7"/>
  <c r="F1223" i="7"/>
  <c r="C1223" i="7"/>
  <c r="D1223" i="7" s="1"/>
  <c r="E1223" i="7" s="1"/>
  <c r="J1222" i="7"/>
  <c r="I1222" i="7"/>
  <c r="G1222" i="7"/>
  <c r="F1222" i="7"/>
  <c r="C1222" i="7"/>
  <c r="D1222" i="7" s="1"/>
  <c r="E1222" i="7" s="1"/>
  <c r="J1221" i="7"/>
  <c r="I1221" i="7"/>
  <c r="G1221" i="7"/>
  <c r="F1221" i="7"/>
  <c r="C1221" i="7"/>
  <c r="D1221" i="7" s="1"/>
  <c r="E1221" i="7" s="1"/>
  <c r="J1220" i="7"/>
  <c r="I1220" i="7"/>
  <c r="G1220" i="7"/>
  <c r="F1220" i="7"/>
  <c r="C1220" i="7"/>
  <c r="D1220" i="7" s="1"/>
  <c r="E1220" i="7" s="1"/>
  <c r="J1219" i="7"/>
  <c r="I1219" i="7"/>
  <c r="G1219" i="7"/>
  <c r="F1219" i="7"/>
  <c r="C1219" i="7"/>
  <c r="D1219" i="7" s="1"/>
  <c r="E1219" i="7" s="1"/>
  <c r="J1218" i="7"/>
  <c r="I1218" i="7"/>
  <c r="G1218" i="7"/>
  <c r="F1218" i="7"/>
  <c r="C1218" i="7"/>
  <c r="D1218" i="7" s="1"/>
  <c r="E1218" i="7" s="1"/>
  <c r="J1217" i="7"/>
  <c r="I1217" i="7"/>
  <c r="G1217" i="7"/>
  <c r="F1217" i="7"/>
  <c r="C1217" i="7"/>
  <c r="D1217" i="7" s="1"/>
  <c r="E1217" i="7" s="1"/>
  <c r="J1216" i="7"/>
  <c r="I1216" i="7"/>
  <c r="G1216" i="7"/>
  <c r="F1216" i="7"/>
  <c r="C1216" i="7"/>
  <c r="D1216" i="7" s="1"/>
  <c r="E1216" i="7" s="1"/>
  <c r="J1215" i="7"/>
  <c r="I1215" i="7"/>
  <c r="G1215" i="7"/>
  <c r="F1215" i="7"/>
  <c r="C1215" i="7"/>
  <c r="D1215" i="7" s="1"/>
  <c r="E1215" i="7" s="1"/>
  <c r="J1214" i="7"/>
  <c r="I1214" i="7"/>
  <c r="G1214" i="7"/>
  <c r="F1214" i="7"/>
  <c r="C1214" i="7"/>
  <c r="D1214" i="7" s="1"/>
  <c r="E1214" i="7" s="1"/>
  <c r="J1213" i="7"/>
  <c r="I1213" i="7"/>
  <c r="G1213" i="7"/>
  <c r="F1213" i="7"/>
  <c r="C1213" i="7"/>
  <c r="D1213" i="7" s="1"/>
  <c r="E1213" i="7" s="1"/>
  <c r="J1212" i="7"/>
  <c r="I1212" i="7"/>
  <c r="G1212" i="7"/>
  <c r="F1212" i="7"/>
  <c r="C1212" i="7"/>
  <c r="D1212" i="7" s="1"/>
  <c r="E1212" i="7" s="1"/>
  <c r="J1211" i="7"/>
  <c r="I1211" i="7"/>
  <c r="G1211" i="7"/>
  <c r="F1211" i="7"/>
  <c r="C1211" i="7"/>
  <c r="D1211" i="7" s="1"/>
  <c r="E1211" i="7" s="1"/>
  <c r="J1210" i="7"/>
  <c r="I1210" i="7"/>
  <c r="G1210" i="7"/>
  <c r="F1210" i="7"/>
  <c r="C1210" i="7"/>
  <c r="D1210" i="7" s="1"/>
  <c r="E1210" i="7" s="1"/>
  <c r="J1209" i="7"/>
  <c r="I1209" i="7"/>
  <c r="G1209" i="7"/>
  <c r="F1209" i="7"/>
  <c r="C1209" i="7"/>
  <c r="D1209" i="7" s="1"/>
  <c r="E1209" i="7" s="1"/>
  <c r="J1208" i="7"/>
  <c r="I1208" i="7"/>
  <c r="G1208" i="7"/>
  <c r="F1208" i="7"/>
  <c r="C1208" i="7"/>
  <c r="D1208" i="7" s="1"/>
  <c r="E1208" i="7" s="1"/>
  <c r="J1207" i="7"/>
  <c r="I1207" i="7"/>
  <c r="G1207" i="7"/>
  <c r="F1207" i="7"/>
  <c r="C1207" i="7"/>
  <c r="D1207" i="7" s="1"/>
  <c r="E1207" i="7" s="1"/>
  <c r="J1206" i="7"/>
  <c r="I1206" i="7"/>
  <c r="G1206" i="7"/>
  <c r="F1206" i="7"/>
  <c r="C1206" i="7"/>
  <c r="D1206" i="7" s="1"/>
  <c r="E1206" i="7" s="1"/>
  <c r="J1205" i="7"/>
  <c r="I1205" i="7"/>
  <c r="G1205" i="7"/>
  <c r="F1205" i="7"/>
  <c r="C1205" i="7"/>
  <c r="D1205" i="7" s="1"/>
  <c r="E1205" i="7" s="1"/>
  <c r="J1204" i="7"/>
  <c r="I1204" i="7"/>
  <c r="G1204" i="7"/>
  <c r="F1204" i="7"/>
  <c r="C1204" i="7"/>
  <c r="D1204" i="7" s="1"/>
  <c r="E1204" i="7" s="1"/>
  <c r="J1203" i="7"/>
  <c r="I1203" i="7"/>
  <c r="G1203" i="7"/>
  <c r="F1203" i="7"/>
  <c r="C1203" i="7"/>
  <c r="D1203" i="7" s="1"/>
  <c r="E1203" i="7" s="1"/>
  <c r="J1202" i="7"/>
  <c r="I1202" i="7"/>
  <c r="G1202" i="7"/>
  <c r="F1202" i="7"/>
  <c r="C1202" i="7"/>
  <c r="D1202" i="7" s="1"/>
  <c r="E1202" i="7" s="1"/>
  <c r="J1201" i="7"/>
  <c r="I1201" i="7"/>
  <c r="G1201" i="7"/>
  <c r="F1201" i="7"/>
  <c r="C1201" i="7"/>
  <c r="D1201" i="7" s="1"/>
  <c r="E1201" i="7" s="1"/>
  <c r="J1200" i="7"/>
  <c r="I1200" i="7"/>
  <c r="G1200" i="7"/>
  <c r="F1200" i="7"/>
  <c r="C1200" i="7"/>
  <c r="D1200" i="7" s="1"/>
  <c r="E1200" i="7" s="1"/>
  <c r="J1199" i="7"/>
  <c r="I1199" i="7"/>
  <c r="G1199" i="7"/>
  <c r="F1199" i="7"/>
  <c r="C1199" i="7"/>
  <c r="D1199" i="7" s="1"/>
  <c r="E1199" i="7" s="1"/>
  <c r="J1198" i="7"/>
  <c r="I1198" i="7"/>
  <c r="G1198" i="7"/>
  <c r="F1198" i="7"/>
  <c r="C1198" i="7"/>
  <c r="D1198" i="7" s="1"/>
  <c r="E1198" i="7" s="1"/>
  <c r="J1197" i="7"/>
  <c r="I1197" i="7"/>
  <c r="G1197" i="7"/>
  <c r="F1197" i="7"/>
  <c r="C1197" i="7"/>
  <c r="D1197" i="7" s="1"/>
  <c r="E1197" i="7" s="1"/>
  <c r="J1196" i="7"/>
  <c r="I1196" i="7"/>
  <c r="G1196" i="7"/>
  <c r="F1196" i="7"/>
  <c r="C1196" i="7"/>
  <c r="D1196" i="7" s="1"/>
  <c r="E1196" i="7" s="1"/>
  <c r="J1195" i="7"/>
  <c r="I1195" i="7"/>
  <c r="G1195" i="7"/>
  <c r="F1195" i="7"/>
  <c r="C1195" i="7"/>
  <c r="D1195" i="7" s="1"/>
  <c r="E1195" i="7" s="1"/>
  <c r="J1194" i="7"/>
  <c r="I1194" i="7"/>
  <c r="G1194" i="7"/>
  <c r="F1194" i="7"/>
  <c r="C1194" i="7"/>
  <c r="D1194" i="7" s="1"/>
  <c r="E1194" i="7" s="1"/>
  <c r="J1193" i="7"/>
  <c r="I1193" i="7"/>
  <c r="G1193" i="7"/>
  <c r="F1193" i="7"/>
  <c r="C1193" i="7"/>
  <c r="D1193" i="7" s="1"/>
  <c r="E1193" i="7" s="1"/>
  <c r="J1192" i="7"/>
  <c r="I1192" i="7"/>
  <c r="G1192" i="7"/>
  <c r="F1192" i="7"/>
  <c r="C1192" i="7"/>
  <c r="D1192" i="7" s="1"/>
  <c r="E1192" i="7" s="1"/>
  <c r="J1191" i="7"/>
  <c r="I1191" i="7"/>
  <c r="G1191" i="7"/>
  <c r="F1191" i="7"/>
  <c r="C1191" i="7"/>
  <c r="D1191" i="7" s="1"/>
  <c r="E1191" i="7" s="1"/>
  <c r="J1190" i="7"/>
  <c r="I1190" i="7"/>
  <c r="G1190" i="7"/>
  <c r="F1190" i="7"/>
  <c r="C1190" i="7"/>
  <c r="D1190" i="7" s="1"/>
  <c r="E1190" i="7" s="1"/>
  <c r="J1189" i="7"/>
  <c r="I1189" i="7"/>
  <c r="G1189" i="7"/>
  <c r="F1189" i="7"/>
  <c r="C1189" i="7"/>
  <c r="D1189" i="7" s="1"/>
  <c r="E1189" i="7" s="1"/>
  <c r="J1188" i="7"/>
  <c r="I1188" i="7"/>
  <c r="G1188" i="7"/>
  <c r="F1188" i="7"/>
  <c r="C1188" i="7"/>
  <c r="D1188" i="7" s="1"/>
  <c r="E1188" i="7" s="1"/>
  <c r="J1187" i="7"/>
  <c r="I1187" i="7"/>
  <c r="G1187" i="7"/>
  <c r="F1187" i="7"/>
  <c r="C1187" i="7"/>
  <c r="D1187" i="7" s="1"/>
  <c r="E1187" i="7" s="1"/>
  <c r="J1186" i="7"/>
  <c r="I1186" i="7"/>
  <c r="G1186" i="7"/>
  <c r="F1186" i="7"/>
  <c r="C1186" i="7"/>
  <c r="D1186" i="7" s="1"/>
  <c r="E1186" i="7" s="1"/>
  <c r="J1185" i="7"/>
  <c r="I1185" i="7"/>
  <c r="G1185" i="7"/>
  <c r="F1185" i="7"/>
  <c r="C1185" i="7"/>
  <c r="D1185" i="7" s="1"/>
  <c r="E1185" i="7" s="1"/>
  <c r="J1184" i="7"/>
  <c r="I1184" i="7"/>
  <c r="G1184" i="7"/>
  <c r="F1184" i="7"/>
  <c r="C1184" i="7"/>
  <c r="D1184" i="7" s="1"/>
  <c r="E1184" i="7" s="1"/>
  <c r="J1183" i="7"/>
  <c r="I1183" i="7"/>
  <c r="G1183" i="7"/>
  <c r="F1183" i="7"/>
  <c r="C1183" i="7"/>
  <c r="D1183" i="7" s="1"/>
  <c r="E1183" i="7" s="1"/>
  <c r="J1182" i="7"/>
  <c r="I1182" i="7"/>
  <c r="G1182" i="7"/>
  <c r="F1182" i="7"/>
  <c r="C1182" i="7"/>
  <c r="D1182" i="7" s="1"/>
  <c r="E1182" i="7" s="1"/>
  <c r="J1181" i="7"/>
  <c r="I1181" i="7"/>
  <c r="G1181" i="7"/>
  <c r="F1181" i="7"/>
  <c r="C1181" i="7"/>
  <c r="D1181" i="7" s="1"/>
  <c r="E1181" i="7" s="1"/>
  <c r="J1180" i="7"/>
  <c r="I1180" i="7"/>
  <c r="G1180" i="7"/>
  <c r="F1180" i="7"/>
  <c r="C1180" i="7"/>
  <c r="D1180" i="7" s="1"/>
  <c r="E1180" i="7" s="1"/>
  <c r="J1179" i="7"/>
  <c r="I1179" i="7"/>
  <c r="G1179" i="7"/>
  <c r="F1179" i="7"/>
  <c r="C1179" i="7"/>
  <c r="D1179" i="7" s="1"/>
  <c r="E1179" i="7" s="1"/>
  <c r="J1178" i="7"/>
  <c r="I1178" i="7"/>
  <c r="G1178" i="7"/>
  <c r="F1178" i="7"/>
  <c r="C1178" i="7"/>
  <c r="D1178" i="7" s="1"/>
  <c r="E1178" i="7" s="1"/>
  <c r="J1177" i="7"/>
  <c r="I1177" i="7"/>
  <c r="G1177" i="7"/>
  <c r="F1177" i="7"/>
  <c r="C1177" i="7"/>
  <c r="D1177" i="7" s="1"/>
  <c r="E1177" i="7" s="1"/>
  <c r="J1176" i="7"/>
  <c r="I1176" i="7"/>
  <c r="G1176" i="7"/>
  <c r="F1176" i="7"/>
  <c r="C1176" i="7"/>
  <c r="D1176" i="7" s="1"/>
  <c r="E1176" i="7" s="1"/>
  <c r="J1175" i="7"/>
  <c r="I1175" i="7"/>
  <c r="G1175" i="7"/>
  <c r="F1175" i="7"/>
  <c r="C1175" i="7"/>
  <c r="D1175" i="7" s="1"/>
  <c r="E1175" i="7" s="1"/>
  <c r="J1174" i="7"/>
  <c r="I1174" i="7"/>
  <c r="G1174" i="7"/>
  <c r="F1174" i="7"/>
  <c r="C1174" i="7"/>
  <c r="D1174" i="7" s="1"/>
  <c r="E1174" i="7" s="1"/>
  <c r="J1173" i="7"/>
  <c r="I1173" i="7"/>
  <c r="G1173" i="7"/>
  <c r="F1173" i="7"/>
  <c r="C1173" i="7"/>
  <c r="D1173" i="7" s="1"/>
  <c r="E1173" i="7" s="1"/>
  <c r="J1172" i="7"/>
  <c r="I1172" i="7"/>
  <c r="G1172" i="7"/>
  <c r="F1172" i="7"/>
  <c r="C1172" i="7"/>
  <c r="D1172" i="7" s="1"/>
  <c r="E1172" i="7" s="1"/>
  <c r="J1171" i="7"/>
  <c r="I1171" i="7"/>
  <c r="G1171" i="7"/>
  <c r="F1171" i="7"/>
  <c r="C1171" i="7"/>
  <c r="D1171" i="7" s="1"/>
  <c r="E1171" i="7" s="1"/>
  <c r="J1170" i="7"/>
  <c r="I1170" i="7"/>
  <c r="G1170" i="7"/>
  <c r="F1170" i="7"/>
  <c r="C1170" i="7"/>
  <c r="D1170" i="7" s="1"/>
  <c r="E1170" i="7" s="1"/>
  <c r="J1169" i="7"/>
  <c r="I1169" i="7"/>
  <c r="G1169" i="7"/>
  <c r="F1169" i="7"/>
  <c r="C1169" i="7"/>
  <c r="D1169" i="7" s="1"/>
  <c r="E1169" i="7" s="1"/>
  <c r="J1168" i="7"/>
  <c r="I1168" i="7"/>
  <c r="G1168" i="7"/>
  <c r="F1168" i="7"/>
  <c r="C1168" i="7"/>
  <c r="D1168" i="7" s="1"/>
  <c r="E1168" i="7" s="1"/>
  <c r="J1167" i="7"/>
  <c r="I1167" i="7"/>
  <c r="G1167" i="7"/>
  <c r="F1167" i="7"/>
  <c r="C1167" i="7"/>
  <c r="D1167" i="7" s="1"/>
  <c r="E1167" i="7" s="1"/>
  <c r="J1166" i="7"/>
  <c r="I1166" i="7"/>
  <c r="G1166" i="7"/>
  <c r="F1166" i="7"/>
  <c r="C1166" i="7"/>
  <c r="D1166" i="7" s="1"/>
  <c r="E1166" i="7" s="1"/>
  <c r="J1165" i="7"/>
  <c r="I1165" i="7"/>
  <c r="G1165" i="7"/>
  <c r="F1165" i="7"/>
  <c r="C1165" i="7"/>
  <c r="D1165" i="7" s="1"/>
  <c r="E1165" i="7" s="1"/>
  <c r="J1164" i="7"/>
  <c r="I1164" i="7"/>
  <c r="G1164" i="7"/>
  <c r="F1164" i="7"/>
  <c r="C1164" i="7"/>
  <c r="D1164" i="7" s="1"/>
  <c r="E1164" i="7" s="1"/>
  <c r="J1163" i="7"/>
  <c r="I1163" i="7"/>
  <c r="G1163" i="7"/>
  <c r="F1163" i="7"/>
  <c r="C1163" i="7"/>
  <c r="D1163" i="7" s="1"/>
  <c r="E1163" i="7" s="1"/>
  <c r="J1162" i="7"/>
  <c r="I1162" i="7"/>
  <c r="G1162" i="7"/>
  <c r="F1162" i="7"/>
  <c r="C1162" i="7"/>
  <c r="D1162" i="7" s="1"/>
  <c r="E1162" i="7" s="1"/>
  <c r="J1161" i="7"/>
  <c r="I1161" i="7"/>
  <c r="G1161" i="7"/>
  <c r="F1161" i="7"/>
  <c r="C1161" i="7"/>
  <c r="D1161" i="7" s="1"/>
  <c r="E1161" i="7" s="1"/>
  <c r="J1160" i="7"/>
  <c r="I1160" i="7"/>
  <c r="G1160" i="7"/>
  <c r="F1160" i="7"/>
  <c r="C1160" i="7"/>
  <c r="D1160" i="7" s="1"/>
  <c r="E1160" i="7" s="1"/>
  <c r="J1159" i="7"/>
  <c r="I1159" i="7"/>
  <c r="G1159" i="7"/>
  <c r="F1159" i="7"/>
  <c r="C1159" i="7"/>
  <c r="D1159" i="7" s="1"/>
  <c r="E1159" i="7" s="1"/>
  <c r="J1158" i="7"/>
  <c r="I1158" i="7"/>
  <c r="G1158" i="7"/>
  <c r="F1158" i="7"/>
  <c r="C1158" i="7"/>
  <c r="D1158" i="7" s="1"/>
  <c r="E1158" i="7" s="1"/>
  <c r="J1157" i="7"/>
  <c r="I1157" i="7"/>
  <c r="G1157" i="7"/>
  <c r="F1157" i="7"/>
  <c r="C1157" i="7"/>
  <c r="D1157" i="7" s="1"/>
  <c r="E1157" i="7" s="1"/>
  <c r="J1156" i="7"/>
  <c r="I1156" i="7"/>
  <c r="G1156" i="7"/>
  <c r="F1156" i="7"/>
  <c r="C1156" i="7"/>
  <c r="D1156" i="7" s="1"/>
  <c r="E1156" i="7" s="1"/>
  <c r="J1155" i="7"/>
  <c r="I1155" i="7"/>
  <c r="G1155" i="7"/>
  <c r="F1155" i="7"/>
  <c r="C1155" i="7"/>
  <c r="D1155" i="7" s="1"/>
  <c r="E1155" i="7" s="1"/>
  <c r="J1154" i="7"/>
  <c r="I1154" i="7"/>
  <c r="G1154" i="7"/>
  <c r="F1154" i="7"/>
  <c r="C1154" i="7"/>
  <c r="D1154" i="7" s="1"/>
  <c r="E1154" i="7" s="1"/>
  <c r="J1153" i="7"/>
  <c r="I1153" i="7"/>
  <c r="G1153" i="7"/>
  <c r="F1153" i="7"/>
  <c r="C1153" i="7"/>
  <c r="D1153" i="7" s="1"/>
  <c r="E1153" i="7" s="1"/>
  <c r="J1152" i="7"/>
  <c r="I1152" i="7"/>
  <c r="G1152" i="7"/>
  <c r="F1152" i="7"/>
  <c r="C1152" i="7"/>
  <c r="D1152" i="7" s="1"/>
  <c r="E1152" i="7" s="1"/>
  <c r="J1151" i="7"/>
  <c r="I1151" i="7"/>
  <c r="G1151" i="7"/>
  <c r="F1151" i="7"/>
  <c r="C1151" i="7"/>
  <c r="D1151" i="7" s="1"/>
  <c r="E1151" i="7" s="1"/>
  <c r="J1150" i="7"/>
  <c r="I1150" i="7"/>
  <c r="G1150" i="7"/>
  <c r="F1150" i="7"/>
  <c r="C1150" i="7"/>
  <c r="D1150" i="7" s="1"/>
  <c r="E1150" i="7" s="1"/>
  <c r="J1149" i="7"/>
  <c r="I1149" i="7"/>
  <c r="G1149" i="7"/>
  <c r="F1149" i="7"/>
  <c r="C1149" i="7"/>
  <c r="D1149" i="7" s="1"/>
  <c r="E1149" i="7" s="1"/>
  <c r="J1148" i="7"/>
  <c r="I1148" i="7"/>
  <c r="G1148" i="7"/>
  <c r="F1148" i="7"/>
  <c r="C1148" i="7"/>
  <c r="D1148" i="7" s="1"/>
  <c r="E1148" i="7" s="1"/>
  <c r="J1147" i="7"/>
  <c r="I1147" i="7"/>
  <c r="G1147" i="7"/>
  <c r="F1147" i="7"/>
  <c r="C1147" i="7"/>
  <c r="D1147" i="7" s="1"/>
  <c r="E1147" i="7" s="1"/>
  <c r="J1146" i="7"/>
  <c r="I1146" i="7"/>
  <c r="G1146" i="7"/>
  <c r="F1146" i="7"/>
  <c r="C1146" i="7"/>
  <c r="D1146" i="7" s="1"/>
  <c r="E1146" i="7" s="1"/>
  <c r="J1145" i="7"/>
  <c r="I1145" i="7"/>
  <c r="G1145" i="7"/>
  <c r="F1145" i="7"/>
  <c r="C1145" i="7"/>
  <c r="D1145" i="7" s="1"/>
  <c r="E1145" i="7" s="1"/>
  <c r="J1144" i="7"/>
  <c r="I1144" i="7"/>
  <c r="G1144" i="7"/>
  <c r="F1144" i="7"/>
  <c r="C1144" i="7"/>
  <c r="D1144" i="7" s="1"/>
  <c r="E1144" i="7" s="1"/>
  <c r="J1143" i="7"/>
  <c r="I1143" i="7"/>
  <c r="G1143" i="7"/>
  <c r="F1143" i="7"/>
  <c r="C1143" i="7"/>
  <c r="D1143" i="7" s="1"/>
  <c r="E1143" i="7" s="1"/>
  <c r="J1142" i="7"/>
  <c r="I1142" i="7"/>
  <c r="G1142" i="7"/>
  <c r="F1142" i="7"/>
  <c r="C1142" i="7"/>
  <c r="D1142" i="7" s="1"/>
  <c r="E1142" i="7" s="1"/>
  <c r="J1141" i="7"/>
  <c r="I1141" i="7"/>
  <c r="G1141" i="7"/>
  <c r="F1141" i="7"/>
  <c r="C1141" i="7"/>
  <c r="D1141" i="7" s="1"/>
  <c r="E1141" i="7" s="1"/>
  <c r="J1140" i="7"/>
  <c r="I1140" i="7"/>
  <c r="G1140" i="7"/>
  <c r="F1140" i="7"/>
  <c r="C1140" i="7"/>
  <c r="D1140" i="7" s="1"/>
  <c r="E1140" i="7" s="1"/>
  <c r="J1139" i="7"/>
  <c r="I1139" i="7"/>
  <c r="G1139" i="7"/>
  <c r="F1139" i="7"/>
  <c r="C1139" i="7"/>
  <c r="D1139" i="7" s="1"/>
  <c r="E1139" i="7" s="1"/>
  <c r="J1138" i="7"/>
  <c r="I1138" i="7"/>
  <c r="G1138" i="7"/>
  <c r="F1138" i="7"/>
  <c r="C1138" i="7"/>
  <c r="D1138" i="7" s="1"/>
  <c r="E1138" i="7" s="1"/>
  <c r="J1137" i="7"/>
  <c r="I1137" i="7"/>
  <c r="G1137" i="7"/>
  <c r="F1137" i="7"/>
  <c r="C1137" i="7"/>
  <c r="D1137" i="7" s="1"/>
  <c r="E1137" i="7" s="1"/>
  <c r="J1136" i="7"/>
  <c r="I1136" i="7"/>
  <c r="G1136" i="7"/>
  <c r="F1136" i="7"/>
  <c r="C1136" i="7"/>
  <c r="D1136" i="7" s="1"/>
  <c r="E1136" i="7" s="1"/>
  <c r="J1135" i="7"/>
  <c r="I1135" i="7"/>
  <c r="G1135" i="7"/>
  <c r="F1135" i="7"/>
  <c r="C1135" i="7"/>
  <c r="D1135" i="7" s="1"/>
  <c r="E1135" i="7" s="1"/>
  <c r="J1134" i="7"/>
  <c r="I1134" i="7"/>
  <c r="G1134" i="7"/>
  <c r="F1134" i="7"/>
  <c r="C1134" i="7"/>
  <c r="D1134" i="7" s="1"/>
  <c r="E1134" i="7" s="1"/>
  <c r="J1133" i="7"/>
  <c r="I1133" i="7"/>
  <c r="G1133" i="7"/>
  <c r="F1133" i="7"/>
  <c r="C1133" i="7"/>
  <c r="D1133" i="7" s="1"/>
  <c r="E1133" i="7" s="1"/>
  <c r="J1132" i="7"/>
  <c r="I1132" i="7"/>
  <c r="G1132" i="7"/>
  <c r="F1132" i="7"/>
  <c r="C1132" i="7"/>
  <c r="D1132" i="7" s="1"/>
  <c r="E1132" i="7" s="1"/>
  <c r="J1131" i="7"/>
  <c r="I1131" i="7"/>
  <c r="G1131" i="7"/>
  <c r="F1131" i="7"/>
  <c r="C1131" i="7"/>
  <c r="D1131" i="7" s="1"/>
  <c r="E1131" i="7" s="1"/>
  <c r="J1130" i="7"/>
  <c r="I1130" i="7"/>
  <c r="G1130" i="7"/>
  <c r="F1130" i="7"/>
  <c r="C1130" i="7"/>
  <c r="D1130" i="7" s="1"/>
  <c r="E1130" i="7" s="1"/>
  <c r="J1129" i="7"/>
  <c r="I1129" i="7"/>
  <c r="G1129" i="7"/>
  <c r="F1129" i="7"/>
  <c r="C1129" i="7"/>
  <c r="D1129" i="7" s="1"/>
  <c r="E1129" i="7" s="1"/>
  <c r="J1128" i="7"/>
  <c r="I1128" i="7"/>
  <c r="G1128" i="7"/>
  <c r="F1128" i="7"/>
  <c r="C1128" i="7"/>
  <c r="D1128" i="7" s="1"/>
  <c r="E1128" i="7" s="1"/>
  <c r="J1127" i="7"/>
  <c r="I1127" i="7"/>
  <c r="G1127" i="7"/>
  <c r="F1127" i="7"/>
  <c r="C1127" i="7"/>
  <c r="D1127" i="7" s="1"/>
  <c r="E1127" i="7" s="1"/>
  <c r="J1126" i="7"/>
  <c r="I1126" i="7"/>
  <c r="G1126" i="7"/>
  <c r="F1126" i="7"/>
  <c r="C1126" i="7"/>
  <c r="D1126" i="7" s="1"/>
  <c r="E1126" i="7" s="1"/>
  <c r="J1125" i="7"/>
  <c r="I1125" i="7"/>
  <c r="G1125" i="7"/>
  <c r="F1125" i="7"/>
  <c r="C1125" i="7"/>
  <c r="D1125" i="7" s="1"/>
  <c r="E1125" i="7" s="1"/>
  <c r="J1124" i="7"/>
  <c r="I1124" i="7"/>
  <c r="G1124" i="7"/>
  <c r="F1124" i="7"/>
  <c r="C1124" i="7"/>
  <c r="D1124" i="7" s="1"/>
  <c r="E1124" i="7" s="1"/>
  <c r="J1123" i="7"/>
  <c r="I1123" i="7"/>
  <c r="G1123" i="7"/>
  <c r="F1123" i="7"/>
  <c r="C1123" i="7"/>
  <c r="D1123" i="7" s="1"/>
  <c r="E1123" i="7" s="1"/>
  <c r="J1122" i="7"/>
  <c r="I1122" i="7"/>
  <c r="G1122" i="7"/>
  <c r="F1122" i="7"/>
  <c r="C1122" i="7"/>
  <c r="D1122" i="7" s="1"/>
  <c r="E1122" i="7" s="1"/>
  <c r="J1121" i="7"/>
  <c r="I1121" i="7"/>
  <c r="G1121" i="7"/>
  <c r="F1121" i="7"/>
  <c r="C1121" i="7"/>
  <c r="D1121" i="7" s="1"/>
  <c r="E1121" i="7" s="1"/>
  <c r="J1120" i="7"/>
  <c r="I1120" i="7"/>
  <c r="G1120" i="7"/>
  <c r="F1120" i="7"/>
  <c r="C1120" i="7"/>
  <c r="D1120" i="7" s="1"/>
  <c r="E1120" i="7" s="1"/>
  <c r="J1119" i="7"/>
  <c r="I1119" i="7"/>
  <c r="G1119" i="7"/>
  <c r="F1119" i="7"/>
  <c r="C1119" i="7"/>
  <c r="D1119" i="7" s="1"/>
  <c r="E1119" i="7" s="1"/>
  <c r="J1118" i="7"/>
  <c r="I1118" i="7"/>
  <c r="G1118" i="7"/>
  <c r="F1118" i="7"/>
  <c r="C1118" i="7"/>
  <c r="D1118" i="7" s="1"/>
  <c r="E1118" i="7" s="1"/>
  <c r="J1117" i="7"/>
  <c r="I1117" i="7"/>
  <c r="G1117" i="7"/>
  <c r="F1117" i="7"/>
  <c r="C1117" i="7"/>
  <c r="D1117" i="7" s="1"/>
  <c r="E1117" i="7" s="1"/>
  <c r="J1116" i="7"/>
  <c r="I1116" i="7"/>
  <c r="G1116" i="7"/>
  <c r="F1116" i="7"/>
  <c r="C1116" i="7"/>
  <c r="D1116" i="7" s="1"/>
  <c r="E1116" i="7" s="1"/>
  <c r="J1115" i="7"/>
  <c r="I1115" i="7"/>
  <c r="G1115" i="7"/>
  <c r="F1115" i="7"/>
  <c r="C1115" i="7"/>
  <c r="D1115" i="7" s="1"/>
  <c r="E1115" i="7" s="1"/>
  <c r="J1114" i="7"/>
  <c r="I1114" i="7"/>
  <c r="G1114" i="7"/>
  <c r="F1114" i="7"/>
  <c r="C1114" i="7"/>
  <c r="D1114" i="7" s="1"/>
  <c r="E1114" i="7" s="1"/>
  <c r="J1113" i="7"/>
  <c r="I1113" i="7"/>
  <c r="G1113" i="7"/>
  <c r="F1113" i="7"/>
  <c r="C1113" i="7"/>
  <c r="D1113" i="7" s="1"/>
  <c r="E1113" i="7" s="1"/>
  <c r="J1112" i="7"/>
  <c r="I1112" i="7"/>
  <c r="G1112" i="7"/>
  <c r="F1112" i="7"/>
  <c r="C1112" i="7"/>
  <c r="D1112" i="7" s="1"/>
  <c r="E1112" i="7" s="1"/>
  <c r="J1111" i="7"/>
  <c r="I1111" i="7"/>
  <c r="G1111" i="7"/>
  <c r="F1111" i="7"/>
  <c r="C1111" i="7"/>
  <c r="D1111" i="7" s="1"/>
  <c r="E1111" i="7" s="1"/>
  <c r="J1110" i="7"/>
  <c r="I1110" i="7"/>
  <c r="G1110" i="7"/>
  <c r="F1110" i="7"/>
  <c r="C1110" i="7"/>
  <c r="D1110" i="7" s="1"/>
  <c r="E1110" i="7" s="1"/>
  <c r="J1109" i="7"/>
  <c r="I1109" i="7"/>
  <c r="G1109" i="7"/>
  <c r="F1109" i="7"/>
  <c r="C1109" i="7"/>
  <c r="D1109" i="7" s="1"/>
  <c r="E1109" i="7" s="1"/>
  <c r="J1108" i="7"/>
  <c r="I1108" i="7"/>
  <c r="G1108" i="7"/>
  <c r="F1108" i="7"/>
  <c r="C1108" i="7"/>
  <c r="D1108" i="7" s="1"/>
  <c r="E1108" i="7" s="1"/>
  <c r="J1107" i="7"/>
  <c r="I1107" i="7"/>
  <c r="G1107" i="7"/>
  <c r="F1107" i="7"/>
  <c r="C1107" i="7"/>
  <c r="D1107" i="7" s="1"/>
  <c r="E1107" i="7" s="1"/>
  <c r="J1106" i="7"/>
  <c r="I1106" i="7"/>
  <c r="G1106" i="7"/>
  <c r="F1106" i="7"/>
  <c r="C1106" i="7"/>
  <c r="D1106" i="7" s="1"/>
  <c r="E1106" i="7" s="1"/>
  <c r="J1105" i="7"/>
  <c r="I1105" i="7"/>
  <c r="G1105" i="7"/>
  <c r="F1105" i="7"/>
  <c r="C1105" i="7"/>
  <c r="D1105" i="7" s="1"/>
  <c r="E1105" i="7" s="1"/>
  <c r="J1104" i="7"/>
  <c r="I1104" i="7"/>
  <c r="G1104" i="7"/>
  <c r="F1104" i="7"/>
  <c r="C1104" i="7"/>
  <c r="D1104" i="7" s="1"/>
  <c r="E1104" i="7" s="1"/>
  <c r="J1103" i="7"/>
  <c r="I1103" i="7"/>
  <c r="G1103" i="7"/>
  <c r="F1103" i="7"/>
  <c r="C1103" i="7"/>
  <c r="D1103" i="7" s="1"/>
  <c r="E1103" i="7" s="1"/>
  <c r="J1102" i="7"/>
  <c r="I1102" i="7"/>
  <c r="G1102" i="7"/>
  <c r="F1102" i="7"/>
  <c r="C1102" i="7"/>
  <c r="D1102" i="7" s="1"/>
  <c r="E1102" i="7" s="1"/>
  <c r="J1101" i="7"/>
  <c r="I1101" i="7"/>
  <c r="G1101" i="7"/>
  <c r="F1101" i="7"/>
  <c r="C1101" i="7"/>
  <c r="D1101" i="7" s="1"/>
  <c r="E1101" i="7" s="1"/>
  <c r="J1100" i="7"/>
  <c r="I1100" i="7"/>
  <c r="G1100" i="7"/>
  <c r="F1100" i="7"/>
  <c r="C1100" i="7"/>
  <c r="D1100" i="7" s="1"/>
  <c r="E1100" i="7" s="1"/>
  <c r="J1099" i="7"/>
  <c r="I1099" i="7"/>
  <c r="G1099" i="7"/>
  <c r="F1099" i="7"/>
  <c r="C1099" i="7"/>
  <c r="D1099" i="7" s="1"/>
  <c r="E1099" i="7" s="1"/>
  <c r="J1098" i="7"/>
  <c r="I1098" i="7"/>
  <c r="G1098" i="7"/>
  <c r="F1098" i="7"/>
  <c r="C1098" i="7"/>
  <c r="D1098" i="7" s="1"/>
  <c r="E1098" i="7" s="1"/>
  <c r="J1097" i="7"/>
  <c r="I1097" i="7"/>
  <c r="G1097" i="7"/>
  <c r="F1097" i="7"/>
  <c r="C1097" i="7"/>
  <c r="D1097" i="7" s="1"/>
  <c r="E1097" i="7" s="1"/>
  <c r="J1096" i="7"/>
  <c r="I1096" i="7"/>
  <c r="G1096" i="7"/>
  <c r="F1096" i="7"/>
  <c r="C1096" i="7"/>
  <c r="D1096" i="7" s="1"/>
  <c r="E1096" i="7" s="1"/>
  <c r="J1095" i="7"/>
  <c r="I1095" i="7"/>
  <c r="G1095" i="7"/>
  <c r="F1095" i="7"/>
  <c r="C1095" i="7"/>
  <c r="D1095" i="7" s="1"/>
  <c r="E1095" i="7" s="1"/>
  <c r="J1094" i="7"/>
  <c r="I1094" i="7"/>
  <c r="G1094" i="7"/>
  <c r="F1094" i="7"/>
  <c r="C1094" i="7"/>
  <c r="D1094" i="7" s="1"/>
  <c r="E1094" i="7" s="1"/>
  <c r="J1093" i="7"/>
  <c r="I1093" i="7"/>
  <c r="G1093" i="7"/>
  <c r="F1093" i="7"/>
  <c r="C1093" i="7"/>
  <c r="D1093" i="7" s="1"/>
  <c r="E1093" i="7" s="1"/>
  <c r="J1092" i="7"/>
  <c r="I1092" i="7"/>
  <c r="G1092" i="7"/>
  <c r="F1092" i="7"/>
  <c r="C1092" i="7"/>
  <c r="D1092" i="7" s="1"/>
  <c r="E1092" i="7" s="1"/>
  <c r="J1091" i="7"/>
  <c r="I1091" i="7"/>
  <c r="G1091" i="7"/>
  <c r="F1091" i="7"/>
  <c r="C1091" i="7"/>
  <c r="D1091" i="7" s="1"/>
  <c r="E1091" i="7" s="1"/>
  <c r="J1090" i="7"/>
  <c r="I1090" i="7"/>
  <c r="G1090" i="7"/>
  <c r="F1090" i="7"/>
  <c r="C1090" i="7"/>
  <c r="D1090" i="7" s="1"/>
  <c r="E1090" i="7" s="1"/>
  <c r="J1089" i="7"/>
  <c r="I1089" i="7"/>
  <c r="G1089" i="7"/>
  <c r="F1089" i="7"/>
  <c r="C1089" i="7"/>
  <c r="D1089" i="7" s="1"/>
  <c r="E1089" i="7" s="1"/>
  <c r="J1088" i="7"/>
  <c r="I1088" i="7"/>
  <c r="G1088" i="7"/>
  <c r="F1088" i="7"/>
  <c r="C1088" i="7"/>
  <c r="D1088" i="7" s="1"/>
  <c r="E1088" i="7" s="1"/>
  <c r="J1087" i="7"/>
  <c r="I1087" i="7"/>
  <c r="G1087" i="7"/>
  <c r="F1087" i="7"/>
  <c r="C1087" i="7"/>
  <c r="D1087" i="7" s="1"/>
  <c r="E1087" i="7" s="1"/>
  <c r="J1086" i="7"/>
  <c r="I1086" i="7"/>
  <c r="G1086" i="7"/>
  <c r="F1086" i="7"/>
  <c r="C1086" i="7"/>
  <c r="D1086" i="7" s="1"/>
  <c r="E1086" i="7" s="1"/>
  <c r="J1085" i="7"/>
  <c r="I1085" i="7"/>
  <c r="G1085" i="7"/>
  <c r="F1085" i="7"/>
  <c r="C1085" i="7"/>
  <c r="D1085" i="7" s="1"/>
  <c r="E1085" i="7" s="1"/>
  <c r="J1084" i="7"/>
  <c r="I1084" i="7"/>
  <c r="G1084" i="7"/>
  <c r="F1084" i="7"/>
  <c r="C1084" i="7"/>
  <c r="D1084" i="7" s="1"/>
  <c r="E1084" i="7" s="1"/>
  <c r="J1083" i="7"/>
  <c r="I1083" i="7"/>
  <c r="G1083" i="7"/>
  <c r="F1083" i="7"/>
  <c r="C1083" i="7"/>
  <c r="D1083" i="7" s="1"/>
  <c r="E1083" i="7" s="1"/>
  <c r="J1082" i="7"/>
  <c r="I1082" i="7"/>
  <c r="G1082" i="7"/>
  <c r="F1082" i="7"/>
  <c r="C1082" i="7"/>
  <c r="D1082" i="7" s="1"/>
  <c r="E1082" i="7" s="1"/>
  <c r="J1081" i="7"/>
  <c r="I1081" i="7"/>
  <c r="G1081" i="7"/>
  <c r="F1081" i="7"/>
  <c r="C1081" i="7"/>
  <c r="D1081" i="7" s="1"/>
  <c r="E1081" i="7" s="1"/>
  <c r="J1080" i="7"/>
  <c r="I1080" i="7"/>
  <c r="G1080" i="7"/>
  <c r="F1080" i="7"/>
  <c r="C1080" i="7"/>
  <c r="D1080" i="7" s="1"/>
  <c r="E1080" i="7" s="1"/>
  <c r="J1079" i="7"/>
  <c r="I1079" i="7"/>
  <c r="G1079" i="7"/>
  <c r="F1079" i="7"/>
  <c r="C1079" i="7"/>
  <c r="D1079" i="7" s="1"/>
  <c r="E1079" i="7" s="1"/>
  <c r="J1078" i="7"/>
  <c r="I1078" i="7"/>
  <c r="G1078" i="7"/>
  <c r="F1078" i="7"/>
  <c r="C1078" i="7"/>
  <c r="D1078" i="7" s="1"/>
  <c r="E1078" i="7" s="1"/>
  <c r="J1077" i="7"/>
  <c r="I1077" i="7"/>
  <c r="G1077" i="7"/>
  <c r="F1077" i="7"/>
  <c r="C1077" i="7"/>
  <c r="D1077" i="7" s="1"/>
  <c r="E1077" i="7" s="1"/>
  <c r="J1076" i="7"/>
  <c r="I1076" i="7"/>
  <c r="G1076" i="7"/>
  <c r="F1076" i="7"/>
  <c r="C1076" i="7"/>
  <c r="D1076" i="7" s="1"/>
  <c r="E1076" i="7" s="1"/>
  <c r="J1075" i="7"/>
  <c r="I1075" i="7"/>
  <c r="G1075" i="7"/>
  <c r="F1075" i="7"/>
  <c r="C1075" i="7"/>
  <c r="D1075" i="7" s="1"/>
  <c r="E1075" i="7" s="1"/>
  <c r="J1074" i="7"/>
  <c r="I1074" i="7"/>
  <c r="G1074" i="7"/>
  <c r="F1074" i="7"/>
  <c r="C1074" i="7"/>
  <c r="D1074" i="7" s="1"/>
  <c r="E1074" i="7" s="1"/>
  <c r="J1073" i="7"/>
  <c r="I1073" i="7"/>
  <c r="G1073" i="7"/>
  <c r="F1073" i="7"/>
  <c r="C1073" i="7"/>
  <c r="D1073" i="7" s="1"/>
  <c r="E1073" i="7" s="1"/>
  <c r="J1072" i="7"/>
  <c r="I1072" i="7"/>
  <c r="G1072" i="7"/>
  <c r="F1072" i="7"/>
  <c r="C1072" i="7"/>
  <c r="D1072" i="7" s="1"/>
  <c r="E1072" i="7" s="1"/>
  <c r="J1071" i="7"/>
  <c r="I1071" i="7"/>
  <c r="G1071" i="7"/>
  <c r="F1071" i="7"/>
  <c r="C1071" i="7"/>
  <c r="D1071" i="7" s="1"/>
  <c r="E1071" i="7" s="1"/>
  <c r="J1070" i="7"/>
  <c r="I1070" i="7"/>
  <c r="G1070" i="7"/>
  <c r="F1070" i="7"/>
  <c r="C1070" i="7"/>
  <c r="D1070" i="7" s="1"/>
  <c r="E1070" i="7" s="1"/>
  <c r="J1069" i="7"/>
  <c r="I1069" i="7"/>
  <c r="G1069" i="7"/>
  <c r="F1069" i="7"/>
  <c r="C1069" i="7"/>
  <c r="D1069" i="7" s="1"/>
  <c r="E1069" i="7" s="1"/>
  <c r="J1068" i="7"/>
  <c r="I1068" i="7"/>
  <c r="G1068" i="7"/>
  <c r="F1068" i="7"/>
  <c r="C1068" i="7"/>
  <c r="D1068" i="7" s="1"/>
  <c r="E1068" i="7" s="1"/>
  <c r="J1067" i="7"/>
  <c r="I1067" i="7"/>
  <c r="G1067" i="7"/>
  <c r="F1067" i="7"/>
  <c r="C1067" i="7"/>
  <c r="D1067" i="7" s="1"/>
  <c r="E1067" i="7" s="1"/>
  <c r="J1066" i="7"/>
  <c r="I1066" i="7"/>
  <c r="G1066" i="7"/>
  <c r="F1066" i="7"/>
  <c r="C1066" i="7"/>
  <c r="D1066" i="7" s="1"/>
  <c r="E1066" i="7" s="1"/>
  <c r="J1065" i="7"/>
  <c r="I1065" i="7"/>
  <c r="G1065" i="7"/>
  <c r="F1065" i="7"/>
  <c r="C1065" i="7"/>
  <c r="D1065" i="7" s="1"/>
  <c r="E1065" i="7" s="1"/>
  <c r="J1064" i="7"/>
  <c r="I1064" i="7"/>
  <c r="G1064" i="7"/>
  <c r="F1064" i="7"/>
  <c r="C1064" i="7"/>
  <c r="D1064" i="7" s="1"/>
  <c r="E1064" i="7" s="1"/>
  <c r="J1063" i="7"/>
  <c r="I1063" i="7"/>
  <c r="G1063" i="7"/>
  <c r="F1063" i="7"/>
  <c r="C1063" i="7"/>
  <c r="D1063" i="7" s="1"/>
  <c r="E1063" i="7" s="1"/>
  <c r="J1062" i="7"/>
  <c r="I1062" i="7"/>
  <c r="G1062" i="7"/>
  <c r="F1062" i="7"/>
  <c r="C1062" i="7"/>
  <c r="D1062" i="7" s="1"/>
  <c r="E1062" i="7" s="1"/>
  <c r="J1061" i="7"/>
  <c r="I1061" i="7"/>
  <c r="G1061" i="7"/>
  <c r="F1061" i="7"/>
  <c r="C1061" i="7"/>
  <c r="D1061" i="7" s="1"/>
  <c r="E1061" i="7" s="1"/>
  <c r="J1060" i="7"/>
  <c r="I1060" i="7"/>
  <c r="G1060" i="7"/>
  <c r="F1060" i="7"/>
  <c r="C1060" i="7"/>
  <c r="D1060" i="7" s="1"/>
  <c r="E1060" i="7" s="1"/>
  <c r="J1059" i="7"/>
  <c r="I1059" i="7"/>
  <c r="G1059" i="7"/>
  <c r="F1059" i="7"/>
  <c r="C1059" i="7"/>
  <c r="D1059" i="7" s="1"/>
  <c r="E1059" i="7" s="1"/>
  <c r="J1058" i="7"/>
  <c r="I1058" i="7"/>
  <c r="G1058" i="7"/>
  <c r="F1058" i="7"/>
  <c r="C1058" i="7"/>
  <c r="D1058" i="7" s="1"/>
  <c r="E1058" i="7" s="1"/>
  <c r="J1057" i="7"/>
  <c r="I1057" i="7"/>
  <c r="G1057" i="7"/>
  <c r="F1057" i="7"/>
  <c r="C1057" i="7"/>
  <c r="D1057" i="7" s="1"/>
  <c r="E1057" i="7" s="1"/>
  <c r="J1056" i="7"/>
  <c r="I1056" i="7"/>
  <c r="G1056" i="7"/>
  <c r="F1056" i="7"/>
  <c r="C1056" i="7"/>
  <c r="D1056" i="7" s="1"/>
  <c r="E1056" i="7" s="1"/>
  <c r="J1055" i="7"/>
  <c r="I1055" i="7"/>
  <c r="G1055" i="7"/>
  <c r="F1055" i="7"/>
  <c r="C1055" i="7"/>
  <c r="D1055" i="7" s="1"/>
  <c r="E1055" i="7" s="1"/>
  <c r="J1054" i="7"/>
  <c r="I1054" i="7"/>
  <c r="G1054" i="7"/>
  <c r="F1054" i="7"/>
  <c r="C1054" i="7"/>
  <c r="D1054" i="7" s="1"/>
  <c r="E1054" i="7" s="1"/>
  <c r="J1053" i="7"/>
  <c r="I1053" i="7"/>
  <c r="G1053" i="7"/>
  <c r="F1053" i="7"/>
  <c r="C1053" i="7"/>
  <c r="D1053" i="7" s="1"/>
  <c r="E1053" i="7" s="1"/>
  <c r="J1052" i="7"/>
  <c r="I1052" i="7"/>
  <c r="G1052" i="7"/>
  <c r="F1052" i="7"/>
  <c r="C1052" i="7"/>
  <c r="D1052" i="7" s="1"/>
  <c r="E1052" i="7" s="1"/>
  <c r="J1051" i="7"/>
  <c r="I1051" i="7"/>
  <c r="G1051" i="7"/>
  <c r="F1051" i="7"/>
  <c r="C1051" i="7"/>
  <c r="D1051" i="7" s="1"/>
  <c r="E1051" i="7" s="1"/>
  <c r="J1050" i="7"/>
  <c r="I1050" i="7"/>
  <c r="G1050" i="7"/>
  <c r="F1050" i="7"/>
  <c r="C1050" i="7"/>
  <c r="D1050" i="7" s="1"/>
  <c r="E1050" i="7" s="1"/>
  <c r="J1049" i="7"/>
  <c r="I1049" i="7"/>
  <c r="G1049" i="7"/>
  <c r="F1049" i="7"/>
  <c r="C1049" i="7"/>
  <c r="D1049" i="7" s="1"/>
  <c r="E1049" i="7" s="1"/>
  <c r="J1048" i="7"/>
  <c r="I1048" i="7"/>
  <c r="G1048" i="7"/>
  <c r="F1048" i="7"/>
  <c r="C1048" i="7"/>
  <c r="D1048" i="7" s="1"/>
  <c r="E1048" i="7" s="1"/>
  <c r="J1047" i="7"/>
  <c r="I1047" i="7"/>
  <c r="G1047" i="7"/>
  <c r="F1047" i="7"/>
  <c r="C1047" i="7"/>
  <c r="D1047" i="7" s="1"/>
  <c r="E1047" i="7" s="1"/>
  <c r="J1046" i="7"/>
  <c r="I1046" i="7"/>
  <c r="G1046" i="7"/>
  <c r="F1046" i="7"/>
  <c r="C1046" i="7"/>
  <c r="D1046" i="7" s="1"/>
  <c r="E1046" i="7" s="1"/>
  <c r="J1045" i="7"/>
  <c r="I1045" i="7"/>
  <c r="G1045" i="7"/>
  <c r="F1045" i="7"/>
  <c r="C1045" i="7"/>
  <c r="D1045" i="7" s="1"/>
  <c r="E1045" i="7" s="1"/>
  <c r="J1044" i="7"/>
  <c r="I1044" i="7"/>
  <c r="G1044" i="7"/>
  <c r="F1044" i="7"/>
  <c r="C1044" i="7"/>
  <c r="D1044" i="7" s="1"/>
  <c r="E1044" i="7" s="1"/>
  <c r="J1043" i="7"/>
  <c r="I1043" i="7"/>
  <c r="G1043" i="7"/>
  <c r="F1043" i="7"/>
  <c r="C1043" i="7"/>
  <c r="D1043" i="7" s="1"/>
  <c r="E1043" i="7" s="1"/>
  <c r="J1042" i="7"/>
  <c r="I1042" i="7"/>
  <c r="G1042" i="7"/>
  <c r="F1042" i="7"/>
  <c r="C1042" i="7"/>
  <c r="D1042" i="7" s="1"/>
  <c r="E1042" i="7" s="1"/>
  <c r="J1041" i="7"/>
  <c r="I1041" i="7"/>
  <c r="G1041" i="7"/>
  <c r="F1041" i="7"/>
  <c r="C1041" i="7"/>
  <c r="D1041" i="7" s="1"/>
  <c r="E1041" i="7" s="1"/>
  <c r="J1040" i="7"/>
  <c r="I1040" i="7"/>
  <c r="G1040" i="7"/>
  <c r="F1040" i="7"/>
  <c r="C1040" i="7"/>
  <c r="D1040" i="7" s="1"/>
  <c r="E1040" i="7" s="1"/>
  <c r="J1039" i="7"/>
  <c r="I1039" i="7"/>
  <c r="G1039" i="7"/>
  <c r="F1039" i="7"/>
  <c r="C1039" i="7"/>
  <c r="D1039" i="7" s="1"/>
  <c r="E1039" i="7" s="1"/>
  <c r="J1038" i="7"/>
  <c r="I1038" i="7"/>
  <c r="G1038" i="7"/>
  <c r="F1038" i="7"/>
  <c r="C1038" i="7"/>
  <c r="D1038" i="7" s="1"/>
  <c r="E1038" i="7" s="1"/>
  <c r="J1037" i="7"/>
  <c r="I1037" i="7"/>
  <c r="G1037" i="7"/>
  <c r="F1037" i="7"/>
  <c r="C1037" i="7"/>
  <c r="D1037" i="7" s="1"/>
  <c r="E1037" i="7" s="1"/>
  <c r="J1036" i="7"/>
  <c r="I1036" i="7"/>
  <c r="G1036" i="7"/>
  <c r="F1036" i="7"/>
  <c r="C1036" i="7"/>
  <c r="D1036" i="7" s="1"/>
  <c r="E1036" i="7" s="1"/>
  <c r="J1035" i="7"/>
  <c r="I1035" i="7"/>
  <c r="G1035" i="7"/>
  <c r="F1035" i="7"/>
  <c r="C1035" i="7"/>
  <c r="D1035" i="7" s="1"/>
  <c r="E1035" i="7" s="1"/>
  <c r="J1034" i="7"/>
  <c r="I1034" i="7"/>
  <c r="G1034" i="7"/>
  <c r="F1034" i="7"/>
  <c r="C1034" i="7"/>
  <c r="D1034" i="7" s="1"/>
  <c r="E1034" i="7" s="1"/>
  <c r="J1033" i="7"/>
  <c r="I1033" i="7"/>
  <c r="G1033" i="7"/>
  <c r="F1033" i="7"/>
  <c r="C1033" i="7"/>
  <c r="D1033" i="7" s="1"/>
  <c r="E1033" i="7" s="1"/>
  <c r="J1032" i="7"/>
  <c r="I1032" i="7"/>
  <c r="G1032" i="7"/>
  <c r="F1032" i="7"/>
  <c r="C1032" i="7"/>
  <c r="D1032" i="7" s="1"/>
  <c r="E1032" i="7" s="1"/>
  <c r="J1031" i="7"/>
  <c r="I1031" i="7"/>
  <c r="G1031" i="7"/>
  <c r="F1031" i="7"/>
  <c r="C1031" i="7"/>
  <c r="D1031" i="7" s="1"/>
  <c r="E1031" i="7" s="1"/>
  <c r="J1030" i="7"/>
  <c r="I1030" i="7"/>
  <c r="G1030" i="7"/>
  <c r="F1030" i="7"/>
  <c r="C1030" i="7"/>
  <c r="D1030" i="7" s="1"/>
  <c r="E1030" i="7" s="1"/>
  <c r="J1029" i="7"/>
  <c r="I1029" i="7"/>
  <c r="G1029" i="7"/>
  <c r="F1029" i="7"/>
  <c r="C1029" i="7"/>
  <c r="D1029" i="7" s="1"/>
  <c r="E1029" i="7" s="1"/>
  <c r="J1028" i="7"/>
  <c r="I1028" i="7"/>
  <c r="G1028" i="7"/>
  <c r="F1028" i="7"/>
  <c r="C1028" i="7"/>
  <c r="D1028" i="7" s="1"/>
  <c r="E1028" i="7" s="1"/>
  <c r="J1027" i="7"/>
  <c r="I1027" i="7"/>
  <c r="G1027" i="7"/>
  <c r="F1027" i="7"/>
  <c r="C1027" i="7"/>
  <c r="D1027" i="7" s="1"/>
  <c r="E1027" i="7" s="1"/>
  <c r="J1026" i="7"/>
  <c r="I1026" i="7"/>
  <c r="G1026" i="7"/>
  <c r="F1026" i="7"/>
  <c r="C1026" i="7"/>
  <c r="D1026" i="7" s="1"/>
  <c r="E1026" i="7" s="1"/>
  <c r="J1025" i="7"/>
  <c r="I1025" i="7"/>
  <c r="G1025" i="7"/>
  <c r="F1025" i="7"/>
  <c r="C1025" i="7"/>
  <c r="D1025" i="7" s="1"/>
  <c r="E1025" i="7" s="1"/>
  <c r="J1024" i="7"/>
  <c r="I1024" i="7"/>
  <c r="G1024" i="7"/>
  <c r="F1024" i="7"/>
  <c r="C1024" i="7"/>
  <c r="D1024" i="7" s="1"/>
  <c r="E1024" i="7" s="1"/>
  <c r="J1023" i="7"/>
  <c r="I1023" i="7"/>
  <c r="G1023" i="7"/>
  <c r="F1023" i="7"/>
  <c r="C1023" i="7"/>
  <c r="D1023" i="7" s="1"/>
  <c r="E1023" i="7" s="1"/>
  <c r="J1022" i="7"/>
  <c r="I1022" i="7"/>
  <c r="G1022" i="7"/>
  <c r="F1022" i="7"/>
  <c r="C1022" i="7"/>
  <c r="D1022" i="7" s="1"/>
  <c r="E1022" i="7" s="1"/>
  <c r="J1021" i="7"/>
  <c r="I1021" i="7"/>
  <c r="G1021" i="7"/>
  <c r="F1021" i="7"/>
  <c r="C1021" i="7"/>
  <c r="D1021" i="7" s="1"/>
  <c r="E1021" i="7" s="1"/>
  <c r="J1020" i="7"/>
  <c r="I1020" i="7"/>
  <c r="G1020" i="7"/>
  <c r="F1020" i="7"/>
  <c r="C1020" i="7"/>
  <c r="D1020" i="7" s="1"/>
  <c r="E1020" i="7" s="1"/>
  <c r="J1019" i="7"/>
  <c r="I1019" i="7"/>
  <c r="G1019" i="7"/>
  <c r="F1019" i="7"/>
  <c r="C1019" i="7"/>
  <c r="D1019" i="7" s="1"/>
  <c r="E1019" i="7" s="1"/>
  <c r="J1018" i="7"/>
  <c r="I1018" i="7"/>
  <c r="G1018" i="7"/>
  <c r="F1018" i="7"/>
  <c r="C1018" i="7"/>
  <c r="D1018" i="7" s="1"/>
  <c r="E1018" i="7" s="1"/>
  <c r="J1017" i="7"/>
  <c r="I1017" i="7"/>
  <c r="G1017" i="7"/>
  <c r="F1017" i="7"/>
  <c r="C1017" i="7"/>
  <c r="D1017" i="7" s="1"/>
  <c r="E1017" i="7" s="1"/>
  <c r="J1016" i="7"/>
  <c r="I1016" i="7"/>
  <c r="G1016" i="7"/>
  <c r="F1016" i="7"/>
  <c r="C1016" i="7"/>
  <c r="D1016" i="7" s="1"/>
  <c r="E1016" i="7" s="1"/>
  <c r="J1015" i="7"/>
  <c r="I1015" i="7"/>
  <c r="G1015" i="7"/>
  <c r="F1015" i="7"/>
  <c r="C1015" i="7"/>
  <c r="D1015" i="7" s="1"/>
  <c r="E1015" i="7" s="1"/>
  <c r="J1014" i="7"/>
  <c r="I1014" i="7"/>
  <c r="G1014" i="7"/>
  <c r="F1014" i="7"/>
  <c r="C1014" i="7"/>
  <c r="D1014" i="7" s="1"/>
  <c r="E1014" i="7" s="1"/>
  <c r="J1013" i="7"/>
  <c r="I1013" i="7"/>
  <c r="G1013" i="7"/>
  <c r="F1013" i="7"/>
  <c r="C1013" i="7"/>
  <c r="D1013" i="7" s="1"/>
  <c r="E1013" i="7" s="1"/>
  <c r="J1012" i="7"/>
  <c r="I1012" i="7"/>
  <c r="G1012" i="7"/>
  <c r="F1012" i="7"/>
  <c r="C1012" i="7"/>
  <c r="D1012" i="7" s="1"/>
  <c r="E1012" i="7" s="1"/>
  <c r="J1011" i="7"/>
  <c r="I1011" i="7"/>
  <c r="G1011" i="7"/>
  <c r="F1011" i="7"/>
  <c r="C1011" i="7"/>
  <c r="D1011" i="7" s="1"/>
  <c r="E1011" i="7" s="1"/>
  <c r="J1010" i="7"/>
  <c r="I1010" i="7"/>
  <c r="G1010" i="7"/>
  <c r="F1010" i="7"/>
  <c r="C1010" i="7"/>
  <c r="D1010" i="7" s="1"/>
  <c r="E1010" i="7" s="1"/>
  <c r="J1009" i="7"/>
  <c r="I1009" i="7"/>
  <c r="G1009" i="7"/>
  <c r="F1009" i="7"/>
  <c r="C1009" i="7"/>
  <c r="D1009" i="7" s="1"/>
  <c r="E1009" i="7" s="1"/>
  <c r="J1008" i="7"/>
  <c r="I1008" i="7"/>
  <c r="G1008" i="7"/>
  <c r="F1008" i="7"/>
  <c r="C1008" i="7"/>
  <c r="D1008" i="7" s="1"/>
  <c r="E1008" i="7" s="1"/>
  <c r="J1007" i="7"/>
  <c r="I1007" i="7"/>
  <c r="G1007" i="7"/>
  <c r="F1007" i="7"/>
  <c r="C1007" i="7"/>
  <c r="D1007" i="7" s="1"/>
  <c r="E1007" i="7" s="1"/>
  <c r="J1006" i="7"/>
  <c r="I1006" i="7"/>
  <c r="G1006" i="7"/>
  <c r="F1006" i="7"/>
  <c r="C1006" i="7"/>
  <c r="D1006" i="7" s="1"/>
  <c r="E1006" i="7" s="1"/>
  <c r="J1005" i="7"/>
  <c r="I1005" i="7"/>
  <c r="G1005" i="7"/>
  <c r="F1005" i="7"/>
  <c r="C1005" i="7"/>
  <c r="D1005" i="7" s="1"/>
  <c r="E1005" i="7" s="1"/>
  <c r="J1004" i="7"/>
  <c r="I1004" i="7"/>
  <c r="G1004" i="7"/>
  <c r="F1004" i="7"/>
  <c r="C1004" i="7"/>
  <c r="D1004" i="7" s="1"/>
  <c r="E1004" i="7" s="1"/>
  <c r="J1003" i="7"/>
  <c r="I1003" i="7"/>
  <c r="G1003" i="7"/>
  <c r="F1003" i="7"/>
  <c r="C1003" i="7"/>
  <c r="D1003" i="7" s="1"/>
  <c r="E1003" i="7" s="1"/>
  <c r="J1002" i="7"/>
  <c r="I1002" i="7"/>
  <c r="G1002" i="7"/>
  <c r="F1002" i="7"/>
  <c r="C1002" i="7"/>
  <c r="D1002" i="7" s="1"/>
  <c r="E1002" i="7" s="1"/>
  <c r="J1001" i="7"/>
  <c r="I1001" i="7"/>
  <c r="G1001" i="7"/>
  <c r="F1001" i="7"/>
  <c r="C1001" i="7"/>
  <c r="D1001" i="7" s="1"/>
  <c r="E1001" i="7" s="1"/>
  <c r="J1000" i="7"/>
  <c r="I1000" i="7"/>
  <c r="G1000" i="7"/>
  <c r="F1000" i="7"/>
  <c r="C1000" i="7"/>
  <c r="D1000" i="7" s="1"/>
  <c r="E1000" i="7" s="1"/>
  <c r="J999" i="7"/>
  <c r="I999" i="7"/>
  <c r="G999" i="7"/>
  <c r="F999" i="7"/>
  <c r="C999" i="7"/>
  <c r="D999" i="7" s="1"/>
  <c r="E999" i="7" s="1"/>
  <c r="J998" i="7"/>
  <c r="I998" i="7"/>
  <c r="G998" i="7"/>
  <c r="F998" i="7"/>
  <c r="C998" i="7"/>
  <c r="D998" i="7" s="1"/>
  <c r="E998" i="7" s="1"/>
  <c r="J997" i="7"/>
  <c r="I997" i="7"/>
  <c r="G997" i="7"/>
  <c r="F997" i="7"/>
  <c r="C997" i="7"/>
  <c r="D997" i="7" s="1"/>
  <c r="E997" i="7" s="1"/>
  <c r="J996" i="7"/>
  <c r="I996" i="7"/>
  <c r="G996" i="7"/>
  <c r="F996" i="7"/>
  <c r="C996" i="7"/>
  <c r="D996" i="7" s="1"/>
  <c r="E996" i="7" s="1"/>
  <c r="J995" i="7"/>
  <c r="I995" i="7"/>
  <c r="G995" i="7"/>
  <c r="F995" i="7"/>
  <c r="C995" i="7"/>
  <c r="D995" i="7" s="1"/>
  <c r="E995" i="7" s="1"/>
  <c r="J994" i="7"/>
  <c r="I994" i="7"/>
  <c r="G994" i="7"/>
  <c r="F994" i="7"/>
  <c r="C994" i="7"/>
  <c r="D994" i="7" s="1"/>
  <c r="E994" i="7" s="1"/>
  <c r="J993" i="7"/>
  <c r="I993" i="7"/>
  <c r="G993" i="7"/>
  <c r="F993" i="7"/>
  <c r="C993" i="7"/>
  <c r="D993" i="7" s="1"/>
  <c r="E993" i="7" s="1"/>
  <c r="J992" i="7"/>
  <c r="I992" i="7"/>
  <c r="G992" i="7"/>
  <c r="F992" i="7"/>
  <c r="C992" i="7"/>
  <c r="D992" i="7" s="1"/>
  <c r="E992" i="7" s="1"/>
  <c r="J991" i="7"/>
  <c r="I991" i="7"/>
  <c r="G991" i="7"/>
  <c r="F991" i="7"/>
  <c r="C991" i="7"/>
  <c r="D991" i="7" s="1"/>
  <c r="E991" i="7" s="1"/>
  <c r="J990" i="7"/>
  <c r="I990" i="7"/>
  <c r="G990" i="7"/>
  <c r="F990" i="7"/>
  <c r="C990" i="7"/>
  <c r="D990" i="7" s="1"/>
  <c r="E990" i="7" s="1"/>
  <c r="J989" i="7"/>
  <c r="I989" i="7"/>
  <c r="G989" i="7"/>
  <c r="F989" i="7"/>
  <c r="C989" i="7"/>
  <c r="D989" i="7" s="1"/>
  <c r="E989" i="7" s="1"/>
  <c r="J988" i="7"/>
  <c r="I988" i="7"/>
  <c r="G988" i="7"/>
  <c r="F988" i="7"/>
  <c r="C988" i="7"/>
  <c r="D988" i="7" s="1"/>
  <c r="E988" i="7" s="1"/>
  <c r="J987" i="7"/>
  <c r="I987" i="7"/>
  <c r="G987" i="7"/>
  <c r="F987" i="7"/>
  <c r="C987" i="7"/>
  <c r="D987" i="7" s="1"/>
  <c r="E987" i="7" s="1"/>
  <c r="J986" i="7"/>
  <c r="I986" i="7"/>
  <c r="G986" i="7"/>
  <c r="F986" i="7"/>
  <c r="C986" i="7"/>
  <c r="D986" i="7" s="1"/>
  <c r="E986" i="7" s="1"/>
  <c r="J985" i="7"/>
  <c r="I985" i="7"/>
  <c r="G985" i="7"/>
  <c r="F985" i="7"/>
  <c r="C985" i="7"/>
  <c r="D985" i="7" s="1"/>
  <c r="E985" i="7" s="1"/>
  <c r="J984" i="7"/>
  <c r="I984" i="7"/>
  <c r="G984" i="7"/>
  <c r="F984" i="7"/>
  <c r="C984" i="7"/>
  <c r="D984" i="7" s="1"/>
  <c r="E984" i="7" s="1"/>
  <c r="J983" i="7"/>
  <c r="I983" i="7"/>
  <c r="G983" i="7"/>
  <c r="F983" i="7"/>
  <c r="C983" i="7"/>
  <c r="D983" i="7" s="1"/>
  <c r="E983" i="7" s="1"/>
  <c r="J982" i="7"/>
  <c r="I982" i="7"/>
  <c r="G982" i="7"/>
  <c r="F982" i="7"/>
  <c r="C982" i="7"/>
  <c r="D982" i="7" s="1"/>
  <c r="E982" i="7" s="1"/>
  <c r="J981" i="7"/>
  <c r="I981" i="7"/>
  <c r="G981" i="7"/>
  <c r="F981" i="7"/>
  <c r="C981" i="7"/>
  <c r="D981" i="7" s="1"/>
  <c r="E981" i="7" s="1"/>
  <c r="J980" i="7"/>
  <c r="I980" i="7"/>
  <c r="G980" i="7"/>
  <c r="F980" i="7"/>
  <c r="C980" i="7"/>
  <c r="D980" i="7" s="1"/>
  <c r="E980" i="7" s="1"/>
  <c r="J979" i="7"/>
  <c r="I979" i="7"/>
  <c r="G979" i="7"/>
  <c r="F979" i="7"/>
  <c r="C979" i="7"/>
  <c r="D979" i="7" s="1"/>
  <c r="E979" i="7" s="1"/>
  <c r="J978" i="7"/>
  <c r="I978" i="7"/>
  <c r="G978" i="7"/>
  <c r="F978" i="7"/>
  <c r="C978" i="7"/>
  <c r="D978" i="7" s="1"/>
  <c r="E978" i="7" s="1"/>
  <c r="J977" i="7"/>
  <c r="I977" i="7"/>
  <c r="G977" i="7"/>
  <c r="F977" i="7"/>
  <c r="C977" i="7"/>
  <c r="D977" i="7" s="1"/>
  <c r="E977" i="7" s="1"/>
  <c r="J976" i="7"/>
  <c r="I976" i="7"/>
  <c r="G976" i="7"/>
  <c r="F976" i="7"/>
  <c r="C976" i="7"/>
  <c r="D976" i="7" s="1"/>
  <c r="E976" i="7" s="1"/>
  <c r="J975" i="7"/>
  <c r="I975" i="7"/>
  <c r="G975" i="7"/>
  <c r="F975" i="7"/>
  <c r="C975" i="7"/>
  <c r="D975" i="7" s="1"/>
  <c r="E975" i="7" s="1"/>
  <c r="J974" i="7"/>
  <c r="I974" i="7"/>
  <c r="G974" i="7"/>
  <c r="F974" i="7"/>
  <c r="C974" i="7"/>
  <c r="D974" i="7" s="1"/>
  <c r="E974" i="7" s="1"/>
  <c r="J973" i="7"/>
  <c r="I973" i="7"/>
  <c r="G973" i="7"/>
  <c r="F973" i="7"/>
  <c r="C973" i="7"/>
  <c r="D973" i="7" s="1"/>
  <c r="E973" i="7" s="1"/>
  <c r="J972" i="7"/>
  <c r="I972" i="7"/>
  <c r="G972" i="7"/>
  <c r="F972" i="7"/>
  <c r="C972" i="7"/>
  <c r="D972" i="7" s="1"/>
  <c r="E972" i="7" s="1"/>
  <c r="J971" i="7"/>
  <c r="I971" i="7"/>
  <c r="G971" i="7"/>
  <c r="F971" i="7"/>
  <c r="C971" i="7"/>
  <c r="D971" i="7" s="1"/>
  <c r="E971" i="7" s="1"/>
  <c r="J970" i="7"/>
  <c r="I970" i="7"/>
  <c r="G970" i="7"/>
  <c r="F970" i="7"/>
  <c r="C970" i="7"/>
  <c r="D970" i="7" s="1"/>
  <c r="E970" i="7" s="1"/>
  <c r="J969" i="7"/>
  <c r="I969" i="7"/>
  <c r="G969" i="7"/>
  <c r="F969" i="7"/>
  <c r="C969" i="7"/>
  <c r="D969" i="7" s="1"/>
  <c r="E969" i="7" s="1"/>
  <c r="J968" i="7"/>
  <c r="I968" i="7"/>
  <c r="G968" i="7"/>
  <c r="F968" i="7"/>
  <c r="C968" i="7"/>
  <c r="D968" i="7" s="1"/>
  <c r="E968" i="7" s="1"/>
  <c r="J967" i="7"/>
  <c r="I967" i="7"/>
  <c r="G967" i="7"/>
  <c r="F967" i="7"/>
  <c r="C967" i="7"/>
  <c r="D967" i="7" s="1"/>
  <c r="E967" i="7" s="1"/>
  <c r="J966" i="7"/>
  <c r="I966" i="7"/>
  <c r="G966" i="7"/>
  <c r="F966" i="7"/>
  <c r="C966" i="7"/>
  <c r="D966" i="7" s="1"/>
  <c r="E966" i="7" s="1"/>
  <c r="J965" i="7"/>
  <c r="I965" i="7"/>
  <c r="G965" i="7"/>
  <c r="F965" i="7"/>
  <c r="C965" i="7"/>
  <c r="D965" i="7" s="1"/>
  <c r="E965" i="7" s="1"/>
  <c r="J964" i="7"/>
  <c r="I964" i="7"/>
  <c r="G964" i="7"/>
  <c r="F964" i="7"/>
  <c r="C964" i="7"/>
  <c r="D964" i="7" s="1"/>
  <c r="E964" i="7" s="1"/>
  <c r="J963" i="7"/>
  <c r="I963" i="7"/>
  <c r="G963" i="7"/>
  <c r="F963" i="7"/>
  <c r="C963" i="7"/>
  <c r="D963" i="7" s="1"/>
  <c r="E963" i="7" s="1"/>
  <c r="J962" i="7"/>
  <c r="I962" i="7"/>
  <c r="G962" i="7"/>
  <c r="F962" i="7"/>
  <c r="C962" i="7"/>
  <c r="D962" i="7" s="1"/>
  <c r="E962" i="7" s="1"/>
  <c r="J961" i="7"/>
  <c r="I961" i="7"/>
  <c r="G961" i="7"/>
  <c r="F961" i="7"/>
  <c r="C961" i="7"/>
  <c r="D961" i="7" s="1"/>
  <c r="E961" i="7" s="1"/>
  <c r="J960" i="7"/>
  <c r="I960" i="7"/>
  <c r="G960" i="7"/>
  <c r="F960" i="7"/>
  <c r="C960" i="7"/>
  <c r="D960" i="7" s="1"/>
  <c r="E960" i="7" s="1"/>
  <c r="J959" i="7"/>
  <c r="I959" i="7"/>
  <c r="G959" i="7"/>
  <c r="F959" i="7"/>
  <c r="C959" i="7"/>
  <c r="D959" i="7" s="1"/>
  <c r="E959" i="7" s="1"/>
  <c r="J958" i="7"/>
  <c r="I958" i="7"/>
  <c r="G958" i="7"/>
  <c r="F958" i="7"/>
  <c r="C958" i="7"/>
  <c r="D958" i="7" s="1"/>
  <c r="E958" i="7" s="1"/>
  <c r="J957" i="7"/>
  <c r="I957" i="7"/>
  <c r="G957" i="7"/>
  <c r="F957" i="7"/>
  <c r="C957" i="7"/>
  <c r="D957" i="7" s="1"/>
  <c r="E957" i="7" s="1"/>
  <c r="J956" i="7"/>
  <c r="I956" i="7"/>
  <c r="G956" i="7"/>
  <c r="F956" i="7"/>
  <c r="C956" i="7"/>
  <c r="D956" i="7" s="1"/>
  <c r="E956" i="7" s="1"/>
  <c r="J955" i="7"/>
  <c r="I955" i="7"/>
  <c r="G955" i="7"/>
  <c r="F955" i="7"/>
  <c r="C955" i="7"/>
  <c r="D955" i="7" s="1"/>
  <c r="E955" i="7" s="1"/>
  <c r="J954" i="7"/>
  <c r="I954" i="7"/>
  <c r="G954" i="7"/>
  <c r="F954" i="7"/>
  <c r="C954" i="7"/>
  <c r="D954" i="7" s="1"/>
  <c r="E954" i="7" s="1"/>
  <c r="J953" i="7"/>
  <c r="I953" i="7"/>
  <c r="G953" i="7"/>
  <c r="F953" i="7"/>
  <c r="C953" i="7"/>
  <c r="D953" i="7" s="1"/>
  <c r="E953" i="7" s="1"/>
  <c r="J952" i="7"/>
  <c r="I952" i="7"/>
  <c r="G952" i="7"/>
  <c r="F952" i="7"/>
  <c r="C952" i="7"/>
  <c r="D952" i="7" s="1"/>
  <c r="E952" i="7" s="1"/>
  <c r="J951" i="7"/>
  <c r="I951" i="7"/>
  <c r="G951" i="7"/>
  <c r="F951" i="7"/>
  <c r="C951" i="7"/>
  <c r="D951" i="7" s="1"/>
  <c r="E951" i="7" s="1"/>
  <c r="J950" i="7"/>
  <c r="I950" i="7"/>
  <c r="G950" i="7"/>
  <c r="F950" i="7"/>
  <c r="C950" i="7"/>
  <c r="D950" i="7" s="1"/>
  <c r="E950" i="7" s="1"/>
  <c r="J949" i="7"/>
  <c r="I949" i="7"/>
  <c r="G949" i="7"/>
  <c r="F949" i="7"/>
  <c r="C949" i="7"/>
  <c r="D949" i="7" s="1"/>
  <c r="E949" i="7" s="1"/>
  <c r="J948" i="7"/>
  <c r="I948" i="7"/>
  <c r="G948" i="7"/>
  <c r="F948" i="7"/>
  <c r="C948" i="7"/>
  <c r="D948" i="7" s="1"/>
  <c r="E948" i="7" s="1"/>
  <c r="J947" i="7"/>
  <c r="I947" i="7"/>
  <c r="G947" i="7"/>
  <c r="F947" i="7"/>
  <c r="C947" i="7"/>
  <c r="D947" i="7" s="1"/>
  <c r="E947" i="7" s="1"/>
  <c r="J946" i="7"/>
  <c r="I946" i="7"/>
  <c r="G946" i="7"/>
  <c r="F946" i="7"/>
  <c r="C946" i="7"/>
  <c r="D946" i="7" s="1"/>
  <c r="E946" i="7" s="1"/>
  <c r="J945" i="7"/>
  <c r="I945" i="7"/>
  <c r="G945" i="7"/>
  <c r="F945" i="7"/>
  <c r="C945" i="7"/>
  <c r="D945" i="7" s="1"/>
  <c r="E945" i="7" s="1"/>
  <c r="J944" i="7"/>
  <c r="I944" i="7"/>
  <c r="G944" i="7"/>
  <c r="F944" i="7"/>
  <c r="C944" i="7"/>
  <c r="D944" i="7" s="1"/>
  <c r="E944" i="7" s="1"/>
  <c r="J943" i="7"/>
  <c r="I943" i="7"/>
  <c r="G943" i="7"/>
  <c r="F943" i="7"/>
  <c r="C943" i="7"/>
  <c r="D943" i="7" s="1"/>
  <c r="E943" i="7" s="1"/>
  <c r="J942" i="7"/>
  <c r="I942" i="7"/>
  <c r="G942" i="7"/>
  <c r="F942" i="7"/>
  <c r="C942" i="7"/>
  <c r="D942" i="7" s="1"/>
  <c r="E942" i="7" s="1"/>
  <c r="J941" i="7"/>
  <c r="I941" i="7"/>
  <c r="G941" i="7"/>
  <c r="F941" i="7"/>
  <c r="C941" i="7"/>
  <c r="D941" i="7" s="1"/>
  <c r="E941" i="7" s="1"/>
  <c r="J940" i="7"/>
  <c r="I940" i="7"/>
  <c r="G940" i="7"/>
  <c r="F940" i="7"/>
  <c r="C940" i="7"/>
  <c r="D940" i="7" s="1"/>
  <c r="E940" i="7" s="1"/>
  <c r="J939" i="7"/>
  <c r="I939" i="7"/>
  <c r="G939" i="7"/>
  <c r="F939" i="7"/>
  <c r="C939" i="7"/>
  <c r="D939" i="7" s="1"/>
  <c r="E939" i="7" s="1"/>
  <c r="J938" i="7"/>
  <c r="I938" i="7"/>
  <c r="G938" i="7"/>
  <c r="F938" i="7"/>
  <c r="C938" i="7"/>
  <c r="D938" i="7" s="1"/>
  <c r="E938" i="7" s="1"/>
  <c r="J937" i="7"/>
  <c r="I937" i="7"/>
  <c r="G937" i="7"/>
  <c r="F937" i="7"/>
  <c r="C937" i="7"/>
  <c r="D937" i="7" s="1"/>
  <c r="E937" i="7" s="1"/>
  <c r="J936" i="7"/>
  <c r="I936" i="7"/>
  <c r="G936" i="7"/>
  <c r="F936" i="7"/>
  <c r="C936" i="7"/>
  <c r="D936" i="7" s="1"/>
  <c r="E936" i="7" s="1"/>
  <c r="J935" i="7"/>
  <c r="I935" i="7"/>
  <c r="G935" i="7"/>
  <c r="F935" i="7"/>
  <c r="C935" i="7"/>
  <c r="D935" i="7" s="1"/>
  <c r="E935" i="7" s="1"/>
  <c r="J934" i="7"/>
  <c r="I934" i="7"/>
  <c r="G934" i="7"/>
  <c r="F934" i="7"/>
  <c r="C934" i="7"/>
  <c r="D934" i="7" s="1"/>
  <c r="E934" i="7" s="1"/>
  <c r="J933" i="7"/>
  <c r="I933" i="7"/>
  <c r="G933" i="7"/>
  <c r="F933" i="7"/>
  <c r="C933" i="7"/>
  <c r="D933" i="7" s="1"/>
  <c r="E933" i="7" s="1"/>
  <c r="J932" i="7"/>
  <c r="I932" i="7"/>
  <c r="G932" i="7"/>
  <c r="F932" i="7"/>
  <c r="C932" i="7"/>
  <c r="D932" i="7" s="1"/>
  <c r="E932" i="7" s="1"/>
  <c r="J931" i="7"/>
  <c r="I931" i="7"/>
  <c r="G931" i="7"/>
  <c r="F931" i="7"/>
  <c r="C931" i="7"/>
  <c r="D931" i="7" s="1"/>
  <c r="E931" i="7" s="1"/>
  <c r="J930" i="7"/>
  <c r="I930" i="7"/>
  <c r="G930" i="7"/>
  <c r="F930" i="7"/>
  <c r="C930" i="7"/>
  <c r="D930" i="7" s="1"/>
  <c r="E930" i="7" s="1"/>
  <c r="J929" i="7"/>
  <c r="I929" i="7"/>
  <c r="G929" i="7"/>
  <c r="F929" i="7"/>
  <c r="C929" i="7"/>
  <c r="D929" i="7" s="1"/>
  <c r="E929" i="7" s="1"/>
  <c r="J928" i="7"/>
  <c r="I928" i="7"/>
  <c r="G928" i="7"/>
  <c r="F928" i="7"/>
  <c r="C928" i="7"/>
  <c r="D928" i="7" s="1"/>
  <c r="E928" i="7" s="1"/>
  <c r="J927" i="7"/>
  <c r="I927" i="7"/>
  <c r="G927" i="7"/>
  <c r="F927" i="7"/>
  <c r="C927" i="7"/>
  <c r="D927" i="7" s="1"/>
  <c r="E927" i="7" s="1"/>
  <c r="J926" i="7"/>
  <c r="I926" i="7"/>
  <c r="G926" i="7"/>
  <c r="F926" i="7"/>
  <c r="C926" i="7"/>
  <c r="D926" i="7" s="1"/>
  <c r="E926" i="7" s="1"/>
  <c r="J925" i="7"/>
  <c r="I925" i="7"/>
  <c r="G925" i="7"/>
  <c r="F925" i="7"/>
  <c r="C925" i="7"/>
  <c r="D925" i="7" s="1"/>
  <c r="E925" i="7" s="1"/>
  <c r="J924" i="7"/>
  <c r="I924" i="7"/>
  <c r="G924" i="7"/>
  <c r="F924" i="7"/>
  <c r="C924" i="7"/>
  <c r="D924" i="7" s="1"/>
  <c r="E924" i="7" s="1"/>
  <c r="J923" i="7"/>
  <c r="I923" i="7"/>
  <c r="G923" i="7"/>
  <c r="F923" i="7"/>
  <c r="C923" i="7"/>
  <c r="D923" i="7" s="1"/>
  <c r="E923" i="7" s="1"/>
  <c r="J922" i="7"/>
  <c r="I922" i="7"/>
  <c r="G922" i="7"/>
  <c r="F922" i="7"/>
  <c r="C922" i="7"/>
  <c r="D922" i="7" s="1"/>
  <c r="E922" i="7" s="1"/>
  <c r="J921" i="7"/>
  <c r="I921" i="7"/>
  <c r="G921" i="7"/>
  <c r="F921" i="7"/>
  <c r="C921" i="7"/>
  <c r="D921" i="7" s="1"/>
  <c r="E921" i="7" s="1"/>
  <c r="J920" i="7"/>
  <c r="I920" i="7"/>
  <c r="G920" i="7"/>
  <c r="F920" i="7"/>
  <c r="C920" i="7"/>
  <c r="D920" i="7" s="1"/>
  <c r="E920" i="7" s="1"/>
  <c r="J919" i="7"/>
  <c r="I919" i="7"/>
  <c r="G919" i="7"/>
  <c r="F919" i="7"/>
  <c r="C919" i="7"/>
  <c r="D919" i="7" s="1"/>
  <c r="E919" i="7" s="1"/>
  <c r="J918" i="7"/>
  <c r="I918" i="7"/>
  <c r="G918" i="7"/>
  <c r="F918" i="7"/>
  <c r="C918" i="7"/>
  <c r="D918" i="7" s="1"/>
  <c r="E918" i="7" s="1"/>
  <c r="J917" i="7"/>
  <c r="I917" i="7"/>
  <c r="G917" i="7"/>
  <c r="F917" i="7"/>
  <c r="C917" i="7"/>
  <c r="D917" i="7" s="1"/>
  <c r="E917" i="7" s="1"/>
  <c r="J916" i="7"/>
  <c r="I916" i="7"/>
  <c r="G916" i="7"/>
  <c r="F916" i="7"/>
  <c r="C916" i="7"/>
  <c r="D916" i="7" s="1"/>
  <c r="E916" i="7" s="1"/>
  <c r="J915" i="7"/>
  <c r="I915" i="7"/>
  <c r="G915" i="7"/>
  <c r="F915" i="7"/>
  <c r="C915" i="7"/>
  <c r="D915" i="7" s="1"/>
  <c r="E915" i="7" s="1"/>
  <c r="J914" i="7"/>
  <c r="I914" i="7"/>
  <c r="G914" i="7"/>
  <c r="F914" i="7"/>
  <c r="C914" i="7"/>
  <c r="D914" i="7" s="1"/>
  <c r="E914" i="7" s="1"/>
  <c r="J913" i="7"/>
  <c r="I913" i="7"/>
  <c r="G913" i="7"/>
  <c r="F913" i="7"/>
  <c r="C913" i="7"/>
  <c r="D913" i="7" s="1"/>
  <c r="E913" i="7" s="1"/>
  <c r="J912" i="7"/>
  <c r="I912" i="7"/>
  <c r="G912" i="7"/>
  <c r="F912" i="7"/>
  <c r="C912" i="7"/>
  <c r="D912" i="7" s="1"/>
  <c r="E912" i="7" s="1"/>
  <c r="J911" i="7"/>
  <c r="I911" i="7"/>
  <c r="G911" i="7"/>
  <c r="F911" i="7"/>
  <c r="C911" i="7"/>
  <c r="D911" i="7" s="1"/>
  <c r="E911" i="7" s="1"/>
  <c r="J910" i="7"/>
  <c r="I910" i="7"/>
  <c r="G910" i="7"/>
  <c r="F910" i="7"/>
  <c r="C910" i="7"/>
  <c r="D910" i="7" s="1"/>
  <c r="E910" i="7" s="1"/>
  <c r="J909" i="7"/>
  <c r="I909" i="7"/>
  <c r="G909" i="7"/>
  <c r="F909" i="7"/>
  <c r="C909" i="7"/>
  <c r="D909" i="7" s="1"/>
  <c r="E909" i="7" s="1"/>
  <c r="J908" i="7"/>
  <c r="I908" i="7"/>
  <c r="G908" i="7"/>
  <c r="F908" i="7"/>
  <c r="C908" i="7"/>
  <c r="D908" i="7" s="1"/>
  <c r="E908" i="7" s="1"/>
  <c r="J907" i="7"/>
  <c r="I907" i="7"/>
  <c r="G907" i="7"/>
  <c r="F907" i="7"/>
  <c r="C907" i="7"/>
  <c r="D907" i="7" s="1"/>
  <c r="E907" i="7" s="1"/>
  <c r="J906" i="7"/>
  <c r="I906" i="7"/>
  <c r="G906" i="7"/>
  <c r="F906" i="7"/>
  <c r="C906" i="7"/>
  <c r="D906" i="7" s="1"/>
  <c r="E906" i="7" s="1"/>
  <c r="J905" i="7"/>
  <c r="I905" i="7"/>
  <c r="G905" i="7"/>
  <c r="F905" i="7"/>
  <c r="C905" i="7"/>
  <c r="D905" i="7" s="1"/>
  <c r="E905" i="7" s="1"/>
  <c r="J904" i="7"/>
  <c r="I904" i="7"/>
  <c r="G904" i="7"/>
  <c r="F904" i="7"/>
  <c r="C904" i="7"/>
  <c r="D904" i="7" s="1"/>
  <c r="E904" i="7" s="1"/>
  <c r="J903" i="7"/>
  <c r="I903" i="7"/>
  <c r="G903" i="7"/>
  <c r="F903" i="7"/>
  <c r="C903" i="7"/>
  <c r="D903" i="7" s="1"/>
  <c r="E903" i="7" s="1"/>
  <c r="J902" i="7"/>
  <c r="I902" i="7"/>
  <c r="G902" i="7"/>
  <c r="F902" i="7"/>
  <c r="C902" i="7"/>
  <c r="D902" i="7" s="1"/>
  <c r="E902" i="7" s="1"/>
  <c r="J901" i="7"/>
  <c r="I901" i="7"/>
  <c r="G901" i="7"/>
  <c r="F901" i="7"/>
  <c r="C901" i="7"/>
  <c r="D901" i="7" s="1"/>
  <c r="E901" i="7" s="1"/>
  <c r="J900" i="7"/>
  <c r="I900" i="7"/>
  <c r="G900" i="7"/>
  <c r="F900" i="7"/>
  <c r="C900" i="7"/>
  <c r="D900" i="7" s="1"/>
  <c r="E900" i="7" s="1"/>
  <c r="J899" i="7"/>
  <c r="I899" i="7"/>
  <c r="G899" i="7"/>
  <c r="F899" i="7"/>
  <c r="C899" i="7"/>
  <c r="D899" i="7" s="1"/>
  <c r="E899" i="7" s="1"/>
  <c r="J898" i="7"/>
  <c r="I898" i="7"/>
  <c r="G898" i="7"/>
  <c r="F898" i="7"/>
  <c r="C898" i="7"/>
  <c r="D898" i="7" s="1"/>
  <c r="E898" i="7" s="1"/>
  <c r="J897" i="7"/>
  <c r="I897" i="7"/>
  <c r="G897" i="7"/>
  <c r="F897" i="7"/>
  <c r="C897" i="7"/>
  <c r="D897" i="7" s="1"/>
  <c r="E897" i="7" s="1"/>
  <c r="J896" i="7"/>
  <c r="I896" i="7"/>
  <c r="G896" i="7"/>
  <c r="F896" i="7"/>
  <c r="C896" i="7"/>
  <c r="D896" i="7" s="1"/>
  <c r="E896" i="7" s="1"/>
  <c r="J895" i="7"/>
  <c r="I895" i="7"/>
  <c r="G895" i="7"/>
  <c r="F895" i="7"/>
  <c r="C895" i="7"/>
  <c r="D895" i="7" s="1"/>
  <c r="E895" i="7" s="1"/>
  <c r="J894" i="7"/>
  <c r="I894" i="7"/>
  <c r="G894" i="7"/>
  <c r="F894" i="7"/>
  <c r="C894" i="7"/>
  <c r="D894" i="7" s="1"/>
  <c r="E894" i="7" s="1"/>
  <c r="J893" i="7"/>
  <c r="I893" i="7"/>
  <c r="G893" i="7"/>
  <c r="F893" i="7"/>
  <c r="C893" i="7"/>
  <c r="D893" i="7" s="1"/>
  <c r="E893" i="7" s="1"/>
  <c r="J892" i="7"/>
  <c r="I892" i="7"/>
  <c r="G892" i="7"/>
  <c r="F892" i="7"/>
  <c r="C892" i="7"/>
  <c r="D892" i="7" s="1"/>
  <c r="E892" i="7" s="1"/>
  <c r="J891" i="7"/>
  <c r="I891" i="7"/>
  <c r="G891" i="7"/>
  <c r="F891" i="7"/>
  <c r="C891" i="7"/>
  <c r="D891" i="7" s="1"/>
  <c r="E891" i="7" s="1"/>
  <c r="J890" i="7"/>
  <c r="I890" i="7"/>
  <c r="G890" i="7"/>
  <c r="F890" i="7"/>
  <c r="C890" i="7"/>
  <c r="D890" i="7" s="1"/>
  <c r="E890" i="7" s="1"/>
  <c r="J889" i="7"/>
  <c r="I889" i="7"/>
  <c r="G889" i="7"/>
  <c r="F889" i="7"/>
  <c r="C889" i="7"/>
  <c r="D889" i="7" s="1"/>
  <c r="E889" i="7" s="1"/>
  <c r="J888" i="7"/>
  <c r="I888" i="7"/>
  <c r="G888" i="7"/>
  <c r="F888" i="7"/>
  <c r="C888" i="7"/>
  <c r="D888" i="7" s="1"/>
  <c r="E888" i="7" s="1"/>
  <c r="J887" i="7"/>
  <c r="I887" i="7"/>
  <c r="G887" i="7"/>
  <c r="F887" i="7"/>
  <c r="C887" i="7"/>
  <c r="D887" i="7" s="1"/>
  <c r="E887" i="7" s="1"/>
  <c r="J886" i="7"/>
  <c r="I886" i="7"/>
  <c r="G886" i="7"/>
  <c r="F886" i="7"/>
  <c r="C886" i="7"/>
  <c r="D886" i="7" s="1"/>
  <c r="E886" i="7" s="1"/>
  <c r="J885" i="7"/>
  <c r="I885" i="7"/>
  <c r="G885" i="7"/>
  <c r="F885" i="7"/>
  <c r="C885" i="7"/>
  <c r="D885" i="7" s="1"/>
  <c r="E885" i="7" s="1"/>
  <c r="J884" i="7"/>
  <c r="I884" i="7"/>
  <c r="G884" i="7"/>
  <c r="F884" i="7"/>
  <c r="C884" i="7"/>
  <c r="D884" i="7" s="1"/>
  <c r="E884" i="7" s="1"/>
  <c r="J883" i="7"/>
  <c r="I883" i="7"/>
  <c r="G883" i="7"/>
  <c r="F883" i="7"/>
  <c r="C883" i="7"/>
  <c r="D883" i="7" s="1"/>
  <c r="E883" i="7" s="1"/>
  <c r="J882" i="7"/>
  <c r="I882" i="7"/>
  <c r="G882" i="7"/>
  <c r="F882" i="7"/>
  <c r="C882" i="7"/>
  <c r="D882" i="7" s="1"/>
  <c r="E882" i="7" s="1"/>
  <c r="J881" i="7"/>
  <c r="I881" i="7"/>
  <c r="G881" i="7"/>
  <c r="F881" i="7"/>
  <c r="C881" i="7"/>
  <c r="D881" i="7" s="1"/>
  <c r="E881" i="7" s="1"/>
  <c r="J880" i="7"/>
  <c r="I880" i="7"/>
  <c r="G880" i="7"/>
  <c r="F880" i="7"/>
  <c r="C880" i="7"/>
  <c r="D880" i="7" s="1"/>
  <c r="E880" i="7" s="1"/>
  <c r="J879" i="7"/>
  <c r="I879" i="7"/>
  <c r="G879" i="7"/>
  <c r="F879" i="7"/>
  <c r="C879" i="7"/>
  <c r="D879" i="7" s="1"/>
  <c r="E879" i="7" s="1"/>
  <c r="J878" i="7"/>
  <c r="I878" i="7"/>
  <c r="G878" i="7"/>
  <c r="F878" i="7"/>
  <c r="C878" i="7"/>
  <c r="D878" i="7" s="1"/>
  <c r="E878" i="7" s="1"/>
  <c r="J877" i="7"/>
  <c r="I877" i="7"/>
  <c r="G877" i="7"/>
  <c r="F877" i="7"/>
  <c r="C877" i="7"/>
  <c r="D877" i="7" s="1"/>
  <c r="E877" i="7" s="1"/>
  <c r="J876" i="7"/>
  <c r="I876" i="7"/>
  <c r="G876" i="7"/>
  <c r="F876" i="7"/>
  <c r="C876" i="7"/>
  <c r="D876" i="7" s="1"/>
  <c r="E876" i="7" s="1"/>
  <c r="J875" i="7"/>
  <c r="I875" i="7"/>
  <c r="G875" i="7"/>
  <c r="F875" i="7"/>
  <c r="C875" i="7"/>
  <c r="D875" i="7" s="1"/>
  <c r="E875" i="7" s="1"/>
  <c r="J874" i="7"/>
  <c r="I874" i="7"/>
  <c r="G874" i="7"/>
  <c r="F874" i="7"/>
  <c r="C874" i="7"/>
  <c r="D874" i="7" s="1"/>
  <c r="E874" i="7" s="1"/>
  <c r="J873" i="7"/>
  <c r="I873" i="7"/>
  <c r="G873" i="7"/>
  <c r="F873" i="7"/>
  <c r="C873" i="7"/>
  <c r="D873" i="7" s="1"/>
  <c r="E873" i="7" s="1"/>
  <c r="J872" i="7"/>
  <c r="I872" i="7"/>
  <c r="G872" i="7"/>
  <c r="F872" i="7"/>
  <c r="C872" i="7"/>
  <c r="D872" i="7" s="1"/>
  <c r="E872" i="7" s="1"/>
  <c r="J871" i="7"/>
  <c r="I871" i="7"/>
  <c r="G871" i="7"/>
  <c r="F871" i="7"/>
  <c r="C871" i="7"/>
  <c r="D871" i="7" s="1"/>
  <c r="E871" i="7" s="1"/>
  <c r="J870" i="7"/>
  <c r="I870" i="7"/>
  <c r="G870" i="7"/>
  <c r="F870" i="7"/>
  <c r="C870" i="7"/>
  <c r="D870" i="7" s="1"/>
  <c r="E870" i="7" s="1"/>
  <c r="J869" i="7"/>
  <c r="I869" i="7"/>
  <c r="G869" i="7"/>
  <c r="F869" i="7"/>
  <c r="C869" i="7"/>
  <c r="D869" i="7" s="1"/>
  <c r="E869" i="7" s="1"/>
  <c r="J868" i="7"/>
  <c r="I868" i="7"/>
  <c r="G868" i="7"/>
  <c r="F868" i="7"/>
  <c r="C868" i="7"/>
  <c r="D868" i="7" s="1"/>
  <c r="E868" i="7" s="1"/>
  <c r="J867" i="7"/>
  <c r="I867" i="7"/>
  <c r="G867" i="7"/>
  <c r="F867" i="7"/>
  <c r="C867" i="7"/>
  <c r="D867" i="7" s="1"/>
  <c r="E867" i="7" s="1"/>
  <c r="J866" i="7"/>
  <c r="I866" i="7"/>
  <c r="G866" i="7"/>
  <c r="F866" i="7"/>
  <c r="C866" i="7"/>
  <c r="D866" i="7" s="1"/>
  <c r="E866" i="7" s="1"/>
  <c r="J865" i="7"/>
  <c r="I865" i="7"/>
  <c r="G865" i="7"/>
  <c r="F865" i="7"/>
  <c r="C865" i="7"/>
  <c r="D865" i="7" s="1"/>
  <c r="E865" i="7" s="1"/>
  <c r="J864" i="7"/>
  <c r="I864" i="7"/>
  <c r="G864" i="7"/>
  <c r="F864" i="7"/>
  <c r="C864" i="7"/>
  <c r="D864" i="7" s="1"/>
  <c r="E864" i="7" s="1"/>
  <c r="J863" i="7"/>
  <c r="I863" i="7"/>
  <c r="G863" i="7"/>
  <c r="F863" i="7"/>
  <c r="C863" i="7"/>
  <c r="D863" i="7" s="1"/>
  <c r="E863" i="7" s="1"/>
  <c r="J862" i="7"/>
  <c r="I862" i="7"/>
  <c r="G862" i="7"/>
  <c r="F862" i="7"/>
  <c r="C862" i="7"/>
  <c r="D862" i="7" s="1"/>
  <c r="E862" i="7" s="1"/>
  <c r="J861" i="7"/>
  <c r="I861" i="7"/>
  <c r="G861" i="7"/>
  <c r="F861" i="7"/>
  <c r="C861" i="7"/>
  <c r="D861" i="7" s="1"/>
  <c r="E861" i="7" s="1"/>
  <c r="J860" i="7"/>
  <c r="I860" i="7"/>
  <c r="G860" i="7"/>
  <c r="F860" i="7"/>
  <c r="C860" i="7"/>
  <c r="D860" i="7" s="1"/>
  <c r="E860" i="7" s="1"/>
  <c r="J859" i="7"/>
  <c r="I859" i="7"/>
  <c r="G859" i="7"/>
  <c r="F859" i="7"/>
  <c r="C859" i="7"/>
  <c r="D859" i="7" s="1"/>
  <c r="E859" i="7" s="1"/>
  <c r="J858" i="7"/>
  <c r="I858" i="7"/>
  <c r="G858" i="7"/>
  <c r="F858" i="7"/>
  <c r="C858" i="7"/>
  <c r="D858" i="7" s="1"/>
  <c r="E858" i="7" s="1"/>
  <c r="J857" i="7"/>
  <c r="I857" i="7"/>
  <c r="G857" i="7"/>
  <c r="F857" i="7"/>
  <c r="C857" i="7"/>
  <c r="D857" i="7" s="1"/>
  <c r="E857" i="7" s="1"/>
  <c r="J856" i="7"/>
  <c r="I856" i="7"/>
  <c r="G856" i="7"/>
  <c r="F856" i="7"/>
  <c r="C856" i="7"/>
  <c r="D856" i="7" s="1"/>
  <c r="E856" i="7" s="1"/>
  <c r="J855" i="7"/>
  <c r="I855" i="7"/>
  <c r="G855" i="7"/>
  <c r="F855" i="7"/>
  <c r="C855" i="7"/>
  <c r="D855" i="7" s="1"/>
  <c r="E855" i="7" s="1"/>
  <c r="J854" i="7"/>
  <c r="I854" i="7"/>
  <c r="G854" i="7"/>
  <c r="F854" i="7"/>
  <c r="C854" i="7"/>
  <c r="D854" i="7" s="1"/>
  <c r="E854" i="7" s="1"/>
  <c r="J853" i="7"/>
  <c r="I853" i="7"/>
  <c r="G853" i="7"/>
  <c r="F853" i="7"/>
  <c r="C853" i="7"/>
  <c r="D853" i="7" s="1"/>
  <c r="E853" i="7" s="1"/>
  <c r="J852" i="7"/>
  <c r="I852" i="7"/>
  <c r="G852" i="7"/>
  <c r="F852" i="7"/>
  <c r="C852" i="7"/>
  <c r="D852" i="7" s="1"/>
  <c r="E852" i="7" s="1"/>
  <c r="J851" i="7"/>
  <c r="I851" i="7"/>
  <c r="G851" i="7"/>
  <c r="F851" i="7"/>
  <c r="C851" i="7"/>
  <c r="D851" i="7" s="1"/>
  <c r="E851" i="7" s="1"/>
  <c r="J850" i="7"/>
  <c r="I850" i="7"/>
  <c r="G850" i="7"/>
  <c r="F850" i="7"/>
  <c r="C850" i="7"/>
  <c r="D850" i="7" s="1"/>
  <c r="E850" i="7" s="1"/>
  <c r="J849" i="7"/>
  <c r="I849" i="7"/>
  <c r="G849" i="7"/>
  <c r="F849" i="7"/>
  <c r="C849" i="7"/>
  <c r="D849" i="7" s="1"/>
  <c r="E849" i="7" s="1"/>
  <c r="J848" i="7"/>
  <c r="I848" i="7"/>
  <c r="G848" i="7"/>
  <c r="F848" i="7"/>
  <c r="C848" i="7"/>
  <c r="D848" i="7" s="1"/>
  <c r="E848" i="7" s="1"/>
  <c r="J847" i="7"/>
  <c r="I847" i="7"/>
  <c r="G847" i="7"/>
  <c r="F847" i="7"/>
  <c r="C847" i="7"/>
  <c r="D847" i="7" s="1"/>
  <c r="E847" i="7" s="1"/>
  <c r="J846" i="7"/>
  <c r="I846" i="7"/>
  <c r="G846" i="7"/>
  <c r="F846" i="7"/>
  <c r="C846" i="7"/>
  <c r="D846" i="7" s="1"/>
  <c r="E846" i="7" s="1"/>
  <c r="J845" i="7"/>
  <c r="I845" i="7"/>
  <c r="G845" i="7"/>
  <c r="F845" i="7"/>
  <c r="C845" i="7"/>
  <c r="D845" i="7" s="1"/>
  <c r="E845" i="7" s="1"/>
  <c r="J844" i="7"/>
  <c r="I844" i="7"/>
  <c r="G844" i="7"/>
  <c r="F844" i="7"/>
  <c r="C844" i="7"/>
  <c r="D844" i="7" s="1"/>
  <c r="E844" i="7" s="1"/>
  <c r="J843" i="7"/>
  <c r="I843" i="7"/>
  <c r="G843" i="7"/>
  <c r="F843" i="7"/>
  <c r="C843" i="7"/>
  <c r="D843" i="7" s="1"/>
  <c r="E843" i="7" s="1"/>
  <c r="J842" i="7"/>
  <c r="I842" i="7"/>
  <c r="G842" i="7"/>
  <c r="F842" i="7"/>
  <c r="C842" i="7"/>
  <c r="D842" i="7" s="1"/>
  <c r="E842" i="7" s="1"/>
  <c r="J841" i="7"/>
  <c r="I841" i="7"/>
  <c r="G841" i="7"/>
  <c r="F841" i="7"/>
  <c r="C841" i="7"/>
  <c r="D841" i="7" s="1"/>
  <c r="E841" i="7" s="1"/>
  <c r="J840" i="7"/>
  <c r="I840" i="7"/>
  <c r="G840" i="7"/>
  <c r="F840" i="7"/>
  <c r="C840" i="7"/>
  <c r="D840" i="7" s="1"/>
  <c r="E840" i="7" s="1"/>
  <c r="J839" i="7"/>
  <c r="I839" i="7"/>
  <c r="G839" i="7"/>
  <c r="F839" i="7"/>
  <c r="C839" i="7"/>
  <c r="D839" i="7" s="1"/>
  <c r="E839" i="7" s="1"/>
  <c r="J838" i="7"/>
  <c r="I838" i="7"/>
  <c r="G838" i="7"/>
  <c r="F838" i="7"/>
  <c r="C838" i="7"/>
  <c r="D838" i="7" s="1"/>
  <c r="E838" i="7" s="1"/>
  <c r="J837" i="7"/>
  <c r="I837" i="7"/>
  <c r="G837" i="7"/>
  <c r="F837" i="7"/>
  <c r="C837" i="7"/>
  <c r="D837" i="7" s="1"/>
  <c r="E837" i="7" s="1"/>
  <c r="J836" i="7"/>
  <c r="I836" i="7"/>
  <c r="G836" i="7"/>
  <c r="F836" i="7"/>
  <c r="C836" i="7"/>
  <c r="D836" i="7" s="1"/>
  <c r="E836" i="7" s="1"/>
  <c r="J835" i="7"/>
  <c r="I835" i="7"/>
  <c r="G835" i="7"/>
  <c r="F835" i="7"/>
  <c r="C835" i="7"/>
  <c r="D835" i="7" s="1"/>
  <c r="E835" i="7" s="1"/>
  <c r="J834" i="7"/>
  <c r="I834" i="7"/>
  <c r="G834" i="7"/>
  <c r="F834" i="7"/>
  <c r="C834" i="7"/>
  <c r="D834" i="7" s="1"/>
  <c r="E834" i="7" s="1"/>
  <c r="J833" i="7"/>
  <c r="I833" i="7"/>
  <c r="G833" i="7"/>
  <c r="F833" i="7"/>
  <c r="C833" i="7"/>
  <c r="D833" i="7" s="1"/>
  <c r="E833" i="7" s="1"/>
  <c r="J832" i="7"/>
  <c r="I832" i="7"/>
  <c r="G832" i="7"/>
  <c r="F832" i="7"/>
  <c r="C832" i="7"/>
  <c r="D832" i="7" s="1"/>
  <c r="E832" i="7" s="1"/>
  <c r="J831" i="7"/>
  <c r="I831" i="7"/>
  <c r="G831" i="7"/>
  <c r="F831" i="7"/>
  <c r="C831" i="7"/>
  <c r="D831" i="7" s="1"/>
  <c r="E831" i="7" s="1"/>
  <c r="J830" i="7"/>
  <c r="I830" i="7"/>
  <c r="G830" i="7"/>
  <c r="F830" i="7"/>
  <c r="C830" i="7"/>
  <c r="D830" i="7" s="1"/>
  <c r="E830" i="7" s="1"/>
  <c r="J829" i="7"/>
  <c r="I829" i="7"/>
  <c r="G829" i="7"/>
  <c r="F829" i="7"/>
  <c r="C829" i="7"/>
  <c r="D829" i="7" s="1"/>
  <c r="E829" i="7" s="1"/>
  <c r="J828" i="7"/>
  <c r="I828" i="7"/>
  <c r="G828" i="7"/>
  <c r="F828" i="7"/>
  <c r="C828" i="7"/>
  <c r="D828" i="7" s="1"/>
  <c r="E828" i="7" s="1"/>
  <c r="J827" i="7"/>
  <c r="I827" i="7"/>
  <c r="G827" i="7"/>
  <c r="F827" i="7"/>
  <c r="C827" i="7"/>
  <c r="D827" i="7" s="1"/>
  <c r="E827" i="7" s="1"/>
  <c r="J826" i="7"/>
  <c r="I826" i="7"/>
  <c r="G826" i="7"/>
  <c r="F826" i="7"/>
  <c r="C826" i="7"/>
  <c r="D826" i="7" s="1"/>
  <c r="E826" i="7" s="1"/>
  <c r="J825" i="7"/>
  <c r="I825" i="7"/>
  <c r="G825" i="7"/>
  <c r="F825" i="7"/>
  <c r="C825" i="7"/>
  <c r="D825" i="7" s="1"/>
  <c r="E825" i="7" s="1"/>
  <c r="J824" i="7"/>
  <c r="I824" i="7"/>
  <c r="G824" i="7"/>
  <c r="F824" i="7"/>
  <c r="C824" i="7"/>
  <c r="D824" i="7" s="1"/>
  <c r="E824" i="7" s="1"/>
  <c r="J823" i="7"/>
  <c r="I823" i="7"/>
  <c r="G823" i="7"/>
  <c r="F823" i="7"/>
  <c r="C823" i="7"/>
  <c r="D823" i="7" s="1"/>
  <c r="E823" i="7" s="1"/>
  <c r="J822" i="7"/>
  <c r="I822" i="7"/>
  <c r="G822" i="7"/>
  <c r="F822" i="7"/>
  <c r="C822" i="7"/>
  <c r="D822" i="7" s="1"/>
  <c r="E822" i="7" s="1"/>
  <c r="J821" i="7"/>
  <c r="I821" i="7"/>
  <c r="G821" i="7"/>
  <c r="F821" i="7"/>
  <c r="C821" i="7"/>
  <c r="D821" i="7" s="1"/>
  <c r="E821" i="7" s="1"/>
  <c r="J820" i="7"/>
  <c r="I820" i="7"/>
  <c r="G820" i="7"/>
  <c r="F820" i="7"/>
  <c r="C820" i="7"/>
  <c r="D820" i="7" s="1"/>
  <c r="E820" i="7" s="1"/>
  <c r="J819" i="7"/>
  <c r="I819" i="7"/>
  <c r="G819" i="7"/>
  <c r="F819" i="7"/>
  <c r="C819" i="7"/>
  <c r="D819" i="7" s="1"/>
  <c r="E819" i="7" s="1"/>
  <c r="J818" i="7"/>
  <c r="I818" i="7"/>
  <c r="G818" i="7"/>
  <c r="F818" i="7"/>
  <c r="C818" i="7"/>
  <c r="D818" i="7" s="1"/>
  <c r="E818" i="7" s="1"/>
  <c r="J817" i="7"/>
  <c r="I817" i="7"/>
  <c r="G817" i="7"/>
  <c r="F817" i="7"/>
  <c r="C817" i="7"/>
  <c r="D817" i="7" s="1"/>
  <c r="E817" i="7" s="1"/>
  <c r="J816" i="7"/>
  <c r="I816" i="7"/>
  <c r="G816" i="7"/>
  <c r="F816" i="7"/>
  <c r="C816" i="7"/>
  <c r="D816" i="7" s="1"/>
  <c r="E816" i="7" s="1"/>
  <c r="J815" i="7"/>
  <c r="I815" i="7"/>
  <c r="G815" i="7"/>
  <c r="F815" i="7"/>
  <c r="C815" i="7"/>
  <c r="D815" i="7" s="1"/>
  <c r="E815" i="7" s="1"/>
  <c r="J814" i="7"/>
  <c r="I814" i="7"/>
  <c r="G814" i="7"/>
  <c r="F814" i="7"/>
  <c r="C814" i="7"/>
  <c r="D814" i="7" s="1"/>
  <c r="E814" i="7" s="1"/>
  <c r="J813" i="7"/>
  <c r="I813" i="7"/>
  <c r="G813" i="7"/>
  <c r="F813" i="7"/>
  <c r="C813" i="7"/>
  <c r="D813" i="7" s="1"/>
  <c r="E813" i="7" s="1"/>
  <c r="J812" i="7"/>
  <c r="I812" i="7"/>
  <c r="G812" i="7"/>
  <c r="F812" i="7"/>
  <c r="C812" i="7"/>
  <c r="D812" i="7" s="1"/>
  <c r="E812" i="7" s="1"/>
  <c r="J811" i="7"/>
  <c r="I811" i="7"/>
  <c r="G811" i="7"/>
  <c r="F811" i="7"/>
  <c r="C811" i="7"/>
  <c r="D811" i="7" s="1"/>
  <c r="E811" i="7" s="1"/>
  <c r="J810" i="7"/>
  <c r="I810" i="7"/>
  <c r="G810" i="7"/>
  <c r="F810" i="7"/>
  <c r="C810" i="7"/>
  <c r="D810" i="7" s="1"/>
  <c r="E810" i="7" s="1"/>
  <c r="J809" i="7"/>
  <c r="I809" i="7"/>
  <c r="G809" i="7"/>
  <c r="F809" i="7"/>
  <c r="C809" i="7"/>
  <c r="D809" i="7" s="1"/>
  <c r="E809" i="7" s="1"/>
  <c r="J808" i="7"/>
  <c r="I808" i="7"/>
  <c r="G808" i="7"/>
  <c r="F808" i="7"/>
  <c r="C808" i="7"/>
  <c r="D808" i="7" s="1"/>
  <c r="E808" i="7" s="1"/>
  <c r="J807" i="7"/>
  <c r="I807" i="7"/>
  <c r="G807" i="7"/>
  <c r="F807" i="7"/>
  <c r="C807" i="7"/>
  <c r="D807" i="7" s="1"/>
  <c r="E807" i="7" s="1"/>
  <c r="J806" i="7"/>
  <c r="I806" i="7"/>
  <c r="G806" i="7"/>
  <c r="F806" i="7"/>
  <c r="C806" i="7"/>
  <c r="D806" i="7" s="1"/>
  <c r="E806" i="7" s="1"/>
  <c r="J805" i="7"/>
  <c r="I805" i="7"/>
  <c r="G805" i="7"/>
  <c r="F805" i="7"/>
  <c r="C805" i="7"/>
  <c r="D805" i="7" s="1"/>
  <c r="E805" i="7" s="1"/>
  <c r="J804" i="7"/>
  <c r="I804" i="7"/>
  <c r="G804" i="7"/>
  <c r="F804" i="7"/>
  <c r="C804" i="7"/>
  <c r="D804" i="7" s="1"/>
  <c r="E804" i="7" s="1"/>
  <c r="J803" i="7"/>
  <c r="I803" i="7"/>
  <c r="G803" i="7"/>
  <c r="F803" i="7"/>
  <c r="C803" i="7"/>
  <c r="D803" i="7" s="1"/>
  <c r="E803" i="7" s="1"/>
  <c r="J802" i="7"/>
  <c r="I802" i="7"/>
  <c r="G802" i="7"/>
  <c r="F802" i="7"/>
  <c r="C802" i="7"/>
  <c r="D802" i="7" s="1"/>
  <c r="E802" i="7" s="1"/>
  <c r="J801" i="7"/>
  <c r="I801" i="7"/>
  <c r="G801" i="7"/>
  <c r="F801" i="7"/>
  <c r="C801" i="7"/>
  <c r="D801" i="7" s="1"/>
  <c r="E801" i="7" s="1"/>
  <c r="J800" i="7"/>
  <c r="I800" i="7"/>
  <c r="G800" i="7"/>
  <c r="F800" i="7"/>
  <c r="C800" i="7"/>
  <c r="D800" i="7" s="1"/>
  <c r="E800" i="7" s="1"/>
  <c r="J799" i="7"/>
  <c r="I799" i="7"/>
  <c r="G799" i="7"/>
  <c r="F799" i="7"/>
  <c r="C799" i="7"/>
  <c r="D799" i="7" s="1"/>
  <c r="E799" i="7" s="1"/>
  <c r="J798" i="7"/>
  <c r="I798" i="7"/>
  <c r="G798" i="7"/>
  <c r="F798" i="7"/>
  <c r="C798" i="7"/>
  <c r="D798" i="7" s="1"/>
  <c r="E798" i="7" s="1"/>
  <c r="J797" i="7"/>
  <c r="I797" i="7"/>
  <c r="G797" i="7"/>
  <c r="F797" i="7"/>
  <c r="C797" i="7"/>
  <c r="D797" i="7" s="1"/>
  <c r="E797" i="7" s="1"/>
  <c r="J796" i="7"/>
  <c r="I796" i="7"/>
  <c r="G796" i="7"/>
  <c r="F796" i="7"/>
  <c r="C796" i="7"/>
  <c r="D796" i="7" s="1"/>
  <c r="E796" i="7" s="1"/>
  <c r="J795" i="7"/>
  <c r="I795" i="7"/>
  <c r="G795" i="7"/>
  <c r="F795" i="7"/>
  <c r="C795" i="7"/>
  <c r="D795" i="7" s="1"/>
  <c r="E795" i="7" s="1"/>
  <c r="J794" i="7"/>
  <c r="I794" i="7"/>
  <c r="G794" i="7"/>
  <c r="F794" i="7"/>
  <c r="C794" i="7"/>
  <c r="D794" i="7" s="1"/>
  <c r="E794" i="7" s="1"/>
  <c r="J793" i="7"/>
  <c r="I793" i="7"/>
  <c r="G793" i="7"/>
  <c r="F793" i="7"/>
  <c r="C793" i="7"/>
  <c r="D793" i="7" s="1"/>
  <c r="E793" i="7" s="1"/>
  <c r="J792" i="7"/>
  <c r="I792" i="7"/>
  <c r="G792" i="7"/>
  <c r="F792" i="7"/>
  <c r="C792" i="7"/>
  <c r="D792" i="7" s="1"/>
  <c r="E792" i="7" s="1"/>
  <c r="J791" i="7"/>
  <c r="I791" i="7"/>
  <c r="G791" i="7"/>
  <c r="F791" i="7"/>
  <c r="C791" i="7"/>
  <c r="D791" i="7" s="1"/>
  <c r="E791" i="7" s="1"/>
  <c r="J790" i="7"/>
  <c r="I790" i="7"/>
  <c r="G790" i="7"/>
  <c r="F790" i="7"/>
  <c r="C790" i="7"/>
  <c r="D790" i="7" s="1"/>
  <c r="E790" i="7" s="1"/>
  <c r="J789" i="7"/>
  <c r="I789" i="7"/>
  <c r="G789" i="7"/>
  <c r="F789" i="7"/>
  <c r="C789" i="7"/>
  <c r="D789" i="7" s="1"/>
  <c r="E789" i="7" s="1"/>
  <c r="J788" i="7"/>
  <c r="I788" i="7"/>
  <c r="G788" i="7"/>
  <c r="F788" i="7"/>
  <c r="C788" i="7"/>
  <c r="D788" i="7" s="1"/>
  <c r="E788" i="7" s="1"/>
  <c r="J787" i="7"/>
  <c r="I787" i="7"/>
  <c r="G787" i="7"/>
  <c r="F787" i="7"/>
  <c r="C787" i="7"/>
  <c r="D787" i="7" s="1"/>
  <c r="E787" i="7" s="1"/>
  <c r="J786" i="7"/>
  <c r="I786" i="7"/>
  <c r="G786" i="7"/>
  <c r="F786" i="7"/>
  <c r="C786" i="7"/>
  <c r="D786" i="7" s="1"/>
  <c r="E786" i="7" s="1"/>
  <c r="J785" i="7"/>
  <c r="I785" i="7"/>
  <c r="G785" i="7"/>
  <c r="F785" i="7"/>
  <c r="C785" i="7"/>
  <c r="D785" i="7" s="1"/>
  <c r="E785" i="7" s="1"/>
  <c r="J784" i="7"/>
  <c r="I784" i="7"/>
  <c r="G784" i="7"/>
  <c r="F784" i="7"/>
  <c r="C784" i="7"/>
  <c r="D784" i="7" s="1"/>
  <c r="E784" i="7" s="1"/>
  <c r="J783" i="7"/>
  <c r="I783" i="7"/>
  <c r="G783" i="7"/>
  <c r="F783" i="7"/>
  <c r="C783" i="7"/>
  <c r="D783" i="7" s="1"/>
  <c r="E783" i="7" s="1"/>
  <c r="J782" i="7"/>
  <c r="I782" i="7"/>
  <c r="G782" i="7"/>
  <c r="F782" i="7"/>
  <c r="C782" i="7"/>
  <c r="D782" i="7" s="1"/>
  <c r="E782" i="7" s="1"/>
  <c r="J781" i="7"/>
  <c r="I781" i="7"/>
  <c r="G781" i="7"/>
  <c r="F781" i="7"/>
  <c r="C781" i="7"/>
  <c r="D781" i="7" s="1"/>
  <c r="E781" i="7" s="1"/>
  <c r="J780" i="7"/>
  <c r="I780" i="7"/>
  <c r="G780" i="7"/>
  <c r="F780" i="7"/>
  <c r="C780" i="7"/>
  <c r="D780" i="7" s="1"/>
  <c r="E780" i="7" s="1"/>
  <c r="J779" i="7"/>
  <c r="I779" i="7"/>
  <c r="G779" i="7"/>
  <c r="F779" i="7"/>
  <c r="C779" i="7"/>
  <c r="D779" i="7" s="1"/>
  <c r="E779" i="7" s="1"/>
  <c r="J778" i="7"/>
  <c r="I778" i="7"/>
  <c r="G778" i="7"/>
  <c r="F778" i="7"/>
  <c r="C778" i="7"/>
  <c r="D778" i="7" s="1"/>
  <c r="E778" i="7" s="1"/>
  <c r="J777" i="7"/>
  <c r="I777" i="7"/>
  <c r="G777" i="7"/>
  <c r="F777" i="7"/>
  <c r="C777" i="7"/>
  <c r="D777" i="7" s="1"/>
  <c r="E777" i="7" s="1"/>
  <c r="J776" i="7"/>
  <c r="I776" i="7"/>
  <c r="G776" i="7"/>
  <c r="F776" i="7"/>
  <c r="C776" i="7"/>
  <c r="D776" i="7" s="1"/>
  <c r="E776" i="7" s="1"/>
  <c r="J775" i="7"/>
  <c r="I775" i="7"/>
  <c r="G775" i="7"/>
  <c r="F775" i="7"/>
  <c r="C775" i="7"/>
  <c r="D775" i="7" s="1"/>
  <c r="E775" i="7" s="1"/>
  <c r="J774" i="7"/>
  <c r="I774" i="7"/>
  <c r="G774" i="7"/>
  <c r="F774" i="7"/>
  <c r="C774" i="7"/>
  <c r="D774" i="7" s="1"/>
  <c r="E774" i="7" s="1"/>
  <c r="J773" i="7"/>
  <c r="I773" i="7"/>
  <c r="G773" i="7"/>
  <c r="F773" i="7"/>
  <c r="C773" i="7"/>
  <c r="D773" i="7" s="1"/>
  <c r="E773" i="7" s="1"/>
  <c r="J772" i="7"/>
  <c r="I772" i="7"/>
  <c r="G772" i="7"/>
  <c r="F772" i="7"/>
  <c r="C772" i="7"/>
  <c r="D772" i="7" s="1"/>
  <c r="E772" i="7" s="1"/>
  <c r="J771" i="7"/>
  <c r="I771" i="7"/>
  <c r="G771" i="7"/>
  <c r="F771" i="7"/>
  <c r="C771" i="7"/>
  <c r="D771" i="7" s="1"/>
  <c r="E771" i="7" s="1"/>
  <c r="J770" i="7"/>
  <c r="I770" i="7"/>
  <c r="G770" i="7"/>
  <c r="F770" i="7"/>
  <c r="C770" i="7"/>
  <c r="D770" i="7" s="1"/>
  <c r="E770" i="7" s="1"/>
  <c r="J769" i="7"/>
  <c r="I769" i="7"/>
  <c r="G769" i="7"/>
  <c r="F769" i="7"/>
  <c r="C769" i="7"/>
  <c r="D769" i="7" s="1"/>
  <c r="E769" i="7" s="1"/>
  <c r="J768" i="7"/>
  <c r="I768" i="7"/>
  <c r="G768" i="7"/>
  <c r="F768" i="7"/>
  <c r="C768" i="7"/>
  <c r="D768" i="7" s="1"/>
  <c r="E768" i="7" s="1"/>
  <c r="J767" i="7"/>
  <c r="I767" i="7"/>
  <c r="G767" i="7"/>
  <c r="F767" i="7"/>
  <c r="C767" i="7"/>
  <c r="D767" i="7" s="1"/>
  <c r="E767" i="7" s="1"/>
  <c r="J766" i="7"/>
  <c r="I766" i="7"/>
  <c r="G766" i="7"/>
  <c r="F766" i="7"/>
  <c r="C766" i="7"/>
  <c r="D766" i="7" s="1"/>
  <c r="E766" i="7" s="1"/>
  <c r="J765" i="7"/>
  <c r="I765" i="7"/>
  <c r="G765" i="7"/>
  <c r="F765" i="7"/>
  <c r="C765" i="7"/>
  <c r="D765" i="7" s="1"/>
  <c r="E765" i="7" s="1"/>
  <c r="J764" i="7"/>
  <c r="I764" i="7"/>
  <c r="G764" i="7"/>
  <c r="F764" i="7"/>
  <c r="C764" i="7"/>
  <c r="D764" i="7" s="1"/>
  <c r="E764" i="7" s="1"/>
  <c r="J763" i="7"/>
  <c r="I763" i="7"/>
  <c r="G763" i="7"/>
  <c r="F763" i="7"/>
  <c r="C763" i="7"/>
  <c r="D763" i="7" s="1"/>
  <c r="E763" i="7" s="1"/>
  <c r="J762" i="7"/>
  <c r="I762" i="7"/>
  <c r="G762" i="7"/>
  <c r="F762" i="7"/>
  <c r="C762" i="7"/>
  <c r="D762" i="7" s="1"/>
  <c r="E762" i="7" s="1"/>
  <c r="J761" i="7"/>
  <c r="I761" i="7"/>
  <c r="G761" i="7"/>
  <c r="F761" i="7"/>
  <c r="C761" i="7"/>
  <c r="D761" i="7" s="1"/>
  <c r="E761" i="7" s="1"/>
  <c r="J760" i="7"/>
  <c r="I760" i="7"/>
  <c r="G760" i="7"/>
  <c r="F760" i="7"/>
  <c r="C760" i="7"/>
  <c r="D760" i="7" s="1"/>
  <c r="E760" i="7" s="1"/>
  <c r="J759" i="7"/>
  <c r="I759" i="7"/>
  <c r="G759" i="7"/>
  <c r="F759" i="7"/>
  <c r="C759" i="7"/>
  <c r="D759" i="7" s="1"/>
  <c r="E759" i="7" s="1"/>
  <c r="J758" i="7"/>
  <c r="I758" i="7"/>
  <c r="G758" i="7"/>
  <c r="F758" i="7"/>
  <c r="C758" i="7"/>
  <c r="D758" i="7" s="1"/>
  <c r="E758" i="7" s="1"/>
  <c r="J757" i="7"/>
  <c r="I757" i="7"/>
  <c r="G757" i="7"/>
  <c r="F757" i="7"/>
  <c r="C757" i="7"/>
  <c r="D757" i="7" s="1"/>
  <c r="E757" i="7" s="1"/>
  <c r="J756" i="7"/>
  <c r="I756" i="7"/>
  <c r="G756" i="7"/>
  <c r="F756" i="7"/>
  <c r="C756" i="7"/>
  <c r="D756" i="7" s="1"/>
  <c r="E756" i="7" s="1"/>
  <c r="J755" i="7"/>
  <c r="I755" i="7"/>
  <c r="G755" i="7"/>
  <c r="F755" i="7"/>
  <c r="C755" i="7"/>
  <c r="D755" i="7" s="1"/>
  <c r="E755" i="7" s="1"/>
  <c r="J754" i="7"/>
  <c r="I754" i="7"/>
  <c r="G754" i="7"/>
  <c r="F754" i="7"/>
  <c r="C754" i="7"/>
  <c r="D754" i="7" s="1"/>
  <c r="E754" i="7" s="1"/>
  <c r="J753" i="7"/>
  <c r="I753" i="7"/>
  <c r="G753" i="7"/>
  <c r="F753" i="7"/>
  <c r="C753" i="7"/>
  <c r="D753" i="7" s="1"/>
  <c r="E753" i="7" s="1"/>
  <c r="J752" i="7"/>
  <c r="I752" i="7"/>
  <c r="G752" i="7"/>
  <c r="F752" i="7"/>
  <c r="C752" i="7"/>
  <c r="D752" i="7" s="1"/>
  <c r="E752" i="7" s="1"/>
  <c r="J751" i="7"/>
  <c r="I751" i="7"/>
  <c r="G751" i="7"/>
  <c r="F751" i="7"/>
  <c r="C751" i="7"/>
  <c r="D751" i="7" s="1"/>
  <c r="E751" i="7" s="1"/>
  <c r="J750" i="7"/>
  <c r="I750" i="7"/>
  <c r="G750" i="7"/>
  <c r="F750" i="7"/>
  <c r="C750" i="7"/>
  <c r="D750" i="7" s="1"/>
  <c r="E750" i="7" s="1"/>
  <c r="J749" i="7"/>
  <c r="I749" i="7"/>
  <c r="G749" i="7"/>
  <c r="F749" i="7"/>
  <c r="C749" i="7"/>
  <c r="D749" i="7" s="1"/>
  <c r="E749" i="7" s="1"/>
  <c r="J748" i="7"/>
  <c r="I748" i="7"/>
  <c r="G748" i="7"/>
  <c r="F748" i="7"/>
  <c r="C748" i="7"/>
  <c r="D748" i="7" s="1"/>
  <c r="E748" i="7" s="1"/>
  <c r="J747" i="7"/>
  <c r="I747" i="7"/>
  <c r="G747" i="7"/>
  <c r="F747" i="7"/>
  <c r="C747" i="7"/>
  <c r="D747" i="7" s="1"/>
  <c r="E747" i="7" s="1"/>
  <c r="J746" i="7"/>
  <c r="I746" i="7"/>
  <c r="G746" i="7"/>
  <c r="F746" i="7"/>
  <c r="C746" i="7"/>
  <c r="D746" i="7" s="1"/>
  <c r="E746" i="7" s="1"/>
  <c r="J745" i="7"/>
  <c r="I745" i="7"/>
  <c r="G745" i="7"/>
  <c r="F745" i="7"/>
  <c r="C745" i="7"/>
  <c r="D745" i="7" s="1"/>
  <c r="E745" i="7" s="1"/>
  <c r="J744" i="7"/>
  <c r="I744" i="7"/>
  <c r="G744" i="7"/>
  <c r="F744" i="7"/>
  <c r="C744" i="7"/>
  <c r="D744" i="7" s="1"/>
  <c r="E744" i="7" s="1"/>
  <c r="J743" i="7"/>
  <c r="I743" i="7"/>
  <c r="G743" i="7"/>
  <c r="F743" i="7"/>
  <c r="C743" i="7"/>
  <c r="D743" i="7" s="1"/>
  <c r="E743" i="7" s="1"/>
  <c r="J742" i="7"/>
  <c r="I742" i="7"/>
  <c r="G742" i="7"/>
  <c r="F742" i="7"/>
  <c r="C742" i="7"/>
  <c r="D742" i="7" s="1"/>
  <c r="E742" i="7" s="1"/>
  <c r="J741" i="7"/>
  <c r="I741" i="7"/>
  <c r="G741" i="7"/>
  <c r="F741" i="7"/>
  <c r="C741" i="7"/>
  <c r="D741" i="7" s="1"/>
  <c r="E741" i="7" s="1"/>
  <c r="J740" i="7"/>
  <c r="I740" i="7"/>
  <c r="G740" i="7"/>
  <c r="F740" i="7"/>
  <c r="C740" i="7"/>
  <c r="D740" i="7" s="1"/>
  <c r="E740" i="7" s="1"/>
  <c r="J739" i="7"/>
  <c r="I739" i="7"/>
  <c r="G739" i="7"/>
  <c r="F739" i="7"/>
  <c r="C739" i="7"/>
  <c r="D739" i="7" s="1"/>
  <c r="E739" i="7" s="1"/>
  <c r="J738" i="7"/>
  <c r="I738" i="7"/>
  <c r="G738" i="7"/>
  <c r="F738" i="7"/>
  <c r="C738" i="7"/>
  <c r="D738" i="7" s="1"/>
  <c r="E738" i="7" s="1"/>
  <c r="J737" i="7"/>
  <c r="I737" i="7"/>
  <c r="G737" i="7"/>
  <c r="F737" i="7"/>
  <c r="C737" i="7"/>
  <c r="D737" i="7" s="1"/>
  <c r="E737" i="7" s="1"/>
  <c r="J736" i="7"/>
  <c r="I736" i="7"/>
  <c r="G736" i="7"/>
  <c r="F736" i="7"/>
  <c r="C736" i="7"/>
  <c r="D736" i="7" s="1"/>
  <c r="E736" i="7" s="1"/>
  <c r="J735" i="7"/>
  <c r="I735" i="7"/>
  <c r="G735" i="7"/>
  <c r="F735" i="7"/>
  <c r="C735" i="7"/>
  <c r="D735" i="7" s="1"/>
  <c r="E735" i="7" s="1"/>
  <c r="J734" i="7"/>
  <c r="I734" i="7"/>
  <c r="G734" i="7"/>
  <c r="F734" i="7"/>
  <c r="C734" i="7"/>
  <c r="D734" i="7" s="1"/>
  <c r="E734" i="7" s="1"/>
  <c r="J733" i="7"/>
  <c r="I733" i="7"/>
  <c r="G733" i="7"/>
  <c r="F733" i="7"/>
  <c r="C733" i="7"/>
  <c r="D733" i="7" s="1"/>
  <c r="E733" i="7" s="1"/>
  <c r="J732" i="7"/>
  <c r="I732" i="7"/>
  <c r="G732" i="7"/>
  <c r="F732" i="7"/>
  <c r="C732" i="7"/>
  <c r="D732" i="7" s="1"/>
  <c r="E732" i="7" s="1"/>
  <c r="J731" i="7"/>
  <c r="I731" i="7"/>
  <c r="G731" i="7"/>
  <c r="F731" i="7"/>
  <c r="C731" i="7"/>
  <c r="D731" i="7" s="1"/>
  <c r="E731" i="7" s="1"/>
  <c r="J730" i="7"/>
  <c r="I730" i="7"/>
  <c r="G730" i="7"/>
  <c r="F730" i="7"/>
  <c r="C730" i="7"/>
  <c r="D730" i="7" s="1"/>
  <c r="E730" i="7" s="1"/>
  <c r="J729" i="7"/>
  <c r="I729" i="7"/>
  <c r="G729" i="7"/>
  <c r="F729" i="7"/>
  <c r="C729" i="7"/>
  <c r="D729" i="7" s="1"/>
  <c r="E729" i="7" s="1"/>
  <c r="J728" i="7"/>
  <c r="I728" i="7"/>
  <c r="G728" i="7"/>
  <c r="F728" i="7"/>
  <c r="C728" i="7"/>
  <c r="D728" i="7" s="1"/>
  <c r="E728" i="7" s="1"/>
  <c r="J727" i="7"/>
  <c r="I727" i="7"/>
  <c r="G727" i="7"/>
  <c r="F727" i="7"/>
  <c r="C727" i="7"/>
  <c r="D727" i="7" s="1"/>
  <c r="E727" i="7" s="1"/>
  <c r="J726" i="7"/>
  <c r="I726" i="7"/>
  <c r="G726" i="7"/>
  <c r="F726" i="7"/>
  <c r="C726" i="7"/>
  <c r="D726" i="7" s="1"/>
  <c r="E726" i="7" s="1"/>
  <c r="J725" i="7"/>
  <c r="I725" i="7"/>
  <c r="G725" i="7"/>
  <c r="F725" i="7"/>
  <c r="C725" i="7"/>
  <c r="D725" i="7" s="1"/>
  <c r="E725" i="7" s="1"/>
  <c r="J724" i="7"/>
  <c r="I724" i="7"/>
  <c r="G724" i="7"/>
  <c r="F724" i="7"/>
  <c r="C724" i="7"/>
  <c r="D724" i="7" s="1"/>
  <c r="E724" i="7" s="1"/>
  <c r="J723" i="7"/>
  <c r="I723" i="7"/>
  <c r="G723" i="7"/>
  <c r="F723" i="7"/>
  <c r="C723" i="7"/>
  <c r="D723" i="7" s="1"/>
  <c r="E723" i="7" s="1"/>
  <c r="J722" i="7"/>
  <c r="I722" i="7"/>
  <c r="G722" i="7"/>
  <c r="F722" i="7"/>
  <c r="C722" i="7"/>
  <c r="D722" i="7" s="1"/>
  <c r="E722" i="7" s="1"/>
  <c r="J721" i="7"/>
  <c r="I721" i="7"/>
  <c r="G721" i="7"/>
  <c r="F721" i="7"/>
  <c r="C721" i="7"/>
  <c r="D721" i="7" s="1"/>
  <c r="E721" i="7" s="1"/>
  <c r="J720" i="7"/>
  <c r="I720" i="7"/>
  <c r="G720" i="7"/>
  <c r="F720" i="7"/>
  <c r="C720" i="7"/>
  <c r="D720" i="7" s="1"/>
  <c r="E720" i="7" s="1"/>
  <c r="J719" i="7"/>
  <c r="I719" i="7"/>
  <c r="G719" i="7"/>
  <c r="F719" i="7"/>
  <c r="C719" i="7"/>
  <c r="D719" i="7" s="1"/>
  <c r="E719" i="7" s="1"/>
  <c r="J718" i="7"/>
  <c r="I718" i="7"/>
  <c r="G718" i="7"/>
  <c r="F718" i="7"/>
  <c r="C718" i="7"/>
  <c r="D718" i="7" s="1"/>
  <c r="E718" i="7" s="1"/>
  <c r="J717" i="7"/>
  <c r="I717" i="7"/>
  <c r="G717" i="7"/>
  <c r="F717" i="7"/>
  <c r="C717" i="7"/>
  <c r="D717" i="7" s="1"/>
  <c r="E717" i="7" s="1"/>
  <c r="J716" i="7"/>
  <c r="I716" i="7"/>
  <c r="G716" i="7"/>
  <c r="F716" i="7"/>
  <c r="C716" i="7"/>
  <c r="D716" i="7" s="1"/>
  <c r="E716" i="7" s="1"/>
  <c r="J715" i="7"/>
  <c r="I715" i="7"/>
  <c r="G715" i="7"/>
  <c r="F715" i="7"/>
  <c r="C715" i="7"/>
  <c r="D715" i="7" s="1"/>
  <c r="E715" i="7" s="1"/>
  <c r="J714" i="7"/>
  <c r="I714" i="7"/>
  <c r="G714" i="7"/>
  <c r="F714" i="7"/>
  <c r="C714" i="7"/>
  <c r="D714" i="7" s="1"/>
  <c r="E714" i="7" s="1"/>
  <c r="J713" i="7"/>
  <c r="I713" i="7"/>
  <c r="G713" i="7"/>
  <c r="F713" i="7"/>
  <c r="C713" i="7"/>
  <c r="D713" i="7" s="1"/>
  <c r="E713" i="7" s="1"/>
  <c r="J712" i="7"/>
  <c r="I712" i="7"/>
  <c r="G712" i="7"/>
  <c r="F712" i="7"/>
  <c r="C712" i="7"/>
  <c r="D712" i="7" s="1"/>
  <c r="E712" i="7" s="1"/>
  <c r="J711" i="7"/>
  <c r="I711" i="7"/>
  <c r="G711" i="7"/>
  <c r="F711" i="7"/>
  <c r="C711" i="7"/>
  <c r="D711" i="7" s="1"/>
  <c r="E711" i="7" s="1"/>
  <c r="J710" i="7"/>
  <c r="I710" i="7"/>
  <c r="G710" i="7"/>
  <c r="F710" i="7"/>
  <c r="C710" i="7"/>
  <c r="D710" i="7" s="1"/>
  <c r="E710" i="7" s="1"/>
  <c r="J709" i="7"/>
  <c r="I709" i="7"/>
  <c r="G709" i="7"/>
  <c r="F709" i="7"/>
  <c r="C709" i="7"/>
  <c r="D709" i="7" s="1"/>
  <c r="E709" i="7" s="1"/>
  <c r="J708" i="7"/>
  <c r="I708" i="7"/>
  <c r="G708" i="7"/>
  <c r="F708" i="7"/>
  <c r="C708" i="7"/>
  <c r="D708" i="7" s="1"/>
  <c r="E708" i="7" s="1"/>
  <c r="J707" i="7"/>
  <c r="I707" i="7"/>
  <c r="G707" i="7"/>
  <c r="F707" i="7"/>
  <c r="C707" i="7"/>
  <c r="D707" i="7" s="1"/>
  <c r="E707" i="7" s="1"/>
  <c r="J706" i="7"/>
  <c r="I706" i="7"/>
  <c r="G706" i="7"/>
  <c r="F706" i="7"/>
  <c r="C706" i="7"/>
  <c r="D706" i="7" s="1"/>
  <c r="E706" i="7" s="1"/>
  <c r="J705" i="7"/>
  <c r="I705" i="7"/>
  <c r="G705" i="7"/>
  <c r="F705" i="7"/>
  <c r="C705" i="7"/>
  <c r="D705" i="7" s="1"/>
  <c r="E705" i="7" s="1"/>
  <c r="J704" i="7"/>
  <c r="I704" i="7"/>
  <c r="G704" i="7"/>
  <c r="F704" i="7"/>
  <c r="C704" i="7"/>
  <c r="D704" i="7" s="1"/>
  <c r="E704" i="7" s="1"/>
  <c r="J703" i="7"/>
  <c r="I703" i="7"/>
  <c r="G703" i="7"/>
  <c r="F703" i="7"/>
  <c r="C703" i="7"/>
  <c r="D703" i="7" s="1"/>
  <c r="E703" i="7" s="1"/>
  <c r="J702" i="7"/>
  <c r="I702" i="7"/>
  <c r="G702" i="7"/>
  <c r="F702" i="7"/>
  <c r="C702" i="7"/>
  <c r="D702" i="7" s="1"/>
  <c r="E702" i="7" s="1"/>
  <c r="J701" i="7"/>
  <c r="I701" i="7"/>
  <c r="G701" i="7"/>
  <c r="F701" i="7"/>
  <c r="C701" i="7"/>
  <c r="D701" i="7" s="1"/>
  <c r="E701" i="7" s="1"/>
  <c r="J700" i="7"/>
  <c r="I700" i="7"/>
  <c r="G700" i="7"/>
  <c r="F700" i="7"/>
  <c r="C700" i="7"/>
  <c r="D700" i="7" s="1"/>
  <c r="E700" i="7" s="1"/>
  <c r="J699" i="7"/>
  <c r="I699" i="7"/>
  <c r="G699" i="7"/>
  <c r="F699" i="7"/>
  <c r="C699" i="7"/>
  <c r="D699" i="7" s="1"/>
  <c r="E699" i="7" s="1"/>
  <c r="J698" i="7"/>
  <c r="I698" i="7"/>
  <c r="G698" i="7"/>
  <c r="F698" i="7"/>
  <c r="C698" i="7"/>
  <c r="D698" i="7" s="1"/>
  <c r="E698" i="7" s="1"/>
  <c r="J697" i="7"/>
  <c r="I697" i="7"/>
  <c r="G697" i="7"/>
  <c r="F697" i="7"/>
  <c r="C697" i="7"/>
  <c r="D697" i="7" s="1"/>
  <c r="E697" i="7" s="1"/>
  <c r="J696" i="7"/>
  <c r="I696" i="7"/>
  <c r="G696" i="7"/>
  <c r="F696" i="7"/>
  <c r="C696" i="7"/>
  <c r="D696" i="7" s="1"/>
  <c r="E696" i="7" s="1"/>
  <c r="J695" i="7"/>
  <c r="I695" i="7"/>
  <c r="G695" i="7"/>
  <c r="F695" i="7"/>
  <c r="C695" i="7"/>
  <c r="D695" i="7" s="1"/>
  <c r="E695" i="7" s="1"/>
  <c r="J694" i="7"/>
  <c r="I694" i="7"/>
  <c r="G694" i="7"/>
  <c r="F694" i="7"/>
  <c r="C694" i="7"/>
  <c r="D694" i="7" s="1"/>
  <c r="E694" i="7" s="1"/>
  <c r="J693" i="7"/>
  <c r="I693" i="7"/>
  <c r="G693" i="7"/>
  <c r="F693" i="7"/>
  <c r="C693" i="7"/>
  <c r="D693" i="7" s="1"/>
  <c r="E693" i="7" s="1"/>
  <c r="J692" i="7"/>
  <c r="I692" i="7"/>
  <c r="G692" i="7"/>
  <c r="F692" i="7"/>
  <c r="C692" i="7"/>
  <c r="D692" i="7" s="1"/>
  <c r="E692" i="7" s="1"/>
  <c r="J691" i="7"/>
  <c r="I691" i="7"/>
  <c r="G691" i="7"/>
  <c r="F691" i="7"/>
  <c r="C691" i="7"/>
  <c r="D691" i="7" s="1"/>
  <c r="E691" i="7" s="1"/>
  <c r="J690" i="7"/>
  <c r="I690" i="7"/>
  <c r="G690" i="7"/>
  <c r="F690" i="7"/>
  <c r="C690" i="7"/>
  <c r="D690" i="7" s="1"/>
  <c r="E690" i="7" s="1"/>
  <c r="J689" i="7"/>
  <c r="I689" i="7"/>
  <c r="G689" i="7"/>
  <c r="F689" i="7"/>
  <c r="C689" i="7"/>
  <c r="D689" i="7" s="1"/>
  <c r="E689" i="7" s="1"/>
  <c r="J688" i="7"/>
  <c r="I688" i="7"/>
  <c r="G688" i="7"/>
  <c r="F688" i="7"/>
  <c r="C688" i="7"/>
  <c r="D688" i="7" s="1"/>
  <c r="E688" i="7" s="1"/>
  <c r="J687" i="7"/>
  <c r="I687" i="7"/>
  <c r="G687" i="7"/>
  <c r="F687" i="7"/>
  <c r="C687" i="7"/>
  <c r="D687" i="7" s="1"/>
  <c r="E687" i="7" s="1"/>
  <c r="J686" i="7"/>
  <c r="I686" i="7"/>
  <c r="G686" i="7"/>
  <c r="F686" i="7"/>
  <c r="C686" i="7"/>
  <c r="D686" i="7" s="1"/>
  <c r="E686" i="7" s="1"/>
  <c r="J685" i="7"/>
  <c r="I685" i="7"/>
  <c r="G685" i="7"/>
  <c r="F685" i="7"/>
  <c r="C685" i="7"/>
  <c r="D685" i="7" s="1"/>
  <c r="E685" i="7" s="1"/>
  <c r="J684" i="7"/>
  <c r="I684" i="7"/>
  <c r="G684" i="7"/>
  <c r="F684" i="7"/>
  <c r="C684" i="7"/>
  <c r="D684" i="7" s="1"/>
  <c r="E684" i="7" s="1"/>
  <c r="J683" i="7"/>
  <c r="I683" i="7"/>
  <c r="G683" i="7"/>
  <c r="F683" i="7"/>
  <c r="C683" i="7"/>
  <c r="D683" i="7" s="1"/>
  <c r="E683" i="7" s="1"/>
  <c r="J682" i="7"/>
  <c r="I682" i="7"/>
  <c r="G682" i="7"/>
  <c r="F682" i="7"/>
  <c r="C682" i="7"/>
  <c r="D682" i="7" s="1"/>
  <c r="E682" i="7" s="1"/>
  <c r="J681" i="7"/>
  <c r="I681" i="7"/>
  <c r="G681" i="7"/>
  <c r="F681" i="7"/>
  <c r="C681" i="7"/>
  <c r="D681" i="7" s="1"/>
  <c r="E681" i="7" s="1"/>
  <c r="J680" i="7"/>
  <c r="I680" i="7"/>
  <c r="G680" i="7"/>
  <c r="F680" i="7"/>
  <c r="C680" i="7"/>
  <c r="D680" i="7" s="1"/>
  <c r="E680" i="7" s="1"/>
  <c r="J679" i="7"/>
  <c r="I679" i="7"/>
  <c r="G679" i="7"/>
  <c r="F679" i="7"/>
  <c r="C679" i="7"/>
  <c r="D679" i="7" s="1"/>
  <c r="E679" i="7" s="1"/>
  <c r="J678" i="7"/>
  <c r="I678" i="7"/>
  <c r="G678" i="7"/>
  <c r="F678" i="7"/>
  <c r="C678" i="7"/>
  <c r="D678" i="7" s="1"/>
  <c r="E678" i="7" s="1"/>
  <c r="J677" i="7"/>
  <c r="I677" i="7"/>
  <c r="G677" i="7"/>
  <c r="F677" i="7"/>
  <c r="C677" i="7"/>
  <c r="D677" i="7" s="1"/>
  <c r="E677" i="7" s="1"/>
  <c r="J676" i="7"/>
  <c r="I676" i="7"/>
  <c r="G676" i="7"/>
  <c r="F676" i="7"/>
  <c r="C676" i="7"/>
  <c r="D676" i="7" s="1"/>
  <c r="E676" i="7" s="1"/>
  <c r="J675" i="7"/>
  <c r="I675" i="7"/>
  <c r="G675" i="7"/>
  <c r="F675" i="7"/>
  <c r="C675" i="7"/>
  <c r="D675" i="7" s="1"/>
  <c r="E675" i="7" s="1"/>
  <c r="J674" i="7"/>
  <c r="I674" i="7"/>
  <c r="G674" i="7"/>
  <c r="F674" i="7"/>
  <c r="C674" i="7"/>
  <c r="D674" i="7" s="1"/>
  <c r="E674" i="7" s="1"/>
  <c r="J673" i="7"/>
  <c r="I673" i="7"/>
  <c r="G673" i="7"/>
  <c r="F673" i="7"/>
  <c r="C673" i="7"/>
  <c r="D673" i="7" s="1"/>
  <c r="E673" i="7" s="1"/>
  <c r="J672" i="7"/>
  <c r="I672" i="7"/>
  <c r="G672" i="7"/>
  <c r="F672" i="7"/>
  <c r="C672" i="7"/>
  <c r="D672" i="7" s="1"/>
  <c r="E672" i="7" s="1"/>
  <c r="J671" i="7"/>
  <c r="I671" i="7"/>
  <c r="G671" i="7"/>
  <c r="F671" i="7"/>
  <c r="C671" i="7"/>
  <c r="D671" i="7" s="1"/>
  <c r="E671" i="7" s="1"/>
  <c r="J670" i="7"/>
  <c r="I670" i="7"/>
  <c r="G670" i="7"/>
  <c r="F670" i="7"/>
  <c r="C670" i="7"/>
  <c r="D670" i="7" s="1"/>
  <c r="E670" i="7" s="1"/>
  <c r="J669" i="7"/>
  <c r="I669" i="7"/>
  <c r="G669" i="7"/>
  <c r="F669" i="7"/>
  <c r="C669" i="7"/>
  <c r="D669" i="7" s="1"/>
  <c r="E669" i="7" s="1"/>
  <c r="J668" i="7"/>
  <c r="I668" i="7"/>
  <c r="G668" i="7"/>
  <c r="F668" i="7"/>
  <c r="C668" i="7"/>
  <c r="D668" i="7" s="1"/>
  <c r="E668" i="7" s="1"/>
  <c r="J667" i="7"/>
  <c r="I667" i="7"/>
  <c r="G667" i="7"/>
  <c r="F667" i="7"/>
  <c r="C667" i="7"/>
  <c r="D667" i="7" s="1"/>
  <c r="E667" i="7" s="1"/>
  <c r="J666" i="7"/>
  <c r="I666" i="7"/>
  <c r="G666" i="7"/>
  <c r="F666" i="7"/>
  <c r="C666" i="7"/>
  <c r="D666" i="7" s="1"/>
  <c r="E666" i="7" s="1"/>
  <c r="J665" i="7"/>
  <c r="I665" i="7"/>
  <c r="G665" i="7"/>
  <c r="F665" i="7"/>
  <c r="C665" i="7"/>
  <c r="D665" i="7" s="1"/>
  <c r="E665" i="7" s="1"/>
  <c r="J664" i="7"/>
  <c r="I664" i="7"/>
  <c r="G664" i="7"/>
  <c r="F664" i="7"/>
  <c r="C664" i="7"/>
  <c r="D664" i="7" s="1"/>
  <c r="E664" i="7" s="1"/>
  <c r="J663" i="7"/>
  <c r="I663" i="7"/>
  <c r="G663" i="7"/>
  <c r="F663" i="7"/>
  <c r="C663" i="7"/>
  <c r="D663" i="7" s="1"/>
  <c r="E663" i="7" s="1"/>
  <c r="J662" i="7"/>
  <c r="I662" i="7"/>
  <c r="G662" i="7"/>
  <c r="F662" i="7"/>
  <c r="C662" i="7"/>
  <c r="D662" i="7" s="1"/>
  <c r="E662" i="7" s="1"/>
  <c r="J661" i="7"/>
  <c r="I661" i="7"/>
  <c r="G661" i="7"/>
  <c r="F661" i="7"/>
  <c r="C661" i="7"/>
  <c r="D661" i="7" s="1"/>
  <c r="E661" i="7" s="1"/>
  <c r="J660" i="7"/>
  <c r="I660" i="7"/>
  <c r="G660" i="7"/>
  <c r="F660" i="7"/>
  <c r="C660" i="7"/>
  <c r="D660" i="7" s="1"/>
  <c r="E660" i="7" s="1"/>
  <c r="J659" i="7"/>
  <c r="I659" i="7"/>
  <c r="G659" i="7"/>
  <c r="F659" i="7"/>
  <c r="C659" i="7"/>
  <c r="D659" i="7" s="1"/>
  <c r="E659" i="7" s="1"/>
  <c r="J658" i="7"/>
  <c r="I658" i="7"/>
  <c r="G658" i="7"/>
  <c r="F658" i="7"/>
  <c r="C658" i="7"/>
  <c r="D658" i="7" s="1"/>
  <c r="E658" i="7" s="1"/>
  <c r="J657" i="7"/>
  <c r="I657" i="7"/>
  <c r="G657" i="7"/>
  <c r="F657" i="7"/>
  <c r="C657" i="7"/>
  <c r="D657" i="7" s="1"/>
  <c r="E657" i="7" s="1"/>
  <c r="J656" i="7"/>
  <c r="I656" i="7"/>
  <c r="G656" i="7"/>
  <c r="F656" i="7"/>
  <c r="C656" i="7"/>
  <c r="D656" i="7" s="1"/>
  <c r="E656" i="7" s="1"/>
  <c r="J655" i="7"/>
  <c r="I655" i="7"/>
  <c r="G655" i="7"/>
  <c r="F655" i="7"/>
  <c r="C655" i="7"/>
  <c r="D655" i="7" s="1"/>
  <c r="E655" i="7" s="1"/>
  <c r="J654" i="7"/>
  <c r="I654" i="7"/>
  <c r="G654" i="7"/>
  <c r="F654" i="7"/>
  <c r="C654" i="7"/>
  <c r="D654" i="7" s="1"/>
  <c r="E654" i="7" s="1"/>
  <c r="J653" i="7"/>
  <c r="I653" i="7"/>
  <c r="G653" i="7"/>
  <c r="F653" i="7"/>
  <c r="C653" i="7"/>
  <c r="D653" i="7" s="1"/>
  <c r="E653" i="7" s="1"/>
  <c r="J652" i="7"/>
  <c r="I652" i="7"/>
  <c r="G652" i="7"/>
  <c r="F652" i="7"/>
  <c r="C652" i="7"/>
  <c r="D652" i="7" s="1"/>
  <c r="E652" i="7" s="1"/>
  <c r="J651" i="7"/>
  <c r="I651" i="7"/>
  <c r="G651" i="7"/>
  <c r="F651" i="7"/>
  <c r="C651" i="7"/>
  <c r="D651" i="7" s="1"/>
  <c r="E651" i="7" s="1"/>
  <c r="J650" i="7"/>
  <c r="I650" i="7"/>
  <c r="G650" i="7"/>
  <c r="F650" i="7"/>
  <c r="C650" i="7"/>
  <c r="D650" i="7" s="1"/>
  <c r="E650" i="7" s="1"/>
  <c r="J649" i="7"/>
  <c r="I649" i="7"/>
  <c r="G649" i="7"/>
  <c r="F649" i="7"/>
  <c r="C649" i="7"/>
  <c r="D649" i="7" s="1"/>
  <c r="E649" i="7" s="1"/>
  <c r="J648" i="7"/>
  <c r="I648" i="7"/>
  <c r="G648" i="7"/>
  <c r="F648" i="7"/>
  <c r="C648" i="7"/>
  <c r="D648" i="7" s="1"/>
  <c r="E648" i="7" s="1"/>
  <c r="J647" i="7"/>
  <c r="I647" i="7"/>
  <c r="G647" i="7"/>
  <c r="F647" i="7"/>
  <c r="C647" i="7"/>
  <c r="D647" i="7" s="1"/>
  <c r="E647" i="7" s="1"/>
  <c r="J646" i="7"/>
  <c r="I646" i="7"/>
  <c r="G646" i="7"/>
  <c r="F646" i="7"/>
  <c r="C646" i="7"/>
  <c r="D646" i="7" s="1"/>
  <c r="E646" i="7" s="1"/>
  <c r="J645" i="7"/>
  <c r="I645" i="7"/>
  <c r="G645" i="7"/>
  <c r="F645" i="7"/>
  <c r="C645" i="7"/>
  <c r="D645" i="7" s="1"/>
  <c r="E645" i="7" s="1"/>
  <c r="J644" i="7"/>
  <c r="I644" i="7"/>
  <c r="G644" i="7"/>
  <c r="F644" i="7"/>
  <c r="C644" i="7"/>
  <c r="D644" i="7" s="1"/>
  <c r="E644" i="7" s="1"/>
  <c r="J643" i="7"/>
  <c r="I643" i="7"/>
  <c r="G643" i="7"/>
  <c r="F643" i="7"/>
  <c r="C643" i="7"/>
  <c r="D643" i="7" s="1"/>
  <c r="E643" i="7" s="1"/>
  <c r="J642" i="7"/>
  <c r="I642" i="7"/>
  <c r="G642" i="7"/>
  <c r="F642" i="7"/>
  <c r="C642" i="7"/>
  <c r="D642" i="7" s="1"/>
  <c r="E642" i="7" s="1"/>
  <c r="J641" i="7"/>
  <c r="I641" i="7"/>
  <c r="G641" i="7"/>
  <c r="F641" i="7"/>
  <c r="C641" i="7"/>
  <c r="D641" i="7" s="1"/>
  <c r="E641" i="7" s="1"/>
  <c r="J640" i="7"/>
  <c r="I640" i="7"/>
  <c r="G640" i="7"/>
  <c r="F640" i="7"/>
  <c r="C640" i="7"/>
  <c r="D640" i="7" s="1"/>
  <c r="E640" i="7" s="1"/>
  <c r="J639" i="7"/>
  <c r="I639" i="7"/>
  <c r="G639" i="7"/>
  <c r="F639" i="7"/>
  <c r="C639" i="7"/>
  <c r="D639" i="7" s="1"/>
  <c r="E639" i="7" s="1"/>
  <c r="J638" i="7"/>
  <c r="I638" i="7"/>
  <c r="G638" i="7"/>
  <c r="F638" i="7"/>
  <c r="C638" i="7"/>
  <c r="D638" i="7" s="1"/>
  <c r="E638" i="7" s="1"/>
  <c r="J637" i="7"/>
  <c r="I637" i="7"/>
  <c r="G637" i="7"/>
  <c r="F637" i="7"/>
  <c r="C637" i="7"/>
  <c r="D637" i="7" s="1"/>
  <c r="E637" i="7" s="1"/>
  <c r="J636" i="7"/>
  <c r="I636" i="7"/>
  <c r="G636" i="7"/>
  <c r="F636" i="7"/>
  <c r="C636" i="7"/>
  <c r="D636" i="7" s="1"/>
  <c r="E636" i="7" s="1"/>
  <c r="J635" i="7"/>
  <c r="I635" i="7"/>
  <c r="G635" i="7"/>
  <c r="F635" i="7"/>
  <c r="C635" i="7"/>
  <c r="D635" i="7" s="1"/>
  <c r="E635" i="7" s="1"/>
  <c r="J634" i="7"/>
  <c r="I634" i="7"/>
  <c r="G634" i="7"/>
  <c r="F634" i="7"/>
  <c r="C634" i="7"/>
  <c r="D634" i="7" s="1"/>
  <c r="E634" i="7" s="1"/>
  <c r="J633" i="7"/>
  <c r="I633" i="7"/>
  <c r="G633" i="7"/>
  <c r="F633" i="7"/>
  <c r="C633" i="7"/>
  <c r="D633" i="7" s="1"/>
  <c r="E633" i="7" s="1"/>
  <c r="J632" i="7"/>
  <c r="I632" i="7"/>
  <c r="G632" i="7"/>
  <c r="F632" i="7"/>
  <c r="C632" i="7"/>
  <c r="D632" i="7" s="1"/>
  <c r="E632" i="7" s="1"/>
  <c r="J631" i="7"/>
  <c r="I631" i="7"/>
  <c r="G631" i="7"/>
  <c r="F631" i="7"/>
  <c r="C631" i="7"/>
  <c r="D631" i="7" s="1"/>
  <c r="E631" i="7" s="1"/>
  <c r="J630" i="7"/>
  <c r="I630" i="7"/>
  <c r="G630" i="7"/>
  <c r="F630" i="7"/>
  <c r="C630" i="7"/>
  <c r="D630" i="7" s="1"/>
  <c r="E630" i="7" s="1"/>
  <c r="J629" i="7"/>
  <c r="I629" i="7"/>
  <c r="G629" i="7"/>
  <c r="F629" i="7"/>
  <c r="C629" i="7"/>
  <c r="D629" i="7" s="1"/>
  <c r="E629" i="7" s="1"/>
  <c r="J628" i="7"/>
  <c r="I628" i="7"/>
  <c r="G628" i="7"/>
  <c r="F628" i="7"/>
  <c r="C628" i="7"/>
  <c r="D628" i="7" s="1"/>
  <c r="E628" i="7" s="1"/>
  <c r="J627" i="7"/>
  <c r="I627" i="7"/>
  <c r="G627" i="7"/>
  <c r="F627" i="7"/>
  <c r="C627" i="7"/>
  <c r="D627" i="7" s="1"/>
  <c r="E627" i="7" s="1"/>
  <c r="J626" i="7"/>
  <c r="I626" i="7"/>
  <c r="G626" i="7"/>
  <c r="F626" i="7"/>
  <c r="C626" i="7"/>
  <c r="D626" i="7" s="1"/>
  <c r="E626" i="7" s="1"/>
  <c r="J625" i="7"/>
  <c r="I625" i="7"/>
  <c r="G625" i="7"/>
  <c r="F625" i="7"/>
  <c r="C625" i="7"/>
  <c r="D625" i="7" s="1"/>
  <c r="E625" i="7" s="1"/>
  <c r="J624" i="7"/>
  <c r="I624" i="7"/>
  <c r="G624" i="7"/>
  <c r="F624" i="7"/>
  <c r="C624" i="7"/>
  <c r="D624" i="7" s="1"/>
  <c r="E624" i="7" s="1"/>
  <c r="J623" i="7"/>
  <c r="I623" i="7"/>
  <c r="G623" i="7"/>
  <c r="F623" i="7"/>
  <c r="C623" i="7"/>
  <c r="D623" i="7" s="1"/>
  <c r="E623" i="7" s="1"/>
  <c r="J622" i="7"/>
  <c r="I622" i="7"/>
  <c r="G622" i="7"/>
  <c r="F622" i="7"/>
  <c r="C622" i="7"/>
  <c r="D622" i="7" s="1"/>
  <c r="E622" i="7" s="1"/>
  <c r="J621" i="7"/>
  <c r="I621" i="7"/>
  <c r="G621" i="7"/>
  <c r="F621" i="7"/>
  <c r="C621" i="7"/>
  <c r="D621" i="7" s="1"/>
  <c r="E621" i="7" s="1"/>
  <c r="J620" i="7"/>
  <c r="I620" i="7"/>
  <c r="G620" i="7"/>
  <c r="F620" i="7"/>
  <c r="C620" i="7"/>
  <c r="D620" i="7" s="1"/>
  <c r="E620" i="7" s="1"/>
  <c r="J619" i="7"/>
  <c r="I619" i="7"/>
  <c r="G619" i="7"/>
  <c r="F619" i="7"/>
  <c r="C619" i="7"/>
  <c r="D619" i="7" s="1"/>
  <c r="E619" i="7" s="1"/>
  <c r="J618" i="7"/>
  <c r="I618" i="7"/>
  <c r="G618" i="7"/>
  <c r="F618" i="7"/>
  <c r="C618" i="7"/>
  <c r="D618" i="7" s="1"/>
  <c r="E618" i="7" s="1"/>
  <c r="J617" i="7"/>
  <c r="I617" i="7"/>
  <c r="G617" i="7"/>
  <c r="F617" i="7"/>
  <c r="C617" i="7"/>
  <c r="D617" i="7" s="1"/>
  <c r="E617" i="7" s="1"/>
  <c r="J616" i="7"/>
  <c r="I616" i="7"/>
  <c r="G616" i="7"/>
  <c r="F616" i="7"/>
  <c r="C616" i="7"/>
  <c r="D616" i="7" s="1"/>
  <c r="E616" i="7" s="1"/>
  <c r="J615" i="7"/>
  <c r="I615" i="7"/>
  <c r="G615" i="7"/>
  <c r="F615" i="7"/>
  <c r="C615" i="7"/>
  <c r="D615" i="7" s="1"/>
  <c r="E615" i="7" s="1"/>
  <c r="J614" i="7"/>
  <c r="I614" i="7"/>
  <c r="G614" i="7"/>
  <c r="F614" i="7"/>
  <c r="C614" i="7"/>
  <c r="D614" i="7" s="1"/>
  <c r="E614" i="7" s="1"/>
  <c r="J613" i="7"/>
  <c r="I613" i="7"/>
  <c r="G613" i="7"/>
  <c r="F613" i="7"/>
  <c r="C613" i="7"/>
  <c r="D613" i="7" s="1"/>
  <c r="E613" i="7" s="1"/>
  <c r="J612" i="7"/>
  <c r="I612" i="7"/>
  <c r="G612" i="7"/>
  <c r="F612" i="7"/>
  <c r="C612" i="7"/>
  <c r="D612" i="7" s="1"/>
  <c r="E612" i="7" s="1"/>
  <c r="J611" i="7"/>
  <c r="I611" i="7"/>
  <c r="G611" i="7"/>
  <c r="F611" i="7"/>
  <c r="C611" i="7"/>
  <c r="D611" i="7" s="1"/>
  <c r="E611" i="7" s="1"/>
  <c r="J610" i="7"/>
  <c r="I610" i="7"/>
  <c r="G610" i="7"/>
  <c r="F610" i="7"/>
  <c r="C610" i="7"/>
  <c r="D610" i="7" s="1"/>
  <c r="E610" i="7" s="1"/>
  <c r="J609" i="7"/>
  <c r="I609" i="7"/>
  <c r="G609" i="7"/>
  <c r="F609" i="7"/>
  <c r="C609" i="7"/>
  <c r="D609" i="7" s="1"/>
  <c r="E609" i="7" s="1"/>
  <c r="J608" i="7"/>
  <c r="I608" i="7"/>
  <c r="G608" i="7"/>
  <c r="F608" i="7"/>
  <c r="C608" i="7"/>
  <c r="D608" i="7" s="1"/>
  <c r="E608" i="7" s="1"/>
  <c r="J607" i="7"/>
  <c r="I607" i="7"/>
  <c r="G607" i="7"/>
  <c r="F607" i="7"/>
  <c r="C607" i="7"/>
  <c r="D607" i="7" s="1"/>
  <c r="E607" i="7" s="1"/>
  <c r="J606" i="7"/>
  <c r="I606" i="7"/>
  <c r="G606" i="7"/>
  <c r="F606" i="7"/>
  <c r="C606" i="7"/>
  <c r="D606" i="7" s="1"/>
  <c r="E606" i="7" s="1"/>
  <c r="J605" i="7"/>
  <c r="I605" i="7"/>
  <c r="G605" i="7"/>
  <c r="F605" i="7"/>
  <c r="C605" i="7"/>
  <c r="D605" i="7" s="1"/>
  <c r="E605" i="7" s="1"/>
  <c r="J604" i="7"/>
  <c r="I604" i="7"/>
  <c r="G604" i="7"/>
  <c r="F604" i="7"/>
  <c r="C604" i="7"/>
  <c r="D604" i="7" s="1"/>
  <c r="E604" i="7" s="1"/>
  <c r="J603" i="7"/>
  <c r="I603" i="7"/>
  <c r="G603" i="7"/>
  <c r="F603" i="7"/>
  <c r="C603" i="7"/>
  <c r="D603" i="7" s="1"/>
  <c r="E603" i="7" s="1"/>
  <c r="J602" i="7"/>
  <c r="I602" i="7"/>
  <c r="G602" i="7"/>
  <c r="F602" i="7"/>
  <c r="C602" i="7"/>
  <c r="D602" i="7" s="1"/>
  <c r="E602" i="7" s="1"/>
  <c r="J601" i="7"/>
  <c r="I601" i="7"/>
  <c r="G601" i="7"/>
  <c r="F601" i="7"/>
  <c r="C601" i="7"/>
  <c r="D601" i="7" s="1"/>
  <c r="E601" i="7" s="1"/>
  <c r="J600" i="7"/>
  <c r="I600" i="7"/>
  <c r="G600" i="7"/>
  <c r="F600" i="7"/>
  <c r="C600" i="7"/>
  <c r="D600" i="7" s="1"/>
  <c r="E600" i="7" s="1"/>
  <c r="J599" i="7"/>
  <c r="I599" i="7"/>
  <c r="G599" i="7"/>
  <c r="F599" i="7"/>
  <c r="C599" i="7"/>
  <c r="D599" i="7" s="1"/>
  <c r="E599" i="7" s="1"/>
  <c r="J598" i="7"/>
  <c r="I598" i="7"/>
  <c r="G598" i="7"/>
  <c r="F598" i="7"/>
  <c r="C598" i="7"/>
  <c r="D598" i="7" s="1"/>
  <c r="E598" i="7" s="1"/>
  <c r="J597" i="7"/>
  <c r="I597" i="7"/>
  <c r="G597" i="7"/>
  <c r="F597" i="7"/>
  <c r="C597" i="7"/>
  <c r="D597" i="7" s="1"/>
  <c r="E597" i="7" s="1"/>
  <c r="J596" i="7"/>
  <c r="I596" i="7"/>
  <c r="G596" i="7"/>
  <c r="F596" i="7"/>
  <c r="C596" i="7"/>
  <c r="D596" i="7" s="1"/>
  <c r="E596" i="7" s="1"/>
  <c r="J595" i="7"/>
  <c r="I595" i="7"/>
  <c r="G595" i="7"/>
  <c r="F595" i="7"/>
  <c r="C595" i="7"/>
  <c r="D595" i="7" s="1"/>
  <c r="E595" i="7" s="1"/>
  <c r="J594" i="7"/>
  <c r="I594" i="7"/>
  <c r="G594" i="7"/>
  <c r="F594" i="7"/>
  <c r="C594" i="7"/>
  <c r="D594" i="7" s="1"/>
  <c r="E594" i="7" s="1"/>
  <c r="J593" i="7"/>
  <c r="I593" i="7"/>
  <c r="G593" i="7"/>
  <c r="F593" i="7"/>
  <c r="C593" i="7"/>
  <c r="D593" i="7" s="1"/>
  <c r="E593" i="7" s="1"/>
  <c r="J592" i="7"/>
  <c r="I592" i="7"/>
  <c r="G592" i="7"/>
  <c r="F592" i="7"/>
  <c r="C592" i="7"/>
  <c r="D592" i="7" s="1"/>
  <c r="E592" i="7" s="1"/>
  <c r="J591" i="7"/>
  <c r="I591" i="7"/>
  <c r="G591" i="7"/>
  <c r="F591" i="7"/>
  <c r="C591" i="7"/>
  <c r="D591" i="7" s="1"/>
  <c r="E591" i="7" s="1"/>
  <c r="J590" i="7"/>
  <c r="I590" i="7"/>
  <c r="G590" i="7"/>
  <c r="F590" i="7"/>
  <c r="C590" i="7"/>
  <c r="D590" i="7" s="1"/>
  <c r="E590" i="7" s="1"/>
  <c r="J589" i="7"/>
  <c r="I589" i="7"/>
  <c r="G589" i="7"/>
  <c r="F589" i="7"/>
  <c r="C589" i="7"/>
  <c r="D589" i="7" s="1"/>
  <c r="E589" i="7" s="1"/>
  <c r="J588" i="7"/>
  <c r="I588" i="7"/>
  <c r="G588" i="7"/>
  <c r="F588" i="7"/>
  <c r="C588" i="7"/>
  <c r="D588" i="7" s="1"/>
  <c r="E588" i="7" s="1"/>
  <c r="J587" i="7"/>
  <c r="I587" i="7"/>
  <c r="G587" i="7"/>
  <c r="F587" i="7"/>
  <c r="C587" i="7"/>
  <c r="D587" i="7" s="1"/>
  <c r="E587" i="7" s="1"/>
  <c r="J586" i="7"/>
  <c r="I586" i="7"/>
  <c r="G586" i="7"/>
  <c r="F586" i="7"/>
  <c r="C586" i="7"/>
  <c r="D586" i="7" s="1"/>
  <c r="E586" i="7" s="1"/>
  <c r="J585" i="7"/>
  <c r="I585" i="7"/>
  <c r="G585" i="7"/>
  <c r="F585" i="7"/>
  <c r="C585" i="7"/>
  <c r="D585" i="7" s="1"/>
  <c r="E585" i="7" s="1"/>
  <c r="J584" i="7"/>
  <c r="I584" i="7"/>
  <c r="G584" i="7"/>
  <c r="F584" i="7"/>
  <c r="C584" i="7"/>
  <c r="D584" i="7" s="1"/>
  <c r="E584" i="7" s="1"/>
  <c r="J583" i="7"/>
  <c r="I583" i="7"/>
  <c r="G583" i="7"/>
  <c r="F583" i="7"/>
  <c r="C583" i="7"/>
  <c r="D583" i="7" s="1"/>
  <c r="E583" i="7" s="1"/>
  <c r="J582" i="7"/>
  <c r="I582" i="7"/>
  <c r="G582" i="7"/>
  <c r="F582" i="7"/>
  <c r="C582" i="7"/>
  <c r="D582" i="7" s="1"/>
  <c r="E582" i="7" s="1"/>
  <c r="J581" i="7"/>
  <c r="I581" i="7"/>
  <c r="G581" i="7"/>
  <c r="F581" i="7"/>
  <c r="C581" i="7"/>
  <c r="D581" i="7" s="1"/>
  <c r="E581" i="7" s="1"/>
  <c r="J580" i="7"/>
  <c r="I580" i="7"/>
  <c r="G580" i="7"/>
  <c r="F580" i="7"/>
  <c r="C580" i="7"/>
  <c r="D580" i="7" s="1"/>
  <c r="E580" i="7" s="1"/>
  <c r="J579" i="7"/>
  <c r="I579" i="7"/>
  <c r="G579" i="7"/>
  <c r="F579" i="7"/>
  <c r="C579" i="7"/>
  <c r="D579" i="7" s="1"/>
  <c r="E579" i="7" s="1"/>
  <c r="J578" i="7"/>
  <c r="I578" i="7"/>
  <c r="G578" i="7"/>
  <c r="F578" i="7"/>
  <c r="C578" i="7"/>
  <c r="D578" i="7" s="1"/>
  <c r="E578" i="7" s="1"/>
  <c r="J577" i="7"/>
  <c r="I577" i="7"/>
  <c r="G577" i="7"/>
  <c r="F577" i="7"/>
  <c r="C577" i="7"/>
  <c r="D577" i="7" s="1"/>
  <c r="E577" i="7" s="1"/>
  <c r="J576" i="7"/>
  <c r="I576" i="7"/>
  <c r="G576" i="7"/>
  <c r="F576" i="7"/>
  <c r="C576" i="7"/>
  <c r="D576" i="7" s="1"/>
  <c r="E576" i="7" s="1"/>
  <c r="J575" i="7"/>
  <c r="I575" i="7"/>
  <c r="G575" i="7"/>
  <c r="F575" i="7"/>
  <c r="C575" i="7"/>
  <c r="D575" i="7" s="1"/>
  <c r="E575" i="7" s="1"/>
  <c r="J574" i="7"/>
  <c r="I574" i="7"/>
  <c r="G574" i="7"/>
  <c r="F574" i="7"/>
  <c r="C574" i="7"/>
  <c r="D574" i="7" s="1"/>
  <c r="E574" i="7" s="1"/>
  <c r="J573" i="7"/>
  <c r="I573" i="7"/>
  <c r="G573" i="7"/>
  <c r="F573" i="7"/>
  <c r="C573" i="7"/>
  <c r="D573" i="7" s="1"/>
  <c r="E573" i="7" s="1"/>
  <c r="J572" i="7"/>
  <c r="I572" i="7"/>
  <c r="G572" i="7"/>
  <c r="F572" i="7"/>
  <c r="C572" i="7"/>
  <c r="D572" i="7" s="1"/>
  <c r="E572" i="7" s="1"/>
  <c r="J571" i="7"/>
  <c r="I571" i="7"/>
  <c r="G571" i="7"/>
  <c r="F571" i="7"/>
  <c r="C571" i="7"/>
  <c r="D571" i="7" s="1"/>
  <c r="E571" i="7" s="1"/>
  <c r="J570" i="7"/>
  <c r="I570" i="7"/>
  <c r="G570" i="7"/>
  <c r="F570" i="7"/>
  <c r="C570" i="7"/>
  <c r="D570" i="7" s="1"/>
  <c r="E570" i="7" s="1"/>
  <c r="J569" i="7"/>
  <c r="I569" i="7"/>
  <c r="G569" i="7"/>
  <c r="F569" i="7"/>
  <c r="C569" i="7"/>
  <c r="D569" i="7" s="1"/>
  <c r="E569" i="7" s="1"/>
  <c r="J568" i="7"/>
  <c r="I568" i="7"/>
  <c r="G568" i="7"/>
  <c r="F568" i="7"/>
  <c r="C568" i="7"/>
  <c r="D568" i="7" s="1"/>
  <c r="E568" i="7" s="1"/>
  <c r="J567" i="7"/>
  <c r="I567" i="7"/>
  <c r="G567" i="7"/>
  <c r="F567" i="7"/>
  <c r="C567" i="7"/>
  <c r="D567" i="7" s="1"/>
  <c r="E567" i="7" s="1"/>
  <c r="J566" i="7"/>
  <c r="I566" i="7"/>
  <c r="G566" i="7"/>
  <c r="F566" i="7"/>
  <c r="C566" i="7"/>
  <c r="D566" i="7" s="1"/>
  <c r="E566" i="7" s="1"/>
  <c r="J565" i="7"/>
  <c r="I565" i="7"/>
  <c r="G565" i="7"/>
  <c r="F565" i="7"/>
  <c r="C565" i="7"/>
  <c r="D565" i="7" s="1"/>
  <c r="E565" i="7" s="1"/>
  <c r="J564" i="7"/>
  <c r="I564" i="7"/>
  <c r="G564" i="7"/>
  <c r="F564" i="7"/>
  <c r="C564" i="7"/>
  <c r="D564" i="7" s="1"/>
  <c r="E564" i="7" s="1"/>
  <c r="J563" i="7"/>
  <c r="I563" i="7"/>
  <c r="G563" i="7"/>
  <c r="F563" i="7"/>
  <c r="C563" i="7"/>
  <c r="D563" i="7" s="1"/>
  <c r="E563" i="7" s="1"/>
  <c r="J562" i="7"/>
  <c r="I562" i="7"/>
  <c r="G562" i="7"/>
  <c r="F562" i="7"/>
  <c r="C562" i="7"/>
  <c r="D562" i="7" s="1"/>
  <c r="E562" i="7" s="1"/>
  <c r="J561" i="7"/>
  <c r="I561" i="7"/>
  <c r="G561" i="7"/>
  <c r="F561" i="7"/>
  <c r="C561" i="7"/>
  <c r="D561" i="7" s="1"/>
  <c r="E561" i="7" s="1"/>
  <c r="J560" i="7"/>
  <c r="I560" i="7"/>
  <c r="G560" i="7"/>
  <c r="F560" i="7"/>
  <c r="C560" i="7"/>
  <c r="D560" i="7" s="1"/>
  <c r="E560" i="7" s="1"/>
  <c r="J559" i="7"/>
  <c r="I559" i="7"/>
  <c r="G559" i="7"/>
  <c r="F559" i="7"/>
  <c r="C559" i="7"/>
  <c r="D559" i="7" s="1"/>
  <c r="E559" i="7" s="1"/>
  <c r="J558" i="7"/>
  <c r="I558" i="7"/>
  <c r="G558" i="7"/>
  <c r="F558" i="7"/>
  <c r="C558" i="7"/>
  <c r="D558" i="7" s="1"/>
  <c r="E558" i="7" s="1"/>
  <c r="J557" i="7"/>
  <c r="I557" i="7"/>
  <c r="G557" i="7"/>
  <c r="F557" i="7"/>
  <c r="C557" i="7"/>
  <c r="D557" i="7" s="1"/>
  <c r="E557" i="7" s="1"/>
  <c r="J556" i="7"/>
  <c r="I556" i="7"/>
  <c r="G556" i="7"/>
  <c r="F556" i="7"/>
  <c r="C556" i="7"/>
  <c r="D556" i="7" s="1"/>
  <c r="E556" i="7" s="1"/>
  <c r="J555" i="7"/>
  <c r="I555" i="7"/>
  <c r="G555" i="7"/>
  <c r="F555" i="7"/>
  <c r="C555" i="7"/>
  <c r="D555" i="7" s="1"/>
  <c r="E555" i="7" s="1"/>
  <c r="J554" i="7"/>
  <c r="I554" i="7"/>
  <c r="G554" i="7"/>
  <c r="F554" i="7"/>
  <c r="C554" i="7"/>
  <c r="D554" i="7" s="1"/>
  <c r="E554" i="7" s="1"/>
  <c r="J553" i="7"/>
  <c r="I553" i="7"/>
  <c r="G553" i="7"/>
  <c r="F553" i="7"/>
  <c r="C553" i="7"/>
  <c r="D553" i="7" s="1"/>
  <c r="E553" i="7" s="1"/>
  <c r="J552" i="7"/>
  <c r="I552" i="7"/>
  <c r="G552" i="7"/>
  <c r="F552" i="7"/>
  <c r="C552" i="7"/>
  <c r="D552" i="7" s="1"/>
  <c r="E552" i="7" s="1"/>
  <c r="J551" i="7"/>
  <c r="I551" i="7"/>
  <c r="G551" i="7"/>
  <c r="F551" i="7"/>
  <c r="C551" i="7"/>
  <c r="D551" i="7" s="1"/>
  <c r="E551" i="7" s="1"/>
  <c r="J550" i="7"/>
  <c r="I550" i="7"/>
  <c r="G550" i="7"/>
  <c r="F550" i="7"/>
  <c r="C550" i="7"/>
  <c r="D550" i="7" s="1"/>
  <c r="E550" i="7" s="1"/>
  <c r="J549" i="7"/>
  <c r="I549" i="7"/>
  <c r="G549" i="7"/>
  <c r="F549" i="7"/>
  <c r="C549" i="7"/>
  <c r="D549" i="7" s="1"/>
  <c r="E549" i="7" s="1"/>
  <c r="J548" i="7"/>
  <c r="I548" i="7"/>
  <c r="G548" i="7"/>
  <c r="F548" i="7"/>
  <c r="C548" i="7"/>
  <c r="D548" i="7" s="1"/>
  <c r="E548" i="7" s="1"/>
  <c r="J547" i="7"/>
  <c r="I547" i="7"/>
  <c r="G547" i="7"/>
  <c r="F547" i="7"/>
  <c r="C547" i="7"/>
  <c r="D547" i="7" s="1"/>
  <c r="E547" i="7" s="1"/>
  <c r="J546" i="7"/>
  <c r="I546" i="7"/>
  <c r="G546" i="7"/>
  <c r="F546" i="7"/>
  <c r="C546" i="7"/>
  <c r="D546" i="7" s="1"/>
  <c r="E546" i="7" s="1"/>
  <c r="J545" i="7"/>
  <c r="I545" i="7"/>
  <c r="G545" i="7"/>
  <c r="F545" i="7"/>
  <c r="C545" i="7"/>
  <c r="D545" i="7" s="1"/>
  <c r="E545" i="7" s="1"/>
  <c r="J544" i="7"/>
  <c r="I544" i="7"/>
  <c r="G544" i="7"/>
  <c r="F544" i="7"/>
  <c r="C544" i="7"/>
  <c r="D544" i="7" s="1"/>
  <c r="E544" i="7" s="1"/>
  <c r="J543" i="7"/>
  <c r="I543" i="7"/>
  <c r="G543" i="7"/>
  <c r="F543" i="7"/>
  <c r="C543" i="7"/>
  <c r="D543" i="7" s="1"/>
  <c r="E543" i="7" s="1"/>
  <c r="J542" i="7"/>
  <c r="I542" i="7"/>
  <c r="G542" i="7"/>
  <c r="F542" i="7"/>
  <c r="C542" i="7"/>
  <c r="D542" i="7" s="1"/>
  <c r="E542" i="7" s="1"/>
  <c r="J541" i="7"/>
  <c r="I541" i="7"/>
  <c r="G541" i="7"/>
  <c r="F541" i="7"/>
  <c r="C541" i="7"/>
  <c r="D541" i="7" s="1"/>
  <c r="E541" i="7" s="1"/>
  <c r="J540" i="7"/>
  <c r="I540" i="7"/>
  <c r="G540" i="7"/>
  <c r="F540" i="7"/>
  <c r="C540" i="7"/>
  <c r="D540" i="7" s="1"/>
  <c r="E540" i="7" s="1"/>
  <c r="J539" i="7"/>
  <c r="I539" i="7"/>
  <c r="G539" i="7"/>
  <c r="F539" i="7"/>
  <c r="C539" i="7"/>
  <c r="D539" i="7" s="1"/>
  <c r="E539" i="7" s="1"/>
  <c r="J538" i="7"/>
  <c r="I538" i="7"/>
  <c r="G538" i="7"/>
  <c r="F538" i="7"/>
  <c r="C538" i="7"/>
  <c r="D538" i="7" s="1"/>
  <c r="E538" i="7" s="1"/>
  <c r="J537" i="7"/>
  <c r="I537" i="7"/>
  <c r="G537" i="7"/>
  <c r="F537" i="7"/>
  <c r="C537" i="7"/>
  <c r="D537" i="7" s="1"/>
  <c r="E537" i="7" s="1"/>
  <c r="J536" i="7"/>
  <c r="I536" i="7"/>
  <c r="G536" i="7"/>
  <c r="F536" i="7"/>
  <c r="C536" i="7"/>
  <c r="D536" i="7" s="1"/>
  <c r="E536" i="7" s="1"/>
  <c r="J535" i="7"/>
  <c r="I535" i="7"/>
  <c r="G535" i="7"/>
  <c r="F535" i="7"/>
  <c r="C535" i="7"/>
  <c r="D535" i="7" s="1"/>
  <c r="E535" i="7" s="1"/>
  <c r="J534" i="7"/>
  <c r="I534" i="7"/>
  <c r="G534" i="7"/>
  <c r="F534" i="7"/>
  <c r="C534" i="7"/>
  <c r="D534" i="7" s="1"/>
  <c r="E534" i="7" s="1"/>
  <c r="J533" i="7"/>
  <c r="I533" i="7"/>
  <c r="G533" i="7"/>
  <c r="F533" i="7"/>
  <c r="C533" i="7"/>
  <c r="D533" i="7" s="1"/>
  <c r="E533" i="7" s="1"/>
  <c r="J532" i="7"/>
  <c r="I532" i="7"/>
  <c r="G532" i="7"/>
  <c r="F532" i="7"/>
  <c r="C532" i="7"/>
  <c r="D532" i="7" s="1"/>
  <c r="E532" i="7" s="1"/>
  <c r="J531" i="7"/>
  <c r="I531" i="7"/>
  <c r="G531" i="7"/>
  <c r="F531" i="7"/>
  <c r="C531" i="7"/>
  <c r="D531" i="7" s="1"/>
  <c r="E531" i="7" s="1"/>
  <c r="J530" i="7"/>
  <c r="I530" i="7"/>
  <c r="G530" i="7"/>
  <c r="F530" i="7"/>
  <c r="C530" i="7"/>
  <c r="D530" i="7" s="1"/>
  <c r="E530" i="7" s="1"/>
  <c r="J529" i="7"/>
  <c r="I529" i="7"/>
  <c r="G529" i="7"/>
  <c r="F529" i="7"/>
  <c r="C529" i="7"/>
  <c r="D529" i="7" s="1"/>
  <c r="E529" i="7" s="1"/>
  <c r="J528" i="7"/>
  <c r="I528" i="7"/>
  <c r="G528" i="7"/>
  <c r="F528" i="7"/>
  <c r="C528" i="7"/>
  <c r="D528" i="7" s="1"/>
  <c r="E528" i="7" s="1"/>
  <c r="J527" i="7"/>
  <c r="I527" i="7"/>
  <c r="G527" i="7"/>
  <c r="F527" i="7"/>
  <c r="C527" i="7"/>
  <c r="D527" i="7" s="1"/>
  <c r="E527" i="7" s="1"/>
  <c r="J526" i="7"/>
  <c r="I526" i="7"/>
  <c r="G526" i="7"/>
  <c r="F526" i="7"/>
  <c r="C526" i="7"/>
  <c r="D526" i="7" s="1"/>
  <c r="E526" i="7" s="1"/>
  <c r="J525" i="7"/>
  <c r="I525" i="7"/>
  <c r="G525" i="7"/>
  <c r="F525" i="7"/>
  <c r="C525" i="7"/>
  <c r="D525" i="7" s="1"/>
  <c r="E525" i="7" s="1"/>
  <c r="J524" i="7"/>
  <c r="I524" i="7"/>
  <c r="G524" i="7"/>
  <c r="F524" i="7"/>
  <c r="C524" i="7"/>
  <c r="D524" i="7" s="1"/>
  <c r="E524" i="7" s="1"/>
  <c r="J523" i="7"/>
  <c r="I523" i="7"/>
  <c r="G523" i="7"/>
  <c r="F523" i="7"/>
  <c r="C523" i="7"/>
  <c r="D523" i="7" s="1"/>
  <c r="E523" i="7" s="1"/>
  <c r="J522" i="7"/>
  <c r="I522" i="7"/>
  <c r="G522" i="7"/>
  <c r="F522" i="7"/>
  <c r="C522" i="7"/>
  <c r="D522" i="7" s="1"/>
  <c r="E522" i="7" s="1"/>
  <c r="J521" i="7"/>
  <c r="I521" i="7"/>
  <c r="G521" i="7"/>
  <c r="F521" i="7"/>
  <c r="C521" i="7"/>
  <c r="D521" i="7" s="1"/>
  <c r="E521" i="7" s="1"/>
  <c r="J520" i="7"/>
  <c r="I520" i="7"/>
  <c r="G520" i="7"/>
  <c r="F520" i="7"/>
  <c r="C520" i="7"/>
  <c r="D520" i="7" s="1"/>
  <c r="E520" i="7" s="1"/>
  <c r="J519" i="7"/>
  <c r="I519" i="7"/>
  <c r="G519" i="7"/>
  <c r="F519" i="7"/>
  <c r="C519" i="7"/>
  <c r="D519" i="7" s="1"/>
  <c r="E519" i="7" s="1"/>
  <c r="J518" i="7"/>
  <c r="I518" i="7"/>
  <c r="G518" i="7"/>
  <c r="F518" i="7"/>
  <c r="C518" i="7"/>
  <c r="D518" i="7" s="1"/>
  <c r="E518" i="7" s="1"/>
  <c r="J517" i="7"/>
  <c r="I517" i="7"/>
  <c r="G517" i="7"/>
  <c r="F517" i="7"/>
  <c r="C517" i="7"/>
  <c r="D517" i="7" s="1"/>
  <c r="E517" i="7" s="1"/>
  <c r="J516" i="7"/>
  <c r="I516" i="7"/>
  <c r="G516" i="7"/>
  <c r="F516" i="7"/>
  <c r="C516" i="7"/>
  <c r="D516" i="7" s="1"/>
  <c r="E516" i="7" s="1"/>
  <c r="J515" i="7"/>
  <c r="I515" i="7"/>
  <c r="G515" i="7"/>
  <c r="F515" i="7"/>
  <c r="C515" i="7"/>
  <c r="D515" i="7" s="1"/>
  <c r="E515" i="7" s="1"/>
  <c r="J514" i="7"/>
  <c r="I514" i="7"/>
  <c r="G514" i="7"/>
  <c r="F514" i="7"/>
  <c r="C514" i="7"/>
  <c r="D514" i="7" s="1"/>
  <c r="E514" i="7" s="1"/>
  <c r="J513" i="7"/>
  <c r="I513" i="7"/>
  <c r="G513" i="7"/>
  <c r="F513" i="7"/>
  <c r="C513" i="7"/>
  <c r="D513" i="7" s="1"/>
  <c r="E513" i="7" s="1"/>
  <c r="J512" i="7"/>
  <c r="I512" i="7"/>
  <c r="G512" i="7"/>
  <c r="F512" i="7"/>
  <c r="C512" i="7"/>
  <c r="D512" i="7" s="1"/>
  <c r="E512" i="7" s="1"/>
  <c r="J511" i="7"/>
  <c r="I511" i="7"/>
  <c r="G511" i="7"/>
  <c r="F511" i="7"/>
  <c r="C511" i="7"/>
  <c r="D511" i="7" s="1"/>
  <c r="E511" i="7" s="1"/>
  <c r="J510" i="7"/>
  <c r="I510" i="7"/>
  <c r="G510" i="7"/>
  <c r="F510" i="7"/>
  <c r="C510" i="7"/>
  <c r="D510" i="7" s="1"/>
  <c r="E510" i="7" s="1"/>
  <c r="J509" i="7"/>
  <c r="I509" i="7"/>
  <c r="G509" i="7"/>
  <c r="F509" i="7"/>
  <c r="C509" i="7"/>
  <c r="D509" i="7" s="1"/>
  <c r="E509" i="7" s="1"/>
  <c r="J508" i="7"/>
  <c r="I508" i="7"/>
  <c r="G508" i="7"/>
  <c r="F508" i="7"/>
  <c r="C508" i="7"/>
  <c r="D508" i="7" s="1"/>
  <c r="E508" i="7" s="1"/>
  <c r="J507" i="7"/>
  <c r="I507" i="7"/>
  <c r="G507" i="7"/>
  <c r="F507" i="7"/>
  <c r="C507" i="7"/>
  <c r="D507" i="7" s="1"/>
  <c r="E507" i="7" s="1"/>
  <c r="J506" i="7"/>
  <c r="I506" i="7"/>
  <c r="G506" i="7"/>
  <c r="F506" i="7"/>
  <c r="C506" i="7"/>
  <c r="D506" i="7" s="1"/>
  <c r="E506" i="7" s="1"/>
  <c r="J505" i="7"/>
  <c r="I505" i="7"/>
  <c r="G505" i="7"/>
  <c r="F505" i="7"/>
  <c r="C505" i="7"/>
  <c r="D505" i="7" s="1"/>
  <c r="E505" i="7" s="1"/>
  <c r="J504" i="7"/>
  <c r="I504" i="7"/>
  <c r="G504" i="7"/>
  <c r="F504" i="7"/>
  <c r="C504" i="7"/>
  <c r="D504" i="7" s="1"/>
  <c r="E504" i="7" s="1"/>
  <c r="J503" i="7"/>
  <c r="I503" i="7"/>
  <c r="G503" i="7"/>
  <c r="F503" i="7"/>
  <c r="C503" i="7"/>
  <c r="D503" i="7" s="1"/>
  <c r="E503" i="7" s="1"/>
  <c r="J502" i="7"/>
  <c r="I502" i="7"/>
  <c r="G502" i="7"/>
  <c r="F502" i="7"/>
  <c r="C502" i="7"/>
  <c r="D502" i="7" s="1"/>
  <c r="E502" i="7" s="1"/>
  <c r="J501" i="7"/>
  <c r="I501" i="7"/>
  <c r="G501" i="7"/>
  <c r="F501" i="7"/>
  <c r="C501" i="7"/>
  <c r="D501" i="7" s="1"/>
  <c r="E501" i="7" s="1"/>
  <c r="J500" i="7"/>
  <c r="I500" i="7"/>
  <c r="G500" i="7"/>
  <c r="F500" i="7"/>
  <c r="C500" i="7"/>
  <c r="D500" i="7" s="1"/>
  <c r="E500" i="7" s="1"/>
  <c r="J499" i="7"/>
  <c r="I499" i="7"/>
  <c r="G499" i="7"/>
  <c r="F499" i="7"/>
  <c r="C499" i="7"/>
  <c r="D499" i="7" s="1"/>
  <c r="E499" i="7" s="1"/>
  <c r="J498" i="7"/>
  <c r="I498" i="7"/>
  <c r="G498" i="7"/>
  <c r="F498" i="7"/>
  <c r="C498" i="7"/>
  <c r="D498" i="7" s="1"/>
  <c r="E498" i="7" s="1"/>
  <c r="J497" i="7"/>
  <c r="I497" i="7"/>
  <c r="G497" i="7"/>
  <c r="F497" i="7"/>
  <c r="C497" i="7"/>
  <c r="D497" i="7" s="1"/>
  <c r="E497" i="7" s="1"/>
  <c r="J496" i="7"/>
  <c r="I496" i="7"/>
  <c r="G496" i="7"/>
  <c r="F496" i="7"/>
  <c r="C496" i="7"/>
  <c r="D496" i="7" s="1"/>
  <c r="E496" i="7" s="1"/>
  <c r="J495" i="7"/>
  <c r="I495" i="7"/>
  <c r="G495" i="7"/>
  <c r="F495" i="7"/>
  <c r="C495" i="7"/>
  <c r="D495" i="7" s="1"/>
  <c r="E495" i="7" s="1"/>
  <c r="J494" i="7"/>
  <c r="I494" i="7"/>
  <c r="G494" i="7"/>
  <c r="F494" i="7"/>
  <c r="C494" i="7"/>
  <c r="D494" i="7" s="1"/>
  <c r="E494" i="7" s="1"/>
  <c r="J493" i="7"/>
  <c r="I493" i="7"/>
  <c r="G493" i="7"/>
  <c r="F493" i="7"/>
  <c r="C493" i="7"/>
  <c r="D493" i="7" s="1"/>
  <c r="E493" i="7" s="1"/>
  <c r="J492" i="7"/>
  <c r="I492" i="7"/>
  <c r="G492" i="7"/>
  <c r="F492" i="7"/>
  <c r="C492" i="7"/>
  <c r="D492" i="7" s="1"/>
  <c r="E492" i="7" s="1"/>
  <c r="J491" i="7"/>
  <c r="I491" i="7"/>
  <c r="G491" i="7"/>
  <c r="F491" i="7"/>
  <c r="C491" i="7"/>
  <c r="D491" i="7" s="1"/>
  <c r="E491" i="7" s="1"/>
  <c r="J490" i="7"/>
  <c r="I490" i="7"/>
  <c r="G490" i="7"/>
  <c r="F490" i="7"/>
  <c r="C490" i="7"/>
  <c r="D490" i="7" s="1"/>
  <c r="E490" i="7" s="1"/>
  <c r="J489" i="7"/>
  <c r="I489" i="7"/>
  <c r="G489" i="7"/>
  <c r="F489" i="7"/>
  <c r="C489" i="7"/>
  <c r="D489" i="7" s="1"/>
  <c r="E489" i="7" s="1"/>
  <c r="J488" i="7"/>
  <c r="I488" i="7"/>
  <c r="G488" i="7"/>
  <c r="F488" i="7"/>
  <c r="C488" i="7"/>
  <c r="D488" i="7" s="1"/>
  <c r="E488" i="7" s="1"/>
  <c r="J487" i="7"/>
  <c r="I487" i="7"/>
  <c r="G487" i="7"/>
  <c r="F487" i="7"/>
  <c r="C487" i="7"/>
  <c r="D487" i="7" s="1"/>
  <c r="E487" i="7" s="1"/>
  <c r="J486" i="7"/>
  <c r="I486" i="7"/>
  <c r="G486" i="7"/>
  <c r="F486" i="7"/>
  <c r="C486" i="7"/>
  <c r="D486" i="7" s="1"/>
  <c r="E486" i="7" s="1"/>
  <c r="J485" i="7"/>
  <c r="I485" i="7"/>
  <c r="G485" i="7"/>
  <c r="F485" i="7"/>
  <c r="C485" i="7"/>
  <c r="D485" i="7" s="1"/>
  <c r="E485" i="7" s="1"/>
  <c r="J484" i="7"/>
  <c r="I484" i="7"/>
  <c r="G484" i="7"/>
  <c r="F484" i="7"/>
  <c r="C484" i="7"/>
  <c r="D484" i="7" s="1"/>
  <c r="E484" i="7" s="1"/>
  <c r="J483" i="7"/>
  <c r="I483" i="7"/>
  <c r="G483" i="7"/>
  <c r="F483" i="7"/>
  <c r="C483" i="7"/>
  <c r="D483" i="7" s="1"/>
  <c r="E483" i="7" s="1"/>
  <c r="J482" i="7"/>
  <c r="I482" i="7"/>
  <c r="G482" i="7"/>
  <c r="F482" i="7"/>
  <c r="C482" i="7"/>
  <c r="D482" i="7" s="1"/>
  <c r="E482" i="7" s="1"/>
  <c r="J481" i="7"/>
  <c r="I481" i="7"/>
  <c r="G481" i="7"/>
  <c r="F481" i="7"/>
  <c r="C481" i="7"/>
  <c r="D481" i="7" s="1"/>
  <c r="E481" i="7" s="1"/>
  <c r="J480" i="7"/>
  <c r="I480" i="7"/>
  <c r="G480" i="7"/>
  <c r="F480" i="7"/>
  <c r="C480" i="7"/>
  <c r="D480" i="7" s="1"/>
  <c r="E480" i="7" s="1"/>
  <c r="J479" i="7"/>
  <c r="I479" i="7"/>
  <c r="G479" i="7"/>
  <c r="F479" i="7"/>
  <c r="C479" i="7"/>
  <c r="D479" i="7" s="1"/>
  <c r="E479" i="7" s="1"/>
  <c r="J478" i="7"/>
  <c r="I478" i="7"/>
  <c r="G478" i="7"/>
  <c r="F478" i="7"/>
  <c r="C478" i="7"/>
  <c r="D478" i="7" s="1"/>
  <c r="E478" i="7" s="1"/>
  <c r="J477" i="7"/>
  <c r="I477" i="7"/>
  <c r="G477" i="7"/>
  <c r="F477" i="7"/>
  <c r="C477" i="7"/>
  <c r="D477" i="7" s="1"/>
  <c r="E477" i="7" s="1"/>
  <c r="J476" i="7"/>
  <c r="I476" i="7"/>
  <c r="G476" i="7"/>
  <c r="F476" i="7"/>
  <c r="C476" i="7"/>
  <c r="D476" i="7" s="1"/>
  <c r="E476" i="7" s="1"/>
  <c r="J475" i="7"/>
  <c r="I475" i="7"/>
  <c r="G475" i="7"/>
  <c r="F475" i="7"/>
  <c r="C475" i="7"/>
  <c r="D475" i="7" s="1"/>
  <c r="E475" i="7" s="1"/>
  <c r="J474" i="7"/>
  <c r="I474" i="7"/>
  <c r="G474" i="7"/>
  <c r="F474" i="7"/>
  <c r="C474" i="7"/>
  <c r="D474" i="7" s="1"/>
  <c r="E474" i="7" s="1"/>
  <c r="J473" i="7"/>
  <c r="I473" i="7"/>
  <c r="G473" i="7"/>
  <c r="F473" i="7"/>
  <c r="C473" i="7"/>
  <c r="D473" i="7" s="1"/>
  <c r="E473" i="7" s="1"/>
  <c r="J472" i="7"/>
  <c r="I472" i="7"/>
  <c r="G472" i="7"/>
  <c r="F472" i="7"/>
  <c r="C472" i="7"/>
  <c r="D472" i="7" s="1"/>
  <c r="E472" i="7" s="1"/>
  <c r="J471" i="7"/>
  <c r="I471" i="7"/>
  <c r="G471" i="7"/>
  <c r="F471" i="7"/>
  <c r="C471" i="7"/>
  <c r="D471" i="7" s="1"/>
  <c r="E471" i="7" s="1"/>
  <c r="J470" i="7"/>
  <c r="I470" i="7"/>
  <c r="G470" i="7"/>
  <c r="F470" i="7"/>
  <c r="C470" i="7"/>
  <c r="D470" i="7" s="1"/>
  <c r="E470" i="7" s="1"/>
  <c r="J469" i="7"/>
  <c r="I469" i="7"/>
  <c r="G469" i="7"/>
  <c r="F469" i="7"/>
  <c r="C469" i="7"/>
  <c r="D469" i="7" s="1"/>
  <c r="E469" i="7" s="1"/>
  <c r="J468" i="7"/>
  <c r="I468" i="7"/>
  <c r="G468" i="7"/>
  <c r="F468" i="7"/>
  <c r="C468" i="7"/>
  <c r="D468" i="7" s="1"/>
  <c r="E468" i="7" s="1"/>
  <c r="J467" i="7"/>
  <c r="I467" i="7"/>
  <c r="G467" i="7"/>
  <c r="F467" i="7"/>
  <c r="C467" i="7"/>
  <c r="D467" i="7" s="1"/>
  <c r="E467" i="7" s="1"/>
  <c r="J466" i="7"/>
  <c r="I466" i="7"/>
  <c r="G466" i="7"/>
  <c r="F466" i="7"/>
  <c r="C466" i="7"/>
  <c r="D466" i="7" s="1"/>
  <c r="E466" i="7" s="1"/>
  <c r="J465" i="7"/>
  <c r="I465" i="7"/>
  <c r="G465" i="7"/>
  <c r="F465" i="7"/>
  <c r="C465" i="7"/>
  <c r="D465" i="7" s="1"/>
  <c r="E465" i="7" s="1"/>
  <c r="J464" i="7"/>
  <c r="I464" i="7"/>
  <c r="G464" i="7"/>
  <c r="F464" i="7"/>
  <c r="C464" i="7"/>
  <c r="D464" i="7" s="1"/>
  <c r="E464" i="7" s="1"/>
  <c r="J463" i="7"/>
  <c r="I463" i="7"/>
  <c r="G463" i="7"/>
  <c r="F463" i="7"/>
  <c r="C463" i="7"/>
  <c r="D463" i="7" s="1"/>
  <c r="E463" i="7" s="1"/>
  <c r="J462" i="7"/>
  <c r="I462" i="7"/>
  <c r="G462" i="7"/>
  <c r="F462" i="7"/>
  <c r="C462" i="7"/>
  <c r="D462" i="7" s="1"/>
  <c r="E462" i="7" s="1"/>
  <c r="J461" i="7"/>
  <c r="I461" i="7"/>
  <c r="G461" i="7"/>
  <c r="F461" i="7"/>
  <c r="C461" i="7"/>
  <c r="D461" i="7" s="1"/>
  <c r="E461" i="7" s="1"/>
  <c r="J460" i="7"/>
  <c r="I460" i="7"/>
  <c r="G460" i="7"/>
  <c r="F460" i="7"/>
  <c r="C460" i="7"/>
  <c r="D460" i="7" s="1"/>
  <c r="E460" i="7" s="1"/>
  <c r="J459" i="7"/>
  <c r="I459" i="7"/>
  <c r="G459" i="7"/>
  <c r="F459" i="7"/>
  <c r="C459" i="7"/>
  <c r="D459" i="7" s="1"/>
  <c r="E459" i="7" s="1"/>
  <c r="J458" i="7"/>
  <c r="I458" i="7"/>
  <c r="G458" i="7"/>
  <c r="F458" i="7"/>
  <c r="C458" i="7"/>
  <c r="D458" i="7" s="1"/>
  <c r="E458" i="7" s="1"/>
  <c r="J457" i="7"/>
  <c r="I457" i="7"/>
  <c r="G457" i="7"/>
  <c r="F457" i="7"/>
  <c r="C457" i="7"/>
  <c r="D457" i="7" s="1"/>
  <c r="E457" i="7" s="1"/>
  <c r="J456" i="7"/>
  <c r="I456" i="7"/>
  <c r="G456" i="7"/>
  <c r="F456" i="7"/>
  <c r="C456" i="7"/>
  <c r="D456" i="7" s="1"/>
  <c r="E456" i="7" s="1"/>
  <c r="J455" i="7"/>
  <c r="I455" i="7"/>
  <c r="G455" i="7"/>
  <c r="F455" i="7"/>
  <c r="C455" i="7"/>
  <c r="D455" i="7" s="1"/>
  <c r="E455" i="7" s="1"/>
  <c r="J454" i="7"/>
  <c r="I454" i="7"/>
  <c r="G454" i="7"/>
  <c r="F454" i="7"/>
  <c r="C454" i="7"/>
  <c r="D454" i="7" s="1"/>
  <c r="E454" i="7" s="1"/>
  <c r="J453" i="7"/>
  <c r="I453" i="7"/>
  <c r="G453" i="7"/>
  <c r="F453" i="7"/>
  <c r="C453" i="7"/>
  <c r="D453" i="7" s="1"/>
  <c r="E453" i="7" s="1"/>
  <c r="J452" i="7"/>
  <c r="I452" i="7"/>
  <c r="G452" i="7"/>
  <c r="F452" i="7"/>
  <c r="C452" i="7"/>
  <c r="D452" i="7" s="1"/>
  <c r="E452" i="7" s="1"/>
  <c r="J451" i="7"/>
  <c r="I451" i="7"/>
  <c r="G451" i="7"/>
  <c r="F451" i="7"/>
  <c r="C451" i="7"/>
  <c r="D451" i="7" s="1"/>
  <c r="E451" i="7" s="1"/>
  <c r="J450" i="7"/>
  <c r="I450" i="7"/>
  <c r="G450" i="7"/>
  <c r="F450" i="7"/>
  <c r="C450" i="7"/>
  <c r="D450" i="7" s="1"/>
  <c r="E450" i="7" s="1"/>
  <c r="J449" i="7"/>
  <c r="I449" i="7"/>
  <c r="G449" i="7"/>
  <c r="F449" i="7"/>
  <c r="C449" i="7"/>
  <c r="D449" i="7" s="1"/>
  <c r="E449" i="7" s="1"/>
  <c r="J448" i="7"/>
  <c r="I448" i="7"/>
  <c r="G448" i="7"/>
  <c r="F448" i="7"/>
  <c r="C448" i="7"/>
  <c r="D448" i="7" s="1"/>
  <c r="E448" i="7" s="1"/>
  <c r="J447" i="7"/>
  <c r="I447" i="7"/>
  <c r="G447" i="7"/>
  <c r="F447" i="7"/>
  <c r="C447" i="7"/>
  <c r="D447" i="7" s="1"/>
  <c r="E447" i="7" s="1"/>
  <c r="J446" i="7"/>
  <c r="I446" i="7"/>
  <c r="G446" i="7"/>
  <c r="F446" i="7"/>
  <c r="C446" i="7"/>
  <c r="D446" i="7" s="1"/>
  <c r="E446" i="7" s="1"/>
  <c r="J445" i="7"/>
  <c r="I445" i="7"/>
  <c r="G445" i="7"/>
  <c r="F445" i="7"/>
  <c r="C445" i="7"/>
  <c r="D445" i="7" s="1"/>
  <c r="E445" i="7" s="1"/>
  <c r="J444" i="7"/>
  <c r="I444" i="7"/>
  <c r="G444" i="7"/>
  <c r="F444" i="7"/>
  <c r="C444" i="7"/>
  <c r="D444" i="7" s="1"/>
  <c r="E444" i="7" s="1"/>
  <c r="J443" i="7"/>
  <c r="I443" i="7"/>
  <c r="G443" i="7"/>
  <c r="F443" i="7"/>
  <c r="C443" i="7"/>
  <c r="D443" i="7" s="1"/>
  <c r="E443" i="7" s="1"/>
  <c r="J442" i="7"/>
  <c r="I442" i="7"/>
  <c r="G442" i="7"/>
  <c r="F442" i="7"/>
  <c r="C442" i="7"/>
  <c r="D442" i="7" s="1"/>
  <c r="E442" i="7" s="1"/>
  <c r="J441" i="7"/>
  <c r="I441" i="7"/>
  <c r="G441" i="7"/>
  <c r="F441" i="7"/>
  <c r="C441" i="7"/>
  <c r="D441" i="7" s="1"/>
  <c r="E441" i="7" s="1"/>
  <c r="J440" i="7"/>
  <c r="I440" i="7"/>
  <c r="G440" i="7"/>
  <c r="F440" i="7"/>
  <c r="C440" i="7"/>
  <c r="D440" i="7" s="1"/>
  <c r="E440" i="7" s="1"/>
  <c r="J439" i="7"/>
  <c r="I439" i="7"/>
  <c r="G439" i="7"/>
  <c r="F439" i="7"/>
  <c r="C439" i="7"/>
  <c r="D439" i="7" s="1"/>
  <c r="E439" i="7" s="1"/>
  <c r="J438" i="7"/>
  <c r="I438" i="7"/>
  <c r="G438" i="7"/>
  <c r="F438" i="7"/>
  <c r="C438" i="7"/>
  <c r="D438" i="7" s="1"/>
  <c r="E438" i="7" s="1"/>
  <c r="J437" i="7"/>
  <c r="I437" i="7"/>
  <c r="G437" i="7"/>
  <c r="F437" i="7"/>
  <c r="C437" i="7"/>
  <c r="D437" i="7" s="1"/>
  <c r="E437" i="7" s="1"/>
  <c r="J436" i="7"/>
  <c r="I436" i="7"/>
  <c r="G436" i="7"/>
  <c r="F436" i="7"/>
  <c r="C436" i="7"/>
  <c r="D436" i="7" s="1"/>
  <c r="E436" i="7" s="1"/>
  <c r="J435" i="7"/>
  <c r="I435" i="7"/>
  <c r="G435" i="7"/>
  <c r="F435" i="7"/>
  <c r="C435" i="7"/>
  <c r="D435" i="7" s="1"/>
  <c r="E435" i="7" s="1"/>
  <c r="J434" i="7"/>
  <c r="I434" i="7"/>
  <c r="G434" i="7"/>
  <c r="F434" i="7"/>
  <c r="C434" i="7"/>
  <c r="D434" i="7" s="1"/>
  <c r="E434" i="7" s="1"/>
  <c r="J433" i="7"/>
  <c r="I433" i="7"/>
  <c r="G433" i="7"/>
  <c r="F433" i="7"/>
  <c r="C433" i="7"/>
  <c r="D433" i="7" s="1"/>
  <c r="E433" i="7" s="1"/>
  <c r="J432" i="7"/>
  <c r="I432" i="7"/>
  <c r="G432" i="7"/>
  <c r="F432" i="7"/>
  <c r="C432" i="7"/>
  <c r="D432" i="7" s="1"/>
  <c r="E432" i="7" s="1"/>
  <c r="J431" i="7"/>
  <c r="I431" i="7"/>
  <c r="G431" i="7"/>
  <c r="F431" i="7"/>
  <c r="C431" i="7"/>
  <c r="D431" i="7" s="1"/>
  <c r="E431" i="7" s="1"/>
  <c r="J430" i="7"/>
  <c r="I430" i="7"/>
  <c r="G430" i="7"/>
  <c r="F430" i="7"/>
  <c r="C430" i="7"/>
  <c r="D430" i="7" s="1"/>
  <c r="E430" i="7" s="1"/>
  <c r="J429" i="7"/>
  <c r="I429" i="7"/>
  <c r="G429" i="7"/>
  <c r="F429" i="7"/>
  <c r="C429" i="7"/>
  <c r="D429" i="7" s="1"/>
  <c r="E429" i="7" s="1"/>
  <c r="J428" i="7"/>
  <c r="I428" i="7"/>
  <c r="G428" i="7"/>
  <c r="F428" i="7"/>
  <c r="C428" i="7"/>
  <c r="D428" i="7" s="1"/>
  <c r="E428" i="7" s="1"/>
  <c r="J427" i="7"/>
  <c r="I427" i="7"/>
  <c r="G427" i="7"/>
  <c r="F427" i="7"/>
  <c r="C427" i="7"/>
  <c r="D427" i="7" s="1"/>
  <c r="E427" i="7" s="1"/>
  <c r="J426" i="7"/>
  <c r="I426" i="7"/>
  <c r="G426" i="7"/>
  <c r="F426" i="7"/>
  <c r="C426" i="7"/>
  <c r="D426" i="7" s="1"/>
  <c r="E426" i="7" s="1"/>
  <c r="J425" i="7"/>
  <c r="I425" i="7"/>
  <c r="G425" i="7"/>
  <c r="F425" i="7"/>
  <c r="C425" i="7"/>
  <c r="D425" i="7" s="1"/>
  <c r="E425" i="7" s="1"/>
  <c r="J424" i="7"/>
  <c r="I424" i="7"/>
  <c r="G424" i="7"/>
  <c r="F424" i="7"/>
  <c r="C424" i="7"/>
  <c r="D424" i="7" s="1"/>
  <c r="E424" i="7" s="1"/>
  <c r="J423" i="7"/>
  <c r="I423" i="7"/>
  <c r="G423" i="7"/>
  <c r="F423" i="7"/>
  <c r="C423" i="7"/>
  <c r="D423" i="7" s="1"/>
  <c r="E423" i="7" s="1"/>
  <c r="J422" i="7"/>
  <c r="I422" i="7"/>
  <c r="G422" i="7"/>
  <c r="F422" i="7"/>
  <c r="C422" i="7"/>
  <c r="D422" i="7" s="1"/>
  <c r="E422" i="7" s="1"/>
  <c r="J421" i="7"/>
  <c r="I421" i="7"/>
  <c r="G421" i="7"/>
  <c r="F421" i="7"/>
  <c r="C421" i="7"/>
  <c r="D421" i="7" s="1"/>
  <c r="E421" i="7" s="1"/>
  <c r="J420" i="7"/>
  <c r="I420" i="7"/>
  <c r="G420" i="7"/>
  <c r="F420" i="7"/>
  <c r="C420" i="7"/>
  <c r="D420" i="7" s="1"/>
  <c r="E420" i="7" s="1"/>
  <c r="J419" i="7"/>
  <c r="I419" i="7"/>
  <c r="G419" i="7"/>
  <c r="F419" i="7"/>
  <c r="C419" i="7"/>
  <c r="D419" i="7" s="1"/>
  <c r="E419" i="7" s="1"/>
  <c r="J418" i="7"/>
  <c r="I418" i="7"/>
  <c r="G418" i="7"/>
  <c r="F418" i="7"/>
  <c r="C418" i="7"/>
  <c r="D418" i="7" s="1"/>
  <c r="E418" i="7" s="1"/>
  <c r="J417" i="7"/>
  <c r="I417" i="7"/>
  <c r="G417" i="7"/>
  <c r="F417" i="7"/>
  <c r="C417" i="7"/>
  <c r="D417" i="7" s="1"/>
  <c r="E417" i="7" s="1"/>
  <c r="J416" i="7"/>
  <c r="I416" i="7"/>
  <c r="G416" i="7"/>
  <c r="F416" i="7"/>
  <c r="C416" i="7"/>
  <c r="D416" i="7" s="1"/>
  <c r="E416" i="7" s="1"/>
  <c r="J415" i="7"/>
  <c r="I415" i="7"/>
  <c r="G415" i="7"/>
  <c r="F415" i="7"/>
  <c r="C415" i="7"/>
  <c r="D415" i="7" s="1"/>
  <c r="E415" i="7" s="1"/>
  <c r="J414" i="7"/>
  <c r="I414" i="7"/>
  <c r="G414" i="7"/>
  <c r="F414" i="7"/>
  <c r="C414" i="7"/>
  <c r="D414" i="7" s="1"/>
  <c r="E414" i="7" s="1"/>
  <c r="J413" i="7"/>
  <c r="I413" i="7"/>
  <c r="G413" i="7"/>
  <c r="F413" i="7"/>
  <c r="C413" i="7"/>
  <c r="D413" i="7" s="1"/>
  <c r="E413" i="7" s="1"/>
  <c r="J412" i="7"/>
  <c r="I412" i="7"/>
  <c r="G412" i="7"/>
  <c r="F412" i="7"/>
  <c r="C412" i="7"/>
  <c r="D412" i="7" s="1"/>
  <c r="E412" i="7" s="1"/>
  <c r="J411" i="7"/>
  <c r="I411" i="7"/>
  <c r="G411" i="7"/>
  <c r="F411" i="7"/>
  <c r="C411" i="7"/>
  <c r="D411" i="7" s="1"/>
  <c r="E411" i="7" s="1"/>
  <c r="J410" i="7"/>
  <c r="I410" i="7"/>
  <c r="G410" i="7"/>
  <c r="F410" i="7"/>
  <c r="C410" i="7"/>
  <c r="D410" i="7" s="1"/>
  <c r="E410" i="7" s="1"/>
  <c r="J409" i="7"/>
  <c r="I409" i="7"/>
  <c r="G409" i="7"/>
  <c r="F409" i="7"/>
  <c r="C409" i="7"/>
  <c r="D409" i="7" s="1"/>
  <c r="E409" i="7" s="1"/>
  <c r="J408" i="7"/>
  <c r="I408" i="7"/>
  <c r="G408" i="7"/>
  <c r="F408" i="7"/>
  <c r="C408" i="7"/>
  <c r="D408" i="7" s="1"/>
  <c r="E408" i="7" s="1"/>
  <c r="J407" i="7"/>
  <c r="I407" i="7"/>
  <c r="G407" i="7"/>
  <c r="F407" i="7"/>
  <c r="C407" i="7"/>
  <c r="D407" i="7" s="1"/>
  <c r="E407" i="7" s="1"/>
  <c r="J406" i="7"/>
  <c r="I406" i="7"/>
  <c r="G406" i="7"/>
  <c r="F406" i="7"/>
  <c r="C406" i="7"/>
  <c r="D406" i="7" s="1"/>
  <c r="E406" i="7" s="1"/>
  <c r="J405" i="7"/>
  <c r="I405" i="7"/>
  <c r="G405" i="7"/>
  <c r="F405" i="7"/>
  <c r="C405" i="7"/>
  <c r="D405" i="7" s="1"/>
  <c r="E405" i="7" s="1"/>
  <c r="J404" i="7"/>
  <c r="I404" i="7"/>
  <c r="G404" i="7"/>
  <c r="F404" i="7"/>
  <c r="C404" i="7"/>
  <c r="D404" i="7" s="1"/>
  <c r="E404" i="7" s="1"/>
  <c r="J403" i="7"/>
  <c r="I403" i="7"/>
  <c r="G403" i="7"/>
  <c r="F403" i="7"/>
  <c r="C403" i="7"/>
  <c r="D403" i="7" s="1"/>
  <c r="E403" i="7" s="1"/>
  <c r="J402" i="7"/>
  <c r="I402" i="7"/>
  <c r="G402" i="7"/>
  <c r="F402" i="7"/>
  <c r="C402" i="7"/>
  <c r="D402" i="7" s="1"/>
  <c r="E402" i="7" s="1"/>
  <c r="J401" i="7"/>
  <c r="I401" i="7"/>
  <c r="G401" i="7"/>
  <c r="F401" i="7"/>
  <c r="C401" i="7"/>
  <c r="D401" i="7" s="1"/>
  <c r="E401" i="7" s="1"/>
  <c r="J400" i="7"/>
  <c r="I400" i="7"/>
  <c r="G400" i="7"/>
  <c r="F400" i="7"/>
  <c r="C400" i="7"/>
  <c r="D400" i="7" s="1"/>
  <c r="E400" i="7" s="1"/>
  <c r="J399" i="7"/>
  <c r="I399" i="7"/>
  <c r="G399" i="7"/>
  <c r="F399" i="7"/>
  <c r="C399" i="7"/>
  <c r="D399" i="7" s="1"/>
  <c r="E399" i="7" s="1"/>
  <c r="J398" i="7"/>
  <c r="I398" i="7"/>
  <c r="G398" i="7"/>
  <c r="F398" i="7"/>
  <c r="C398" i="7"/>
  <c r="D398" i="7" s="1"/>
  <c r="E398" i="7" s="1"/>
  <c r="J397" i="7"/>
  <c r="I397" i="7"/>
  <c r="G397" i="7"/>
  <c r="F397" i="7"/>
  <c r="C397" i="7"/>
  <c r="D397" i="7" s="1"/>
  <c r="E397" i="7" s="1"/>
  <c r="J396" i="7"/>
  <c r="I396" i="7"/>
  <c r="G396" i="7"/>
  <c r="F396" i="7"/>
  <c r="C396" i="7"/>
  <c r="D396" i="7" s="1"/>
  <c r="E396" i="7" s="1"/>
  <c r="J395" i="7"/>
  <c r="I395" i="7"/>
  <c r="G395" i="7"/>
  <c r="F395" i="7"/>
  <c r="C395" i="7"/>
  <c r="D395" i="7" s="1"/>
  <c r="E395" i="7" s="1"/>
  <c r="J394" i="7"/>
  <c r="I394" i="7"/>
  <c r="G394" i="7"/>
  <c r="F394" i="7"/>
  <c r="C394" i="7"/>
  <c r="D394" i="7" s="1"/>
  <c r="E394" i="7" s="1"/>
  <c r="J393" i="7"/>
  <c r="I393" i="7"/>
  <c r="G393" i="7"/>
  <c r="F393" i="7"/>
  <c r="C393" i="7"/>
  <c r="D393" i="7" s="1"/>
  <c r="E393" i="7" s="1"/>
  <c r="J392" i="7"/>
  <c r="I392" i="7"/>
  <c r="G392" i="7"/>
  <c r="F392" i="7"/>
  <c r="C392" i="7"/>
  <c r="D392" i="7" s="1"/>
  <c r="E392" i="7" s="1"/>
  <c r="J391" i="7"/>
  <c r="I391" i="7"/>
  <c r="G391" i="7"/>
  <c r="F391" i="7"/>
  <c r="C391" i="7"/>
  <c r="D391" i="7" s="1"/>
  <c r="E391" i="7" s="1"/>
  <c r="J390" i="7"/>
  <c r="I390" i="7"/>
  <c r="G390" i="7"/>
  <c r="F390" i="7"/>
  <c r="C390" i="7"/>
  <c r="D390" i="7" s="1"/>
  <c r="E390" i="7" s="1"/>
  <c r="H390" i="7" s="1"/>
  <c r="J389" i="7"/>
  <c r="I389" i="7"/>
  <c r="G389" i="7"/>
  <c r="F389" i="7"/>
  <c r="C389" i="7"/>
  <c r="D389" i="7" s="1"/>
  <c r="E389" i="7" s="1"/>
  <c r="J388" i="7"/>
  <c r="I388" i="7"/>
  <c r="G388" i="7"/>
  <c r="F388" i="7"/>
  <c r="C388" i="7"/>
  <c r="D388" i="7" s="1"/>
  <c r="E388" i="7" s="1"/>
  <c r="J387" i="7"/>
  <c r="I387" i="7"/>
  <c r="G387" i="7"/>
  <c r="F387" i="7"/>
  <c r="C387" i="7"/>
  <c r="D387" i="7" s="1"/>
  <c r="E387" i="7" s="1"/>
  <c r="J386" i="7"/>
  <c r="I386" i="7"/>
  <c r="G386" i="7"/>
  <c r="F386" i="7"/>
  <c r="C386" i="7"/>
  <c r="D386" i="7" s="1"/>
  <c r="E386" i="7" s="1"/>
  <c r="J385" i="7"/>
  <c r="I385" i="7"/>
  <c r="G385" i="7"/>
  <c r="F385" i="7"/>
  <c r="C385" i="7"/>
  <c r="D385" i="7" s="1"/>
  <c r="E385" i="7" s="1"/>
  <c r="J384" i="7"/>
  <c r="I384" i="7"/>
  <c r="G384" i="7"/>
  <c r="F384" i="7"/>
  <c r="C384" i="7"/>
  <c r="D384" i="7" s="1"/>
  <c r="E384" i="7" s="1"/>
  <c r="J383" i="7"/>
  <c r="I383" i="7"/>
  <c r="G383" i="7"/>
  <c r="F383" i="7"/>
  <c r="C383" i="7"/>
  <c r="D383" i="7" s="1"/>
  <c r="E383" i="7" s="1"/>
  <c r="J382" i="7"/>
  <c r="I382" i="7"/>
  <c r="G382" i="7"/>
  <c r="F382" i="7"/>
  <c r="C382" i="7"/>
  <c r="D382" i="7" s="1"/>
  <c r="E382" i="7" s="1"/>
  <c r="J381" i="7"/>
  <c r="I381" i="7"/>
  <c r="G381" i="7"/>
  <c r="F381" i="7"/>
  <c r="C381" i="7"/>
  <c r="D381" i="7" s="1"/>
  <c r="E381" i="7" s="1"/>
  <c r="J380" i="7"/>
  <c r="I380" i="7"/>
  <c r="G380" i="7"/>
  <c r="F380" i="7"/>
  <c r="C380" i="7"/>
  <c r="D380" i="7" s="1"/>
  <c r="E380" i="7" s="1"/>
  <c r="J379" i="7"/>
  <c r="I379" i="7"/>
  <c r="G379" i="7"/>
  <c r="F379" i="7"/>
  <c r="C379" i="7"/>
  <c r="D379" i="7" s="1"/>
  <c r="E379" i="7" s="1"/>
  <c r="J378" i="7"/>
  <c r="I378" i="7"/>
  <c r="G378" i="7"/>
  <c r="F378" i="7"/>
  <c r="C378" i="7"/>
  <c r="D378" i="7" s="1"/>
  <c r="E378" i="7" s="1"/>
  <c r="J377" i="7"/>
  <c r="I377" i="7"/>
  <c r="G377" i="7"/>
  <c r="F377" i="7"/>
  <c r="C377" i="7"/>
  <c r="D377" i="7" s="1"/>
  <c r="E377" i="7" s="1"/>
  <c r="J376" i="7"/>
  <c r="I376" i="7"/>
  <c r="G376" i="7"/>
  <c r="F376" i="7"/>
  <c r="C376" i="7"/>
  <c r="D376" i="7" s="1"/>
  <c r="E376" i="7" s="1"/>
  <c r="J375" i="7"/>
  <c r="I375" i="7"/>
  <c r="G375" i="7"/>
  <c r="F375" i="7"/>
  <c r="C375" i="7"/>
  <c r="D375" i="7" s="1"/>
  <c r="E375" i="7" s="1"/>
  <c r="J374" i="7"/>
  <c r="I374" i="7"/>
  <c r="G374" i="7"/>
  <c r="F374" i="7"/>
  <c r="C374" i="7"/>
  <c r="D374" i="7" s="1"/>
  <c r="E374" i="7" s="1"/>
  <c r="J373" i="7"/>
  <c r="I373" i="7"/>
  <c r="G373" i="7"/>
  <c r="F373" i="7"/>
  <c r="C373" i="7"/>
  <c r="D373" i="7" s="1"/>
  <c r="E373" i="7" s="1"/>
  <c r="J372" i="7"/>
  <c r="I372" i="7"/>
  <c r="G372" i="7"/>
  <c r="F372" i="7"/>
  <c r="C372" i="7"/>
  <c r="D372" i="7" s="1"/>
  <c r="E372" i="7" s="1"/>
  <c r="J371" i="7"/>
  <c r="I371" i="7"/>
  <c r="G371" i="7"/>
  <c r="F371" i="7"/>
  <c r="C371" i="7"/>
  <c r="D371" i="7" s="1"/>
  <c r="E371" i="7" s="1"/>
  <c r="J370" i="7"/>
  <c r="I370" i="7"/>
  <c r="G370" i="7"/>
  <c r="F370" i="7"/>
  <c r="C370" i="7"/>
  <c r="D370" i="7" s="1"/>
  <c r="E370" i="7" s="1"/>
  <c r="J369" i="7"/>
  <c r="I369" i="7"/>
  <c r="G369" i="7"/>
  <c r="F369" i="7"/>
  <c r="C369" i="7"/>
  <c r="D369" i="7" s="1"/>
  <c r="E369" i="7" s="1"/>
  <c r="J368" i="7"/>
  <c r="I368" i="7"/>
  <c r="G368" i="7"/>
  <c r="F368" i="7"/>
  <c r="C368" i="7"/>
  <c r="D368" i="7" s="1"/>
  <c r="E368" i="7" s="1"/>
  <c r="J367" i="7"/>
  <c r="I367" i="7"/>
  <c r="G367" i="7"/>
  <c r="F367" i="7"/>
  <c r="C367" i="7"/>
  <c r="D367" i="7" s="1"/>
  <c r="E367" i="7" s="1"/>
  <c r="J366" i="7"/>
  <c r="I366" i="7"/>
  <c r="G366" i="7"/>
  <c r="F366" i="7"/>
  <c r="C366" i="7"/>
  <c r="D366" i="7" s="1"/>
  <c r="E366" i="7" s="1"/>
  <c r="J365" i="7"/>
  <c r="I365" i="7"/>
  <c r="G365" i="7"/>
  <c r="F365" i="7"/>
  <c r="C365" i="7"/>
  <c r="D365" i="7" s="1"/>
  <c r="E365" i="7" s="1"/>
  <c r="J364" i="7"/>
  <c r="I364" i="7"/>
  <c r="G364" i="7"/>
  <c r="F364" i="7"/>
  <c r="C364" i="7"/>
  <c r="D364" i="7" s="1"/>
  <c r="E364" i="7" s="1"/>
  <c r="J363" i="7"/>
  <c r="I363" i="7"/>
  <c r="G363" i="7"/>
  <c r="F363" i="7"/>
  <c r="C363" i="7"/>
  <c r="D363" i="7" s="1"/>
  <c r="E363" i="7" s="1"/>
  <c r="J362" i="7"/>
  <c r="I362" i="7"/>
  <c r="G362" i="7"/>
  <c r="F362" i="7"/>
  <c r="C362" i="7"/>
  <c r="D362" i="7" s="1"/>
  <c r="E362" i="7" s="1"/>
  <c r="J361" i="7"/>
  <c r="I361" i="7"/>
  <c r="G361" i="7"/>
  <c r="F361" i="7"/>
  <c r="C361" i="7"/>
  <c r="D361" i="7" s="1"/>
  <c r="E361" i="7" s="1"/>
  <c r="J360" i="7"/>
  <c r="I360" i="7"/>
  <c r="G360" i="7"/>
  <c r="F360" i="7"/>
  <c r="C360" i="7"/>
  <c r="D360" i="7" s="1"/>
  <c r="E360" i="7" s="1"/>
  <c r="J359" i="7"/>
  <c r="I359" i="7"/>
  <c r="G359" i="7"/>
  <c r="F359" i="7"/>
  <c r="C359" i="7"/>
  <c r="D359" i="7" s="1"/>
  <c r="E359" i="7" s="1"/>
  <c r="J358" i="7"/>
  <c r="I358" i="7"/>
  <c r="G358" i="7"/>
  <c r="F358" i="7"/>
  <c r="C358" i="7"/>
  <c r="D358" i="7" s="1"/>
  <c r="E358" i="7" s="1"/>
  <c r="J357" i="7"/>
  <c r="I357" i="7"/>
  <c r="G357" i="7"/>
  <c r="F357" i="7"/>
  <c r="C357" i="7"/>
  <c r="D357" i="7" s="1"/>
  <c r="E357" i="7" s="1"/>
  <c r="J356" i="7"/>
  <c r="I356" i="7"/>
  <c r="G356" i="7"/>
  <c r="F356" i="7"/>
  <c r="C356" i="7"/>
  <c r="D356" i="7" s="1"/>
  <c r="E356" i="7" s="1"/>
  <c r="J355" i="7"/>
  <c r="I355" i="7"/>
  <c r="G355" i="7"/>
  <c r="F355" i="7"/>
  <c r="C355" i="7"/>
  <c r="D355" i="7" s="1"/>
  <c r="E355" i="7" s="1"/>
  <c r="J354" i="7"/>
  <c r="I354" i="7"/>
  <c r="G354" i="7"/>
  <c r="F354" i="7"/>
  <c r="C354" i="7"/>
  <c r="D354" i="7" s="1"/>
  <c r="E354" i="7" s="1"/>
  <c r="J353" i="7"/>
  <c r="I353" i="7"/>
  <c r="G353" i="7"/>
  <c r="F353" i="7"/>
  <c r="C353" i="7"/>
  <c r="D353" i="7" s="1"/>
  <c r="E353" i="7" s="1"/>
  <c r="J352" i="7"/>
  <c r="I352" i="7"/>
  <c r="G352" i="7"/>
  <c r="F352" i="7"/>
  <c r="C352" i="7"/>
  <c r="D352" i="7" s="1"/>
  <c r="E352" i="7" s="1"/>
  <c r="J351" i="7"/>
  <c r="I351" i="7"/>
  <c r="G351" i="7"/>
  <c r="F351" i="7"/>
  <c r="C351" i="7"/>
  <c r="D351" i="7" s="1"/>
  <c r="E351" i="7" s="1"/>
  <c r="J350" i="7"/>
  <c r="I350" i="7"/>
  <c r="G350" i="7"/>
  <c r="F350" i="7"/>
  <c r="C350" i="7"/>
  <c r="D350" i="7" s="1"/>
  <c r="E350" i="7" s="1"/>
  <c r="J349" i="7"/>
  <c r="I349" i="7"/>
  <c r="G349" i="7"/>
  <c r="F349" i="7"/>
  <c r="C349" i="7"/>
  <c r="D349" i="7" s="1"/>
  <c r="E349" i="7" s="1"/>
  <c r="J348" i="7"/>
  <c r="I348" i="7"/>
  <c r="G348" i="7"/>
  <c r="F348" i="7"/>
  <c r="C348" i="7"/>
  <c r="D348" i="7" s="1"/>
  <c r="E348" i="7" s="1"/>
  <c r="J347" i="7"/>
  <c r="I347" i="7"/>
  <c r="G347" i="7"/>
  <c r="F347" i="7"/>
  <c r="C347" i="7"/>
  <c r="D347" i="7" s="1"/>
  <c r="E347" i="7" s="1"/>
  <c r="J346" i="7"/>
  <c r="I346" i="7"/>
  <c r="G346" i="7"/>
  <c r="F346" i="7"/>
  <c r="C346" i="7"/>
  <c r="D346" i="7" s="1"/>
  <c r="E346" i="7" s="1"/>
  <c r="J345" i="7"/>
  <c r="I345" i="7"/>
  <c r="G345" i="7"/>
  <c r="F345" i="7"/>
  <c r="C345" i="7"/>
  <c r="D345" i="7" s="1"/>
  <c r="E345" i="7" s="1"/>
  <c r="J344" i="7"/>
  <c r="I344" i="7"/>
  <c r="G344" i="7"/>
  <c r="F344" i="7"/>
  <c r="C344" i="7"/>
  <c r="D344" i="7" s="1"/>
  <c r="E344" i="7" s="1"/>
  <c r="J343" i="7"/>
  <c r="I343" i="7"/>
  <c r="G343" i="7"/>
  <c r="F343" i="7"/>
  <c r="C343" i="7"/>
  <c r="D343" i="7" s="1"/>
  <c r="E343" i="7" s="1"/>
  <c r="J342" i="7"/>
  <c r="I342" i="7"/>
  <c r="G342" i="7"/>
  <c r="F342" i="7"/>
  <c r="C342" i="7"/>
  <c r="D342" i="7" s="1"/>
  <c r="E342" i="7" s="1"/>
  <c r="J341" i="7"/>
  <c r="I341" i="7"/>
  <c r="G341" i="7"/>
  <c r="F341" i="7"/>
  <c r="C341" i="7"/>
  <c r="D341" i="7" s="1"/>
  <c r="E341" i="7" s="1"/>
  <c r="J340" i="7"/>
  <c r="I340" i="7"/>
  <c r="G340" i="7"/>
  <c r="F340" i="7"/>
  <c r="C340" i="7"/>
  <c r="D340" i="7" s="1"/>
  <c r="E340" i="7" s="1"/>
  <c r="J339" i="7"/>
  <c r="I339" i="7"/>
  <c r="G339" i="7"/>
  <c r="F339" i="7"/>
  <c r="C339" i="7"/>
  <c r="D339" i="7" s="1"/>
  <c r="E339" i="7" s="1"/>
  <c r="J338" i="7"/>
  <c r="I338" i="7"/>
  <c r="G338" i="7"/>
  <c r="F338" i="7"/>
  <c r="C338" i="7"/>
  <c r="D338" i="7" s="1"/>
  <c r="E338" i="7" s="1"/>
  <c r="J337" i="7"/>
  <c r="I337" i="7"/>
  <c r="G337" i="7"/>
  <c r="F337" i="7"/>
  <c r="C337" i="7"/>
  <c r="D337" i="7" s="1"/>
  <c r="E337" i="7" s="1"/>
  <c r="J336" i="7"/>
  <c r="I336" i="7"/>
  <c r="G336" i="7"/>
  <c r="F336" i="7"/>
  <c r="C336" i="7"/>
  <c r="D336" i="7" s="1"/>
  <c r="E336" i="7" s="1"/>
  <c r="J335" i="7"/>
  <c r="I335" i="7"/>
  <c r="G335" i="7"/>
  <c r="F335" i="7"/>
  <c r="C335" i="7"/>
  <c r="D335" i="7" s="1"/>
  <c r="E335" i="7" s="1"/>
  <c r="J334" i="7"/>
  <c r="I334" i="7"/>
  <c r="G334" i="7"/>
  <c r="F334" i="7"/>
  <c r="C334" i="7"/>
  <c r="D334" i="7" s="1"/>
  <c r="E334" i="7" s="1"/>
  <c r="J333" i="7"/>
  <c r="I333" i="7"/>
  <c r="G333" i="7"/>
  <c r="F333" i="7"/>
  <c r="C333" i="7"/>
  <c r="D333" i="7" s="1"/>
  <c r="E333" i="7" s="1"/>
  <c r="J332" i="7"/>
  <c r="I332" i="7"/>
  <c r="G332" i="7"/>
  <c r="F332" i="7"/>
  <c r="C332" i="7"/>
  <c r="D332" i="7" s="1"/>
  <c r="E332" i="7" s="1"/>
  <c r="J331" i="7"/>
  <c r="I331" i="7"/>
  <c r="G331" i="7"/>
  <c r="F331" i="7"/>
  <c r="C331" i="7"/>
  <c r="D331" i="7" s="1"/>
  <c r="E331" i="7" s="1"/>
  <c r="J330" i="7"/>
  <c r="I330" i="7"/>
  <c r="G330" i="7"/>
  <c r="F330" i="7"/>
  <c r="C330" i="7"/>
  <c r="D330" i="7" s="1"/>
  <c r="E330" i="7" s="1"/>
  <c r="J329" i="7"/>
  <c r="I329" i="7"/>
  <c r="G329" i="7"/>
  <c r="F329" i="7"/>
  <c r="C329" i="7"/>
  <c r="D329" i="7" s="1"/>
  <c r="E329" i="7" s="1"/>
  <c r="J328" i="7"/>
  <c r="I328" i="7"/>
  <c r="G328" i="7"/>
  <c r="F328" i="7"/>
  <c r="C328" i="7"/>
  <c r="D328" i="7" s="1"/>
  <c r="E328" i="7" s="1"/>
  <c r="J327" i="7"/>
  <c r="I327" i="7"/>
  <c r="G327" i="7"/>
  <c r="F327" i="7"/>
  <c r="C327" i="7"/>
  <c r="D327" i="7" s="1"/>
  <c r="E327" i="7" s="1"/>
  <c r="J326" i="7"/>
  <c r="I326" i="7"/>
  <c r="G326" i="7"/>
  <c r="F326" i="7"/>
  <c r="C326" i="7"/>
  <c r="D326" i="7" s="1"/>
  <c r="E326" i="7" s="1"/>
  <c r="J325" i="7"/>
  <c r="I325" i="7"/>
  <c r="G325" i="7"/>
  <c r="F325" i="7"/>
  <c r="C325" i="7"/>
  <c r="D325" i="7" s="1"/>
  <c r="E325" i="7" s="1"/>
  <c r="J324" i="7"/>
  <c r="I324" i="7"/>
  <c r="G324" i="7"/>
  <c r="F324" i="7"/>
  <c r="C324" i="7"/>
  <c r="D324" i="7" s="1"/>
  <c r="E324" i="7" s="1"/>
  <c r="J323" i="7"/>
  <c r="I323" i="7"/>
  <c r="G323" i="7"/>
  <c r="F323" i="7"/>
  <c r="C323" i="7"/>
  <c r="D323" i="7" s="1"/>
  <c r="E323" i="7" s="1"/>
  <c r="J322" i="7"/>
  <c r="I322" i="7"/>
  <c r="G322" i="7"/>
  <c r="F322" i="7"/>
  <c r="C322" i="7"/>
  <c r="D322" i="7" s="1"/>
  <c r="E322" i="7" s="1"/>
  <c r="J321" i="7"/>
  <c r="I321" i="7"/>
  <c r="G321" i="7"/>
  <c r="F321" i="7"/>
  <c r="C321" i="7"/>
  <c r="D321" i="7" s="1"/>
  <c r="E321" i="7" s="1"/>
  <c r="J320" i="7"/>
  <c r="I320" i="7"/>
  <c r="G320" i="7"/>
  <c r="F320" i="7"/>
  <c r="C320" i="7"/>
  <c r="D320" i="7" s="1"/>
  <c r="E320" i="7" s="1"/>
  <c r="J319" i="7"/>
  <c r="I319" i="7"/>
  <c r="G319" i="7"/>
  <c r="F319" i="7"/>
  <c r="C319" i="7"/>
  <c r="D319" i="7" s="1"/>
  <c r="E319" i="7" s="1"/>
  <c r="J318" i="7"/>
  <c r="I318" i="7"/>
  <c r="G318" i="7"/>
  <c r="F318" i="7"/>
  <c r="C318" i="7"/>
  <c r="D318" i="7" s="1"/>
  <c r="E318" i="7" s="1"/>
  <c r="J317" i="7"/>
  <c r="I317" i="7"/>
  <c r="G317" i="7"/>
  <c r="F317" i="7"/>
  <c r="C317" i="7"/>
  <c r="D317" i="7" s="1"/>
  <c r="E317" i="7" s="1"/>
  <c r="J316" i="7"/>
  <c r="I316" i="7"/>
  <c r="G316" i="7"/>
  <c r="F316" i="7"/>
  <c r="C316" i="7"/>
  <c r="D316" i="7" s="1"/>
  <c r="E316" i="7" s="1"/>
  <c r="J315" i="7"/>
  <c r="I315" i="7"/>
  <c r="G315" i="7"/>
  <c r="F315" i="7"/>
  <c r="C315" i="7"/>
  <c r="D315" i="7" s="1"/>
  <c r="E315" i="7" s="1"/>
  <c r="J314" i="7"/>
  <c r="I314" i="7"/>
  <c r="G314" i="7"/>
  <c r="F314" i="7"/>
  <c r="C314" i="7"/>
  <c r="D314" i="7" s="1"/>
  <c r="E314" i="7" s="1"/>
  <c r="J313" i="7"/>
  <c r="I313" i="7"/>
  <c r="G313" i="7"/>
  <c r="F313" i="7"/>
  <c r="C313" i="7"/>
  <c r="D313" i="7" s="1"/>
  <c r="E313" i="7" s="1"/>
  <c r="J312" i="7"/>
  <c r="I312" i="7"/>
  <c r="G312" i="7"/>
  <c r="F312" i="7"/>
  <c r="C312" i="7"/>
  <c r="D312" i="7" s="1"/>
  <c r="E312" i="7" s="1"/>
  <c r="J311" i="7"/>
  <c r="I311" i="7"/>
  <c r="G311" i="7"/>
  <c r="F311" i="7"/>
  <c r="C311" i="7"/>
  <c r="D311" i="7" s="1"/>
  <c r="E311" i="7" s="1"/>
  <c r="J310" i="7"/>
  <c r="I310" i="7"/>
  <c r="G310" i="7"/>
  <c r="F310" i="7"/>
  <c r="C310" i="7"/>
  <c r="D310" i="7" s="1"/>
  <c r="E310" i="7" s="1"/>
  <c r="J309" i="7"/>
  <c r="I309" i="7"/>
  <c r="G309" i="7"/>
  <c r="F309" i="7"/>
  <c r="C309" i="7"/>
  <c r="D309" i="7" s="1"/>
  <c r="E309" i="7" s="1"/>
  <c r="J308" i="7"/>
  <c r="I308" i="7"/>
  <c r="G308" i="7"/>
  <c r="F308" i="7"/>
  <c r="C308" i="7"/>
  <c r="D308" i="7" s="1"/>
  <c r="E308" i="7" s="1"/>
  <c r="J307" i="7"/>
  <c r="I307" i="7"/>
  <c r="G307" i="7"/>
  <c r="F307" i="7"/>
  <c r="C307" i="7"/>
  <c r="D307" i="7" s="1"/>
  <c r="E307" i="7" s="1"/>
  <c r="J306" i="7"/>
  <c r="I306" i="7"/>
  <c r="G306" i="7"/>
  <c r="F306" i="7"/>
  <c r="C306" i="7"/>
  <c r="D306" i="7" s="1"/>
  <c r="E306" i="7" s="1"/>
  <c r="J305" i="7"/>
  <c r="I305" i="7"/>
  <c r="G305" i="7"/>
  <c r="F305" i="7"/>
  <c r="C305" i="7"/>
  <c r="D305" i="7" s="1"/>
  <c r="E305" i="7" s="1"/>
  <c r="J304" i="7"/>
  <c r="I304" i="7"/>
  <c r="G304" i="7"/>
  <c r="F304" i="7"/>
  <c r="C304" i="7"/>
  <c r="D304" i="7" s="1"/>
  <c r="E304" i="7" s="1"/>
  <c r="J303" i="7"/>
  <c r="I303" i="7"/>
  <c r="G303" i="7"/>
  <c r="F303" i="7"/>
  <c r="C303" i="7"/>
  <c r="D303" i="7" s="1"/>
  <c r="E303" i="7" s="1"/>
  <c r="J302" i="7"/>
  <c r="I302" i="7"/>
  <c r="G302" i="7"/>
  <c r="F302" i="7"/>
  <c r="C302" i="7"/>
  <c r="D302" i="7" s="1"/>
  <c r="E302" i="7" s="1"/>
  <c r="J301" i="7"/>
  <c r="I301" i="7"/>
  <c r="G301" i="7"/>
  <c r="F301" i="7"/>
  <c r="C301" i="7"/>
  <c r="D301" i="7" s="1"/>
  <c r="E301" i="7" s="1"/>
  <c r="J300" i="7"/>
  <c r="I300" i="7"/>
  <c r="G300" i="7"/>
  <c r="F300" i="7"/>
  <c r="C300" i="7"/>
  <c r="D300" i="7" s="1"/>
  <c r="E300" i="7" s="1"/>
  <c r="J299" i="7"/>
  <c r="I299" i="7"/>
  <c r="G299" i="7"/>
  <c r="F299" i="7"/>
  <c r="C299" i="7"/>
  <c r="D299" i="7" s="1"/>
  <c r="E299" i="7" s="1"/>
  <c r="J298" i="7"/>
  <c r="I298" i="7"/>
  <c r="G298" i="7"/>
  <c r="F298" i="7"/>
  <c r="C298" i="7"/>
  <c r="D298" i="7" s="1"/>
  <c r="E298" i="7" s="1"/>
  <c r="J297" i="7"/>
  <c r="I297" i="7"/>
  <c r="G297" i="7"/>
  <c r="F297" i="7"/>
  <c r="C297" i="7"/>
  <c r="D297" i="7" s="1"/>
  <c r="E297" i="7" s="1"/>
  <c r="J296" i="7"/>
  <c r="I296" i="7"/>
  <c r="G296" i="7"/>
  <c r="F296" i="7"/>
  <c r="C296" i="7"/>
  <c r="D296" i="7" s="1"/>
  <c r="E296" i="7" s="1"/>
  <c r="J295" i="7"/>
  <c r="I295" i="7"/>
  <c r="G295" i="7"/>
  <c r="F295" i="7"/>
  <c r="C295" i="7"/>
  <c r="D295" i="7" s="1"/>
  <c r="E295" i="7" s="1"/>
  <c r="J294" i="7"/>
  <c r="I294" i="7"/>
  <c r="G294" i="7"/>
  <c r="F294" i="7"/>
  <c r="C294" i="7"/>
  <c r="D294" i="7" s="1"/>
  <c r="E294" i="7" s="1"/>
  <c r="J293" i="7"/>
  <c r="I293" i="7"/>
  <c r="G293" i="7"/>
  <c r="F293" i="7"/>
  <c r="C293" i="7"/>
  <c r="D293" i="7" s="1"/>
  <c r="E293" i="7" s="1"/>
  <c r="J292" i="7"/>
  <c r="I292" i="7"/>
  <c r="G292" i="7"/>
  <c r="F292" i="7"/>
  <c r="C292" i="7"/>
  <c r="D292" i="7" s="1"/>
  <c r="E292" i="7" s="1"/>
  <c r="J291" i="7"/>
  <c r="I291" i="7"/>
  <c r="G291" i="7"/>
  <c r="F291" i="7"/>
  <c r="C291" i="7"/>
  <c r="D291" i="7" s="1"/>
  <c r="E291" i="7" s="1"/>
  <c r="J290" i="7"/>
  <c r="I290" i="7"/>
  <c r="G290" i="7"/>
  <c r="F290" i="7"/>
  <c r="C290" i="7"/>
  <c r="D290" i="7" s="1"/>
  <c r="E290" i="7" s="1"/>
  <c r="J289" i="7"/>
  <c r="I289" i="7"/>
  <c r="G289" i="7"/>
  <c r="F289" i="7"/>
  <c r="C289" i="7"/>
  <c r="D289" i="7" s="1"/>
  <c r="E289" i="7" s="1"/>
  <c r="J288" i="7"/>
  <c r="I288" i="7"/>
  <c r="G288" i="7"/>
  <c r="F288" i="7"/>
  <c r="C288" i="7"/>
  <c r="D288" i="7" s="1"/>
  <c r="E288" i="7" s="1"/>
  <c r="J287" i="7"/>
  <c r="I287" i="7"/>
  <c r="G287" i="7"/>
  <c r="F287" i="7"/>
  <c r="C287" i="7"/>
  <c r="D287" i="7" s="1"/>
  <c r="E287" i="7" s="1"/>
  <c r="J286" i="7"/>
  <c r="I286" i="7"/>
  <c r="G286" i="7"/>
  <c r="F286" i="7"/>
  <c r="C286" i="7"/>
  <c r="D286" i="7" s="1"/>
  <c r="E286" i="7" s="1"/>
  <c r="J285" i="7"/>
  <c r="I285" i="7"/>
  <c r="G285" i="7"/>
  <c r="F285" i="7"/>
  <c r="C285" i="7"/>
  <c r="D285" i="7" s="1"/>
  <c r="E285" i="7" s="1"/>
  <c r="J284" i="7"/>
  <c r="I284" i="7"/>
  <c r="G284" i="7"/>
  <c r="F284" i="7"/>
  <c r="C284" i="7"/>
  <c r="D284" i="7" s="1"/>
  <c r="E284" i="7" s="1"/>
  <c r="J283" i="7"/>
  <c r="I283" i="7"/>
  <c r="G283" i="7"/>
  <c r="F283" i="7"/>
  <c r="C283" i="7"/>
  <c r="D283" i="7" s="1"/>
  <c r="E283" i="7" s="1"/>
  <c r="J282" i="7"/>
  <c r="I282" i="7"/>
  <c r="G282" i="7"/>
  <c r="F282" i="7"/>
  <c r="C282" i="7"/>
  <c r="D282" i="7" s="1"/>
  <c r="E282" i="7" s="1"/>
  <c r="J281" i="7"/>
  <c r="I281" i="7"/>
  <c r="G281" i="7"/>
  <c r="F281" i="7"/>
  <c r="C281" i="7"/>
  <c r="D281" i="7" s="1"/>
  <c r="E281" i="7" s="1"/>
  <c r="J280" i="7"/>
  <c r="I280" i="7"/>
  <c r="G280" i="7"/>
  <c r="F280" i="7"/>
  <c r="C280" i="7"/>
  <c r="D280" i="7" s="1"/>
  <c r="E280" i="7" s="1"/>
  <c r="J279" i="7"/>
  <c r="I279" i="7"/>
  <c r="G279" i="7"/>
  <c r="F279" i="7"/>
  <c r="C279" i="7"/>
  <c r="D279" i="7" s="1"/>
  <c r="E279" i="7" s="1"/>
  <c r="J278" i="7"/>
  <c r="I278" i="7"/>
  <c r="G278" i="7"/>
  <c r="F278" i="7"/>
  <c r="C278" i="7"/>
  <c r="D278" i="7" s="1"/>
  <c r="E278" i="7" s="1"/>
  <c r="J277" i="7"/>
  <c r="I277" i="7"/>
  <c r="G277" i="7"/>
  <c r="F277" i="7"/>
  <c r="C277" i="7"/>
  <c r="D277" i="7" s="1"/>
  <c r="E277" i="7" s="1"/>
  <c r="J276" i="7"/>
  <c r="I276" i="7"/>
  <c r="G276" i="7"/>
  <c r="F276" i="7"/>
  <c r="C276" i="7"/>
  <c r="D276" i="7" s="1"/>
  <c r="E276" i="7" s="1"/>
  <c r="J275" i="7"/>
  <c r="I275" i="7"/>
  <c r="G275" i="7"/>
  <c r="F275" i="7"/>
  <c r="C275" i="7"/>
  <c r="D275" i="7" s="1"/>
  <c r="E275" i="7" s="1"/>
  <c r="J274" i="7"/>
  <c r="I274" i="7"/>
  <c r="G274" i="7"/>
  <c r="F274" i="7"/>
  <c r="C274" i="7"/>
  <c r="D274" i="7" s="1"/>
  <c r="E274" i="7" s="1"/>
  <c r="J273" i="7"/>
  <c r="I273" i="7"/>
  <c r="G273" i="7"/>
  <c r="F273" i="7"/>
  <c r="C273" i="7"/>
  <c r="D273" i="7" s="1"/>
  <c r="E273" i="7" s="1"/>
  <c r="J272" i="7"/>
  <c r="I272" i="7"/>
  <c r="G272" i="7"/>
  <c r="F272" i="7"/>
  <c r="C272" i="7"/>
  <c r="D272" i="7" s="1"/>
  <c r="E272" i="7" s="1"/>
  <c r="J271" i="7"/>
  <c r="I271" i="7"/>
  <c r="G271" i="7"/>
  <c r="F271" i="7"/>
  <c r="C271" i="7"/>
  <c r="D271" i="7" s="1"/>
  <c r="E271" i="7" s="1"/>
  <c r="J270" i="7"/>
  <c r="I270" i="7"/>
  <c r="G270" i="7"/>
  <c r="F270" i="7"/>
  <c r="C270" i="7"/>
  <c r="D270" i="7" s="1"/>
  <c r="E270" i="7" s="1"/>
  <c r="J269" i="7"/>
  <c r="I269" i="7"/>
  <c r="G269" i="7"/>
  <c r="F269" i="7"/>
  <c r="C269" i="7"/>
  <c r="D269" i="7" s="1"/>
  <c r="E269" i="7" s="1"/>
  <c r="J268" i="7"/>
  <c r="I268" i="7"/>
  <c r="G268" i="7"/>
  <c r="F268" i="7"/>
  <c r="C268" i="7"/>
  <c r="D268" i="7" s="1"/>
  <c r="E268" i="7" s="1"/>
  <c r="J267" i="7"/>
  <c r="I267" i="7"/>
  <c r="G267" i="7"/>
  <c r="F267" i="7"/>
  <c r="C267" i="7"/>
  <c r="D267" i="7" s="1"/>
  <c r="E267" i="7" s="1"/>
  <c r="J266" i="7"/>
  <c r="I266" i="7"/>
  <c r="G266" i="7"/>
  <c r="F266" i="7"/>
  <c r="C266" i="7"/>
  <c r="D266" i="7" s="1"/>
  <c r="E266" i="7" s="1"/>
  <c r="J265" i="7"/>
  <c r="I265" i="7"/>
  <c r="G265" i="7"/>
  <c r="F265" i="7"/>
  <c r="C265" i="7"/>
  <c r="D265" i="7" s="1"/>
  <c r="E265" i="7" s="1"/>
  <c r="J264" i="7"/>
  <c r="I264" i="7"/>
  <c r="G264" i="7"/>
  <c r="F264" i="7"/>
  <c r="C264" i="7"/>
  <c r="D264" i="7" s="1"/>
  <c r="E264" i="7" s="1"/>
  <c r="J263" i="7"/>
  <c r="I263" i="7"/>
  <c r="G263" i="7"/>
  <c r="F263" i="7"/>
  <c r="C263" i="7"/>
  <c r="D263" i="7" s="1"/>
  <c r="E263" i="7" s="1"/>
  <c r="J262" i="7"/>
  <c r="I262" i="7"/>
  <c r="G262" i="7"/>
  <c r="F262" i="7"/>
  <c r="C262" i="7"/>
  <c r="D262" i="7" s="1"/>
  <c r="E262" i="7" s="1"/>
  <c r="J261" i="7"/>
  <c r="I261" i="7"/>
  <c r="G261" i="7"/>
  <c r="F261" i="7"/>
  <c r="C261" i="7"/>
  <c r="D261" i="7" s="1"/>
  <c r="E261" i="7" s="1"/>
  <c r="J260" i="7"/>
  <c r="I260" i="7"/>
  <c r="G260" i="7"/>
  <c r="F260" i="7"/>
  <c r="C260" i="7"/>
  <c r="D260" i="7" s="1"/>
  <c r="E260" i="7" s="1"/>
  <c r="J259" i="7"/>
  <c r="I259" i="7"/>
  <c r="G259" i="7"/>
  <c r="F259" i="7"/>
  <c r="C259" i="7"/>
  <c r="D259" i="7" s="1"/>
  <c r="E259" i="7" s="1"/>
  <c r="J258" i="7"/>
  <c r="I258" i="7"/>
  <c r="G258" i="7"/>
  <c r="F258" i="7"/>
  <c r="C258" i="7"/>
  <c r="D258" i="7" s="1"/>
  <c r="E258" i="7" s="1"/>
  <c r="J257" i="7"/>
  <c r="I257" i="7"/>
  <c r="G257" i="7"/>
  <c r="F257" i="7"/>
  <c r="C257" i="7"/>
  <c r="D257" i="7" s="1"/>
  <c r="E257" i="7" s="1"/>
  <c r="J256" i="7"/>
  <c r="I256" i="7"/>
  <c r="G256" i="7"/>
  <c r="F256" i="7"/>
  <c r="C256" i="7"/>
  <c r="D256" i="7" s="1"/>
  <c r="E256" i="7" s="1"/>
  <c r="J255" i="7"/>
  <c r="I255" i="7"/>
  <c r="G255" i="7"/>
  <c r="F255" i="7"/>
  <c r="C255" i="7"/>
  <c r="D255" i="7" s="1"/>
  <c r="E255" i="7" s="1"/>
  <c r="J254" i="7"/>
  <c r="I254" i="7"/>
  <c r="G254" i="7"/>
  <c r="F254" i="7"/>
  <c r="C254" i="7"/>
  <c r="D254" i="7" s="1"/>
  <c r="E254" i="7" s="1"/>
  <c r="J253" i="7"/>
  <c r="I253" i="7"/>
  <c r="G253" i="7"/>
  <c r="F253" i="7"/>
  <c r="C253" i="7"/>
  <c r="D253" i="7" s="1"/>
  <c r="E253" i="7" s="1"/>
  <c r="J252" i="7"/>
  <c r="I252" i="7"/>
  <c r="G252" i="7"/>
  <c r="F252" i="7"/>
  <c r="C252" i="7"/>
  <c r="D252" i="7" s="1"/>
  <c r="E252" i="7" s="1"/>
  <c r="J251" i="7"/>
  <c r="I251" i="7"/>
  <c r="G251" i="7"/>
  <c r="F251" i="7"/>
  <c r="C251" i="7"/>
  <c r="D251" i="7" s="1"/>
  <c r="E251" i="7" s="1"/>
  <c r="J250" i="7"/>
  <c r="I250" i="7"/>
  <c r="G250" i="7"/>
  <c r="F250" i="7"/>
  <c r="C250" i="7"/>
  <c r="D250" i="7" s="1"/>
  <c r="E250" i="7" s="1"/>
  <c r="J249" i="7"/>
  <c r="I249" i="7"/>
  <c r="G249" i="7"/>
  <c r="F249" i="7"/>
  <c r="C249" i="7"/>
  <c r="D249" i="7" s="1"/>
  <c r="E249" i="7" s="1"/>
  <c r="J248" i="7"/>
  <c r="I248" i="7"/>
  <c r="G248" i="7"/>
  <c r="F248" i="7"/>
  <c r="C248" i="7"/>
  <c r="D248" i="7" s="1"/>
  <c r="E248" i="7" s="1"/>
  <c r="J247" i="7"/>
  <c r="I247" i="7"/>
  <c r="G247" i="7"/>
  <c r="F247" i="7"/>
  <c r="C247" i="7"/>
  <c r="D247" i="7" s="1"/>
  <c r="E247" i="7" s="1"/>
  <c r="J246" i="7"/>
  <c r="I246" i="7"/>
  <c r="G246" i="7"/>
  <c r="F246" i="7"/>
  <c r="C246" i="7"/>
  <c r="D246" i="7" s="1"/>
  <c r="E246" i="7" s="1"/>
  <c r="J245" i="7"/>
  <c r="I245" i="7"/>
  <c r="G245" i="7"/>
  <c r="F245" i="7"/>
  <c r="C245" i="7"/>
  <c r="D245" i="7" s="1"/>
  <c r="E245" i="7" s="1"/>
  <c r="J244" i="7"/>
  <c r="I244" i="7"/>
  <c r="G244" i="7"/>
  <c r="F244" i="7"/>
  <c r="C244" i="7"/>
  <c r="D244" i="7" s="1"/>
  <c r="E244" i="7" s="1"/>
  <c r="J243" i="7"/>
  <c r="I243" i="7"/>
  <c r="G243" i="7"/>
  <c r="F243" i="7"/>
  <c r="C243" i="7"/>
  <c r="D243" i="7" s="1"/>
  <c r="E243" i="7" s="1"/>
  <c r="J242" i="7"/>
  <c r="I242" i="7"/>
  <c r="G242" i="7"/>
  <c r="F242" i="7"/>
  <c r="C242" i="7"/>
  <c r="D242" i="7" s="1"/>
  <c r="E242" i="7" s="1"/>
  <c r="J241" i="7"/>
  <c r="I241" i="7"/>
  <c r="G241" i="7"/>
  <c r="F241" i="7"/>
  <c r="C241" i="7"/>
  <c r="D241" i="7" s="1"/>
  <c r="E241" i="7" s="1"/>
  <c r="J240" i="7"/>
  <c r="I240" i="7"/>
  <c r="G240" i="7"/>
  <c r="F240" i="7"/>
  <c r="C240" i="7"/>
  <c r="D240" i="7" s="1"/>
  <c r="E240" i="7" s="1"/>
  <c r="J239" i="7"/>
  <c r="I239" i="7"/>
  <c r="G239" i="7"/>
  <c r="F239" i="7"/>
  <c r="C239" i="7"/>
  <c r="D239" i="7" s="1"/>
  <c r="E239" i="7" s="1"/>
  <c r="J238" i="7"/>
  <c r="I238" i="7"/>
  <c r="G238" i="7"/>
  <c r="F238" i="7"/>
  <c r="C238" i="7"/>
  <c r="D238" i="7" s="1"/>
  <c r="E238" i="7" s="1"/>
  <c r="J237" i="7"/>
  <c r="I237" i="7"/>
  <c r="G237" i="7"/>
  <c r="F237" i="7"/>
  <c r="C237" i="7"/>
  <c r="D237" i="7" s="1"/>
  <c r="E237" i="7" s="1"/>
  <c r="J236" i="7"/>
  <c r="I236" i="7"/>
  <c r="G236" i="7"/>
  <c r="F236" i="7"/>
  <c r="C236" i="7"/>
  <c r="D236" i="7" s="1"/>
  <c r="E236" i="7" s="1"/>
  <c r="J235" i="7"/>
  <c r="I235" i="7"/>
  <c r="G235" i="7"/>
  <c r="F235" i="7"/>
  <c r="C235" i="7"/>
  <c r="D235" i="7" s="1"/>
  <c r="E235" i="7" s="1"/>
  <c r="J234" i="7"/>
  <c r="I234" i="7"/>
  <c r="G234" i="7"/>
  <c r="F234" i="7"/>
  <c r="C234" i="7"/>
  <c r="D234" i="7" s="1"/>
  <c r="E234" i="7" s="1"/>
  <c r="J233" i="7"/>
  <c r="I233" i="7"/>
  <c r="G233" i="7"/>
  <c r="F233" i="7"/>
  <c r="C233" i="7"/>
  <c r="D233" i="7" s="1"/>
  <c r="E233" i="7" s="1"/>
  <c r="J232" i="7"/>
  <c r="I232" i="7"/>
  <c r="G232" i="7"/>
  <c r="F232" i="7"/>
  <c r="C232" i="7"/>
  <c r="D232" i="7" s="1"/>
  <c r="E232" i="7" s="1"/>
  <c r="J231" i="7"/>
  <c r="I231" i="7"/>
  <c r="G231" i="7"/>
  <c r="F231" i="7"/>
  <c r="C231" i="7"/>
  <c r="D231" i="7" s="1"/>
  <c r="E231" i="7" s="1"/>
  <c r="J230" i="7"/>
  <c r="I230" i="7"/>
  <c r="G230" i="7"/>
  <c r="F230" i="7"/>
  <c r="C230" i="7"/>
  <c r="D230" i="7" s="1"/>
  <c r="E230" i="7" s="1"/>
  <c r="J229" i="7"/>
  <c r="I229" i="7"/>
  <c r="G229" i="7"/>
  <c r="F229" i="7"/>
  <c r="C229" i="7"/>
  <c r="D229" i="7" s="1"/>
  <c r="E229" i="7" s="1"/>
  <c r="J228" i="7"/>
  <c r="I228" i="7"/>
  <c r="G228" i="7"/>
  <c r="F228" i="7"/>
  <c r="C228" i="7"/>
  <c r="D228" i="7" s="1"/>
  <c r="E228" i="7" s="1"/>
  <c r="J227" i="7"/>
  <c r="I227" i="7"/>
  <c r="G227" i="7"/>
  <c r="F227" i="7"/>
  <c r="C227" i="7"/>
  <c r="D227" i="7" s="1"/>
  <c r="E227" i="7" s="1"/>
  <c r="J226" i="7"/>
  <c r="I226" i="7"/>
  <c r="G226" i="7"/>
  <c r="F226" i="7"/>
  <c r="C226" i="7"/>
  <c r="D226" i="7" s="1"/>
  <c r="E226" i="7" s="1"/>
  <c r="J225" i="7"/>
  <c r="I225" i="7"/>
  <c r="G225" i="7"/>
  <c r="F225" i="7"/>
  <c r="C225" i="7"/>
  <c r="D225" i="7" s="1"/>
  <c r="E225" i="7" s="1"/>
  <c r="J224" i="7"/>
  <c r="I224" i="7"/>
  <c r="G224" i="7"/>
  <c r="F224" i="7"/>
  <c r="C224" i="7"/>
  <c r="D224" i="7" s="1"/>
  <c r="E224" i="7" s="1"/>
  <c r="J223" i="7"/>
  <c r="I223" i="7"/>
  <c r="G223" i="7"/>
  <c r="F223" i="7"/>
  <c r="C223" i="7"/>
  <c r="D223" i="7" s="1"/>
  <c r="E223" i="7" s="1"/>
  <c r="J222" i="7"/>
  <c r="I222" i="7"/>
  <c r="G222" i="7"/>
  <c r="F222" i="7"/>
  <c r="C222" i="7"/>
  <c r="D222" i="7" s="1"/>
  <c r="E222" i="7" s="1"/>
  <c r="J221" i="7"/>
  <c r="I221" i="7"/>
  <c r="G221" i="7"/>
  <c r="F221" i="7"/>
  <c r="C221" i="7"/>
  <c r="D221" i="7" s="1"/>
  <c r="E221" i="7" s="1"/>
  <c r="J220" i="7"/>
  <c r="I220" i="7"/>
  <c r="G220" i="7"/>
  <c r="F220" i="7"/>
  <c r="C220" i="7"/>
  <c r="D220" i="7" s="1"/>
  <c r="E220" i="7" s="1"/>
  <c r="J219" i="7"/>
  <c r="I219" i="7"/>
  <c r="G219" i="7"/>
  <c r="F219" i="7"/>
  <c r="C219" i="7"/>
  <c r="D219" i="7" s="1"/>
  <c r="E219" i="7" s="1"/>
  <c r="J218" i="7"/>
  <c r="I218" i="7"/>
  <c r="G218" i="7"/>
  <c r="F218" i="7"/>
  <c r="C218" i="7"/>
  <c r="D218" i="7" s="1"/>
  <c r="E218" i="7" s="1"/>
  <c r="J217" i="7"/>
  <c r="I217" i="7"/>
  <c r="G217" i="7"/>
  <c r="F217" i="7"/>
  <c r="C217" i="7"/>
  <c r="D217" i="7" s="1"/>
  <c r="E217" i="7" s="1"/>
  <c r="J216" i="7"/>
  <c r="I216" i="7"/>
  <c r="G216" i="7"/>
  <c r="F216" i="7"/>
  <c r="C216" i="7"/>
  <c r="D216" i="7" s="1"/>
  <c r="E216" i="7" s="1"/>
  <c r="J215" i="7"/>
  <c r="I215" i="7"/>
  <c r="G215" i="7"/>
  <c r="F215" i="7"/>
  <c r="C215" i="7"/>
  <c r="D215" i="7" s="1"/>
  <c r="E215" i="7" s="1"/>
  <c r="J214" i="7"/>
  <c r="I214" i="7"/>
  <c r="G214" i="7"/>
  <c r="F214" i="7"/>
  <c r="C214" i="7"/>
  <c r="D214" i="7" s="1"/>
  <c r="E214" i="7" s="1"/>
  <c r="J213" i="7"/>
  <c r="I213" i="7"/>
  <c r="G213" i="7"/>
  <c r="F213" i="7"/>
  <c r="C213" i="7"/>
  <c r="D213" i="7" s="1"/>
  <c r="E213" i="7" s="1"/>
  <c r="J212" i="7"/>
  <c r="I212" i="7"/>
  <c r="G212" i="7"/>
  <c r="F212" i="7"/>
  <c r="C212" i="7"/>
  <c r="D212" i="7" s="1"/>
  <c r="E212" i="7" s="1"/>
  <c r="J211" i="7"/>
  <c r="I211" i="7"/>
  <c r="G211" i="7"/>
  <c r="F211" i="7"/>
  <c r="C211" i="7"/>
  <c r="D211" i="7" s="1"/>
  <c r="E211" i="7" s="1"/>
  <c r="J210" i="7"/>
  <c r="I210" i="7"/>
  <c r="G210" i="7"/>
  <c r="F210" i="7"/>
  <c r="C210" i="7"/>
  <c r="D210" i="7" s="1"/>
  <c r="E210" i="7" s="1"/>
  <c r="J209" i="7"/>
  <c r="I209" i="7"/>
  <c r="G209" i="7"/>
  <c r="F209" i="7"/>
  <c r="C209" i="7"/>
  <c r="D209" i="7" s="1"/>
  <c r="E209" i="7" s="1"/>
  <c r="J208" i="7"/>
  <c r="I208" i="7"/>
  <c r="G208" i="7"/>
  <c r="F208" i="7"/>
  <c r="C208" i="7"/>
  <c r="D208" i="7" s="1"/>
  <c r="E208" i="7" s="1"/>
  <c r="J207" i="7"/>
  <c r="I207" i="7"/>
  <c r="G207" i="7"/>
  <c r="F207" i="7"/>
  <c r="C207" i="7"/>
  <c r="D207" i="7" s="1"/>
  <c r="E207" i="7" s="1"/>
  <c r="J206" i="7"/>
  <c r="I206" i="7"/>
  <c r="G206" i="7"/>
  <c r="F206" i="7"/>
  <c r="C206" i="7"/>
  <c r="D206" i="7" s="1"/>
  <c r="E206" i="7" s="1"/>
  <c r="J205" i="7"/>
  <c r="I205" i="7"/>
  <c r="G205" i="7"/>
  <c r="F205" i="7"/>
  <c r="C205" i="7"/>
  <c r="D205" i="7" s="1"/>
  <c r="E205" i="7" s="1"/>
  <c r="J204" i="7"/>
  <c r="I204" i="7"/>
  <c r="G204" i="7"/>
  <c r="F204" i="7"/>
  <c r="C204" i="7"/>
  <c r="D204" i="7" s="1"/>
  <c r="E204" i="7" s="1"/>
  <c r="J203" i="7"/>
  <c r="I203" i="7"/>
  <c r="G203" i="7"/>
  <c r="F203" i="7"/>
  <c r="C203" i="7"/>
  <c r="D203" i="7" s="1"/>
  <c r="E203" i="7" s="1"/>
  <c r="J202" i="7"/>
  <c r="I202" i="7"/>
  <c r="G202" i="7"/>
  <c r="F202" i="7"/>
  <c r="C202" i="7"/>
  <c r="D202" i="7" s="1"/>
  <c r="E202" i="7" s="1"/>
  <c r="J201" i="7"/>
  <c r="I201" i="7"/>
  <c r="G201" i="7"/>
  <c r="F201" i="7"/>
  <c r="C201" i="7"/>
  <c r="D201" i="7" s="1"/>
  <c r="E201" i="7" s="1"/>
  <c r="J200" i="7"/>
  <c r="I200" i="7"/>
  <c r="G200" i="7"/>
  <c r="F200" i="7"/>
  <c r="C200" i="7"/>
  <c r="D200" i="7" s="1"/>
  <c r="E200" i="7" s="1"/>
  <c r="J199" i="7"/>
  <c r="I199" i="7"/>
  <c r="G199" i="7"/>
  <c r="F199" i="7"/>
  <c r="C199" i="7"/>
  <c r="D199" i="7" s="1"/>
  <c r="E199" i="7" s="1"/>
  <c r="J198" i="7"/>
  <c r="I198" i="7"/>
  <c r="G198" i="7"/>
  <c r="F198" i="7"/>
  <c r="C198" i="7"/>
  <c r="D198" i="7" s="1"/>
  <c r="E198" i="7" s="1"/>
  <c r="J197" i="7"/>
  <c r="I197" i="7"/>
  <c r="G197" i="7"/>
  <c r="F197" i="7"/>
  <c r="C197" i="7"/>
  <c r="D197" i="7" s="1"/>
  <c r="E197" i="7" s="1"/>
  <c r="J196" i="7"/>
  <c r="I196" i="7"/>
  <c r="G196" i="7"/>
  <c r="F196" i="7"/>
  <c r="C196" i="7"/>
  <c r="D196" i="7" s="1"/>
  <c r="E196" i="7" s="1"/>
  <c r="J195" i="7"/>
  <c r="I195" i="7"/>
  <c r="G195" i="7"/>
  <c r="F195" i="7"/>
  <c r="C195" i="7"/>
  <c r="D195" i="7" s="1"/>
  <c r="E195" i="7" s="1"/>
  <c r="J194" i="7"/>
  <c r="I194" i="7"/>
  <c r="G194" i="7"/>
  <c r="F194" i="7"/>
  <c r="C194" i="7"/>
  <c r="D194" i="7" s="1"/>
  <c r="E194" i="7" s="1"/>
  <c r="J193" i="7"/>
  <c r="I193" i="7"/>
  <c r="G193" i="7"/>
  <c r="F193" i="7"/>
  <c r="C193" i="7"/>
  <c r="D193" i="7" s="1"/>
  <c r="E193" i="7" s="1"/>
  <c r="J192" i="7"/>
  <c r="I192" i="7"/>
  <c r="G192" i="7"/>
  <c r="F192" i="7"/>
  <c r="C192" i="7"/>
  <c r="D192" i="7" s="1"/>
  <c r="E192" i="7" s="1"/>
  <c r="J191" i="7"/>
  <c r="I191" i="7"/>
  <c r="G191" i="7"/>
  <c r="F191" i="7"/>
  <c r="C191" i="7"/>
  <c r="D191" i="7" s="1"/>
  <c r="E191" i="7" s="1"/>
  <c r="J190" i="7"/>
  <c r="I190" i="7"/>
  <c r="G190" i="7"/>
  <c r="F190" i="7"/>
  <c r="C190" i="7"/>
  <c r="D190" i="7" s="1"/>
  <c r="E190" i="7" s="1"/>
  <c r="J189" i="7"/>
  <c r="I189" i="7"/>
  <c r="G189" i="7"/>
  <c r="F189" i="7"/>
  <c r="C189" i="7"/>
  <c r="D189" i="7" s="1"/>
  <c r="E189" i="7" s="1"/>
  <c r="J188" i="7"/>
  <c r="I188" i="7"/>
  <c r="G188" i="7"/>
  <c r="F188" i="7"/>
  <c r="C188" i="7"/>
  <c r="D188" i="7" s="1"/>
  <c r="E188" i="7" s="1"/>
  <c r="J187" i="7"/>
  <c r="I187" i="7"/>
  <c r="G187" i="7"/>
  <c r="F187" i="7"/>
  <c r="C187" i="7"/>
  <c r="D187" i="7" s="1"/>
  <c r="E187" i="7" s="1"/>
  <c r="J186" i="7"/>
  <c r="I186" i="7"/>
  <c r="G186" i="7"/>
  <c r="F186" i="7"/>
  <c r="C186" i="7"/>
  <c r="D186" i="7" s="1"/>
  <c r="E186" i="7" s="1"/>
  <c r="J185" i="7"/>
  <c r="I185" i="7"/>
  <c r="G185" i="7"/>
  <c r="F185" i="7"/>
  <c r="C185" i="7"/>
  <c r="D185" i="7" s="1"/>
  <c r="E185" i="7" s="1"/>
  <c r="J184" i="7"/>
  <c r="I184" i="7"/>
  <c r="G184" i="7"/>
  <c r="F184" i="7"/>
  <c r="C184" i="7"/>
  <c r="D184" i="7" s="1"/>
  <c r="E184" i="7" s="1"/>
  <c r="J183" i="7"/>
  <c r="I183" i="7"/>
  <c r="G183" i="7"/>
  <c r="F183" i="7"/>
  <c r="C183" i="7"/>
  <c r="D183" i="7" s="1"/>
  <c r="E183" i="7" s="1"/>
  <c r="J182" i="7"/>
  <c r="I182" i="7"/>
  <c r="G182" i="7"/>
  <c r="F182" i="7"/>
  <c r="C182" i="7"/>
  <c r="D182" i="7" s="1"/>
  <c r="E182" i="7" s="1"/>
  <c r="J181" i="7"/>
  <c r="I181" i="7"/>
  <c r="G181" i="7"/>
  <c r="F181" i="7"/>
  <c r="C181" i="7"/>
  <c r="D181" i="7" s="1"/>
  <c r="E181" i="7" s="1"/>
  <c r="J180" i="7"/>
  <c r="I180" i="7"/>
  <c r="G180" i="7"/>
  <c r="F180" i="7"/>
  <c r="C180" i="7"/>
  <c r="D180" i="7" s="1"/>
  <c r="E180" i="7" s="1"/>
  <c r="J179" i="7"/>
  <c r="I179" i="7"/>
  <c r="G179" i="7"/>
  <c r="F179" i="7"/>
  <c r="C179" i="7"/>
  <c r="D179" i="7" s="1"/>
  <c r="E179" i="7" s="1"/>
  <c r="J178" i="7"/>
  <c r="I178" i="7"/>
  <c r="G178" i="7"/>
  <c r="F178" i="7"/>
  <c r="C178" i="7"/>
  <c r="D178" i="7" s="1"/>
  <c r="E178" i="7" s="1"/>
  <c r="J177" i="7"/>
  <c r="I177" i="7"/>
  <c r="G177" i="7"/>
  <c r="F177" i="7"/>
  <c r="C177" i="7"/>
  <c r="D177" i="7" s="1"/>
  <c r="E177" i="7" s="1"/>
  <c r="J176" i="7"/>
  <c r="I176" i="7"/>
  <c r="G176" i="7"/>
  <c r="F176" i="7"/>
  <c r="C176" i="7"/>
  <c r="D176" i="7" s="1"/>
  <c r="E176" i="7" s="1"/>
  <c r="J175" i="7"/>
  <c r="I175" i="7"/>
  <c r="G175" i="7"/>
  <c r="F175" i="7"/>
  <c r="C175" i="7"/>
  <c r="D175" i="7" s="1"/>
  <c r="E175" i="7" s="1"/>
  <c r="J174" i="7"/>
  <c r="I174" i="7"/>
  <c r="G174" i="7"/>
  <c r="F174" i="7"/>
  <c r="C174" i="7"/>
  <c r="D174" i="7" s="1"/>
  <c r="E174" i="7" s="1"/>
  <c r="J173" i="7"/>
  <c r="I173" i="7"/>
  <c r="G173" i="7"/>
  <c r="F173" i="7"/>
  <c r="C173" i="7"/>
  <c r="D173" i="7" s="1"/>
  <c r="E173" i="7" s="1"/>
  <c r="J172" i="7"/>
  <c r="I172" i="7"/>
  <c r="G172" i="7"/>
  <c r="F172" i="7"/>
  <c r="C172" i="7"/>
  <c r="D172" i="7" s="1"/>
  <c r="E172" i="7" s="1"/>
  <c r="J171" i="7"/>
  <c r="I171" i="7"/>
  <c r="G171" i="7"/>
  <c r="F171" i="7"/>
  <c r="C171" i="7"/>
  <c r="D171" i="7" s="1"/>
  <c r="E171" i="7" s="1"/>
  <c r="J170" i="7"/>
  <c r="I170" i="7"/>
  <c r="G170" i="7"/>
  <c r="F170" i="7"/>
  <c r="C170" i="7"/>
  <c r="D170" i="7" s="1"/>
  <c r="E170" i="7" s="1"/>
  <c r="J169" i="7"/>
  <c r="I169" i="7"/>
  <c r="G169" i="7"/>
  <c r="F169" i="7"/>
  <c r="C169" i="7"/>
  <c r="D169" i="7" s="1"/>
  <c r="E169" i="7" s="1"/>
  <c r="J168" i="7"/>
  <c r="I168" i="7"/>
  <c r="G168" i="7"/>
  <c r="F168" i="7"/>
  <c r="C168" i="7"/>
  <c r="D168" i="7" s="1"/>
  <c r="E168" i="7" s="1"/>
  <c r="J167" i="7"/>
  <c r="I167" i="7"/>
  <c r="G167" i="7"/>
  <c r="F167" i="7"/>
  <c r="C167" i="7"/>
  <c r="D167" i="7" s="1"/>
  <c r="E167" i="7" s="1"/>
  <c r="J166" i="7"/>
  <c r="I166" i="7"/>
  <c r="G166" i="7"/>
  <c r="F166" i="7"/>
  <c r="C166" i="7"/>
  <c r="D166" i="7" s="1"/>
  <c r="E166" i="7" s="1"/>
  <c r="J165" i="7"/>
  <c r="I165" i="7"/>
  <c r="G165" i="7"/>
  <c r="F165" i="7"/>
  <c r="C165" i="7"/>
  <c r="D165" i="7" s="1"/>
  <c r="E165" i="7" s="1"/>
  <c r="J164" i="7"/>
  <c r="I164" i="7"/>
  <c r="G164" i="7"/>
  <c r="F164" i="7"/>
  <c r="C164" i="7"/>
  <c r="D164" i="7" s="1"/>
  <c r="E164" i="7" s="1"/>
  <c r="J163" i="7"/>
  <c r="I163" i="7"/>
  <c r="G163" i="7"/>
  <c r="F163" i="7"/>
  <c r="C163" i="7"/>
  <c r="D163" i="7" s="1"/>
  <c r="E163" i="7" s="1"/>
  <c r="J162" i="7"/>
  <c r="I162" i="7"/>
  <c r="G162" i="7"/>
  <c r="F162" i="7"/>
  <c r="C162" i="7"/>
  <c r="D162" i="7" s="1"/>
  <c r="E162" i="7" s="1"/>
  <c r="J161" i="7"/>
  <c r="I161" i="7"/>
  <c r="G161" i="7"/>
  <c r="F161" i="7"/>
  <c r="C161" i="7"/>
  <c r="D161" i="7" s="1"/>
  <c r="E161" i="7" s="1"/>
  <c r="J160" i="7"/>
  <c r="I160" i="7"/>
  <c r="G160" i="7"/>
  <c r="F160" i="7"/>
  <c r="C160" i="7"/>
  <c r="D160" i="7" s="1"/>
  <c r="E160" i="7" s="1"/>
  <c r="J159" i="7"/>
  <c r="I159" i="7"/>
  <c r="G159" i="7"/>
  <c r="F159" i="7"/>
  <c r="C159" i="7"/>
  <c r="D159" i="7" s="1"/>
  <c r="E159" i="7" s="1"/>
  <c r="J158" i="7"/>
  <c r="I158" i="7"/>
  <c r="G158" i="7"/>
  <c r="F158" i="7"/>
  <c r="C158" i="7"/>
  <c r="D158" i="7" s="1"/>
  <c r="E158" i="7" s="1"/>
  <c r="J157" i="7"/>
  <c r="I157" i="7"/>
  <c r="G157" i="7"/>
  <c r="F157" i="7"/>
  <c r="C157" i="7"/>
  <c r="D157" i="7" s="1"/>
  <c r="E157" i="7" s="1"/>
  <c r="J156" i="7"/>
  <c r="I156" i="7"/>
  <c r="G156" i="7"/>
  <c r="F156" i="7"/>
  <c r="C156" i="7"/>
  <c r="D156" i="7" s="1"/>
  <c r="E156" i="7" s="1"/>
  <c r="J155" i="7"/>
  <c r="I155" i="7"/>
  <c r="G155" i="7"/>
  <c r="F155" i="7"/>
  <c r="C155" i="7"/>
  <c r="D155" i="7" s="1"/>
  <c r="E155" i="7" s="1"/>
  <c r="J154" i="7"/>
  <c r="I154" i="7"/>
  <c r="G154" i="7"/>
  <c r="F154" i="7"/>
  <c r="C154" i="7"/>
  <c r="D154" i="7" s="1"/>
  <c r="E154" i="7" s="1"/>
  <c r="J153" i="7"/>
  <c r="I153" i="7"/>
  <c r="G153" i="7"/>
  <c r="F153" i="7"/>
  <c r="C153" i="7"/>
  <c r="D153" i="7" s="1"/>
  <c r="E153" i="7" s="1"/>
  <c r="J152" i="7"/>
  <c r="I152" i="7"/>
  <c r="G152" i="7"/>
  <c r="F152" i="7"/>
  <c r="C152" i="7"/>
  <c r="D152" i="7" s="1"/>
  <c r="E152" i="7" s="1"/>
  <c r="J151" i="7"/>
  <c r="I151" i="7"/>
  <c r="G151" i="7"/>
  <c r="F151" i="7"/>
  <c r="C151" i="7"/>
  <c r="D151" i="7" s="1"/>
  <c r="E151" i="7" s="1"/>
  <c r="J150" i="7"/>
  <c r="I150" i="7"/>
  <c r="G150" i="7"/>
  <c r="F150" i="7"/>
  <c r="C150" i="7"/>
  <c r="D150" i="7" s="1"/>
  <c r="E150" i="7" s="1"/>
  <c r="J149" i="7"/>
  <c r="I149" i="7"/>
  <c r="G149" i="7"/>
  <c r="F149" i="7"/>
  <c r="C149" i="7"/>
  <c r="D149" i="7" s="1"/>
  <c r="E149" i="7" s="1"/>
  <c r="J148" i="7"/>
  <c r="I148" i="7"/>
  <c r="G148" i="7"/>
  <c r="F148" i="7"/>
  <c r="C148" i="7"/>
  <c r="D148" i="7" s="1"/>
  <c r="E148" i="7" s="1"/>
  <c r="J147" i="7"/>
  <c r="I147" i="7"/>
  <c r="G147" i="7"/>
  <c r="F147" i="7"/>
  <c r="C147" i="7"/>
  <c r="D147" i="7" s="1"/>
  <c r="E147" i="7" s="1"/>
  <c r="J146" i="7"/>
  <c r="I146" i="7"/>
  <c r="G146" i="7"/>
  <c r="F146" i="7"/>
  <c r="C146" i="7"/>
  <c r="D146" i="7" s="1"/>
  <c r="E146" i="7" s="1"/>
  <c r="J145" i="7"/>
  <c r="I145" i="7"/>
  <c r="G145" i="7"/>
  <c r="F145" i="7"/>
  <c r="C145" i="7"/>
  <c r="D145" i="7" s="1"/>
  <c r="E145" i="7" s="1"/>
  <c r="J144" i="7"/>
  <c r="I144" i="7"/>
  <c r="G144" i="7"/>
  <c r="F144" i="7"/>
  <c r="C144" i="7"/>
  <c r="D144" i="7" s="1"/>
  <c r="E144" i="7" s="1"/>
  <c r="J143" i="7"/>
  <c r="I143" i="7"/>
  <c r="G143" i="7"/>
  <c r="F143" i="7"/>
  <c r="C143" i="7"/>
  <c r="D143" i="7" s="1"/>
  <c r="E143" i="7" s="1"/>
  <c r="J142" i="7"/>
  <c r="I142" i="7"/>
  <c r="G142" i="7"/>
  <c r="F142" i="7"/>
  <c r="C142" i="7"/>
  <c r="D142" i="7" s="1"/>
  <c r="E142" i="7" s="1"/>
  <c r="J141" i="7"/>
  <c r="I141" i="7"/>
  <c r="G141" i="7"/>
  <c r="F141" i="7"/>
  <c r="C141" i="7"/>
  <c r="D141" i="7" s="1"/>
  <c r="E141" i="7" s="1"/>
  <c r="J140" i="7"/>
  <c r="I140" i="7"/>
  <c r="G140" i="7"/>
  <c r="F140" i="7"/>
  <c r="C140" i="7"/>
  <c r="D140" i="7" s="1"/>
  <c r="E140" i="7" s="1"/>
  <c r="J139" i="7"/>
  <c r="I139" i="7"/>
  <c r="G139" i="7"/>
  <c r="F139" i="7"/>
  <c r="C139" i="7"/>
  <c r="D139" i="7" s="1"/>
  <c r="E139" i="7" s="1"/>
  <c r="J138" i="7"/>
  <c r="I138" i="7"/>
  <c r="G138" i="7"/>
  <c r="F138" i="7"/>
  <c r="C138" i="7"/>
  <c r="D138" i="7" s="1"/>
  <c r="E138" i="7" s="1"/>
  <c r="J137" i="7"/>
  <c r="I137" i="7"/>
  <c r="G137" i="7"/>
  <c r="F137" i="7"/>
  <c r="C137" i="7"/>
  <c r="D137" i="7" s="1"/>
  <c r="E137" i="7" s="1"/>
  <c r="J136" i="7"/>
  <c r="I136" i="7"/>
  <c r="G136" i="7"/>
  <c r="F136" i="7"/>
  <c r="C136" i="7"/>
  <c r="D136" i="7" s="1"/>
  <c r="E136" i="7" s="1"/>
  <c r="J135" i="7"/>
  <c r="I135" i="7"/>
  <c r="G135" i="7"/>
  <c r="F135" i="7"/>
  <c r="C135" i="7"/>
  <c r="D135" i="7" s="1"/>
  <c r="E135" i="7" s="1"/>
  <c r="J134" i="7"/>
  <c r="I134" i="7"/>
  <c r="G134" i="7"/>
  <c r="F134" i="7"/>
  <c r="C134" i="7"/>
  <c r="D134" i="7" s="1"/>
  <c r="E134" i="7" s="1"/>
  <c r="J133" i="7"/>
  <c r="I133" i="7"/>
  <c r="G133" i="7"/>
  <c r="F133" i="7"/>
  <c r="C133" i="7"/>
  <c r="D133" i="7" s="1"/>
  <c r="E133" i="7" s="1"/>
  <c r="J132" i="7"/>
  <c r="I132" i="7"/>
  <c r="G132" i="7"/>
  <c r="F132" i="7"/>
  <c r="C132" i="7"/>
  <c r="D132" i="7" s="1"/>
  <c r="E132" i="7" s="1"/>
  <c r="J131" i="7"/>
  <c r="I131" i="7"/>
  <c r="G131" i="7"/>
  <c r="F131" i="7"/>
  <c r="C131" i="7"/>
  <c r="D131" i="7" s="1"/>
  <c r="E131" i="7" s="1"/>
  <c r="J130" i="7"/>
  <c r="I130" i="7"/>
  <c r="G130" i="7"/>
  <c r="F130" i="7"/>
  <c r="C130" i="7"/>
  <c r="D130" i="7" s="1"/>
  <c r="E130" i="7" s="1"/>
  <c r="J129" i="7"/>
  <c r="I129" i="7"/>
  <c r="G129" i="7"/>
  <c r="F129" i="7"/>
  <c r="C129" i="7"/>
  <c r="D129" i="7" s="1"/>
  <c r="E129" i="7" s="1"/>
  <c r="J128" i="7"/>
  <c r="I128" i="7"/>
  <c r="G128" i="7"/>
  <c r="F128" i="7"/>
  <c r="C128" i="7"/>
  <c r="D128" i="7" s="1"/>
  <c r="E128" i="7" s="1"/>
  <c r="J127" i="7"/>
  <c r="I127" i="7"/>
  <c r="G127" i="7"/>
  <c r="F127" i="7"/>
  <c r="C127" i="7"/>
  <c r="D127" i="7" s="1"/>
  <c r="E127" i="7" s="1"/>
  <c r="J126" i="7"/>
  <c r="I126" i="7"/>
  <c r="G126" i="7"/>
  <c r="F126" i="7"/>
  <c r="C126" i="7"/>
  <c r="D126" i="7" s="1"/>
  <c r="E126" i="7" s="1"/>
  <c r="J125" i="7"/>
  <c r="I125" i="7"/>
  <c r="G125" i="7"/>
  <c r="F125" i="7"/>
  <c r="C125" i="7"/>
  <c r="D125" i="7" s="1"/>
  <c r="E125" i="7" s="1"/>
  <c r="J124" i="7"/>
  <c r="I124" i="7"/>
  <c r="G124" i="7"/>
  <c r="F124" i="7"/>
  <c r="C124" i="7"/>
  <c r="D124" i="7" s="1"/>
  <c r="E124" i="7" s="1"/>
  <c r="J123" i="7"/>
  <c r="I123" i="7"/>
  <c r="G123" i="7"/>
  <c r="F123" i="7"/>
  <c r="C123" i="7"/>
  <c r="D123" i="7" s="1"/>
  <c r="E123" i="7" s="1"/>
  <c r="J122" i="7"/>
  <c r="I122" i="7"/>
  <c r="G122" i="7"/>
  <c r="F122" i="7"/>
  <c r="C122" i="7"/>
  <c r="D122" i="7" s="1"/>
  <c r="E122" i="7" s="1"/>
  <c r="J121" i="7"/>
  <c r="I121" i="7"/>
  <c r="G121" i="7"/>
  <c r="F121" i="7"/>
  <c r="C121" i="7"/>
  <c r="D121" i="7" s="1"/>
  <c r="E121" i="7" s="1"/>
  <c r="J120" i="7"/>
  <c r="I120" i="7"/>
  <c r="G120" i="7"/>
  <c r="F120" i="7"/>
  <c r="C120" i="7"/>
  <c r="D120" i="7" s="1"/>
  <c r="E120" i="7" s="1"/>
  <c r="J119" i="7"/>
  <c r="I119" i="7"/>
  <c r="G119" i="7"/>
  <c r="F119" i="7"/>
  <c r="C119" i="7"/>
  <c r="D119" i="7" s="1"/>
  <c r="E119" i="7" s="1"/>
  <c r="J118" i="7"/>
  <c r="I118" i="7"/>
  <c r="G118" i="7"/>
  <c r="F118" i="7"/>
  <c r="C118" i="7"/>
  <c r="D118" i="7" s="1"/>
  <c r="E118" i="7" s="1"/>
  <c r="J117" i="7"/>
  <c r="I117" i="7"/>
  <c r="G117" i="7"/>
  <c r="F117" i="7"/>
  <c r="C117" i="7"/>
  <c r="D117" i="7" s="1"/>
  <c r="E117" i="7" s="1"/>
  <c r="J116" i="7"/>
  <c r="I116" i="7"/>
  <c r="G116" i="7"/>
  <c r="F116" i="7"/>
  <c r="C116" i="7"/>
  <c r="D116" i="7" s="1"/>
  <c r="E116" i="7" s="1"/>
  <c r="J115" i="7"/>
  <c r="I115" i="7"/>
  <c r="G115" i="7"/>
  <c r="F115" i="7"/>
  <c r="C115" i="7"/>
  <c r="D115" i="7" s="1"/>
  <c r="E115" i="7" s="1"/>
  <c r="J114" i="7"/>
  <c r="I114" i="7"/>
  <c r="G114" i="7"/>
  <c r="F114" i="7"/>
  <c r="C114" i="7"/>
  <c r="D114" i="7" s="1"/>
  <c r="E114" i="7" s="1"/>
  <c r="J113" i="7"/>
  <c r="I113" i="7"/>
  <c r="G113" i="7"/>
  <c r="F113" i="7"/>
  <c r="C113" i="7"/>
  <c r="D113" i="7" s="1"/>
  <c r="E113" i="7" s="1"/>
  <c r="J112" i="7"/>
  <c r="I112" i="7"/>
  <c r="G112" i="7"/>
  <c r="F112" i="7"/>
  <c r="C112" i="7"/>
  <c r="D112" i="7" s="1"/>
  <c r="E112" i="7" s="1"/>
  <c r="J111" i="7"/>
  <c r="I111" i="7"/>
  <c r="G111" i="7"/>
  <c r="F111" i="7"/>
  <c r="C111" i="7"/>
  <c r="D111" i="7" s="1"/>
  <c r="E111" i="7" s="1"/>
  <c r="J110" i="7"/>
  <c r="I110" i="7"/>
  <c r="G110" i="7"/>
  <c r="F110" i="7"/>
  <c r="C110" i="7"/>
  <c r="D110" i="7" s="1"/>
  <c r="E110" i="7" s="1"/>
  <c r="J109" i="7"/>
  <c r="I109" i="7"/>
  <c r="G109" i="7"/>
  <c r="F109" i="7"/>
  <c r="C109" i="7"/>
  <c r="D109" i="7" s="1"/>
  <c r="E109" i="7" s="1"/>
  <c r="J108" i="7"/>
  <c r="I108" i="7"/>
  <c r="G108" i="7"/>
  <c r="F108" i="7"/>
  <c r="C108" i="7"/>
  <c r="D108" i="7" s="1"/>
  <c r="E108" i="7" s="1"/>
  <c r="J107" i="7"/>
  <c r="I107" i="7"/>
  <c r="G107" i="7"/>
  <c r="F107" i="7"/>
  <c r="C107" i="7"/>
  <c r="D107" i="7" s="1"/>
  <c r="E107" i="7" s="1"/>
  <c r="J106" i="7"/>
  <c r="I106" i="7"/>
  <c r="G106" i="7"/>
  <c r="F106" i="7"/>
  <c r="C106" i="7"/>
  <c r="D106" i="7" s="1"/>
  <c r="E106" i="7" s="1"/>
  <c r="J105" i="7"/>
  <c r="I105" i="7"/>
  <c r="G105" i="7"/>
  <c r="F105" i="7"/>
  <c r="C105" i="7"/>
  <c r="D105" i="7" s="1"/>
  <c r="E105" i="7" s="1"/>
  <c r="J104" i="7"/>
  <c r="I104" i="7"/>
  <c r="G104" i="7"/>
  <c r="F104" i="7"/>
  <c r="C104" i="7"/>
  <c r="D104" i="7" s="1"/>
  <c r="E104" i="7" s="1"/>
  <c r="J103" i="7"/>
  <c r="I103" i="7"/>
  <c r="G103" i="7"/>
  <c r="F103" i="7"/>
  <c r="C103" i="7"/>
  <c r="D103" i="7" s="1"/>
  <c r="E103" i="7" s="1"/>
  <c r="J102" i="7"/>
  <c r="I102" i="7"/>
  <c r="G102" i="7"/>
  <c r="F102" i="7"/>
  <c r="C102" i="7"/>
  <c r="D102" i="7" s="1"/>
  <c r="E102" i="7" s="1"/>
  <c r="J101" i="7"/>
  <c r="I101" i="7"/>
  <c r="G101" i="7"/>
  <c r="F101" i="7"/>
  <c r="C101" i="7"/>
  <c r="D101" i="7" s="1"/>
  <c r="E101" i="7" s="1"/>
  <c r="J100" i="7"/>
  <c r="I100" i="7"/>
  <c r="G100" i="7"/>
  <c r="F100" i="7"/>
  <c r="C100" i="7"/>
  <c r="D100" i="7" s="1"/>
  <c r="E100" i="7" s="1"/>
  <c r="J99" i="7"/>
  <c r="I99" i="7"/>
  <c r="G99" i="7"/>
  <c r="F99" i="7"/>
  <c r="C99" i="7"/>
  <c r="D99" i="7" s="1"/>
  <c r="E99" i="7" s="1"/>
  <c r="J98" i="7"/>
  <c r="I98" i="7"/>
  <c r="G98" i="7"/>
  <c r="F98" i="7"/>
  <c r="C98" i="7"/>
  <c r="D98" i="7" s="1"/>
  <c r="E98" i="7" s="1"/>
  <c r="J97" i="7"/>
  <c r="I97" i="7"/>
  <c r="G97" i="7"/>
  <c r="F97" i="7"/>
  <c r="C97" i="7"/>
  <c r="D97" i="7" s="1"/>
  <c r="E97" i="7" s="1"/>
  <c r="J96" i="7"/>
  <c r="I96" i="7"/>
  <c r="G96" i="7"/>
  <c r="F96" i="7"/>
  <c r="C96" i="7"/>
  <c r="D96" i="7" s="1"/>
  <c r="E96" i="7" s="1"/>
  <c r="J95" i="7"/>
  <c r="I95" i="7"/>
  <c r="G95" i="7"/>
  <c r="F95" i="7"/>
  <c r="C95" i="7"/>
  <c r="D95" i="7" s="1"/>
  <c r="E95" i="7" s="1"/>
  <c r="J94" i="7"/>
  <c r="I94" i="7"/>
  <c r="G94" i="7"/>
  <c r="F94" i="7"/>
  <c r="C94" i="7"/>
  <c r="D94" i="7" s="1"/>
  <c r="E94" i="7" s="1"/>
  <c r="J93" i="7"/>
  <c r="I93" i="7"/>
  <c r="G93" i="7"/>
  <c r="F93" i="7"/>
  <c r="C93" i="7"/>
  <c r="D93" i="7" s="1"/>
  <c r="E93" i="7" s="1"/>
  <c r="J92" i="7"/>
  <c r="I92" i="7"/>
  <c r="G92" i="7"/>
  <c r="F92" i="7"/>
  <c r="C92" i="7"/>
  <c r="D92" i="7" s="1"/>
  <c r="E92" i="7" s="1"/>
  <c r="J91" i="7"/>
  <c r="I91" i="7"/>
  <c r="G91" i="7"/>
  <c r="F91" i="7"/>
  <c r="C91" i="7"/>
  <c r="D91" i="7" s="1"/>
  <c r="E91" i="7" s="1"/>
  <c r="J90" i="7"/>
  <c r="I90" i="7"/>
  <c r="G90" i="7"/>
  <c r="F90" i="7"/>
  <c r="C90" i="7"/>
  <c r="D90" i="7" s="1"/>
  <c r="E90" i="7" s="1"/>
  <c r="J89" i="7"/>
  <c r="I89" i="7"/>
  <c r="G89" i="7"/>
  <c r="F89" i="7"/>
  <c r="C89" i="7"/>
  <c r="D89" i="7" s="1"/>
  <c r="E89" i="7" s="1"/>
  <c r="J88" i="7"/>
  <c r="I88" i="7"/>
  <c r="G88" i="7"/>
  <c r="F88" i="7"/>
  <c r="C88" i="7"/>
  <c r="D88" i="7" s="1"/>
  <c r="E88" i="7" s="1"/>
  <c r="J87" i="7"/>
  <c r="I87" i="7"/>
  <c r="G87" i="7"/>
  <c r="F87" i="7"/>
  <c r="C87" i="7"/>
  <c r="D87" i="7" s="1"/>
  <c r="E87" i="7" s="1"/>
  <c r="J86" i="7"/>
  <c r="I86" i="7"/>
  <c r="G86" i="7"/>
  <c r="F86" i="7"/>
  <c r="C86" i="7"/>
  <c r="D86" i="7" s="1"/>
  <c r="E86" i="7" s="1"/>
  <c r="J85" i="7"/>
  <c r="I85" i="7"/>
  <c r="G85" i="7"/>
  <c r="F85" i="7"/>
  <c r="C85" i="7"/>
  <c r="D85" i="7" s="1"/>
  <c r="E85" i="7" s="1"/>
  <c r="J84" i="7"/>
  <c r="I84" i="7"/>
  <c r="G84" i="7"/>
  <c r="F84" i="7"/>
  <c r="C84" i="7"/>
  <c r="D84" i="7" s="1"/>
  <c r="E84" i="7" s="1"/>
  <c r="J83" i="7"/>
  <c r="I83" i="7"/>
  <c r="G83" i="7"/>
  <c r="F83" i="7"/>
  <c r="C83" i="7"/>
  <c r="D83" i="7" s="1"/>
  <c r="E83" i="7" s="1"/>
  <c r="J82" i="7"/>
  <c r="I82" i="7"/>
  <c r="G82" i="7"/>
  <c r="F82" i="7"/>
  <c r="C82" i="7"/>
  <c r="D82" i="7" s="1"/>
  <c r="E82" i="7" s="1"/>
  <c r="J81" i="7"/>
  <c r="I81" i="7"/>
  <c r="G81" i="7"/>
  <c r="F81" i="7"/>
  <c r="C81" i="7"/>
  <c r="D81" i="7" s="1"/>
  <c r="E81" i="7" s="1"/>
  <c r="J80" i="7"/>
  <c r="I80" i="7"/>
  <c r="G80" i="7"/>
  <c r="F80" i="7"/>
  <c r="C80" i="7"/>
  <c r="D80" i="7" s="1"/>
  <c r="E80" i="7" s="1"/>
  <c r="J79" i="7"/>
  <c r="I79" i="7"/>
  <c r="G79" i="7"/>
  <c r="F79" i="7"/>
  <c r="C79" i="7"/>
  <c r="D79" i="7" s="1"/>
  <c r="E79" i="7" s="1"/>
  <c r="J78" i="7"/>
  <c r="I78" i="7"/>
  <c r="G78" i="7"/>
  <c r="F78" i="7"/>
  <c r="C78" i="7"/>
  <c r="D78" i="7" s="1"/>
  <c r="E78" i="7" s="1"/>
  <c r="J77" i="7"/>
  <c r="I77" i="7"/>
  <c r="G77" i="7"/>
  <c r="F77" i="7"/>
  <c r="C77" i="7"/>
  <c r="D77" i="7" s="1"/>
  <c r="E77" i="7" s="1"/>
  <c r="J76" i="7"/>
  <c r="I76" i="7"/>
  <c r="G76" i="7"/>
  <c r="F76" i="7"/>
  <c r="C76" i="7"/>
  <c r="D76" i="7" s="1"/>
  <c r="E76" i="7" s="1"/>
  <c r="J75" i="7"/>
  <c r="I75" i="7"/>
  <c r="G75" i="7"/>
  <c r="F75" i="7"/>
  <c r="C75" i="7"/>
  <c r="D75" i="7" s="1"/>
  <c r="E75" i="7" s="1"/>
  <c r="J74" i="7"/>
  <c r="I74" i="7"/>
  <c r="G74" i="7"/>
  <c r="F74" i="7"/>
  <c r="C74" i="7"/>
  <c r="D74" i="7" s="1"/>
  <c r="E74" i="7" s="1"/>
  <c r="J73" i="7"/>
  <c r="I73" i="7"/>
  <c r="G73" i="7"/>
  <c r="F73" i="7"/>
  <c r="C73" i="7"/>
  <c r="D73" i="7" s="1"/>
  <c r="E73" i="7" s="1"/>
  <c r="J72" i="7"/>
  <c r="I72" i="7"/>
  <c r="G72" i="7"/>
  <c r="F72" i="7"/>
  <c r="C72" i="7"/>
  <c r="D72" i="7" s="1"/>
  <c r="E72" i="7" s="1"/>
  <c r="J71" i="7"/>
  <c r="I71" i="7"/>
  <c r="G71" i="7"/>
  <c r="F71" i="7"/>
  <c r="C71" i="7"/>
  <c r="D71" i="7" s="1"/>
  <c r="E71" i="7" s="1"/>
  <c r="J70" i="7"/>
  <c r="I70" i="7"/>
  <c r="G70" i="7"/>
  <c r="F70" i="7"/>
  <c r="C70" i="7"/>
  <c r="D70" i="7" s="1"/>
  <c r="E70" i="7" s="1"/>
  <c r="J69" i="7"/>
  <c r="I69" i="7"/>
  <c r="G69" i="7"/>
  <c r="F69" i="7"/>
  <c r="C69" i="7"/>
  <c r="D69" i="7" s="1"/>
  <c r="E69" i="7" s="1"/>
  <c r="J68" i="7"/>
  <c r="I68" i="7"/>
  <c r="G68" i="7"/>
  <c r="F68" i="7"/>
  <c r="C68" i="7"/>
  <c r="D68" i="7" s="1"/>
  <c r="E68" i="7" s="1"/>
  <c r="J67" i="7"/>
  <c r="I67" i="7"/>
  <c r="G67" i="7"/>
  <c r="F67" i="7"/>
  <c r="C67" i="7"/>
  <c r="D67" i="7" s="1"/>
  <c r="E67" i="7" s="1"/>
  <c r="J66" i="7"/>
  <c r="I66" i="7"/>
  <c r="G66" i="7"/>
  <c r="F66" i="7"/>
  <c r="C66" i="7"/>
  <c r="D66" i="7" s="1"/>
  <c r="E66" i="7" s="1"/>
  <c r="J65" i="7"/>
  <c r="I65" i="7"/>
  <c r="G65" i="7"/>
  <c r="F65" i="7"/>
  <c r="C65" i="7"/>
  <c r="D65" i="7" s="1"/>
  <c r="E65" i="7" s="1"/>
  <c r="J64" i="7"/>
  <c r="I64" i="7"/>
  <c r="G64" i="7"/>
  <c r="F64" i="7"/>
  <c r="C64" i="7"/>
  <c r="D64" i="7" s="1"/>
  <c r="E64" i="7" s="1"/>
  <c r="J63" i="7"/>
  <c r="I63" i="7"/>
  <c r="G63" i="7"/>
  <c r="F63" i="7"/>
  <c r="C63" i="7"/>
  <c r="D63" i="7" s="1"/>
  <c r="E63" i="7" s="1"/>
  <c r="J62" i="7"/>
  <c r="I62" i="7"/>
  <c r="G62" i="7"/>
  <c r="F62" i="7"/>
  <c r="C62" i="7"/>
  <c r="D62" i="7" s="1"/>
  <c r="E62" i="7" s="1"/>
  <c r="J61" i="7"/>
  <c r="I61" i="7"/>
  <c r="G61" i="7"/>
  <c r="F61" i="7"/>
  <c r="C61" i="7"/>
  <c r="D61" i="7" s="1"/>
  <c r="E61" i="7" s="1"/>
  <c r="J60" i="7"/>
  <c r="I60" i="7"/>
  <c r="G60" i="7"/>
  <c r="F60" i="7"/>
  <c r="C60" i="7"/>
  <c r="D60" i="7" s="1"/>
  <c r="E60" i="7" s="1"/>
  <c r="J59" i="7"/>
  <c r="I59" i="7"/>
  <c r="G59" i="7"/>
  <c r="F59" i="7"/>
  <c r="C59" i="7"/>
  <c r="D59" i="7" s="1"/>
  <c r="E59" i="7" s="1"/>
  <c r="J58" i="7"/>
  <c r="I58" i="7"/>
  <c r="G58" i="7"/>
  <c r="F58" i="7"/>
  <c r="C58" i="7"/>
  <c r="D58" i="7" s="1"/>
  <c r="E58" i="7" s="1"/>
  <c r="J57" i="7"/>
  <c r="I57" i="7"/>
  <c r="G57" i="7"/>
  <c r="F57" i="7"/>
  <c r="C57" i="7"/>
  <c r="D57" i="7" s="1"/>
  <c r="E57" i="7" s="1"/>
  <c r="J56" i="7"/>
  <c r="I56" i="7"/>
  <c r="G56" i="7"/>
  <c r="F56" i="7"/>
  <c r="C56" i="7"/>
  <c r="D56" i="7" s="1"/>
  <c r="E56" i="7" s="1"/>
  <c r="J55" i="7"/>
  <c r="I55" i="7"/>
  <c r="G55" i="7"/>
  <c r="F55" i="7"/>
  <c r="C55" i="7"/>
  <c r="D55" i="7" s="1"/>
  <c r="E55" i="7" s="1"/>
  <c r="J54" i="7"/>
  <c r="I54" i="7"/>
  <c r="G54" i="7"/>
  <c r="F54" i="7"/>
  <c r="C54" i="7"/>
  <c r="D54" i="7" s="1"/>
  <c r="E54" i="7" s="1"/>
  <c r="J53" i="7"/>
  <c r="I53" i="7"/>
  <c r="G53" i="7"/>
  <c r="F53" i="7"/>
  <c r="C53" i="7"/>
  <c r="D53" i="7" s="1"/>
  <c r="E53" i="7" s="1"/>
  <c r="J52" i="7"/>
  <c r="I52" i="7"/>
  <c r="G52" i="7"/>
  <c r="F52" i="7"/>
  <c r="C52" i="7"/>
  <c r="D52" i="7" s="1"/>
  <c r="E52" i="7" s="1"/>
  <c r="J51" i="7"/>
  <c r="I51" i="7"/>
  <c r="G51" i="7"/>
  <c r="F51" i="7"/>
  <c r="C51" i="7"/>
  <c r="D51" i="7" s="1"/>
  <c r="E51" i="7" s="1"/>
  <c r="J50" i="7"/>
  <c r="I50" i="7"/>
  <c r="G50" i="7"/>
  <c r="F50" i="7"/>
  <c r="C50" i="7"/>
  <c r="D50" i="7" s="1"/>
  <c r="E50" i="7" s="1"/>
  <c r="J49" i="7"/>
  <c r="I49" i="7"/>
  <c r="G49" i="7"/>
  <c r="F49" i="7"/>
  <c r="C49" i="7"/>
  <c r="D49" i="7" s="1"/>
  <c r="E49" i="7" s="1"/>
  <c r="J48" i="7"/>
  <c r="I48" i="7"/>
  <c r="G48" i="7"/>
  <c r="F48" i="7"/>
  <c r="C48" i="7"/>
  <c r="D48" i="7" s="1"/>
  <c r="E48" i="7" s="1"/>
  <c r="J47" i="7"/>
  <c r="I47" i="7"/>
  <c r="G47" i="7"/>
  <c r="F47" i="7"/>
  <c r="C47" i="7"/>
  <c r="D47" i="7" s="1"/>
  <c r="E47" i="7" s="1"/>
  <c r="J46" i="7"/>
  <c r="I46" i="7"/>
  <c r="G46" i="7"/>
  <c r="F46" i="7"/>
  <c r="C46" i="7"/>
  <c r="D46" i="7" s="1"/>
  <c r="E46" i="7" s="1"/>
  <c r="J45" i="7"/>
  <c r="I45" i="7"/>
  <c r="G45" i="7"/>
  <c r="F45" i="7"/>
  <c r="C45" i="7"/>
  <c r="D45" i="7" s="1"/>
  <c r="E45" i="7" s="1"/>
  <c r="J44" i="7"/>
  <c r="I44" i="7"/>
  <c r="G44" i="7"/>
  <c r="F44" i="7"/>
  <c r="C44" i="7"/>
  <c r="D44" i="7" s="1"/>
  <c r="E44" i="7" s="1"/>
  <c r="J43" i="7"/>
  <c r="I43" i="7"/>
  <c r="G43" i="7"/>
  <c r="F43" i="7"/>
  <c r="C43" i="7"/>
  <c r="D43" i="7" s="1"/>
  <c r="E43" i="7" s="1"/>
  <c r="J42" i="7"/>
  <c r="I42" i="7"/>
  <c r="G42" i="7"/>
  <c r="F42" i="7"/>
  <c r="C42" i="7"/>
  <c r="D42" i="7" s="1"/>
  <c r="E42" i="7" s="1"/>
  <c r="J41" i="7"/>
  <c r="I41" i="7"/>
  <c r="G41" i="7"/>
  <c r="F41" i="7"/>
  <c r="C41" i="7"/>
  <c r="D41" i="7" s="1"/>
  <c r="E41" i="7" s="1"/>
  <c r="J40" i="7"/>
  <c r="I40" i="7"/>
  <c r="G40" i="7"/>
  <c r="F40" i="7"/>
  <c r="C40" i="7"/>
  <c r="D40" i="7" s="1"/>
  <c r="E40" i="7" s="1"/>
  <c r="J39" i="7"/>
  <c r="I39" i="7"/>
  <c r="G39" i="7"/>
  <c r="F39" i="7"/>
  <c r="C39" i="7"/>
  <c r="D39" i="7" s="1"/>
  <c r="E39" i="7" s="1"/>
  <c r="J38" i="7"/>
  <c r="I38" i="7"/>
  <c r="G38" i="7"/>
  <c r="F38" i="7"/>
  <c r="C38" i="7"/>
  <c r="D38" i="7" s="1"/>
  <c r="E38" i="7" s="1"/>
  <c r="J37" i="7"/>
  <c r="I37" i="7"/>
  <c r="G37" i="7"/>
  <c r="F37" i="7"/>
  <c r="C37" i="7"/>
  <c r="D37" i="7" s="1"/>
  <c r="E37" i="7" s="1"/>
  <c r="J36" i="7"/>
  <c r="I36" i="7"/>
  <c r="G36" i="7"/>
  <c r="F36" i="7"/>
  <c r="C36" i="7"/>
  <c r="D36" i="7" s="1"/>
  <c r="E36" i="7" s="1"/>
  <c r="J35" i="7"/>
  <c r="I35" i="7"/>
  <c r="G35" i="7"/>
  <c r="F35" i="7"/>
  <c r="C35" i="7"/>
  <c r="D35" i="7" s="1"/>
  <c r="E35" i="7" s="1"/>
  <c r="J34" i="7"/>
  <c r="I34" i="7"/>
  <c r="G34" i="7"/>
  <c r="F34" i="7"/>
  <c r="C34" i="7"/>
  <c r="D34" i="7" s="1"/>
  <c r="E34" i="7" s="1"/>
  <c r="J33" i="7"/>
  <c r="I33" i="7"/>
  <c r="G33" i="7"/>
  <c r="F33" i="7"/>
  <c r="C33" i="7"/>
  <c r="D33" i="7" s="1"/>
  <c r="E33" i="7" s="1"/>
  <c r="J32" i="7"/>
  <c r="I32" i="7"/>
  <c r="G32" i="7"/>
  <c r="F32" i="7"/>
  <c r="C32" i="7"/>
  <c r="D32" i="7" s="1"/>
  <c r="E32" i="7" s="1"/>
  <c r="J31" i="7"/>
  <c r="I31" i="7"/>
  <c r="G31" i="7"/>
  <c r="F31" i="7"/>
  <c r="C31" i="7"/>
  <c r="D31" i="7" s="1"/>
  <c r="E31" i="7" s="1"/>
  <c r="J30" i="7"/>
  <c r="I30" i="7"/>
  <c r="G30" i="7"/>
  <c r="F30" i="7"/>
  <c r="C30" i="7"/>
  <c r="D30" i="7" s="1"/>
  <c r="E30" i="7" s="1"/>
  <c r="J29" i="7"/>
  <c r="I29" i="7"/>
  <c r="G29" i="7"/>
  <c r="F29" i="7"/>
  <c r="C29" i="7"/>
  <c r="D29" i="7" s="1"/>
  <c r="E29" i="7" s="1"/>
  <c r="J28" i="7"/>
  <c r="I28" i="7"/>
  <c r="G28" i="7"/>
  <c r="F28" i="7"/>
  <c r="C28" i="7"/>
  <c r="D28" i="7" s="1"/>
  <c r="E28" i="7" s="1"/>
  <c r="J27" i="7"/>
  <c r="I27" i="7"/>
  <c r="G27" i="7"/>
  <c r="F27" i="7"/>
  <c r="C27" i="7"/>
  <c r="D27" i="7" s="1"/>
  <c r="E27" i="7" s="1"/>
  <c r="J26" i="7"/>
  <c r="I26" i="7"/>
  <c r="G26" i="7"/>
  <c r="F26" i="7"/>
  <c r="C26" i="7"/>
  <c r="D26" i="7" s="1"/>
  <c r="E26" i="7" s="1"/>
  <c r="J25" i="7"/>
  <c r="I25" i="7"/>
  <c r="G25" i="7"/>
  <c r="F25" i="7"/>
  <c r="C25" i="7"/>
  <c r="D25" i="7" s="1"/>
  <c r="E25" i="7" s="1"/>
  <c r="J24" i="7"/>
  <c r="I24" i="7"/>
  <c r="G24" i="7"/>
  <c r="F24" i="7"/>
  <c r="C24" i="7"/>
  <c r="D24" i="7" s="1"/>
  <c r="E24" i="7" s="1"/>
  <c r="J23" i="7"/>
  <c r="I23" i="7"/>
  <c r="G23" i="7"/>
  <c r="F23" i="7"/>
  <c r="C23" i="7"/>
  <c r="D23" i="7" s="1"/>
  <c r="E23" i="7" s="1"/>
  <c r="J22" i="7"/>
  <c r="I22" i="7"/>
  <c r="G22" i="7"/>
  <c r="F22" i="7"/>
  <c r="C22" i="7"/>
  <c r="D22" i="7" s="1"/>
  <c r="E22" i="7" s="1"/>
  <c r="C13" i="6"/>
  <c r="C9" i="6"/>
  <c r="C6" i="6"/>
  <c r="C21" i="5"/>
  <c r="C20" i="5"/>
  <c r="C10" i="6" s="1"/>
  <c r="C19" i="5"/>
  <c r="C15" i="5"/>
  <c r="C18" i="6" s="1"/>
  <c r="C12" i="5"/>
  <c r="C11" i="5"/>
  <c r="C6" i="5"/>
  <c r="F18" i="4"/>
  <c r="C18" i="2"/>
  <c r="C30" i="3"/>
  <c r="C8" i="2" s="1"/>
  <c r="C12" i="2"/>
  <c r="E13" i="3"/>
  <c r="C13" i="3"/>
  <c r="C7" i="2" s="1"/>
  <c r="C6" i="4" s="1"/>
  <c r="C11" i="3"/>
  <c r="C15" i="3" s="1"/>
  <c r="C17" i="3" s="1"/>
  <c r="C13" i="2"/>
  <c r="H618" i="7" l="1"/>
  <c r="H238" i="7"/>
  <c r="H153" i="7"/>
  <c r="H457" i="7"/>
  <c r="H498" i="7"/>
  <c r="H166" i="7"/>
  <c r="H45" i="7"/>
  <c r="H1907" i="7"/>
  <c r="H1987" i="7"/>
  <c r="H81" i="7"/>
  <c r="H384" i="7"/>
  <c r="H624" i="7"/>
  <c r="K1753" i="7"/>
  <c r="K1849" i="7"/>
  <c r="H1984" i="7"/>
  <c r="K1993" i="7"/>
  <c r="H579" i="7"/>
  <c r="H899" i="7"/>
  <c r="K1148" i="7"/>
  <c r="H1283" i="7"/>
  <c r="H1731" i="7"/>
  <c r="H1811" i="7"/>
  <c r="H1875" i="7"/>
  <c r="H1891" i="7"/>
  <c r="K1916" i="7"/>
  <c r="H592" i="7"/>
  <c r="H704" i="7"/>
  <c r="H1040" i="7"/>
  <c r="K2009" i="7"/>
  <c r="H1194" i="7"/>
  <c r="H1802" i="7"/>
  <c r="H174" i="7"/>
  <c r="K633" i="7"/>
  <c r="H656" i="7"/>
  <c r="K665" i="7"/>
  <c r="K713" i="7"/>
  <c r="H720" i="7"/>
  <c r="H171" i="7"/>
  <c r="H1774" i="7"/>
  <c r="H1181" i="7"/>
  <c r="H545" i="7"/>
  <c r="H1438" i="7"/>
  <c r="H237" i="7"/>
  <c r="H1853" i="7"/>
  <c r="H1883" i="7"/>
  <c r="H1394" i="7"/>
  <c r="H813" i="7"/>
  <c r="H877" i="7"/>
  <c r="H1111" i="7"/>
  <c r="H852" i="7"/>
  <c r="H1870" i="7"/>
  <c r="H205" i="7"/>
  <c r="K310" i="7"/>
  <c r="K438" i="7"/>
  <c r="H621" i="7"/>
  <c r="K630" i="7"/>
  <c r="K758" i="7"/>
  <c r="K934" i="7"/>
  <c r="K1062" i="7"/>
  <c r="H1469" i="7"/>
  <c r="H1565" i="7"/>
  <c r="K1590" i="7"/>
  <c r="K1606" i="7"/>
  <c r="H1613" i="7"/>
  <c r="H1709" i="7"/>
  <c r="H431" i="7"/>
  <c r="K26" i="7"/>
  <c r="H33" i="7"/>
  <c r="K42" i="7"/>
  <c r="K170" i="7"/>
  <c r="H1137" i="7"/>
  <c r="H1214" i="7"/>
  <c r="H1278" i="7"/>
  <c r="H1326" i="7"/>
  <c r="H1982" i="7"/>
  <c r="H1880" i="7"/>
  <c r="H450" i="7"/>
  <c r="H1234" i="7"/>
  <c r="K1878" i="7"/>
  <c r="H1901" i="7"/>
  <c r="H583" i="7"/>
  <c r="H1463" i="7"/>
  <c r="H84" i="7"/>
  <c r="H708" i="7"/>
  <c r="K1396" i="7"/>
  <c r="K1492" i="7"/>
  <c r="H792" i="7"/>
  <c r="H840" i="7"/>
  <c r="H31" i="7"/>
  <c r="K45" i="7"/>
  <c r="K157" i="7"/>
  <c r="H468" i="7"/>
  <c r="H944" i="7"/>
  <c r="H1127" i="7"/>
  <c r="H864" i="7"/>
  <c r="H1118" i="7"/>
  <c r="H728" i="7"/>
  <c r="H322" i="7"/>
  <c r="H482" i="7"/>
  <c r="K507" i="7"/>
  <c r="H514" i="7"/>
  <c r="H156" i="7"/>
  <c r="H239" i="7"/>
  <c r="H671" i="7"/>
  <c r="K837" i="7"/>
  <c r="K1013" i="7"/>
  <c r="K1029" i="7"/>
  <c r="H1052" i="7"/>
  <c r="H1714" i="7"/>
  <c r="H1836" i="7"/>
  <c r="H931" i="7"/>
  <c r="H186" i="7"/>
  <c r="H282" i="7"/>
  <c r="K371" i="7"/>
  <c r="H506" i="7"/>
  <c r="H522" i="7"/>
  <c r="H682" i="7"/>
  <c r="H1946" i="7"/>
  <c r="H1994" i="7"/>
  <c r="H23" i="7"/>
  <c r="H103" i="7"/>
  <c r="H231" i="7"/>
  <c r="K240" i="7"/>
  <c r="K272" i="7"/>
  <c r="H442" i="7"/>
  <c r="K672" i="7"/>
  <c r="H679" i="7"/>
  <c r="H695" i="7"/>
  <c r="H727" i="7"/>
  <c r="H1191" i="7"/>
  <c r="H1991" i="7"/>
  <c r="K541" i="7"/>
  <c r="K621" i="7"/>
  <c r="H724" i="7"/>
  <c r="H1796" i="7"/>
  <c r="H774" i="7"/>
  <c r="H740" i="7"/>
  <c r="K1748" i="7"/>
  <c r="H702" i="7"/>
  <c r="K478" i="7"/>
  <c r="H501" i="7"/>
  <c r="K510" i="7"/>
  <c r="K526" i="7"/>
  <c r="K750" i="7"/>
  <c r="K942" i="7"/>
  <c r="K958" i="7"/>
  <c r="K1006" i="7"/>
  <c r="K1070" i="7"/>
  <c r="H1653" i="7"/>
  <c r="H927" i="7"/>
  <c r="H1618" i="7"/>
  <c r="H1698" i="7"/>
  <c r="H217" i="7"/>
  <c r="H281" i="7"/>
  <c r="H313" i="7"/>
  <c r="H345" i="7"/>
  <c r="K402" i="7"/>
  <c r="K418" i="7"/>
  <c r="H1372" i="7"/>
  <c r="H1593" i="7"/>
  <c r="K1634" i="7"/>
  <c r="H1689" i="7"/>
  <c r="H1913" i="7"/>
  <c r="K1938" i="7"/>
  <c r="H1945" i="7"/>
  <c r="K1970" i="7"/>
  <c r="H157" i="7"/>
  <c r="H1510" i="7"/>
  <c r="H1862" i="7"/>
  <c r="H1840" i="7"/>
  <c r="K538" i="7"/>
  <c r="H1345" i="7"/>
  <c r="H1419" i="7"/>
  <c r="H1771" i="7"/>
  <c r="H203" i="7"/>
  <c r="H53" i="7"/>
  <c r="K158" i="7"/>
  <c r="H283" i="7"/>
  <c r="H542" i="7"/>
  <c r="H622" i="7"/>
  <c r="H744" i="7"/>
  <c r="H968" i="7"/>
  <c r="H253" i="7"/>
  <c r="H35" i="7"/>
  <c r="H342" i="7"/>
  <c r="H438" i="7"/>
  <c r="H566" i="7"/>
  <c r="H739" i="7"/>
  <c r="K751" i="7"/>
  <c r="K1103" i="7"/>
  <c r="K1151" i="7"/>
  <c r="H1308" i="7"/>
  <c r="H1468" i="7"/>
  <c r="H1532" i="7"/>
  <c r="H1564" i="7"/>
  <c r="H1759" i="7"/>
  <c r="H1820" i="7"/>
  <c r="K1829" i="7"/>
  <c r="K2021" i="7"/>
  <c r="H967" i="7"/>
  <c r="K65" i="7"/>
  <c r="H382" i="7"/>
  <c r="H1460" i="7"/>
  <c r="H1607" i="7"/>
  <c r="H849" i="7"/>
  <c r="H1201" i="7"/>
  <c r="H1217" i="7"/>
  <c r="H1521" i="7"/>
  <c r="H1841" i="7"/>
  <c r="H1937" i="7"/>
  <c r="H1230" i="7"/>
  <c r="K1239" i="7"/>
  <c r="K1319" i="7"/>
  <c r="K1399" i="7"/>
  <c r="H1502" i="7"/>
  <c r="H1518" i="7"/>
  <c r="K1655" i="7"/>
  <c r="K1671" i="7"/>
  <c r="H392" i="7"/>
  <c r="K1828" i="7"/>
  <c r="H755" i="7"/>
  <c r="H400" i="7"/>
  <c r="H98" i="7"/>
  <c r="H89" i="7"/>
  <c r="H169" i="7"/>
  <c r="H636" i="7"/>
  <c r="K1470" i="7"/>
  <c r="H1627" i="7"/>
  <c r="H1656" i="7"/>
  <c r="H1832" i="7"/>
  <c r="H1957" i="7"/>
  <c r="K808" i="7"/>
  <c r="K856" i="7"/>
  <c r="H895" i="7"/>
  <c r="K936" i="7"/>
  <c r="K984" i="7"/>
  <c r="H1007" i="7"/>
  <c r="K1016" i="7"/>
  <c r="K1032" i="7"/>
  <c r="K338" i="7"/>
  <c r="H537" i="7"/>
  <c r="K626" i="7"/>
  <c r="H1202" i="7"/>
  <c r="H1349" i="7"/>
  <c r="H1426" i="7"/>
  <c r="H67" i="7"/>
  <c r="H118" i="7"/>
  <c r="K204" i="7"/>
  <c r="H246" i="7"/>
  <c r="K303" i="7"/>
  <c r="K399" i="7"/>
  <c r="K415" i="7"/>
  <c r="H441" i="7"/>
  <c r="K655" i="7"/>
  <c r="K671" i="7"/>
  <c r="H1615" i="7"/>
  <c r="H1858" i="7"/>
  <c r="H582" i="7"/>
  <c r="H496" i="7"/>
  <c r="H381" i="7"/>
  <c r="H957" i="7"/>
  <c r="H465" i="7"/>
  <c r="H596" i="7"/>
  <c r="H1914" i="7"/>
  <c r="H288" i="7"/>
  <c r="H918" i="7"/>
  <c r="H1091" i="7"/>
  <c r="H1005" i="7"/>
  <c r="H641" i="7"/>
  <c r="H743" i="7"/>
  <c r="H759" i="7"/>
  <c r="H929" i="7"/>
  <c r="H1159" i="7"/>
  <c r="H1386" i="7"/>
  <c r="H1610" i="7"/>
  <c r="C7" i="5"/>
  <c r="C8" i="5" s="1"/>
  <c r="H590" i="7"/>
  <c r="H654" i="7"/>
  <c r="H878" i="7"/>
  <c r="K983" i="7"/>
  <c r="H1220" i="7"/>
  <c r="K1229" i="7"/>
  <c r="H1284" i="7"/>
  <c r="K1341" i="7"/>
  <c r="H1348" i="7"/>
  <c r="K1357" i="7"/>
  <c r="H1508" i="7"/>
  <c r="K1517" i="7"/>
  <c r="K1597" i="7"/>
  <c r="H1684" i="7"/>
  <c r="K1773" i="7"/>
  <c r="H1908" i="7"/>
  <c r="H1505" i="7"/>
  <c r="K1594" i="7"/>
  <c r="H363" i="7"/>
  <c r="H1032" i="7"/>
  <c r="H1211" i="7"/>
  <c r="H1806" i="7"/>
  <c r="H299" i="7"/>
  <c r="H805" i="7"/>
  <c r="K37" i="7"/>
  <c r="K229" i="7"/>
  <c r="H469" i="7"/>
  <c r="H770" i="7"/>
  <c r="H773" i="7"/>
  <c r="H1208" i="7"/>
  <c r="H1531" i="7"/>
  <c r="H1963" i="7"/>
  <c r="H409" i="7"/>
  <c r="H422" i="7"/>
  <c r="H454" i="7"/>
  <c r="H83" i="7"/>
  <c r="H99" i="7"/>
  <c r="H278" i="7"/>
  <c r="K652" i="7"/>
  <c r="K668" i="7"/>
  <c r="H707" i="7"/>
  <c r="K716" i="7"/>
  <c r="H761" i="7"/>
  <c r="H780" i="7"/>
  <c r="H857" i="7"/>
  <c r="K978" i="7"/>
  <c r="H1097" i="7"/>
  <c r="H1525" i="7"/>
  <c r="K1672" i="7"/>
  <c r="H1679" i="7"/>
  <c r="H1762" i="7"/>
  <c r="H1877" i="7"/>
  <c r="H1919" i="7"/>
  <c r="H1973" i="7"/>
  <c r="H1395" i="7"/>
  <c r="K474" i="7"/>
  <c r="H644" i="7"/>
  <c r="H1021" i="7"/>
  <c r="H1082" i="7"/>
  <c r="H1143" i="7"/>
  <c r="H1805" i="7"/>
  <c r="H1843" i="7"/>
  <c r="H1555" i="7"/>
  <c r="H107" i="7"/>
  <c r="H155" i="7"/>
  <c r="H158" i="7"/>
  <c r="H254" i="7"/>
  <c r="H302" i="7"/>
  <c r="H353" i="7"/>
  <c r="H401" i="7"/>
  <c r="K407" i="7"/>
  <c r="H414" i="7"/>
  <c r="H478" i="7"/>
  <c r="H510" i="7"/>
  <c r="K535" i="7"/>
  <c r="H580" i="7"/>
  <c r="H670" i="7"/>
  <c r="K1101" i="7"/>
  <c r="K1334" i="7"/>
  <c r="H1344" i="7"/>
  <c r="K1363" i="7"/>
  <c r="H1453" i="7"/>
  <c r="K1459" i="7"/>
  <c r="K1555" i="7"/>
  <c r="H1581" i="7"/>
  <c r="H1594" i="7"/>
  <c r="H1626" i="7"/>
  <c r="H1645" i="7"/>
  <c r="K1859" i="7"/>
  <c r="K1875" i="7"/>
  <c r="H1882" i="7"/>
  <c r="H1898" i="7"/>
  <c r="H2010" i="7"/>
  <c r="H2013" i="7"/>
  <c r="H1369" i="7"/>
  <c r="K161" i="7"/>
  <c r="K177" i="7"/>
  <c r="K1034" i="7"/>
  <c r="H1041" i="7"/>
  <c r="K1232" i="7"/>
  <c r="H1242" i="7"/>
  <c r="K1248" i="7"/>
  <c r="H1351" i="7"/>
  <c r="H1527" i="7"/>
  <c r="K1808" i="7"/>
  <c r="H1815" i="7"/>
  <c r="H1166" i="7"/>
  <c r="H822" i="7"/>
  <c r="H870" i="7"/>
  <c r="H69" i="7"/>
  <c r="K785" i="7"/>
  <c r="K1025" i="7"/>
  <c r="H1150" i="7"/>
  <c r="H1236" i="7"/>
  <c r="H1940" i="7"/>
  <c r="H741" i="7"/>
  <c r="H869" i="7"/>
  <c r="H1045" i="7"/>
  <c r="H1048" i="7"/>
  <c r="H1128" i="7"/>
  <c r="H1141" i="7"/>
  <c r="H1387" i="7"/>
  <c r="H1585" i="7"/>
  <c r="H1723" i="7"/>
  <c r="H1838" i="7"/>
  <c r="H790" i="7"/>
  <c r="H896" i="7"/>
  <c r="H1574" i="7"/>
  <c r="H85" i="7"/>
  <c r="H226" i="7"/>
  <c r="H495" i="7"/>
  <c r="H284" i="7"/>
  <c r="H348" i="7"/>
  <c r="H476" i="7"/>
  <c r="K923" i="7"/>
  <c r="H933" i="7"/>
  <c r="K955" i="7"/>
  <c r="H994" i="7"/>
  <c r="H1170" i="7"/>
  <c r="K1233" i="7"/>
  <c r="H1272" i="7"/>
  <c r="H1291" i="7"/>
  <c r="H1304" i="7"/>
  <c r="K1345" i="7"/>
  <c r="K1361" i="7"/>
  <c r="H1368" i="7"/>
  <c r="K1393" i="7"/>
  <c r="H1592" i="7"/>
  <c r="H1598" i="7"/>
  <c r="K1601" i="7"/>
  <c r="H105" i="7"/>
  <c r="H121" i="7"/>
  <c r="H137" i="7"/>
  <c r="H405" i="7"/>
  <c r="H466" i="7"/>
  <c r="H1054" i="7"/>
  <c r="H1302" i="7"/>
  <c r="H1676" i="7"/>
  <c r="H1772" i="7"/>
  <c r="H1788" i="7"/>
  <c r="H60" i="7"/>
  <c r="H73" i="7"/>
  <c r="H86" i="7"/>
  <c r="H92" i="7"/>
  <c r="K95" i="7"/>
  <c r="K293" i="7"/>
  <c r="K309" i="7"/>
  <c r="K341" i="7"/>
  <c r="H412" i="7"/>
  <c r="H463" i="7"/>
  <c r="K788" i="7"/>
  <c r="H843" i="7"/>
  <c r="K852" i="7"/>
  <c r="H862" i="7"/>
  <c r="H891" i="7"/>
  <c r="K964" i="7"/>
  <c r="H1009" i="7"/>
  <c r="K1028" i="7"/>
  <c r="H1067" i="7"/>
  <c r="H1261" i="7"/>
  <c r="H1277" i="7"/>
  <c r="K1286" i="7"/>
  <c r="H1309" i="7"/>
  <c r="H1373" i="7"/>
  <c r="K1481" i="7"/>
  <c r="H1491" i="7"/>
  <c r="H1504" i="7"/>
  <c r="K1647" i="7"/>
  <c r="K1650" i="7"/>
  <c r="K1794" i="7"/>
  <c r="H1817" i="7"/>
  <c r="H1951" i="7"/>
  <c r="H1970" i="7"/>
  <c r="H1980" i="7"/>
  <c r="H329" i="7"/>
  <c r="H1274" i="7"/>
  <c r="H310" i="7"/>
  <c r="H1179" i="7"/>
  <c r="H1741" i="7"/>
  <c r="H1636" i="7"/>
  <c r="H1106" i="7"/>
  <c r="H1400" i="7"/>
  <c r="H1435" i="7"/>
  <c r="K1175" i="7"/>
  <c r="H1319" i="7"/>
  <c r="H617" i="7"/>
  <c r="H1083" i="7"/>
  <c r="H1249" i="7"/>
  <c r="H1313" i="7"/>
  <c r="H1575" i="7"/>
  <c r="H490" i="7"/>
  <c r="H589" i="7"/>
  <c r="H1033" i="7"/>
  <c r="H30" i="7"/>
  <c r="H78" i="7"/>
  <c r="K87" i="7"/>
  <c r="K496" i="7"/>
  <c r="K560" i="7"/>
  <c r="H586" i="7"/>
  <c r="H634" i="7"/>
  <c r="H650" i="7"/>
  <c r="K694" i="7"/>
  <c r="H701" i="7"/>
  <c r="K729" i="7"/>
  <c r="H793" i="7"/>
  <c r="K828" i="7"/>
  <c r="H947" i="7"/>
  <c r="H1043" i="7"/>
  <c r="H1084" i="7"/>
  <c r="H1177" i="7"/>
  <c r="H1381" i="7"/>
  <c r="H1397" i="7"/>
  <c r="H1566" i="7"/>
  <c r="H1697" i="7"/>
  <c r="H1809" i="7"/>
  <c r="H173" i="7"/>
  <c r="H435" i="7"/>
  <c r="H784" i="7"/>
  <c r="H1113" i="7"/>
  <c r="H1793" i="7"/>
  <c r="H366" i="7"/>
  <c r="H800" i="7"/>
  <c r="H826" i="7"/>
  <c r="H925" i="7"/>
  <c r="K1059" i="7"/>
  <c r="H1260" i="7"/>
  <c r="H1378" i="7"/>
  <c r="H1461" i="7"/>
  <c r="K1627" i="7"/>
  <c r="H1659" i="7"/>
  <c r="H1816" i="7"/>
  <c r="H1854" i="7"/>
  <c r="H1902" i="7"/>
  <c r="H1995" i="7"/>
  <c r="H901" i="7"/>
  <c r="K556" i="7"/>
  <c r="H34" i="7"/>
  <c r="K43" i="7"/>
  <c r="K59" i="7"/>
  <c r="H101" i="7"/>
  <c r="H117" i="7"/>
  <c r="H280" i="7"/>
  <c r="K484" i="7"/>
  <c r="K532" i="7"/>
  <c r="H571" i="7"/>
  <c r="H606" i="7"/>
  <c r="K800" i="7"/>
  <c r="H983" i="7"/>
  <c r="H1053" i="7"/>
  <c r="H1063" i="7"/>
  <c r="K1126" i="7"/>
  <c r="H1340" i="7"/>
  <c r="K1758" i="7"/>
  <c r="H1781" i="7"/>
  <c r="H1813" i="7"/>
  <c r="H2008" i="7"/>
  <c r="H1961" i="7"/>
  <c r="H655" i="7"/>
  <c r="K40" i="7"/>
  <c r="H63" i="7"/>
  <c r="H178" i="7"/>
  <c r="H296" i="7"/>
  <c r="K334" i="7"/>
  <c r="H344" i="7"/>
  <c r="K350" i="7"/>
  <c r="H437" i="7"/>
  <c r="K481" i="7"/>
  <c r="K529" i="7"/>
  <c r="H804" i="7"/>
  <c r="K845" i="7"/>
  <c r="K1053" i="7"/>
  <c r="H1114" i="7"/>
  <c r="K1139" i="7"/>
  <c r="H1305" i="7"/>
  <c r="K1458" i="7"/>
  <c r="H1497" i="7"/>
  <c r="H1730" i="7"/>
  <c r="H1746" i="7"/>
  <c r="K1803" i="7"/>
  <c r="H907" i="7"/>
  <c r="H1098" i="7"/>
  <c r="H1320" i="7"/>
  <c r="H1355" i="7"/>
  <c r="H1473" i="7"/>
  <c r="H1556" i="7"/>
  <c r="K1568" i="7"/>
  <c r="H1591" i="7"/>
  <c r="K1625" i="7"/>
  <c r="K1638" i="7"/>
  <c r="H1756" i="7"/>
  <c r="H1791" i="7"/>
  <c r="H1807" i="7"/>
  <c r="H2000" i="7"/>
  <c r="H230" i="7"/>
  <c r="H513" i="7"/>
  <c r="K807" i="7"/>
  <c r="H1900" i="7"/>
  <c r="H109" i="7"/>
  <c r="K1834" i="7"/>
  <c r="H691" i="7"/>
  <c r="H1866" i="7"/>
  <c r="H1990" i="7"/>
  <c r="H711" i="7"/>
  <c r="H508" i="7"/>
  <c r="H657" i="7"/>
  <c r="K818" i="7"/>
  <c r="K1104" i="7"/>
  <c r="K1190" i="7"/>
  <c r="H1298" i="7"/>
  <c r="H185" i="7"/>
  <c r="H424" i="7"/>
  <c r="H1354" i="7"/>
  <c r="H1834" i="7"/>
  <c r="H2018" i="7"/>
  <c r="H1488" i="7"/>
  <c r="K1069" i="7"/>
  <c r="K1831" i="7"/>
  <c r="H1977" i="7"/>
  <c r="H453" i="7"/>
  <c r="H936" i="7"/>
  <c r="H1625" i="7"/>
  <c r="H1869" i="7"/>
  <c r="H447" i="7"/>
  <c r="H799" i="7"/>
  <c r="H1225" i="7"/>
  <c r="H460" i="7"/>
  <c r="K91" i="7"/>
  <c r="K247" i="7"/>
  <c r="K279" i="7"/>
  <c r="K282" i="7"/>
  <c r="H289" i="7"/>
  <c r="H486" i="7"/>
  <c r="H540" i="7"/>
  <c r="H546" i="7"/>
  <c r="H556" i="7"/>
  <c r="K695" i="7"/>
  <c r="H854" i="7"/>
  <c r="H889" i="7"/>
  <c r="K1441" i="7"/>
  <c r="H1696" i="7"/>
  <c r="H338" i="7"/>
  <c r="H678" i="7"/>
  <c r="K52" i="7"/>
  <c r="K1186" i="7"/>
  <c r="H1717" i="7"/>
  <c r="H72" i="7"/>
  <c r="H425" i="7"/>
  <c r="H698" i="7"/>
  <c r="H1212" i="7"/>
  <c r="H1952" i="7"/>
  <c r="H70" i="7"/>
  <c r="K85" i="7"/>
  <c r="H114" i="7"/>
  <c r="K260" i="7"/>
  <c r="H286" i="7"/>
  <c r="H346" i="7"/>
  <c r="K352" i="7"/>
  <c r="H610" i="7"/>
  <c r="K654" i="7"/>
  <c r="H689" i="7"/>
  <c r="H788" i="7"/>
  <c r="K943" i="7"/>
  <c r="H1017" i="7"/>
  <c r="H1089" i="7"/>
  <c r="K1117" i="7"/>
  <c r="K1149" i="7"/>
  <c r="K1165" i="7"/>
  <c r="H1210" i="7"/>
  <c r="H1782" i="7"/>
  <c r="H1792" i="7"/>
  <c r="H1851" i="7"/>
  <c r="H1918" i="7"/>
  <c r="H1969" i="7"/>
  <c r="H675" i="7"/>
  <c r="K79" i="7"/>
  <c r="K206" i="7"/>
  <c r="H229" i="7"/>
  <c r="K238" i="7"/>
  <c r="K257" i="7"/>
  <c r="K349" i="7"/>
  <c r="K397" i="7"/>
  <c r="K432" i="7"/>
  <c r="H464" i="7"/>
  <c r="K473" i="7"/>
  <c r="H480" i="7"/>
  <c r="H534" i="7"/>
  <c r="K619" i="7"/>
  <c r="H712" i="7"/>
  <c r="K876" i="7"/>
  <c r="K924" i="7"/>
  <c r="H1096" i="7"/>
  <c r="H1121" i="7"/>
  <c r="H1153" i="7"/>
  <c r="H1248" i="7"/>
  <c r="K1365" i="7"/>
  <c r="H1388" i="7"/>
  <c r="H1455" i="7"/>
  <c r="K1464" i="7"/>
  <c r="H1471" i="7"/>
  <c r="K1696" i="7"/>
  <c r="K1712" i="7"/>
  <c r="K1908" i="7"/>
  <c r="H1921" i="7"/>
  <c r="K1940" i="7"/>
  <c r="H2020" i="7"/>
  <c r="K134" i="7"/>
  <c r="H865" i="7"/>
  <c r="H726" i="7"/>
  <c r="H1310" i="7"/>
  <c r="K429" i="7"/>
  <c r="K470" i="7"/>
  <c r="H477" i="7"/>
  <c r="H493" i="7"/>
  <c r="K518" i="7"/>
  <c r="H531" i="7"/>
  <c r="H677" i="7"/>
  <c r="H782" i="7"/>
  <c r="K803" i="7"/>
  <c r="K937" i="7"/>
  <c r="K953" i="7"/>
  <c r="H1102" i="7"/>
  <c r="H1280" i="7"/>
  <c r="H1436" i="7"/>
  <c r="K1528" i="7"/>
  <c r="K1531" i="7"/>
  <c r="K1779" i="7"/>
  <c r="H1827" i="7"/>
  <c r="H1899" i="7"/>
  <c r="H1915" i="7"/>
  <c r="H182" i="7"/>
  <c r="K147" i="7"/>
  <c r="H399" i="7"/>
  <c r="K49" i="7"/>
  <c r="H1233" i="7"/>
  <c r="H369" i="7"/>
  <c r="H601" i="7"/>
  <c r="H922" i="7"/>
  <c r="K1001" i="7"/>
  <c r="H1484" i="7"/>
  <c r="H1818" i="7"/>
  <c r="H1855" i="7"/>
  <c r="K223" i="7"/>
  <c r="H494" i="7"/>
  <c r="K1144" i="7"/>
  <c r="H1558" i="7"/>
  <c r="H418" i="7"/>
  <c r="K1141" i="7"/>
  <c r="H1752" i="7"/>
  <c r="H307" i="7"/>
  <c r="K1520" i="7"/>
  <c r="H1380" i="7"/>
  <c r="H102" i="7"/>
  <c r="H204" i="7"/>
  <c r="H290" i="7"/>
  <c r="H458" i="7"/>
  <c r="H503" i="7"/>
  <c r="H29" i="7"/>
  <c r="H71" i="7"/>
  <c r="K92" i="7"/>
  <c r="H274" i="7"/>
  <c r="H287" i="7"/>
  <c r="H293" i="7"/>
  <c r="H334" i="7"/>
  <c r="H347" i="7"/>
  <c r="K385" i="7"/>
  <c r="K658" i="7"/>
  <c r="H690" i="7"/>
  <c r="K747" i="7"/>
  <c r="H798" i="7"/>
  <c r="H820" i="7"/>
  <c r="K896" i="7"/>
  <c r="H992" i="7"/>
  <c r="K1033" i="7"/>
  <c r="K1074" i="7"/>
  <c r="H1100" i="7"/>
  <c r="H1115" i="7"/>
  <c r="H1481" i="7"/>
  <c r="K1516" i="7"/>
  <c r="H1526" i="7"/>
  <c r="H1545" i="7"/>
  <c r="H1561" i="7"/>
  <c r="H1599" i="7"/>
  <c r="H1605" i="7"/>
  <c r="K1668" i="7"/>
  <c r="H1707" i="7"/>
  <c r="K1719" i="7"/>
  <c r="K1751" i="7"/>
  <c r="H1777" i="7"/>
  <c r="K1786" i="7"/>
  <c r="H1812" i="7"/>
  <c r="H1887" i="7"/>
  <c r="H160" i="7"/>
  <c r="H220" i="7"/>
  <c r="K232" i="7"/>
  <c r="K302" i="7"/>
  <c r="K437" i="7"/>
  <c r="K443" i="7"/>
  <c r="K465" i="7"/>
  <c r="H475" i="7"/>
  <c r="H680" i="7"/>
  <c r="K686" i="7"/>
  <c r="H866" i="7"/>
  <c r="K970" i="7"/>
  <c r="K1027" i="7"/>
  <c r="K1197" i="7"/>
  <c r="H1207" i="7"/>
  <c r="H1213" i="7"/>
  <c r="H1238" i="7"/>
  <c r="K1269" i="7"/>
  <c r="H1282" i="7"/>
  <c r="H1383" i="7"/>
  <c r="K1452" i="7"/>
  <c r="K1540" i="7"/>
  <c r="H1550" i="7"/>
  <c r="K1559" i="7"/>
  <c r="K1571" i="7"/>
  <c r="H1718" i="7"/>
  <c r="H1892" i="7"/>
  <c r="K1904" i="7"/>
  <c r="K1929" i="7"/>
  <c r="K1948" i="7"/>
  <c r="K1973" i="7"/>
  <c r="K2011" i="7"/>
  <c r="H26" i="7"/>
  <c r="H32" i="7"/>
  <c r="K47" i="7"/>
  <c r="H122" i="7"/>
  <c r="K226" i="7"/>
  <c r="H750" i="7"/>
  <c r="H939" i="7"/>
  <c r="H1117" i="7"/>
  <c r="H1148" i="7"/>
  <c r="H1257" i="7"/>
  <c r="H1437" i="7"/>
  <c r="K1537" i="7"/>
  <c r="H1547" i="7"/>
  <c r="H1825" i="7"/>
  <c r="H1871" i="7"/>
  <c r="H48" i="7"/>
  <c r="H51" i="7"/>
  <c r="H82" i="7"/>
  <c r="H91" i="7"/>
  <c r="H116" i="7"/>
  <c r="H132" i="7"/>
  <c r="K163" i="7"/>
  <c r="H192" i="7"/>
  <c r="H214" i="7"/>
  <c r="H252" i="7"/>
  <c r="K277" i="7"/>
  <c r="K296" i="7"/>
  <c r="K324" i="7"/>
  <c r="K346" i="7"/>
  <c r="H394" i="7"/>
  <c r="H407" i="7"/>
  <c r="K416" i="7"/>
  <c r="H507" i="7"/>
  <c r="K519" i="7"/>
  <c r="H646" i="7"/>
  <c r="K699" i="7"/>
  <c r="K702" i="7"/>
  <c r="H706" i="7"/>
  <c r="K781" i="7"/>
  <c r="K888" i="7"/>
  <c r="K920" i="7"/>
  <c r="K1077" i="7"/>
  <c r="K1080" i="7"/>
  <c r="H1145" i="7"/>
  <c r="K1185" i="7"/>
  <c r="H1204" i="7"/>
  <c r="H1226" i="7"/>
  <c r="H1273" i="7"/>
  <c r="H1289" i="7"/>
  <c r="K1405" i="7"/>
  <c r="H1434" i="7"/>
  <c r="K1462" i="7"/>
  <c r="K1509" i="7"/>
  <c r="H1519" i="7"/>
  <c r="H1578" i="7"/>
  <c r="H1621" i="7"/>
  <c r="H1646" i="7"/>
  <c r="K1674" i="7"/>
  <c r="H1693" i="7"/>
  <c r="K1702" i="7"/>
  <c r="K1762" i="7"/>
  <c r="H1775" i="7"/>
  <c r="H1797" i="7"/>
  <c r="K1837" i="7"/>
  <c r="K1852" i="7"/>
  <c r="H1865" i="7"/>
  <c r="H1868" i="7"/>
  <c r="K1892" i="7"/>
  <c r="K1914" i="7"/>
  <c r="H1930" i="7"/>
  <c r="H1955" i="7"/>
  <c r="H2015" i="7"/>
  <c r="H1409" i="7"/>
  <c r="K1880" i="7"/>
  <c r="H703" i="7"/>
  <c r="H1239" i="7"/>
  <c r="H1703" i="7"/>
  <c r="K1709" i="7"/>
  <c r="K1797" i="7"/>
  <c r="H1810" i="7"/>
  <c r="K1905" i="7"/>
  <c r="H234" i="7"/>
  <c r="K278" i="7"/>
  <c r="H304" i="7"/>
  <c r="H319" i="7"/>
  <c r="K344" i="7"/>
  <c r="K347" i="7"/>
  <c r="K366" i="7"/>
  <c r="K457" i="7"/>
  <c r="K479" i="7"/>
  <c r="K640" i="7"/>
  <c r="H653" i="7"/>
  <c r="K662" i="7"/>
  <c r="K700" i="7"/>
  <c r="H710" i="7"/>
  <c r="K760" i="7"/>
  <c r="H767" i="7"/>
  <c r="H795" i="7"/>
  <c r="K813" i="7"/>
  <c r="K905" i="7"/>
  <c r="H912" i="7"/>
  <c r="K921" i="7"/>
  <c r="H953" i="7"/>
  <c r="H1010" i="7"/>
  <c r="K1142" i="7"/>
  <c r="H1252" i="7"/>
  <c r="K1299" i="7"/>
  <c r="H1353" i="7"/>
  <c r="K1371" i="7"/>
  <c r="H1384" i="7"/>
  <c r="K1387" i="7"/>
  <c r="H1454" i="7"/>
  <c r="H1470" i="7"/>
  <c r="H1492" i="7"/>
  <c r="H1517" i="7"/>
  <c r="H1576" i="7"/>
  <c r="K1585" i="7"/>
  <c r="H1632" i="7"/>
  <c r="H1647" i="7"/>
  <c r="K1653" i="7"/>
  <c r="H1754" i="7"/>
  <c r="H1757" i="7"/>
  <c r="K1890" i="7"/>
  <c r="K1924" i="7"/>
  <c r="K1990" i="7"/>
  <c r="H1997" i="7"/>
  <c r="K2006" i="7"/>
  <c r="K1238" i="7"/>
  <c r="H1822" i="7"/>
  <c r="H643" i="7"/>
  <c r="H1538" i="7"/>
  <c r="H807" i="7"/>
  <c r="H199" i="7"/>
  <c r="H511" i="7"/>
  <c r="H599" i="7"/>
  <c r="H1013" i="7"/>
  <c r="H1290" i="7"/>
  <c r="H1356" i="7"/>
  <c r="H1956" i="7"/>
  <c r="H488" i="7"/>
  <c r="K1292" i="7"/>
  <c r="K103" i="7"/>
  <c r="H272" i="7"/>
  <c r="H133" i="7"/>
  <c r="K183" i="7"/>
  <c r="H209" i="7"/>
  <c r="K243" i="7"/>
  <c r="H269" i="7"/>
  <c r="H326" i="7"/>
  <c r="H389" i="7"/>
  <c r="H433" i="7"/>
  <c r="H518" i="7"/>
  <c r="K577" i="7"/>
  <c r="K618" i="7"/>
  <c r="H666" i="7"/>
  <c r="K675" i="7"/>
  <c r="K691" i="7"/>
  <c r="H745" i="7"/>
  <c r="H1190" i="7"/>
  <c r="K1258" i="7"/>
  <c r="K1315" i="7"/>
  <c r="K1356" i="7"/>
  <c r="K1381" i="7"/>
  <c r="K1413" i="7"/>
  <c r="H1432" i="7"/>
  <c r="H1467" i="7"/>
  <c r="K1532" i="7"/>
  <c r="H1635" i="7"/>
  <c r="H1779" i="7"/>
  <c r="K1804" i="7"/>
  <c r="H1842" i="7"/>
  <c r="H1903" i="7"/>
  <c r="K1984" i="7"/>
  <c r="H233" i="7"/>
  <c r="K419" i="7"/>
  <c r="K734" i="7"/>
  <c r="K375" i="7"/>
  <c r="H1245" i="7"/>
  <c r="K1173" i="7"/>
  <c r="H120" i="7"/>
  <c r="H65" i="7"/>
  <c r="K80" i="7"/>
  <c r="K86" i="7"/>
  <c r="H95" i="7"/>
  <c r="K149" i="7"/>
  <c r="K196" i="7"/>
  <c r="K234" i="7"/>
  <c r="H250" i="7"/>
  <c r="H361" i="7"/>
  <c r="H455" i="7"/>
  <c r="K467" i="7"/>
  <c r="H474" i="7"/>
  <c r="K508" i="7"/>
  <c r="H521" i="7"/>
  <c r="H524" i="7"/>
  <c r="H887" i="7"/>
  <c r="H966" i="7"/>
  <c r="H1026" i="7"/>
  <c r="H1051" i="7"/>
  <c r="H1589" i="7"/>
  <c r="H1657" i="7"/>
  <c r="H1066" i="7"/>
  <c r="K266" i="7"/>
  <c r="K285" i="7"/>
  <c r="K461" i="7"/>
  <c r="H559" i="7"/>
  <c r="H603" i="7"/>
  <c r="H625" i="7"/>
  <c r="H916" i="7"/>
  <c r="K950" i="7"/>
  <c r="H960" i="7"/>
  <c r="H998" i="7"/>
  <c r="K1007" i="7"/>
  <c r="K1051" i="7"/>
  <c r="K1094" i="7"/>
  <c r="H1101" i="7"/>
  <c r="K1134" i="7"/>
  <c r="K1143" i="7"/>
  <c r="H1300" i="7"/>
  <c r="H1325" i="7"/>
  <c r="H1335" i="7"/>
  <c r="K1391" i="7"/>
  <c r="H1486" i="7"/>
  <c r="K1598" i="7"/>
  <c r="K1663" i="7"/>
  <c r="K1688" i="7"/>
  <c r="H1786" i="7"/>
  <c r="H1789" i="7"/>
  <c r="H1910" i="7"/>
  <c r="H1925" i="7"/>
  <c r="K1947" i="7"/>
  <c r="K1975" i="7"/>
  <c r="K477" i="7"/>
  <c r="K480" i="7"/>
  <c r="K549" i="7"/>
  <c r="K625" i="7"/>
  <c r="H632" i="7"/>
  <c r="H648" i="7"/>
  <c r="H673" i="7"/>
  <c r="K701" i="7"/>
  <c r="K827" i="7"/>
  <c r="K922" i="7"/>
  <c r="K925" i="7"/>
  <c r="K928" i="7"/>
  <c r="K1023" i="7"/>
  <c r="H1036" i="7"/>
  <c r="H1055" i="7"/>
  <c r="H1138" i="7"/>
  <c r="H1209" i="7"/>
  <c r="H1256" i="7"/>
  <c r="H1338" i="7"/>
  <c r="H1483" i="7"/>
  <c r="K1900" i="7"/>
  <c r="K1925" i="7"/>
  <c r="K1944" i="7"/>
  <c r="H1954" i="7"/>
  <c r="K2007" i="7"/>
  <c r="H1095" i="7"/>
  <c r="K1122" i="7"/>
  <c r="H1144" i="7"/>
  <c r="H1147" i="7"/>
  <c r="H1160" i="7"/>
  <c r="H1175" i="7"/>
  <c r="H1253" i="7"/>
  <c r="H1307" i="7"/>
  <c r="H1363" i="7"/>
  <c r="K1369" i="7"/>
  <c r="H1474" i="7"/>
  <c r="K1623" i="7"/>
  <c r="K1626" i="7"/>
  <c r="H1664" i="7"/>
  <c r="H1680" i="7"/>
  <c r="K1701" i="7"/>
  <c r="K1720" i="7"/>
  <c r="H1755" i="7"/>
  <c r="H1758" i="7"/>
  <c r="K1276" i="7"/>
  <c r="K1649" i="7"/>
  <c r="H249" i="7"/>
  <c r="H1192" i="7"/>
  <c r="H1223" i="7"/>
  <c r="H1406" i="7"/>
  <c r="H1447" i="7"/>
  <c r="H479" i="7"/>
  <c r="H605" i="7"/>
  <c r="H1112" i="7"/>
  <c r="H264" i="7"/>
  <c r="K295" i="7"/>
  <c r="H594" i="7"/>
  <c r="H749" i="7"/>
  <c r="H828" i="7"/>
  <c r="H872" i="7"/>
  <c r="H888" i="7"/>
  <c r="H948" i="7"/>
  <c r="H1163" i="7"/>
  <c r="H1449" i="7"/>
  <c r="H1568" i="7"/>
  <c r="H1655" i="7"/>
  <c r="K1827" i="7"/>
  <c r="H1867" i="7"/>
  <c r="K1873" i="7"/>
  <c r="H1895" i="7"/>
  <c r="K1910" i="7"/>
  <c r="H1932" i="7"/>
  <c r="H1992" i="7"/>
  <c r="K1213" i="7"/>
  <c r="H208" i="7"/>
  <c r="K1437" i="7"/>
  <c r="H1535" i="7"/>
  <c r="H987" i="7"/>
  <c r="H1324" i="7"/>
  <c r="K111" i="7"/>
  <c r="H200" i="7"/>
  <c r="H22" i="7"/>
  <c r="H38" i="7"/>
  <c r="H47" i="7"/>
  <c r="H163" i="7"/>
  <c r="K178" i="7"/>
  <c r="K235" i="7"/>
  <c r="H261" i="7"/>
  <c r="K355" i="7"/>
  <c r="H371" i="7"/>
  <c r="K452" i="7"/>
  <c r="H519" i="7"/>
  <c r="H550" i="7"/>
  <c r="K597" i="7"/>
  <c r="K670" i="7"/>
  <c r="H809" i="7"/>
  <c r="H825" i="7"/>
  <c r="K1036" i="7"/>
  <c r="K1061" i="7"/>
  <c r="K1135" i="7"/>
  <c r="K1138" i="7"/>
  <c r="K1203" i="7"/>
  <c r="H1244" i="7"/>
  <c r="K1250" i="7"/>
  <c r="H1323" i="7"/>
  <c r="H1376" i="7"/>
  <c r="K1398" i="7"/>
  <c r="H1487" i="7"/>
  <c r="K1505" i="7"/>
  <c r="H1509" i="7"/>
  <c r="K1577" i="7"/>
  <c r="K1580" i="7"/>
  <c r="H1590" i="7"/>
  <c r="H1602" i="7"/>
  <c r="H1608" i="7"/>
  <c r="K1667" i="7"/>
  <c r="K1749" i="7"/>
  <c r="H1831" i="7"/>
  <c r="H1920" i="7"/>
  <c r="K75" i="7"/>
  <c r="K121" i="7"/>
  <c r="H144" i="7"/>
  <c r="K162" i="7"/>
  <c r="K189" i="7"/>
  <c r="K211" i="7"/>
  <c r="H218" i="7"/>
  <c r="K245" i="7"/>
  <c r="K264" i="7"/>
  <c r="H277" i="7"/>
  <c r="H305" i="7"/>
  <c r="K323" i="7"/>
  <c r="H330" i="7"/>
  <c r="H355" i="7"/>
  <c r="H377" i="7"/>
  <c r="K414" i="7"/>
  <c r="K423" i="7"/>
  <c r="K531" i="7"/>
  <c r="H647" i="7"/>
  <c r="K874" i="7"/>
  <c r="H1003" i="7"/>
  <c r="H1292" i="7"/>
  <c r="H141" i="7"/>
  <c r="K159" i="7"/>
  <c r="K174" i="7"/>
  <c r="K242" i="7"/>
  <c r="H268" i="7"/>
  <c r="H271" i="7"/>
  <c r="K292" i="7"/>
  <c r="K320" i="7"/>
  <c r="K339" i="7"/>
  <c r="K361" i="7"/>
  <c r="K383" i="7"/>
  <c r="K386" i="7"/>
  <c r="H430" i="7"/>
  <c r="K451" i="7"/>
  <c r="H461" i="7"/>
  <c r="H473" i="7"/>
  <c r="H491" i="7"/>
  <c r="H535" i="7"/>
  <c r="H557" i="7"/>
  <c r="H600" i="7"/>
  <c r="K606" i="7"/>
  <c r="K653" i="7"/>
  <c r="H719" i="7"/>
  <c r="K737" i="7"/>
  <c r="K759" i="7"/>
  <c r="H766" i="7"/>
  <c r="K787" i="7"/>
  <c r="H1056" i="7"/>
  <c r="K93" i="7"/>
  <c r="K96" i="7"/>
  <c r="K115" i="7"/>
  <c r="H154" i="7"/>
  <c r="H190" i="7"/>
  <c r="K205" i="7"/>
  <c r="K283" i="7"/>
  <c r="K305" i="7"/>
  <c r="K314" i="7"/>
  <c r="H349" i="7"/>
  <c r="K358" i="7"/>
  <c r="H427" i="7"/>
  <c r="K439" i="7"/>
  <c r="K445" i="7"/>
  <c r="K482" i="7"/>
  <c r="K488" i="7"/>
  <c r="H532" i="7"/>
  <c r="K563" i="7"/>
  <c r="K578" i="7"/>
  <c r="K603" i="7"/>
  <c r="K634" i="7"/>
  <c r="K684" i="7"/>
  <c r="H697" i="7"/>
  <c r="K706" i="7"/>
  <c r="K709" i="7"/>
  <c r="K756" i="7"/>
  <c r="H794" i="7"/>
  <c r="K956" i="7"/>
  <c r="H1050" i="7"/>
  <c r="H1065" i="7"/>
  <c r="H1077" i="7"/>
  <c r="K1408" i="7"/>
  <c r="H1571" i="7"/>
  <c r="H1047" i="7"/>
  <c r="K1270" i="7"/>
  <c r="K141" i="7"/>
  <c r="H262" i="7"/>
  <c r="H359" i="7"/>
  <c r="H551" i="7"/>
  <c r="K557" i="7"/>
  <c r="H588" i="7"/>
  <c r="H660" i="7"/>
  <c r="H688" i="7"/>
  <c r="H738" i="7"/>
  <c r="H776" i="7"/>
  <c r="K884" i="7"/>
  <c r="K1065" i="7"/>
  <c r="H669" i="7"/>
  <c r="H27" i="7"/>
  <c r="K58" i="7"/>
  <c r="K61" i="7"/>
  <c r="K76" i="7"/>
  <c r="K88" i="7"/>
  <c r="K151" i="7"/>
  <c r="K181" i="7"/>
  <c r="K184" i="7"/>
  <c r="K187" i="7"/>
  <c r="K209" i="7"/>
  <c r="K212" i="7"/>
  <c r="H216" i="7"/>
  <c r="H306" i="7"/>
  <c r="K610" i="7"/>
  <c r="H651" i="7"/>
  <c r="H985" i="7"/>
  <c r="K144" i="7"/>
  <c r="K491" i="7"/>
  <c r="H175" i="7"/>
  <c r="H40" i="7"/>
  <c r="H123" i="7"/>
  <c r="K132" i="7"/>
  <c r="K148" i="7"/>
  <c r="H372" i="7"/>
  <c r="K409" i="7"/>
  <c r="K446" i="7"/>
  <c r="H462" i="7"/>
  <c r="K483" i="7"/>
  <c r="K495" i="7"/>
  <c r="H533" i="7"/>
  <c r="K579" i="7"/>
  <c r="K635" i="7"/>
  <c r="H642" i="7"/>
  <c r="H692" i="7"/>
  <c r="K710" i="7"/>
  <c r="H732" i="7"/>
  <c r="K1004" i="7"/>
  <c r="H1105" i="7"/>
  <c r="H1246" i="7"/>
  <c r="H1365" i="7"/>
  <c r="K1374" i="7"/>
  <c r="H1513" i="7"/>
  <c r="K1764" i="7"/>
  <c r="K129" i="7"/>
  <c r="H139" i="7"/>
  <c r="H664" i="7"/>
  <c r="K854" i="7"/>
  <c r="H873" i="7"/>
  <c r="H945" i="7"/>
  <c r="K954" i="7"/>
  <c r="H663" i="7"/>
  <c r="K46" i="7"/>
  <c r="H56" i="7"/>
  <c r="H59" i="7"/>
  <c r="K126" i="7"/>
  <c r="K142" i="7"/>
  <c r="K194" i="7"/>
  <c r="K216" i="7"/>
  <c r="H241" i="7"/>
  <c r="H294" i="7"/>
  <c r="K300" i="7"/>
  <c r="K331" i="7"/>
  <c r="H341" i="7"/>
  <c r="K403" i="7"/>
  <c r="H413" i="7"/>
  <c r="K428" i="7"/>
  <c r="K434" i="7"/>
  <c r="K471" i="7"/>
  <c r="K511" i="7"/>
  <c r="H530" i="7"/>
  <c r="H552" i="7"/>
  <c r="H611" i="7"/>
  <c r="K617" i="7"/>
  <c r="K620" i="7"/>
  <c r="K623" i="7"/>
  <c r="K826" i="7"/>
  <c r="H839" i="7"/>
  <c r="K1084" i="7"/>
  <c r="K1111" i="7"/>
  <c r="H1206" i="7"/>
  <c r="K1500" i="7"/>
  <c r="K1705" i="7"/>
  <c r="H1712" i="7"/>
  <c r="K1724" i="7"/>
  <c r="H602" i="7"/>
  <c r="K614" i="7"/>
  <c r="H658" i="7"/>
  <c r="H1922" i="7"/>
  <c r="K250" i="7"/>
  <c r="H332" i="7"/>
  <c r="K388" i="7"/>
  <c r="H410" i="7"/>
  <c r="K413" i="7"/>
  <c r="K422" i="7"/>
  <c r="K459" i="7"/>
  <c r="K499" i="7"/>
  <c r="K502" i="7"/>
  <c r="K521" i="7"/>
  <c r="K524" i="7"/>
  <c r="K552" i="7"/>
  <c r="K589" i="7"/>
  <c r="K642" i="7"/>
  <c r="K664" i="7"/>
  <c r="K667" i="7"/>
  <c r="K714" i="7"/>
  <c r="K761" i="7"/>
  <c r="K777" i="7"/>
  <c r="H1219" i="7"/>
  <c r="K1331" i="7"/>
  <c r="H1690" i="7"/>
  <c r="H1157" i="7"/>
  <c r="H1665" i="7"/>
  <c r="H130" i="7"/>
  <c r="K363" i="7"/>
  <c r="K179" i="7"/>
  <c r="K307" i="7"/>
  <c r="K382" i="7"/>
  <c r="H426" i="7"/>
  <c r="H429" i="7"/>
  <c r="K583" i="7"/>
  <c r="H609" i="7"/>
  <c r="K636" i="7"/>
  <c r="K649" i="7"/>
  <c r="K661" i="7"/>
  <c r="H674" i="7"/>
  <c r="K708" i="7"/>
  <c r="H730" i="7"/>
  <c r="K867" i="7"/>
  <c r="K914" i="7"/>
  <c r="H971" i="7"/>
  <c r="K1039" i="7"/>
  <c r="H1046" i="7"/>
  <c r="K1112" i="7"/>
  <c r="H1133" i="7"/>
  <c r="H1185" i="7"/>
  <c r="K1288" i="7"/>
  <c r="K1322" i="7"/>
  <c r="K1467" i="7"/>
  <c r="H1644" i="7"/>
  <c r="H1864" i="7"/>
  <c r="K155" i="7"/>
  <c r="K244" i="7"/>
  <c r="H44" i="7"/>
  <c r="K68" i="7"/>
  <c r="H57" i="7"/>
  <c r="H66" i="7"/>
  <c r="H90" i="7"/>
  <c r="K114" i="7"/>
  <c r="H124" i="7"/>
  <c r="K146" i="7"/>
  <c r="H180" i="7"/>
  <c r="H183" i="7"/>
  <c r="K195" i="7"/>
  <c r="K198" i="7"/>
  <c r="K254" i="7"/>
  <c r="K276" i="7"/>
  <c r="H298" i="7"/>
  <c r="K301" i="7"/>
  <c r="H323" i="7"/>
  <c r="H367" i="7"/>
  <c r="H373" i="7"/>
  <c r="H383" i="7"/>
  <c r="K404" i="7"/>
  <c r="K435" i="7"/>
  <c r="K472" i="7"/>
  <c r="H497" i="7"/>
  <c r="K506" i="7"/>
  <c r="K509" i="7"/>
  <c r="K559" i="7"/>
  <c r="H746" i="7"/>
  <c r="H1182" i="7"/>
  <c r="K191" i="7"/>
  <c r="K81" i="7"/>
  <c r="H96" i="7"/>
  <c r="H159" i="7"/>
  <c r="K192" i="7"/>
  <c r="H227" i="7"/>
  <c r="K251" i="7"/>
  <c r="H258" i="7"/>
  <c r="K267" i="7"/>
  <c r="K270" i="7"/>
  <c r="H311" i="7"/>
  <c r="H358" i="7"/>
  <c r="K373" i="7"/>
  <c r="K401" i="7"/>
  <c r="K426" i="7"/>
  <c r="H451" i="7"/>
  <c r="K534" i="7"/>
  <c r="H578" i="7"/>
  <c r="H584" i="7"/>
  <c r="K593" i="7"/>
  <c r="K718" i="7"/>
  <c r="K724" i="7"/>
  <c r="H734" i="7"/>
  <c r="K790" i="7"/>
  <c r="K793" i="7"/>
  <c r="K796" i="7"/>
  <c r="K802" i="7"/>
  <c r="K824" i="7"/>
  <c r="H868" i="7"/>
  <c r="K877" i="7"/>
  <c r="K880" i="7"/>
  <c r="K889" i="7"/>
  <c r="K908" i="7"/>
  <c r="K1018" i="7"/>
  <c r="K1021" i="7"/>
  <c r="K1030" i="7"/>
  <c r="K1067" i="7"/>
  <c r="K1082" i="7"/>
  <c r="K1118" i="7"/>
  <c r="K1154" i="7"/>
  <c r="H1173" i="7"/>
  <c r="H1301" i="7"/>
  <c r="H1619" i="7"/>
  <c r="H1801" i="7"/>
  <c r="H1804" i="7"/>
  <c r="H2002" i="7"/>
  <c r="H2021" i="7"/>
  <c r="K1196" i="7"/>
  <c r="H1254" i="7"/>
  <c r="K1352" i="7"/>
  <c r="K1355" i="7"/>
  <c r="K1373" i="7"/>
  <c r="H1500" i="7"/>
  <c r="K1515" i="7"/>
  <c r="H1534" i="7"/>
  <c r="K1564" i="7"/>
  <c r="K1589" i="7"/>
  <c r="H1595" i="7"/>
  <c r="K1640" i="7"/>
  <c r="K1683" i="7"/>
  <c r="K1717" i="7"/>
  <c r="K1733" i="7"/>
  <c r="K1788" i="7"/>
  <c r="H1965" i="7"/>
  <c r="K1986" i="7"/>
  <c r="K1989" i="7"/>
  <c r="H1999" i="7"/>
  <c r="K2008" i="7"/>
  <c r="K1181" i="7"/>
  <c r="H1276" i="7"/>
  <c r="H1288" i="7"/>
  <c r="K1291" i="7"/>
  <c r="K1300" i="7"/>
  <c r="K1340" i="7"/>
  <c r="H1393" i="7"/>
  <c r="H1439" i="7"/>
  <c r="K1488" i="7"/>
  <c r="H1494" i="7"/>
  <c r="K1543" i="7"/>
  <c r="K1546" i="7"/>
  <c r="K1586" i="7"/>
  <c r="K1595" i="7"/>
  <c r="K1616" i="7"/>
  <c r="K1631" i="7"/>
  <c r="K1714" i="7"/>
  <c r="K1739" i="7"/>
  <c r="H1749" i="7"/>
  <c r="K1770" i="7"/>
  <c r="K1813" i="7"/>
  <c r="K1816" i="7"/>
  <c r="H1897" i="7"/>
  <c r="K1909" i="7"/>
  <c r="K1937" i="7"/>
  <c r="H1996" i="7"/>
  <c r="H1446" i="7"/>
  <c r="H1489" i="7"/>
  <c r="H1587" i="7"/>
  <c r="H1641" i="7"/>
  <c r="H1678" i="7"/>
  <c r="H1734" i="7"/>
  <c r="H1941" i="7"/>
  <c r="H1972" i="7"/>
  <c r="H1978" i="7"/>
  <c r="K927" i="7"/>
  <c r="H1134" i="7"/>
  <c r="K1221" i="7"/>
  <c r="H1412" i="7"/>
  <c r="K1421" i="7"/>
  <c r="H1459" i="7"/>
  <c r="H1465" i="7"/>
  <c r="H1629" i="7"/>
  <c r="H1672" i="7"/>
  <c r="K1885" i="7"/>
  <c r="H2016" i="7"/>
  <c r="K732" i="7"/>
  <c r="H751" i="7"/>
  <c r="K754" i="7"/>
  <c r="H816" i="7"/>
  <c r="H819" i="7"/>
  <c r="H832" i="7"/>
  <c r="K902" i="7"/>
  <c r="K930" i="7"/>
  <c r="K986" i="7"/>
  <c r="K1011" i="7"/>
  <c r="K1017" i="7"/>
  <c r="H1027" i="7"/>
  <c r="H1081" i="7"/>
  <c r="K1119" i="7"/>
  <c r="K1125" i="7"/>
  <c r="H1155" i="7"/>
  <c r="K1158" i="7"/>
  <c r="K1167" i="7"/>
  <c r="H1195" i="7"/>
  <c r="H1216" i="7"/>
  <c r="K1240" i="7"/>
  <c r="K1243" i="7"/>
  <c r="K1261" i="7"/>
  <c r="H1311" i="7"/>
  <c r="K1335" i="7"/>
  <c r="K1338" i="7"/>
  <c r="K1347" i="7"/>
  <c r="K1350" i="7"/>
  <c r="K1362" i="7"/>
  <c r="K1384" i="7"/>
  <c r="H1425" i="7"/>
  <c r="H1431" i="7"/>
  <c r="H1440" i="7"/>
  <c r="H1523" i="7"/>
  <c r="H1529" i="7"/>
  <c r="K1541" i="7"/>
  <c r="H1569" i="7"/>
  <c r="H1572" i="7"/>
  <c r="K1605" i="7"/>
  <c r="K1611" i="7"/>
  <c r="H1700" i="7"/>
  <c r="K1728" i="7"/>
  <c r="K1731" i="7"/>
  <c r="K1734" i="7"/>
  <c r="K1765" i="7"/>
  <c r="K1768" i="7"/>
  <c r="H1790" i="7"/>
  <c r="K1823" i="7"/>
  <c r="H1830" i="7"/>
  <c r="H1889" i="7"/>
  <c r="K1935" i="7"/>
  <c r="K1960" i="7"/>
  <c r="K1969" i="7"/>
  <c r="K1972" i="7"/>
  <c r="K1978" i="7"/>
  <c r="H928" i="7"/>
  <c r="H1342" i="7"/>
  <c r="H1563" i="7"/>
  <c r="H1663" i="7"/>
  <c r="H1669" i="7"/>
  <c r="H1824" i="7"/>
  <c r="H1988" i="7"/>
  <c r="K615" i="7"/>
  <c r="H637" i="7"/>
  <c r="K748" i="7"/>
  <c r="H777" i="7"/>
  <c r="H801" i="7"/>
  <c r="K838" i="7"/>
  <c r="H848" i="7"/>
  <c r="K881" i="7"/>
  <c r="K912" i="7"/>
  <c r="H937" i="7"/>
  <c r="K940" i="7"/>
  <c r="K959" i="7"/>
  <c r="K962" i="7"/>
  <c r="H981" i="7"/>
  <c r="K1002" i="7"/>
  <c r="H1078" i="7"/>
  <c r="K1090" i="7"/>
  <c r="K1192" i="7"/>
  <c r="K1216" i="7"/>
  <c r="K1219" i="7"/>
  <c r="H1241" i="7"/>
  <c r="K1280" i="7"/>
  <c r="H1336" i="7"/>
  <c r="H1339" i="7"/>
  <c r="K1394" i="7"/>
  <c r="K1403" i="7"/>
  <c r="K1440" i="7"/>
  <c r="K1443" i="7"/>
  <c r="H1478" i="7"/>
  <c r="H1490" i="7"/>
  <c r="H1511" i="7"/>
  <c r="K1523" i="7"/>
  <c r="K1526" i="7"/>
  <c r="K1554" i="7"/>
  <c r="K1557" i="7"/>
  <c r="K1563" i="7"/>
  <c r="K1581" i="7"/>
  <c r="H1588" i="7"/>
  <c r="H1639" i="7"/>
  <c r="H1654" i="7"/>
  <c r="H1682" i="7"/>
  <c r="H1688" i="7"/>
  <c r="K1722" i="7"/>
  <c r="H1729" i="7"/>
  <c r="H1735" i="7"/>
  <c r="K1774" i="7"/>
  <c r="H1784" i="7"/>
  <c r="K1799" i="7"/>
  <c r="K1838" i="7"/>
  <c r="H1844" i="7"/>
  <c r="K1862" i="7"/>
  <c r="K1865" i="7"/>
  <c r="K1871" i="7"/>
  <c r="K1895" i="7"/>
  <c r="K1898" i="7"/>
  <c r="H1936" i="7"/>
  <c r="H1948" i="7"/>
  <c r="K1951" i="7"/>
  <c r="K1228" i="7"/>
  <c r="K1231" i="7"/>
  <c r="K1274" i="7"/>
  <c r="K1277" i="7"/>
  <c r="K1311" i="7"/>
  <c r="K1314" i="7"/>
  <c r="K1372" i="7"/>
  <c r="H1382" i="7"/>
  <c r="K1991" i="7"/>
  <c r="K1514" i="7"/>
  <c r="H1530" i="7"/>
  <c r="K1566" i="7"/>
  <c r="K1612" i="7"/>
  <c r="K1633" i="7"/>
  <c r="K1645" i="7"/>
  <c r="K1666" i="7"/>
  <c r="K1694" i="7"/>
  <c r="K1700" i="7"/>
  <c r="K1716" i="7"/>
  <c r="H1763" i="7"/>
  <c r="K1824" i="7"/>
  <c r="K1833" i="7"/>
  <c r="K1985" i="7"/>
  <c r="K1265" i="7"/>
  <c r="K1302" i="7"/>
  <c r="H1673" i="7"/>
  <c r="H2017" i="7"/>
  <c r="H161" i="7"/>
  <c r="K203" i="7"/>
  <c r="K225" i="7"/>
  <c r="K228" i="7"/>
  <c r="K231" i="7"/>
  <c r="K284" i="7"/>
  <c r="H297" i="7"/>
  <c r="H303" i="7"/>
  <c r="K315" i="7"/>
  <c r="H325" i="7"/>
  <c r="K337" i="7"/>
  <c r="K362" i="7"/>
  <c r="K387" i="7"/>
  <c r="K390" i="7"/>
  <c r="K393" i="7"/>
  <c r="H428" i="7"/>
  <c r="K455" i="7"/>
  <c r="H471" i="7"/>
  <c r="H489" i="7"/>
  <c r="H492" i="7"/>
  <c r="H505" i="7"/>
  <c r="K520" i="7"/>
  <c r="H548" i="7"/>
  <c r="H558" i="7"/>
  <c r="K567" i="7"/>
  <c r="K647" i="7"/>
  <c r="K656" i="7"/>
  <c r="K690" i="7"/>
  <c r="H694" i="7"/>
  <c r="H737" i="7"/>
  <c r="K755" i="7"/>
  <c r="H762" i="7"/>
  <c r="K771" i="7"/>
  <c r="H830" i="7"/>
  <c r="K839" i="7"/>
  <c r="H935" i="7"/>
  <c r="H938" i="7"/>
  <c r="K987" i="7"/>
  <c r="H1000" i="7"/>
  <c r="H1025" i="7"/>
  <c r="K1046" i="7"/>
  <c r="K1105" i="7"/>
  <c r="K1129" i="7"/>
  <c r="H1193" i="7"/>
  <c r="H1199" i="7"/>
  <c r="K1262" i="7"/>
  <c r="H1275" i="7"/>
  <c r="H1312" i="7"/>
  <c r="H1352" i="7"/>
  <c r="H1361" i="7"/>
  <c r="H1367" i="7"/>
  <c r="H1420" i="7"/>
  <c r="H1441" i="7"/>
  <c r="K1463" i="7"/>
  <c r="K1579" i="7"/>
  <c r="K1582" i="7"/>
  <c r="K1603" i="7"/>
  <c r="H1686" i="7"/>
  <c r="K1710" i="7"/>
  <c r="H1720" i="7"/>
  <c r="H1745" i="7"/>
  <c r="K1800" i="7"/>
  <c r="K1836" i="7"/>
  <c r="H1848" i="7"/>
  <c r="H1881" i="7"/>
  <c r="H1896" i="7"/>
  <c r="K1936" i="7"/>
  <c r="H1986" i="7"/>
  <c r="H781" i="7"/>
  <c r="H787" i="7"/>
  <c r="K836" i="7"/>
  <c r="H858" i="7"/>
  <c r="K894" i="7"/>
  <c r="K997" i="7"/>
  <c r="H1019" i="7"/>
  <c r="K1043" i="7"/>
  <c r="K1088" i="7"/>
  <c r="H1178" i="7"/>
  <c r="K1211" i="7"/>
  <c r="K1256" i="7"/>
  <c r="K1284" i="7"/>
  <c r="H1297" i="7"/>
  <c r="K1330" i="7"/>
  <c r="H1337" i="7"/>
  <c r="H1343" i="7"/>
  <c r="H1358" i="7"/>
  <c r="K1407" i="7"/>
  <c r="K1432" i="7"/>
  <c r="H1448" i="7"/>
  <c r="K1457" i="7"/>
  <c r="H1482" i="7"/>
  <c r="K1499" i="7"/>
  <c r="K1521" i="7"/>
  <c r="K1524" i="7"/>
  <c r="K1530" i="7"/>
  <c r="K1533" i="7"/>
  <c r="H1616" i="7"/>
  <c r="H1634" i="7"/>
  <c r="H1677" i="7"/>
  <c r="K1704" i="7"/>
  <c r="K1723" i="7"/>
  <c r="K1866" i="7"/>
  <c r="K1872" i="7"/>
  <c r="H1909" i="7"/>
  <c r="H165" i="7"/>
  <c r="H379" i="7"/>
  <c r="H504" i="7"/>
  <c r="K595" i="7"/>
  <c r="H1006" i="7"/>
  <c r="K168" i="7"/>
  <c r="H251" i="7"/>
  <c r="H75" i="7"/>
  <c r="K171" i="7"/>
  <c r="K36" i="7"/>
  <c r="H733" i="7"/>
  <c r="K1478" i="7"/>
  <c r="K33" i="7"/>
  <c r="K39" i="7"/>
  <c r="K1894" i="7"/>
  <c r="H145" i="7"/>
  <c r="K566" i="7"/>
  <c r="K27" i="7"/>
  <c r="K486" i="7"/>
  <c r="K1427" i="7"/>
  <c r="H2003" i="7"/>
  <c r="H255" i="7"/>
  <c r="H915" i="7"/>
  <c r="K1168" i="7"/>
  <c r="H1416" i="7"/>
  <c r="H1422" i="7"/>
  <c r="K102" i="7"/>
  <c r="K127" i="7"/>
  <c r="H225" i="7"/>
  <c r="K230" i="7"/>
  <c r="H802" i="7"/>
  <c r="K829" i="7"/>
  <c r="K875" i="7"/>
  <c r="K887" i="7"/>
  <c r="K1406" i="7"/>
  <c r="H1413" i="7"/>
  <c r="K1422" i="7"/>
  <c r="H649" i="7"/>
  <c r="H1092" i="7"/>
  <c r="K1419" i="7"/>
  <c r="K1425" i="7"/>
  <c r="H824" i="7"/>
  <c r="H882" i="7"/>
  <c r="K1086" i="7"/>
  <c r="K1401" i="7"/>
  <c r="H1404" i="7"/>
  <c r="K433" i="7"/>
  <c r="H292" i="7"/>
  <c r="H1171" i="7"/>
  <c r="H1180" i="7"/>
  <c r="H1904" i="7"/>
  <c r="K1919" i="7"/>
  <c r="H106" i="7"/>
  <c r="K384" i="7"/>
  <c r="K38" i="7"/>
  <c r="K41" i="7"/>
  <c r="K56" i="7"/>
  <c r="K71" i="7"/>
  <c r="K74" i="7"/>
  <c r="K106" i="7"/>
  <c r="K112" i="7"/>
  <c r="K213" i="7"/>
  <c r="K280" i="7"/>
  <c r="K286" i="7"/>
  <c r="K378" i="7"/>
  <c r="K515" i="7"/>
  <c r="K591" i="7"/>
  <c r="H595" i="7"/>
  <c r="H598" i="7"/>
  <c r="K616" i="7"/>
  <c r="K1337" i="7"/>
  <c r="K1346" i="7"/>
  <c r="K1349" i="7"/>
  <c r="K1392" i="7"/>
  <c r="H1316" i="7"/>
  <c r="H42" i="7"/>
  <c r="H979" i="7"/>
  <c r="H1222" i="7"/>
  <c r="H309" i="7"/>
  <c r="K248" i="7"/>
  <c r="H240" i="7"/>
  <c r="H68" i="7"/>
  <c r="K430" i="7"/>
  <c r="H74" i="7"/>
  <c r="K53" i="7"/>
  <c r="K94" i="7"/>
  <c r="K109" i="7"/>
  <c r="H351" i="7"/>
  <c r="H446" i="7"/>
  <c r="K738" i="7"/>
  <c r="H1018" i="7"/>
  <c r="H1560" i="7"/>
  <c r="H1548" i="7"/>
  <c r="H2019" i="7"/>
  <c r="K63" i="7"/>
  <c r="H443" i="7"/>
  <c r="K569" i="7"/>
  <c r="K572" i="7"/>
  <c r="H626" i="7"/>
  <c r="K676" i="7"/>
  <c r="K703" i="7"/>
  <c r="K1205" i="7"/>
  <c r="H1414" i="7"/>
  <c r="K1664" i="7"/>
  <c r="K1806" i="7"/>
  <c r="H1911" i="7"/>
  <c r="K31" i="7"/>
  <c r="K48" i="7"/>
  <c r="K54" i="7"/>
  <c r="K69" i="7"/>
  <c r="H126" i="7"/>
  <c r="K137" i="7"/>
  <c r="K166" i="7"/>
  <c r="K175" i="7"/>
  <c r="H184" i="7"/>
  <c r="K214" i="7"/>
  <c r="K246" i="7"/>
  <c r="K255" i="7"/>
  <c r="K261" i="7"/>
  <c r="H320" i="7"/>
  <c r="K343" i="7"/>
  <c r="H467" i="7"/>
  <c r="H484" i="7"/>
  <c r="K501" i="7"/>
  <c r="H620" i="7"/>
  <c r="H623" i="7"/>
  <c r="H659" i="7"/>
  <c r="H686" i="7"/>
  <c r="K764" i="7"/>
  <c r="K782" i="7"/>
  <c r="H847" i="7"/>
  <c r="K861" i="7"/>
  <c r="K931" i="7"/>
  <c r="K1075" i="7"/>
  <c r="K1259" i="7"/>
  <c r="H1299" i="7"/>
  <c r="H1399" i="7"/>
  <c r="H1402" i="7"/>
  <c r="H1536" i="7"/>
  <c r="K1548" i="7"/>
  <c r="H1650" i="7"/>
  <c r="K1812" i="7"/>
  <c r="K1821" i="7"/>
  <c r="H1872" i="7"/>
  <c r="K1886" i="7"/>
  <c r="K1901" i="7"/>
  <c r="K2000" i="7"/>
  <c r="H267" i="7"/>
  <c r="H567" i="7"/>
  <c r="H926" i="7"/>
  <c r="H1266" i="7"/>
  <c r="K1296" i="7"/>
  <c r="K1471" i="7"/>
  <c r="K1474" i="7"/>
  <c r="K1512" i="7"/>
  <c r="H1582" i="7"/>
  <c r="H1597" i="7"/>
  <c r="H1600" i="7"/>
  <c r="H1603" i="7"/>
  <c r="H1761" i="7"/>
  <c r="H1845" i="7"/>
  <c r="H1070" i="7"/>
  <c r="H1579" i="7"/>
  <c r="K677" i="7"/>
  <c r="H1059" i="7"/>
  <c r="K1116" i="7"/>
  <c r="K1287" i="7"/>
  <c r="K976" i="7"/>
  <c r="H223" i="7"/>
  <c r="K143" i="7"/>
  <c r="H58" i="7"/>
  <c r="K273" i="7"/>
  <c r="H314" i="7"/>
  <c r="H350" i="7"/>
  <c r="K398" i="7"/>
  <c r="H108" i="7"/>
  <c r="H408" i="7"/>
  <c r="K540" i="7"/>
  <c r="K740" i="7"/>
  <c r="H765" i="7"/>
  <c r="K23" i="7"/>
  <c r="K70" i="7"/>
  <c r="K117" i="7"/>
  <c r="K120" i="7"/>
  <c r="K135" i="7"/>
  <c r="K138" i="7"/>
  <c r="K167" i="7"/>
  <c r="H179" i="7"/>
  <c r="K253" i="7"/>
  <c r="K256" i="7"/>
  <c r="K262" i="7"/>
  <c r="K265" i="7"/>
  <c r="H291" i="7"/>
  <c r="K317" i="7"/>
  <c r="K326" i="7"/>
  <c r="H459" i="7"/>
  <c r="H829" i="7"/>
  <c r="K844" i="7"/>
  <c r="H1126" i="7"/>
  <c r="H1451" i="7"/>
  <c r="K1193" i="7"/>
  <c r="H1821" i="7"/>
  <c r="H1856" i="7"/>
  <c r="H64" i="7"/>
  <c r="H543" i="7"/>
  <c r="K202" i="7"/>
  <c r="K190" i="7"/>
  <c r="H215" i="7"/>
  <c r="H232" i="7"/>
  <c r="K395" i="7"/>
  <c r="K543" i="7"/>
  <c r="H768" i="7"/>
  <c r="H911" i="7"/>
  <c r="K108" i="7"/>
  <c r="K156" i="7"/>
  <c r="H194" i="7"/>
  <c r="H197" i="7"/>
  <c r="K224" i="7"/>
  <c r="K271" i="7"/>
  <c r="K288" i="7"/>
  <c r="H300" i="7"/>
  <c r="H312" i="7"/>
  <c r="H318" i="7"/>
  <c r="K368" i="7"/>
  <c r="H375" i="7"/>
  <c r="H402" i="7"/>
  <c r="K411" i="7"/>
  <c r="K462" i="7"/>
  <c r="H735" i="7"/>
  <c r="K911" i="7"/>
  <c r="H924" i="7"/>
  <c r="K1102" i="7"/>
  <c r="H1306" i="7"/>
  <c r="K1366" i="7"/>
  <c r="K1495" i="7"/>
  <c r="K1573" i="7"/>
  <c r="H1737" i="7"/>
  <c r="K712" i="7"/>
  <c r="K1404" i="7"/>
  <c r="K1707" i="7"/>
  <c r="K1997" i="7"/>
  <c r="K84" i="7"/>
  <c r="H219" i="7"/>
  <c r="H339" i="7"/>
  <c r="K449" i="7"/>
  <c r="H815" i="7"/>
  <c r="H871" i="7"/>
  <c r="H894" i="7"/>
  <c r="K974" i="7"/>
  <c r="K1169" i="7"/>
  <c r="H1172" i="7"/>
  <c r="H1189" i="7"/>
  <c r="H1303" i="7"/>
  <c r="H1493" i="7"/>
  <c r="K1737" i="7"/>
  <c r="K417" i="7"/>
  <c r="H672" i="7"/>
  <c r="K715" i="7"/>
  <c r="H842" i="7"/>
  <c r="H553" i="7"/>
  <c r="H573" i="7"/>
  <c r="K629" i="7"/>
  <c r="K35" i="7"/>
  <c r="H41" i="7"/>
  <c r="K55" i="7"/>
  <c r="K64" i="7"/>
  <c r="K78" i="7"/>
  <c r="H104" i="7"/>
  <c r="H207" i="7"/>
  <c r="H259" i="7"/>
  <c r="H273" i="7"/>
  <c r="H301" i="7"/>
  <c r="K330" i="7"/>
  <c r="H333" i="7"/>
  <c r="H385" i="7"/>
  <c r="H406" i="7"/>
  <c r="H415" i="7"/>
  <c r="K420" i="7"/>
  <c r="K460" i="7"/>
  <c r="K490" i="7"/>
  <c r="K513" i="7"/>
  <c r="H516" i="7"/>
  <c r="H525" i="7"/>
  <c r="H562" i="7"/>
  <c r="K581" i="7"/>
  <c r="K612" i="7"/>
  <c r="H615" i="7"/>
  <c r="H627" i="7"/>
  <c r="K632" i="7"/>
  <c r="H661" i="7"/>
  <c r="H775" i="7"/>
  <c r="H786" i="7"/>
  <c r="K797" i="7"/>
  <c r="H880" i="7"/>
  <c r="H1073" i="7"/>
  <c r="H1330" i="7"/>
  <c r="H1347" i="7"/>
  <c r="H1385" i="7"/>
  <c r="H1411" i="7"/>
  <c r="H1479" i="7"/>
  <c r="H1708" i="7"/>
  <c r="H1753" i="7"/>
  <c r="H1884" i="7"/>
  <c r="H1890" i="7"/>
  <c r="H736" i="7"/>
  <c r="K741" i="7"/>
  <c r="K1078" i="7"/>
  <c r="H1123" i="7"/>
  <c r="K1254" i="7"/>
  <c r="K1539" i="7"/>
  <c r="K1994" i="7"/>
  <c r="H131" i="7"/>
  <c r="K145" i="7"/>
  <c r="H222" i="7"/>
  <c r="H783" i="7"/>
  <c r="H79" i="7"/>
  <c r="K101" i="7"/>
  <c r="K104" i="7"/>
  <c r="K107" i="7"/>
  <c r="H110" i="7"/>
  <c r="H113" i="7"/>
  <c r="K119" i="7"/>
  <c r="K131" i="7"/>
  <c r="K140" i="7"/>
  <c r="H152" i="7"/>
  <c r="H198" i="7"/>
  <c r="K219" i="7"/>
  <c r="H236" i="7"/>
  <c r="H265" i="7"/>
  <c r="K327" i="7"/>
  <c r="K336" i="7"/>
  <c r="K376" i="7"/>
  <c r="H388" i="7"/>
  <c r="H403" i="7"/>
  <c r="H444" i="7"/>
  <c r="K493" i="7"/>
  <c r="K505" i="7"/>
  <c r="K516" i="7"/>
  <c r="K533" i="7"/>
  <c r="H536" i="7"/>
  <c r="K550" i="7"/>
  <c r="K573" i="7"/>
  <c r="K590" i="7"/>
  <c r="H593" i="7"/>
  <c r="K601" i="7"/>
  <c r="K604" i="7"/>
  <c r="H633" i="7"/>
  <c r="K644" i="7"/>
  <c r="K678" i="7"/>
  <c r="K681" i="7"/>
  <c r="H684" i="7"/>
  <c r="H696" i="7"/>
  <c r="H705" i="7"/>
  <c r="K707" i="7"/>
  <c r="K780" i="7"/>
  <c r="K812" i="7"/>
  <c r="K815" i="7"/>
  <c r="K821" i="7"/>
  <c r="K851" i="7"/>
  <c r="K897" i="7"/>
  <c r="K900" i="7"/>
  <c r="K903" i="7"/>
  <c r="K906" i="7"/>
  <c r="H963" i="7"/>
  <c r="H972" i="7"/>
  <c r="K992" i="7"/>
  <c r="K998" i="7"/>
  <c r="H1057" i="7"/>
  <c r="K1109" i="7"/>
  <c r="K1161" i="7"/>
  <c r="H1164" i="7"/>
  <c r="K1180" i="7"/>
  <c r="K1189" i="7"/>
  <c r="H1198" i="7"/>
  <c r="H1229" i="7"/>
  <c r="H1235" i="7"/>
  <c r="H1327" i="7"/>
  <c r="H1370" i="7"/>
  <c r="K1446" i="7"/>
  <c r="K1493" i="7"/>
  <c r="H1699" i="7"/>
  <c r="H1711" i="7"/>
  <c r="K1747" i="7"/>
  <c r="K1795" i="7"/>
  <c r="H1968" i="7"/>
  <c r="H1983" i="7"/>
  <c r="H1622" i="7"/>
  <c r="H1675" i="7"/>
  <c r="K1708" i="7"/>
  <c r="K1711" i="7"/>
  <c r="K1729" i="7"/>
  <c r="K1732" i="7"/>
  <c r="K1741" i="7"/>
  <c r="K1744" i="7"/>
  <c r="H1769" i="7"/>
  <c r="H1787" i="7"/>
  <c r="H1852" i="7"/>
  <c r="H1974" i="7"/>
  <c r="K562" i="7"/>
  <c r="K763" i="7"/>
  <c r="K789" i="7"/>
  <c r="H837" i="7"/>
  <c r="H846" i="7"/>
  <c r="H1156" i="7"/>
  <c r="K1164" i="7"/>
  <c r="K1255" i="7"/>
  <c r="K1309" i="7"/>
  <c r="K1321" i="7"/>
  <c r="K1324" i="7"/>
  <c r="K1327" i="7"/>
  <c r="H1450" i="7"/>
  <c r="H1553" i="7"/>
  <c r="H1596" i="7"/>
  <c r="K1613" i="7"/>
  <c r="K290" i="7"/>
  <c r="K298" i="7"/>
  <c r="K316" i="7"/>
  <c r="K322" i="7"/>
  <c r="K356" i="7"/>
  <c r="K359" i="7"/>
  <c r="H374" i="7"/>
  <c r="H386" i="7"/>
  <c r="K447" i="7"/>
  <c r="K450" i="7"/>
  <c r="K458" i="7"/>
  <c r="K469" i="7"/>
  <c r="H500" i="7"/>
  <c r="K525" i="7"/>
  <c r="K545" i="7"/>
  <c r="H563" i="7"/>
  <c r="K565" i="7"/>
  <c r="K571" i="7"/>
  <c r="H616" i="7"/>
  <c r="H662" i="7"/>
  <c r="H665" i="7"/>
  <c r="K693" i="7"/>
  <c r="K696" i="7"/>
  <c r="K705" i="7"/>
  <c r="K745" i="7"/>
  <c r="H875" i="7"/>
  <c r="H886" i="7"/>
  <c r="H904" i="7"/>
  <c r="H1139" i="7"/>
  <c r="K1726" i="7"/>
  <c r="K328" i="7"/>
  <c r="H368" i="7"/>
  <c r="K380" i="7"/>
  <c r="H416" i="7"/>
  <c r="H456" i="7"/>
  <c r="K466" i="7"/>
  <c r="K497" i="7"/>
  <c r="H509" i="7"/>
  <c r="H520" i="7"/>
  <c r="H529" i="7"/>
  <c r="H554" i="7"/>
  <c r="H560" i="7"/>
  <c r="K613" i="7"/>
  <c r="H639" i="7"/>
  <c r="K659" i="7"/>
  <c r="H717" i="7"/>
  <c r="H752" i="7"/>
  <c r="H758" i="7"/>
  <c r="K778" i="7"/>
  <c r="K804" i="7"/>
  <c r="K825" i="7"/>
  <c r="K831" i="7"/>
  <c r="K834" i="7"/>
  <c r="K843" i="7"/>
  <c r="K860" i="7"/>
  <c r="K863" i="7"/>
  <c r="K883" i="7"/>
  <c r="H892" i="7"/>
  <c r="K910" i="7"/>
  <c r="H949" i="7"/>
  <c r="H955" i="7"/>
  <c r="K969" i="7"/>
  <c r="K972" i="7"/>
  <c r="K981" i="7"/>
  <c r="H1002" i="7"/>
  <c r="H1011" i="7"/>
  <c r="K1037" i="7"/>
  <c r="K1068" i="7"/>
  <c r="K1156" i="7"/>
  <c r="K1318" i="7"/>
  <c r="H1322" i="7"/>
  <c r="H1389" i="7"/>
  <c r="H1433" i="7"/>
  <c r="K1450" i="7"/>
  <c r="K1456" i="7"/>
  <c r="K1508" i="7"/>
  <c r="H1541" i="7"/>
  <c r="K1578" i="7"/>
  <c r="K1619" i="7"/>
  <c r="K1678" i="7"/>
  <c r="K1699" i="7"/>
  <c r="K1817" i="7"/>
  <c r="H1928" i="7"/>
  <c r="K1962" i="7"/>
  <c r="K585" i="7"/>
  <c r="H597" i="7"/>
  <c r="H608" i="7"/>
  <c r="H628" i="7"/>
  <c r="H631" i="7"/>
  <c r="K639" i="7"/>
  <c r="K679" i="7"/>
  <c r="H723" i="7"/>
  <c r="H796" i="7"/>
  <c r="K819" i="7"/>
  <c r="K840" i="7"/>
  <c r="H855" i="7"/>
  <c r="K866" i="7"/>
  <c r="K892" i="7"/>
  <c r="K907" i="7"/>
  <c r="K996" i="7"/>
  <c r="H1049" i="7"/>
  <c r="K1289" i="7"/>
  <c r="H1331" i="7"/>
  <c r="H1430" i="7"/>
  <c r="H1457" i="7"/>
  <c r="K1550" i="7"/>
  <c r="K1602" i="7"/>
  <c r="K1628" i="7"/>
  <c r="H1658" i="7"/>
  <c r="H1694" i="7"/>
  <c r="K1754" i="7"/>
  <c r="K1757" i="7"/>
  <c r="K1903" i="7"/>
  <c r="H913" i="7"/>
  <c r="H930" i="7"/>
  <c r="K944" i="7"/>
  <c r="K947" i="7"/>
  <c r="H951" i="7"/>
  <c r="H959" i="7"/>
  <c r="K965" i="7"/>
  <c r="K1008" i="7"/>
  <c r="K1026" i="7"/>
  <c r="H1038" i="7"/>
  <c r="K1076" i="7"/>
  <c r="K1087" i="7"/>
  <c r="K1098" i="7"/>
  <c r="H1120" i="7"/>
  <c r="K1201" i="7"/>
  <c r="K1212" i="7"/>
  <c r="K1223" i="7"/>
  <c r="K1263" i="7"/>
  <c r="K1266" i="7"/>
  <c r="K1278" i="7"/>
  <c r="K1308" i="7"/>
  <c r="K1414" i="7"/>
  <c r="K1420" i="7"/>
  <c r="K1423" i="7"/>
  <c r="H1443" i="7"/>
  <c r="H1452" i="7"/>
  <c r="K1475" i="7"/>
  <c r="K1503" i="7"/>
  <c r="H1512" i="7"/>
  <c r="K1558" i="7"/>
  <c r="H1583" i="7"/>
  <c r="K1600" i="7"/>
  <c r="K1658" i="7"/>
  <c r="H1670" i="7"/>
  <c r="K1780" i="7"/>
  <c r="K1783" i="7"/>
  <c r="K1789" i="7"/>
  <c r="H1795" i="7"/>
  <c r="K1861" i="7"/>
  <c r="K1864" i="7"/>
  <c r="K1884" i="7"/>
  <c r="H1933" i="7"/>
  <c r="H1960" i="7"/>
  <c r="K1965" i="7"/>
  <c r="K1977" i="7"/>
  <c r="H1989" i="7"/>
  <c r="K2010" i="7"/>
  <c r="K1850" i="7"/>
  <c r="K1853" i="7"/>
  <c r="H1927" i="7"/>
  <c r="K1942" i="7"/>
  <c r="H1012" i="7"/>
  <c r="H1015" i="7"/>
  <c r="K1038" i="7"/>
  <c r="K1071" i="7"/>
  <c r="H1107" i="7"/>
  <c r="K1157" i="7"/>
  <c r="K1171" i="7"/>
  <c r="K1218" i="7"/>
  <c r="H1221" i="7"/>
  <c r="H1259" i="7"/>
  <c r="K1285" i="7"/>
  <c r="H1346" i="7"/>
  <c r="H1377" i="7"/>
  <c r="H1398" i="7"/>
  <c r="K1418" i="7"/>
  <c r="K1544" i="7"/>
  <c r="K1553" i="7"/>
  <c r="K1569" i="7"/>
  <c r="H1630" i="7"/>
  <c r="H1743" i="7"/>
  <c r="H1778" i="7"/>
  <c r="K1784" i="7"/>
  <c r="K1856" i="7"/>
  <c r="K1918" i="7"/>
  <c r="H1924" i="7"/>
  <c r="K1927" i="7"/>
  <c r="K1930" i="7"/>
  <c r="K1933" i="7"/>
  <c r="K1957" i="7"/>
  <c r="K1966" i="7"/>
  <c r="H1931" i="7"/>
  <c r="K811" i="7"/>
  <c r="K823" i="7"/>
  <c r="K835" i="7"/>
  <c r="H841" i="7"/>
  <c r="K855" i="7"/>
  <c r="K858" i="7"/>
  <c r="H890" i="7"/>
  <c r="K898" i="7"/>
  <c r="H905" i="7"/>
  <c r="H920" i="7"/>
  <c r="H946" i="7"/>
  <c r="K963" i="7"/>
  <c r="K966" i="7"/>
  <c r="K995" i="7"/>
  <c r="K1024" i="7"/>
  <c r="K1058" i="7"/>
  <c r="K1066" i="7"/>
  <c r="K1121" i="7"/>
  <c r="K1132" i="7"/>
  <c r="K1202" i="7"/>
  <c r="K1230" i="7"/>
  <c r="H1286" i="7"/>
  <c r="H1321" i="7"/>
  <c r="H1360" i="7"/>
  <c r="K1409" i="7"/>
  <c r="K1415" i="7"/>
  <c r="H1444" i="7"/>
  <c r="H1456" i="7"/>
  <c r="K1490" i="7"/>
  <c r="H1499" i="7"/>
  <c r="K1501" i="7"/>
  <c r="K1507" i="7"/>
  <c r="H1522" i="7"/>
  <c r="K1547" i="7"/>
  <c r="H1554" i="7"/>
  <c r="K1572" i="7"/>
  <c r="K1624" i="7"/>
  <c r="H1642" i="7"/>
  <c r="K1659" i="7"/>
  <c r="K1662" i="7"/>
  <c r="K1746" i="7"/>
  <c r="H1764" i="7"/>
  <c r="H1826" i="7"/>
  <c r="H1894" i="7"/>
  <c r="H1916" i="7"/>
  <c r="H1034" i="7"/>
  <c r="K1056" i="7"/>
  <c r="K1072" i="7"/>
  <c r="K1083" i="7"/>
  <c r="H1086" i="7"/>
  <c r="K1091" i="7"/>
  <c r="K1107" i="7"/>
  <c r="K1110" i="7"/>
  <c r="H1129" i="7"/>
  <c r="H1135" i="7"/>
  <c r="H1176" i="7"/>
  <c r="H1187" i="7"/>
  <c r="K1195" i="7"/>
  <c r="K1214" i="7"/>
  <c r="K1234" i="7"/>
  <c r="H1243" i="7"/>
  <c r="K1320" i="7"/>
  <c r="K1328" i="7"/>
  <c r="H1371" i="7"/>
  <c r="H1374" i="7"/>
  <c r="K1376" i="7"/>
  <c r="K1379" i="7"/>
  <c r="K1388" i="7"/>
  <c r="K1445" i="7"/>
  <c r="K1448" i="7"/>
  <c r="H1539" i="7"/>
  <c r="H1542" i="7"/>
  <c r="H1643" i="7"/>
  <c r="K1651" i="7"/>
  <c r="H1683" i="7"/>
  <c r="K1685" i="7"/>
  <c r="H1724" i="7"/>
  <c r="K1775" i="7"/>
  <c r="K1781" i="7"/>
  <c r="H1785" i="7"/>
  <c r="K1790" i="7"/>
  <c r="K1854" i="7"/>
  <c r="K1876" i="7"/>
  <c r="H1885" i="7"/>
  <c r="K1928" i="7"/>
  <c r="H1938" i="7"/>
  <c r="K1943" i="7"/>
  <c r="K2004" i="7"/>
  <c r="H2014" i="7"/>
  <c r="K1592" i="7"/>
  <c r="K1617" i="7"/>
  <c r="K1620" i="7"/>
  <c r="K1637" i="7"/>
  <c r="H1640" i="7"/>
  <c r="H1660" i="7"/>
  <c r="K1697" i="7"/>
  <c r="K1721" i="7"/>
  <c r="K1727" i="7"/>
  <c r="H1739" i="7"/>
  <c r="K1857" i="7"/>
  <c r="K1868" i="7"/>
  <c r="H1888" i="7"/>
  <c r="K1893" i="7"/>
  <c r="K1917" i="7"/>
  <c r="K1958" i="7"/>
  <c r="H1929" i="7"/>
  <c r="H1944" i="7"/>
  <c r="H1604" i="7"/>
  <c r="K1643" i="7"/>
  <c r="K1680" i="7"/>
  <c r="H1713" i="7"/>
  <c r="H1728" i="7"/>
  <c r="K1767" i="7"/>
  <c r="H1847" i="7"/>
  <c r="H1850" i="7"/>
  <c r="K1950" i="7"/>
  <c r="H1959" i="7"/>
  <c r="H2005" i="7"/>
  <c r="K2014" i="7"/>
  <c r="K1040" i="7"/>
  <c r="K1054" i="7"/>
  <c r="H1068" i="7"/>
  <c r="K1089" i="7"/>
  <c r="H1130" i="7"/>
  <c r="H1169" i="7"/>
  <c r="K1199" i="7"/>
  <c r="H1224" i="7"/>
  <c r="K1235" i="7"/>
  <c r="H1258" i="7"/>
  <c r="H1287" i="7"/>
  <c r="K1329" i="7"/>
  <c r="H1332" i="7"/>
  <c r="K1343" i="7"/>
  <c r="K1377" i="7"/>
  <c r="K1383" i="7"/>
  <c r="K1386" i="7"/>
  <c r="K1400" i="7"/>
  <c r="K1449" i="7"/>
  <c r="K1469" i="7"/>
  <c r="H1472" i="7"/>
  <c r="K1497" i="7"/>
  <c r="H1514" i="7"/>
  <c r="H1549" i="7"/>
  <c r="K1584" i="7"/>
  <c r="K1604" i="7"/>
  <c r="K1615" i="7"/>
  <c r="H1624" i="7"/>
  <c r="K1646" i="7"/>
  <c r="K1675" i="7"/>
  <c r="K1686" i="7"/>
  <c r="K1692" i="7"/>
  <c r="H1716" i="7"/>
  <c r="H1725" i="7"/>
  <c r="K1736" i="7"/>
  <c r="H1760" i="7"/>
  <c r="H1800" i="7"/>
  <c r="K1844" i="7"/>
  <c r="K1932" i="7"/>
  <c r="K1941" i="7"/>
  <c r="K1953" i="7"/>
  <c r="K2005" i="7"/>
  <c r="H76" i="7"/>
  <c r="K116" i="7"/>
  <c r="H136" i="7"/>
  <c r="K215" i="7"/>
  <c r="K218" i="7"/>
  <c r="K221" i="7"/>
  <c r="K561" i="7"/>
  <c r="K66" i="7"/>
  <c r="K128" i="7"/>
  <c r="K133" i="7"/>
  <c r="K136" i="7"/>
  <c r="K258" i="7"/>
  <c r="K468" i="7"/>
  <c r="H181" i="7"/>
  <c r="K22" i="7"/>
  <c r="K32" i="7"/>
  <c r="H54" i="7"/>
  <c r="K77" i="7"/>
  <c r="K98" i="7"/>
  <c r="H115" i="7"/>
  <c r="H211" i="7"/>
  <c r="H256" i="7"/>
  <c r="K353" i="7"/>
  <c r="H897" i="7"/>
  <c r="H263" i="7"/>
  <c r="K123" i="7"/>
  <c r="H25" i="7"/>
  <c r="H88" i="7"/>
  <c r="K160" i="7"/>
  <c r="K165" i="7"/>
  <c r="K208" i="7"/>
  <c r="H396" i="7"/>
  <c r="K421" i="7"/>
  <c r="K424" i="7"/>
  <c r="K427" i="7"/>
  <c r="K607" i="7"/>
  <c r="K842" i="7"/>
  <c r="H245" i="7"/>
  <c r="K348" i="7"/>
  <c r="H393" i="7"/>
  <c r="K537" i="7"/>
  <c r="H591" i="7"/>
  <c r="H834" i="7"/>
  <c r="H206" i="7"/>
  <c r="H43" i="7"/>
  <c r="K30" i="7"/>
  <c r="H248" i="7"/>
  <c r="H150" i="7"/>
  <c r="H354" i="7"/>
  <c r="H538" i="7"/>
  <c r="K60" i="7"/>
  <c r="K110" i="7"/>
  <c r="K200" i="7"/>
  <c r="K448" i="7"/>
  <c r="K453" i="7"/>
  <c r="H421" i="7"/>
  <c r="H569" i="7"/>
  <c r="K879" i="7"/>
  <c r="K125" i="7"/>
  <c r="K130" i="7"/>
  <c r="H147" i="7"/>
  <c r="H170" i="7"/>
  <c r="K182" i="7"/>
  <c r="K193" i="7"/>
  <c r="H196" i="7"/>
  <c r="H213" i="7"/>
  <c r="H308" i="7"/>
  <c r="K321" i="7"/>
  <c r="K392" i="7"/>
  <c r="K408" i="7"/>
  <c r="H411" i="7"/>
  <c r="H481" i="7"/>
  <c r="H499" i="7"/>
  <c r="K527" i="7"/>
  <c r="H564" i="7"/>
  <c r="H585" i="7"/>
  <c r="K643" i="7"/>
  <c r="K711" i="7"/>
  <c r="K792" i="7"/>
  <c r="K311" i="7"/>
  <c r="K319" i="7"/>
  <c r="K351" i="7"/>
  <c r="H517" i="7"/>
  <c r="K530" i="7"/>
  <c r="H576" i="7"/>
  <c r="K588" i="7"/>
  <c r="K638" i="7"/>
  <c r="H965" i="7"/>
  <c r="Q8" i="7"/>
  <c r="K28" i="7"/>
  <c r="K89" i="7"/>
  <c r="K176" i="7"/>
  <c r="K237" i="7"/>
  <c r="H243" i="7"/>
  <c r="K289" i="7"/>
  <c r="K299" i="7"/>
  <c r="H352" i="7"/>
  <c r="K354" i="7"/>
  <c r="K372" i="7"/>
  <c r="H378" i="7"/>
  <c r="H439" i="7"/>
  <c r="K454" i="7"/>
  <c r="H472" i="7"/>
  <c r="K500" i="7"/>
  <c r="H541" i="7"/>
  <c r="H544" i="7"/>
  <c r="K546" i="7"/>
  <c r="K554" i="7"/>
  <c r="K576" i="7"/>
  <c r="K600" i="7"/>
  <c r="H919" i="7"/>
  <c r="K1237" i="7"/>
  <c r="K97" i="7"/>
  <c r="K263" i="7"/>
  <c r="H24" i="7"/>
  <c r="K227" i="7"/>
  <c r="H49" i="7"/>
  <c r="K72" i="7"/>
  <c r="H87" i="7"/>
  <c r="H111" i="7"/>
  <c r="K124" i="7"/>
  <c r="H138" i="7"/>
  <c r="H143" i="7"/>
  <c r="H201" i="7"/>
  <c r="H257" i="7"/>
  <c r="H279" i="7"/>
  <c r="K297" i="7"/>
  <c r="K370" i="7"/>
  <c r="H376" i="7"/>
  <c r="K436" i="7"/>
  <c r="H539" i="7"/>
  <c r="H861" i="7"/>
  <c r="H417" i="7"/>
  <c r="H523" i="7"/>
  <c r="K605" i="7"/>
  <c r="H753" i="7"/>
  <c r="R9" i="7"/>
  <c r="H370" i="7"/>
  <c r="H37" i="7"/>
  <c r="H149" i="7"/>
  <c r="H162" i="7"/>
  <c r="K274" i="7"/>
  <c r="H285" i="7"/>
  <c r="K287" i="7"/>
  <c r="H321" i="7"/>
  <c r="K329" i="7"/>
  <c r="K342" i="7"/>
  <c r="K381" i="7"/>
  <c r="K400" i="7"/>
  <c r="K405" i="7"/>
  <c r="K410" i="7"/>
  <c r="K431" i="7"/>
  <c r="K539" i="7"/>
  <c r="H449" i="7"/>
  <c r="K517" i="7"/>
  <c r="K100" i="7"/>
  <c r="K29" i="7"/>
  <c r="K34" i="7"/>
  <c r="K44" i="7"/>
  <c r="H55" i="7"/>
  <c r="H80" i="7"/>
  <c r="K90" i="7"/>
  <c r="K164" i="7"/>
  <c r="H188" i="7"/>
  <c r="H193" i="7"/>
  <c r="K269" i="7"/>
  <c r="K318" i="7"/>
  <c r="H327" i="7"/>
  <c r="H337" i="7"/>
  <c r="K360" i="7"/>
  <c r="K365" i="7"/>
  <c r="H395" i="7"/>
  <c r="H398" i="7"/>
  <c r="H445" i="7"/>
  <c r="H470" i="7"/>
  <c r="K475" i="7"/>
  <c r="K769" i="7"/>
  <c r="H845" i="7"/>
  <c r="K957" i="7"/>
  <c r="H676" i="7"/>
  <c r="H681" i="7"/>
  <c r="H879" i="7"/>
  <c r="H941" i="7"/>
  <c r="H1285" i="7"/>
  <c r="K666" i="7"/>
  <c r="K683" i="7"/>
  <c r="K698" i="7"/>
  <c r="H772" i="7"/>
  <c r="K810" i="7"/>
  <c r="K847" i="7"/>
  <c r="H884" i="7"/>
  <c r="K918" i="7"/>
  <c r="K949" i="7"/>
  <c r="K989" i="7"/>
  <c r="K1085" i="7"/>
  <c r="K1176" i="7"/>
  <c r="K1279" i="7"/>
  <c r="K1282" i="7"/>
  <c r="H1350" i="7"/>
  <c r="H127" i="7"/>
  <c r="H142" i="7"/>
  <c r="H202" i="7"/>
  <c r="K275" i="7"/>
  <c r="H440" i="7"/>
  <c r="H452" i="7"/>
  <c r="H821" i="7"/>
  <c r="H850" i="7"/>
  <c r="H934" i="7"/>
  <c r="H996" i="7"/>
  <c r="H50" i="7"/>
  <c r="H134" i="7"/>
  <c r="K139" i="7"/>
  <c r="S9" i="7"/>
  <c r="K50" i="7"/>
  <c r="K62" i="7"/>
  <c r="H94" i="7"/>
  <c r="K113" i="7"/>
  <c r="H140" i="7"/>
  <c r="K152" i="7"/>
  <c r="H164" i="7"/>
  <c r="K186" i="7"/>
  <c r="H189" i="7"/>
  <c r="K199" i="7"/>
  <c r="K207" i="7"/>
  <c r="K241" i="7"/>
  <c r="K312" i="7"/>
  <c r="K325" i="7"/>
  <c r="H335" i="7"/>
  <c r="H364" i="7"/>
  <c r="K379" i="7"/>
  <c r="K391" i="7"/>
  <c r="H397" i="7"/>
  <c r="H423" i="7"/>
  <c r="K494" i="7"/>
  <c r="H526" i="7"/>
  <c r="K542" i="7"/>
  <c r="K547" i="7"/>
  <c r="H555" i="7"/>
  <c r="K586" i="7"/>
  <c r="K596" i="7"/>
  <c r="K608" i="7"/>
  <c r="K627" i="7"/>
  <c r="K669" i="7"/>
  <c r="K719" i="7"/>
  <c r="H722" i="7"/>
  <c r="K727" i="7"/>
  <c r="H756" i="7"/>
  <c r="H778" i="7"/>
  <c r="K805" i="7"/>
  <c r="H835" i="7"/>
  <c r="K850" i="7"/>
  <c r="K882" i="7"/>
  <c r="H914" i="7"/>
  <c r="K982" i="7"/>
  <c r="H1110" i="7"/>
  <c r="K1174" i="7"/>
  <c r="K1342" i="7"/>
  <c r="H630" i="7"/>
  <c r="H856" i="7"/>
  <c r="K335" i="7"/>
  <c r="K340" i="7"/>
  <c r="H357" i="7"/>
  <c r="K440" i="7"/>
  <c r="K464" i="7"/>
  <c r="H485" i="7"/>
  <c r="K487" i="7"/>
  <c r="K555" i="7"/>
  <c r="K574" i="7"/>
  <c r="H859" i="7"/>
  <c r="K869" i="7"/>
  <c r="H893" i="7"/>
  <c r="K971" i="7"/>
  <c r="K979" i="7"/>
  <c r="K1049" i="7"/>
  <c r="H77" i="7"/>
  <c r="H512" i="7"/>
  <c r="H587" i="7"/>
  <c r="K674" i="7"/>
  <c r="K722" i="7"/>
  <c r="H838" i="7"/>
  <c r="K872" i="7"/>
  <c r="H906" i="7"/>
  <c r="H964" i="7"/>
  <c r="H977" i="7"/>
  <c r="H1008" i="7"/>
  <c r="H1044" i="7"/>
  <c r="H210" i="7"/>
  <c r="H343" i="7"/>
  <c r="K24" i="7"/>
  <c r="H61" i="7"/>
  <c r="K82" i="7"/>
  <c r="H97" i="7"/>
  <c r="H112" i="7"/>
  <c r="K122" i="7"/>
  <c r="K150" i="7"/>
  <c r="K169" i="7"/>
  <c r="H187" i="7"/>
  <c r="H195" i="7"/>
  <c r="K197" i="7"/>
  <c r="K210" i="7"/>
  <c r="K217" i="7"/>
  <c r="K222" i="7"/>
  <c r="H242" i="7"/>
  <c r="H276" i="7"/>
  <c r="K281" i="7"/>
  <c r="K291" i="7"/>
  <c r="H331" i="7"/>
  <c r="H360" i="7"/>
  <c r="K367" i="7"/>
  <c r="K389" i="7"/>
  <c r="K394" i="7"/>
  <c r="H483" i="7"/>
  <c r="K485" i="7"/>
  <c r="H575" i="7"/>
  <c r="K594" i="7"/>
  <c r="K599" i="7"/>
  <c r="H604" i="7"/>
  <c r="K611" i="7"/>
  <c r="H640" i="7"/>
  <c r="K650" i="7"/>
  <c r="K682" i="7"/>
  <c r="K725" i="7"/>
  <c r="K733" i="7"/>
  <c r="K743" i="7"/>
  <c r="K770" i="7"/>
  <c r="K773" i="7"/>
  <c r="K783" i="7"/>
  <c r="H791" i="7"/>
  <c r="K798" i="7"/>
  <c r="H814" i="7"/>
  <c r="H827" i="7"/>
  <c r="H833" i="7"/>
  <c r="H851" i="7"/>
  <c r="H867" i="7"/>
  <c r="K893" i="7"/>
  <c r="K961" i="7"/>
  <c r="K1137" i="7"/>
  <c r="H1197" i="7"/>
  <c r="H940" i="7"/>
  <c r="K536" i="7"/>
  <c r="K548" i="7"/>
  <c r="K570" i="7"/>
  <c r="K584" i="7"/>
  <c r="K587" i="7"/>
  <c r="H614" i="7"/>
  <c r="K645" i="7"/>
  <c r="H668" i="7"/>
  <c r="K687" i="7"/>
  <c r="H715" i="7"/>
  <c r="H771" i="7"/>
  <c r="K776" i="7"/>
  <c r="K786" i="7"/>
  <c r="K806" i="7"/>
  <c r="K814" i="7"/>
  <c r="K822" i="7"/>
  <c r="K846" i="7"/>
  <c r="K909" i="7"/>
  <c r="K917" i="7"/>
  <c r="K1100" i="7"/>
  <c r="K553" i="7"/>
  <c r="K575" i="7"/>
  <c r="K582" i="7"/>
  <c r="K602" i="7"/>
  <c r="H607" i="7"/>
  <c r="H612" i="7"/>
  <c r="K628" i="7"/>
  <c r="H685" i="7"/>
  <c r="K692" i="7"/>
  <c r="K697" i="7"/>
  <c r="H713" i="7"/>
  <c r="H718" i="7"/>
  <c r="K746" i="7"/>
  <c r="K765" i="7"/>
  <c r="K809" i="7"/>
  <c r="H812" i="7"/>
  <c r="H817" i="7"/>
  <c r="K841" i="7"/>
  <c r="H844" i="7"/>
  <c r="K878" i="7"/>
  <c r="H881" i="7"/>
  <c r="K935" i="7"/>
  <c r="H1039" i="7"/>
  <c r="H1074" i="7"/>
  <c r="H1090" i="7"/>
  <c r="H1152" i="7"/>
  <c r="K1159" i="7"/>
  <c r="H729" i="7"/>
  <c r="H823" i="7"/>
  <c r="H943" i="7"/>
  <c r="H1184" i="7"/>
  <c r="H561" i="7"/>
  <c r="K568" i="7"/>
  <c r="K580" i="7"/>
  <c r="K651" i="7"/>
  <c r="H693" i="7"/>
  <c r="K731" i="7"/>
  <c r="H747" i="7"/>
  <c r="K749" i="7"/>
  <c r="K774" i="7"/>
  <c r="H797" i="7"/>
  <c r="K799" i="7"/>
  <c r="K817" i="7"/>
  <c r="K857" i="7"/>
  <c r="K873" i="7"/>
  <c r="K891" i="7"/>
  <c r="K901" i="7"/>
  <c r="K938" i="7"/>
  <c r="H952" i="7"/>
  <c r="K967" i="7"/>
  <c r="H984" i="7"/>
  <c r="H995" i="7"/>
  <c r="K1003" i="7"/>
  <c r="K1031" i="7"/>
  <c r="K1360" i="7"/>
  <c r="H1087" i="7"/>
  <c r="H1124" i="7"/>
  <c r="H1142" i="7"/>
  <c r="K1166" i="7"/>
  <c r="K1260" i="7"/>
  <c r="K1268" i="7"/>
  <c r="H1366" i="7"/>
  <c r="K1368" i="7"/>
  <c r="H1559" i="7"/>
  <c r="H1586" i="7"/>
  <c r="H1662" i="7"/>
  <c r="K1097" i="7"/>
  <c r="K1114" i="7"/>
  <c r="H1149" i="7"/>
  <c r="H1174" i="7"/>
  <c r="H1240" i="7"/>
  <c r="H1271" i="7"/>
  <c r="K1290" i="7"/>
  <c r="H1396" i="7"/>
  <c r="H1421" i="7"/>
  <c r="K1429" i="7"/>
  <c r="K1489" i="7"/>
  <c r="K1556" i="7"/>
  <c r="K1479" i="7"/>
  <c r="H1537" i="7"/>
  <c r="K717" i="7"/>
  <c r="K739" i="7"/>
  <c r="K820" i="7"/>
  <c r="H836" i="7"/>
  <c r="K862" i="7"/>
  <c r="K865" i="7"/>
  <c r="H885" i="7"/>
  <c r="K899" i="7"/>
  <c r="K960" i="7"/>
  <c r="K993" i="7"/>
  <c r="K1005" i="7"/>
  <c r="H1016" i="7"/>
  <c r="H1024" i="7"/>
  <c r="H1029" i="7"/>
  <c r="K1044" i="7"/>
  <c r="K1047" i="7"/>
  <c r="H1069" i="7"/>
  <c r="K1081" i="7"/>
  <c r="H1122" i="7"/>
  <c r="K1127" i="7"/>
  <c r="H1140" i="7"/>
  <c r="K1152" i="7"/>
  <c r="H1167" i="7"/>
  <c r="K1227" i="7"/>
  <c r="K1245" i="7"/>
  <c r="K1253" i="7"/>
  <c r="K1353" i="7"/>
  <c r="K1466" i="7"/>
  <c r="H803" i="7"/>
  <c r="H910" i="7"/>
  <c r="H958" i="7"/>
  <c r="K985" i="7"/>
  <c r="K1052" i="7"/>
  <c r="H1079" i="7"/>
  <c r="H1200" i="7"/>
  <c r="K1301" i="7"/>
  <c r="K1304" i="7"/>
  <c r="H1314" i="7"/>
  <c r="H1546" i="7"/>
  <c r="K1870" i="7"/>
  <c r="K735" i="7"/>
  <c r="H818" i="7"/>
  <c r="H831" i="7"/>
  <c r="H863" i="7"/>
  <c r="H883" i="7"/>
  <c r="K885" i="7"/>
  <c r="K915" i="7"/>
  <c r="H961" i="7"/>
  <c r="H975" i="7"/>
  <c r="H1062" i="7"/>
  <c r="H1108" i="7"/>
  <c r="K1222" i="7"/>
  <c r="H1251" i="7"/>
  <c r="H1333" i="7"/>
  <c r="H1405" i="7"/>
  <c r="K173" i="7"/>
  <c r="H176" i="7"/>
  <c r="K180" i="7"/>
  <c r="H191" i="7"/>
  <c r="K220" i="7"/>
  <c r="K239" i="7"/>
  <c r="K306" i="7"/>
  <c r="K308" i="7"/>
  <c r="H316" i="7"/>
  <c r="K333" i="7"/>
  <c r="K357" i="7"/>
  <c r="K369" i="7"/>
  <c r="K406" i="7"/>
  <c r="H420" i="7"/>
  <c r="K456" i="7"/>
  <c r="K498" i="7"/>
  <c r="K512" i="7"/>
  <c r="K514" i="7"/>
  <c r="H574" i="7"/>
  <c r="K598" i="7"/>
  <c r="K631" i="7"/>
  <c r="H638" i="7"/>
  <c r="K689" i="7"/>
  <c r="K723" i="7"/>
  <c r="K730" i="7"/>
  <c r="K757" i="7"/>
  <c r="K762" i="7"/>
  <c r="K767" i="7"/>
  <c r="K794" i="7"/>
  <c r="K853" i="7"/>
  <c r="K890" i="7"/>
  <c r="K975" i="7"/>
  <c r="K988" i="7"/>
  <c r="H1014" i="7"/>
  <c r="K1050" i="7"/>
  <c r="H1060" i="7"/>
  <c r="H1072" i="7"/>
  <c r="K1079" i="7"/>
  <c r="K1187" i="7"/>
  <c r="K1217" i="7"/>
  <c r="K1225" i="7"/>
  <c r="K1241" i="7"/>
  <c r="K1251" i="7"/>
  <c r="K1264" i="7"/>
  <c r="H1270" i="7"/>
  <c r="K1283" i="7"/>
  <c r="H1294" i="7"/>
  <c r="K1307" i="7"/>
  <c r="H1341" i="7"/>
  <c r="K1378" i="7"/>
  <c r="K1389" i="7"/>
  <c r="H1417" i="7"/>
  <c r="K1776" i="7"/>
  <c r="K968" i="7"/>
  <c r="H973" i="7"/>
  <c r="K994" i="7"/>
  <c r="K999" i="7"/>
  <c r="H1020" i="7"/>
  <c r="H1022" i="7"/>
  <c r="H1035" i="7"/>
  <c r="K1045" i="7"/>
  <c r="H1099" i="7"/>
  <c r="H1131" i="7"/>
  <c r="K1133" i="7"/>
  <c r="K1150" i="7"/>
  <c r="K1170" i="7"/>
  <c r="K1182" i="7"/>
  <c r="H1228" i="7"/>
  <c r="H1262" i="7"/>
  <c r="K1275" i="7"/>
  <c r="H1281" i="7"/>
  <c r="K1312" i="7"/>
  <c r="H1768" i="7"/>
  <c r="K1014" i="7"/>
  <c r="H1030" i="7"/>
  <c r="H1080" i="7"/>
  <c r="H1104" i="7"/>
  <c r="K1113" i="7"/>
  <c r="K1153" i="7"/>
  <c r="K1246" i="7"/>
  <c r="K1294" i="7"/>
  <c r="K1317" i="7"/>
  <c r="K1333" i="7"/>
  <c r="K1447" i="7"/>
  <c r="H954" i="7"/>
  <c r="H962" i="7"/>
  <c r="K973" i="7"/>
  <c r="K1020" i="7"/>
  <c r="K1035" i="7"/>
  <c r="K1099" i="7"/>
  <c r="K1106" i="7"/>
  <c r="H1109" i="7"/>
  <c r="K1131" i="7"/>
  <c r="K1136" i="7"/>
  <c r="H1188" i="7"/>
  <c r="K1208" i="7"/>
  <c r="K1215" i="7"/>
  <c r="K1257" i="7"/>
  <c r="H1265" i="7"/>
  <c r="H1295" i="7"/>
  <c r="K1297" i="7"/>
  <c r="H1379" i="7"/>
  <c r="K1431" i="7"/>
  <c r="K1439" i="7"/>
  <c r="K1494" i="7"/>
  <c r="K1681" i="7"/>
  <c r="K1012" i="7"/>
  <c r="H1023" i="7"/>
  <c r="H1028" i="7"/>
  <c r="K1123" i="7"/>
  <c r="H1162" i="7"/>
  <c r="H1196" i="7"/>
  <c r="K1198" i="7"/>
  <c r="K1273" i="7"/>
  <c r="K1310" i="7"/>
  <c r="K1339" i="7"/>
  <c r="H1429" i="7"/>
  <c r="H1442" i="7"/>
  <c r="K1486" i="7"/>
  <c r="H1507" i="7"/>
  <c r="K1525" i="7"/>
  <c r="K1542" i="7"/>
  <c r="H1515" i="7"/>
  <c r="H1601" i="7"/>
  <c r="H1617" i="7"/>
  <c r="K1636" i="7"/>
  <c r="H1751" i="7"/>
  <c r="K1897" i="7"/>
  <c r="K1484" i="7"/>
  <c r="K1593" i="7"/>
  <c r="H1857" i="7"/>
  <c r="H1255" i="7"/>
  <c r="K1272" i="7"/>
  <c r="H1293" i="7"/>
  <c r="K1303" i="7"/>
  <c r="K1325" i="7"/>
  <c r="K1336" i="7"/>
  <c r="H1364" i="7"/>
  <c r="K1397" i="7"/>
  <c r="K1417" i="7"/>
  <c r="H1427" i="7"/>
  <c r="K1451" i="7"/>
  <c r="K1477" i="7"/>
  <c r="K1534" i="7"/>
  <c r="H1552" i="7"/>
  <c r="H1570" i="7"/>
  <c r="K1654" i="7"/>
  <c r="K1725" i="7"/>
  <c r="H1981" i="7"/>
  <c r="H2004" i="7"/>
  <c r="K939" i="7"/>
  <c r="K946" i="7"/>
  <c r="K948" i="7"/>
  <c r="H956" i="7"/>
  <c r="H993" i="7"/>
  <c r="K1000" i="7"/>
  <c r="K1055" i="7"/>
  <c r="K1060" i="7"/>
  <c r="H1075" i="7"/>
  <c r="K1096" i="7"/>
  <c r="K1120" i="7"/>
  <c r="H1161" i="7"/>
  <c r="K1172" i="7"/>
  <c r="K1177" i="7"/>
  <c r="K1184" i="7"/>
  <c r="K1207" i="7"/>
  <c r="K1267" i="7"/>
  <c r="K1293" i="7"/>
  <c r="K1313" i="7"/>
  <c r="K1323" i="7"/>
  <c r="K1364" i="7"/>
  <c r="K1367" i="7"/>
  <c r="K1375" i="7"/>
  <c r="K1385" i="7"/>
  <c r="H1390" i="7"/>
  <c r="H1418" i="7"/>
  <c r="K1454" i="7"/>
  <c r="K1529" i="7"/>
  <c r="H1544" i="7"/>
  <c r="K1570" i="7"/>
  <c r="K1607" i="7"/>
  <c r="K1621" i="7"/>
  <c r="K1354" i="7"/>
  <c r="H1359" i="7"/>
  <c r="H1415" i="7"/>
  <c r="K1961" i="7"/>
  <c r="H1964" i="7"/>
  <c r="H1362" i="7"/>
  <c r="K1390" i="7"/>
  <c r="K1430" i="7"/>
  <c r="K1433" i="7"/>
  <c r="K1465" i="7"/>
  <c r="K1498" i="7"/>
  <c r="H1428" i="7"/>
  <c r="H1506" i="7"/>
  <c r="K1691" i="7"/>
  <c r="K1344" i="7"/>
  <c r="K1395" i="7"/>
  <c r="H1410" i="7"/>
  <c r="H1423" i="7"/>
  <c r="K1436" i="7"/>
  <c r="K1483" i="7"/>
  <c r="K1511" i="7"/>
  <c r="K1527" i="7"/>
  <c r="H1611" i="7"/>
  <c r="K1455" i="7"/>
  <c r="H1458" i="7"/>
  <c r="K1460" i="7"/>
  <c r="H1466" i="7"/>
  <c r="H1476" i="7"/>
  <c r="K1496" i="7"/>
  <c r="H1520" i="7"/>
  <c r="K1522" i="7"/>
  <c r="K1641" i="7"/>
  <c r="K1915" i="7"/>
  <c r="H1719" i="7"/>
  <c r="H1706" i="7"/>
  <c r="H1740" i="7"/>
  <c r="H1748" i="7"/>
  <c r="H1776" i="7"/>
  <c r="H1906" i="7"/>
  <c r="K1949" i="7"/>
  <c r="K1565" i="7"/>
  <c r="H1573" i="7"/>
  <c r="K1609" i="7"/>
  <c r="H1631" i="7"/>
  <c r="H1651" i="7"/>
  <c r="K1656" i="7"/>
  <c r="H1667" i="7"/>
  <c r="K1669" i="7"/>
  <c r="H1674" i="7"/>
  <c r="K1676" i="7"/>
  <c r="H1701" i="7"/>
  <c r="K1703" i="7"/>
  <c r="K1706" i="7"/>
  <c r="K1730" i="7"/>
  <c r="H1738" i="7"/>
  <c r="H1652" i="7"/>
  <c r="K1140" i="7"/>
  <c r="K1155" i="7"/>
  <c r="H1158" i="7"/>
  <c r="K1160" i="7"/>
  <c r="H1186" i="7"/>
  <c r="K1206" i="7"/>
  <c r="K1295" i="7"/>
  <c r="K1305" i="7"/>
  <c r="K1316" i="7"/>
  <c r="H1334" i="7"/>
  <c r="K1358" i="7"/>
  <c r="K1472" i="7"/>
  <c r="K1482" i="7"/>
  <c r="H1540" i="7"/>
  <c r="K1552" i="7"/>
  <c r="H1562" i="7"/>
  <c r="K1591" i="7"/>
  <c r="K1629" i="7"/>
  <c r="H1637" i="7"/>
  <c r="K1639" i="7"/>
  <c r="K1644" i="7"/>
  <c r="K1652" i="7"/>
  <c r="K1684" i="7"/>
  <c r="H1705" i="7"/>
  <c r="H1710" i="7"/>
  <c r="K1766" i="7"/>
  <c r="K1410" i="7"/>
  <c r="K1435" i="7"/>
  <c r="K1480" i="7"/>
  <c r="K1518" i="7"/>
  <c r="H1533" i="7"/>
  <c r="H1557" i="7"/>
  <c r="K1576" i="7"/>
  <c r="K1599" i="7"/>
  <c r="K1610" i="7"/>
  <c r="H1620" i="7"/>
  <c r="K1622" i="7"/>
  <c r="K1670" i="7"/>
  <c r="H1721" i="7"/>
  <c r="K1777" i="7"/>
  <c r="K1956" i="7"/>
  <c r="H1976" i="7"/>
  <c r="H1979" i="7"/>
  <c r="K1996" i="7"/>
  <c r="K2013" i="7"/>
  <c r="K1562" i="7"/>
  <c r="H1567" i="7"/>
  <c r="K1665" i="7"/>
  <c r="H1685" i="7"/>
  <c r="K1689" i="7"/>
  <c r="H1692" i="7"/>
  <c r="K1715" i="7"/>
  <c r="K1759" i="7"/>
  <c r="K1769" i="7"/>
  <c r="K1815" i="7"/>
  <c r="K1839" i="7"/>
  <c r="K1632" i="7"/>
  <c r="H1666" i="7"/>
  <c r="K1807" i="7"/>
  <c r="K1536" i="7"/>
  <c r="K1538" i="7"/>
  <c r="K1560" i="7"/>
  <c r="K1574" i="7"/>
  <c r="K1587" i="7"/>
  <c r="H1742" i="7"/>
  <c r="H1808" i="7"/>
  <c r="K1832" i="7"/>
  <c r="K1888" i="7"/>
  <c r="H1917" i="7"/>
  <c r="K1954" i="7"/>
  <c r="H1661" i="7"/>
  <c r="H1722" i="7"/>
  <c r="H1227" i="7"/>
  <c r="K1242" i="7"/>
  <c r="K1244" i="7"/>
  <c r="H1247" i="7"/>
  <c r="H1264" i="7"/>
  <c r="K1298" i="7"/>
  <c r="K1332" i="7"/>
  <c r="K1359" i="7"/>
  <c r="H1375" i="7"/>
  <c r="K1382" i="7"/>
  <c r="K1411" i="7"/>
  <c r="K1416" i="7"/>
  <c r="K1438" i="7"/>
  <c r="K1491" i="7"/>
  <c r="H1501" i="7"/>
  <c r="K1506" i="7"/>
  <c r="K1690" i="7"/>
  <c r="K1695" i="7"/>
  <c r="K1742" i="7"/>
  <c r="K1752" i="7"/>
  <c r="H1794" i="7"/>
  <c r="K1796" i="7"/>
  <c r="K1802" i="7"/>
  <c r="H1886" i="7"/>
  <c r="H1949" i="7"/>
  <c r="H1966" i="7"/>
  <c r="K1791" i="7"/>
  <c r="K1798" i="7"/>
  <c r="H1819" i="7"/>
  <c r="H1829" i="7"/>
  <c r="K1858" i="7"/>
  <c r="K1934" i="7"/>
  <c r="K1983" i="7"/>
  <c r="K1846" i="7"/>
  <c r="H1849" i="7"/>
  <c r="K1877" i="7"/>
  <c r="K1902" i="7"/>
  <c r="H1935" i="7"/>
  <c r="H1942" i="7"/>
  <c r="K1968" i="7"/>
  <c r="H1971" i="7"/>
  <c r="K1988" i="7"/>
  <c r="K1998" i="7"/>
  <c r="K2003" i="7"/>
  <c r="K1913" i="7"/>
  <c r="K1921" i="7"/>
  <c r="K1926" i="7"/>
  <c r="K1959" i="7"/>
  <c r="K1976" i="7"/>
  <c r="K1981" i="7"/>
  <c r="K2001" i="7"/>
  <c r="H2011" i="7"/>
  <c r="K2019" i="7"/>
  <c r="K1822" i="7"/>
  <c r="H1835" i="7"/>
  <c r="K1453" i="7"/>
  <c r="K1468" i="7"/>
  <c r="K1473" i="7"/>
  <c r="K1485" i="7"/>
  <c r="H1498" i="7"/>
  <c r="K1510" i="7"/>
  <c r="K1561" i="7"/>
  <c r="K1575" i="7"/>
  <c r="H1614" i="7"/>
  <c r="K1635" i="7"/>
  <c r="H1671" i="7"/>
  <c r="K1673" i="7"/>
  <c r="K1687" i="7"/>
  <c r="H1733" i="7"/>
  <c r="K1738" i="7"/>
  <c r="K1750" i="7"/>
  <c r="K1772" i="7"/>
  <c r="K1792" i="7"/>
  <c r="K1805" i="7"/>
  <c r="H1823" i="7"/>
  <c r="K1825" i="7"/>
  <c r="K1830" i="7"/>
  <c r="H1876" i="7"/>
  <c r="K1881" i="7"/>
  <c r="K1906" i="7"/>
  <c r="K1931" i="7"/>
  <c r="H1943" i="7"/>
  <c r="K1952" i="7"/>
  <c r="H1962" i="7"/>
  <c r="K1964" i="7"/>
  <c r="H1967" i="7"/>
  <c r="K1974" i="7"/>
  <c r="H2012" i="7"/>
  <c r="H1874" i="7"/>
  <c r="K1782" i="7"/>
  <c r="H1803" i="7"/>
  <c r="H1833" i="7"/>
  <c r="K1840" i="7"/>
  <c r="H1879" i="7"/>
  <c r="K1922" i="7"/>
  <c r="K1967" i="7"/>
  <c r="K1982" i="7"/>
  <c r="K1987" i="7"/>
  <c r="K1992" i="7"/>
  <c r="K2002" i="7"/>
  <c r="K1845" i="7"/>
  <c r="H1860" i="7"/>
  <c r="H1953" i="7"/>
  <c r="H1985" i="7"/>
  <c r="K2012" i="7"/>
  <c r="K1811" i="7"/>
  <c r="K1855" i="7"/>
  <c r="K1869" i="7"/>
  <c r="K1763" i="7"/>
  <c r="H1798" i="7"/>
  <c r="K1826" i="7"/>
  <c r="K1843" i="7"/>
  <c r="K1860" i="7"/>
  <c r="K1896" i="7"/>
  <c r="K2015" i="7"/>
  <c r="K2020" i="7"/>
  <c r="K1809" i="7"/>
  <c r="H1846" i="7"/>
  <c r="K1848" i="7"/>
  <c r="H1863" i="7"/>
  <c r="K1867" i="7"/>
  <c r="K1887" i="7"/>
  <c r="H1905" i="7"/>
  <c r="H1923" i="7"/>
  <c r="H1934" i="7"/>
  <c r="K1946" i="7"/>
  <c r="K1980" i="7"/>
  <c r="H1993" i="7"/>
  <c r="H1998" i="7"/>
  <c r="K2018" i="7"/>
  <c r="C11" i="2"/>
  <c r="H125" i="7"/>
  <c r="Q7" i="7"/>
  <c r="R7" i="7"/>
  <c r="C28" i="5"/>
  <c r="C7" i="4"/>
  <c r="C22" i="5"/>
  <c r="C23" i="5" s="1"/>
  <c r="N8" i="7"/>
  <c r="K99" i="7"/>
  <c r="K105" i="7"/>
  <c r="H135" i="7"/>
  <c r="H167" i="7"/>
  <c r="K252" i="7"/>
  <c r="H315" i="7"/>
  <c r="H328" i="7"/>
  <c r="H362" i="7"/>
  <c r="H568" i="7"/>
  <c r="H570" i="7"/>
  <c r="O8" i="7"/>
  <c r="H36" i="7"/>
  <c r="K154" i="7"/>
  <c r="H235" i="7"/>
  <c r="K304" i="7"/>
  <c r="H391" i="7"/>
  <c r="K463" i="7"/>
  <c r="P8" i="7"/>
  <c r="H46" i="7"/>
  <c r="H28" i="7"/>
  <c r="H62" i="7"/>
  <c r="H100" i="7"/>
  <c r="K118" i="7"/>
  <c r="H129" i="7"/>
  <c r="H168" i="7"/>
  <c r="H172" i="7"/>
  <c r="H212" i="7"/>
  <c r="K233" i="7"/>
  <c r="K259" i="7"/>
  <c r="H365" i="7"/>
  <c r="K396" i="7"/>
  <c r="H432" i="7"/>
  <c r="K832" i="7"/>
  <c r="H434" i="7"/>
  <c r="C11" i="4"/>
  <c r="C12" i="4" s="1"/>
  <c r="C16" i="5" s="1"/>
  <c r="H146" i="7"/>
  <c r="H221" i="7"/>
  <c r="H270" i="7"/>
  <c r="K294" i="7"/>
  <c r="H356" i="7"/>
  <c r="K412" i="7"/>
  <c r="H419" i="7"/>
  <c r="H528" i="7"/>
  <c r="H387" i="7"/>
  <c r="P9" i="7"/>
  <c r="S8" i="7"/>
  <c r="R8" i="7"/>
  <c r="H917" i="7"/>
  <c r="H52" i="7"/>
  <c r="H380" i="7"/>
  <c r="N9" i="7"/>
  <c r="O9" i="7"/>
  <c r="Q9" i="7"/>
  <c r="H247" i="7"/>
  <c r="K249" i="7"/>
  <c r="H260" i="7"/>
  <c r="H266" i="7"/>
  <c r="K374" i="7"/>
  <c r="N7" i="7"/>
  <c r="K25" i="7"/>
  <c r="H39" i="7"/>
  <c r="K153" i="7"/>
  <c r="H177" i="7"/>
  <c r="K201" i="7"/>
  <c r="K544" i="7"/>
  <c r="K622" i="7"/>
  <c r="H119" i="7"/>
  <c r="H151" i="7"/>
  <c r="O7" i="7"/>
  <c r="P7" i="7"/>
  <c r="K51" i="7"/>
  <c r="K57" i="7"/>
  <c r="H128" i="7"/>
  <c r="H228" i="7"/>
  <c r="H275" i="7"/>
  <c r="H295" i="7"/>
  <c r="K345" i="7"/>
  <c r="K444" i="7"/>
  <c r="H721" i="7"/>
  <c r="K67" i="7"/>
  <c r="K73" i="7"/>
  <c r="K188" i="7"/>
  <c r="H572" i="7"/>
  <c r="C14" i="6"/>
  <c r="C15" i="6" s="1"/>
  <c r="C25" i="5"/>
  <c r="C24" i="5"/>
  <c r="S7" i="7"/>
  <c r="K83" i="7"/>
  <c r="H93" i="7"/>
  <c r="H224" i="7"/>
  <c r="H317" i="7"/>
  <c r="K442" i="7"/>
  <c r="H714" i="7"/>
  <c r="K504" i="7"/>
  <c r="K637" i="7"/>
  <c r="H404" i="7"/>
  <c r="K441" i="7"/>
  <c r="K492" i="7"/>
  <c r="H515" i="7"/>
  <c r="H629" i="7"/>
  <c r="K646" i="7"/>
  <c r="K663" i="7"/>
  <c r="K775" i="7"/>
  <c r="H785" i="7"/>
  <c r="H808" i="7"/>
  <c r="K870" i="7"/>
  <c r="H970" i="7"/>
  <c r="H244" i="7"/>
  <c r="H699" i="7"/>
  <c r="H1001" i="7"/>
  <c r="H324" i="7"/>
  <c r="H148" i="7"/>
  <c r="K236" i="7"/>
  <c r="H336" i="7"/>
  <c r="H340" i="7"/>
  <c r="K377" i="7"/>
  <c r="H436" i="7"/>
  <c r="H448" i="7"/>
  <c r="H487" i="7"/>
  <c r="K503" i="7"/>
  <c r="K528" i="7"/>
  <c r="H549" i="7"/>
  <c r="K673" i="7"/>
  <c r="H687" i="7"/>
  <c r="K728" i="7"/>
  <c r="K744" i="7"/>
  <c r="H769" i="7"/>
  <c r="H874" i="7"/>
  <c r="K185" i="7"/>
  <c r="K332" i="7"/>
  <c r="H547" i="7"/>
  <c r="K657" i="7"/>
  <c r="K726" i="7"/>
  <c r="H742" i="7"/>
  <c r="H754" i="7"/>
  <c r="K830" i="7"/>
  <c r="K859" i="7"/>
  <c r="H903" i="7"/>
  <c r="H1154" i="7"/>
  <c r="K489" i="7"/>
  <c r="K522" i="7"/>
  <c r="K564" i="7"/>
  <c r="K742" i="7"/>
  <c r="K766" i="7"/>
  <c r="K886" i="7"/>
  <c r="H577" i="7"/>
  <c r="K268" i="7"/>
  <c r="K364" i="7"/>
  <c r="H502" i="7"/>
  <c r="K558" i="7"/>
  <c r="H565" i="7"/>
  <c r="H760" i="7"/>
  <c r="K172" i="7"/>
  <c r="K313" i="7"/>
  <c r="K425" i="7"/>
  <c r="K476" i="7"/>
  <c r="K592" i="7"/>
  <c r="K648" i="7"/>
  <c r="K660" i="7"/>
  <c r="K688" i="7"/>
  <c r="K784" i="7"/>
  <c r="K791" i="7"/>
  <c r="K1022" i="7"/>
  <c r="H923" i="7"/>
  <c r="H757" i="7"/>
  <c r="H1085" i="7"/>
  <c r="H1263" i="7"/>
  <c r="K768" i="7"/>
  <c r="H969" i="7"/>
  <c r="H976" i="7"/>
  <c r="K1204" i="7"/>
  <c r="H645" i="7"/>
  <c r="H667" i="7"/>
  <c r="H709" i="7"/>
  <c r="K753" i="7"/>
  <c r="K795" i="7"/>
  <c r="H810" i="7"/>
  <c r="K848" i="7"/>
  <c r="K868" i="7"/>
  <c r="K895" i="7"/>
  <c r="H908" i="7"/>
  <c r="K932" i="7"/>
  <c r="K941" i="7"/>
  <c r="H991" i="7"/>
  <c r="H527" i="7"/>
  <c r="H635" i="7"/>
  <c r="K641" i="7"/>
  <c r="K736" i="7"/>
  <c r="H806" i="7"/>
  <c r="K864" i="7"/>
  <c r="K871" i="7"/>
  <c r="H950" i="7"/>
  <c r="K952" i="7"/>
  <c r="H997" i="7"/>
  <c r="K523" i="7"/>
  <c r="H619" i="7"/>
  <c r="K680" i="7"/>
  <c r="H789" i="7"/>
  <c r="K833" i="7"/>
  <c r="H853" i="7"/>
  <c r="H876" i="7"/>
  <c r="H902" i="7"/>
  <c r="H989" i="7"/>
  <c r="K904" i="7"/>
  <c r="H982" i="7"/>
  <c r="H763" i="7"/>
  <c r="H779" i="7"/>
  <c r="H811" i="7"/>
  <c r="H860" i="7"/>
  <c r="H900" i="7"/>
  <c r="H909" i="7"/>
  <c r="H942" i="7"/>
  <c r="H1004" i="7"/>
  <c r="K551" i="7"/>
  <c r="H613" i="7"/>
  <c r="H683" i="7"/>
  <c r="K720" i="7"/>
  <c r="K849" i="7"/>
  <c r="K933" i="7"/>
  <c r="H980" i="7"/>
  <c r="H581" i="7"/>
  <c r="K609" i="7"/>
  <c r="K685" i="7"/>
  <c r="H700" i="7"/>
  <c r="K752" i="7"/>
  <c r="K772" i="7"/>
  <c r="K779" i="7"/>
  <c r="K916" i="7"/>
  <c r="K704" i="7"/>
  <c r="H716" i="7"/>
  <c r="K801" i="7"/>
  <c r="H898" i="7"/>
  <c r="H921" i="7"/>
  <c r="K929" i="7"/>
  <c r="K991" i="7"/>
  <c r="K1145" i="7"/>
  <c r="H2001" i="7"/>
  <c r="H1064" i="7"/>
  <c r="H748" i="7"/>
  <c r="H764" i="7"/>
  <c r="K1041" i="7"/>
  <c r="K1064" i="7"/>
  <c r="K1200" i="7"/>
  <c r="K1247" i="7"/>
  <c r="H1250" i="7"/>
  <c r="H1037" i="7"/>
  <c r="H1094" i="7"/>
  <c r="H974" i="7"/>
  <c r="K1019" i="7"/>
  <c r="H1076" i="7"/>
  <c r="K1124" i="7"/>
  <c r="H1146" i="7"/>
  <c r="H1165" i="7"/>
  <c r="K1424" i="7"/>
  <c r="H1403" i="7"/>
  <c r="H725" i="7"/>
  <c r="H731" i="7"/>
  <c r="H990" i="7"/>
  <c r="H1042" i="7"/>
  <c r="K624" i="7"/>
  <c r="H652" i="7"/>
  <c r="K721" i="7"/>
  <c r="K816" i="7"/>
  <c r="K951" i="7"/>
  <c r="K1010" i="7"/>
  <c r="K1042" i="7"/>
  <c r="K1115" i="7"/>
  <c r="K1191" i="7"/>
  <c r="K1093" i="7"/>
  <c r="H1232" i="7"/>
  <c r="K1249" i="7"/>
  <c r="H1267" i="7"/>
  <c r="K1271" i="7"/>
  <c r="K1057" i="7"/>
  <c r="K1108" i="7"/>
  <c r="K1162" i="7"/>
  <c r="K1188" i="7"/>
  <c r="K1210" i="7"/>
  <c r="K1351" i="7"/>
  <c r="H978" i="7"/>
  <c r="H1031" i="7"/>
  <c r="H1237" i="7"/>
  <c r="H1268" i="7"/>
  <c r="H1357" i="7"/>
  <c r="H1116" i="7"/>
  <c r="K1178" i="7"/>
  <c r="K1281" i="7"/>
  <c r="H1315" i="7"/>
  <c r="K926" i="7"/>
  <c r="H932" i="7"/>
  <c r="K980" i="7"/>
  <c r="H986" i="7"/>
  <c r="K990" i="7"/>
  <c r="K1048" i="7"/>
  <c r="H1071" i="7"/>
  <c r="K1073" i="7"/>
  <c r="H1088" i="7"/>
  <c r="H1125" i="7"/>
  <c r="K1163" i="7"/>
  <c r="K1224" i="7"/>
  <c r="K1326" i="7"/>
  <c r="K1092" i="7"/>
  <c r="H1103" i="7"/>
  <c r="K1194" i="7"/>
  <c r="K1209" i="7"/>
  <c r="H1218" i="7"/>
  <c r="K1504" i="7"/>
  <c r="H1543" i="7"/>
  <c r="H1231" i="7"/>
  <c r="H1329" i="7"/>
  <c r="H999" i="7"/>
  <c r="K1015" i="7"/>
  <c r="H1136" i="7"/>
  <c r="H1168" i="7"/>
  <c r="K1220" i="7"/>
  <c r="K919" i="7"/>
  <c r="H1061" i="7"/>
  <c r="K1063" i="7"/>
  <c r="H1093" i="7"/>
  <c r="K1095" i="7"/>
  <c r="H1132" i="7"/>
  <c r="K1179" i="7"/>
  <c r="K1183" i="7"/>
  <c r="H1318" i="7"/>
  <c r="H1516" i="7"/>
  <c r="H1480" i="7"/>
  <c r="H1391" i="7"/>
  <c r="H1058" i="7"/>
  <c r="K1130" i="7"/>
  <c r="K1146" i="7"/>
  <c r="H1215" i="7"/>
  <c r="K1444" i="7"/>
  <c r="H1495" i="7"/>
  <c r="K1502" i="7"/>
  <c r="H1551" i="7"/>
  <c r="H1628" i="7"/>
  <c r="H1773" i="7"/>
  <c r="H1401" i="7"/>
  <c r="H988" i="7"/>
  <c r="K1128" i="7"/>
  <c r="H1203" i="7"/>
  <c r="K1306" i="7"/>
  <c r="K1428" i="7"/>
  <c r="H1747" i="7"/>
  <c r="H1296" i="7"/>
  <c r="K1412" i="7"/>
  <c r="K1442" i="7"/>
  <c r="H1317" i="7"/>
  <c r="K1370" i="7"/>
  <c r="H1528" i="7"/>
  <c r="H1612" i="7"/>
  <c r="K1426" i="7"/>
  <c r="K913" i="7"/>
  <c r="K945" i="7"/>
  <c r="K977" i="7"/>
  <c r="K1009" i="7"/>
  <c r="K1147" i="7"/>
  <c r="K1226" i="7"/>
  <c r="K1236" i="7"/>
  <c r="K1252" i="7"/>
  <c r="H1328" i="7"/>
  <c r="K1434" i="7"/>
  <c r="H1580" i="7"/>
  <c r="H1477" i="7"/>
  <c r="K1648" i="7"/>
  <c r="H1475" i="7"/>
  <c r="H1584" i="7"/>
  <c r="H1715" i="7"/>
  <c r="K1402" i="7"/>
  <c r="H1408" i="7"/>
  <c r="H1424" i="7"/>
  <c r="H1691" i="7"/>
  <c r="H1744" i="7"/>
  <c r="H1205" i="7"/>
  <c r="H1269" i="7"/>
  <c r="H1503" i="7"/>
  <c r="K1535" i="7"/>
  <c r="H1606" i="7"/>
  <c r="H1407" i="7"/>
  <c r="K1476" i="7"/>
  <c r="H1496" i="7"/>
  <c r="H1524" i="7"/>
  <c r="K1348" i="7"/>
  <c r="K1380" i="7"/>
  <c r="H1445" i="7"/>
  <c r="K1461" i="7"/>
  <c r="K1519" i="7"/>
  <c r="K1567" i="7"/>
  <c r="K1642" i="7"/>
  <c r="H1704" i="7"/>
  <c r="H1766" i="7"/>
  <c r="H1681" i="7"/>
  <c r="H1485" i="7"/>
  <c r="K1583" i="7"/>
  <c r="K1588" i="7"/>
  <c r="K1660" i="7"/>
  <c r="H1392" i="7"/>
  <c r="H1727" i="7"/>
  <c r="H1119" i="7"/>
  <c r="H1151" i="7"/>
  <c r="H1183" i="7"/>
  <c r="H1279" i="7"/>
  <c r="H1464" i="7"/>
  <c r="K1549" i="7"/>
  <c r="H1648" i="7"/>
  <c r="H1799" i="7"/>
  <c r="H1695" i="7"/>
  <c r="H1780" i="7"/>
  <c r="K1735" i="7"/>
  <c r="H1577" i="7"/>
  <c r="K1596" i="7"/>
  <c r="H1736" i="7"/>
  <c r="K1801" i="7"/>
  <c r="K1841" i="7"/>
  <c r="K1911" i="7"/>
  <c r="K1979" i="7"/>
  <c r="K1513" i="7"/>
  <c r="K1545" i="7"/>
  <c r="K1608" i="7"/>
  <c r="K1614" i="7"/>
  <c r="K1618" i="7"/>
  <c r="K1630" i="7"/>
  <c r="H1702" i="7"/>
  <c r="H1726" i="7"/>
  <c r="H1839" i="7"/>
  <c r="K1487" i="7"/>
  <c r="H1649" i="7"/>
  <c r="K1679" i="7"/>
  <c r="K1551" i="7"/>
  <c r="K1657" i="7"/>
  <c r="K1677" i="7"/>
  <c r="K1698" i="7"/>
  <c r="H1837" i="7"/>
  <c r="H1770" i="7"/>
  <c r="H1873" i="7"/>
  <c r="H1609" i="7"/>
  <c r="H1623" i="7"/>
  <c r="H1633" i="7"/>
  <c r="K1718" i="7"/>
  <c r="H1750" i="7"/>
  <c r="H1878" i="7"/>
  <c r="K1743" i="7"/>
  <c r="K1745" i="7"/>
  <c r="K1755" i="7"/>
  <c r="K1810" i="7"/>
  <c r="K1814" i="7"/>
  <c r="K1818" i="7"/>
  <c r="K1847" i="7"/>
  <c r="H1668" i="7"/>
  <c r="H1732" i="7"/>
  <c r="K1693" i="7"/>
  <c r="K1740" i="7"/>
  <c r="K1756" i="7"/>
  <c r="K1760" i="7"/>
  <c r="K1819" i="7"/>
  <c r="K1835" i="7"/>
  <c r="H1861" i="7"/>
  <c r="K1863" i="7"/>
  <c r="K1874" i="7"/>
  <c r="H1912" i="7"/>
  <c r="H1947" i="7"/>
  <c r="H1975" i="7"/>
  <c r="K1842" i="7"/>
  <c r="K1879" i="7"/>
  <c r="H1765" i="7"/>
  <c r="H1783" i="7"/>
  <c r="K1787" i="7"/>
  <c r="K1882" i="7"/>
  <c r="K1995" i="7"/>
  <c r="K1661" i="7"/>
  <c r="K1682" i="7"/>
  <c r="K1761" i="7"/>
  <c r="K1771" i="7"/>
  <c r="K1785" i="7"/>
  <c r="H1828" i="7"/>
  <c r="K1912" i="7"/>
  <c r="K1923" i="7"/>
  <c r="H1926" i="7"/>
  <c r="H2009" i="7"/>
  <c r="H2007" i="7"/>
  <c r="H1687" i="7"/>
  <c r="K1713" i="7"/>
  <c r="K1793" i="7"/>
  <c r="K1820" i="7"/>
  <c r="K2017" i="7"/>
  <c r="H1893" i="7"/>
  <c r="K1778" i="7"/>
  <c r="K1851" i="7"/>
  <c r="K1920" i="7"/>
  <c r="H1958" i="7"/>
  <c r="K1945" i="7"/>
  <c r="K1883" i="7"/>
  <c r="K1889" i="7"/>
  <c r="K1939" i="7"/>
  <c r="K1999" i="7"/>
  <c r="H2006" i="7"/>
  <c r="K1907" i="7"/>
  <c r="H1950" i="7"/>
  <c r="K1971" i="7"/>
  <c r="K2016" i="7"/>
  <c r="K1891" i="7"/>
  <c r="K1955" i="7"/>
  <c r="H1767" i="7"/>
  <c r="H1814" i="7"/>
  <c r="K1899" i="7"/>
  <c r="K1963" i="7"/>
  <c r="N18" i="7" l="1"/>
  <c r="Q10" i="7"/>
  <c r="N10" i="7"/>
  <c r="S10" i="7"/>
  <c r="O10" i="7"/>
  <c r="N13" i="7"/>
  <c r="P10" i="7"/>
  <c r="R10" i="7"/>
  <c r="N15" i="7"/>
  <c r="N19" i="7"/>
  <c r="N14" i="7"/>
  <c r="C39" i="3"/>
  <c r="C16" i="4" s="1"/>
  <c r="C15" i="4"/>
  <c r="C40" i="3" l="1"/>
  <c r="C17" i="4" l="1"/>
  <c r="C41" i="3"/>
  <c r="C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DF22F890-368B-4FB3-ACC9-F1032C170A4F}">
      <text>
        <r>
          <rPr>
            <sz val="10"/>
            <rFont val="Arial"/>
            <family val="2"/>
          </rPr>
          <t>For LOGNORMAL rows, p1/p2 are in log-space. Use column G for the value in real units (dollars, tokens, etc.).</t>
        </r>
      </text>
    </comment>
    <comment ref="C9" authorId="0" shapeId="0" xr:uid="{00000000-0006-0000-0600-000001000000}">
      <text>
        <r>
          <rPr>
            <sz val="10"/>
            <rFont val="Arial"/>
            <family val="2"/>
          </rPr>
          <t>p1 is the mean of the natural log. Median = EXP(9.76) = $17,300, not $9,000. See column F/G.</t>
        </r>
      </text>
    </comment>
  </commentList>
</comments>
</file>

<file path=xl/sharedStrings.xml><?xml version="1.0" encoding="utf-8"?>
<sst xmlns="http://schemas.openxmlformats.org/spreadsheetml/2006/main" count="452" uniqueCount="372">
  <si>
    <t>The Economics of Transformative AI</t>
  </si>
  <si>
    <t>Reproducible model of the "Back-of-napkin" AI compute &amp; revenue calculations</t>
  </si>
  <si>
    <t>Companion workbook to the Part 1+2 report. Prepared for Justin (Arcadia Impact). Build date 2026-06-14.</t>
  </si>
  <si>
    <t xml:space="preserve">  Purpose</t>
  </si>
  <si>
    <t>Faithfully reproduces every figure in the source Google Doc, documents and sources all inputs, runs the</t>
  </si>
  <si>
    <t>logic three independent ways for 2031, and stress-tests the tenuous parameters with a live Monte Carlo.</t>
  </si>
  <si>
    <t xml:space="preserve">  Sheet guide</t>
  </si>
  <si>
    <t>Inputs &amp; Sources</t>
  </si>
  <si>
    <t>Every hardcoded input, its value, units, source link and a confidence flag. Single source of truth.</t>
  </si>
  <si>
    <t>2026 Baseline</t>
  </si>
  <si>
    <t>Concurrent copies, revenue-per-chip, and the Anthropic &amp; DeepSeek per-model case studies.</t>
  </si>
  <si>
    <t>2031 Projection</t>
  </si>
  <si>
    <t>Compute stock, copies, and the three revenue estimates (GPU/chip, model-based, token-based).</t>
  </si>
  <si>
    <t>Scale &amp; Human</t>
  </si>
  <si>
    <t>Internet-equivalent output and the LLM-vs-human-cognition comparison.</t>
  </si>
  <si>
    <t>Monte Carlo</t>
  </si>
  <si>
    <t>Live 2,000-trial in-sheet simulation of 2031 revenue + human-parity, with percentiles &amp; sensitivity.</t>
  </si>
  <si>
    <t>Scenario L/B/H</t>
  </si>
  <si>
    <t>Deterministic low / base / high tornado on each uncertain driver.</t>
  </si>
  <si>
    <t xml:space="preserve">  Colour legend (financial-model convention)</t>
  </si>
  <si>
    <t>Blue text</t>
  </si>
  <si>
    <t>Hardcoded input / assumption you can change</t>
  </si>
  <si>
    <t>Black text</t>
  </si>
  <si>
    <t>Formula / calculation</t>
  </si>
  <si>
    <t>Green text</t>
  </si>
  <si>
    <t>Link to another sheet in this workbook</t>
  </si>
  <si>
    <t>Yellow fill</t>
  </si>
  <si>
    <t>Key assumption that most needs scrutiny</t>
  </si>
  <si>
    <t>NOTE: Headline figures (e.g. $2T) reproduce the doc exactly. Cells flagged purple carry an analyst note (hover).</t>
  </si>
  <si>
    <t>All hardcoded inputs. Blue = change these. Sources are live links; confidence: [E]stablished / [C]ontested / [S]peculative.</t>
  </si>
  <si>
    <t>Parameter</t>
  </si>
  <si>
    <t>Value</t>
  </si>
  <si>
    <t>Unit</t>
  </si>
  <si>
    <t>Source</t>
  </si>
  <si>
    <t>Conf.</t>
  </si>
  <si>
    <t>Analyst note</t>
  </si>
  <si>
    <t xml:space="preserve">  2026 BASELINE</t>
  </si>
  <si>
    <t>Global AI compute stock, 2026</t>
  </si>
  <si>
    <t>H100e</t>
  </si>
  <si>
    <t>Epoch AI (2025 report: ~16.5M end-2025)</t>
  </si>
  <si>
    <t>C</t>
  </si>
  <si>
    <t>Doc uses 20M. Epoch published ~16.5M at end-2025; 20M is plausible/slightly conservative for mid-2026 at 3.3x/yr.</t>
  </si>
  <si>
    <t>H100e to run one frontier copy (1.6T params)</t>
  </si>
  <si>
    <t>DeepSeek V4 (1.6T MoE) deploy footprint</t>
  </si>
  <si>
    <t>Derived from model size &amp; GPU memory (Derivations B).</t>
  </si>
  <si>
    <t>Industry LLM-serving revenue, 2026</t>
  </si>
  <si>
    <t>USD/yr</t>
  </si>
  <si>
    <t>Anthropic ~$45B + OpenAI ~$25B + others</t>
  </si>
  <si>
    <t>Derived: sum of per-company ARR (Derivations F).</t>
  </si>
  <si>
    <t>Anthropic ARR, 2026</t>
  </si>
  <si>
    <t>SemiAnalysis / Simon Willison (run-rate ~$45-47B)</t>
  </si>
  <si>
    <t>E</t>
  </si>
  <si>
    <t>Matches doc.</t>
  </si>
  <si>
    <t>Anthropic inference fleet</t>
  </si>
  <si>
    <t>Inferred; total fleet ~2M H100e (1.3M Trn2 + 1M TPUv7 + ~220k GPU)</t>
  </si>
  <si>
    <t>Derived: total fleet x inference share (Derivations G).</t>
  </si>
  <si>
    <t>DeepSeek output throughput</t>
  </si>
  <si>
    <t>tok/s/GPU</t>
  </si>
  <si>
    <t>Doc (FP4/8 batch inference)</t>
  </si>
  <si>
    <t>Derived from FLOP/s, FLOP/token &amp; decode efficiency (Derivations C).</t>
  </si>
  <si>
    <t>DeepSeek blended price (derived)</t>
  </si>
  <si>
    <t>$/Mtok</t>
  </si>
  <si>
    <t>Doc figure</t>
  </si>
  <si>
    <t>Derived from input/output price &amp; I:O ratio (Derivations E). Replaces the old $3.5 hardcode.</t>
  </si>
  <si>
    <t>DeepSeek duty-cycle utilisation</t>
  </si>
  <si>
    <t>frac</t>
  </si>
  <si>
    <t>Doc "realistic" figure</t>
  </si>
  <si>
    <t>Now ONLY the time-busy factor; inference-share split out to Derivations D.</t>
  </si>
  <si>
    <t>Seconds per year</t>
  </si>
  <si>
    <t>s</t>
  </si>
  <si>
    <t>365*24*3600</t>
  </si>
  <si>
    <t xml:space="preserve">  2031 PROJECTION</t>
  </si>
  <si>
    <t>Compute growth rate</t>
  </si>
  <si>
    <t>x/yr</t>
  </si>
  <si>
    <t>Epoch 3.3x/yr; Dario (Dwarkesh) ~3x/yr</t>
  </si>
  <si>
    <t>Doc 3x is slightly below Epoch 3.3x. Conservative.</t>
  </si>
  <si>
    <t>Projection horizon</t>
  </si>
  <si>
    <t>yr</t>
  </si>
  <si>
    <t>2026 -&gt; 2031</t>
  </si>
  <si>
    <t>H100e per frontier copy, 2031</t>
  </si>
  <si>
    <t>Doc (8x the 2026 footprint)</t>
  </si>
  <si>
    <t>S</t>
  </si>
  <si>
    <t>Derived from 2031 model size &amp; GPU memory (Derivations H).</t>
  </si>
  <si>
    <t>GPU serving frontier models, 2031</t>
  </si>
  <si>
    <t>Doc assumption (~40% of 4.86B fleet)</t>
  </si>
  <si>
    <t>Rev/chip HIGH (DeepSeek-derived)</t>
  </si>
  <si>
    <t>Doc DeepSeek case (held flat to 2031)</t>
  </si>
  <si>
    <t>Held constant to 2031 despite falling token prices -&gt; overstates.</t>
  </si>
  <si>
    <t>Rev/chip LOW (macro avg)</t>
  </si>
  <si>
    <t>Doc macro case ($100B/20M)</t>
  </si>
  <si>
    <t>Concurrent copies, model method</t>
  </si>
  <si>
    <t>copies</t>
  </si>
  <si>
    <t>Doc assumption</t>
  </si>
  <si>
    <t>Revenue per copy, 2031</t>
  </si>
  <si>
    <t>Doc "same as today"</t>
  </si>
  <si>
    <t>INCONSISTENT: 2026 case studies were $1.07M &amp; $2.16M/model, not $200k.</t>
  </si>
  <si>
    <t>Token capacity, 2031</t>
  </si>
  <si>
    <t>tok/s</t>
  </si>
  <si>
    <t>Doc attributes to Epoch</t>
  </si>
  <si>
    <t>Epoch states Q4-2025 capacity 0.5-20B tok/s &amp; 3x/yr; 1T/s by 2031 is consistent but not a direct Epoch quote.</t>
  </si>
  <si>
    <t>Utilisation, token method</t>
  </si>
  <si>
    <t>Doc</t>
  </si>
  <si>
    <t>Internet size</t>
  </si>
  <si>
    <t>tokens</t>
  </si>
  <si>
    <t>EducatingSilicon / chat-log estimates</t>
  </si>
  <si>
    <t>Order-of-magnitude.</t>
  </si>
  <si>
    <t>White-collar workers, 2031</t>
  </si>
  <si>
    <t>workers</t>
  </si>
  <si>
    <t>Forrester ~1.25B info workers (2018)</t>
  </si>
  <si>
    <t>Doc 1.5B; current estimates ~1-1.25B.</t>
  </si>
  <si>
    <t>Human cognition rate (doc)</t>
  </si>
  <si>
    <t>tok/min</t>
  </si>
  <si>
    <t>Epoch uses 380 wpm thinking ~500 tok/min, 240k tok/day.</t>
  </si>
  <si>
    <t>Human cognition rate (Epoch)</t>
  </si>
  <si>
    <t>tok/day</t>
  </si>
  <si>
    <t>Epoch digital-workers piece</t>
  </si>
  <si>
    <t>Alternative basis for cross-check.</t>
  </si>
  <si>
    <t>Global human wages</t>
  </si>
  <si>
    <t>Dario Amodei (Dwarkesh, 2026)</t>
  </si>
  <si>
    <t>For "% of wages" comparison.</t>
  </si>
  <si>
    <t>Derivations</t>
  </si>
  <si>
    <t>Composite inputs built up from primitives. Blue = primitive you can change; black = formula; the Inputs sheet now links here (green) instead of hardcoding these.</t>
  </si>
  <si>
    <t xml:space="preserve">  A. Hardware &amp; precision (primitives)</t>
  </si>
  <si>
    <t>H100 peak compute (FP8, dense)</t>
  </si>
  <si>
    <t>FLOP/s</t>
  </si>
  <si>
    <t>NVIDIA H100 SXM ~1,979 TFLOP/s FP8 dense.</t>
  </si>
  <si>
    <t>Bytes per parameter (FP8)</t>
  </si>
  <si>
    <t>bytes</t>
  </si>
  <si>
    <t>FP8 = 1 byte/param.</t>
  </si>
  <si>
    <t>GPU memory per chip</t>
  </si>
  <si>
    <t>H100 80GB.</t>
  </si>
  <si>
    <t xml:space="preserve">  B. Frontier model - DeepSeek V4 (1.6T MoE)</t>
  </si>
  <si>
    <t>Total parameters</t>
  </si>
  <si>
    <t>params</t>
  </si>
  <si>
    <t>DeepSeek V4 1.6T MoE.</t>
  </si>
  <si>
    <t>Active parameters (MoE)</t>
  </si>
  <si>
    <t>~37B active per token.</t>
  </si>
  <si>
    <t>FLOP per output token</t>
  </si>
  <si>
    <t>FLOP</t>
  </si>
  <si>
    <t>2 x active params (forward pass).</t>
  </si>
  <si>
    <t>Memory overhead factor (KV cache etc.)</t>
  </si>
  <si>
    <t>x</t>
  </si>
  <si>
    <t>Weights + KV cache + activations.</t>
  </si>
  <si>
    <t>GPUs to hold one copy (2026)</t>
  </si>
  <si>
    <t xml:space="preserve">  C. Throughput: converting FLOP/s into tokens/s</t>
  </si>
  <si>
    <t>Theoretical peak tokens/s/GPU</t>
  </si>
  <si>
    <t>Decode efficiency (memory-bound)</t>
  </si>
  <si>
    <t>Decode is bandwidth-bound, not FLOP-bound; only ~8% of FLOP peak is realised. Calibrated to ~2,100 tok/s.</t>
  </si>
  <si>
    <t>Achieved busy throughput / GPU</t>
  </si>
  <si>
    <t xml:space="preserve">  D. Utilisation - now TWO separate factors</t>
  </si>
  <si>
    <t>Inference share of fleet</t>
  </si>
  <si>
    <t>Fraction of a fleet on inference vs training/experiments (Epoch ~44%).</t>
  </si>
  <si>
    <t>Duty cycle (time actively serving)</t>
  </si>
  <si>
    <t>Fraction of the year a serving GPU is actually busy (Epoch realistic 5-30%).</t>
  </si>
  <si>
    <t xml:space="preserve">  E. Token pricing (build the blend)</t>
  </si>
  <si>
    <t>Input price</t>
  </si>
  <si>
    <t>Output price</t>
  </si>
  <si>
    <t>Input : output token ratio</t>
  </si>
  <si>
    <t>Blended price (derived)</t>
  </si>
  <si>
    <t xml:space="preserve">  F. Industry 2026 revenue (sum, not a guess)</t>
  </si>
  <si>
    <t>Anthropic ARR</t>
  </si>
  <si>
    <t>$/yr</t>
  </si>
  <si>
    <t>SemiAnalysis/Willison.</t>
  </si>
  <si>
    <t>OpenAI ARR</t>
  </si>
  <si>
    <t>Sacra.</t>
  </si>
  <si>
    <t>Others (Google/MSFT/xAI/DeepSeek/...)</t>
  </si>
  <si>
    <t>Estimate to reach industry total.</t>
  </si>
  <si>
    <t>Industry LLM-serving revenue</t>
  </si>
  <si>
    <t xml:space="preserve">  G. Anthropic fleet -&gt; inference chips</t>
  </si>
  <si>
    <t>Anthropic total fleet</t>
  </si>
  <si>
    <t>1.3M Trn2 + 1M TPUv7 + ~220k GPU ~ 2M H100e.</t>
  </si>
  <si>
    <t xml:space="preserve">  H. 2031 frontier model footprint</t>
  </si>
  <si>
    <t>2031 model total parameters</t>
  </si>
  <si>
    <t>~8x the 1.6T (doc assumption).</t>
  </si>
  <si>
    <t>GPUs to hold one copy (2031)</t>
  </si>
  <si>
    <t xml:space="preserve">  I. DeepSeek revenue per GPU/model (2 streams)</t>
  </si>
  <si>
    <t>Output tokens / GPU / yr</t>
  </si>
  <si>
    <t>Input tokens / GPU / yr</t>
  </si>
  <si>
    <t>Revenue / GPU / yr</t>
  </si>
  <si>
    <t>output@out_price + input@in_price (priced by stream, not a single blend).</t>
  </si>
  <si>
    <t>Revenue / model copy / yr</t>
  </si>
  <si>
    <t>Green = links to Inputs sheet. "Doc" column = the figure stated in the source Google Doc.</t>
  </si>
  <si>
    <t>Result</t>
  </si>
  <si>
    <t>Doc says</t>
  </si>
  <si>
    <t>Note</t>
  </si>
  <si>
    <t xml:space="preserve">  Compute capacity</t>
  </si>
  <si>
    <t>Concurrent frontier copies</t>
  </si>
  <si>
    <t>830,000</t>
  </si>
  <si>
    <t>20M / 24. Reproduces (rounded).</t>
  </si>
  <si>
    <t>Macro revenue per H100e</t>
  </si>
  <si>
    <t>$5,000</t>
  </si>
  <si>
    <t>$100B / 20M chips.</t>
  </si>
  <si>
    <t xml:space="preserve">  Case study 1: Anthropic (empirical)</t>
  </si>
  <si>
    <t>Revenue per chip</t>
  </si>
  <si>
    <t>$45,000</t>
  </si>
  <si>
    <t>$45B / 1M inference chips.</t>
  </si>
  <si>
    <t>Number of model copies hosted</t>
  </si>
  <si>
    <t>42,000</t>
  </si>
  <si>
    <t>1M / 24.</t>
  </si>
  <si>
    <t>Revenue per model copy / yr</t>
  </si>
  <si>
    <t>$1.07M</t>
  </si>
  <si>
    <t>$45B / 41,667.</t>
  </si>
  <si>
    <t xml:space="preserve">  Case study 2: DeepSeek V4 (bottom-up)</t>
  </si>
  <si>
    <t>Output tokens / GPU / yr (busy x duty)</t>
  </si>
  <si>
    <t>—</t>
  </si>
  <si>
    <t>busy throughput x sec/yr x duty cycle.</t>
  </si>
  <si>
    <t>Input tokens / GPU / yr (x I:O ratio)</t>
  </si>
  <si>
    <t>output x 3 (input:output).</t>
  </si>
  <si>
    <t>Revenue / GPU / yr (output + input)</t>
  </si>
  <si>
    <t>$90k @40%</t>
  </si>
  <si>
    <t>Priced by stream. Corrected inputs land ~$29k, below Anthropic premium $45k.</t>
  </si>
  <si>
    <t>$2.16M</t>
  </si>
  <si>
    <t>Reconciliation: all figures reproduce the doc within rounding. See Note column for the two embedded pricing/fleet caveats (flagged on Inputs sheet).</t>
  </si>
  <si>
    <t>Three independent revenue estimates. The doc adopts the model-based ~$2T figure as its headline.</t>
  </si>
  <si>
    <t xml:space="preserve">  Compute scale</t>
  </si>
  <si>
    <t>Global compute stock, 2031</t>
  </si>
  <si>
    <t>4.8B</t>
  </si>
  <si>
    <t>20M * 3^5.</t>
  </si>
  <si>
    <t>Concurrent frontier copies, 2031</t>
  </si>
  <si>
    <t>24.3M</t>
  </si>
  <si>
    <t>4.86B / 200.</t>
  </si>
  <si>
    <t xml:space="preserve">  ...ratio vs 2026</t>
  </si>
  <si>
    <t>29x</t>
  </si>
  <si>
    <t xml:space="preserve">  Method 1 - GPU / revenue-per-chip</t>
  </si>
  <si>
    <t>Revenue @ $90k/chip (high)</t>
  </si>
  <si>
    <t>$180T</t>
  </si>
  <si>
    <t>2B chips * $90k. = 1.6x world GDP -&gt; not credible; method breaks down.</t>
  </si>
  <si>
    <t>Revenue @ $5k/chip (low)</t>
  </si>
  <si>
    <t>$10T</t>
  </si>
  <si>
    <t>2B chips * $5k.</t>
  </si>
  <si>
    <t xml:space="preserve">  Method 2 - Model-based (doc headline)</t>
  </si>
  <si>
    <t>Revenue (10M copies * $200k)</t>
  </si>
  <si>
    <t>$2T</t>
  </si>
  <si>
    <t>INCONSISTENCY: $200k/copy contradicts the 2026 $1.07M-$2.16M/model case studies.</t>
  </si>
  <si>
    <t xml:space="preserve">  ...if per-copy = $1.07M (2026 Anthropic)</t>
  </si>
  <si>
    <t>-</t>
  </si>
  <si>
    <t>Shows headline depends entirely on the low $200k figure.</t>
  </si>
  <si>
    <t xml:space="preserve">  Method 3 - Token-based</t>
  </si>
  <si>
    <t>Effective tokens/sec @10% util</t>
  </si>
  <si>
    <t>100B</t>
  </si>
  <si>
    <t>Tokens per minute</t>
  </si>
  <si>
    <t>6T</t>
  </si>
  <si>
    <t>Output price (derived; capacity = generation tokens)</t>
  </si>
  <si>
    <t>$0.83 implied</t>
  </si>
  <si>
    <t>Was a back-solved $0.83. Now the actual output price; revenue becomes a forward calc.</t>
  </si>
  <si>
    <t>Revenue per minute</t>
  </si>
  <si>
    <t>$5M</t>
  </si>
  <si>
    <t>Revenue per year</t>
  </si>
  <si>
    <t>$2.6T</t>
  </si>
  <si>
    <t>Annualised. Matches doc.</t>
  </si>
  <si>
    <t xml:space="preserve">  cross-check @ $3.5/Mtok</t>
  </si>
  <si>
    <t>If DeepSeek price used -&gt; $11T.</t>
  </si>
  <si>
    <t xml:space="preserve">  cross-check @ $0.50/Mtok</t>
  </si>
  <si>
    <t>If current DeepSeek output price -&gt; $1.6T.</t>
  </si>
  <si>
    <t xml:space="preserve">  Trajectory check</t>
  </si>
  <si>
    <t>Implied 2026-&gt;2031 revenue CAGR</t>
  </si>
  <si>
    <t>~82%</t>
  </si>
  <si>
    <t>Compute grows 243x but revenue only ~20x -&gt; revenue per unit compute falls ~12x (price deflation). Coherent but implicit.</t>
  </si>
  <si>
    <t>Cross-source: Dario Amodei (Dwarkesh 2026) expects "multiple trillions/yr by 2028-29" -&gt; the doc's $2T-by-2031 is conservative vs frontier-lab guidance.</t>
  </si>
  <si>
    <t>Scale &amp; Human comparison</t>
  </si>
  <si>
    <t>Putting 2031 token volumes in human terms.</t>
  </si>
  <si>
    <t xml:space="preserve">  Internet-scale output</t>
  </si>
  <si>
    <t>Hours to emit one "whole internet"</t>
  </si>
  <si>
    <t>few hours</t>
  </si>
  <si>
    <t>500T / (6T/min) / 60.</t>
  </si>
  <si>
    <t xml:space="preserve">  vs human cognition (doc basis: 1000 tok/min)</t>
  </si>
  <si>
    <t>Human token-equiv / min</t>
  </si>
  <si>
    <t>1.5T</t>
  </si>
  <si>
    <t>1.5B workers * 1000 tok/min.</t>
  </si>
  <si>
    <t>LLM : human token ratio</t>
  </si>
  <si>
    <t>4x</t>
  </si>
  <si>
    <t>LLM 6T/min vs human 1.5T/min.</t>
  </si>
  <si>
    <t xml:space="preserve">  vs human cognition (Epoch basis: 240k tok/day)</t>
  </si>
  <si>
    <t>Human token-equiv / day</t>
  </si>
  <si>
    <t>1.5B * 240k.</t>
  </si>
  <si>
    <t>LLM tokens / day</t>
  </si>
  <si>
    <t>6T/min * 1440.</t>
  </si>
  <si>
    <t>LLM : human ratio (Epoch basis)</t>
  </si>
  <si>
    <t>~24x, not 4x: conclusion is sensitive to the human-cognition assumption.</t>
  </si>
  <si>
    <t xml:space="preserve">  Revenue vs global wages</t>
  </si>
  <si>
    <t>Model-based revenue as % of wages</t>
  </si>
  <si>
    <t>&gt;5%</t>
  </si>
  <si>
    <t>$2T / $50T wages = 4%. Doc says "&gt;5% of wages".</t>
  </si>
  <si>
    <t>Monte Carlo - 2031 revenue &amp; human parity</t>
  </si>
  <si>
    <t>LIVE 2,000-trial simulation (recalculates on open / F9). Authoritative 300k-trial run is in reproduce.py.</t>
  </si>
  <si>
    <t xml:space="preserve">  Distribution parameters (blue = editable)</t>
  </si>
  <si>
    <t>SUMMARY (recalculates live)</t>
  </si>
  <si>
    <t>p1</t>
  </si>
  <si>
    <t>p2</t>
  </si>
  <si>
    <t>Distribution</t>
  </si>
  <si>
    <t>What this parameter is  —  and how to read p1 / p2</t>
  </si>
  <si>
    <t>Implied median (real units)</t>
  </si>
  <si>
    <t>Estimate</t>
  </si>
  <si>
    <t>P5</t>
  </si>
  <si>
    <t>P25</t>
  </si>
  <si>
    <t>P50</t>
  </si>
  <si>
    <t>P75</t>
  </si>
  <si>
    <t>P95</t>
  </si>
  <si>
    <t>Mean</t>
  </si>
  <si>
    <t>growth mean / sd</t>
  </si>
  <si>
    <t>Normal, clipped [1.8,4.5]</t>
  </si>
  <si>
    <t>Annual growth of the global compute stock. p1 = mean (3x/yr), p2 = std dev (0.45). Drawn from a normal curve, then capped to the [1.8x, 4.5x] range so no absurd values appear.</t>
  </si>
  <si>
    <t>M1 GPU</t>
  </si>
  <si>
    <t>h100_2026 lo / hi</t>
  </si>
  <si>
    <t>Uniform</t>
  </si>
  <si>
    <t>Starting global compute stock in 2026, in H100-equivalents. UNIFORM: every value between p1 (16M) and p2 (24M) is equally likely. Spans Epoch's ~16.5M up to the doc's 20M+.</t>
  </si>
  <si>
    <t>M2 model</t>
  </si>
  <si>
    <t>M1 rev/chip mu / sigma</t>
  </si>
  <si>
    <t>Lognormal (90% CI $5k-$60k)</t>
  </si>
  <si>
    <t>METHOD 1 - 2026 revenue per inference chip (US$). LOGNORMAL: p1/p2 are the mean &amp; std dev of the natural LOG, NOT dollars - this is why you see 9.76, not $9k. Median = e^9.76. 90% of draws fall in $5k-$60k (spans the $5k macro average and Anthropic's empirical ~$45k).</t>
  </si>
  <si>
    <t>M3 token</t>
  </si>
  <si>
    <t>M1 serving-share lo/hi</t>
  </si>
  <si>
    <t>METHOD 1 - share of the 2031 fleet actually serving frontier models. UNIFORM 25%-55% (the rest is training, experiments, smaller models, idle capacity).</t>
  </si>
  <si>
    <t>POOLED</t>
  </si>
  <si>
    <t>M1 price-decline lo/hi</t>
  </si>
  <si>
    <t>Uniform (rev/chip multiplier to 2031)</t>
  </si>
  <si>
    <t>METHOD 1 - how much of 2026 revenue-per-chip survives to 2031, as a multiplier. UNIFORM 0.25-0.9 = a 10%-75% fall, reflecting falling token prices over 5 years.</t>
  </si>
  <si>
    <t>M2 copies mu / sigma</t>
  </si>
  <si>
    <t>Lognormal (90% CI 3M-30M)</t>
  </si>
  <si>
    <t>METHOD 2 - number of concurrent frontier model copies served in 2031. LOGNORMAL (log-space). Median = e^16.07 ~ 9.5M; 90% CI 3M-30M (brackets the doc's 10M).</t>
  </si>
  <si>
    <t>Probabilities (pooled)</t>
  </si>
  <si>
    <t>M2 rev/copy mu / sigma</t>
  </si>
  <si>
    <t>Lognormal (90% CI $80k-$1.2M)</t>
  </si>
  <si>
    <t>METHOD 2 - annual revenue per model copy (US$). LOGNORMAL (log-space). Median = e^12.64 ~ $310k; 90% CI $80k-$1.2M (spans the doc's $200k and the 2026 case-study $1.07M).</t>
  </si>
  <si>
    <t>P(revenue &gt; $2T)</t>
  </si>
  <si>
    <t>M3 tok/s mu / sigma</t>
  </si>
  <si>
    <t>Lognormal (80% CI 0.2T-5T)</t>
  </si>
  <si>
    <t>METHOD 3 - total inference throughput in 2031 (tokens/second). LOGNORMAL (log-space). Median = e^27.63 ~ 1.0e12 (1 trillion tok/s); 80% CI 0.2T-5T (Epoch's late-2025 0.5-20B/s grown ~3x/yr).</t>
  </si>
  <si>
    <t>P(revenue &gt; $1T)</t>
  </si>
  <si>
    <t>M3 util lo / hi</t>
  </si>
  <si>
    <t>Uniform (Epoch range)</t>
  </si>
  <si>
    <t>METHOD 3 - average utilisation of that capacity. UNIFORM 5%-30% (Epoch's realistic inference-utilisation range).</t>
  </si>
  <si>
    <t>P(revenue &gt; $10T)</t>
  </si>
  <si>
    <t>M3 price mu / sigma</t>
  </si>
  <si>
    <t>Lognormal (90% CI $0.4-$3.5/Mtok)</t>
  </si>
  <si>
    <t>METHOD 3 - blended price per MILLION tokens (US$). LOGNORMAL (log-space). Median = e^0.168 ~ $1.18/Mtok; 90% CI $0.40-$3.50 (current DeepSeek output ~$0.87 up to the doc's $3.5).</t>
  </si>
  <si>
    <t>human workers lo/hi</t>
  </si>
  <si>
    <t>HUMAN-PARITY - number of white-collar workers in 2031. UNIFORM 1.0B-1.6B (current ~1.25B up to the doc's 1.5B).</t>
  </si>
  <si>
    <t>Human-parity ratio</t>
  </si>
  <si>
    <t>human tok/min lo/hi</t>
  </si>
  <si>
    <t>HUMAN-PARITY - tokens of cognition per worker per minute. UNIFORM 400-1200 (Epoch's ~500 from 380 wpm thinking, up to the doc's 1,000).</t>
  </si>
  <si>
    <t>P50 ratio</t>
  </si>
  <si>
    <t>P(LLM &gt; human-equiv)</t>
  </si>
  <si>
    <t xml:space="preserve">  Trials (2,000)  -  columns C..G are the three method revenues + pooled draw + human-parity ratio</t>
  </si>
  <si>
    <t>Trial</t>
  </si>
  <si>
    <t>growth</t>
  </si>
  <si>
    <t>H_2031</t>
  </si>
  <si>
    <t>M1 GPU ($)</t>
  </si>
  <si>
    <t>M2 model ($)</t>
  </si>
  <si>
    <t>M3 token ($)</t>
  </si>
  <si>
    <t>Pooled ($)</t>
  </si>
  <si>
    <t>LLM tok/min</t>
  </si>
  <si>
    <t>Human/min</t>
  </si>
  <si>
    <t>Parity x</t>
  </si>
  <si>
    <t>Doc headline = $2T sits near the 25th percentile of the pooled distribution (i.e. conservative).</t>
  </si>
  <si>
    <t>Deterministic scenario / tornado</t>
  </si>
  <si>
    <t>Token-method revenue ($/yr), one driver at a time low/high, others at base. Shows what moves the answer.</t>
  </si>
  <si>
    <t xml:space="preserve">  Base case (token method)</t>
  </si>
  <si>
    <t>tok/s capacity</t>
  </si>
  <si>
    <t>utilisation</t>
  </si>
  <si>
    <t>price $/Mtok</t>
  </si>
  <si>
    <t>Base revenue/yr</t>
  </si>
  <si>
    <t xml:space="preserve">  Tornado (hold others at base)</t>
  </si>
  <si>
    <t>Driver</t>
  </si>
  <si>
    <t>Low</t>
  </si>
  <si>
    <t>High</t>
  </si>
  <si>
    <t>Rev @ Low</t>
  </si>
  <si>
    <t>Rev @ High</t>
  </si>
  <si>
    <t>Swing</t>
  </si>
  <si>
    <t>Capacity and price dominate the spread; utilisation matters least. Mirrors the Spearman ranks in reproduce.py.</t>
  </si>
  <si>
    <t>DeepSeek V4-Pro NovitaAI - OpenRouter</t>
  </si>
  <si>
    <t>Ratio of input tokens to output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</si>
</sst>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.00"/>
    <numFmt numFmtId="165" formatCode="[$$-409]#,##0.00;[Red]\-[$$-409]#,##0.00"/>
    <numFmt numFmtId="166" formatCode="\$#,##0"/>
    <numFmt numFmtId="167" formatCode="0.0\x"/>
    <numFmt numFmtId="168" formatCode="0.0%"/>
    <numFmt numFmtId="169" formatCode="#,##0.0"/>
    <numFmt numFmtId="170" formatCode="0.00\x"/>
    <numFmt numFmtId="171" formatCode="0.0"/>
    <numFmt numFmtId="172" formatCode="#,##0.000"/>
  </numFmts>
  <fonts count="19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9"/>
      <color rgb="FF7030A0"/>
      <name val="Arial"/>
      <charset val="1"/>
    </font>
    <font>
      <b/>
      <sz val="15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u/>
      <sz val="9"/>
      <color rgb="FF0563C1"/>
      <name val="Arial"/>
      <charset val="1"/>
    </font>
    <font>
      <i/>
      <sz val="8"/>
      <color rgb="FF808080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  <font>
      <sz val="9"/>
      <color rgb="FF000000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8" fillId="0" borderId="0" xfId="0" applyFont="1"/>
    <xf numFmtId="0" fontId="9" fillId="0" borderId="0" xfId="0" applyFont="1"/>
    <xf numFmtId="0" fontId="0" fillId="0" borderId="1" xfId="0" applyBorder="1"/>
    <xf numFmtId="0" fontId="10" fillId="4" borderId="0" xfId="0" applyFont="1" applyFill="1" applyAlignment="1">
      <alignment horizontal="center" vertical="center"/>
    </xf>
    <xf numFmtId="0" fontId="4" fillId="0" borderId="2" xfId="0" applyFont="1" applyBorder="1"/>
    <xf numFmtId="3" fontId="11" fillId="3" borderId="2" xfId="0" applyNumberFormat="1" applyFont="1" applyFill="1" applyBorder="1"/>
    <xf numFmtId="0" fontId="12" fillId="0" borderId="2" xfId="0" applyFont="1" applyBorder="1"/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3" fontId="7" fillId="0" borderId="2" xfId="0" applyNumberFormat="1" applyFont="1" applyBorder="1"/>
    <xf numFmtId="3" fontId="11" fillId="0" borderId="2" xfId="0" applyNumberFormat="1" applyFont="1" applyBorder="1"/>
    <xf numFmtId="2" fontId="7" fillId="0" borderId="2" xfId="0" applyNumberFormat="1" applyFont="1" applyBorder="1"/>
    <xf numFmtId="2" fontId="11" fillId="0" borderId="2" xfId="0" applyNumberFormat="1" applyFont="1" applyBorder="1"/>
    <xf numFmtId="2" fontId="11" fillId="3" borderId="2" xfId="0" applyNumberFormat="1" applyFont="1" applyFill="1" applyBorder="1"/>
    <xf numFmtId="11" fontId="11" fillId="3" borderId="0" xfId="0" applyNumberFormat="1" applyFont="1" applyFill="1"/>
    <xf numFmtId="0" fontId="13" fillId="0" borderId="0" xfId="0" applyFont="1" applyAlignment="1">
      <alignment vertical="top" wrapText="1"/>
    </xf>
    <xf numFmtId="3" fontId="11" fillId="3" borderId="0" xfId="0" applyNumberFormat="1" applyFont="1" applyFill="1"/>
    <xf numFmtId="164" fontId="11" fillId="3" borderId="0" xfId="0" applyNumberFormat="1" applyFont="1" applyFill="1"/>
    <xf numFmtId="165" fontId="4" fillId="0" borderId="0" xfId="0" applyNumberFormat="1" applyFont="1"/>
    <xf numFmtId="0" fontId="14" fillId="4" borderId="0" xfId="0" applyFont="1" applyFill="1"/>
    <xf numFmtId="3" fontId="7" fillId="0" borderId="0" xfId="0" applyNumberFormat="1" applyFont="1"/>
    <xf numFmtId="0" fontId="13" fillId="0" borderId="0" xfId="0" applyFont="1"/>
    <xf numFmtId="166" fontId="7" fillId="0" borderId="0" xfId="0" applyNumberFormat="1" applyFont="1"/>
    <xf numFmtId="0" fontId="8" fillId="0" borderId="0" xfId="0" applyFont="1" applyAlignment="1">
      <alignment vertical="top" wrapText="1"/>
    </xf>
    <xf numFmtId="167" fontId="7" fillId="0" borderId="0" xfId="0" applyNumberFormat="1" applyFont="1"/>
    <xf numFmtId="164" fontId="7" fillId="0" borderId="0" xfId="0" applyNumberFormat="1" applyFont="1"/>
    <xf numFmtId="168" fontId="7" fillId="0" borderId="0" xfId="0" applyNumberFormat="1" applyFont="1"/>
    <xf numFmtId="169" fontId="7" fillId="0" borderId="0" xfId="0" applyNumberFormat="1" applyFont="1"/>
    <xf numFmtId="0" fontId="15" fillId="0" borderId="0" xfId="0" applyFont="1"/>
    <xf numFmtId="0" fontId="14" fillId="4" borderId="0" xfId="0" applyFont="1" applyFill="1" applyAlignment="1">
      <alignment vertical="center" wrapText="1"/>
    </xf>
    <xf numFmtId="0" fontId="11" fillId="3" borderId="0" xfId="0" applyFont="1" applyFill="1"/>
    <xf numFmtId="170" fontId="17" fillId="0" borderId="0" xfId="0" applyNumberFormat="1" applyFont="1"/>
    <xf numFmtId="166" fontId="4" fillId="0" borderId="0" xfId="0" applyNumberFormat="1" applyFont="1"/>
    <xf numFmtId="3" fontId="17" fillId="0" borderId="0" xfId="0" applyNumberFormat="1" applyFont="1"/>
    <xf numFmtId="166" fontId="17" fillId="0" borderId="0" xfId="0" applyNumberFormat="1" applyFont="1"/>
    <xf numFmtId="168" fontId="17" fillId="0" borderId="0" xfId="0" applyNumberFormat="1" applyFont="1"/>
    <xf numFmtId="2" fontId="17" fillId="0" borderId="0" xfId="0" applyNumberFormat="1" applyFont="1"/>
    <xf numFmtId="0" fontId="3" fillId="0" borderId="0" xfId="0" applyFont="1"/>
    <xf numFmtId="168" fontId="4" fillId="0" borderId="0" xfId="0" applyNumberFormat="1" applyFont="1"/>
    <xf numFmtId="164" fontId="17" fillId="0" borderId="0" xfId="0" applyNumberFormat="1" applyFont="1"/>
    <xf numFmtId="171" fontId="4" fillId="0" borderId="0" xfId="0" applyNumberFormat="1" applyFont="1"/>
    <xf numFmtId="0" fontId="14" fillId="4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71" fontId="0" fillId="0" borderId="0" xfId="0" applyNumberFormat="1"/>
    <xf numFmtId="168" fontId="11" fillId="3" borderId="0" xfId="0" applyNumberFormat="1" applyFont="1" applyFill="1"/>
    <xf numFmtId="2" fontId="11" fillId="3" borderId="0" xfId="0" applyNumberFormat="1" applyFont="1" applyFill="1"/>
    <xf numFmtId="3" fontId="6" fillId="0" borderId="0" xfId="0" applyNumberFormat="1" applyFont="1"/>
    <xf numFmtId="166" fontId="0" fillId="0" borderId="0" xfId="0" applyNumberFormat="1"/>
    <xf numFmtId="168" fontId="6" fillId="0" borderId="0" xfId="0" applyNumberFormat="1" applyFont="1"/>
    <xf numFmtId="2" fontId="6" fillId="0" borderId="0" xfId="0" applyNumberFormat="1" applyFont="1"/>
    <xf numFmtId="4" fontId="11" fillId="3" borderId="0" xfId="0" applyNumberFormat="1" applyFont="1" applyFill="1"/>
    <xf numFmtId="172" fontId="11" fillId="3" borderId="0" xfId="0" applyNumberFormat="1" applyFont="1" applyFill="1"/>
    <xf numFmtId="0" fontId="14" fillId="4" borderId="0" xfId="0" applyFont="1" applyFill="1" applyAlignment="1">
      <alignment vertical="center" wrapText="1"/>
    </xf>
    <xf numFmtId="0" fontId="1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Pooled 2031 revenue - percentiles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'Monte Carlo'!$N$6:$R$6</c:f>
              <c:strCache>
                <c:ptCount val="5"/>
                <c:pt idx="0">
                  <c:v>P5</c:v>
                </c:pt>
                <c:pt idx="1">
                  <c:v>P25</c:v>
                </c:pt>
                <c:pt idx="2">
                  <c:v>P50</c:v>
                </c:pt>
                <c:pt idx="3">
                  <c:v>P75</c:v>
                </c:pt>
                <c:pt idx="4">
                  <c:v>P95</c:v>
                </c:pt>
              </c:strCache>
            </c:strRef>
          </c:cat>
          <c:val>
            <c:numRef>
              <c:f>'Monte Carlo'!$N$9:$R$9</c:f>
              <c:numCache>
                <c:formatCode>\$#,##0</c:formatCode>
                <c:ptCount val="5"/>
                <c:pt idx="0">
                  <c:v>515265050989.86462</c:v>
                </c:pt>
                <c:pt idx="1">
                  <c:v>2139514953047.98</c:v>
                </c:pt>
                <c:pt idx="2">
                  <c:v>6565186942237.0645</c:v>
                </c:pt>
                <c:pt idx="3">
                  <c:v>16665917372396.756</c:v>
                </c:pt>
                <c:pt idx="4">
                  <c:v>63498623032782.625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7-4054-871C-06A13E23D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087"/>
        <c:axId val="66228935"/>
      </c:barChart>
      <c:catAx>
        <c:axId val="11470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228935"/>
        <c:crosses val="autoZero"/>
        <c:auto val="1"/>
        <c:lblAlgn val="ctr"/>
        <c:lblOffset val="100"/>
        <c:noMultiLvlLbl val="0"/>
      </c:catAx>
      <c:valAx>
        <c:axId val="662289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1470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Token-method revenue swing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'Scenario L-B-H'!$B$14:$B$16</c:f>
              <c:strCache>
                <c:ptCount val="2"/>
                <c:pt idx="0">
                  <c:v>utilisation</c:v>
                </c:pt>
                <c:pt idx="1">
                  <c:v>price $/Mtok</c:v>
                </c:pt>
              </c:strCache>
            </c:strRef>
          </c:cat>
          <c:val>
            <c:numRef>
              <c:f>'Scenario L-B-H'!$G$14:$G$16</c:f>
              <c:numCache>
                <c:formatCode>\$#,##0</c:formatCode>
                <c:ptCount val="3"/>
                <c:pt idx="0">
                  <c:v>6543720000000</c:v>
                </c:pt>
                <c:pt idx="1">
                  <c:v>9776160000000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2-4F05-AC46-6C28E7212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71706"/>
        <c:axId val="48446575"/>
      </c:barChart>
      <c:catAx>
        <c:axId val="7587170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446575"/>
        <c:crosses val="autoZero"/>
        <c:auto val="1"/>
        <c:lblAlgn val="ctr"/>
        <c:lblOffset val="100"/>
        <c:noMultiLvlLbl val="0"/>
      </c:catAx>
      <c:valAx>
        <c:axId val="4844657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8717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24</xdr:row>
      <xdr:rowOff>0</xdr:rowOff>
    </xdr:from>
    <xdr:to>
      <xdr:col>15</xdr:col>
      <xdr:colOff>839390</xdr:colOff>
      <xdr:row>37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28810</xdr:colOff>
      <xdr:row>30</xdr:row>
      <xdr:rowOff>63720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poch.ai/gradient-updates/how-many-digital-workers-could-openai-deploy" TargetMode="External"/><Relationship Id="rId13" Type="http://schemas.openxmlformats.org/officeDocument/2006/relationships/hyperlink" Target="https://epoch.ai/gradient-updates/how-many-digital-workers-could-openai-deploy" TargetMode="External"/><Relationship Id="rId3" Type="http://schemas.openxmlformats.org/officeDocument/2006/relationships/hyperlink" Target="https://sacra.com/c/anthropic/" TargetMode="External"/><Relationship Id="rId7" Type="http://schemas.openxmlformats.org/officeDocument/2006/relationships/hyperlink" Target="https://www.morphllm.com/deepseek-v4" TargetMode="External"/><Relationship Id="rId12" Type="http://schemas.openxmlformats.org/officeDocument/2006/relationships/hyperlink" Target="https://www.forrester.com/blogs/the-global-information-worker-population-swells-to-1-25-billion-in-2018" TargetMode="External"/><Relationship Id="rId2" Type="http://schemas.openxmlformats.org/officeDocument/2006/relationships/hyperlink" Target="https://www.morphllm.com/deepseek-v4" TargetMode="External"/><Relationship Id="rId1" Type="http://schemas.openxmlformats.org/officeDocument/2006/relationships/hyperlink" Target="https://epoch.ai/data/ai-chip-sales" TargetMode="External"/><Relationship Id="rId6" Type="http://schemas.openxmlformats.org/officeDocument/2006/relationships/hyperlink" Target="https://developer.nvidia.com/blog/nvidia-blackwell-delivers-world-record-deepseek-r1-inference-performance/" TargetMode="External"/><Relationship Id="rId11" Type="http://schemas.openxmlformats.org/officeDocument/2006/relationships/hyperlink" Target="https://www.educatingsilicon.com/2024/05/09/how-much-llm-training-data-is-there-in-the-limit/" TargetMode="External"/><Relationship Id="rId5" Type="http://schemas.openxmlformats.org/officeDocument/2006/relationships/hyperlink" Target="https://epoch.ai/data/ai-chip-owners" TargetMode="External"/><Relationship Id="rId10" Type="http://schemas.openxmlformats.org/officeDocument/2006/relationships/hyperlink" Target="https://epoch.ai/gradient-updates/is-a-compute-crunch-coming" TargetMode="External"/><Relationship Id="rId4" Type="http://schemas.openxmlformats.org/officeDocument/2006/relationships/hyperlink" Target="https://simonwillison.net/2026/May/29/anthropic/" TargetMode="External"/><Relationship Id="rId9" Type="http://schemas.openxmlformats.org/officeDocument/2006/relationships/hyperlink" Target="https://epoch.ai/data-insights/ai-chip-production" TargetMode="External"/><Relationship Id="rId14" Type="http://schemas.openxmlformats.org/officeDocument/2006/relationships/hyperlink" Target="https://www.dwarkesh.com/p/dario-amodei-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20" customWidth="1"/>
    <col min="3" max="3" width="16" customWidth="1"/>
    <col min="4" max="7" width="14" customWidth="1"/>
    <col min="8" max="8" width="20" customWidth="1"/>
  </cols>
  <sheetData>
    <row r="2" spans="1:8" ht="21.75" customHeight="1" x14ac:dyDescent="0.5">
      <c r="B2" s="1" t="s">
        <v>0</v>
      </c>
    </row>
    <row r="3" spans="1:8" ht="15" customHeight="1" x14ac:dyDescent="0.35">
      <c r="B3" s="2" t="s">
        <v>1</v>
      </c>
    </row>
    <row r="4" spans="1:8" ht="15" customHeight="1" x14ac:dyDescent="0.35">
      <c r="B4" s="2" t="s">
        <v>2</v>
      </c>
    </row>
    <row r="6" spans="1:8" ht="15" customHeight="1" x14ac:dyDescent="0.35">
      <c r="A6" s="3" t="s">
        <v>3</v>
      </c>
      <c r="B6" s="4"/>
      <c r="C6" s="4"/>
      <c r="D6" s="4"/>
      <c r="E6" s="4"/>
      <c r="F6" s="4"/>
      <c r="G6" s="4"/>
      <c r="H6" s="4"/>
    </row>
    <row r="7" spans="1:8" ht="15" customHeight="1" x14ac:dyDescent="0.35">
      <c r="B7" s="5" t="s">
        <v>4</v>
      </c>
    </row>
    <row r="8" spans="1:8" ht="15" customHeight="1" x14ac:dyDescent="0.35">
      <c r="B8" s="5" t="s">
        <v>5</v>
      </c>
    </row>
    <row r="10" spans="1:8" ht="15" customHeight="1" x14ac:dyDescent="0.35">
      <c r="A10" s="3" t="s">
        <v>6</v>
      </c>
      <c r="B10" s="4"/>
      <c r="C10" s="4"/>
      <c r="D10" s="4"/>
      <c r="E10" s="4"/>
      <c r="F10" s="4"/>
      <c r="G10" s="4"/>
      <c r="H10" s="4"/>
    </row>
    <row r="11" spans="1:8" ht="15" customHeight="1" x14ac:dyDescent="0.35">
      <c r="B11" s="6" t="s">
        <v>7</v>
      </c>
      <c r="C11" s="5" t="s">
        <v>8</v>
      </c>
    </row>
    <row r="12" spans="1:8" ht="15" customHeight="1" x14ac:dyDescent="0.35">
      <c r="B12" s="6" t="s">
        <v>9</v>
      </c>
      <c r="C12" s="5" t="s">
        <v>10</v>
      </c>
    </row>
    <row r="13" spans="1:8" ht="15" customHeight="1" x14ac:dyDescent="0.35">
      <c r="B13" s="6" t="s">
        <v>11</v>
      </c>
      <c r="C13" s="5" t="s">
        <v>12</v>
      </c>
    </row>
    <row r="14" spans="1:8" ht="15" customHeight="1" x14ac:dyDescent="0.35">
      <c r="B14" s="6" t="s">
        <v>13</v>
      </c>
      <c r="C14" s="5" t="s">
        <v>14</v>
      </c>
    </row>
    <row r="15" spans="1:8" ht="15" customHeight="1" x14ac:dyDescent="0.35">
      <c r="B15" s="6" t="s">
        <v>15</v>
      </c>
      <c r="C15" s="5" t="s">
        <v>16</v>
      </c>
    </row>
    <row r="16" spans="1:8" ht="15" customHeight="1" x14ac:dyDescent="0.35">
      <c r="B16" s="6" t="s">
        <v>17</v>
      </c>
      <c r="C16" s="5" t="s">
        <v>18</v>
      </c>
    </row>
    <row r="18" spans="1:8" ht="15" customHeight="1" x14ac:dyDescent="0.35">
      <c r="A18" s="3" t="s">
        <v>19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B19" s="7" t="s">
        <v>20</v>
      </c>
      <c r="C19" s="5" t="s">
        <v>21</v>
      </c>
    </row>
    <row r="20" spans="1:8" ht="15" customHeight="1" x14ac:dyDescent="0.35">
      <c r="B20" s="5" t="s">
        <v>22</v>
      </c>
      <c r="C20" s="5" t="s">
        <v>23</v>
      </c>
    </row>
    <row r="21" spans="1:8" ht="15" customHeight="1" x14ac:dyDescent="0.35">
      <c r="B21" s="8" t="s">
        <v>24</v>
      </c>
      <c r="C21" s="5" t="s">
        <v>25</v>
      </c>
    </row>
    <row r="22" spans="1:8" ht="15" customHeight="1" x14ac:dyDescent="0.35">
      <c r="B22" s="9" t="s">
        <v>26</v>
      </c>
      <c r="C22" s="5" t="s">
        <v>27</v>
      </c>
    </row>
    <row r="24" spans="1:8" ht="15" customHeight="1" x14ac:dyDescent="0.35">
      <c r="B24" s="10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pane ySplit="4" topLeftCell="A5" activePane="bottomLeft" state="frozen"/>
      <selection pane="bottomLeft" activeCell="C11" sqref="C11"/>
    </sheetView>
  </sheetViews>
  <sheetFormatPr defaultColWidth="8.6328125" defaultRowHeight="14.5" x14ac:dyDescent="0.35"/>
  <cols>
    <col min="1" max="1" width="2" customWidth="1"/>
    <col min="2" max="2" width="40" customWidth="1"/>
    <col min="3" max="3" width="16" customWidth="1"/>
    <col min="4" max="4" width="12" customWidth="1"/>
    <col min="5" max="5" width="46" customWidth="1"/>
    <col min="6" max="6" width="8" customWidth="1"/>
    <col min="7" max="7" width="34" customWidth="1"/>
  </cols>
  <sheetData>
    <row r="1" spans="1:8" ht="18" customHeight="1" x14ac:dyDescent="0.4">
      <c r="A1" s="11" t="s">
        <v>7</v>
      </c>
    </row>
    <row r="2" spans="1:8" ht="15" customHeight="1" x14ac:dyDescent="0.35">
      <c r="A2" s="2" t="s">
        <v>29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A4" s="13"/>
      <c r="B4" s="13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</row>
    <row r="5" spans="1:8" ht="15" customHeight="1" x14ac:dyDescent="0.35">
      <c r="A5" s="3" t="s">
        <v>36</v>
      </c>
      <c r="B5" s="4"/>
      <c r="C5" s="4"/>
      <c r="D5" s="4"/>
      <c r="E5" s="4"/>
      <c r="F5" s="4"/>
      <c r="G5" s="4"/>
      <c r="H5" s="4"/>
    </row>
    <row r="6" spans="1:8" ht="27.75" customHeight="1" x14ac:dyDescent="0.35">
      <c r="B6" s="14" t="s">
        <v>37</v>
      </c>
      <c r="C6" s="15">
        <v>20000000</v>
      </c>
      <c r="D6" s="14" t="s">
        <v>38</v>
      </c>
      <c r="E6" s="16" t="s">
        <v>39</v>
      </c>
      <c r="F6" s="17" t="s">
        <v>40</v>
      </c>
      <c r="G6" s="18" t="s">
        <v>41</v>
      </c>
    </row>
    <row r="7" spans="1:8" ht="18.75" customHeight="1" x14ac:dyDescent="0.35">
      <c r="B7" s="14" t="s">
        <v>42</v>
      </c>
      <c r="C7" s="19">
        <f>Derivations!$C$13</f>
        <v>24</v>
      </c>
      <c r="D7" s="14" t="s">
        <v>38</v>
      </c>
      <c r="E7" s="16" t="s">
        <v>43</v>
      </c>
      <c r="F7" s="17" t="s">
        <v>40</v>
      </c>
      <c r="G7" s="18" t="s">
        <v>44</v>
      </c>
    </row>
    <row r="8" spans="1:8" ht="27.75" customHeight="1" x14ac:dyDescent="0.35">
      <c r="B8" s="14" t="s">
        <v>45</v>
      </c>
      <c r="C8" s="19">
        <f>Derivations!$C$30</f>
        <v>100000000000</v>
      </c>
      <c r="D8" s="14" t="s">
        <v>46</v>
      </c>
      <c r="E8" s="16" t="s">
        <v>47</v>
      </c>
      <c r="F8" s="17" t="s">
        <v>40</v>
      </c>
      <c r="G8" s="18" t="s">
        <v>48</v>
      </c>
    </row>
    <row r="9" spans="1:8" ht="15" customHeight="1" x14ac:dyDescent="0.35">
      <c r="B9" s="14" t="s">
        <v>49</v>
      </c>
      <c r="C9" s="20">
        <v>45000000000</v>
      </c>
      <c r="D9" s="14" t="s">
        <v>46</v>
      </c>
      <c r="E9" s="16" t="s">
        <v>50</v>
      </c>
      <c r="F9" s="17" t="s">
        <v>51</v>
      </c>
      <c r="G9" s="18" t="s">
        <v>52</v>
      </c>
    </row>
    <row r="10" spans="1:8" ht="18.75" customHeight="1" x14ac:dyDescent="0.35">
      <c r="B10" s="14" t="s">
        <v>53</v>
      </c>
      <c r="C10" s="19">
        <f>Derivations!$C$33</f>
        <v>800000</v>
      </c>
      <c r="D10" s="14" t="s">
        <v>38</v>
      </c>
      <c r="E10" s="16" t="s">
        <v>54</v>
      </c>
      <c r="F10" s="17" t="s">
        <v>40</v>
      </c>
      <c r="G10" s="18" t="s">
        <v>55</v>
      </c>
    </row>
    <row r="11" spans="1:8" ht="18.75" customHeight="1" x14ac:dyDescent="0.35">
      <c r="B11" s="14" t="s">
        <v>56</v>
      </c>
      <c r="C11" s="19">
        <f>Derivations!$C$17</f>
        <v>2099.3445945945946</v>
      </c>
      <c r="D11" s="14" t="s">
        <v>57</v>
      </c>
      <c r="E11" s="16" t="s">
        <v>58</v>
      </c>
      <c r="F11" s="17" t="s">
        <v>40</v>
      </c>
      <c r="G11" s="18" t="s">
        <v>59</v>
      </c>
    </row>
    <row r="12" spans="1:8" ht="27.75" customHeight="1" x14ac:dyDescent="0.35">
      <c r="B12" s="14" t="s">
        <v>60</v>
      </c>
      <c r="C12" s="21">
        <f>Derivations!$C$25</f>
        <v>1.7454545454545454</v>
      </c>
      <c r="D12" s="14" t="s">
        <v>61</v>
      </c>
      <c r="E12" s="16" t="s">
        <v>62</v>
      </c>
      <c r="F12" s="17" t="s">
        <v>40</v>
      </c>
      <c r="G12" s="18" t="s">
        <v>63</v>
      </c>
    </row>
    <row r="13" spans="1:8" ht="18.75" customHeight="1" x14ac:dyDescent="0.35">
      <c r="B13" s="14" t="s">
        <v>64</v>
      </c>
      <c r="C13" s="21">
        <f>Derivations!$C$20</f>
        <v>0.2</v>
      </c>
      <c r="D13" s="14" t="s">
        <v>65</v>
      </c>
      <c r="E13" s="16" t="s">
        <v>66</v>
      </c>
      <c r="F13" s="17" t="s">
        <v>40</v>
      </c>
      <c r="G13" s="18" t="s">
        <v>67</v>
      </c>
    </row>
    <row r="14" spans="1:8" ht="15" customHeight="1" x14ac:dyDescent="0.35">
      <c r="B14" s="14" t="s">
        <v>68</v>
      </c>
      <c r="C14" s="20">
        <v>31536000</v>
      </c>
      <c r="D14" s="14" t="s">
        <v>69</v>
      </c>
      <c r="E14" s="14" t="s">
        <v>70</v>
      </c>
      <c r="F14" s="17" t="s">
        <v>51</v>
      </c>
      <c r="G14" s="18"/>
    </row>
    <row r="15" spans="1:8" ht="15" customHeight="1" x14ac:dyDescent="0.35">
      <c r="A15" s="3" t="s">
        <v>71</v>
      </c>
      <c r="B15" s="4"/>
      <c r="C15" s="4"/>
      <c r="D15" s="4"/>
      <c r="E15" s="4"/>
      <c r="F15" s="4"/>
      <c r="G15" s="4"/>
      <c r="H15" s="4"/>
    </row>
    <row r="16" spans="1:8" ht="18.75" customHeight="1" x14ac:dyDescent="0.35">
      <c r="B16" s="14" t="s">
        <v>72</v>
      </c>
      <c r="C16" s="22">
        <v>3</v>
      </c>
      <c r="D16" s="14" t="s">
        <v>73</v>
      </c>
      <c r="E16" s="16" t="s">
        <v>74</v>
      </c>
      <c r="F16" s="17" t="s">
        <v>51</v>
      </c>
      <c r="G16" s="18" t="s">
        <v>75</v>
      </c>
    </row>
    <row r="17" spans="2:7" ht="15" customHeight="1" x14ac:dyDescent="0.35">
      <c r="B17" s="14" t="s">
        <v>76</v>
      </c>
      <c r="C17" s="20">
        <v>5</v>
      </c>
      <c r="D17" s="14" t="s">
        <v>77</v>
      </c>
      <c r="E17" s="14" t="s">
        <v>78</v>
      </c>
      <c r="F17" s="17" t="s">
        <v>51</v>
      </c>
      <c r="G17" s="18"/>
    </row>
    <row r="18" spans="2:7" ht="18.75" customHeight="1" x14ac:dyDescent="0.35">
      <c r="B18" s="14" t="s">
        <v>79</v>
      </c>
      <c r="C18" s="19">
        <f>Derivations!$C$36</f>
        <v>192</v>
      </c>
      <c r="D18" s="14" t="s">
        <v>38</v>
      </c>
      <c r="E18" s="14" t="s">
        <v>80</v>
      </c>
      <c r="F18" s="17" t="s">
        <v>81</v>
      </c>
      <c r="G18" s="18" t="s">
        <v>82</v>
      </c>
    </row>
    <row r="19" spans="2:7" ht="15" customHeight="1" x14ac:dyDescent="0.35">
      <c r="B19" s="14" t="s">
        <v>83</v>
      </c>
      <c r="C19" s="15">
        <v>2000000000</v>
      </c>
      <c r="D19" s="14" t="s">
        <v>38</v>
      </c>
      <c r="E19" s="14" t="s">
        <v>84</v>
      </c>
      <c r="F19" s="17" t="s">
        <v>81</v>
      </c>
      <c r="G19" s="18"/>
    </row>
    <row r="20" spans="2:7" ht="18.75" customHeight="1" x14ac:dyDescent="0.35">
      <c r="B20" s="14" t="s">
        <v>85</v>
      </c>
      <c r="C20" s="15">
        <v>90000</v>
      </c>
      <c r="D20" s="14" t="s">
        <v>46</v>
      </c>
      <c r="E20" s="14" t="s">
        <v>86</v>
      </c>
      <c r="F20" s="17" t="s">
        <v>81</v>
      </c>
      <c r="G20" s="18" t="s">
        <v>87</v>
      </c>
    </row>
    <row r="21" spans="2:7" ht="15" customHeight="1" x14ac:dyDescent="0.35">
      <c r="B21" s="14" t="s">
        <v>88</v>
      </c>
      <c r="C21" s="20">
        <v>5000</v>
      </c>
      <c r="D21" s="14" t="s">
        <v>46</v>
      </c>
      <c r="E21" s="14" t="s">
        <v>89</v>
      </c>
      <c r="F21" s="17" t="s">
        <v>40</v>
      </c>
      <c r="G21" s="18"/>
    </row>
    <row r="22" spans="2:7" ht="15" customHeight="1" x14ac:dyDescent="0.35">
      <c r="B22" s="14" t="s">
        <v>90</v>
      </c>
      <c r="C22" s="15">
        <v>10000000</v>
      </c>
      <c r="D22" s="14" t="s">
        <v>91</v>
      </c>
      <c r="E22" s="14" t="s">
        <v>92</v>
      </c>
      <c r="F22" s="17" t="s">
        <v>81</v>
      </c>
      <c r="G22" s="18"/>
    </row>
    <row r="23" spans="2:7" ht="18.75" customHeight="1" x14ac:dyDescent="0.35">
      <c r="B23" s="14" t="s">
        <v>93</v>
      </c>
      <c r="C23" s="15">
        <v>200000</v>
      </c>
      <c r="D23" s="14" t="s">
        <v>46</v>
      </c>
      <c r="E23" s="14" t="s">
        <v>94</v>
      </c>
      <c r="F23" s="17" t="s">
        <v>81</v>
      </c>
      <c r="G23" s="18" t="s">
        <v>95</v>
      </c>
    </row>
    <row r="24" spans="2:7" ht="27.75" customHeight="1" x14ac:dyDescent="0.35">
      <c r="B24" s="14" t="s">
        <v>96</v>
      </c>
      <c r="C24" s="15">
        <v>1000000000000</v>
      </c>
      <c r="D24" s="14" t="s">
        <v>97</v>
      </c>
      <c r="E24" s="16" t="s">
        <v>98</v>
      </c>
      <c r="F24" s="17" t="s">
        <v>81</v>
      </c>
      <c r="G24" s="18" t="s">
        <v>99</v>
      </c>
    </row>
    <row r="25" spans="2:7" ht="15" customHeight="1" x14ac:dyDescent="0.35">
      <c r="B25" s="14" t="s">
        <v>100</v>
      </c>
      <c r="C25" s="23">
        <v>0.1</v>
      </c>
      <c r="D25" s="14" t="s">
        <v>65</v>
      </c>
      <c r="E25" s="14" t="s">
        <v>101</v>
      </c>
      <c r="F25" s="17" t="s">
        <v>40</v>
      </c>
      <c r="G25" s="18"/>
    </row>
    <row r="26" spans="2:7" ht="15" customHeight="1" x14ac:dyDescent="0.35">
      <c r="B26" s="14" t="s">
        <v>102</v>
      </c>
      <c r="C26" s="20">
        <v>500000000000000</v>
      </c>
      <c r="D26" s="14" t="s">
        <v>103</v>
      </c>
      <c r="E26" s="16" t="s">
        <v>104</v>
      </c>
      <c r="F26" s="17" t="s">
        <v>40</v>
      </c>
      <c r="G26" s="18" t="s">
        <v>105</v>
      </c>
    </row>
    <row r="27" spans="2:7" ht="15" customHeight="1" x14ac:dyDescent="0.35">
      <c r="B27" s="14" t="s">
        <v>106</v>
      </c>
      <c r="C27" s="15">
        <v>1500000000</v>
      </c>
      <c r="D27" s="14" t="s">
        <v>107</v>
      </c>
      <c r="E27" s="16" t="s">
        <v>108</v>
      </c>
      <c r="F27" s="17" t="s">
        <v>40</v>
      </c>
      <c r="G27" s="18" t="s">
        <v>109</v>
      </c>
    </row>
    <row r="28" spans="2:7" ht="18.75" customHeight="1" x14ac:dyDescent="0.35">
      <c r="B28" s="14" t="s">
        <v>110</v>
      </c>
      <c r="C28" s="15">
        <v>1000</v>
      </c>
      <c r="D28" s="14" t="s">
        <v>111</v>
      </c>
      <c r="E28" s="14" t="s">
        <v>101</v>
      </c>
      <c r="F28" s="17" t="s">
        <v>81</v>
      </c>
      <c r="G28" s="18" t="s">
        <v>112</v>
      </c>
    </row>
    <row r="29" spans="2:7" ht="15" customHeight="1" x14ac:dyDescent="0.35">
      <c r="B29" s="14" t="s">
        <v>113</v>
      </c>
      <c r="C29" s="20">
        <v>240000</v>
      </c>
      <c r="D29" s="14" t="s">
        <v>114</v>
      </c>
      <c r="E29" s="16" t="s">
        <v>115</v>
      </c>
      <c r="F29" s="17" t="s">
        <v>40</v>
      </c>
      <c r="G29" s="18" t="s">
        <v>116</v>
      </c>
    </row>
    <row r="30" spans="2:7" ht="15" customHeight="1" x14ac:dyDescent="0.35">
      <c r="B30" s="14" t="s">
        <v>117</v>
      </c>
      <c r="C30" s="20">
        <v>50000000000000</v>
      </c>
      <c r="D30" s="14" t="s">
        <v>46</v>
      </c>
      <c r="E30" s="16" t="s">
        <v>118</v>
      </c>
      <c r="F30" s="17" t="s">
        <v>51</v>
      </c>
      <c r="G30" s="18" t="s">
        <v>119</v>
      </c>
    </row>
  </sheetData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0" r:id="rId5" xr:uid="{00000000-0004-0000-0100-000004000000}"/>
    <hyperlink ref="E11" r:id="rId6" xr:uid="{00000000-0004-0000-0100-000005000000}"/>
    <hyperlink ref="E12" r:id="rId7" xr:uid="{00000000-0004-0000-0100-000006000000}"/>
    <hyperlink ref="E13" r:id="rId8" xr:uid="{00000000-0004-0000-0100-000007000000}"/>
    <hyperlink ref="E16" r:id="rId9" xr:uid="{00000000-0004-0000-0100-000008000000}"/>
    <hyperlink ref="E24" r:id="rId10" xr:uid="{00000000-0004-0000-0100-000009000000}"/>
    <hyperlink ref="E26" r:id="rId11" xr:uid="{00000000-0004-0000-0100-00000A000000}"/>
    <hyperlink ref="E27" r:id="rId12" xr:uid="{00000000-0004-0000-0100-00000B000000}"/>
    <hyperlink ref="E29" r:id="rId13" xr:uid="{00000000-0004-0000-0100-00000C000000}"/>
    <hyperlink ref="E30" r:id="rId14" xr:uid="{00000000-0004-0000-01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zoomScaleNormal="100" workbookViewId="0">
      <pane ySplit="3" topLeftCell="A18" activePane="bottomLeft" state="frozen"/>
      <selection pane="bottomLeft" activeCell="E30" sqref="E30"/>
    </sheetView>
  </sheetViews>
  <sheetFormatPr defaultColWidth="8.6328125" defaultRowHeight="14.5" x14ac:dyDescent="0.35"/>
  <cols>
    <col min="1" max="1" width="2" customWidth="1"/>
    <col min="2" max="2" width="44" customWidth="1"/>
    <col min="3" max="3" width="33.81640625" customWidth="1"/>
    <col min="4" max="4" width="12" customWidth="1"/>
    <col min="5" max="5" width="52" customWidth="1"/>
  </cols>
  <sheetData>
    <row r="1" spans="1:7" ht="19" x14ac:dyDescent="0.4">
      <c r="A1" s="11" t="s">
        <v>120</v>
      </c>
    </row>
    <row r="2" spans="1:7" x14ac:dyDescent="0.35">
      <c r="A2" s="2" t="s">
        <v>121</v>
      </c>
    </row>
    <row r="3" spans="1:7" x14ac:dyDescent="0.35">
      <c r="A3" s="12"/>
      <c r="B3" s="12"/>
      <c r="C3" s="12"/>
      <c r="D3" s="12"/>
      <c r="E3" s="12"/>
      <c r="F3" s="12"/>
      <c r="G3" s="12"/>
    </row>
    <row r="4" spans="1:7" x14ac:dyDescent="0.35">
      <c r="A4" s="3" t="s">
        <v>122</v>
      </c>
      <c r="B4" s="4"/>
      <c r="C4" s="4"/>
      <c r="D4" s="4"/>
      <c r="E4" s="4"/>
      <c r="F4" s="4"/>
      <c r="G4" s="4"/>
    </row>
    <row r="5" spans="1:7" x14ac:dyDescent="0.35">
      <c r="B5" s="5" t="s">
        <v>123</v>
      </c>
      <c r="C5" s="24">
        <v>1979000000000000</v>
      </c>
      <c r="D5" s="5" t="s">
        <v>124</v>
      </c>
      <c r="E5" s="25" t="s">
        <v>125</v>
      </c>
    </row>
    <row r="6" spans="1:7" x14ac:dyDescent="0.35">
      <c r="B6" s="5" t="s">
        <v>126</v>
      </c>
      <c r="C6" s="26">
        <v>1</v>
      </c>
      <c r="D6" s="5" t="s">
        <v>127</v>
      </c>
      <c r="E6" s="25" t="s">
        <v>128</v>
      </c>
    </row>
    <row r="7" spans="1:7" x14ac:dyDescent="0.35">
      <c r="B7" s="5" t="s">
        <v>129</v>
      </c>
      <c r="C7" s="26">
        <v>80000000000</v>
      </c>
      <c r="D7" s="5" t="s">
        <v>127</v>
      </c>
      <c r="E7" s="25" t="s">
        <v>130</v>
      </c>
    </row>
    <row r="8" spans="1:7" x14ac:dyDescent="0.35">
      <c r="A8" s="3" t="s">
        <v>131</v>
      </c>
      <c r="B8" s="4"/>
      <c r="C8" s="4"/>
      <c r="D8" s="4"/>
      <c r="E8" s="4"/>
      <c r="F8" s="4"/>
      <c r="G8" s="4"/>
    </row>
    <row r="9" spans="1:7" x14ac:dyDescent="0.35">
      <c r="B9" s="5" t="s">
        <v>132</v>
      </c>
      <c r="C9" s="24">
        <v>1600000000000</v>
      </c>
      <c r="D9" s="5" t="s">
        <v>133</v>
      </c>
      <c r="E9" s="25" t="s">
        <v>134</v>
      </c>
    </row>
    <row r="10" spans="1:7" x14ac:dyDescent="0.35">
      <c r="B10" s="5" t="s">
        <v>135</v>
      </c>
      <c r="C10" s="26">
        <v>37000000000</v>
      </c>
      <c r="D10" s="5" t="s">
        <v>133</v>
      </c>
      <c r="E10" s="25" t="s">
        <v>136</v>
      </c>
    </row>
    <row r="11" spans="1:7" x14ac:dyDescent="0.35">
      <c r="B11" s="5" t="s">
        <v>137</v>
      </c>
      <c r="C11" s="5">
        <f>2*$C$10</f>
        <v>74000000000</v>
      </c>
      <c r="D11" s="5" t="s">
        <v>138</v>
      </c>
      <c r="E11" s="25" t="s">
        <v>139</v>
      </c>
    </row>
    <row r="12" spans="1:7" x14ac:dyDescent="0.35">
      <c r="B12" s="5" t="s">
        <v>140</v>
      </c>
      <c r="C12" s="61">
        <v>1.2</v>
      </c>
      <c r="D12" s="5" t="s">
        <v>141</v>
      </c>
      <c r="E12" s="25" t="s">
        <v>142</v>
      </c>
    </row>
    <row r="13" spans="1:7" x14ac:dyDescent="0.35">
      <c r="B13" s="5" t="s">
        <v>143</v>
      </c>
      <c r="C13" s="5">
        <f>CEILING($C$9*$C$6*$C$12/$C$7,1)</f>
        <v>24</v>
      </c>
      <c r="D13" s="5" t="s">
        <v>38</v>
      </c>
      <c r="E13" s="25" t="e">
        <f>total_params x bytes x overhead / gpu mem.</f>
        <v>#NAME?</v>
      </c>
    </row>
    <row r="14" spans="1:7" x14ac:dyDescent="0.35">
      <c r="A14" s="3" t="s">
        <v>144</v>
      </c>
      <c r="B14" s="4"/>
      <c r="C14" s="4"/>
      <c r="D14" s="4"/>
      <c r="E14" s="4"/>
      <c r="F14" s="4"/>
      <c r="G14" s="4"/>
    </row>
    <row r="15" spans="1:7" x14ac:dyDescent="0.35">
      <c r="B15" s="5" t="s">
        <v>145</v>
      </c>
      <c r="C15" s="5">
        <f>$C$5/$C$11</f>
        <v>26743.243243243243</v>
      </c>
      <c r="D15" s="5" t="s">
        <v>97</v>
      </c>
      <c r="E15" s="25" t="e">
        <v>#VALUE!</v>
      </c>
    </row>
    <row r="16" spans="1:7" ht="20" x14ac:dyDescent="0.35">
      <c r="B16" s="5" t="s">
        <v>146</v>
      </c>
      <c r="C16" s="62">
        <v>7.85E-2</v>
      </c>
      <c r="D16" s="5" t="s">
        <v>65</v>
      </c>
      <c r="E16" s="25" t="s">
        <v>147</v>
      </c>
    </row>
    <row r="17" spans="1:7" x14ac:dyDescent="0.35">
      <c r="B17" s="5" t="s">
        <v>148</v>
      </c>
      <c r="C17" s="5">
        <f>$C$15*$C$16</f>
        <v>2099.3445945945946</v>
      </c>
      <c r="D17" s="5" t="s">
        <v>97</v>
      </c>
      <c r="E17" s="25" t="e">
        <v>#VALUE!</v>
      </c>
    </row>
    <row r="18" spans="1:7" x14ac:dyDescent="0.35">
      <c r="A18" s="3" t="s">
        <v>149</v>
      </c>
      <c r="B18" s="4"/>
      <c r="C18" s="4"/>
      <c r="D18" s="4"/>
      <c r="E18" s="4"/>
      <c r="F18" s="4"/>
      <c r="G18" s="4"/>
    </row>
    <row r="19" spans="1:7" x14ac:dyDescent="0.35">
      <c r="B19" s="5" t="s">
        <v>150</v>
      </c>
      <c r="C19" s="61">
        <v>0.4</v>
      </c>
      <c r="D19" s="5" t="s">
        <v>65</v>
      </c>
      <c r="E19" s="25" t="s">
        <v>151</v>
      </c>
    </row>
    <row r="20" spans="1:7" x14ac:dyDescent="0.35">
      <c r="B20" s="5" t="s">
        <v>152</v>
      </c>
      <c r="C20" s="61">
        <v>0.2</v>
      </c>
      <c r="D20" s="5" t="s">
        <v>65</v>
      </c>
      <c r="E20" s="25" t="s">
        <v>153</v>
      </c>
    </row>
    <row r="21" spans="1:7" x14ac:dyDescent="0.35">
      <c r="A21" s="3" t="s">
        <v>154</v>
      </c>
      <c r="B21" s="4"/>
      <c r="C21" s="4"/>
      <c r="D21" s="4"/>
      <c r="E21" s="4"/>
      <c r="F21" s="4"/>
      <c r="G21" s="4"/>
    </row>
    <row r="22" spans="1:7" x14ac:dyDescent="0.35">
      <c r="B22" s="5" t="s">
        <v>155</v>
      </c>
      <c r="C22" s="27">
        <v>1.6</v>
      </c>
      <c r="D22" s="5" t="s">
        <v>61</v>
      </c>
      <c r="E22" s="25" t="s">
        <v>370</v>
      </c>
    </row>
    <row r="23" spans="1:7" x14ac:dyDescent="0.35">
      <c r="B23" s="5" t="s">
        <v>156</v>
      </c>
      <c r="C23" s="27">
        <v>3.2</v>
      </c>
      <c r="D23" s="5" t="s">
        <v>61</v>
      </c>
      <c r="E23" s="25" t="s">
        <v>370</v>
      </c>
    </row>
    <row r="24" spans="1:7" x14ac:dyDescent="0.35">
      <c r="B24" s="5" t="s">
        <v>157</v>
      </c>
      <c r="C24" s="26">
        <v>10</v>
      </c>
      <c r="D24" s="5" t="s">
        <v>141</v>
      </c>
      <c r="E24" s="25" t="s">
        <v>371</v>
      </c>
    </row>
    <row r="25" spans="1:7" x14ac:dyDescent="0.35">
      <c r="B25" s="5" t="s">
        <v>158</v>
      </c>
      <c r="C25" s="5">
        <f>($C$22*$C$24+$C$23)/($C$24+1)</f>
        <v>1.7454545454545454</v>
      </c>
      <c r="D25" s="5" t="s">
        <v>61</v>
      </c>
      <c r="E25" s="25"/>
    </row>
    <row r="26" spans="1:7" x14ac:dyDescent="0.35">
      <c r="A26" s="3" t="s">
        <v>159</v>
      </c>
      <c r="B26" s="4"/>
      <c r="C26" s="4"/>
      <c r="D26" s="4"/>
      <c r="E26" s="4"/>
      <c r="F26" s="4"/>
      <c r="G26" s="4"/>
    </row>
    <row r="27" spans="1:7" x14ac:dyDescent="0.35">
      <c r="B27" s="5" t="s">
        <v>160</v>
      </c>
      <c r="C27" s="26">
        <v>45000000000</v>
      </c>
      <c r="D27" s="5" t="s">
        <v>161</v>
      </c>
      <c r="E27" s="25" t="s">
        <v>162</v>
      </c>
    </row>
    <row r="28" spans="1:7" x14ac:dyDescent="0.35">
      <c r="B28" s="5" t="s">
        <v>163</v>
      </c>
      <c r="C28" s="26">
        <v>25000000000</v>
      </c>
      <c r="D28" s="5" t="s">
        <v>161</v>
      </c>
      <c r="E28" s="25" t="s">
        <v>164</v>
      </c>
    </row>
    <row r="29" spans="1:7" x14ac:dyDescent="0.35">
      <c r="B29" s="5" t="s">
        <v>165</v>
      </c>
      <c r="C29" s="26">
        <v>30000000000</v>
      </c>
      <c r="D29" s="5" t="s">
        <v>161</v>
      </c>
      <c r="E29" s="25" t="s">
        <v>166</v>
      </c>
    </row>
    <row r="30" spans="1:7" x14ac:dyDescent="0.35">
      <c r="B30" s="5" t="s">
        <v>167</v>
      </c>
      <c r="C30" s="5">
        <f>$C$27+$C$28+$C$29</f>
        <v>100000000000</v>
      </c>
      <c r="D30" s="5" t="s">
        <v>161</v>
      </c>
      <c r="E30" s="25"/>
    </row>
    <row r="31" spans="1:7" x14ac:dyDescent="0.35">
      <c r="A31" s="3" t="s">
        <v>168</v>
      </c>
      <c r="B31" s="4"/>
      <c r="C31" s="4"/>
      <c r="D31" s="4"/>
      <c r="E31" s="4"/>
      <c r="F31" s="4"/>
      <c r="G31" s="4"/>
    </row>
    <row r="32" spans="1:7" x14ac:dyDescent="0.35">
      <c r="B32" s="5" t="s">
        <v>169</v>
      </c>
      <c r="C32" s="26">
        <v>2000000</v>
      </c>
      <c r="D32" s="5" t="s">
        <v>38</v>
      </c>
      <c r="E32" s="25" t="s">
        <v>170</v>
      </c>
    </row>
    <row r="33" spans="1:7" x14ac:dyDescent="0.35">
      <c r="B33" s="5" t="s">
        <v>53</v>
      </c>
      <c r="C33" s="5">
        <f>$C$32*$C$19</f>
        <v>800000</v>
      </c>
      <c r="D33" s="5" t="s">
        <v>38</v>
      </c>
      <c r="E33" s="25"/>
    </row>
    <row r="34" spans="1:7" x14ac:dyDescent="0.35">
      <c r="A34" s="3" t="s">
        <v>171</v>
      </c>
      <c r="B34" s="4"/>
      <c r="C34" s="4"/>
      <c r="D34" s="4"/>
      <c r="E34" s="4"/>
      <c r="F34" s="4"/>
      <c r="G34" s="4"/>
    </row>
    <row r="35" spans="1:7" x14ac:dyDescent="0.35">
      <c r="B35" s="5" t="s">
        <v>172</v>
      </c>
      <c r="C35" s="24">
        <v>12800000000000</v>
      </c>
      <c r="D35" s="5" t="s">
        <v>133</v>
      </c>
      <c r="E35" s="25" t="s">
        <v>173</v>
      </c>
    </row>
    <row r="36" spans="1:7" x14ac:dyDescent="0.35">
      <c r="B36" s="5" t="s">
        <v>174</v>
      </c>
      <c r="C36" s="5">
        <f>CEILING($C$35*$C$6*$C$12/$C$7,1)</f>
        <v>192</v>
      </c>
      <c r="D36" s="5" t="s">
        <v>38</v>
      </c>
      <c r="E36" s="25"/>
    </row>
    <row r="37" spans="1:7" x14ac:dyDescent="0.35">
      <c r="A37" s="3" t="s">
        <v>175</v>
      </c>
      <c r="B37" s="4"/>
      <c r="C37" s="4"/>
      <c r="D37" s="4"/>
      <c r="E37" s="4"/>
      <c r="F37" s="4"/>
      <c r="G37" s="4"/>
    </row>
    <row r="38" spans="1:7" x14ac:dyDescent="0.35">
      <c r="B38" s="5" t="s">
        <v>176</v>
      </c>
      <c r="C38" s="5">
        <f>$C$17*31536000*$C$20</f>
        <v>13240986227.027027</v>
      </c>
      <c r="D38" s="5" t="s">
        <v>103</v>
      </c>
      <c r="E38" s="25"/>
    </row>
    <row r="39" spans="1:7" x14ac:dyDescent="0.35">
      <c r="B39" s="5" t="s">
        <v>177</v>
      </c>
      <c r="C39" s="5">
        <f>$C$38*$C$24</f>
        <v>132409862270.27026</v>
      </c>
      <c r="D39" s="5" t="s">
        <v>103</v>
      </c>
      <c r="E39" s="25"/>
    </row>
    <row r="40" spans="1:7" x14ac:dyDescent="0.35">
      <c r="B40" s="5" t="s">
        <v>178</v>
      </c>
      <c r="C40" s="28">
        <f>$C$38/1000000*$C$23+$C$39/1000000*$C$22</f>
        <v>254226.93555891892</v>
      </c>
      <c r="D40" s="5" t="s">
        <v>161</v>
      </c>
      <c r="E40" s="25" t="s">
        <v>179</v>
      </c>
    </row>
    <row r="41" spans="1:7" x14ac:dyDescent="0.35">
      <c r="B41" s="5" t="s">
        <v>180</v>
      </c>
      <c r="C41" s="28">
        <f>$C$40*$C$13</f>
        <v>6101446.4534140546</v>
      </c>
      <c r="D41" s="5" t="s">
        <v>161</v>
      </c>
      <c r="E41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0" customWidth="1"/>
    <col min="3" max="3" width="18" customWidth="1"/>
    <col min="4" max="4" width="4" customWidth="1"/>
    <col min="5" max="5" width="16" customWidth="1"/>
    <col min="6" max="6" width="40" customWidth="1"/>
  </cols>
  <sheetData>
    <row r="1" spans="1:8" ht="18" customHeight="1" x14ac:dyDescent="0.4">
      <c r="A1" s="11" t="s">
        <v>9</v>
      </c>
    </row>
    <row r="2" spans="1:8" ht="15" customHeight="1" x14ac:dyDescent="0.35">
      <c r="A2" s="2" t="s">
        <v>181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9" t="s">
        <v>182</v>
      </c>
      <c r="E4" s="29" t="s">
        <v>183</v>
      </c>
      <c r="F4" s="29" t="s">
        <v>184</v>
      </c>
    </row>
    <row r="5" spans="1:8" ht="15" customHeight="1" x14ac:dyDescent="0.35">
      <c r="A5" s="3" t="s">
        <v>185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186</v>
      </c>
      <c r="C6" s="30">
        <f>'Inputs &amp; Sources'!$C$6/'Inputs &amp; Sources'!$C$7</f>
        <v>833333.33333333337</v>
      </c>
      <c r="E6" s="31" t="s">
        <v>187</v>
      </c>
      <c r="F6" s="25" t="s">
        <v>188</v>
      </c>
    </row>
    <row r="7" spans="1:8" ht="15" customHeight="1" x14ac:dyDescent="0.35">
      <c r="B7" s="5" t="s">
        <v>189</v>
      </c>
      <c r="C7" s="32">
        <f>'Inputs &amp; Sources'!$C$8/'Inputs &amp; Sources'!$C$6</f>
        <v>5000</v>
      </c>
      <c r="E7" s="31" t="s">
        <v>190</v>
      </c>
      <c r="F7" s="25" t="s">
        <v>191</v>
      </c>
    </row>
    <row r="9" spans="1:8" ht="15" customHeight="1" x14ac:dyDescent="0.35">
      <c r="A9" s="3" t="s">
        <v>192</v>
      </c>
      <c r="B9" s="4"/>
      <c r="C9" s="4"/>
      <c r="D9" s="4"/>
      <c r="E9" s="4"/>
      <c r="F9" s="4"/>
      <c r="G9" s="4"/>
      <c r="H9" s="4"/>
    </row>
    <row r="10" spans="1:8" ht="15" customHeight="1" x14ac:dyDescent="0.35">
      <c r="B10" s="5" t="s">
        <v>193</v>
      </c>
      <c r="C10" s="32">
        <f>'Inputs &amp; Sources'!$C$9/'Inputs &amp; Sources'!$C$10</f>
        <v>56250</v>
      </c>
      <c r="E10" s="31" t="s">
        <v>194</v>
      </c>
      <c r="F10" s="25" t="s">
        <v>195</v>
      </c>
    </row>
    <row r="11" spans="1:8" ht="15" customHeight="1" x14ac:dyDescent="0.35">
      <c r="B11" s="5" t="s">
        <v>196</v>
      </c>
      <c r="C11" s="30">
        <f>'Inputs &amp; Sources'!$C$10/'Inputs &amp; Sources'!$C$7</f>
        <v>33333.333333333336</v>
      </c>
      <c r="E11" s="31" t="s">
        <v>197</v>
      </c>
      <c r="F11" s="25" t="s">
        <v>198</v>
      </c>
    </row>
    <row r="12" spans="1:8" ht="15" customHeight="1" x14ac:dyDescent="0.35">
      <c r="B12" s="5" t="s">
        <v>199</v>
      </c>
      <c r="C12" s="32">
        <f>'Inputs &amp; Sources'!$C$9/C11</f>
        <v>1350000</v>
      </c>
      <c r="E12" s="31" t="s">
        <v>200</v>
      </c>
      <c r="F12" s="25" t="s">
        <v>201</v>
      </c>
    </row>
    <row r="14" spans="1:8" ht="15" customHeight="1" x14ac:dyDescent="0.35">
      <c r="A14" s="3" t="s">
        <v>202</v>
      </c>
      <c r="B14" s="4"/>
      <c r="C14" s="4"/>
      <c r="D14" s="4"/>
      <c r="E14" s="4"/>
      <c r="F14" s="4"/>
      <c r="G14" s="4"/>
      <c r="H14" s="4"/>
    </row>
    <row r="15" spans="1:8" ht="15" customHeight="1" x14ac:dyDescent="0.35">
      <c r="B15" s="5" t="s">
        <v>203</v>
      </c>
      <c r="C15" s="30">
        <f>Derivations!$C$38</f>
        <v>13240986227.027027</v>
      </c>
      <c r="E15" s="31" t="s">
        <v>204</v>
      </c>
      <c r="F15" s="25" t="s">
        <v>205</v>
      </c>
    </row>
    <row r="16" spans="1:8" ht="15" customHeight="1" x14ac:dyDescent="0.35">
      <c r="B16" s="5" t="s">
        <v>206</v>
      </c>
      <c r="C16" s="30">
        <f>Derivations!$C$39</f>
        <v>132409862270.27026</v>
      </c>
      <c r="E16" s="31" t="s">
        <v>204</v>
      </c>
      <c r="F16" s="25" t="s">
        <v>207</v>
      </c>
    </row>
    <row r="17" spans="2:6" ht="15" customHeight="1" x14ac:dyDescent="0.35">
      <c r="B17" s="5" t="s">
        <v>208</v>
      </c>
      <c r="C17" s="32">
        <f>Derivations!$C$40</f>
        <v>254226.93555891892</v>
      </c>
      <c r="E17" s="31" t="s">
        <v>209</v>
      </c>
      <c r="F17" s="25" t="s">
        <v>210</v>
      </c>
    </row>
    <row r="18" spans="2:6" ht="15" customHeight="1" x14ac:dyDescent="0.35">
      <c r="B18" s="5" t="s">
        <v>199</v>
      </c>
      <c r="C18" s="32">
        <f>Derivations!$C$41</f>
        <v>6101446.4534140546</v>
      </c>
      <c r="E18" s="31" t="s">
        <v>211</v>
      </c>
      <c r="F18" s="25" t="e">
        <f>rev/gpu x gpus/copy.</f>
        <v>#NAME?</v>
      </c>
    </row>
    <row r="20" spans="2:6" ht="32.25" customHeight="1" x14ac:dyDescent="0.35">
      <c r="B20" s="33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2" customWidth="1"/>
    <col min="3" max="3" width="18" customWidth="1"/>
    <col min="4" max="4" width="4" customWidth="1"/>
    <col min="5" max="5" width="16" customWidth="1"/>
    <col min="6" max="6" width="42" customWidth="1"/>
  </cols>
  <sheetData>
    <row r="1" spans="1:8" ht="18" customHeight="1" x14ac:dyDescent="0.4">
      <c r="A1" s="11" t="s">
        <v>11</v>
      </c>
    </row>
    <row r="2" spans="1:8" ht="15" customHeight="1" x14ac:dyDescent="0.35">
      <c r="A2" s="2" t="s">
        <v>213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9" t="s">
        <v>182</v>
      </c>
      <c r="E4" s="29" t="s">
        <v>183</v>
      </c>
      <c r="F4" s="29" t="s">
        <v>184</v>
      </c>
    </row>
    <row r="5" spans="1:8" ht="15" customHeight="1" x14ac:dyDescent="0.35">
      <c r="A5" s="3" t="s">
        <v>214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215</v>
      </c>
      <c r="C6" s="30">
        <f>'Inputs &amp; Sources'!$C$6*'Inputs &amp; Sources'!$C$16^'Inputs &amp; Sources'!$C$17</f>
        <v>4860000000</v>
      </c>
      <c r="E6" s="31" t="s">
        <v>216</v>
      </c>
      <c r="F6" s="25" t="s">
        <v>217</v>
      </c>
    </row>
    <row r="7" spans="1:8" ht="15" customHeight="1" x14ac:dyDescent="0.35">
      <c r="B7" s="5" t="s">
        <v>218</v>
      </c>
      <c r="C7" s="30">
        <f>C6/'Inputs &amp; Sources'!$C$18</f>
        <v>25312500</v>
      </c>
      <c r="E7" s="31" t="s">
        <v>219</v>
      </c>
      <c r="F7" s="25" t="s">
        <v>220</v>
      </c>
    </row>
    <row r="8" spans="1:8" ht="15" customHeight="1" x14ac:dyDescent="0.35">
      <c r="B8" s="5" t="s">
        <v>221</v>
      </c>
      <c r="C8" s="34">
        <f>C7/'2026 Baseline'!C6</f>
        <v>30.375</v>
      </c>
      <c r="E8" s="31" t="s">
        <v>222</v>
      </c>
    </row>
    <row r="10" spans="1:8" ht="15" customHeight="1" x14ac:dyDescent="0.35">
      <c r="A10" s="3" t="s">
        <v>223</v>
      </c>
      <c r="B10" s="4"/>
      <c r="C10" s="4"/>
      <c r="D10" s="4"/>
      <c r="E10" s="4"/>
      <c r="F10" s="4"/>
      <c r="G10" s="4"/>
      <c r="H10" s="4"/>
    </row>
    <row r="11" spans="1:8" ht="18.75" customHeight="1" x14ac:dyDescent="0.35">
      <c r="B11" s="5" t="s">
        <v>224</v>
      </c>
      <c r="C11" s="32">
        <f>'Inputs &amp; Sources'!$C$19*'Inputs &amp; Sources'!$C$20</f>
        <v>180000000000000</v>
      </c>
      <c r="E11" s="31" t="s">
        <v>225</v>
      </c>
      <c r="F11" s="25" t="s">
        <v>226</v>
      </c>
    </row>
    <row r="12" spans="1:8" ht="15" customHeight="1" x14ac:dyDescent="0.35">
      <c r="B12" s="5" t="s">
        <v>227</v>
      </c>
      <c r="C12" s="32">
        <f>'Inputs &amp; Sources'!$C$19*'Inputs &amp; Sources'!$C$21</f>
        <v>10000000000000</v>
      </c>
      <c r="E12" s="31" t="s">
        <v>228</v>
      </c>
      <c r="F12" s="25" t="s">
        <v>229</v>
      </c>
    </row>
    <row r="14" spans="1:8" ht="15" customHeight="1" x14ac:dyDescent="0.35">
      <c r="A14" s="3" t="s">
        <v>230</v>
      </c>
      <c r="B14" s="4"/>
      <c r="C14" s="4"/>
      <c r="D14" s="4"/>
      <c r="E14" s="4"/>
      <c r="F14" s="4"/>
      <c r="G14" s="4"/>
      <c r="H14" s="4"/>
    </row>
    <row r="15" spans="1:8" ht="18.75" customHeight="1" x14ac:dyDescent="0.35">
      <c r="B15" s="5" t="s">
        <v>231</v>
      </c>
      <c r="C15" s="32">
        <f>'Inputs &amp; Sources'!$C$22*'Inputs &amp; Sources'!$C$23</f>
        <v>2000000000000</v>
      </c>
      <c r="E15" s="31" t="s">
        <v>232</v>
      </c>
      <c r="F15" s="25" t="s">
        <v>233</v>
      </c>
    </row>
    <row r="16" spans="1:8" ht="15" customHeight="1" x14ac:dyDescent="0.35">
      <c r="B16" s="5" t="s">
        <v>234</v>
      </c>
      <c r="C16" s="32">
        <f>'Inputs &amp; Sources'!$C$22*'2026 Baseline'!C12</f>
        <v>13500000000000</v>
      </c>
      <c r="E16" s="31" t="s">
        <v>235</v>
      </c>
      <c r="F16" s="25" t="s">
        <v>236</v>
      </c>
    </row>
    <row r="18" spans="1:8" ht="15" customHeight="1" x14ac:dyDescent="0.35">
      <c r="A18" s="3" t="s">
        <v>237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B19" s="5" t="s">
        <v>238</v>
      </c>
      <c r="C19" s="30">
        <f>'Inputs &amp; Sources'!$C$24*'Inputs &amp; Sources'!$C$25</f>
        <v>100000000000</v>
      </c>
      <c r="E19" s="31" t="s">
        <v>239</v>
      </c>
    </row>
    <row r="20" spans="1:8" ht="15" customHeight="1" x14ac:dyDescent="0.35">
      <c r="B20" s="5" t="s">
        <v>240</v>
      </c>
      <c r="C20" s="30">
        <f>C19*60</f>
        <v>6000000000000</v>
      </c>
      <c r="E20" s="31" t="s">
        <v>241</v>
      </c>
    </row>
    <row r="21" spans="1:8" ht="18.75" customHeight="1" x14ac:dyDescent="0.35">
      <c r="B21" s="5" t="s">
        <v>242</v>
      </c>
      <c r="C21" s="35">
        <f>Derivations!$C$23</f>
        <v>3.2</v>
      </c>
      <c r="E21" s="31" t="s">
        <v>243</v>
      </c>
      <c r="F21" s="25" t="s">
        <v>244</v>
      </c>
    </row>
    <row r="22" spans="1:8" ht="15" customHeight="1" x14ac:dyDescent="0.35">
      <c r="B22" s="5" t="s">
        <v>245</v>
      </c>
      <c r="C22" s="32">
        <f>C20/1000000*C21</f>
        <v>19200000</v>
      </c>
      <c r="E22" s="31" t="s">
        <v>246</v>
      </c>
    </row>
    <row r="23" spans="1:8" ht="15" customHeight="1" x14ac:dyDescent="0.35">
      <c r="B23" s="5" t="s">
        <v>247</v>
      </c>
      <c r="C23" s="32">
        <f>C22*60*24*365</f>
        <v>10091520000000</v>
      </c>
      <c r="E23" s="31" t="s">
        <v>248</v>
      </c>
      <c r="F23" s="25" t="s">
        <v>249</v>
      </c>
    </row>
    <row r="24" spans="1:8" ht="15" customHeight="1" x14ac:dyDescent="0.35">
      <c r="B24" s="5" t="s">
        <v>250</v>
      </c>
      <c r="C24" s="32">
        <f>C20/1000000*3.5*60*24*365</f>
        <v>11037600000000</v>
      </c>
      <c r="E24" s="31" t="s">
        <v>235</v>
      </c>
      <c r="F24" s="25" t="s">
        <v>251</v>
      </c>
    </row>
    <row r="25" spans="1:8" ht="15" customHeight="1" x14ac:dyDescent="0.35">
      <c r="B25" s="5" t="s">
        <v>252</v>
      </c>
      <c r="C25" s="32">
        <f>C20/1000000*0.5*60*24*365</f>
        <v>1576800000000</v>
      </c>
      <c r="E25" s="31" t="s">
        <v>235</v>
      </c>
      <c r="F25" s="25" t="s">
        <v>253</v>
      </c>
    </row>
    <row r="27" spans="1:8" ht="15" customHeight="1" x14ac:dyDescent="0.35">
      <c r="A27" s="3" t="s">
        <v>254</v>
      </c>
      <c r="B27" s="4"/>
      <c r="C27" s="4"/>
      <c r="D27" s="4"/>
      <c r="E27" s="4"/>
      <c r="F27" s="4"/>
      <c r="G27" s="4"/>
      <c r="H27" s="4"/>
    </row>
    <row r="28" spans="1:8" ht="27.75" customHeight="1" x14ac:dyDescent="0.35">
      <c r="B28" s="5" t="s">
        <v>255</v>
      </c>
      <c r="C28" s="36">
        <f>(C15/'Inputs &amp; Sources'!$C$8)^(1/'Inputs &amp; Sources'!$C$17)-1</f>
        <v>0.82056420302608024</v>
      </c>
      <c r="E28" s="31" t="s">
        <v>256</v>
      </c>
      <c r="F28" s="25" t="s">
        <v>257</v>
      </c>
    </row>
    <row r="29" spans="1:8" ht="32.25" customHeight="1" x14ac:dyDescent="0.35">
      <c r="B29" s="33" t="s">
        <v>258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4" customWidth="1"/>
    <col min="3" max="3" width="18" customWidth="1"/>
    <col min="4" max="4" width="4" customWidth="1"/>
    <col min="5" max="5" width="16" customWidth="1"/>
    <col min="6" max="6" width="42" customWidth="1"/>
  </cols>
  <sheetData>
    <row r="1" spans="1:8" ht="18" customHeight="1" x14ac:dyDescent="0.4">
      <c r="A1" s="11" t="s">
        <v>259</v>
      </c>
    </row>
    <row r="2" spans="1:8" ht="15" customHeight="1" x14ac:dyDescent="0.35">
      <c r="A2" s="2" t="s">
        <v>260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9" t="s">
        <v>182</v>
      </c>
      <c r="E4" s="29" t="s">
        <v>183</v>
      </c>
      <c r="F4" s="29" t="s">
        <v>184</v>
      </c>
    </row>
    <row r="5" spans="1:8" ht="15" customHeight="1" x14ac:dyDescent="0.35">
      <c r="A5" s="3" t="s">
        <v>261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262</v>
      </c>
      <c r="C6" s="37">
        <f>'Inputs &amp; Sources'!$C$26/'2031 Projection'!C20/60</f>
        <v>1.3888888888888888</v>
      </c>
      <c r="E6" s="31" t="s">
        <v>263</v>
      </c>
      <c r="F6" s="25" t="s">
        <v>264</v>
      </c>
    </row>
    <row r="8" spans="1:8" ht="15" customHeight="1" x14ac:dyDescent="0.35">
      <c r="A8" s="3" t="s">
        <v>265</v>
      </c>
      <c r="B8" s="4"/>
      <c r="C8" s="4"/>
      <c r="D8" s="4"/>
      <c r="E8" s="4"/>
      <c r="F8" s="4"/>
      <c r="G8" s="4"/>
      <c r="H8" s="4"/>
    </row>
    <row r="9" spans="1:8" ht="15" customHeight="1" x14ac:dyDescent="0.35">
      <c r="B9" s="5" t="s">
        <v>266</v>
      </c>
      <c r="C9" s="30">
        <f>'Inputs &amp; Sources'!$C$27*'Inputs &amp; Sources'!$C$28</f>
        <v>1500000000000</v>
      </c>
      <c r="E9" s="31" t="s">
        <v>267</v>
      </c>
      <c r="F9" s="25" t="s">
        <v>268</v>
      </c>
    </row>
    <row r="10" spans="1:8" ht="15" customHeight="1" x14ac:dyDescent="0.35">
      <c r="B10" s="5" t="s">
        <v>269</v>
      </c>
      <c r="C10" s="34">
        <f>'2031 Projection'!C20/C9</f>
        <v>4</v>
      </c>
      <c r="E10" s="31" t="s">
        <v>270</v>
      </c>
      <c r="F10" s="25" t="s">
        <v>271</v>
      </c>
    </row>
    <row r="12" spans="1:8" ht="15" customHeight="1" x14ac:dyDescent="0.35">
      <c r="A12" s="3" t="s">
        <v>272</v>
      </c>
      <c r="B12" s="4"/>
      <c r="C12" s="4"/>
      <c r="D12" s="4"/>
      <c r="E12" s="4"/>
      <c r="F12" s="4"/>
      <c r="G12" s="4"/>
      <c r="H12" s="4"/>
    </row>
    <row r="13" spans="1:8" ht="15" customHeight="1" x14ac:dyDescent="0.35">
      <c r="B13" s="5" t="s">
        <v>273</v>
      </c>
      <c r="C13" s="30">
        <f>'Inputs &amp; Sources'!$C$27*'Inputs &amp; Sources'!$C$29</f>
        <v>360000000000000</v>
      </c>
      <c r="E13" s="31" t="s">
        <v>235</v>
      </c>
      <c r="F13" s="25" t="s">
        <v>274</v>
      </c>
    </row>
    <row r="14" spans="1:8" ht="15" customHeight="1" x14ac:dyDescent="0.35">
      <c r="B14" s="5" t="s">
        <v>275</v>
      </c>
      <c r="C14" s="30">
        <f>'2031 Projection'!C20*1440</f>
        <v>8640000000000000</v>
      </c>
      <c r="E14" s="31" t="s">
        <v>235</v>
      </c>
      <c r="F14" s="25" t="s">
        <v>276</v>
      </c>
    </row>
    <row r="15" spans="1:8" ht="18.75" customHeight="1" x14ac:dyDescent="0.35">
      <c r="B15" s="5" t="s">
        <v>277</v>
      </c>
      <c r="C15" s="34">
        <f>C14/C13</f>
        <v>24</v>
      </c>
      <c r="E15" s="31" t="s">
        <v>235</v>
      </c>
      <c r="F15" s="25" t="s">
        <v>278</v>
      </c>
    </row>
    <row r="17" spans="1:8" ht="15" customHeight="1" x14ac:dyDescent="0.35">
      <c r="A17" s="3" t="s">
        <v>279</v>
      </c>
      <c r="B17" s="4"/>
      <c r="C17" s="4"/>
      <c r="D17" s="4"/>
      <c r="E17" s="4"/>
      <c r="F17" s="4"/>
      <c r="G17" s="4"/>
      <c r="H17" s="4"/>
    </row>
    <row r="18" spans="1:8" ht="15" customHeight="1" x14ac:dyDescent="0.35">
      <c r="B18" s="5" t="s">
        <v>280</v>
      </c>
      <c r="C18" s="36">
        <f>'2031 Projection'!C15/'Inputs &amp; Sources'!$C$30</f>
        <v>0.04</v>
      </c>
      <c r="E18" s="31" t="s">
        <v>281</v>
      </c>
      <c r="F18" s="25" t="s">
        <v>282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21"/>
  <sheetViews>
    <sheetView zoomScaleNormal="100" workbookViewId="0">
      <pane ySplit="21" topLeftCell="A30" activePane="bottomLeft" state="frozen"/>
      <selection pane="bottomLeft" activeCell="C8" sqref="C8"/>
    </sheetView>
  </sheetViews>
  <sheetFormatPr defaultColWidth="8.6328125" defaultRowHeight="14.5" x14ac:dyDescent="0.35"/>
  <cols>
    <col min="1" max="1" width="2" customWidth="1"/>
    <col min="2" max="2" width="22" customWidth="1"/>
    <col min="3" max="9" width="13" customWidth="1"/>
    <col min="10" max="10" width="17.36328125" customWidth="1"/>
    <col min="11" max="11" width="13" customWidth="1"/>
    <col min="13" max="19" width="19.7265625" customWidth="1"/>
  </cols>
  <sheetData>
    <row r="1" spans="1:19" ht="18" customHeight="1" x14ac:dyDescent="0.4">
      <c r="A1" s="11" t="s">
        <v>283</v>
      </c>
    </row>
    <row r="2" spans="1:19" ht="15" customHeight="1" x14ac:dyDescent="0.35">
      <c r="A2" s="2" t="s">
        <v>284</v>
      </c>
    </row>
    <row r="3" spans="1:19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9" ht="15" customHeight="1" x14ac:dyDescent="0.35">
      <c r="A5" s="3" t="s">
        <v>285</v>
      </c>
      <c r="B5" s="4"/>
      <c r="C5" s="4"/>
      <c r="D5" s="4"/>
      <c r="E5" s="4"/>
      <c r="F5" s="4"/>
      <c r="G5" s="4"/>
      <c r="H5" s="4"/>
      <c r="I5" s="4"/>
      <c r="J5" s="4"/>
      <c r="K5" s="4"/>
      <c r="M5" s="38" t="s">
        <v>286</v>
      </c>
    </row>
    <row r="6" spans="1:19" ht="35" customHeight="1" x14ac:dyDescent="0.35">
      <c r="B6" s="29" t="s">
        <v>30</v>
      </c>
      <c r="C6" s="29" t="s">
        <v>287</v>
      </c>
      <c r="D6" s="29" t="s">
        <v>288</v>
      </c>
      <c r="E6" s="29" t="s">
        <v>289</v>
      </c>
      <c r="F6" s="63" t="s">
        <v>290</v>
      </c>
      <c r="G6" s="63"/>
      <c r="H6" s="63"/>
      <c r="I6" s="63"/>
      <c r="J6" s="39" t="s">
        <v>291</v>
      </c>
      <c r="M6" s="29" t="s">
        <v>292</v>
      </c>
      <c r="N6" s="29" t="s">
        <v>293</v>
      </c>
      <c r="O6" s="29" t="s">
        <v>294</v>
      </c>
      <c r="P6" s="29" t="s">
        <v>295</v>
      </c>
      <c r="Q6" s="29" t="s">
        <v>296</v>
      </c>
      <c r="R6" s="29" t="s">
        <v>297</v>
      </c>
      <c r="S6" s="29" t="s">
        <v>298</v>
      </c>
    </row>
    <row r="7" spans="1:19" ht="34" customHeight="1" x14ac:dyDescent="0.35">
      <c r="B7" s="5" t="s">
        <v>299</v>
      </c>
      <c r="C7" s="40">
        <v>3</v>
      </c>
      <c r="D7" s="40">
        <v>0.45</v>
      </c>
      <c r="E7" s="31" t="s">
        <v>300</v>
      </c>
      <c r="F7" s="64" t="s">
        <v>301</v>
      </c>
      <c r="G7" s="64"/>
      <c r="H7" s="64"/>
      <c r="I7" s="64"/>
      <c r="J7" s="41">
        <f>C7</f>
        <v>3</v>
      </c>
      <c r="M7" s="6" t="s">
        <v>302</v>
      </c>
      <c r="N7" s="42">
        <f ca="1">PERCENTILE(E22:E2021,0.05)</f>
        <v>2472532736814.6372</v>
      </c>
      <c r="O7" s="42">
        <f ca="1">PERCENTILE(E22:E2021,0.25)</f>
        <v>7937773140914.6699</v>
      </c>
      <c r="P7" s="42">
        <f ca="1">PERCENTILE(E22:E2021,0.5)</f>
        <v>17118759697636.195</v>
      </c>
      <c r="Q7" s="42">
        <f ca="1">PERCENTILE(E22:E2021,0.75)</f>
        <v>37491824682085.664</v>
      </c>
      <c r="R7" s="42">
        <f ca="1">PERCENTILE(E22:E2021,0.95)</f>
        <v>98085052892107.656</v>
      </c>
      <c r="S7" s="42">
        <f ca="1">AVERAGE(E22:E2021)</f>
        <v>30606657417297.078</v>
      </c>
    </row>
    <row r="8" spans="1:19" ht="34" customHeight="1" x14ac:dyDescent="0.35">
      <c r="B8" s="5" t="s">
        <v>303</v>
      </c>
      <c r="C8" s="40">
        <v>16000000</v>
      </c>
      <c r="D8" s="40">
        <v>24000000</v>
      </c>
      <c r="E8" s="31" t="s">
        <v>304</v>
      </c>
      <c r="F8" s="64" t="s">
        <v>305</v>
      </c>
      <c r="G8" s="64"/>
      <c r="H8" s="64"/>
      <c r="I8" s="64"/>
      <c r="J8" s="43">
        <f>(C8+D8)/2</f>
        <v>20000000</v>
      </c>
      <c r="M8" s="6" t="s">
        <v>306</v>
      </c>
      <c r="N8" s="42">
        <f ca="1">PERCENTILE(F22:F2021,0.05)</f>
        <v>541376141007.55383</v>
      </c>
      <c r="O8" s="42">
        <f ca="1">PERCENTILE(F22:F2021,0.25)</f>
        <v>1413633692320.2859</v>
      </c>
      <c r="P8" s="42">
        <f ca="1">PERCENTILE(F22:F2021,0.5)</f>
        <v>2849970651417.0469</v>
      </c>
      <c r="Q8" s="42">
        <f ca="1">PERCENTILE(F22:F2021,0.75)</f>
        <v>5755258827194.5049</v>
      </c>
      <c r="R8" s="42">
        <f ca="1">PERCENTILE(F22:F2021,0.95)</f>
        <v>16359208998654.59</v>
      </c>
      <c r="S8" s="42">
        <f ca="1">AVERAGE(F22:F2021)</f>
        <v>4921808411744.541</v>
      </c>
    </row>
    <row r="9" spans="1:19" ht="34" customHeight="1" x14ac:dyDescent="0.35">
      <c r="B9" s="5" t="s">
        <v>307</v>
      </c>
      <c r="C9" s="40">
        <v>9.7596469999999993</v>
      </c>
      <c r="D9" s="40">
        <v>0.75529100000000005</v>
      </c>
      <c r="E9" s="31" t="s">
        <v>308</v>
      </c>
      <c r="F9" s="64" t="s">
        <v>309</v>
      </c>
      <c r="G9" s="64"/>
      <c r="H9" s="64"/>
      <c r="I9" s="64"/>
      <c r="J9" s="44">
        <f>EXP(C9)</f>
        <v>17320.516453443222</v>
      </c>
      <c r="M9" s="6" t="s">
        <v>310</v>
      </c>
      <c r="N9" s="42">
        <f ca="1">PERCENTILE(G22:G2021,0.05)</f>
        <v>515265050989.86462</v>
      </c>
      <c r="O9" s="42">
        <f ca="1">PERCENTILE(G22:G2021,0.25)</f>
        <v>2139514953047.98</v>
      </c>
      <c r="P9" s="42">
        <f ca="1">PERCENTILE(G22:G2021,0.5)</f>
        <v>6565186942237.0645</v>
      </c>
      <c r="Q9" s="42">
        <f ca="1">PERCENTILE(G22:G2021,0.75)</f>
        <v>16665917372396.756</v>
      </c>
      <c r="R9" s="42">
        <f ca="1">PERCENTILE(G22:G2021,0.95)</f>
        <v>63498623032782.625</v>
      </c>
      <c r="S9" s="42">
        <f ca="1">AVERAGE(G22:G2021)</f>
        <v>17969941124706.063</v>
      </c>
    </row>
    <row r="10" spans="1:19" ht="34" customHeight="1" x14ac:dyDescent="0.35">
      <c r="B10" s="5" t="s">
        <v>311</v>
      </c>
      <c r="C10" s="40">
        <v>0.25</v>
      </c>
      <c r="D10" s="40">
        <v>0.55000000000000004</v>
      </c>
      <c r="E10" s="31" t="s">
        <v>304</v>
      </c>
      <c r="F10" s="64" t="s">
        <v>312</v>
      </c>
      <c r="G10" s="64"/>
      <c r="H10" s="64"/>
      <c r="I10" s="64"/>
      <c r="J10" s="45">
        <f>(C10+D10)/2</f>
        <v>0.4</v>
      </c>
      <c r="M10" s="6" t="s">
        <v>313</v>
      </c>
      <c r="N10" s="42">
        <f ca="1">PERCENTILE(H22:H2021,0.05)</f>
        <v>645755536632.30164</v>
      </c>
      <c r="O10" s="42">
        <f ca="1">PERCENTILE(H22:H2021,0.25)</f>
        <v>2361693668788.0107</v>
      </c>
      <c r="P10" s="42">
        <f ca="1">PERCENTILE(H22:H2021,0.5)</f>
        <v>6481013038535.8604</v>
      </c>
      <c r="Q10" s="42">
        <f ca="1">PERCENTILE(H22:H2021,0.75)</f>
        <v>18581821703188.656</v>
      </c>
      <c r="R10" s="42">
        <f ca="1">PERCENTILE(H22:H2021,0.95)</f>
        <v>68859760591933.602</v>
      </c>
      <c r="S10" s="42">
        <f ca="1">AVERAGE(H22:H2021)</f>
        <v>18274332548306.93</v>
      </c>
    </row>
    <row r="11" spans="1:19" ht="34" customHeight="1" x14ac:dyDescent="0.35">
      <c r="B11" s="5" t="s">
        <v>314</v>
      </c>
      <c r="C11" s="40">
        <v>0.25</v>
      </c>
      <c r="D11" s="40">
        <v>0.9</v>
      </c>
      <c r="E11" s="31" t="s">
        <v>315</v>
      </c>
      <c r="F11" s="64" t="s">
        <v>316</v>
      </c>
      <c r="G11" s="64"/>
      <c r="H11" s="64"/>
      <c r="I11" s="64"/>
      <c r="J11" s="46">
        <f>(C11+D11)/2</f>
        <v>0.57499999999999996</v>
      </c>
    </row>
    <row r="12" spans="1:19" ht="34" customHeight="1" x14ac:dyDescent="0.35">
      <c r="B12" s="5" t="s">
        <v>317</v>
      </c>
      <c r="C12" s="40">
        <v>16.065415000000002</v>
      </c>
      <c r="D12" s="40">
        <v>0.699874</v>
      </c>
      <c r="E12" s="31" t="s">
        <v>318</v>
      </c>
      <c r="F12" s="64" t="s">
        <v>319</v>
      </c>
      <c r="G12" s="64"/>
      <c r="H12" s="64"/>
      <c r="I12" s="64"/>
      <c r="J12" s="43">
        <f>EXP(C12)</f>
        <v>9486829.2509528659</v>
      </c>
      <c r="M12" s="47" t="s">
        <v>320</v>
      </c>
    </row>
    <row r="13" spans="1:19" ht="34" customHeight="1" x14ac:dyDescent="0.35">
      <c r="B13" s="5" t="s">
        <v>321</v>
      </c>
      <c r="C13" s="40">
        <v>12.643807000000001</v>
      </c>
      <c r="D13" s="40">
        <v>0.82311599999999996</v>
      </c>
      <c r="E13" s="31" t="s">
        <v>322</v>
      </c>
      <c r="F13" s="64" t="s">
        <v>323</v>
      </c>
      <c r="G13" s="64"/>
      <c r="H13" s="64"/>
      <c r="I13" s="64"/>
      <c r="J13" s="44">
        <f>EXP(C13)</f>
        <v>309838.66329467733</v>
      </c>
      <c r="M13" s="5" t="s">
        <v>324</v>
      </c>
      <c r="N13" s="48">
        <f ca="1">COUNTIF(H22:H2021,"&gt;2000000000000")/2000</f>
        <v>0.78749999999999998</v>
      </c>
    </row>
    <row r="14" spans="1:19" ht="34" customHeight="1" x14ac:dyDescent="0.35">
      <c r="B14" s="5" t="s">
        <v>325</v>
      </c>
      <c r="C14" s="40">
        <v>27.631021</v>
      </c>
      <c r="D14" s="40">
        <v>1.255412</v>
      </c>
      <c r="E14" s="31" t="s">
        <v>326</v>
      </c>
      <c r="F14" s="64" t="s">
        <v>327</v>
      </c>
      <c r="G14" s="64"/>
      <c r="H14" s="64"/>
      <c r="I14" s="64"/>
      <c r="J14" s="43">
        <f>EXP(C14)</f>
        <v>999999884071.45898</v>
      </c>
      <c r="M14" s="5" t="s">
        <v>328</v>
      </c>
      <c r="N14" s="48">
        <f ca="1">COUNTIF(H22:H2021,"&gt;1000000000000")/2000</f>
        <v>0.90149999999999997</v>
      </c>
    </row>
    <row r="15" spans="1:19" ht="34" customHeight="1" x14ac:dyDescent="0.35">
      <c r="B15" s="5" t="s">
        <v>329</v>
      </c>
      <c r="C15" s="40">
        <v>0.05</v>
      </c>
      <c r="D15" s="40">
        <v>0.3</v>
      </c>
      <c r="E15" s="31" t="s">
        <v>330</v>
      </c>
      <c r="F15" s="64" t="s">
        <v>331</v>
      </c>
      <c r="G15" s="64"/>
      <c r="H15" s="64"/>
      <c r="I15" s="64"/>
      <c r="J15" s="45">
        <f>(C15+D15)/2</f>
        <v>0.17499999999999999</v>
      </c>
      <c r="M15" s="5" t="s">
        <v>332</v>
      </c>
      <c r="N15" s="48">
        <f ca="1">COUNTIF(H22:H2021,"&gt;10000000000000")/2000</f>
        <v>0.39050000000000001</v>
      </c>
    </row>
    <row r="16" spans="1:19" ht="34" customHeight="1" x14ac:dyDescent="0.35">
      <c r="B16" s="5" t="s">
        <v>333</v>
      </c>
      <c r="C16" s="40">
        <v>0.168236</v>
      </c>
      <c r="D16" s="40">
        <v>0.65928699999999996</v>
      </c>
      <c r="E16" s="31" t="s">
        <v>334</v>
      </c>
      <c r="F16" s="64" t="s">
        <v>335</v>
      </c>
      <c r="G16" s="64"/>
      <c r="H16" s="64"/>
      <c r="I16" s="64"/>
      <c r="J16" s="49">
        <f>EXP(C16)</f>
        <v>1.1832158166329341</v>
      </c>
    </row>
    <row r="17" spans="1:14" ht="34" customHeight="1" x14ac:dyDescent="0.35">
      <c r="B17" s="5" t="s">
        <v>336</v>
      </c>
      <c r="C17" s="40">
        <v>1000000000</v>
      </c>
      <c r="D17" s="40">
        <v>1600000000</v>
      </c>
      <c r="E17" s="31" t="s">
        <v>304</v>
      </c>
      <c r="F17" s="64" t="s">
        <v>337</v>
      </c>
      <c r="G17" s="64"/>
      <c r="H17" s="64"/>
      <c r="I17" s="64"/>
      <c r="J17" s="43">
        <f>(C17+D17)/2</f>
        <v>1300000000</v>
      </c>
      <c r="M17" s="47" t="s">
        <v>338</v>
      </c>
    </row>
    <row r="18" spans="1:14" ht="34" customHeight="1" x14ac:dyDescent="0.35">
      <c r="B18" s="5" t="s">
        <v>339</v>
      </c>
      <c r="C18" s="40">
        <v>400</v>
      </c>
      <c r="D18" s="40">
        <v>1200</v>
      </c>
      <c r="E18" s="31" t="s">
        <v>304</v>
      </c>
      <c r="F18" s="64" t="s">
        <v>340</v>
      </c>
      <c r="G18" s="64"/>
      <c r="H18" s="64"/>
      <c r="I18" s="64"/>
      <c r="J18" s="43">
        <f>(C18+D18)/2</f>
        <v>800</v>
      </c>
      <c r="M18" s="5" t="s">
        <v>341</v>
      </c>
      <c r="N18" s="50">
        <f ca="1">MEDIAN(K22:K2021)</f>
        <v>8.9865765878915589</v>
      </c>
    </row>
    <row r="19" spans="1:14" ht="15" customHeight="1" x14ac:dyDescent="0.35">
      <c r="M19" s="5" t="s">
        <v>342</v>
      </c>
      <c r="N19" s="48">
        <f ca="1">COUNTIF(K22:K2021,"&gt;1")/2000</f>
        <v>0.94850000000000001</v>
      </c>
    </row>
    <row r="20" spans="1:14" ht="15" customHeight="1" x14ac:dyDescent="0.35">
      <c r="A20" s="3" t="s">
        <v>343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4" ht="126.75" customHeight="1" x14ac:dyDescent="0.35">
      <c r="B21" s="51" t="s">
        <v>344</v>
      </c>
      <c r="C21" s="51" t="s">
        <v>345</v>
      </c>
      <c r="D21" s="51" t="s">
        <v>346</v>
      </c>
      <c r="E21" s="51" t="s">
        <v>347</v>
      </c>
      <c r="F21" s="51" t="s">
        <v>348</v>
      </c>
      <c r="G21" s="51" t="s">
        <v>349</v>
      </c>
      <c r="H21" s="51" t="s">
        <v>350</v>
      </c>
      <c r="I21" s="51" t="s">
        <v>351</v>
      </c>
      <c r="J21" s="51" t="s">
        <v>352</v>
      </c>
      <c r="K21" s="51" t="s">
        <v>353</v>
      </c>
      <c r="M21" s="33" t="s">
        <v>354</v>
      </c>
    </row>
    <row r="22" spans="1:14" ht="15" customHeight="1" x14ac:dyDescent="0.35">
      <c r="B22" s="5">
        <v>1</v>
      </c>
      <c r="C22" s="52">
        <f t="shared" ref="C22:C85" ca="1" si="0">MEDIAN(1.8,NORMINV(RAND(),$C$7,$D$7),4.5)</f>
        <v>2.7540866042710519</v>
      </c>
      <c r="D22" s="53">
        <f t="shared" ref="D22:D85" ca="1" si="1">($C$8+RAND()*($D$8-$C$8))*C22^5</f>
        <v>3211199699.908339</v>
      </c>
      <c r="E22" s="53">
        <f t="shared" ref="E22:E85" ca="1" si="2">D22*($C$10+RAND()*($D$10-$C$10))*EXP(NORMINV(RAND(),$C$9,$D$9))*($C$11+RAND()*($D$11-$C$11))</f>
        <v>10033771806708.162</v>
      </c>
      <c r="F22" s="53">
        <f t="shared" ref="F22:F85" ca="1" si="3">EXP(NORMINV(RAND(),$C$12,$D$12))*EXP(NORMINV(RAND(),$C$13,$D$13))</f>
        <v>9509321145860.3672</v>
      </c>
      <c r="G22" s="53">
        <f t="shared" ref="G22:G85" ca="1" si="4">EXP(NORMINV(RAND(),$C$14,$D$14))*($C$15+RAND()*($D$15-$C$15))*EXP(NORMINV(RAND(),$C$16,$D$16))/1000000*31536000</f>
        <v>5974963176932.5254</v>
      </c>
      <c r="H22" s="53">
        <f t="shared" ref="H22:H85" ca="1" si="5">CHOOSE(RANDBETWEEN(1,3),E22,F22,G22)</f>
        <v>10033771806708.162</v>
      </c>
      <c r="I22" s="53">
        <f t="shared" ref="I22:I85" ca="1" si="6">EXP(NORMINV(RAND(),$C$14,$D$14))*($C$15+RAND()*($D$15-$C$15))*60</f>
        <v>6791170196697.9971</v>
      </c>
      <c r="J22" s="53">
        <f t="shared" ref="J22:J85" ca="1" si="7">($C$17+RAND()*($D$17-$C$17))*($C$18+RAND()*($D$18-$C$18))</f>
        <v>1164680835592.6531</v>
      </c>
      <c r="K22" s="54">
        <f t="shared" ref="K22:K85" ca="1" si="8">I22/J22</f>
        <v>5.8309280870430733</v>
      </c>
    </row>
    <row r="23" spans="1:14" ht="15" customHeight="1" x14ac:dyDescent="0.35">
      <c r="B23" s="5">
        <v>2</v>
      </c>
      <c r="C23" s="52">
        <f t="shared" ca="1" si="0"/>
        <v>2.6401260078524404</v>
      </c>
      <c r="D23" s="53">
        <f t="shared" ca="1" si="1"/>
        <v>2835196193.5912585</v>
      </c>
      <c r="E23" s="53">
        <f t="shared" ca="1" si="2"/>
        <v>27964396607867.629</v>
      </c>
      <c r="F23" s="53">
        <f t="shared" ca="1" si="3"/>
        <v>11354800262346.955</v>
      </c>
      <c r="G23" s="53">
        <f t="shared" ca="1" si="4"/>
        <v>30913540592732.176</v>
      </c>
      <c r="H23" s="53">
        <f t="shared" ca="1" si="5"/>
        <v>27964396607867.629</v>
      </c>
      <c r="I23" s="53">
        <f t="shared" ca="1" si="6"/>
        <v>2176085460628.1663</v>
      </c>
      <c r="J23" s="53">
        <f t="shared" ca="1" si="7"/>
        <v>837636727429.59448</v>
      </c>
      <c r="K23" s="54">
        <f t="shared" ca="1" si="8"/>
        <v>2.5978868755024496</v>
      </c>
    </row>
    <row r="24" spans="1:14" ht="15" customHeight="1" x14ac:dyDescent="0.35">
      <c r="B24" s="5">
        <v>3</v>
      </c>
      <c r="C24" s="52">
        <f t="shared" ca="1" si="0"/>
        <v>2.7061160537467939</v>
      </c>
      <c r="D24" s="53">
        <f t="shared" ca="1" si="1"/>
        <v>3187846906.284812</v>
      </c>
      <c r="E24" s="53">
        <f t="shared" ca="1" si="2"/>
        <v>39436677023990.563</v>
      </c>
      <c r="F24" s="53">
        <f t="shared" ca="1" si="3"/>
        <v>9486120706503.4805</v>
      </c>
      <c r="G24" s="53">
        <f t="shared" ca="1" si="4"/>
        <v>5746454510804.6484</v>
      </c>
      <c r="H24" s="53">
        <f t="shared" ca="1" si="5"/>
        <v>5746454510804.6484</v>
      </c>
      <c r="I24" s="53">
        <f t="shared" ca="1" si="6"/>
        <v>1274294073006.4629</v>
      </c>
      <c r="J24" s="53">
        <f t="shared" ca="1" si="7"/>
        <v>728927155566.78394</v>
      </c>
      <c r="K24" s="54">
        <f t="shared" ca="1" si="8"/>
        <v>1.7481775281312217</v>
      </c>
    </row>
    <row r="25" spans="1:14" ht="15" customHeight="1" x14ac:dyDescent="0.35">
      <c r="B25" s="5">
        <v>4</v>
      </c>
      <c r="C25" s="52">
        <f t="shared" ca="1" si="0"/>
        <v>2.4414174590115687</v>
      </c>
      <c r="D25" s="53">
        <f t="shared" ca="1" si="1"/>
        <v>1721051949.4177468</v>
      </c>
      <c r="E25" s="53">
        <f t="shared" ca="1" si="2"/>
        <v>5207115581190.2568</v>
      </c>
      <c r="F25" s="53">
        <f t="shared" ca="1" si="3"/>
        <v>4022459735602.0576</v>
      </c>
      <c r="G25" s="53">
        <f t="shared" ca="1" si="4"/>
        <v>5565501187165.8125</v>
      </c>
      <c r="H25" s="53">
        <f t="shared" ca="1" si="5"/>
        <v>4022459735602.0576</v>
      </c>
      <c r="I25" s="53">
        <f t="shared" ca="1" si="6"/>
        <v>22741294505678.57</v>
      </c>
      <c r="J25" s="53">
        <f t="shared" ca="1" si="7"/>
        <v>1096830378884.4644</v>
      </c>
      <c r="K25" s="54">
        <f t="shared" ca="1" si="8"/>
        <v>20.733647557070487</v>
      </c>
    </row>
    <row r="26" spans="1:14" ht="15" customHeight="1" x14ac:dyDescent="0.35">
      <c r="B26" s="5">
        <v>5</v>
      </c>
      <c r="C26" s="52">
        <f t="shared" ca="1" si="0"/>
        <v>2.8050483622050182</v>
      </c>
      <c r="D26" s="53">
        <f t="shared" ca="1" si="1"/>
        <v>3068199713.7591457</v>
      </c>
      <c r="E26" s="53">
        <f t="shared" ca="1" si="2"/>
        <v>13821359302913.406</v>
      </c>
      <c r="F26" s="53">
        <f t="shared" ca="1" si="3"/>
        <v>5764628509592.7432</v>
      </c>
      <c r="G26" s="53">
        <f t="shared" ca="1" si="4"/>
        <v>9217071169034.377</v>
      </c>
      <c r="H26" s="53">
        <f t="shared" ca="1" si="5"/>
        <v>9217071169034.377</v>
      </c>
      <c r="I26" s="53">
        <f t="shared" ca="1" si="6"/>
        <v>80505785676775.531</v>
      </c>
      <c r="J26" s="53">
        <f t="shared" ca="1" si="7"/>
        <v>1105276712555.0854</v>
      </c>
      <c r="K26" s="54">
        <f t="shared" ca="1" si="8"/>
        <v>72.837674730945025</v>
      </c>
    </row>
    <row r="27" spans="1:14" ht="15" customHeight="1" x14ac:dyDescent="0.35">
      <c r="B27" s="5">
        <v>6</v>
      </c>
      <c r="C27" s="52">
        <f t="shared" ca="1" si="0"/>
        <v>3.0395368190099674</v>
      </c>
      <c r="D27" s="53">
        <f t="shared" ca="1" si="1"/>
        <v>4264770759.949367</v>
      </c>
      <c r="E27" s="53">
        <f t="shared" ca="1" si="2"/>
        <v>55454617027097.023</v>
      </c>
      <c r="F27" s="53">
        <f t="shared" ca="1" si="3"/>
        <v>10608679219824.057</v>
      </c>
      <c r="G27" s="53">
        <f t="shared" ca="1" si="4"/>
        <v>5968063441225.4326</v>
      </c>
      <c r="H27" s="53">
        <f t="shared" ca="1" si="5"/>
        <v>5968063441225.4326</v>
      </c>
      <c r="I27" s="53">
        <f t="shared" ca="1" si="6"/>
        <v>79374961246273.563</v>
      </c>
      <c r="J27" s="53">
        <f t="shared" ca="1" si="7"/>
        <v>893686673700.62549</v>
      </c>
      <c r="K27" s="54">
        <f t="shared" ca="1" si="8"/>
        <v>88.817438574521304</v>
      </c>
    </row>
    <row r="28" spans="1:14" ht="15" customHeight="1" x14ac:dyDescent="0.35">
      <c r="B28" s="5">
        <v>7</v>
      </c>
      <c r="C28" s="52">
        <f t="shared" ca="1" si="0"/>
        <v>2.6292849218580279</v>
      </c>
      <c r="D28" s="53">
        <f t="shared" ca="1" si="1"/>
        <v>2022657372.1501255</v>
      </c>
      <c r="E28" s="53">
        <f t="shared" ca="1" si="2"/>
        <v>4574829605280.585</v>
      </c>
      <c r="F28" s="53">
        <f t="shared" ca="1" si="3"/>
        <v>2202017805913.1514</v>
      </c>
      <c r="G28" s="53">
        <f t="shared" ca="1" si="4"/>
        <v>8033038485408.9824</v>
      </c>
      <c r="H28" s="53">
        <f t="shared" ca="1" si="5"/>
        <v>4574829605280.585</v>
      </c>
      <c r="I28" s="53">
        <f t="shared" ca="1" si="6"/>
        <v>110211938453000.48</v>
      </c>
      <c r="J28" s="53">
        <f t="shared" ca="1" si="7"/>
        <v>1337269103165.6865</v>
      </c>
      <c r="K28" s="54">
        <f t="shared" ca="1" si="8"/>
        <v>82.415676988347585</v>
      </c>
    </row>
    <row r="29" spans="1:14" ht="15" customHeight="1" x14ac:dyDescent="0.35">
      <c r="B29" s="5">
        <v>8</v>
      </c>
      <c r="C29" s="52">
        <f t="shared" ca="1" si="0"/>
        <v>4.1098215076248623</v>
      </c>
      <c r="D29" s="53">
        <f t="shared" ca="1" si="1"/>
        <v>21876021948.065517</v>
      </c>
      <c r="E29" s="53">
        <f t="shared" ca="1" si="2"/>
        <v>167669147481505.28</v>
      </c>
      <c r="F29" s="53">
        <f t="shared" ca="1" si="3"/>
        <v>944911394103.68604</v>
      </c>
      <c r="G29" s="53">
        <f t="shared" ca="1" si="4"/>
        <v>3558967941465.7534</v>
      </c>
      <c r="H29" s="53">
        <f t="shared" ca="1" si="5"/>
        <v>944911394103.68604</v>
      </c>
      <c r="I29" s="53">
        <f t="shared" ca="1" si="6"/>
        <v>6365228258064.8857</v>
      </c>
      <c r="J29" s="53">
        <f t="shared" ca="1" si="7"/>
        <v>1091412509197.7838</v>
      </c>
      <c r="K29" s="54">
        <f t="shared" ca="1" si="8"/>
        <v>5.8321012489984119</v>
      </c>
    </row>
    <row r="30" spans="1:14" ht="15" customHeight="1" x14ac:dyDescent="0.35">
      <c r="B30" s="5">
        <v>9</v>
      </c>
      <c r="C30" s="52">
        <f t="shared" ca="1" si="0"/>
        <v>3.1595482649566868</v>
      </c>
      <c r="D30" s="53">
        <f t="shared" ca="1" si="1"/>
        <v>6894544191.2962952</v>
      </c>
      <c r="E30" s="53">
        <f t="shared" ca="1" si="2"/>
        <v>41089303505534.859</v>
      </c>
      <c r="F30" s="53">
        <f t="shared" ca="1" si="3"/>
        <v>4048040982288.7588</v>
      </c>
      <c r="G30" s="53">
        <f t="shared" ca="1" si="4"/>
        <v>1245521683878.6335</v>
      </c>
      <c r="H30" s="53">
        <f t="shared" ca="1" si="5"/>
        <v>4048040982288.7588</v>
      </c>
      <c r="I30" s="53">
        <f t="shared" ca="1" si="6"/>
        <v>4238117229917.3784</v>
      </c>
      <c r="J30" s="53">
        <f t="shared" ca="1" si="7"/>
        <v>1506578724426.8516</v>
      </c>
      <c r="K30" s="54">
        <f t="shared" ca="1" si="8"/>
        <v>2.8130738614603015</v>
      </c>
    </row>
    <row r="31" spans="1:14" ht="15" customHeight="1" x14ac:dyDescent="0.35">
      <c r="B31" s="5">
        <v>10</v>
      </c>
      <c r="C31" s="52">
        <f t="shared" ca="1" si="0"/>
        <v>3.0712528402895654</v>
      </c>
      <c r="D31" s="53">
        <f t="shared" ca="1" si="1"/>
        <v>5437317665.232564</v>
      </c>
      <c r="E31" s="53">
        <f t="shared" ca="1" si="2"/>
        <v>15500846074331.332</v>
      </c>
      <c r="F31" s="53">
        <f t="shared" ca="1" si="3"/>
        <v>4776763602895.6494</v>
      </c>
      <c r="G31" s="53">
        <f t="shared" ca="1" si="4"/>
        <v>31066886508968.094</v>
      </c>
      <c r="H31" s="53">
        <f t="shared" ca="1" si="5"/>
        <v>15500846074331.332</v>
      </c>
      <c r="I31" s="53">
        <f t="shared" ca="1" si="6"/>
        <v>5844780571585.3096</v>
      </c>
      <c r="J31" s="53">
        <f t="shared" ca="1" si="7"/>
        <v>1672963408148.8428</v>
      </c>
      <c r="K31" s="54">
        <f t="shared" ca="1" si="8"/>
        <v>3.4936691042469605</v>
      </c>
    </row>
    <row r="32" spans="1:14" ht="15" customHeight="1" x14ac:dyDescent="0.35">
      <c r="B32" s="5">
        <v>11</v>
      </c>
      <c r="C32" s="52">
        <f t="shared" ca="1" si="0"/>
        <v>2.754796255620549</v>
      </c>
      <c r="D32" s="53">
        <f t="shared" ca="1" si="1"/>
        <v>3577522501.440886</v>
      </c>
      <c r="E32" s="53">
        <f t="shared" ca="1" si="2"/>
        <v>8118553251121.7051</v>
      </c>
      <c r="F32" s="53">
        <f t="shared" ca="1" si="3"/>
        <v>6504149257613.1152</v>
      </c>
      <c r="G32" s="53">
        <f t="shared" ca="1" si="4"/>
        <v>7026087117043.0117</v>
      </c>
      <c r="H32" s="53">
        <f t="shared" ca="1" si="5"/>
        <v>6504149257613.1152</v>
      </c>
      <c r="I32" s="53">
        <f t="shared" ca="1" si="6"/>
        <v>41622728946750.563</v>
      </c>
      <c r="J32" s="53">
        <f t="shared" ca="1" si="7"/>
        <v>905335165704.61182</v>
      </c>
      <c r="K32" s="54">
        <f t="shared" ca="1" si="8"/>
        <v>45.974938921494427</v>
      </c>
    </row>
    <row r="33" spans="2:11" ht="15" customHeight="1" x14ac:dyDescent="0.35">
      <c r="B33" s="5">
        <v>12</v>
      </c>
      <c r="C33" s="52">
        <f t="shared" ca="1" si="0"/>
        <v>2.4845041863979356</v>
      </c>
      <c r="D33" s="53">
        <f t="shared" ca="1" si="1"/>
        <v>2025782142.1430032</v>
      </c>
      <c r="E33" s="53">
        <f t="shared" ca="1" si="2"/>
        <v>6441496103448.3398</v>
      </c>
      <c r="F33" s="53">
        <f t="shared" ca="1" si="3"/>
        <v>906298290930.09766</v>
      </c>
      <c r="G33" s="53">
        <f t="shared" ca="1" si="4"/>
        <v>4786337660541.6729</v>
      </c>
      <c r="H33" s="53">
        <f t="shared" ca="1" si="5"/>
        <v>4786337660541.6729</v>
      </c>
      <c r="I33" s="53">
        <f t="shared" ca="1" si="6"/>
        <v>3574467301393.457</v>
      </c>
      <c r="J33" s="53">
        <f t="shared" ca="1" si="7"/>
        <v>1060649350431.3936</v>
      </c>
      <c r="K33" s="54">
        <f t="shared" ca="1" si="8"/>
        <v>3.3700744736605257</v>
      </c>
    </row>
    <row r="34" spans="2:11" ht="15" customHeight="1" x14ac:dyDescent="0.35">
      <c r="B34" s="5">
        <v>13</v>
      </c>
      <c r="C34" s="52">
        <f t="shared" ca="1" si="0"/>
        <v>3.5507051925004824</v>
      </c>
      <c r="D34" s="53">
        <f t="shared" ca="1" si="1"/>
        <v>10600310539.104921</v>
      </c>
      <c r="E34" s="53">
        <f t="shared" ca="1" si="2"/>
        <v>54237512169415.047</v>
      </c>
      <c r="F34" s="53">
        <f t="shared" ca="1" si="3"/>
        <v>1552765145565.8982</v>
      </c>
      <c r="G34" s="53">
        <f t="shared" ca="1" si="4"/>
        <v>19529338207962.695</v>
      </c>
      <c r="H34" s="53">
        <f t="shared" ca="1" si="5"/>
        <v>19529338207962.695</v>
      </c>
      <c r="I34" s="53">
        <f t="shared" ca="1" si="6"/>
        <v>21511658124570.363</v>
      </c>
      <c r="J34" s="53">
        <f t="shared" ca="1" si="7"/>
        <v>1440003242401.2456</v>
      </c>
      <c r="K34" s="54">
        <f t="shared" ca="1" si="8"/>
        <v>14.938617838595331</v>
      </c>
    </row>
    <row r="35" spans="2:11" ht="15" customHeight="1" x14ac:dyDescent="0.35">
      <c r="B35" s="5">
        <v>14</v>
      </c>
      <c r="C35" s="52">
        <f t="shared" ca="1" si="0"/>
        <v>2.8363899706688462</v>
      </c>
      <c r="D35" s="53">
        <f t="shared" ca="1" si="1"/>
        <v>3047830850.3349299</v>
      </c>
      <c r="E35" s="53">
        <f t="shared" ca="1" si="2"/>
        <v>6218771619444.2998</v>
      </c>
      <c r="F35" s="53">
        <f t="shared" ca="1" si="3"/>
        <v>8110846858876.7402</v>
      </c>
      <c r="G35" s="53">
        <f t="shared" ca="1" si="4"/>
        <v>11257164652625.875</v>
      </c>
      <c r="H35" s="53">
        <f t="shared" ca="1" si="5"/>
        <v>6218771619444.2998</v>
      </c>
      <c r="I35" s="53">
        <f t="shared" ca="1" si="6"/>
        <v>41466701743954.617</v>
      </c>
      <c r="J35" s="53">
        <f t="shared" ca="1" si="7"/>
        <v>564213874018.76514</v>
      </c>
      <c r="K35" s="54">
        <f t="shared" ca="1" si="8"/>
        <v>73.494650970910868</v>
      </c>
    </row>
    <row r="36" spans="2:11" ht="15" customHeight="1" x14ac:dyDescent="0.35">
      <c r="B36" s="5">
        <v>15</v>
      </c>
      <c r="C36" s="52">
        <f t="shared" ca="1" si="0"/>
        <v>3.2088383429218967</v>
      </c>
      <c r="D36" s="53">
        <f t="shared" ca="1" si="1"/>
        <v>5731491837.1755171</v>
      </c>
      <c r="E36" s="53">
        <f t="shared" ca="1" si="2"/>
        <v>13067024441665.1</v>
      </c>
      <c r="F36" s="53">
        <f t="shared" ca="1" si="3"/>
        <v>2649727351607.7788</v>
      </c>
      <c r="G36" s="53">
        <f t="shared" ca="1" si="4"/>
        <v>1826915114794.6682</v>
      </c>
      <c r="H36" s="53">
        <f t="shared" ca="1" si="5"/>
        <v>13067024441665.1</v>
      </c>
      <c r="I36" s="53">
        <f t="shared" ca="1" si="6"/>
        <v>29220644541785.402</v>
      </c>
      <c r="J36" s="53">
        <f t="shared" ca="1" si="7"/>
        <v>608608028567.19849</v>
      </c>
      <c r="K36" s="54">
        <f t="shared" ca="1" si="8"/>
        <v>48.012256115939572</v>
      </c>
    </row>
    <row r="37" spans="2:11" ht="15" customHeight="1" x14ac:dyDescent="0.35">
      <c r="B37" s="5">
        <v>16</v>
      </c>
      <c r="C37" s="52">
        <f t="shared" ca="1" si="0"/>
        <v>2.9147905377463998</v>
      </c>
      <c r="D37" s="53">
        <f t="shared" ca="1" si="1"/>
        <v>4982589709.1825962</v>
      </c>
      <c r="E37" s="53">
        <f t="shared" ca="1" si="2"/>
        <v>5317863127124.458</v>
      </c>
      <c r="F37" s="53">
        <f t="shared" ca="1" si="3"/>
        <v>963192694995.47021</v>
      </c>
      <c r="G37" s="53">
        <f t="shared" ca="1" si="4"/>
        <v>6348246718987.9229</v>
      </c>
      <c r="H37" s="53">
        <f t="shared" ca="1" si="5"/>
        <v>6348246718987.9229</v>
      </c>
      <c r="I37" s="53">
        <f t="shared" ca="1" si="6"/>
        <v>14186119679587.506</v>
      </c>
      <c r="J37" s="53">
        <f t="shared" ca="1" si="7"/>
        <v>1033343628370.6836</v>
      </c>
      <c r="K37" s="54">
        <f t="shared" ca="1" si="8"/>
        <v>13.728366140850317</v>
      </c>
    </row>
    <row r="38" spans="2:11" ht="15" customHeight="1" x14ac:dyDescent="0.35">
      <c r="B38" s="5">
        <v>17</v>
      </c>
      <c r="C38" s="52">
        <f t="shared" ca="1" si="0"/>
        <v>3.3188866493883449</v>
      </c>
      <c r="D38" s="53">
        <f t="shared" ca="1" si="1"/>
        <v>7296359775.3557901</v>
      </c>
      <c r="E38" s="53">
        <f t="shared" ca="1" si="2"/>
        <v>8483059468785.9482</v>
      </c>
      <c r="F38" s="53">
        <f t="shared" ca="1" si="3"/>
        <v>1420064566068.1775</v>
      </c>
      <c r="G38" s="53">
        <f t="shared" ca="1" si="4"/>
        <v>2823231525009.7207</v>
      </c>
      <c r="H38" s="53">
        <f t="shared" ca="1" si="5"/>
        <v>1420064566068.1775</v>
      </c>
      <c r="I38" s="53">
        <f t="shared" ca="1" si="6"/>
        <v>2858174902697.4224</v>
      </c>
      <c r="J38" s="53">
        <f t="shared" ca="1" si="7"/>
        <v>1140587429886.0901</v>
      </c>
      <c r="K38" s="54">
        <f t="shared" ca="1" si="8"/>
        <v>2.5058797140898412</v>
      </c>
    </row>
    <row r="39" spans="2:11" ht="15" customHeight="1" x14ac:dyDescent="0.35">
      <c r="B39" s="5">
        <v>18</v>
      </c>
      <c r="C39" s="52">
        <f t="shared" ca="1" si="0"/>
        <v>3.5391431964336775</v>
      </c>
      <c r="D39" s="53">
        <f t="shared" ca="1" si="1"/>
        <v>11410080269.580397</v>
      </c>
      <c r="E39" s="53">
        <f t="shared" ca="1" si="2"/>
        <v>42739931719540.5</v>
      </c>
      <c r="F39" s="53">
        <f t="shared" ca="1" si="3"/>
        <v>478771312775.82971</v>
      </c>
      <c r="G39" s="53">
        <f t="shared" ca="1" si="4"/>
        <v>15339932426117.24</v>
      </c>
      <c r="H39" s="53">
        <f t="shared" ca="1" si="5"/>
        <v>478771312775.82971</v>
      </c>
      <c r="I39" s="53">
        <f t="shared" ca="1" si="6"/>
        <v>5625664627989.29</v>
      </c>
      <c r="J39" s="53">
        <f t="shared" ca="1" si="7"/>
        <v>1068832012739.254</v>
      </c>
      <c r="K39" s="54">
        <f t="shared" ca="1" si="8"/>
        <v>5.2633758728572948</v>
      </c>
    </row>
    <row r="40" spans="2:11" ht="15" customHeight="1" x14ac:dyDescent="0.35">
      <c r="B40" s="5">
        <v>19</v>
      </c>
      <c r="C40" s="52">
        <f t="shared" ca="1" si="0"/>
        <v>2.7374768032855465</v>
      </c>
      <c r="D40" s="53">
        <f t="shared" ca="1" si="1"/>
        <v>2968319278.8230948</v>
      </c>
      <c r="E40" s="53">
        <f t="shared" ca="1" si="2"/>
        <v>31884377842995.141</v>
      </c>
      <c r="F40" s="53">
        <f t="shared" ca="1" si="3"/>
        <v>4825565584625.4775</v>
      </c>
      <c r="G40" s="53">
        <f t="shared" ca="1" si="4"/>
        <v>1347954716874.5137</v>
      </c>
      <c r="H40" s="53">
        <f t="shared" ca="1" si="5"/>
        <v>31884377842995.141</v>
      </c>
      <c r="I40" s="53">
        <f t="shared" ca="1" si="6"/>
        <v>25615616799388.859</v>
      </c>
      <c r="J40" s="53">
        <f t="shared" ca="1" si="7"/>
        <v>465282438012.62476</v>
      </c>
      <c r="K40" s="54">
        <f t="shared" ca="1" si="8"/>
        <v>55.053908565304191</v>
      </c>
    </row>
    <row r="41" spans="2:11" ht="15" customHeight="1" x14ac:dyDescent="0.35">
      <c r="B41" s="5">
        <v>20</v>
      </c>
      <c r="C41" s="52">
        <f t="shared" ca="1" si="0"/>
        <v>3.2171508407602594</v>
      </c>
      <c r="D41" s="53">
        <f t="shared" ca="1" si="1"/>
        <v>7553047139.4984722</v>
      </c>
      <c r="E41" s="53">
        <f t="shared" ca="1" si="2"/>
        <v>5844615772483.3311</v>
      </c>
      <c r="F41" s="53">
        <f t="shared" ca="1" si="3"/>
        <v>17475956407703.215</v>
      </c>
      <c r="G41" s="53">
        <f t="shared" ca="1" si="4"/>
        <v>478590978935.1358</v>
      </c>
      <c r="H41" s="53">
        <f t="shared" ca="1" si="5"/>
        <v>5844615772483.3311</v>
      </c>
      <c r="I41" s="53">
        <f t="shared" ca="1" si="6"/>
        <v>3099810473053.9946</v>
      </c>
      <c r="J41" s="53">
        <f t="shared" ca="1" si="7"/>
        <v>1239297635762.2334</v>
      </c>
      <c r="K41" s="54">
        <f t="shared" ca="1" si="8"/>
        <v>2.5012639285375928</v>
      </c>
    </row>
    <row r="42" spans="2:11" ht="15" customHeight="1" x14ac:dyDescent="0.35">
      <c r="B42" s="5">
        <v>21</v>
      </c>
      <c r="C42" s="52">
        <f t="shared" ca="1" si="0"/>
        <v>3.5502857362365337</v>
      </c>
      <c r="D42" s="53">
        <f t="shared" ca="1" si="1"/>
        <v>13088570844.941952</v>
      </c>
      <c r="E42" s="53">
        <f t="shared" ca="1" si="2"/>
        <v>89639936555479.953</v>
      </c>
      <c r="F42" s="53">
        <f t="shared" ca="1" si="3"/>
        <v>3341991508972.1353</v>
      </c>
      <c r="G42" s="53">
        <f t="shared" ca="1" si="4"/>
        <v>3116426258048.874</v>
      </c>
      <c r="H42" s="53">
        <f t="shared" ca="1" si="5"/>
        <v>3341991508972.1353</v>
      </c>
      <c r="I42" s="53">
        <f t="shared" ca="1" si="6"/>
        <v>6905804763206.4463</v>
      </c>
      <c r="J42" s="53">
        <f t="shared" ca="1" si="7"/>
        <v>1472883785133.447</v>
      </c>
      <c r="K42" s="54">
        <f t="shared" ca="1" si="8"/>
        <v>4.6886284124451558</v>
      </c>
    </row>
    <row r="43" spans="2:11" ht="15" customHeight="1" x14ac:dyDescent="0.35">
      <c r="B43" s="5">
        <v>22</v>
      </c>
      <c r="C43" s="52">
        <f t="shared" ca="1" si="0"/>
        <v>2.8987065693476795</v>
      </c>
      <c r="D43" s="53">
        <f t="shared" ca="1" si="1"/>
        <v>4263830092.8657804</v>
      </c>
      <c r="E43" s="53">
        <f t="shared" ca="1" si="2"/>
        <v>86709664956989.984</v>
      </c>
      <c r="F43" s="53">
        <f t="shared" ca="1" si="3"/>
        <v>2717963400709.875</v>
      </c>
      <c r="G43" s="53">
        <f t="shared" ca="1" si="4"/>
        <v>7559257477982.0645</v>
      </c>
      <c r="H43" s="53">
        <f t="shared" ca="1" si="5"/>
        <v>2717963400709.875</v>
      </c>
      <c r="I43" s="53">
        <f t="shared" ca="1" si="6"/>
        <v>39206410826558.938</v>
      </c>
      <c r="J43" s="53">
        <f t="shared" ca="1" si="7"/>
        <v>1202443929552.7834</v>
      </c>
      <c r="K43" s="54">
        <f t="shared" ca="1" si="8"/>
        <v>32.605604189079074</v>
      </c>
    </row>
    <row r="44" spans="2:11" ht="15" customHeight="1" x14ac:dyDescent="0.35">
      <c r="B44" s="5">
        <v>23</v>
      </c>
      <c r="C44" s="52">
        <f t="shared" ca="1" si="0"/>
        <v>2.7520448464711875</v>
      </c>
      <c r="D44" s="53">
        <f t="shared" ca="1" si="1"/>
        <v>2961884073.488039</v>
      </c>
      <c r="E44" s="53">
        <f t="shared" ca="1" si="2"/>
        <v>15533170527957.479</v>
      </c>
      <c r="F44" s="53">
        <f t="shared" ca="1" si="3"/>
        <v>2387443936147.895</v>
      </c>
      <c r="G44" s="53">
        <f t="shared" ca="1" si="4"/>
        <v>40291190308391.648</v>
      </c>
      <c r="H44" s="53">
        <f t="shared" ca="1" si="5"/>
        <v>2387443936147.895</v>
      </c>
      <c r="I44" s="53">
        <f t="shared" ca="1" si="6"/>
        <v>20849308860605.836</v>
      </c>
      <c r="J44" s="53">
        <f t="shared" ca="1" si="7"/>
        <v>622346077194.1543</v>
      </c>
      <c r="K44" s="54">
        <f t="shared" ca="1" si="8"/>
        <v>33.501149319691855</v>
      </c>
    </row>
    <row r="45" spans="2:11" ht="15" customHeight="1" x14ac:dyDescent="0.35">
      <c r="B45" s="5">
        <v>24</v>
      </c>
      <c r="C45" s="52">
        <f t="shared" ca="1" si="0"/>
        <v>3.3054927097992666</v>
      </c>
      <c r="D45" s="53">
        <f t="shared" ca="1" si="1"/>
        <v>7960277860.3790426</v>
      </c>
      <c r="E45" s="53">
        <f t="shared" ca="1" si="2"/>
        <v>34593794690980.234</v>
      </c>
      <c r="F45" s="53">
        <f t="shared" ca="1" si="3"/>
        <v>2710100065737.8652</v>
      </c>
      <c r="G45" s="53">
        <f t="shared" ca="1" si="4"/>
        <v>15342749555250.234</v>
      </c>
      <c r="H45" s="53">
        <f t="shared" ca="1" si="5"/>
        <v>2710100065737.8652</v>
      </c>
      <c r="I45" s="53">
        <f t="shared" ca="1" si="6"/>
        <v>13848839949783.26</v>
      </c>
      <c r="J45" s="53">
        <f t="shared" ca="1" si="7"/>
        <v>962527103504.55688</v>
      </c>
      <c r="K45" s="54">
        <f t="shared" ca="1" si="8"/>
        <v>14.387999983958577</v>
      </c>
    </row>
    <row r="46" spans="2:11" ht="15" customHeight="1" x14ac:dyDescent="0.35">
      <c r="B46" s="5">
        <v>25</v>
      </c>
      <c r="C46" s="52">
        <f t="shared" ca="1" si="0"/>
        <v>3.0128337580624747</v>
      </c>
      <c r="D46" s="53">
        <f t="shared" ca="1" si="1"/>
        <v>5111858203.9414253</v>
      </c>
      <c r="E46" s="53">
        <f t="shared" ca="1" si="2"/>
        <v>8110908916580.0547</v>
      </c>
      <c r="F46" s="53">
        <f t="shared" ca="1" si="3"/>
        <v>1533766249508.1384</v>
      </c>
      <c r="G46" s="53">
        <f t="shared" ca="1" si="4"/>
        <v>20627202106484.414</v>
      </c>
      <c r="H46" s="53">
        <f t="shared" ca="1" si="5"/>
        <v>8110908916580.0547</v>
      </c>
      <c r="I46" s="53">
        <f t="shared" ca="1" si="6"/>
        <v>70733955176888.609</v>
      </c>
      <c r="J46" s="53">
        <f t="shared" ca="1" si="7"/>
        <v>1274537361412.8342</v>
      </c>
      <c r="K46" s="54">
        <f t="shared" ca="1" si="8"/>
        <v>55.497749472388548</v>
      </c>
    </row>
    <row r="47" spans="2:11" ht="15" customHeight="1" x14ac:dyDescent="0.35">
      <c r="B47" s="5">
        <v>26</v>
      </c>
      <c r="C47" s="52">
        <f t="shared" ca="1" si="0"/>
        <v>3.4371549717550387</v>
      </c>
      <c r="D47" s="53">
        <f t="shared" ca="1" si="1"/>
        <v>8498462972.8328943</v>
      </c>
      <c r="E47" s="53">
        <f t="shared" ca="1" si="2"/>
        <v>40287278482411.258</v>
      </c>
      <c r="F47" s="53">
        <f t="shared" ca="1" si="3"/>
        <v>47477016467353.297</v>
      </c>
      <c r="G47" s="53">
        <f t="shared" ca="1" si="4"/>
        <v>538341262615.99792</v>
      </c>
      <c r="H47" s="53">
        <f t="shared" ca="1" si="5"/>
        <v>47477016467353.297</v>
      </c>
      <c r="I47" s="53">
        <f t="shared" ca="1" si="6"/>
        <v>4331312043569.2383</v>
      </c>
      <c r="J47" s="53">
        <f t="shared" ca="1" si="7"/>
        <v>968152572465.88464</v>
      </c>
      <c r="K47" s="54">
        <f t="shared" ca="1" si="8"/>
        <v>4.4737907709498579</v>
      </c>
    </row>
    <row r="48" spans="2:11" ht="15" customHeight="1" x14ac:dyDescent="0.35">
      <c r="B48" s="5">
        <v>27</v>
      </c>
      <c r="C48" s="52">
        <f t="shared" ca="1" si="0"/>
        <v>3.059768535617128</v>
      </c>
      <c r="D48" s="53">
        <f t="shared" ca="1" si="1"/>
        <v>4946236088.7449226</v>
      </c>
      <c r="E48" s="53">
        <f t="shared" ca="1" si="2"/>
        <v>6163807574120.0693</v>
      </c>
      <c r="F48" s="53">
        <f t="shared" ca="1" si="3"/>
        <v>1271760856381.384</v>
      </c>
      <c r="G48" s="53">
        <f t="shared" ca="1" si="4"/>
        <v>2588913503551.3931</v>
      </c>
      <c r="H48" s="53">
        <f t="shared" ca="1" si="5"/>
        <v>2588913503551.3931</v>
      </c>
      <c r="I48" s="53">
        <f t="shared" ca="1" si="6"/>
        <v>40180725577283.031</v>
      </c>
      <c r="J48" s="53">
        <f t="shared" ca="1" si="7"/>
        <v>845698943317.01709</v>
      </c>
      <c r="K48" s="54">
        <f t="shared" ca="1" si="8"/>
        <v>47.511855010348476</v>
      </c>
    </row>
    <row r="49" spans="2:11" ht="15" customHeight="1" x14ac:dyDescent="0.35">
      <c r="B49" s="5">
        <v>28</v>
      </c>
      <c r="C49" s="52">
        <f t="shared" ca="1" si="0"/>
        <v>2.278418319134095</v>
      </c>
      <c r="D49" s="53">
        <f t="shared" ca="1" si="1"/>
        <v>1023380437.0536429</v>
      </c>
      <c r="E49" s="53">
        <f t="shared" ca="1" si="2"/>
        <v>17116102086224.613</v>
      </c>
      <c r="F49" s="53">
        <f t="shared" ca="1" si="3"/>
        <v>943082361991.65454</v>
      </c>
      <c r="G49" s="53">
        <f t="shared" ca="1" si="4"/>
        <v>3136932110204.583</v>
      </c>
      <c r="H49" s="53">
        <f t="shared" ca="1" si="5"/>
        <v>17116102086224.613</v>
      </c>
      <c r="I49" s="53">
        <f t="shared" ca="1" si="6"/>
        <v>3087513413848.0146</v>
      </c>
      <c r="J49" s="53">
        <f t="shared" ca="1" si="7"/>
        <v>1243810675281.7644</v>
      </c>
      <c r="K49" s="54">
        <f t="shared" ca="1" si="8"/>
        <v>2.4823017483336764</v>
      </c>
    </row>
    <row r="50" spans="2:11" ht="15" customHeight="1" x14ac:dyDescent="0.35">
      <c r="B50" s="5">
        <v>29</v>
      </c>
      <c r="C50" s="52">
        <f t="shared" ca="1" si="0"/>
        <v>3.9402357819553462</v>
      </c>
      <c r="D50" s="53">
        <f t="shared" ca="1" si="1"/>
        <v>18895359594.702061</v>
      </c>
      <c r="E50" s="53">
        <f t="shared" ca="1" si="2"/>
        <v>248316124524999.88</v>
      </c>
      <c r="F50" s="53">
        <f t="shared" ca="1" si="3"/>
        <v>700079084529.62939</v>
      </c>
      <c r="G50" s="53">
        <f t="shared" ca="1" si="4"/>
        <v>5527990174444.123</v>
      </c>
      <c r="H50" s="53">
        <f t="shared" ca="1" si="5"/>
        <v>700079084529.62939</v>
      </c>
      <c r="I50" s="53">
        <f t="shared" ca="1" si="6"/>
        <v>8118871134956.3604</v>
      </c>
      <c r="J50" s="53">
        <f t="shared" ca="1" si="7"/>
        <v>877463681192.01709</v>
      </c>
      <c r="K50" s="54">
        <f t="shared" ca="1" si="8"/>
        <v>9.2526577555062275</v>
      </c>
    </row>
    <row r="51" spans="2:11" ht="15" customHeight="1" x14ac:dyDescent="0.35">
      <c r="B51" s="5">
        <v>30</v>
      </c>
      <c r="C51" s="52">
        <f t="shared" ca="1" si="0"/>
        <v>3.6248995419072179</v>
      </c>
      <c r="D51" s="53">
        <f t="shared" ca="1" si="1"/>
        <v>14334925089.301163</v>
      </c>
      <c r="E51" s="53">
        <f t="shared" ca="1" si="2"/>
        <v>70399695349834.156</v>
      </c>
      <c r="F51" s="53">
        <f t="shared" ca="1" si="3"/>
        <v>9048065538661.707</v>
      </c>
      <c r="G51" s="53">
        <f t="shared" ca="1" si="4"/>
        <v>1138883069885.5664</v>
      </c>
      <c r="H51" s="53">
        <f t="shared" ca="1" si="5"/>
        <v>9048065538661.707</v>
      </c>
      <c r="I51" s="53">
        <f t="shared" ca="1" si="6"/>
        <v>4614395092845.6416</v>
      </c>
      <c r="J51" s="53">
        <f t="shared" ca="1" si="7"/>
        <v>840865159629.42969</v>
      </c>
      <c r="K51" s="54">
        <f t="shared" ca="1" si="8"/>
        <v>5.487675449508707</v>
      </c>
    </row>
    <row r="52" spans="2:11" ht="15" customHeight="1" x14ac:dyDescent="0.35">
      <c r="B52" s="5">
        <v>31</v>
      </c>
      <c r="C52" s="52">
        <f t="shared" ca="1" si="0"/>
        <v>3.4146959898278748</v>
      </c>
      <c r="D52" s="53">
        <f t="shared" ca="1" si="1"/>
        <v>8049989005.3831654</v>
      </c>
      <c r="E52" s="53">
        <f t="shared" ca="1" si="2"/>
        <v>19264768703445.25</v>
      </c>
      <c r="F52" s="53">
        <f t="shared" ca="1" si="3"/>
        <v>4784672291714.0283</v>
      </c>
      <c r="G52" s="53">
        <f t="shared" ca="1" si="4"/>
        <v>1361833050256.6042</v>
      </c>
      <c r="H52" s="53">
        <f t="shared" ca="1" si="5"/>
        <v>1361833050256.6042</v>
      </c>
      <c r="I52" s="53">
        <f t="shared" ca="1" si="6"/>
        <v>7009272721537.6113</v>
      </c>
      <c r="J52" s="53">
        <f t="shared" ca="1" si="7"/>
        <v>1474286896330.0664</v>
      </c>
      <c r="K52" s="54">
        <f t="shared" ca="1" si="8"/>
        <v>4.7543478402919757</v>
      </c>
    </row>
    <row r="53" spans="2:11" ht="15" customHeight="1" x14ac:dyDescent="0.35">
      <c r="B53" s="5">
        <v>32</v>
      </c>
      <c r="C53" s="52">
        <f t="shared" ca="1" si="0"/>
        <v>3.8079148359606498</v>
      </c>
      <c r="D53" s="53">
        <f t="shared" ca="1" si="1"/>
        <v>14429377223.863508</v>
      </c>
      <c r="E53" s="53">
        <f t="shared" ca="1" si="2"/>
        <v>262818291955744.5</v>
      </c>
      <c r="F53" s="53">
        <f t="shared" ca="1" si="3"/>
        <v>5484166503681.7822</v>
      </c>
      <c r="G53" s="53">
        <f t="shared" ca="1" si="4"/>
        <v>895353353815.24304</v>
      </c>
      <c r="H53" s="53">
        <f t="shared" ca="1" si="5"/>
        <v>5484166503681.7822</v>
      </c>
      <c r="I53" s="53">
        <f t="shared" ca="1" si="6"/>
        <v>8541224116995.2109</v>
      </c>
      <c r="J53" s="53">
        <f t="shared" ca="1" si="7"/>
        <v>787089662729.30969</v>
      </c>
      <c r="K53" s="54">
        <f t="shared" ca="1" si="8"/>
        <v>10.851653275914828</v>
      </c>
    </row>
    <row r="54" spans="2:11" ht="15" customHeight="1" x14ac:dyDescent="0.35">
      <c r="B54" s="5">
        <v>33</v>
      </c>
      <c r="C54" s="52">
        <f t="shared" ca="1" si="0"/>
        <v>3.0515070534022208</v>
      </c>
      <c r="D54" s="53">
        <f t="shared" ca="1" si="1"/>
        <v>5493689236.6385698</v>
      </c>
      <c r="E54" s="53">
        <f t="shared" ca="1" si="2"/>
        <v>19162458205017.406</v>
      </c>
      <c r="F54" s="53">
        <f t="shared" ca="1" si="3"/>
        <v>62714253953746.797</v>
      </c>
      <c r="G54" s="53">
        <f t="shared" ca="1" si="4"/>
        <v>8191043271592.4492</v>
      </c>
      <c r="H54" s="53">
        <f t="shared" ca="1" si="5"/>
        <v>62714253953746.797</v>
      </c>
      <c r="I54" s="53">
        <f t="shared" ca="1" si="6"/>
        <v>50064896625670.734</v>
      </c>
      <c r="J54" s="53">
        <f t="shared" ca="1" si="7"/>
        <v>720660727240.18396</v>
      </c>
      <c r="K54" s="54">
        <f t="shared" ca="1" si="8"/>
        <v>69.470826886040314</v>
      </c>
    </row>
    <row r="55" spans="2:11" ht="15" customHeight="1" x14ac:dyDescent="0.35">
      <c r="B55" s="5">
        <v>34</v>
      </c>
      <c r="C55" s="52">
        <f t="shared" ca="1" si="0"/>
        <v>3.8947060231512434</v>
      </c>
      <c r="D55" s="53">
        <f t="shared" ca="1" si="1"/>
        <v>16530891009.930107</v>
      </c>
      <c r="E55" s="53">
        <f t="shared" ca="1" si="2"/>
        <v>113119584098355.08</v>
      </c>
      <c r="F55" s="53">
        <f t="shared" ca="1" si="3"/>
        <v>5025056672130.6465</v>
      </c>
      <c r="G55" s="53">
        <f t="shared" ca="1" si="4"/>
        <v>3137585217781.3091</v>
      </c>
      <c r="H55" s="53">
        <f t="shared" ca="1" si="5"/>
        <v>5025056672130.6465</v>
      </c>
      <c r="I55" s="53">
        <f t="shared" ca="1" si="6"/>
        <v>70499749928181.703</v>
      </c>
      <c r="J55" s="53">
        <f t="shared" ca="1" si="7"/>
        <v>595942668740.70642</v>
      </c>
      <c r="K55" s="54">
        <f t="shared" ca="1" si="8"/>
        <v>118.29955065502453</v>
      </c>
    </row>
    <row r="56" spans="2:11" ht="15" customHeight="1" x14ac:dyDescent="0.35">
      <c r="B56" s="5">
        <v>35</v>
      </c>
      <c r="C56" s="52">
        <f t="shared" ca="1" si="0"/>
        <v>2.9862822689036599</v>
      </c>
      <c r="D56" s="53">
        <f t="shared" ca="1" si="1"/>
        <v>3956476148.2328801</v>
      </c>
      <c r="E56" s="53">
        <f t="shared" ca="1" si="2"/>
        <v>14350455661972.293</v>
      </c>
      <c r="F56" s="53">
        <f t="shared" ca="1" si="3"/>
        <v>1270443541055.9329</v>
      </c>
      <c r="G56" s="53">
        <f t="shared" ca="1" si="4"/>
        <v>7928123059963.5098</v>
      </c>
      <c r="H56" s="53">
        <f t="shared" ca="1" si="5"/>
        <v>7928123059963.5098</v>
      </c>
      <c r="I56" s="53">
        <f t="shared" ca="1" si="6"/>
        <v>17059982330771.66</v>
      </c>
      <c r="J56" s="53">
        <f t="shared" ca="1" si="7"/>
        <v>1374152270930.4031</v>
      </c>
      <c r="K56" s="54">
        <f t="shared" ca="1" si="8"/>
        <v>12.414914046767747</v>
      </c>
    </row>
    <row r="57" spans="2:11" ht="15" customHeight="1" x14ac:dyDescent="0.35">
      <c r="B57" s="5">
        <v>36</v>
      </c>
      <c r="C57" s="52">
        <f t="shared" ca="1" si="0"/>
        <v>2.5235187148239038</v>
      </c>
      <c r="D57" s="53">
        <f t="shared" ca="1" si="1"/>
        <v>1860437644.5137596</v>
      </c>
      <c r="E57" s="53">
        <f t="shared" ca="1" si="2"/>
        <v>10009904557354.719</v>
      </c>
      <c r="F57" s="53">
        <f t="shared" ca="1" si="3"/>
        <v>2949152654314.4033</v>
      </c>
      <c r="G57" s="53">
        <f t="shared" ca="1" si="4"/>
        <v>12948362841146.277</v>
      </c>
      <c r="H57" s="53">
        <f t="shared" ca="1" si="5"/>
        <v>12948362841146.277</v>
      </c>
      <c r="I57" s="53">
        <f t="shared" ca="1" si="6"/>
        <v>12550538991297.473</v>
      </c>
      <c r="J57" s="53">
        <f t="shared" ca="1" si="7"/>
        <v>614838936327.8324</v>
      </c>
      <c r="K57" s="54">
        <f t="shared" ca="1" si="8"/>
        <v>20.41272640645764</v>
      </c>
    </row>
    <row r="58" spans="2:11" ht="15" customHeight="1" x14ac:dyDescent="0.35">
      <c r="B58" s="5">
        <v>37</v>
      </c>
      <c r="C58" s="52">
        <f t="shared" ca="1" si="0"/>
        <v>3.4861818349437068</v>
      </c>
      <c r="D58" s="53">
        <f t="shared" ca="1" si="1"/>
        <v>11890900574.383652</v>
      </c>
      <c r="E58" s="53">
        <f t="shared" ca="1" si="2"/>
        <v>11713248300003.463</v>
      </c>
      <c r="F58" s="53">
        <f t="shared" ca="1" si="3"/>
        <v>2871187534489.4165</v>
      </c>
      <c r="G58" s="53">
        <f t="shared" ca="1" si="4"/>
        <v>4569473901278.8662</v>
      </c>
      <c r="H58" s="53">
        <f t="shared" ca="1" si="5"/>
        <v>4569473901278.8662</v>
      </c>
      <c r="I58" s="53">
        <f t="shared" ca="1" si="6"/>
        <v>76138859366469.219</v>
      </c>
      <c r="J58" s="53">
        <f t="shared" ca="1" si="7"/>
        <v>1494385736742.5186</v>
      </c>
      <c r="K58" s="54">
        <f t="shared" ca="1" si="8"/>
        <v>50.949937151058265</v>
      </c>
    </row>
    <row r="59" spans="2:11" ht="15" customHeight="1" x14ac:dyDescent="0.35">
      <c r="B59" s="5">
        <v>38</v>
      </c>
      <c r="C59" s="52">
        <f t="shared" ca="1" si="0"/>
        <v>3.0277435548933274</v>
      </c>
      <c r="D59" s="53">
        <f t="shared" ca="1" si="1"/>
        <v>5906292488.2991266</v>
      </c>
      <c r="E59" s="53">
        <f t="shared" ca="1" si="2"/>
        <v>18940301775683.852</v>
      </c>
      <c r="F59" s="53">
        <f t="shared" ca="1" si="3"/>
        <v>3443949575044.355</v>
      </c>
      <c r="G59" s="53">
        <f t="shared" ca="1" si="4"/>
        <v>22024216084710.82</v>
      </c>
      <c r="H59" s="53">
        <f t="shared" ca="1" si="5"/>
        <v>22024216084710.82</v>
      </c>
      <c r="I59" s="53">
        <f t="shared" ca="1" si="6"/>
        <v>4539807017374.3643</v>
      </c>
      <c r="J59" s="53">
        <f t="shared" ca="1" si="7"/>
        <v>798703744540.97571</v>
      </c>
      <c r="K59" s="54">
        <f t="shared" ca="1" si="8"/>
        <v>5.6839686159020628</v>
      </c>
    </row>
    <row r="60" spans="2:11" ht="15" customHeight="1" x14ac:dyDescent="0.35">
      <c r="B60" s="5">
        <v>39</v>
      </c>
      <c r="C60" s="52">
        <f t="shared" ca="1" si="0"/>
        <v>3.0191726041970779</v>
      </c>
      <c r="D60" s="53">
        <f t="shared" ca="1" si="1"/>
        <v>4917833644.3068457</v>
      </c>
      <c r="E60" s="53">
        <f t="shared" ca="1" si="2"/>
        <v>3796730453761.8403</v>
      </c>
      <c r="F60" s="53">
        <f t="shared" ca="1" si="3"/>
        <v>7231964055084.6777</v>
      </c>
      <c r="G60" s="53">
        <f t="shared" ca="1" si="4"/>
        <v>605909917936.3678</v>
      </c>
      <c r="H60" s="53">
        <f t="shared" ca="1" si="5"/>
        <v>7231964055084.6777</v>
      </c>
      <c r="I60" s="53">
        <f t="shared" ca="1" si="6"/>
        <v>42306848190654.516</v>
      </c>
      <c r="J60" s="53">
        <f t="shared" ca="1" si="7"/>
        <v>919625709154.07874</v>
      </c>
      <c r="K60" s="54">
        <f t="shared" ca="1" si="8"/>
        <v>46.004420895943234</v>
      </c>
    </row>
    <row r="61" spans="2:11" ht="15" customHeight="1" x14ac:dyDescent="0.35">
      <c r="B61" s="5">
        <v>40</v>
      </c>
      <c r="C61" s="52">
        <f t="shared" ca="1" si="0"/>
        <v>3.0641480937648842</v>
      </c>
      <c r="D61" s="53">
        <f t="shared" ca="1" si="1"/>
        <v>5347409009.3925085</v>
      </c>
      <c r="E61" s="53">
        <f t="shared" ca="1" si="2"/>
        <v>19013707422250.184</v>
      </c>
      <c r="F61" s="53">
        <f t="shared" ca="1" si="3"/>
        <v>83652309832181.719</v>
      </c>
      <c r="G61" s="53">
        <f t="shared" ca="1" si="4"/>
        <v>3335749937547.1924</v>
      </c>
      <c r="H61" s="53">
        <f t="shared" ca="1" si="5"/>
        <v>3335749937547.1924</v>
      </c>
      <c r="I61" s="53">
        <f t="shared" ca="1" si="6"/>
        <v>4726644915089.0537</v>
      </c>
      <c r="J61" s="53">
        <f t="shared" ca="1" si="7"/>
        <v>694095630878.12317</v>
      </c>
      <c r="K61" s="54">
        <f t="shared" ca="1" si="8"/>
        <v>6.8097891771904973</v>
      </c>
    </row>
    <row r="62" spans="2:11" ht="15" customHeight="1" x14ac:dyDescent="0.35">
      <c r="B62" s="5">
        <v>41</v>
      </c>
      <c r="C62" s="52">
        <f t="shared" ca="1" si="0"/>
        <v>2.6964950483256431</v>
      </c>
      <c r="D62" s="53">
        <f t="shared" ca="1" si="1"/>
        <v>2638701194.0651999</v>
      </c>
      <c r="E62" s="53">
        <f t="shared" ca="1" si="2"/>
        <v>7797878520943.3467</v>
      </c>
      <c r="F62" s="53">
        <f t="shared" ca="1" si="3"/>
        <v>582170167548.34961</v>
      </c>
      <c r="G62" s="53">
        <f t="shared" ca="1" si="4"/>
        <v>1077559633552.057</v>
      </c>
      <c r="H62" s="53">
        <f t="shared" ca="1" si="5"/>
        <v>1077559633552.057</v>
      </c>
      <c r="I62" s="53">
        <f t="shared" ca="1" si="6"/>
        <v>24901190952312.902</v>
      </c>
      <c r="J62" s="53">
        <f t="shared" ca="1" si="7"/>
        <v>1162033826007.022</v>
      </c>
      <c r="K62" s="54">
        <f t="shared" ca="1" si="8"/>
        <v>21.428972543663654</v>
      </c>
    </row>
    <row r="63" spans="2:11" ht="15" customHeight="1" x14ac:dyDescent="0.35">
      <c r="B63" s="5">
        <v>42</v>
      </c>
      <c r="C63" s="52">
        <f t="shared" ca="1" si="0"/>
        <v>2.5162007931827106</v>
      </c>
      <c r="D63" s="53">
        <f t="shared" ca="1" si="1"/>
        <v>2410971629.2762837</v>
      </c>
      <c r="E63" s="53">
        <f t="shared" ca="1" si="2"/>
        <v>3047029716897.5884</v>
      </c>
      <c r="F63" s="53">
        <f t="shared" ca="1" si="3"/>
        <v>1605518008689.135</v>
      </c>
      <c r="G63" s="53">
        <f t="shared" ca="1" si="4"/>
        <v>14031854451769.639</v>
      </c>
      <c r="H63" s="53">
        <f t="shared" ca="1" si="5"/>
        <v>3047029716897.5884</v>
      </c>
      <c r="I63" s="53">
        <f t="shared" ca="1" si="6"/>
        <v>5573787674958.6045</v>
      </c>
      <c r="J63" s="53">
        <f t="shared" ca="1" si="7"/>
        <v>760828375443.5874</v>
      </c>
      <c r="K63" s="54">
        <f t="shared" ca="1" si="8"/>
        <v>7.3259461067141549</v>
      </c>
    </row>
    <row r="64" spans="2:11" ht="15" customHeight="1" x14ac:dyDescent="0.35">
      <c r="B64" s="5">
        <v>43</v>
      </c>
      <c r="C64" s="52">
        <f t="shared" ca="1" si="0"/>
        <v>2.3047160407063982</v>
      </c>
      <c r="D64" s="53">
        <f t="shared" ca="1" si="1"/>
        <v>1500719014.7915602</v>
      </c>
      <c r="E64" s="53">
        <f t="shared" ca="1" si="2"/>
        <v>4391646443988.293</v>
      </c>
      <c r="F64" s="53">
        <f t="shared" ca="1" si="3"/>
        <v>5884544731319.6045</v>
      </c>
      <c r="G64" s="53">
        <f t="shared" ca="1" si="4"/>
        <v>2737585958843.5063</v>
      </c>
      <c r="H64" s="53">
        <f t="shared" ca="1" si="5"/>
        <v>2737585958843.5063</v>
      </c>
      <c r="I64" s="53">
        <f t="shared" ca="1" si="6"/>
        <v>21385734648643.758</v>
      </c>
      <c r="J64" s="53">
        <f t="shared" ca="1" si="7"/>
        <v>1264730481886.0342</v>
      </c>
      <c r="K64" s="54">
        <f t="shared" ca="1" si="8"/>
        <v>16.909321752688523</v>
      </c>
    </row>
    <row r="65" spans="2:11" ht="15" customHeight="1" x14ac:dyDescent="0.35">
      <c r="B65" s="5">
        <v>44</v>
      </c>
      <c r="C65" s="52">
        <f t="shared" ca="1" si="0"/>
        <v>3.2587999587604908</v>
      </c>
      <c r="D65" s="53">
        <f t="shared" ca="1" si="1"/>
        <v>6039348441.798708</v>
      </c>
      <c r="E65" s="53">
        <f t="shared" ca="1" si="2"/>
        <v>13868803727377.047</v>
      </c>
      <c r="F65" s="53">
        <f t="shared" ca="1" si="3"/>
        <v>24741659613506.938</v>
      </c>
      <c r="G65" s="53">
        <f t="shared" ca="1" si="4"/>
        <v>1911345867976.3625</v>
      </c>
      <c r="H65" s="53">
        <f t="shared" ca="1" si="5"/>
        <v>1911345867976.3625</v>
      </c>
      <c r="I65" s="53">
        <f t="shared" ca="1" si="6"/>
        <v>5609646368370.4844</v>
      </c>
      <c r="J65" s="53">
        <f t="shared" ca="1" si="7"/>
        <v>1315827880614.3345</v>
      </c>
      <c r="K65" s="54">
        <f t="shared" ca="1" si="8"/>
        <v>4.2632068000804555</v>
      </c>
    </row>
    <row r="66" spans="2:11" ht="15" customHeight="1" x14ac:dyDescent="0.35">
      <c r="B66" s="5">
        <v>45</v>
      </c>
      <c r="C66" s="52">
        <f t="shared" ca="1" si="0"/>
        <v>3.4563241207597843</v>
      </c>
      <c r="D66" s="53">
        <f t="shared" ca="1" si="1"/>
        <v>10085796028.6227</v>
      </c>
      <c r="E66" s="53">
        <f t="shared" ca="1" si="2"/>
        <v>45462286194018.086</v>
      </c>
      <c r="F66" s="53">
        <f t="shared" ca="1" si="3"/>
        <v>2392624521357.7808</v>
      </c>
      <c r="G66" s="53">
        <f t="shared" ca="1" si="4"/>
        <v>1313006768412.416</v>
      </c>
      <c r="H66" s="53">
        <f t="shared" ca="1" si="5"/>
        <v>45462286194018.086</v>
      </c>
      <c r="I66" s="53">
        <f t="shared" ca="1" si="6"/>
        <v>5827913194443.1924</v>
      </c>
      <c r="J66" s="53">
        <f t="shared" ca="1" si="7"/>
        <v>558250899932.23425</v>
      </c>
      <c r="K66" s="54">
        <f t="shared" ca="1" si="8"/>
        <v>10.439594804326584</v>
      </c>
    </row>
    <row r="67" spans="2:11" ht="15" customHeight="1" x14ac:dyDescent="0.35">
      <c r="B67" s="5">
        <v>46</v>
      </c>
      <c r="C67" s="52">
        <f t="shared" ca="1" si="0"/>
        <v>2.9284635713585505</v>
      </c>
      <c r="D67" s="53">
        <f t="shared" ca="1" si="1"/>
        <v>3551571722.6891809</v>
      </c>
      <c r="E67" s="53">
        <f t="shared" ca="1" si="2"/>
        <v>35395853986469.078</v>
      </c>
      <c r="F67" s="53">
        <f t="shared" ca="1" si="3"/>
        <v>3546676720966.8555</v>
      </c>
      <c r="G67" s="53">
        <f t="shared" ca="1" si="4"/>
        <v>30779411404911.027</v>
      </c>
      <c r="H67" s="53">
        <f t="shared" ca="1" si="5"/>
        <v>3546676720966.8555</v>
      </c>
      <c r="I67" s="53">
        <f t="shared" ca="1" si="6"/>
        <v>53530953889699.531</v>
      </c>
      <c r="J67" s="53">
        <f t="shared" ca="1" si="7"/>
        <v>1115560474211.1309</v>
      </c>
      <c r="K67" s="54">
        <f t="shared" ca="1" si="8"/>
        <v>47.985703265037223</v>
      </c>
    </row>
    <row r="68" spans="2:11" ht="15" customHeight="1" x14ac:dyDescent="0.35">
      <c r="B68" s="5">
        <v>47</v>
      </c>
      <c r="C68" s="52">
        <f t="shared" ca="1" si="0"/>
        <v>3.3269404977626658</v>
      </c>
      <c r="D68" s="53">
        <f t="shared" ca="1" si="1"/>
        <v>9447235386.8250275</v>
      </c>
      <c r="E68" s="53">
        <f t="shared" ca="1" si="2"/>
        <v>11090036713341.217</v>
      </c>
      <c r="F68" s="53">
        <f t="shared" ca="1" si="3"/>
        <v>5259928269774.9824</v>
      </c>
      <c r="G68" s="53">
        <f t="shared" ca="1" si="4"/>
        <v>3756570966029.0908</v>
      </c>
      <c r="H68" s="53">
        <f t="shared" ca="1" si="5"/>
        <v>11090036713341.217</v>
      </c>
      <c r="I68" s="53">
        <f t="shared" ca="1" si="6"/>
        <v>9243055749123.2617</v>
      </c>
      <c r="J68" s="53">
        <f t="shared" ca="1" si="7"/>
        <v>751833252648.10144</v>
      </c>
      <c r="K68" s="54">
        <f t="shared" ca="1" si="8"/>
        <v>12.294023597077464</v>
      </c>
    </row>
    <row r="69" spans="2:11" ht="15" customHeight="1" x14ac:dyDescent="0.35">
      <c r="B69" s="5">
        <v>48</v>
      </c>
      <c r="C69" s="52">
        <f t="shared" ca="1" si="0"/>
        <v>3.4337696277970551</v>
      </c>
      <c r="D69" s="53">
        <f t="shared" ca="1" si="1"/>
        <v>8373585034.3933449</v>
      </c>
      <c r="E69" s="53">
        <f t="shared" ca="1" si="2"/>
        <v>72398871335815.406</v>
      </c>
      <c r="F69" s="53">
        <f t="shared" ca="1" si="3"/>
        <v>2649230054718.4863</v>
      </c>
      <c r="G69" s="53">
        <f t="shared" ca="1" si="4"/>
        <v>26501859317283.785</v>
      </c>
      <c r="H69" s="53">
        <f t="shared" ca="1" si="5"/>
        <v>72398871335815.406</v>
      </c>
      <c r="I69" s="53">
        <f t="shared" ca="1" si="6"/>
        <v>86198409566383.781</v>
      </c>
      <c r="J69" s="53">
        <f t="shared" ca="1" si="7"/>
        <v>659795766738.33777</v>
      </c>
      <c r="K69" s="54">
        <f t="shared" ca="1" si="8"/>
        <v>130.64407792808467</v>
      </c>
    </row>
    <row r="70" spans="2:11" ht="15" customHeight="1" x14ac:dyDescent="0.35">
      <c r="B70" s="5">
        <v>49</v>
      </c>
      <c r="C70" s="52">
        <f t="shared" ca="1" si="0"/>
        <v>2.7766181663910667</v>
      </c>
      <c r="D70" s="53">
        <f t="shared" ca="1" si="1"/>
        <v>2640825125.9449143</v>
      </c>
      <c r="E70" s="53">
        <f t="shared" ca="1" si="2"/>
        <v>8418896316555.1787</v>
      </c>
      <c r="F70" s="53">
        <f t="shared" ca="1" si="3"/>
        <v>3053162183751.1313</v>
      </c>
      <c r="G70" s="53">
        <f t="shared" ca="1" si="4"/>
        <v>6544393299133.8516</v>
      </c>
      <c r="H70" s="53">
        <f t="shared" ca="1" si="5"/>
        <v>3053162183751.1313</v>
      </c>
      <c r="I70" s="53">
        <f t="shared" ca="1" si="6"/>
        <v>1896336182536.1477</v>
      </c>
      <c r="J70" s="53">
        <f t="shared" ca="1" si="7"/>
        <v>1257096430896.0042</v>
      </c>
      <c r="K70" s="54">
        <f t="shared" ca="1" si="8"/>
        <v>1.5085049451492922</v>
      </c>
    </row>
    <row r="71" spans="2:11" ht="15" customHeight="1" x14ac:dyDescent="0.35">
      <c r="B71" s="5">
        <v>50</v>
      </c>
      <c r="C71" s="52">
        <f t="shared" ca="1" si="0"/>
        <v>2.690650923054875</v>
      </c>
      <c r="D71" s="53">
        <f t="shared" ca="1" si="1"/>
        <v>2570822649.8743424</v>
      </c>
      <c r="E71" s="53">
        <f t="shared" ca="1" si="2"/>
        <v>8318506650483.0371</v>
      </c>
      <c r="F71" s="53">
        <f t="shared" ca="1" si="3"/>
        <v>5327846006125.3818</v>
      </c>
      <c r="G71" s="53">
        <f t="shared" ca="1" si="4"/>
        <v>23892860554993.352</v>
      </c>
      <c r="H71" s="53">
        <f t="shared" ca="1" si="5"/>
        <v>5327846006125.3818</v>
      </c>
      <c r="I71" s="53">
        <f t="shared" ca="1" si="6"/>
        <v>64129954050624.898</v>
      </c>
      <c r="J71" s="53">
        <f t="shared" ca="1" si="7"/>
        <v>1029022575190.5795</v>
      </c>
      <c r="K71" s="54">
        <f t="shared" ca="1" si="8"/>
        <v>62.321231425605752</v>
      </c>
    </row>
    <row r="72" spans="2:11" ht="15" customHeight="1" x14ac:dyDescent="0.35">
      <c r="B72" s="5">
        <v>51</v>
      </c>
      <c r="C72" s="52">
        <f t="shared" ca="1" si="0"/>
        <v>3.009711828294297</v>
      </c>
      <c r="D72" s="53">
        <f t="shared" ca="1" si="1"/>
        <v>4913251530.8507605</v>
      </c>
      <c r="E72" s="53">
        <f t="shared" ca="1" si="2"/>
        <v>15426075328761.77</v>
      </c>
      <c r="F72" s="53">
        <f t="shared" ca="1" si="3"/>
        <v>1387911825168.4163</v>
      </c>
      <c r="G72" s="53">
        <f t="shared" ca="1" si="4"/>
        <v>2185230382835.1851</v>
      </c>
      <c r="H72" s="53">
        <f t="shared" ca="1" si="5"/>
        <v>2185230382835.1851</v>
      </c>
      <c r="I72" s="53">
        <f t="shared" ca="1" si="6"/>
        <v>2743778412359.0142</v>
      </c>
      <c r="J72" s="53">
        <f t="shared" ca="1" si="7"/>
        <v>1603259318836.4167</v>
      </c>
      <c r="K72" s="54">
        <f t="shared" ca="1" si="8"/>
        <v>1.7113753091111561</v>
      </c>
    </row>
    <row r="73" spans="2:11" ht="15" customHeight="1" x14ac:dyDescent="0.35">
      <c r="B73" s="5">
        <v>52</v>
      </c>
      <c r="C73" s="52">
        <f t="shared" ca="1" si="0"/>
        <v>2.8237578394250722</v>
      </c>
      <c r="D73" s="53">
        <f t="shared" ca="1" si="1"/>
        <v>4092970891.0404835</v>
      </c>
      <c r="E73" s="53">
        <f t="shared" ca="1" si="2"/>
        <v>27063871985909.559</v>
      </c>
      <c r="F73" s="53">
        <f t="shared" ca="1" si="3"/>
        <v>6689080863742.3184</v>
      </c>
      <c r="G73" s="53">
        <f t="shared" ca="1" si="4"/>
        <v>1972173123748.8162</v>
      </c>
      <c r="H73" s="53">
        <f t="shared" ca="1" si="5"/>
        <v>27063871985909.559</v>
      </c>
      <c r="I73" s="53">
        <f t="shared" ca="1" si="6"/>
        <v>2779672505716.0933</v>
      </c>
      <c r="J73" s="53">
        <f t="shared" ca="1" si="7"/>
        <v>681386719092.10986</v>
      </c>
      <c r="K73" s="54">
        <f t="shared" ca="1" si="8"/>
        <v>4.0794345234961016</v>
      </c>
    </row>
    <row r="74" spans="2:11" ht="15" customHeight="1" x14ac:dyDescent="0.35">
      <c r="B74" s="5">
        <v>53</v>
      </c>
      <c r="C74" s="52">
        <f t="shared" ca="1" si="0"/>
        <v>2.4651074128494588</v>
      </c>
      <c r="D74" s="53">
        <f t="shared" ca="1" si="1"/>
        <v>1619869601.1567807</v>
      </c>
      <c r="E74" s="53">
        <f t="shared" ca="1" si="2"/>
        <v>8098711543448.2529</v>
      </c>
      <c r="F74" s="53">
        <f t="shared" ca="1" si="3"/>
        <v>1818618988931.8052</v>
      </c>
      <c r="G74" s="53">
        <f t="shared" ca="1" si="4"/>
        <v>26281994718203.617</v>
      </c>
      <c r="H74" s="53">
        <f t="shared" ca="1" si="5"/>
        <v>8098711543448.2529</v>
      </c>
      <c r="I74" s="53">
        <f t="shared" ca="1" si="6"/>
        <v>728488096509.75159</v>
      </c>
      <c r="J74" s="53">
        <f t="shared" ca="1" si="7"/>
        <v>1490449663607.1187</v>
      </c>
      <c r="K74" s="54">
        <f t="shared" ca="1" si="8"/>
        <v>0.48877068061909434</v>
      </c>
    </row>
    <row r="75" spans="2:11" ht="15" customHeight="1" x14ac:dyDescent="0.35">
      <c r="B75" s="5">
        <v>54</v>
      </c>
      <c r="C75" s="52">
        <f t="shared" ca="1" si="0"/>
        <v>2.6852549350695547</v>
      </c>
      <c r="D75" s="53">
        <f t="shared" ca="1" si="1"/>
        <v>2663867659.88799</v>
      </c>
      <c r="E75" s="53">
        <f t="shared" ca="1" si="2"/>
        <v>6749981636591.751</v>
      </c>
      <c r="F75" s="53">
        <f t="shared" ca="1" si="3"/>
        <v>1644971015681.0154</v>
      </c>
      <c r="G75" s="53">
        <f t="shared" ca="1" si="4"/>
        <v>4457673802718.3096</v>
      </c>
      <c r="H75" s="53">
        <f t="shared" ca="1" si="5"/>
        <v>4457673802718.3096</v>
      </c>
      <c r="I75" s="53">
        <f t="shared" ca="1" si="6"/>
        <v>2678689510792.4541</v>
      </c>
      <c r="J75" s="53">
        <f t="shared" ca="1" si="7"/>
        <v>1133619154434.5251</v>
      </c>
      <c r="K75" s="54">
        <f t="shared" ca="1" si="8"/>
        <v>2.3629536430412954</v>
      </c>
    </row>
    <row r="76" spans="2:11" ht="15" customHeight="1" x14ac:dyDescent="0.35">
      <c r="B76" s="5">
        <v>55</v>
      </c>
      <c r="C76" s="52">
        <f t="shared" ca="1" si="0"/>
        <v>1.8877951574694667</v>
      </c>
      <c r="D76" s="53">
        <f t="shared" ca="1" si="1"/>
        <v>410819429.42683482</v>
      </c>
      <c r="E76" s="53">
        <f t="shared" ca="1" si="2"/>
        <v>1111700163151.4141</v>
      </c>
      <c r="F76" s="53">
        <f t="shared" ca="1" si="3"/>
        <v>3498091449760.2256</v>
      </c>
      <c r="G76" s="53">
        <f t="shared" ca="1" si="4"/>
        <v>7483064961805.874</v>
      </c>
      <c r="H76" s="53">
        <f t="shared" ca="1" si="5"/>
        <v>7483064961805.874</v>
      </c>
      <c r="I76" s="53">
        <f t="shared" ca="1" si="6"/>
        <v>43562015594583.055</v>
      </c>
      <c r="J76" s="53">
        <f t="shared" ca="1" si="7"/>
        <v>1030708657723.6202</v>
      </c>
      <c r="K76" s="54">
        <f t="shared" ca="1" si="8"/>
        <v>42.264140567900427</v>
      </c>
    </row>
    <row r="77" spans="2:11" ht="15" customHeight="1" x14ac:dyDescent="0.35">
      <c r="B77" s="5">
        <v>56</v>
      </c>
      <c r="C77" s="52">
        <f t="shared" ca="1" si="0"/>
        <v>2.9954953014593366</v>
      </c>
      <c r="D77" s="53">
        <f t="shared" ca="1" si="1"/>
        <v>5717998733.8309965</v>
      </c>
      <c r="E77" s="53">
        <f t="shared" ca="1" si="2"/>
        <v>26852624850295.402</v>
      </c>
      <c r="F77" s="53">
        <f t="shared" ca="1" si="3"/>
        <v>5483134626842.9102</v>
      </c>
      <c r="G77" s="53">
        <f t="shared" ca="1" si="4"/>
        <v>651729219269.09009</v>
      </c>
      <c r="H77" s="53">
        <f t="shared" ca="1" si="5"/>
        <v>651729219269.09009</v>
      </c>
      <c r="I77" s="53">
        <f t="shared" ca="1" si="6"/>
        <v>13674983650887.166</v>
      </c>
      <c r="J77" s="53">
        <f t="shared" ca="1" si="7"/>
        <v>1388424099496.9048</v>
      </c>
      <c r="K77" s="54">
        <f t="shared" ca="1" si="8"/>
        <v>9.8492842754906764</v>
      </c>
    </row>
    <row r="78" spans="2:11" ht="15" customHeight="1" x14ac:dyDescent="0.35">
      <c r="B78" s="5">
        <v>57</v>
      </c>
      <c r="C78" s="52">
        <f t="shared" ca="1" si="0"/>
        <v>2.7663818574818895</v>
      </c>
      <c r="D78" s="53">
        <f t="shared" ca="1" si="1"/>
        <v>3525245454.7324343</v>
      </c>
      <c r="E78" s="53">
        <f t="shared" ca="1" si="2"/>
        <v>119656303557174.95</v>
      </c>
      <c r="F78" s="53">
        <f t="shared" ca="1" si="3"/>
        <v>3790440896159.0732</v>
      </c>
      <c r="G78" s="53">
        <f t="shared" ca="1" si="4"/>
        <v>13819553634649.283</v>
      </c>
      <c r="H78" s="53">
        <f t="shared" ca="1" si="5"/>
        <v>13819553634649.283</v>
      </c>
      <c r="I78" s="53">
        <f t="shared" ca="1" si="6"/>
        <v>4971359277348.8506</v>
      </c>
      <c r="J78" s="53">
        <f t="shared" ca="1" si="7"/>
        <v>1316187769444.0938</v>
      </c>
      <c r="K78" s="54">
        <f t="shared" ca="1" si="8"/>
        <v>3.7770897076855214</v>
      </c>
    </row>
    <row r="79" spans="2:11" ht="15" customHeight="1" x14ac:dyDescent="0.35">
      <c r="B79" s="5">
        <v>58</v>
      </c>
      <c r="C79" s="52">
        <f t="shared" ca="1" si="0"/>
        <v>3.2090014524149093</v>
      </c>
      <c r="D79" s="53">
        <f t="shared" ca="1" si="1"/>
        <v>7303182058.6412334</v>
      </c>
      <c r="E79" s="53">
        <f t="shared" ca="1" si="2"/>
        <v>50272050407481.68</v>
      </c>
      <c r="F79" s="53">
        <f t="shared" ca="1" si="3"/>
        <v>1268906487876.8228</v>
      </c>
      <c r="G79" s="53">
        <f t="shared" ca="1" si="4"/>
        <v>10707130848490.023</v>
      </c>
      <c r="H79" s="53">
        <f t="shared" ca="1" si="5"/>
        <v>10707130848490.023</v>
      </c>
      <c r="I79" s="53">
        <f t="shared" ca="1" si="6"/>
        <v>37310376875186.164</v>
      </c>
      <c r="J79" s="53">
        <f t="shared" ca="1" si="7"/>
        <v>700917821116.74426</v>
      </c>
      <c r="K79" s="54">
        <f t="shared" ca="1" si="8"/>
        <v>53.230743677969315</v>
      </c>
    </row>
    <row r="80" spans="2:11" ht="15" customHeight="1" x14ac:dyDescent="0.35">
      <c r="B80" s="5">
        <v>59</v>
      </c>
      <c r="C80" s="52">
        <f t="shared" ca="1" si="0"/>
        <v>2.6055379467292767</v>
      </c>
      <c r="D80" s="53">
        <f t="shared" ca="1" si="1"/>
        <v>2678091458.4671578</v>
      </c>
      <c r="E80" s="53">
        <f t="shared" ca="1" si="2"/>
        <v>6665857934707.7764</v>
      </c>
      <c r="F80" s="53">
        <f t="shared" ca="1" si="3"/>
        <v>2646541158363.3125</v>
      </c>
      <c r="G80" s="53">
        <f t="shared" ca="1" si="4"/>
        <v>121508870345.36049</v>
      </c>
      <c r="H80" s="53">
        <f t="shared" ca="1" si="5"/>
        <v>2646541158363.3125</v>
      </c>
      <c r="I80" s="53">
        <f t="shared" ca="1" si="6"/>
        <v>503138004013.64575</v>
      </c>
      <c r="J80" s="53">
        <f t="shared" ca="1" si="7"/>
        <v>1104641748982.4458</v>
      </c>
      <c r="K80" s="54">
        <f t="shared" ca="1" si="8"/>
        <v>0.45547617992631317</v>
      </c>
    </row>
    <row r="81" spans="2:11" ht="15" customHeight="1" x14ac:dyDescent="0.35">
      <c r="B81" s="5">
        <v>60</v>
      </c>
      <c r="C81" s="52">
        <f t="shared" ca="1" si="0"/>
        <v>2.7610021192738463</v>
      </c>
      <c r="D81" s="53">
        <f t="shared" ca="1" si="1"/>
        <v>2684816168.0875978</v>
      </c>
      <c r="E81" s="53">
        <f t="shared" ca="1" si="2"/>
        <v>25915423324734.75</v>
      </c>
      <c r="F81" s="53">
        <f t="shared" ca="1" si="3"/>
        <v>3084179978970.1763</v>
      </c>
      <c r="G81" s="53">
        <f t="shared" ca="1" si="4"/>
        <v>46250601019073.422</v>
      </c>
      <c r="H81" s="53">
        <f t="shared" ca="1" si="5"/>
        <v>3084179978970.1763</v>
      </c>
      <c r="I81" s="53">
        <f t="shared" ca="1" si="6"/>
        <v>866801377866.80237</v>
      </c>
      <c r="J81" s="53">
        <f t="shared" ca="1" si="7"/>
        <v>1006131554668.0585</v>
      </c>
      <c r="K81" s="54">
        <f t="shared" ca="1" si="8"/>
        <v>0.86151892746548064</v>
      </c>
    </row>
    <row r="82" spans="2:11" ht="15" customHeight="1" x14ac:dyDescent="0.35">
      <c r="B82" s="5">
        <v>61</v>
      </c>
      <c r="C82" s="52">
        <f t="shared" ca="1" si="0"/>
        <v>2.1185535421716097</v>
      </c>
      <c r="D82" s="53">
        <f t="shared" ca="1" si="1"/>
        <v>1013143204.6056209</v>
      </c>
      <c r="E82" s="53">
        <f t="shared" ca="1" si="2"/>
        <v>10781058628662.918</v>
      </c>
      <c r="F82" s="53">
        <f t="shared" ca="1" si="3"/>
        <v>7724963559686.4287</v>
      </c>
      <c r="G82" s="53">
        <f t="shared" ca="1" si="4"/>
        <v>24932268528097.133</v>
      </c>
      <c r="H82" s="53">
        <f t="shared" ca="1" si="5"/>
        <v>24932268528097.133</v>
      </c>
      <c r="I82" s="53">
        <f t="shared" ca="1" si="6"/>
        <v>22342534908127.961</v>
      </c>
      <c r="J82" s="53">
        <f t="shared" ca="1" si="7"/>
        <v>1483746452421.6462</v>
      </c>
      <c r="K82" s="54">
        <f t="shared" ca="1" si="8"/>
        <v>15.058189269239602</v>
      </c>
    </row>
    <row r="83" spans="2:11" ht="15" customHeight="1" x14ac:dyDescent="0.35">
      <c r="B83" s="5">
        <v>62</v>
      </c>
      <c r="C83" s="52">
        <f t="shared" ca="1" si="0"/>
        <v>3.2868412145477324</v>
      </c>
      <c r="D83" s="53">
        <f t="shared" ca="1" si="1"/>
        <v>8647586921.2249241</v>
      </c>
      <c r="E83" s="53">
        <f t="shared" ca="1" si="2"/>
        <v>17979428788415.188</v>
      </c>
      <c r="F83" s="53">
        <f t="shared" ca="1" si="3"/>
        <v>1827586367901.4678</v>
      </c>
      <c r="G83" s="53">
        <f t="shared" ca="1" si="4"/>
        <v>1946694694251.6094</v>
      </c>
      <c r="H83" s="53">
        <f t="shared" ca="1" si="5"/>
        <v>1946694694251.6094</v>
      </c>
      <c r="I83" s="53">
        <f t="shared" ca="1" si="6"/>
        <v>8616663138368.4873</v>
      </c>
      <c r="J83" s="53">
        <f t="shared" ca="1" si="7"/>
        <v>1110917472108.2893</v>
      </c>
      <c r="K83" s="54">
        <f t="shared" ca="1" si="8"/>
        <v>7.756348562972784</v>
      </c>
    </row>
    <row r="84" spans="2:11" ht="15" customHeight="1" x14ac:dyDescent="0.35">
      <c r="B84" s="5">
        <v>63</v>
      </c>
      <c r="C84" s="52">
        <f t="shared" ca="1" si="0"/>
        <v>2.5277416665115475</v>
      </c>
      <c r="D84" s="53">
        <f t="shared" ca="1" si="1"/>
        <v>2069953923.1049006</v>
      </c>
      <c r="E84" s="53">
        <f t="shared" ca="1" si="2"/>
        <v>9578834112305.0898</v>
      </c>
      <c r="F84" s="53">
        <f t="shared" ca="1" si="3"/>
        <v>4995490274159.1504</v>
      </c>
      <c r="G84" s="53">
        <f t="shared" ca="1" si="4"/>
        <v>2560093812507.8755</v>
      </c>
      <c r="H84" s="53">
        <f t="shared" ca="1" si="5"/>
        <v>9578834112305.0898</v>
      </c>
      <c r="I84" s="53">
        <f t="shared" ca="1" si="6"/>
        <v>22825363504508.266</v>
      </c>
      <c r="J84" s="53">
        <f t="shared" ca="1" si="7"/>
        <v>699257584925.52258</v>
      </c>
      <c r="K84" s="54">
        <f t="shared" ca="1" si="8"/>
        <v>32.642282324244476</v>
      </c>
    </row>
    <row r="85" spans="2:11" ht="15" customHeight="1" x14ac:dyDescent="0.35">
      <c r="B85" s="5">
        <v>64</v>
      </c>
      <c r="C85" s="52">
        <f t="shared" ca="1" si="0"/>
        <v>2.5367127468813129</v>
      </c>
      <c r="D85" s="53">
        <f t="shared" ca="1" si="1"/>
        <v>2241678332.8909583</v>
      </c>
      <c r="E85" s="53">
        <f t="shared" ca="1" si="2"/>
        <v>25131078054807.645</v>
      </c>
      <c r="F85" s="53">
        <f t="shared" ca="1" si="3"/>
        <v>1634802413877.6204</v>
      </c>
      <c r="G85" s="53">
        <f t="shared" ca="1" si="4"/>
        <v>1178870395156.7666</v>
      </c>
      <c r="H85" s="53">
        <f t="shared" ca="1" si="5"/>
        <v>1178870395156.7666</v>
      </c>
      <c r="I85" s="53">
        <f t="shared" ca="1" si="6"/>
        <v>9596442736650.3809</v>
      </c>
      <c r="J85" s="53">
        <f t="shared" ca="1" si="7"/>
        <v>701038045673.46619</v>
      </c>
      <c r="K85" s="54">
        <f t="shared" ca="1" si="8"/>
        <v>13.688904326770691</v>
      </c>
    </row>
    <row r="86" spans="2:11" ht="15" customHeight="1" x14ac:dyDescent="0.35">
      <c r="B86" s="5">
        <v>65</v>
      </c>
      <c r="C86" s="52">
        <f t="shared" ref="C86:C149" ca="1" si="9">MEDIAN(1.8,NORMINV(RAND(),$C$7,$D$7),4.5)</f>
        <v>3.4462100761485175</v>
      </c>
      <c r="D86" s="53">
        <f t="shared" ref="D86:D149" ca="1" si="10">($C$8+RAND()*($D$8-$C$8))*C86^5</f>
        <v>10510858188.934265</v>
      </c>
      <c r="E86" s="53">
        <f t="shared" ref="E86:E149" ca="1" si="11">D86*($C$10+RAND()*($D$10-$C$10))*EXP(NORMINV(RAND(),$C$9,$D$9))*($C$11+RAND()*($D$11-$C$11))</f>
        <v>95363643573290.219</v>
      </c>
      <c r="F86" s="53">
        <f t="shared" ref="F86:F149" ca="1" si="12">EXP(NORMINV(RAND(),$C$12,$D$12))*EXP(NORMINV(RAND(),$C$13,$D$13))</f>
        <v>750695778822.97632</v>
      </c>
      <c r="G86" s="53">
        <f t="shared" ref="G86:G149" ca="1" si="13">EXP(NORMINV(RAND(),$C$14,$D$14))*($C$15+RAND()*($D$15-$C$15))*EXP(NORMINV(RAND(),$C$16,$D$16))/1000000*31536000</f>
        <v>9967827154104.8047</v>
      </c>
      <c r="H86" s="53">
        <f t="shared" ref="H86:H149" ca="1" si="14">CHOOSE(RANDBETWEEN(1,3),E86,F86,G86)</f>
        <v>750695778822.97632</v>
      </c>
      <c r="I86" s="53">
        <f t="shared" ref="I86:I149" ca="1" si="15">EXP(NORMINV(RAND(),$C$14,$D$14))*($C$15+RAND()*($D$15-$C$15))*60</f>
        <v>6775733630194.0293</v>
      </c>
      <c r="J86" s="53">
        <f t="shared" ref="J86:J149" ca="1" si="16">($C$17+RAND()*($D$17-$C$17))*($C$18+RAND()*($D$18-$C$18))</f>
        <v>915694718843.19849</v>
      </c>
      <c r="K86" s="54">
        <f t="shared" ref="K86:K149" ca="1" si="17">I86/J86</f>
        <v>7.3995552128484983</v>
      </c>
    </row>
    <row r="87" spans="2:11" ht="15" customHeight="1" x14ac:dyDescent="0.35">
      <c r="B87" s="5">
        <v>66</v>
      </c>
      <c r="C87" s="52">
        <f t="shared" ca="1" si="9"/>
        <v>4.1330703927398291</v>
      </c>
      <c r="D87" s="53">
        <f t="shared" ca="1" si="10"/>
        <v>28325929386.273876</v>
      </c>
      <c r="E87" s="53">
        <f t="shared" ca="1" si="11"/>
        <v>189827550750991.25</v>
      </c>
      <c r="F87" s="53">
        <f t="shared" ca="1" si="12"/>
        <v>3800006527128.6167</v>
      </c>
      <c r="G87" s="53">
        <f t="shared" ca="1" si="13"/>
        <v>874460915135.0437</v>
      </c>
      <c r="H87" s="53">
        <f t="shared" ca="1" si="14"/>
        <v>874460915135.0437</v>
      </c>
      <c r="I87" s="53">
        <f t="shared" ca="1" si="15"/>
        <v>21960369738868.289</v>
      </c>
      <c r="J87" s="53">
        <f t="shared" ca="1" si="16"/>
        <v>891885813933.79492</v>
      </c>
      <c r="K87" s="54">
        <f t="shared" ca="1" si="17"/>
        <v>24.622400531306596</v>
      </c>
    </row>
    <row r="88" spans="2:11" ht="15" customHeight="1" x14ac:dyDescent="0.35">
      <c r="B88" s="5">
        <v>67</v>
      </c>
      <c r="C88" s="52">
        <f t="shared" ca="1" si="9"/>
        <v>3.840426256221229</v>
      </c>
      <c r="D88" s="53">
        <f t="shared" ca="1" si="10"/>
        <v>15864096764.783569</v>
      </c>
      <c r="E88" s="53">
        <f t="shared" ca="1" si="11"/>
        <v>17939768865697.816</v>
      </c>
      <c r="F88" s="53">
        <f t="shared" ca="1" si="12"/>
        <v>1037779509784.6361</v>
      </c>
      <c r="G88" s="53">
        <f t="shared" ca="1" si="13"/>
        <v>79895510923176.344</v>
      </c>
      <c r="H88" s="53">
        <f t="shared" ca="1" si="14"/>
        <v>1037779509784.6361</v>
      </c>
      <c r="I88" s="53">
        <f t="shared" ca="1" si="15"/>
        <v>3587550568344.083</v>
      </c>
      <c r="J88" s="53">
        <f t="shared" ca="1" si="16"/>
        <v>1288242396509.9419</v>
      </c>
      <c r="K88" s="54">
        <f t="shared" ca="1" si="17"/>
        <v>2.7848412519750481</v>
      </c>
    </row>
    <row r="89" spans="2:11" ht="15" customHeight="1" x14ac:dyDescent="0.35">
      <c r="B89" s="5">
        <v>68</v>
      </c>
      <c r="C89" s="52">
        <f t="shared" ca="1" si="9"/>
        <v>2.8156864672000639</v>
      </c>
      <c r="D89" s="53">
        <f t="shared" ca="1" si="10"/>
        <v>4094246335.9086595</v>
      </c>
      <c r="E89" s="53">
        <f t="shared" ca="1" si="11"/>
        <v>28787023550858.191</v>
      </c>
      <c r="F89" s="53">
        <f t="shared" ca="1" si="12"/>
        <v>1762409945514.2317</v>
      </c>
      <c r="G89" s="53">
        <f t="shared" ca="1" si="13"/>
        <v>10928235049324.775</v>
      </c>
      <c r="H89" s="53">
        <f t="shared" ca="1" si="14"/>
        <v>28787023550858.191</v>
      </c>
      <c r="I89" s="53">
        <f t="shared" ca="1" si="15"/>
        <v>11028482310491.619</v>
      </c>
      <c r="J89" s="53">
        <f t="shared" ca="1" si="16"/>
        <v>1012135550322.5883</v>
      </c>
      <c r="K89" s="54">
        <f t="shared" ca="1" si="17"/>
        <v>10.896250316448835</v>
      </c>
    </row>
    <row r="90" spans="2:11" ht="15" customHeight="1" x14ac:dyDescent="0.35">
      <c r="B90" s="5">
        <v>69</v>
      </c>
      <c r="C90" s="52">
        <f t="shared" ca="1" si="9"/>
        <v>2.9987096096459287</v>
      </c>
      <c r="D90" s="53">
        <f t="shared" ca="1" si="10"/>
        <v>4065816380.2910538</v>
      </c>
      <c r="E90" s="53">
        <f t="shared" ca="1" si="11"/>
        <v>13722062913540.639</v>
      </c>
      <c r="F90" s="53">
        <f t="shared" ca="1" si="12"/>
        <v>9086639406542.2656</v>
      </c>
      <c r="G90" s="53">
        <f t="shared" ca="1" si="13"/>
        <v>683436092350.52051</v>
      </c>
      <c r="H90" s="53">
        <f t="shared" ca="1" si="14"/>
        <v>9086639406542.2656</v>
      </c>
      <c r="I90" s="53">
        <f t="shared" ca="1" si="15"/>
        <v>30562360521161.199</v>
      </c>
      <c r="J90" s="53">
        <f t="shared" ca="1" si="16"/>
        <v>1161564774567.5002</v>
      </c>
      <c r="K90" s="54">
        <f t="shared" ca="1" si="17"/>
        <v>26.311369964314611</v>
      </c>
    </row>
    <row r="91" spans="2:11" ht="15" customHeight="1" x14ac:dyDescent="0.35">
      <c r="B91" s="5">
        <v>70</v>
      </c>
      <c r="C91" s="52">
        <f t="shared" ca="1" si="9"/>
        <v>3.7538410041218393</v>
      </c>
      <c r="D91" s="53">
        <f t="shared" ca="1" si="10"/>
        <v>12932827529.361816</v>
      </c>
      <c r="E91" s="53">
        <f t="shared" ca="1" si="11"/>
        <v>28467780937746.262</v>
      </c>
      <c r="F91" s="53">
        <f t="shared" ca="1" si="12"/>
        <v>3690598946938.6797</v>
      </c>
      <c r="G91" s="53">
        <f t="shared" ca="1" si="13"/>
        <v>10013574193276.512</v>
      </c>
      <c r="H91" s="53">
        <f t="shared" ca="1" si="14"/>
        <v>3690598946938.6797</v>
      </c>
      <c r="I91" s="53">
        <f t="shared" ca="1" si="15"/>
        <v>8501111449498.2773</v>
      </c>
      <c r="J91" s="53">
        <f t="shared" ca="1" si="16"/>
        <v>831874161432.01294</v>
      </c>
      <c r="K91" s="54">
        <f t="shared" ca="1" si="17"/>
        <v>10.219227671243221</v>
      </c>
    </row>
    <row r="92" spans="2:11" ht="15" customHeight="1" x14ac:dyDescent="0.35">
      <c r="B92" s="5">
        <v>71</v>
      </c>
      <c r="C92" s="52">
        <f t="shared" ca="1" si="9"/>
        <v>2.2721189891873594</v>
      </c>
      <c r="D92" s="53">
        <f t="shared" ca="1" si="10"/>
        <v>1086554613.4500179</v>
      </c>
      <c r="E92" s="53">
        <f t="shared" ca="1" si="11"/>
        <v>5275455635963.2822</v>
      </c>
      <c r="F92" s="53">
        <f t="shared" ca="1" si="12"/>
        <v>2527591281681.1738</v>
      </c>
      <c r="G92" s="53">
        <f t="shared" ca="1" si="13"/>
        <v>4037560270906.645</v>
      </c>
      <c r="H92" s="53">
        <f t="shared" ca="1" si="14"/>
        <v>2527591281681.1738</v>
      </c>
      <c r="I92" s="53">
        <f t="shared" ca="1" si="15"/>
        <v>30419778351469.859</v>
      </c>
      <c r="J92" s="53">
        <f t="shared" ca="1" si="16"/>
        <v>780060366460.23181</v>
      </c>
      <c r="K92" s="54">
        <f t="shared" ca="1" si="17"/>
        <v>38.996697767775501</v>
      </c>
    </row>
    <row r="93" spans="2:11" ht="15" customHeight="1" x14ac:dyDescent="0.35">
      <c r="B93" s="5">
        <v>72</v>
      </c>
      <c r="C93" s="52">
        <f t="shared" ca="1" si="9"/>
        <v>3.2162445826685699</v>
      </c>
      <c r="D93" s="53">
        <f t="shared" ca="1" si="10"/>
        <v>6281327861.3676882</v>
      </c>
      <c r="E93" s="53">
        <f t="shared" ca="1" si="11"/>
        <v>31434051506647.832</v>
      </c>
      <c r="F93" s="53">
        <f t="shared" ca="1" si="12"/>
        <v>1734447289637.7986</v>
      </c>
      <c r="G93" s="53">
        <f t="shared" ca="1" si="13"/>
        <v>5462480537613.1826</v>
      </c>
      <c r="H93" s="53">
        <f t="shared" ca="1" si="14"/>
        <v>31434051506647.832</v>
      </c>
      <c r="I93" s="53">
        <f t="shared" ca="1" si="15"/>
        <v>28026221701140.832</v>
      </c>
      <c r="J93" s="53">
        <f t="shared" ca="1" si="16"/>
        <v>1361381978488.1545</v>
      </c>
      <c r="K93" s="54">
        <f t="shared" ca="1" si="17"/>
        <v>20.586596667207676</v>
      </c>
    </row>
    <row r="94" spans="2:11" ht="15" customHeight="1" x14ac:dyDescent="0.35">
      <c r="B94" s="5">
        <v>73</v>
      </c>
      <c r="C94" s="52">
        <f t="shared" ca="1" si="9"/>
        <v>2.854959611165846</v>
      </c>
      <c r="D94" s="53">
        <f t="shared" ca="1" si="10"/>
        <v>4495409028.8624992</v>
      </c>
      <c r="E94" s="53">
        <f t="shared" ca="1" si="11"/>
        <v>5879446512564.0186</v>
      </c>
      <c r="F94" s="53">
        <f t="shared" ca="1" si="12"/>
        <v>3468313420067.2544</v>
      </c>
      <c r="G94" s="53">
        <f t="shared" ca="1" si="13"/>
        <v>3912400743612.1875</v>
      </c>
      <c r="H94" s="53">
        <f t="shared" ca="1" si="14"/>
        <v>3912400743612.1875</v>
      </c>
      <c r="I94" s="53">
        <f t="shared" ca="1" si="15"/>
        <v>2485305514883.8223</v>
      </c>
      <c r="J94" s="53">
        <f t="shared" ca="1" si="16"/>
        <v>839483979998.17761</v>
      </c>
      <c r="K94" s="54">
        <f t="shared" ca="1" si="17"/>
        <v>2.9605157145336083</v>
      </c>
    </row>
    <row r="95" spans="2:11" ht="15" customHeight="1" x14ac:dyDescent="0.35">
      <c r="B95" s="5">
        <v>74</v>
      </c>
      <c r="C95" s="52">
        <f t="shared" ca="1" si="9"/>
        <v>3.4502593187254758</v>
      </c>
      <c r="D95" s="53">
        <f t="shared" ca="1" si="10"/>
        <v>7928314479.3133144</v>
      </c>
      <c r="E95" s="53">
        <f t="shared" ca="1" si="11"/>
        <v>49318821574570.094</v>
      </c>
      <c r="F95" s="53">
        <f t="shared" ca="1" si="12"/>
        <v>7323293248868.8662</v>
      </c>
      <c r="G95" s="53">
        <f t="shared" ca="1" si="13"/>
        <v>1463445187823.6147</v>
      </c>
      <c r="H95" s="53">
        <f t="shared" ca="1" si="14"/>
        <v>49318821574570.094</v>
      </c>
      <c r="I95" s="53">
        <f t="shared" ca="1" si="15"/>
        <v>16131543154961.754</v>
      </c>
      <c r="J95" s="53">
        <f t="shared" ca="1" si="16"/>
        <v>907881697796.29639</v>
      </c>
      <c r="K95" s="54">
        <f t="shared" ca="1" si="17"/>
        <v>17.768331704579893</v>
      </c>
    </row>
    <row r="96" spans="2:11" ht="15" customHeight="1" x14ac:dyDescent="0.35">
      <c r="B96" s="5">
        <v>75</v>
      </c>
      <c r="C96" s="52">
        <f t="shared" ca="1" si="9"/>
        <v>3.7737382143466989</v>
      </c>
      <c r="D96" s="53">
        <f t="shared" ca="1" si="10"/>
        <v>15352761685.977585</v>
      </c>
      <c r="E96" s="53">
        <f t="shared" ca="1" si="11"/>
        <v>40047161401323.328</v>
      </c>
      <c r="F96" s="53">
        <f t="shared" ca="1" si="12"/>
        <v>1492249214864.3174</v>
      </c>
      <c r="G96" s="53">
        <f t="shared" ca="1" si="13"/>
        <v>709643599752.18884</v>
      </c>
      <c r="H96" s="53">
        <f t="shared" ca="1" si="14"/>
        <v>40047161401323.328</v>
      </c>
      <c r="I96" s="53">
        <f t="shared" ca="1" si="15"/>
        <v>2260832573483.751</v>
      </c>
      <c r="J96" s="53">
        <f t="shared" ca="1" si="16"/>
        <v>1263140132236.9009</v>
      </c>
      <c r="K96" s="54">
        <f t="shared" ca="1" si="17"/>
        <v>1.7898509561880769</v>
      </c>
    </row>
    <row r="97" spans="2:11" ht="15" customHeight="1" x14ac:dyDescent="0.35">
      <c r="B97" s="5">
        <v>76</v>
      </c>
      <c r="C97" s="52">
        <f t="shared" ca="1" si="9"/>
        <v>2.9683440479333063</v>
      </c>
      <c r="D97" s="53">
        <f t="shared" ca="1" si="10"/>
        <v>4658521598.7703676</v>
      </c>
      <c r="E97" s="53">
        <f t="shared" ca="1" si="11"/>
        <v>6907590965345.3125</v>
      </c>
      <c r="F97" s="53">
        <f t="shared" ca="1" si="12"/>
        <v>2300985299213.4194</v>
      </c>
      <c r="G97" s="53">
        <f t="shared" ca="1" si="13"/>
        <v>189917360699528.22</v>
      </c>
      <c r="H97" s="53">
        <f t="shared" ca="1" si="14"/>
        <v>2300985299213.4194</v>
      </c>
      <c r="I97" s="53">
        <f t="shared" ca="1" si="15"/>
        <v>1862784036853.9712</v>
      </c>
      <c r="J97" s="53">
        <f t="shared" ca="1" si="16"/>
        <v>718740519221.74573</v>
      </c>
      <c r="K97" s="54">
        <f t="shared" ca="1" si="17"/>
        <v>2.5917337161831351</v>
      </c>
    </row>
    <row r="98" spans="2:11" ht="15" customHeight="1" x14ac:dyDescent="0.35">
      <c r="B98" s="5">
        <v>77</v>
      </c>
      <c r="C98" s="52">
        <f t="shared" ca="1" si="9"/>
        <v>2.5837052832675691</v>
      </c>
      <c r="D98" s="53">
        <f t="shared" ca="1" si="10"/>
        <v>2279258754.6707611</v>
      </c>
      <c r="E98" s="53">
        <f t="shared" ca="1" si="11"/>
        <v>13969182394599.25</v>
      </c>
      <c r="F98" s="53">
        <f t="shared" ca="1" si="12"/>
        <v>2779867160382.7637</v>
      </c>
      <c r="G98" s="53">
        <f t="shared" ca="1" si="13"/>
        <v>5593231793750.9609</v>
      </c>
      <c r="H98" s="53">
        <f t="shared" ca="1" si="14"/>
        <v>13969182394599.25</v>
      </c>
      <c r="I98" s="53">
        <f t="shared" ca="1" si="15"/>
        <v>15614170638906.543</v>
      </c>
      <c r="J98" s="53">
        <f t="shared" ca="1" si="16"/>
        <v>1258323175263.0645</v>
      </c>
      <c r="K98" s="54">
        <f t="shared" ca="1" si="17"/>
        <v>12.408712599322707</v>
      </c>
    </row>
    <row r="99" spans="2:11" ht="15" customHeight="1" x14ac:dyDescent="0.35">
      <c r="B99" s="5">
        <v>78</v>
      </c>
      <c r="C99" s="52">
        <f t="shared" ca="1" si="9"/>
        <v>3.0240259877001296</v>
      </c>
      <c r="D99" s="53">
        <f t="shared" ca="1" si="10"/>
        <v>4458823505.8292322</v>
      </c>
      <c r="E99" s="53">
        <f t="shared" ca="1" si="11"/>
        <v>5789773977171.3926</v>
      </c>
      <c r="F99" s="53">
        <f t="shared" ca="1" si="12"/>
        <v>24049587670207.039</v>
      </c>
      <c r="G99" s="53">
        <f t="shared" ca="1" si="13"/>
        <v>22787812995170.344</v>
      </c>
      <c r="H99" s="53">
        <f t="shared" ca="1" si="14"/>
        <v>24049587670207.039</v>
      </c>
      <c r="I99" s="53">
        <f t="shared" ca="1" si="15"/>
        <v>61999922165475.172</v>
      </c>
      <c r="J99" s="53">
        <f t="shared" ca="1" si="16"/>
        <v>1689658606964.1746</v>
      </c>
      <c r="K99" s="54">
        <f t="shared" ca="1" si="17"/>
        <v>36.693756898543555</v>
      </c>
    </row>
    <row r="100" spans="2:11" ht="15" customHeight="1" x14ac:dyDescent="0.35">
      <c r="B100" s="5">
        <v>79</v>
      </c>
      <c r="C100" s="52">
        <f t="shared" ca="1" si="9"/>
        <v>2.6992038519104518</v>
      </c>
      <c r="D100" s="53">
        <f t="shared" ca="1" si="10"/>
        <v>3215751730.7341013</v>
      </c>
      <c r="E100" s="53">
        <f t="shared" ca="1" si="11"/>
        <v>5320335461186.2021</v>
      </c>
      <c r="F100" s="53">
        <f t="shared" ca="1" si="12"/>
        <v>3200588776125.9795</v>
      </c>
      <c r="G100" s="53">
        <f t="shared" ca="1" si="13"/>
        <v>30195353465099.898</v>
      </c>
      <c r="H100" s="53">
        <f t="shared" ca="1" si="14"/>
        <v>3200588776125.9795</v>
      </c>
      <c r="I100" s="53">
        <f t="shared" ca="1" si="15"/>
        <v>6586006204996.499</v>
      </c>
      <c r="J100" s="53">
        <f t="shared" ca="1" si="16"/>
        <v>723732333193.89697</v>
      </c>
      <c r="K100" s="54">
        <f t="shared" ca="1" si="17"/>
        <v>9.1000579951041445</v>
      </c>
    </row>
    <row r="101" spans="2:11" ht="15" customHeight="1" x14ac:dyDescent="0.35">
      <c r="B101" s="5">
        <v>80</v>
      </c>
      <c r="C101" s="52">
        <f t="shared" ca="1" si="9"/>
        <v>2.0864249917146536</v>
      </c>
      <c r="D101" s="53">
        <f t="shared" ca="1" si="10"/>
        <v>688777309.20494723</v>
      </c>
      <c r="E101" s="53">
        <f t="shared" ca="1" si="11"/>
        <v>3325505176575.8657</v>
      </c>
      <c r="F101" s="53">
        <f t="shared" ca="1" si="12"/>
        <v>6787220207874.248</v>
      </c>
      <c r="G101" s="53">
        <f t="shared" ca="1" si="13"/>
        <v>2607040851866.7417</v>
      </c>
      <c r="H101" s="53">
        <f t="shared" ca="1" si="14"/>
        <v>2607040851866.7417</v>
      </c>
      <c r="I101" s="53">
        <f t="shared" ca="1" si="15"/>
        <v>1322467899817.0879</v>
      </c>
      <c r="J101" s="53">
        <f t="shared" ca="1" si="16"/>
        <v>1713481448485.8823</v>
      </c>
      <c r="K101" s="54">
        <f t="shared" ca="1" si="17"/>
        <v>0.77180170289306982</v>
      </c>
    </row>
    <row r="102" spans="2:11" ht="15" customHeight="1" x14ac:dyDescent="0.35">
      <c r="B102" s="5">
        <v>81</v>
      </c>
      <c r="C102" s="52">
        <f t="shared" ca="1" si="9"/>
        <v>3.0746171642568778</v>
      </c>
      <c r="D102" s="53">
        <f t="shared" ca="1" si="10"/>
        <v>5987860102.1521368</v>
      </c>
      <c r="E102" s="53">
        <f t="shared" ca="1" si="11"/>
        <v>23505425057308.488</v>
      </c>
      <c r="F102" s="53">
        <f t="shared" ca="1" si="12"/>
        <v>3120553979591.8862</v>
      </c>
      <c r="G102" s="53">
        <f t="shared" ca="1" si="13"/>
        <v>21221864475887.625</v>
      </c>
      <c r="H102" s="53">
        <f t="shared" ca="1" si="14"/>
        <v>21221864475887.625</v>
      </c>
      <c r="I102" s="53">
        <f t="shared" ca="1" si="15"/>
        <v>2654251053790.8662</v>
      </c>
      <c r="J102" s="53">
        <f t="shared" ca="1" si="16"/>
        <v>757793545999.85425</v>
      </c>
      <c r="K102" s="54">
        <f t="shared" ca="1" si="17"/>
        <v>3.5026044597526522</v>
      </c>
    </row>
    <row r="103" spans="2:11" ht="15" customHeight="1" x14ac:dyDescent="0.35">
      <c r="B103" s="5">
        <v>82</v>
      </c>
      <c r="C103" s="52">
        <f t="shared" ca="1" si="9"/>
        <v>3.0005641876133216</v>
      </c>
      <c r="D103" s="53">
        <f t="shared" ca="1" si="10"/>
        <v>4595584509.8806543</v>
      </c>
      <c r="E103" s="53">
        <f t="shared" ca="1" si="11"/>
        <v>17099552579610.596</v>
      </c>
      <c r="F103" s="53">
        <f t="shared" ca="1" si="12"/>
        <v>484548659130.39508</v>
      </c>
      <c r="G103" s="53">
        <f t="shared" ca="1" si="13"/>
        <v>7713335460835.125</v>
      </c>
      <c r="H103" s="53">
        <f t="shared" ca="1" si="14"/>
        <v>7713335460835.125</v>
      </c>
      <c r="I103" s="53">
        <f t="shared" ca="1" si="15"/>
        <v>4331297676896.3213</v>
      </c>
      <c r="J103" s="53">
        <f t="shared" ca="1" si="16"/>
        <v>550459076457.85974</v>
      </c>
      <c r="K103" s="54">
        <f t="shared" ca="1" si="17"/>
        <v>7.8685189547018082</v>
      </c>
    </row>
    <row r="104" spans="2:11" ht="15" customHeight="1" x14ac:dyDescent="0.35">
      <c r="B104" s="5">
        <v>83</v>
      </c>
      <c r="C104" s="52">
        <f t="shared" ca="1" si="9"/>
        <v>3.6117680191942911</v>
      </c>
      <c r="D104" s="53">
        <f t="shared" ca="1" si="10"/>
        <v>13780280680.108973</v>
      </c>
      <c r="E104" s="53">
        <f t="shared" ca="1" si="11"/>
        <v>104483233560329.8</v>
      </c>
      <c r="F104" s="53">
        <f t="shared" ca="1" si="12"/>
        <v>2060799443572.1006</v>
      </c>
      <c r="G104" s="53">
        <f t="shared" ca="1" si="13"/>
        <v>3687247592462.855</v>
      </c>
      <c r="H104" s="53">
        <f t="shared" ca="1" si="14"/>
        <v>2060799443572.1006</v>
      </c>
      <c r="I104" s="53">
        <f t="shared" ca="1" si="15"/>
        <v>6198627343201.0713</v>
      </c>
      <c r="J104" s="53">
        <f t="shared" ca="1" si="16"/>
        <v>534542969332.10016</v>
      </c>
      <c r="K104" s="54">
        <f t="shared" ca="1" si="17"/>
        <v>11.596125473217095</v>
      </c>
    </row>
    <row r="105" spans="2:11" ht="15" customHeight="1" x14ac:dyDescent="0.35">
      <c r="B105" s="5">
        <v>84</v>
      </c>
      <c r="C105" s="52">
        <f t="shared" ca="1" si="9"/>
        <v>2.3587883418224669</v>
      </c>
      <c r="D105" s="53">
        <f t="shared" ca="1" si="10"/>
        <v>1289805253.6418047</v>
      </c>
      <c r="E105" s="53">
        <f t="shared" ca="1" si="11"/>
        <v>10300089210629.377</v>
      </c>
      <c r="F105" s="53">
        <f t="shared" ca="1" si="12"/>
        <v>2848527116846.0801</v>
      </c>
      <c r="G105" s="53">
        <f t="shared" ca="1" si="13"/>
        <v>684249452885.00293</v>
      </c>
      <c r="H105" s="53">
        <f t="shared" ca="1" si="14"/>
        <v>2848527116846.0801</v>
      </c>
      <c r="I105" s="53">
        <f t="shared" ca="1" si="15"/>
        <v>37259431527653.148</v>
      </c>
      <c r="J105" s="53">
        <f t="shared" ca="1" si="16"/>
        <v>999093566609.8302</v>
      </c>
      <c r="K105" s="54">
        <f t="shared" ca="1" si="17"/>
        <v>37.293235361412194</v>
      </c>
    </row>
    <row r="106" spans="2:11" ht="15" customHeight="1" x14ac:dyDescent="0.35">
      <c r="B106" s="5">
        <v>85</v>
      </c>
      <c r="C106" s="52">
        <f t="shared" ca="1" si="9"/>
        <v>3.4323998072672528</v>
      </c>
      <c r="D106" s="53">
        <f t="shared" ca="1" si="10"/>
        <v>10603518717.875051</v>
      </c>
      <c r="E106" s="53">
        <f t="shared" ca="1" si="11"/>
        <v>36272422799146.641</v>
      </c>
      <c r="F106" s="53">
        <f t="shared" ca="1" si="12"/>
        <v>1912050488457.7109</v>
      </c>
      <c r="G106" s="53">
        <f t="shared" ca="1" si="13"/>
        <v>2427052485985.6138</v>
      </c>
      <c r="H106" s="53">
        <f t="shared" ca="1" si="14"/>
        <v>1912050488457.7109</v>
      </c>
      <c r="I106" s="53">
        <f t="shared" ca="1" si="15"/>
        <v>41017810836493.5</v>
      </c>
      <c r="J106" s="53">
        <f t="shared" ca="1" si="16"/>
        <v>1121555170959.8328</v>
      </c>
      <c r="K106" s="54">
        <f t="shared" ca="1" si="17"/>
        <v>36.572263138326264</v>
      </c>
    </row>
    <row r="107" spans="2:11" ht="15" customHeight="1" x14ac:dyDescent="0.35">
      <c r="B107" s="5">
        <v>86</v>
      </c>
      <c r="C107" s="52">
        <f t="shared" ca="1" si="9"/>
        <v>3.3287696342986903</v>
      </c>
      <c r="D107" s="53">
        <f t="shared" ca="1" si="10"/>
        <v>6753081727.6045303</v>
      </c>
      <c r="E107" s="53">
        <f t="shared" ca="1" si="11"/>
        <v>24962778749200.48</v>
      </c>
      <c r="F107" s="53">
        <f t="shared" ca="1" si="12"/>
        <v>8417889117785.9922</v>
      </c>
      <c r="G107" s="53">
        <f t="shared" ca="1" si="13"/>
        <v>1012851919166.6644</v>
      </c>
      <c r="H107" s="53">
        <f t="shared" ca="1" si="14"/>
        <v>24962778749200.48</v>
      </c>
      <c r="I107" s="53">
        <f t="shared" ca="1" si="15"/>
        <v>2571330653637.3813</v>
      </c>
      <c r="J107" s="53">
        <f t="shared" ca="1" si="16"/>
        <v>1364663850316.0098</v>
      </c>
      <c r="K107" s="54">
        <f t="shared" ca="1" si="17"/>
        <v>1.8842227359081496</v>
      </c>
    </row>
    <row r="108" spans="2:11" ht="15" customHeight="1" x14ac:dyDescent="0.35">
      <c r="B108" s="5">
        <v>87</v>
      </c>
      <c r="C108" s="52">
        <f t="shared" ca="1" si="9"/>
        <v>2.564211296268855</v>
      </c>
      <c r="D108" s="53">
        <f t="shared" ca="1" si="10"/>
        <v>2226301329.9280691</v>
      </c>
      <c r="E108" s="53">
        <f t="shared" ca="1" si="11"/>
        <v>9550964119911.9258</v>
      </c>
      <c r="F108" s="53">
        <f t="shared" ca="1" si="12"/>
        <v>1788743194267.9438</v>
      </c>
      <c r="G108" s="53">
        <f t="shared" ca="1" si="13"/>
        <v>4558913217243.5869</v>
      </c>
      <c r="H108" s="53">
        <f t="shared" ca="1" si="14"/>
        <v>4558913217243.5869</v>
      </c>
      <c r="I108" s="53">
        <f t="shared" ca="1" si="15"/>
        <v>11077324948462.75</v>
      </c>
      <c r="J108" s="53">
        <f t="shared" ca="1" si="16"/>
        <v>492136148610.50262</v>
      </c>
      <c r="K108" s="54">
        <f t="shared" ca="1" si="17"/>
        <v>22.508659401953043</v>
      </c>
    </row>
    <row r="109" spans="2:11" ht="15" customHeight="1" x14ac:dyDescent="0.35">
      <c r="B109" s="5">
        <v>88</v>
      </c>
      <c r="C109" s="52">
        <f t="shared" ca="1" si="9"/>
        <v>3.6427411368506539</v>
      </c>
      <c r="D109" s="53">
        <f t="shared" ca="1" si="10"/>
        <v>15196920343.797298</v>
      </c>
      <c r="E109" s="53">
        <f t="shared" ca="1" si="11"/>
        <v>34874776557285.012</v>
      </c>
      <c r="F109" s="53">
        <f t="shared" ca="1" si="12"/>
        <v>7702716709693.2949</v>
      </c>
      <c r="G109" s="53">
        <f t="shared" ca="1" si="13"/>
        <v>4790078261774.877</v>
      </c>
      <c r="H109" s="53">
        <f t="shared" ca="1" si="14"/>
        <v>7702716709693.2949</v>
      </c>
      <c r="I109" s="53">
        <f t="shared" ca="1" si="15"/>
        <v>6074772741763.6172</v>
      </c>
      <c r="J109" s="53">
        <f t="shared" ca="1" si="16"/>
        <v>574708843811.65845</v>
      </c>
      <c r="K109" s="54">
        <f t="shared" ca="1" si="17"/>
        <v>10.57017445820691</v>
      </c>
    </row>
    <row r="110" spans="2:11" ht="15" customHeight="1" x14ac:dyDescent="0.35">
      <c r="B110" s="5">
        <v>89</v>
      </c>
      <c r="C110" s="52">
        <f t="shared" ca="1" si="9"/>
        <v>2.6827946351481735</v>
      </c>
      <c r="D110" s="53">
        <f t="shared" ca="1" si="10"/>
        <v>2561315622.4077058</v>
      </c>
      <c r="E110" s="53">
        <f t="shared" ca="1" si="11"/>
        <v>13252456124814.07</v>
      </c>
      <c r="F110" s="53">
        <f t="shared" ca="1" si="12"/>
        <v>357235511606.65918</v>
      </c>
      <c r="G110" s="53">
        <f t="shared" ca="1" si="13"/>
        <v>24480208694398.336</v>
      </c>
      <c r="H110" s="53">
        <f t="shared" ca="1" si="14"/>
        <v>24480208694398.336</v>
      </c>
      <c r="I110" s="53">
        <f t="shared" ca="1" si="15"/>
        <v>1170572205183.2107</v>
      </c>
      <c r="J110" s="53">
        <f t="shared" ca="1" si="16"/>
        <v>1510048333993.363</v>
      </c>
      <c r="K110" s="54">
        <f t="shared" ca="1" si="17"/>
        <v>0.77518856769809563</v>
      </c>
    </row>
    <row r="111" spans="2:11" ht="15" customHeight="1" x14ac:dyDescent="0.35">
      <c r="B111" s="5">
        <v>90</v>
      </c>
      <c r="C111" s="52">
        <f t="shared" ca="1" si="9"/>
        <v>2.6773844095445369</v>
      </c>
      <c r="D111" s="53">
        <f t="shared" ca="1" si="10"/>
        <v>2824131603.0375061</v>
      </c>
      <c r="E111" s="53">
        <f t="shared" ca="1" si="11"/>
        <v>14297712272538.955</v>
      </c>
      <c r="F111" s="53">
        <f t="shared" ca="1" si="12"/>
        <v>1984157536403.4717</v>
      </c>
      <c r="G111" s="53">
        <f t="shared" ca="1" si="13"/>
        <v>916103165639.76599</v>
      </c>
      <c r="H111" s="53">
        <f t="shared" ca="1" si="14"/>
        <v>14297712272538.955</v>
      </c>
      <c r="I111" s="53">
        <f t="shared" ca="1" si="15"/>
        <v>13128145598479.957</v>
      </c>
      <c r="J111" s="53">
        <f t="shared" ca="1" si="16"/>
        <v>1055545782342.8866</v>
      </c>
      <c r="K111" s="54">
        <f t="shared" ca="1" si="17"/>
        <v>12.437305721918342</v>
      </c>
    </row>
    <row r="112" spans="2:11" ht="15" customHeight="1" x14ac:dyDescent="0.35">
      <c r="B112" s="5">
        <v>91</v>
      </c>
      <c r="C112" s="52">
        <f t="shared" ca="1" si="9"/>
        <v>2.6551767225230627</v>
      </c>
      <c r="D112" s="53">
        <f t="shared" ca="1" si="10"/>
        <v>2635834974.9465303</v>
      </c>
      <c r="E112" s="53">
        <f t="shared" ca="1" si="11"/>
        <v>9277615295767.25</v>
      </c>
      <c r="F112" s="53">
        <f t="shared" ca="1" si="12"/>
        <v>1569538983512.7397</v>
      </c>
      <c r="G112" s="53">
        <f t="shared" ca="1" si="13"/>
        <v>9869276721106.7207</v>
      </c>
      <c r="H112" s="53">
        <f t="shared" ca="1" si="14"/>
        <v>9277615295767.25</v>
      </c>
      <c r="I112" s="53">
        <f t="shared" ca="1" si="15"/>
        <v>36367608407321.578</v>
      </c>
      <c r="J112" s="53">
        <f t="shared" ca="1" si="16"/>
        <v>1645781429304.6812</v>
      </c>
      <c r="K112" s="54">
        <f t="shared" ca="1" si="17"/>
        <v>22.097471608174828</v>
      </c>
    </row>
    <row r="113" spans="2:11" ht="15" customHeight="1" x14ac:dyDescent="0.35">
      <c r="B113" s="5">
        <v>92</v>
      </c>
      <c r="C113" s="52">
        <f t="shared" ca="1" si="9"/>
        <v>2.2665444282470086</v>
      </c>
      <c r="D113" s="53">
        <f t="shared" ca="1" si="10"/>
        <v>1136751972.7735417</v>
      </c>
      <c r="E113" s="53">
        <f t="shared" ca="1" si="11"/>
        <v>6213774427987.3281</v>
      </c>
      <c r="F113" s="53">
        <f t="shared" ca="1" si="12"/>
        <v>5019995540111.7656</v>
      </c>
      <c r="G113" s="53">
        <f t="shared" ca="1" si="13"/>
        <v>1153942902165.6172</v>
      </c>
      <c r="H113" s="53">
        <f t="shared" ca="1" si="14"/>
        <v>6213774427987.3281</v>
      </c>
      <c r="I113" s="53">
        <f t="shared" ca="1" si="15"/>
        <v>3927752367305.5098</v>
      </c>
      <c r="J113" s="53">
        <f t="shared" ca="1" si="16"/>
        <v>1382142820061.5869</v>
      </c>
      <c r="K113" s="54">
        <f t="shared" ca="1" si="17"/>
        <v>2.8417847347573626</v>
      </c>
    </row>
    <row r="114" spans="2:11" ht="15" customHeight="1" x14ac:dyDescent="0.35">
      <c r="B114" s="5">
        <v>93</v>
      </c>
      <c r="C114" s="52">
        <f t="shared" ca="1" si="9"/>
        <v>3.1246650408101613</v>
      </c>
      <c r="D114" s="53">
        <f t="shared" ca="1" si="10"/>
        <v>6371457603.2235117</v>
      </c>
      <c r="E114" s="53">
        <f t="shared" ca="1" si="11"/>
        <v>37001476814480.32</v>
      </c>
      <c r="F114" s="53">
        <f t="shared" ca="1" si="12"/>
        <v>690784511021.82336</v>
      </c>
      <c r="G114" s="53">
        <f t="shared" ca="1" si="13"/>
        <v>4839118912568.9805</v>
      </c>
      <c r="H114" s="53">
        <f t="shared" ca="1" si="14"/>
        <v>4839118912568.9805</v>
      </c>
      <c r="I114" s="53">
        <f t="shared" ca="1" si="15"/>
        <v>25034309706169.57</v>
      </c>
      <c r="J114" s="53">
        <f t="shared" ca="1" si="16"/>
        <v>1115240734084.0684</v>
      </c>
      <c r="K114" s="54">
        <f t="shared" ca="1" si="17"/>
        <v>22.447449183901895</v>
      </c>
    </row>
    <row r="115" spans="2:11" ht="15" customHeight="1" x14ac:dyDescent="0.35">
      <c r="B115" s="5">
        <v>94</v>
      </c>
      <c r="C115" s="52">
        <f t="shared" ca="1" si="9"/>
        <v>2.6546605814269824</v>
      </c>
      <c r="D115" s="53">
        <f t="shared" ca="1" si="10"/>
        <v>2838197045.3118424</v>
      </c>
      <c r="E115" s="53">
        <f t="shared" ca="1" si="11"/>
        <v>14343735765703.488</v>
      </c>
      <c r="F115" s="53">
        <f t="shared" ca="1" si="12"/>
        <v>1386086206068.9441</v>
      </c>
      <c r="G115" s="53">
        <f t="shared" ca="1" si="13"/>
        <v>4744326581823.8535</v>
      </c>
      <c r="H115" s="53">
        <f t="shared" ca="1" si="14"/>
        <v>4744326581823.8535</v>
      </c>
      <c r="I115" s="53">
        <f t="shared" ca="1" si="15"/>
        <v>3829135733988.1875</v>
      </c>
      <c r="J115" s="53">
        <f t="shared" ca="1" si="16"/>
        <v>1671595767588.7461</v>
      </c>
      <c r="K115" s="54">
        <f t="shared" ca="1" si="17"/>
        <v>2.2907067654949036</v>
      </c>
    </row>
    <row r="116" spans="2:11" ht="15" customHeight="1" x14ac:dyDescent="0.35">
      <c r="B116" s="5">
        <v>95</v>
      </c>
      <c r="C116" s="52">
        <f t="shared" ca="1" si="9"/>
        <v>3.8208832169863349</v>
      </c>
      <c r="D116" s="53">
        <f t="shared" ca="1" si="10"/>
        <v>17764361639.8876</v>
      </c>
      <c r="E116" s="53">
        <f t="shared" ca="1" si="11"/>
        <v>78164808710403.328</v>
      </c>
      <c r="F116" s="53">
        <f t="shared" ca="1" si="12"/>
        <v>1326977516750.1279</v>
      </c>
      <c r="G116" s="53">
        <f t="shared" ca="1" si="13"/>
        <v>416064055728.91345</v>
      </c>
      <c r="H116" s="53">
        <f t="shared" ca="1" si="14"/>
        <v>78164808710403.328</v>
      </c>
      <c r="I116" s="53">
        <f t="shared" ca="1" si="15"/>
        <v>13179736547851.873</v>
      </c>
      <c r="J116" s="53">
        <f t="shared" ca="1" si="16"/>
        <v>1176634407172.7815</v>
      </c>
      <c r="K116" s="54">
        <f t="shared" ca="1" si="17"/>
        <v>11.201216340018613</v>
      </c>
    </row>
    <row r="117" spans="2:11" ht="15" customHeight="1" x14ac:dyDescent="0.35">
      <c r="B117" s="5">
        <v>96</v>
      </c>
      <c r="C117" s="52">
        <f t="shared" ca="1" si="9"/>
        <v>3.3525506645451864</v>
      </c>
      <c r="D117" s="53">
        <f t="shared" ca="1" si="10"/>
        <v>9043273390.0786533</v>
      </c>
      <c r="E117" s="53">
        <f t="shared" ca="1" si="11"/>
        <v>15933631694171.799</v>
      </c>
      <c r="F117" s="53">
        <f t="shared" ca="1" si="12"/>
        <v>1744217252673.1172</v>
      </c>
      <c r="G117" s="53">
        <f t="shared" ca="1" si="13"/>
        <v>1970372961988.5552</v>
      </c>
      <c r="H117" s="53">
        <f t="shared" ca="1" si="14"/>
        <v>15933631694171.799</v>
      </c>
      <c r="I117" s="53">
        <f t="shared" ca="1" si="15"/>
        <v>34527997486665.234</v>
      </c>
      <c r="J117" s="53">
        <f t="shared" ca="1" si="16"/>
        <v>586230503322.62598</v>
      </c>
      <c r="K117" s="54">
        <f t="shared" ca="1" si="17"/>
        <v>58.898329737139427</v>
      </c>
    </row>
    <row r="118" spans="2:11" ht="15" customHeight="1" x14ac:dyDescent="0.35">
      <c r="B118" s="5">
        <v>97</v>
      </c>
      <c r="C118" s="52">
        <f t="shared" ca="1" si="9"/>
        <v>3.4939688281065631</v>
      </c>
      <c r="D118" s="53">
        <f t="shared" ca="1" si="10"/>
        <v>8676249478.7115002</v>
      </c>
      <c r="E118" s="53">
        <f t="shared" ca="1" si="11"/>
        <v>9688586965717.9121</v>
      </c>
      <c r="F118" s="53">
        <f t="shared" ca="1" si="12"/>
        <v>1279098787702.0847</v>
      </c>
      <c r="G118" s="53">
        <f t="shared" ca="1" si="13"/>
        <v>10153825401157.795</v>
      </c>
      <c r="H118" s="53">
        <f t="shared" ca="1" si="14"/>
        <v>1279098787702.0847</v>
      </c>
      <c r="I118" s="53">
        <f t="shared" ca="1" si="15"/>
        <v>70639248066965.531</v>
      </c>
      <c r="J118" s="53">
        <f t="shared" ca="1" si="16"/>
        <v>1189485718264.2522</v>
      </c>
      <c r="K118" s="54">
        <f t="shared" ca="1" si="17"/>
        <v>59.386377643983238</v>
      </c>
    </row>
    <row r="119" spans="2:11" ht="15" customHeight="1" x14ac:dyDescent="0.35">
      <c r="B119" s="5">
        <v>98</v>
      </c>
      <c r="C119" s="52">
        <f t="shared" ca="1" si="9"/>
        <v>2.7350231368180999</v>
      </c>
      <c r="D119" s="53">
        <f t="shared" ca="1" si="10"/>
        <v>2591567257.306232</v>
      </c>
      <c r="E119" s="53">
        <f t="shared" ca="1" si="11"/>
        <v>11478869481390.777</v>
      </c>
      <c r="F119" s="53">
        <f t="shared" ca="1" si="12"/>
        <v>197666395786.32703</v>
      </c>
      <c r="G119" s="53">
        <f t="shared" ca="1" si="13"/>
        <v>6868633603625.8027</v>
      </c>
      <c r="H119" s="53">
        <f t="shared" ca="1" si="14"/>
        <v>6868633603625.8027</v>
      </c>
      <c r="I119" s="53">
        <f t="shared" ca="1" si="15"/>
        <v>24055900896311.172</v>
      </c>
      <c r="J119" s="53">
        <f t="shared" ca="1" si="16"/>
        <v>887593135013.07019</v>
      </c>
      <c r="K119" s="54">
        <f t="shared" ca="1" si="17"/>
        <v>27.102396297777741</v>
      </c>
    </row>
    <row r="120" spans="2:11" ht="15" customHeight="1" x14ac:dyDescent="0.35">
      <c r="B120" s="5">
        <v>99</v>
      </c>
      <c r="C120" s="52">
        <f t="shared" ca="1" si="9"/>
        <v>2.8764931954919466</v>
      </c>
      <c r="D120" s="53">
        <f t="shared" ca="1" si="10"/>
        <v>4713287145.2621326</v>
      </c>
      <c r="E120" s="53">
        <f t="shared" ca="1" si="11"/>
        <v>9076039362509.8418</v>
      </c>
      <c r="F120" s="53">
        <f t="shared" ca="1" si="12"/>
        <v>4796016107412.3281</v>
      </c>
      <c r="G120" s="53">
        <f t="shared" ca="1" si="13"/>
        <v>1460029588936.7681</v>
      </c>
      <c r="H120" s="53">
        <f t="shared" ca="1" si="14"/>
        <v>9076039362509.8418</v>
      </c>
      <c r="I120" s="53">
        <f t="shared" ca="1" si="15"/>
        <v>12010821887746.566</v>
      </c>
      <c r="J120" s="53">
        <f t="shared" ca="1" si="16"/>
        <v>926108055694.08252</v>
      </c>
      <c r="K120" s="54">
        <f t="shared" ca="1" si="17"/>
        <v>12.969136607655265</v>
      </c>
    </row>
    <row r="121" spans="2:11" ht="15" customHeight="1" x14ac:dyDescent="0.35">
      <c r="B121" s="5">
        <v>100</v>
      </c>
      <c r="C121" s="52">
        <f t="shared" ca="1" si="9"/>
        <v>3.2670391547055386</v>
      </c>
      <c r="D121" s="53">
        <f t="shared" ca="1" si="10"/>
        <v>8044731126.4857216</v>
      </c>
      <c r="E121" s="53">
        <f t="shared" ca="1" si="11"/>
        <v>10608634104366.6</v>
      </c>
      <c r="F121" s="53">
        <f t="shared" ca="1" si="12"/>
        <v>7018511735464.3809</v>
      </c>
      <c r="G121" s="53">
        <f t="shared" ca="1" si="13"/>
        <v>3730960178207.5464</v>
      </c>
      <c r="H121" s="53">
        <f t="shared" ca="1" si="14"/>
        <v>3730960178207.5464</v>
      </c>
      <c r="I121" s="53">
        <f t="shared" ca="1" si="15"/>
        <v>1812413794328.0952</v>
      </c>
      <c r="J121" s="53">
        <f t="shared" ca="1" si="16"/>
        <v>656871172803.15637</v>
      </c>
      <c r="K121" s="54">
        <f t="shared" ca="1" si="17"/>
        <v>2.7591617190228237</v>
      </c>
    </row>
    <row r="122" spans="2:11" ht="15" customHeight="1" x14ac:dyDescent="0.35">
      <c r="B122" s="5">
        <v>101</v>
      </c>
      <c r="C122" s="52">
        <f t="shared" ca="1" si="9"/>
        <v>3.3781859954025277</v>
      </c>
      <c r="D122" s="53">
        <f t="shared" ca="1" si="10"/>
        <v>8133660384.8236027</v>
      </c>
      <c r="E122" s="53">
        <f t="shared" ca="1" si="11"/>
        <v>16590476277124.957</v>
      </c>
      <c r="F122" s="53">
        <f t="shared" ca="1" si="12"/>
        <v>21334962622419.441</v>
      </c>
      <c r="G122" s="53">
        <f t="shared" ca="1" si="13"/>
        <v>3533594280136.7188</v>
      </c>
      <c r="H122" s="53">
        <f t="shared" ca="1" si="14"/>
        <v>16590476277124.957</v>
      </c>
      <c r="I122" s="53">
        <f t="shared" ca="1" si="15"/>
        <v>16873238392212.113</v>
      </c>
      <c r="J122" s="53">
        <f t="shared" ca="1" si="16"/>
        <v>1227668292053.5083</v>
      </c>
      <c r="K122" s="54">
        <f t="shared" ca="1" si="17"/>
        <v>13.744134715728805</v>
      </c>
    </row>
    <row r="123" spans="2:11" ht="15" customHeight="1" x14ac:dyDescent="0.35">
      <c r="B123" s="5">
        <v>102</v>
      </c>
      <c r="C123" s="52">
        <f t="shared" ca="1" si="9"/>
        <v>3.0250076188266521</v>
      </c>
      <c r="D123" s="53">
        <f t="shared" ca="1" si="10"/>
        <v>4775625061.2941475</v>
      </c>
      <c r="E123" s="53">
        <f t="shared" ca="1" si="11"/>
        <v>28266475364823.988</v>
      </c>
      <c r="F123" s="53">
        <f t="shared" ca="1" si="12"/>
        <v>10588317047767.396</v>
      </c>
      <c r="G123" s="53">
        <f t="shared" ca="1" si="13"/>
        <v>2829246739928.3779</v>
      </c>
      <c r="H123" s="53">
        <f t="shared" ca="1" si="14"/>
        <v>28266475364823.988</v>
      </c>
      <c r="I123" s="53">
        <f t="shared" ca="1" si="15"/>
        <v>88754885885871.781</v>
      </c>
      <c r="J123" s="53">
        <f t="shared" ca="1" si="16"/>
        <v>1046938202428.0526</v>
      </c>
      <c r="K123" s="54">
        <f t="shared" ca="1" si="17"/>
        <v>84.775668401470114</v>
      </c>
    </row>
    <row r="124" spans="2:11" ht="15" customHeight="1" x14ac:dyDescent="0.35">
      <c r="B124" s="5">
        <v>103</v>
      </c>
      <c r="C124" s="52">
        <f t="shared" ca="1" si="9"/>
        <v>2.3046933755363046</v>
      </c>
      <c r="D124" s="53">
        <f t="shared" ca="1" si="10"/>
        <v>1067895605.348426</v>
      </c>
      <c r="E124" s="53">
        <f t="shared" ca="1" si="11"/>
        <v>2598135514514.4746</v>
      </c>
      <c r="F124" s="53">
        <f t="shared" ca="1" si="12"/>
        <v>2312767252376.6362</v>
      </c>
      <c r="G124" s="53">
        <f t="shared" ca="1" si="13"/>
        <v>30476024847505.59</v>
      </c>
      <c r="H124" s="53">
        <f t="shared" ca="1" si="14"/>
        <v>2598135514514.4746</v>
      </c>
      <c r="I124" s="53">
        <f t="shared" ca="1" si="15"/>
        <v>5459140949817.8057</v>
      </c>
      <c r="J124" s="53">
        <f t="shared" ca="1" si="16"/>
        <v>1222847369794.8765</v>
      </c>
      <c r="K124" s="54">
        <f t="shared" ca="1" si="17"/>
        <v>4.4642864552536397</v>
      </c>
    </row>
    <row r="125" spans="2:11" ht="15" customHeight="1" x14ac:dyDescent="0.35">
      <c r="B125" s="5">
        <v>104</v>
      </c>
      <c r="C125" s="52">
        <f t="shared" ca="1" si="9"/>
        <v>2.808898120701572</v>
      </c>
      <c r="D125" s="53">
        <f t="shared" ca="1" si="10"/>
        <v>3383304286.1326928</v>
      </c>
      <c r="E125" s="53">
        <f t="shared" ca="1" si="11"/>
        <v>8377211648769.1113</v>
      </c>
      <c r="F125" s="53">
        <f t="shared" ca="1" si="12"/>
        <v>2376546827639.6206</v>
      </c>
      <c r="G125" s="53">
        <f t="shared" ca="1" si="13"/>
        <v>320334058251.13361</v>
      </c>
      <c r="H125" s="53">
        <f t="shared" ca="1" si="14"/>
        <v>320334058251.13361</v>
      </c>
      <c r="I125" s="53">
        <f t="shared" ca="1" si="15"/>
        <v>30052174067957.848</v>
      </c>
      <c r="J125" s="53">
        <f t="shared" ca="1" si="16"/>
        <v>579771790194.1311</v>
      </c>
      <c r="K125" s="54">
        <f t="shared" ca="1" si="17"/>
        <v>51.834488287012313</v>
      </c>
    </row>
    <row r="126" spans="2:11" ht="15" customHeight="1" x14ac:dyDescent="0.35">
      <c r="B126" s="5">
        <v>105</v>
      </c>
      <c r="C126" s="52">
        <f t="shared" ca="1" si="9"/>
        <v>2.7605594493074834</v>
      </c>
      <c r="D126" s="53">
        <f t="shared" ca="1" si="10"/>
        <v>2822449999.482429</v>
      </c>
      <c r="E126" s="53">
        <f t="shared" ca="1" si="11"/>
        <v>19011773478184.125</v>
      </c>
      <c r="F126" s="53">
        <f t="shared" ca="1" si="12"/>
        <v>10491315851162.992</v>
      </c>
      <c r="G126" s="53">
        <f t="shared" ca="1" si="13"/>
        <v>36089108542904.477</v>
      </c>
      <c r="H126" s="53">
        <f t="shared" ca="1" si="14"/>
        <v>19011773478184.125</v>
      </c>
      <c r="I126" s="53">
        <f t="shared" ca="1" si="15"/>
        <v>70462239249751.469</v>
      </c>
      <c r="J126" s="53">
        <f t="shared" ca="1" si="16"/>
        <v>999294132169.33191</v>
      </c>
      <c r="K126" s="54">
        <f t="shared" ca="1" si="17"/>
        <v>70.512011410281687</v>
      </c>
    </row>
    <row r="127" spans="2:11" ht="15" customHeight="1" x14ac:dyDescent="0.35">
      <c r="B127" s="5">
        <v>106</v>
      </c>
      <c r="C127" s="52">
        <f t="shared" ca="1" si="9"/>
        <v>3.2635386658334138</v>
      </c>
      <c r="D127" s="53">
        <f t="shared" ca="1" si="10"/>
        <v>6586565595.1177082</v>
      </c>
      <c r="E127" s="53">
        <f t="shared" ca="1" si="11"/>
        <v>57890481775290.883</v>
      </c>
      <c r="F127" s="53">
        <f t="shared" ca="1" si="12"/>
        <v>2130916703065.48</v>
      </c>
      <c r="G127" s="53">
        <f t="shared" ca="1" si="13"/>
        <v>858069411884.39319</v>
      </c>
      <c r="H127" s="53">
        <f t="shared" ca="1" si="14"/>
        <v>858069411884.39319</v>
      </c>
      <c r="I127" s="53">
        <f t="shared" ca="1" si="15"/>
        <v>67596532333998.734</v>
      </c>
      <c r="J127" s="53">
        <f t="shared" ca="1" si="16"/>
        <v>680278779901.21497</v>
      </c>
      <c r="K127" s="54">
        <f t="shared" ca="1" si="17"/>
        <v>99.365928103496927</v>
      </c>
    </row>
    <row r="128" spans="2:11" ht="15" customHeight="1" x14ac:dyDescent="0.35">
      <c r="B128" s="5">
        <v>107</v>
      </c>
      <c r="C128" s="52">
        <f t="shared" ca="1" si="9"/>
        <v>2.7163003032117916</v>
      </c>
      <c r="D128" s="53">
        <f t="shared" ca="1" si="10"/>
        <v>2529607610.3388224</v>
      </c>
      <c r="E128" s="53">
        <f t="shared" ca="1" si="11"/>
        <v>8999410517001.1875</v>
      </c>
      <c r="F128" s="53">
        <f t="shared" ca="1" si="12"/>
        <v>199150612963.21558</v>
      </c>
      <c r="G128" s="53">
        <f t="shared" ca="1" si="13"/>
        <v>807329499830.87451</v>
      </c>
      <c r="H128" s="53">
        <f t="shared" ca="1" si="14"/>
        <v>807329499830.87451</v>
      </c>
      <c r="I128" s="53">
        <f t="shared" ca="1" si="15"/>
        <v>1391164445074.9377</v>
      </c>
      <c r="J128" s="53">
        <f t="shared" ca="1" si="16"/>
        <v>928397895194.89795</v>
      </c>
      <c r="K128" s="54">
        <f t="shared" ca="1" si="17"/>
        <v>1.4984571295079159</v>
      </c>
    </row>
    <row r="129" spans="2:11" ht="15" customHeight="1" x14ac:dyDescent="0.35">
      <c r="B129" s="5">
        <v>108</v>
      </c>
      <c r="C129" s="52">
        <f t="shared" ca="1" si="9"/>
        <v>2.847269062252912</v>
      </c>
      <c r="D129" s="53">
        <f t="shared" ca="1" si="10"/>
        <v>4486485700.0091581</v>
      </c>
      <c r="E129" s="53">
        <f t="shared" ca="1" si="11"/>
        <v>15097659425601.039</v>
      </c>
      <c r="F129" s="53">
        <f t="shared" ca="1" si="12"/>
        <v>8718966409300.5439</v>
      </c>
      <c r="G129" s="53">
        <f t="shared" ca="1" si="13"/>
        <v>92709749043643.297</v>
      </c>
      <c r="H129" s="53">
        <f t="shared" ca="1" si="14"/>
        <v>92709749043643.297</v>
      </c>
      <c r="I129" s="53">
        <f t="shared" ca="1" si="15"/>
        <v>6278892574017.6611</v>
      </c>
      <c r="J129" s="53">
        <f t="shared" ca="1" si="16"/>
        <v>1418723693801.4714</v>
      </c>
      <c r="K129" s="54">
        <f t="shared" ca="1" si="17"/>
        <v>4.4257332146144419</v>
      </c>
    </row>
    <row r="130" spans="2:11" ht="15" customHeight="1" x14ac:dyDescent="0.35">
      <c r="B130" s="5">
        <v>109</v>
      </c>
      <c r="C130" s="52">
        <f t="shared" ca="1" si="9"/>
        <v>2.5694741535560111</v>
      </c>
      <c r="D130" s="53">
        <f t="shared" ca="1" si="10"/>
        <v>2472236137.1784983</v>
      </c>
      <c r="E130" s="53">
        <f t="shared" ca="1" si="11"/>
        <v>8347486610326.0547</v>
      </c>
      <c r="F130" s="53">
        <f t="shared" ca="1" si="12"/>
        <v>4085490054333.6724</v>
      </c>
      <c r="G130" s="53">
        <f t="shared" ca="1" si="13"/>
        <v>1701116018639.1511</v>
      </c>
      <c r="H130" s="53">
        <f t="shared" ca="1" si="14"/>
        <v>1701116018639.1511</v>
      </c>
      <c r="I130" s="53">
        <f t="shared" ca="1" si="15"/>
        <v>2698141675036.21</v>
      </c>
      <c r="J130" s="53">
        <f t="shared" ca="1" si="16"/>
        <v>676639618262.45667</v>
      </c>
      <c r="K130" s="54">
        <f t="shared" ca="1" si="17"/>
        <v>3.9875608850170048</v>
      </c>
    </row>
    <row r="131" spans="2:11" ht="15" customHeight="1" x14ac:dyDescent="0.35">
      <c r="B131" s="5">
        <v>110</v>
      </c>
      <c r="C131" s="52">
        <f t="shared" ca="1" si="9"/>
        <v>3.3376688985179706</v>
      </c>
      <c r="D131" s="53">
        <f t="shared" ca="1" si="10"/>
        <v>6879357819.5762281</v>
      </c>
      <c r="E131" s="53">
        <f t="shared" ca="1" si="11"/>
        <v>28091134666498.703</v>
      </c>
      <c r="F131" s="53">
        <f t="shared" ca="1" si="12"/>
        <v>1426735301793.6863</v>
      </c>
      <c r="G131" s="53">
        <f t="shared" ca="1" si="13"/>
        <v>1956072483630.1992</v>
      </c>
      <c r="H131" s="53">
        <f t="shared" ca="1" si="14"/>
        <v>1956072483630.1992</v>
      </c>
      <c r="I131" s="53">
        <f t="shared" ca="1" si="15"/>
        <v>14222739907726.623</v>
      </c>
      <c r="J131" s="53">
        <f t="shared" ca="1" si="16"/>
        <v>1100076659674.406</v>
      </c>
      <c r="K131" s="54">
        <f t="shared" ca="1" si="17"/>
        <v>12.928862532122245</v>
      </c>
    </row>
    <row r="132" spans="2:11" ht="15" customHeight="1" x14ac:dyDescent="0.35">
      <c r="B132" s="5">
        <v>111</v>
      </c>
      <c r="C132" s="52">
        <f t="shared" ca="1" si="9"/>
        <v>3.0006063397986105</v>
      </c>
      <c r="D132" s="53">
        <f t="shared" ca="1" si="10"/>
        <v>4572187410.623889</v>
      </c>
      <c r="E132" s="53">
        <f t="shared" ca="1" si="11"/>
        <v>34047575714425.711</v>
      </c>
      <c r="F132" s="53">
        <f t="shared" ca="1" si="12"/>
        <v>9941621039074.6992</v>
      </c>
      <c r="G132" s="53">
        <f t="shared" ca="1" si="13"/>
        <v>9763493419865.6777</v>
      </c>
      <c r="H132" s="53">
        <f t="shared" ca="1" si="14"/>
        <v>34047575714425.711</v>
      </c>
      <c r="I132" s="53">
        <f t="shared" ca="1" si="15"/>
        <v>41580640894687.219</v>
      </c>
      <c r="J132" s="53">
        <f t="shared" ca="1" si="16"/>
        <v>656926807900.21741</v>
      </c>
      <c r="K132" s="54">
        <f t="shared" ca="1" si="17"/>
        <v>63.295698081791521</v>
      </c>
    </row>
    <row r="133" spans="2:11" ht="15" customHeight="1" x14ac:dyDescent="0.35">
      <c r="B133" s="5">
        <v>112</v>
      </c>
      <c r="C133" s="52">
        <f t="shared" ca="1" si="9"/>
        <v>3.1252933152919731</v>
      </c>
      <c r="D133" s="53">
        <f t="shared" ca="1" si="10"/>
        <v>6187878430.338789</v>
      </c>
      <c r="E133" s="53">
        <f t="shared" ca="1" si="11"/>
        <v>17023780387377.355</v>
      </c>
      <c r="F133" s="53">
        <f t="shared" ca="1" si="12"/>
        <v>4652036721783.7988</v>
      </c>
      <c r="G133" s="53">
        <f t="shared" ca="1" si="13"/>
        <v>369938202672655.38</v>
      </c>
      <c r="H133" s="53">
        <f t="shared" ca="1" si="14"/>
        <v>17023780387377.355</v>
      </c>
      <c r="I133" s="53">
        <f t="shared" ca="1" si="15"/>
        <v>222915523148714.47</v>
      </c>
      <c r="J133" s="53">
        <f t="shared" ca="1" si="16"/>
        <v>1434979870739.6333</v>
      </c>
      <c r="K133" s="54">
        <f t="shared" ca="1" si="17"/>
        <v>155.34400704437539</v>
      </c>
    </row>
    <row r="134" spans="2:11" ht="15" customHeight="1" x14ac:dyDescent="0.35">
      <c r="B134" s="5">
        <v>113</v>
      </c>
      <c r="C134" s="52">
        <f t="shared" ca="1" si="9"/>
        <v>2.4672328341536551</v>
      </c>
      <c r="D134" s="53">
        <f t="shared" ca="1" si="10"/>
        <v>2194056466.8607283</v>
      </c>
      <c r="E134" s="53">
        <f t="shared" ca="1" si="11"/>
        <v>1187856033416.8159</v>
      </c>
      <c r="F134" s="53">
        <f t="shared" ca="1" si="12"/>
        <v>1594726642243.4739</v>
      </c>
      <c r="G134" s="53">
        <f t="shared" ca="1" si="13"/>
        <v>16962715618761.482</v>
      </c>
      <c r="H134" s="53">
        <f t="shared" ca="1" si="14"/>
        <v>1187856033416.8159</v>
      </c>
      <c r="I134" s="53">
        <f t="shared" ca="1" si="15"/>
        <v>5040178256529.3574</v>
      </c>
      <c r="J134" s="53">
        <f t="shared" ca="1" si="16"/>
        <v>571307636574.94592</v>
      </c>
      <c r="K134" s="54">
        <f t="shared" ca="1" si="17"/>
        <v>8.8221790395552873</v>
      </c>
    </row>
    <row r="135" spans="2:11" ht="15" customHeight="1" x14ac:dyDescent="0.35">
      <c r="B135" s="5">
        <v>114</v>
      </c>
      <c r="C135" s="52">
        <f t="shared" ca="1" si="9"/>
        <v>3.024250713243513</v>
      </c>
      <c r="D135" s="53">
        <f t="shared" ca="1" si="10"/>
        <v>5663688032.1919804</v>
      </c>
      <c r="E135" s="53">
        <f t="shared" ca="1" si="11"/>
        <v>23326932805290.598</v>
      </c>
      <c r="F135" s="53">
        <f t="shared" ca="1" si="12"/>
        <v>8879867780761.25</v>
      </c>
      <c r="G135" s="53">
        <f t="shared" ca="1" si="13"/>
        <v>5565348871042.8105</v>
      </c>
      <c r="H135" s="53">
        <f t="shared" ca="1" si="14"/>
        <v>8879867780761.25</v>
      </c>
      <c r="I135" s="53">
        <f t="shared" ca="1" si="15"/>
        <v>2280953570627.5</v>
      </c>
      <c r="J135" s="53">
        <f t="shared" ca="1" si="16"/>
        <v>1206113254731.7214</v>
      </c>
      <c r="K135" s="54">
        <f t="shared" ca="1" si="17"/>
        <v>1.8911603547005689</v>
      </c>
    </row>
    <row r="136" spans="2:11" ht="15" customHeight="1" x14ac:dyDescent="0.35">
      <c r="B136" s="5">
        <v>115</v>
      </c>
      <c r="C136" s="52">
        <f t="shared" ca="1" si="9"/>
        <v>3.5820109421647612</v>
      </c>
      <c r="D136" s="53">
        <f t="shared" ca="1" si="10"/>
        <v>9459703719.7894154</v>
      </c>
      <c r="E136" s="53">
        <f t="shared" ca="1" si="11"/>
        <v>50822716633426.617</v>
      </c>
      <c r="F136" s="53">
        <f t="shared" ca="1" si="12"/>
        <v>10042841744647.805</v>
      </c>
      <c r="G136" s="53">
        <f t="shared" ca="1" si="13"/>
        <v>6937425632082.1104</v>
      </c>
      <c r="H136" s="53">
        <f t="shared" ca="1" si="14"/>
        <v>10042841744647.805</v>
      </c>
      <c r="I136" s="53">
        <f t="shared" ca="1" si="15"/>
        <v>33849863606148.941</v>
      </c>
      <c r="J136" s="53">
        <f t="shared" ca="1" si="16"/>
        <v>530256809245.31293</v>
      </c>
      <c r="K136" s="54">
        <f t="shared" ca="1" si="17"/>
        <v>63.836735362862569</v>
      </c>
    </row>
    <row r="137" spans="2:11" ht="15" customHeight="1" x14ac:dyDescent="0.35">
      <c r="B137" s="5">
        <v>116</v>
      </c>
      <c r="C137" s="52">
        <f t="shared" ca="1" si="9"/>
        <v>3.3690349103868122</v>
      </c>
      <c r="D137" s="53">
        <f t="shared" ca="1" si="10"/>
        <v>10090679451.633532</v>
      </c>
      <c r="E137" s="53">
        <f t="shared" ca="1" si="11"/>
        <v>20136179281562.305</v>
      </c>
      <c r="F137" s="53">
        <f t="shared" ca="1" si="12"/>
        <v>2908744642577.2578</v>
      </c>
      <c r="G137" s="53">
        <f t="shared" ca="1" si="13"/>
        <v>761100226274.16968</v>
      </c>
      <c r="H137" s="53">
        <f t="shared" ca="1" si="14"/>
        <v>20136179281562.305</v>
      </c>
      <c r="I137" s="53">
        <f t="shared" ca="1" si="15"/>
        <v>13691103107149.74</v>
      </c>
      <c r="J137" s="53">
        <f t="shared" ca="1" si="16"/>
        <v>864573786066.59204</v>
      </c>
      <c r="K137" s="54">
        <f t="shared" ca="1" si="17"/>
        <v>15.83566761772628</v>
      </c>
    </row>
    <row r="138" spans="2:11" ht="15" customHeight="1" x14ac:dyDescent="0.35">
      <c r="B138" s="5">
        <v>117</v>
      </c>
      <c r="C138" s="52">
        <f t="shared" ca="1" si="9"/>
        <v>2.7295141233397708</v>
      </c>
      <c r="D138" s="53">
        <f t="shared" ca="1" si="10"/>
        <v>2762549008.0395279</v>
      </c>
      <c r="E138" s="53">
        <f t="shared" ca="1" si="11"/>
        <v>16963896146865.975</v>
      </c>
      <c r="F138" s="53">
        <f t="shared" ca="1" si="12"/>
        <v>1403099129745.3179</v>
      </c>
      <c r="G138" s="53">
        <f t="shared" ca="1" si="13"/>
        <v>10889073864294.764</v>
      </c>
      <c r="H138" s="53">
        <f t="shared" ca="1" si="14"/>
        <v>16963896146865.975</v>
      </c>
      <c r="I138" s="53">
        <f t="shared" ca="1" si="15"/>
        <v>8106414668199.4141</v>
      </c>
      <c r="J138" s="53">
        <f t="shared" ca="1" si="16"/>
        <v>604597844458.86072</v>
      </c>
      <c r="K138" s="54">
        <f t="shared" ca="1" si="17"/>
        <v>13.407945037341277</v>
      </c>
    </row>
    <row r="139" spans="2:11" ht="15" customHeight="1" x14ac:dyDescent="0.35">
      <c r="B139" s="5">
        <v>118</v>
      </c>
      <c r="C139" s="52">
        <f t="shared" ca="1" si="9"/>
        <v>2.5163066627979438</v>
      </c>
      <c r="D139" s="53">
        <f t="shared" ca="1" si="10"/>
        <v>1707159813.0864666</v>
      </c>
      <c r="E139" s="53">
        <f t="shared" ca="1" si="11"/>
        <v>8310794717367.7344</v>
      </c>
      <c r="F139" s="53">
        <f t="shared" ca="1" si="12"/>
        <v>2008883336120.1528</v>
      </c>
      <c r="G139" s="53">
        <f t="shared" ca="1" si="13"/>
        <v>3362421637808.5464</v>
      </c>
      <c r="H139" s="53">
        <f t="shared" ca="1" si="14"/>
        <v>2008883336120.1528</v>
      </c>
      <c r="I139" s="53">
        <f t="shared" ca="1" si="15"/>
        <v>6144513197960.2383</v>
      </c>
      <c r="J139" s="53">
        <f t="shared" ca="1" si="16"/>
        <v>576150820379.56714</v>
      </c>
      <c r="K139" s="54">
        <f t="shared" ca="1" si="17"/>
        <v>10.664765163247088</v>
      </c>
    </row>
    <row r="140" spans="2:11" ht="15" customHeight="1" x14ac:dyDescent="0.35">
      <c r="B140" s="5">
        <v>119</v>
      </c>
      <c r="C140" s="52">
        <f t="shared" ca="1" si="9"/>
        <v>2.8621216779165208</v>
      </c>
      <c r="D140" s="53">
        <f t="shared" ca="1" si="10"/>
        <v>4226549564.0377712</v>
      </c>
      <c r="E140" s="53">
        <f t="shared" ca="1" si="11"/>
        <v>11779926387901.484</v>
      </c>
      <c r="F140" s="53">
        <f t="shared" ca="1" si="12"/>
        <v>806522513758.4585</v>
      </c>
      <c r="G140" s="53">
        <f t="shared" ca="1" si="13"/>
        <v>594138969076.3103</v>
      </c>
      <c r="H140" s="53">
        <f t="shared" ca="1" si="14"/>
        <v>11779926387901.484</v>
      </c>
      <c r="I140" s="53">
        <f t="shared" ca="1" si="15"/>
        <v>4764666105179.5332</v>
      </c>
      <c r="J140" s="53">
        <f t="shared" ca="1" si="16"/>
        <v>1235208535960.0588</v>
      </c>
      <c r="K140" s="54">
        <f t="shared" ca="1" si="17"/>
        <v>3.8573778973088326</v>
      </c>
    </row>
    <row r="141" spans="2:11" ht="15" customHeight="1" x14ac:dyDescent="0.35">
      <c r="B141" s="5">
        <v>120</v>
      </c>
      <c r="C141" s="52">
        <f t="shared" ca="1" si="9"/>
        <v>3.1004622842985876</v>
      </c>
      <c r="D141" s="53">
        <f t="shared" ca="1" si="10"/>
        <v>5542883457.5666256</v>
      </c>
      <c r="E141" s="53">
        <f t="shared" ca="1" si="11"/>
        <v>30201102852202.816</v>
      </c>
      <c r="F141" s="53">
        <f t="shared" ca="1" si="12"/>
        <v>9908148517286.0527</v>
      </c>
      <c r="G141" s="53">
        <f t="shared" ca="1" si="13"/>
        <v>1104585134467.3052</v>
      </c>
      <c r="H141" s="53">
        <f t="shared" ca="1" si="14"/>
        <v>30201102852202.816</v>
      </c>
      <c r="I141" s="53">
        <f t="shared" ca="1" si="15"/>
        <v>34096500450933.801</v>
      </c>
      <c r="J141" s="53">
        <f t="shared" ca="1" si="16"/>
        <v>1592858986158.043</v>
      </c>
      <c r="K141" s="54">
        <f t="shared" ca="1" si="17"/>
        <v>21.40584995108334</v>
      </c>
    </row>
    <row r="142" spans="2:11" ht="15" customHeight="1" x14ac:dyDescent="0.35">
      <c r="B142" s="5">
        <v>121</v>
      </c>
      <c r="C142" s="52">
        <f t="shared" ca="1" si="9"/>
        <v>3.1300975849321997</v>
      </c>
      <c r="D142" s="53">
        <f t="shared" ca="1" si="10"/>
        <v>5655069759.2271605</v>
      </c>
      <c r="E142" s="53">
        <f t="shared" ca="1" si="11"/>
        <v>15750926706305.482</v>
      </c>
      <c r="F142" s="53">
        <f t="shared" ca="1" si="12"/>
        <v>2517753427006.7378</v>
      </c>
      <c r="G142" s="53">
        <f t="shared" ca="1" si="13"/>
        <v>12238276105306.273</v>
      </c>
      <c r="H142" s="53">
        <f t="shared" ca="1" si="14"/>
        <v>2517753427006.7378</v>
      </c>
      <c r="I142" s="53">
        <f t="shared" ca="1" si="15"/>
        <v>1664666120629.2715</v>
      </c>
      <c r="J142" s="53">
        <f t="shared" ca="1" si="16"/>
        <v>842505486376.1709</v>
      </c>
      <c r="K142" s="54">
        <f t="shared" ca="1" si="17"/>
        <v>1.9758519648215247</v>
      </c>
    </row>
    <row r="143" spans="2:11" ht="15" customHeight="1" x14ac:dyDescent="0.35">
      <c r="B143" s="5">
        <v>122</v>
      </c>
      <c r="C143" s="52">
        <f t="shared" ca="1" si="9"/>
        <v>3.2510835463016678</v>
      </c>
      <c r="D143" s="53">
        <f t="shared" ca="1" si="10"/>
        <v>7347567413.9167557</v>
      </c>
      <c r="E143" s="53">
        <f t="shared" ca="1" si="11"/>
        <v>32675430264244.902</v>
      </c>
      <c r="F143" s="53">
        <f t="shared" ca="1" si="12"/>
        <v>6072618106309.7295</v>
      </c>
      <c r="G143" s="53">
        <f t="shared" ca="1" si="13"/>
        <v>7064827025743.3291</v>
      </c>
      <c r="H143" s="53">
        <f t="shared" ca="1" si="14"/>
        <v>6072618106309.7295</v>
      </c>
      <c r="I143" s="53">
        <f t="shared" ca="1" si="15"/>
        <v>18037638733568.898</v>
      </c>
      <c r="J143" s="53">
        <f t="shared" ca="1" si="16"/>
        <v>1713524394665.9414</v>
      </c>
      <c r="K143" s="54">
        <f t="shared" ca="1" si="17"/>
        <v>10.526630837424062</v>
      </c>
    </row>
    <row r="144" spans="2:11" ht="15" customHeight="1" x14ac:dyDescent="0.35">
      <c r="B144" s="5">
        <v>123</v>
      </c>
      <c r="C144" s="52">
        <f t="shared" ca="1" si="9"/>
        <v>3.1574645307561782</v>
      </c>
      <c r="D144" s="53">
        <f t="shared" ca="1" si="10"/>
        <v>5494248703.1620626</v>
      </c>
      <c r="E144" s="53">
        <f t="shared" ca="1" si="11"/>
        <v>24380258193081.465</v>
      </c>
      <c r="F144" s="53">
        <f t="shared" ca="1" si="12"/>
        <v>18150737608010.57</v>
      </c>
      <c r="G144" s="53">
        <f t="shared" ca="1" si="13"/>
        <v>6496250059272.4678</v>
      </c>
      <c r="H144" s="53">
        <f t="shared" ca="1" si="14"/>
        <v>18150737608010.57</v>
      </c>
      <c r="I144" s="53">
        <f t="shared" ca="1" si="15"/>
        <v>5824836925620.3701</v>
      </c>
      <c r="J144" s="53">
        <f t="shared" ca="1" si="16"/>
        <v>1018061728029.2327</v>
      </c>
      <c r="K144" s="54">
        <f t="shared" ca="1" si="17"/>
        <v>5.7214968063833505</v>
      </c>
    </row>
    <row r="145" spans="2:11" ht="15" customHeight="1" x14ac:dyDescent="0.35">
      <c r="B145" s="5">
        <v>124</v>
      </c>
      <c r="C145" s="52">
        <f t="shared" ca="1" si="9"/>
        <v>2.6748367968255411</v>
      </c>
      <c r="D145" s="53">
        <f t="shared" ca="1" si="10"/>
        <v>2659660727.316421</v>
      </c>
      <c r="E145" s="53">
        <f t="shared" ca="1" si="11"/>
        <v>22349806510953.82</v>
      </c>
      <c r="F145" s="53">
        <f t="shared" ca="1" si="12"/>
        <v>4592724249049.9727</v>
      </c>
      <c r="G145" s="53">
        <f t="shared" ca="1" si="13"/>
        <v>7577902001583.8418</v>
      </c>
      <c r="H145" s="53">
        <f t="shared" ca="1" si="14"/>
        <v>4592724249049.9727</v>
      </c>
      <c r="I145" s="53">
        <f t="shared" ca="1" si="15"/>
        <v>37394135751245.844</v>
      </c>
      <c r="J145" s="53">
        <f t="shared" ca="1" si="16"/>
        <v>950306986002.71338</v>
      </c>
      <c r="K145" s="54">
        <f t="shared" ca="1" si="17"/>
        <v>39.349532626859038</v>
      </c>
    </row>
    <row r="146" spans="2:11" ht="15" customHeight="1" x14ac:dyDescent="0.35">
      <c r="B146" s="5">
        <v>125</v>
      </c>
      <c r="C146" s="52">
        <f t="shared" ca="1" si="9"/>
        <v>3.7307341024272387</v>
      </c>
      <c r="D146" s="53">
        <f t="shared" ca="1" si="10"/>
        <v>15116155578.938593</v>
      </c>
      <c r="E146" s="53">
        <f t="shared" ca="1" si="11"/>
        <v>23001270110474.668</v>
      </c>
      <c r="F146" s="53">
        <f t="shared" ca="1" si="12"/>
        <v>6304155328687.9141</v>
      </c>
      <c r="G146" s="53">
        <f t="shared" ca="1" si="13"/>
        <v>34408194192159.074</v>
      </c>
      <c r="H146" s="53">
        <f t="shared" ca="1" si="14"/>
        <v>23001270110474.668</v>
      </c>
      <c r="I146" s="53">
        <f t="shared" ca="1" si="15"/>
        <v>5298189769842.3477</v>
      </c>
      <c r="J146" s="53">
        <f t="shared" ca="1" si="16"/>
        <v>442303628997.88043</v>
      </c>
      <c r="K146" s="54">
        <f t="shared" ca="1" si="17"/>
        <v>11.978626044390284</v>
      </c>
    </row>
    <row r="147" spans="2:11" ht="15" customHeight="1" x14ac:dyDescent="0.35">
      <c r="B147" s="5">
        <v>126</v>
      </c>
      <c r="C147" s="52">
        <f t="shared" ca="1" si="9"/>
        <v>3.3169793380447059</v>
      </c>
      <c r="D147" s="53">
        <f t="shared" ca="1" si="10"/>
        <v>7067633839.4557838</v>
      </c>
      <c r="E147" s="53">
        <f t="shared" ca="1" si="11"/>
        <v>20631896976232.535</v>
      </c>
      <c r="F147" s="53">
        <f t="shared" ca="1" si="12"/>
        <v>3930693219009.0205</v>
      </c>
      <c r="G147" s="53">
        <f t="shared" ca="1" si="13"/>
        <v>468704531682.0564</v>
      </c>
      <c r="H147" s="53">
        <f t="shared" ca="1" si="14"/>
        <v>20631896976232.535</v>
      </c>
      <c r="I147" s="53">
        <f t="shared" ca="1" si="15"/>
        <v>1077044425810.0509</v>
      </c>
      <c r="J147" s="53">
        <f t="shared" ca="1" si="16"/>
        <v>729689397788.12036</v>
      </c>
      <c r="K147" s="54">
        <f t="shared" ca="1" si="17"/>
        <v>1.4760313485091803</v>
      </c>
    </row>
    <row r="148" spans="2:11" ht="15" customHeight="1" x14ac:dyDescent="0.35">
      <c r="B148" s="5">
        <v>127</v>
      </c>
      <c r="C148" s="52">
        <f t="shared" ca="1" si="9"/>
        <v>3.1064742775463383</v>
      </c>
      <c r="D148" s="53">
        <f t="shared" ca="1" si="10"/>
        <v>4758304328.2780285</v>
      </c>
      <c r="E148" s="53">
        <f t="shared" ca="1" si="11"/>
        <v>76490123217821.766</v>
      </c>
      <c r="F148" s="53">
        <f t="shared" ca="1" si="12"/>
        <v>1108613989471.1812</v>
      </c>
      <c r="G148" s="53">
        <f t="shared" ca="1" si="13"/>
        <v>5496244460801.1992</v>
      </c>
      <c r="H148" s="53">
        <f t="shared" ca="1" si="14"/>
        <v>5496244460801.1992</v>
      </c>
      <c r="I148" s="53">
        <f t="shared" ca="1" si="15"/>
        <v>6030122534417.291</v>
      </c>
      <c r="J148" s="53">
        <f t="shared" ca="1" si="16"/>
        <v>1405051135211.1472</v>
      </c>
      <c r="K148" s="54">
        <f t="shared" ca="1" si="17"/>
        <v>4.2917459609120208</v>
      </c>
    </row>
    <row r="149" spans="2:11" ht="15" customHeight="1" x14ac:dyDescent="0.35">
      <c r="B149" s="5">
        <v>128</v>
      </c>
      <c r="C149" s="52">
        <f t="shared" ca="1" si="9"/>
        <v>2.1088558442062331</v>
      </c>
      <c r="D149" s="53">
        <f t="shared" ca="1" si="10"/>
        <v>861870420.05081654</v>
      </c>
      <c r="E149" s="53">
        <f t="shared" ca="1" si="11"/>
        <v>2786589749545.4839</v>
      </c>
      <c r="F149" s="53">
        <f t="shared" ca="1" si="12"/>
        <v>1770281531647.99</v>
      </c>
      <c r="G149" s="53">
        <f t="shared" ca="1" si="13"/>
        <v>508948122506.16949</v>
      </c>
      <c r="H149" s="53">
        <f t="shared" ca="1" si="14"/>
        <v>508948122506.16949</v>
      </c>
      <c r="I149" s="53">
        <f t="shared" ca="1" si="15"/>
        <v>3315579722154.4917</v>
      </c>
      <c r="J149" s="53">
        <f t="shared" ca="1" si="16"/>
        <v>809858938422.61304</v>
      </c>
      <c r="K149" s="54">
        <f t="shared" ca="1" si="17"/>
        <v>4.0940212731520225</v>
      </c>
    </row>
    <row r="150" spans="2:11" ht="15" customHeight="1" x14ac:dyDescent="0.35">
      <c r="B150" s="5">
        <v>129</v>
      </c>
      <c r="C150" s="52">
        <f t="shared" ref="C150:C213" ca="1" si="18">MEDIAN(1.8,NORMINV(RAND(),$C$7,$D$7),4.5)</f>
        <v>2.6347260839087081</v>
      </c>
      <c r="D150" s="53">
        <f t="shared" ref="D150:D213" ca="1" si="19">($C$8+RAND()*($D$8-$C$8))*C150^5</f>
        <v>2524506819.4395466</v>
      </c>
      <c r="E150" s="53">
        <f t="shared" ref="E150:E213" ca="1" si="20">D150*($C$10+RAND()*($D$10-$C$10))*EXP(NORMINV(RAND(),$C$9,$D$9))*($C$11+RAND()*($D$11-$C$11))</f>
        <v>25007801543272.605</v>
      </c>
      <c r="F150" s="53">
        <f t="shared" ref="F150:F213" ca="1" si="21">EXP(NORMINV(RAND(),$C$12,$D$12))*EXP(NORMINV(RAND(),$C$13,$D$13))</f>
        <v>1085690817647.2046</v>
      </c>
      <c r="G150" s="53">
        <f t="shared" ref="G150:G213" ca="1" si="22">EXP(NORMINV(RAND(),$C$14,$D$14))*($C$15+RAND()*($D$15-$C$15))*EXP(NORMINV(RAND(),$C$16,$D$16))/1000000*31536000</f>
        <v>4151920278099.3604</v>
      </c>
      <c r="H150" s="53">
        <f t="shared" ref="H150:H213" ca="1" si="23">CHOOSE(RANDBETWEEN(1,3),E150,F150,G150)</f>
        <v>25007801543272.605</v>
      </c>
      <c r="I150" s="53">
        <f t="shared" ref="I150:I213" ca="1" si="24">EXP(NORMINV(RAND(),$C$14,$D$14))*($C$15+RAND()*($D$15-$C$15))*60</f>
        <v>51080093672151.672</v>
      </c>
      <c r="J150" s="53">
        <f t="shared" ref="J150:J213" ca="1" si="25">($C$17+RAND()*($D$17-$C$17))*($C$18+RAND()*($D$18-$C$18))</f>
        <v>1396375217091.4746</v>
      </c>
      <c r="K150" s="54">
        <f t="shared" ref="K150:K213" ca="1" si="26">I150/J150</f>
        <v>36.580492869636402</v>
      </c>
    </row>
    <row r="151" spans="2:11" ht="15" customHeight="1" x14ac:dyDescent="0.35">
      <c r="B151" s="5">
        <v>130</v>
      </c>
      <c r="C151" s="52">
        <f t="shared" ca="1" si="18"/>
        <v>3.0998958780531174</v>
      </c>
      <c r="D151" s="53">
        <f t="shared" ca="1" si="19"/>
        <v>4613911951.2697477</v>
      </c>
      <c r="E151" s="53">
        <f t="shared" ca="1" si="20"/>
        <v>18958951525383.398</v>
      </c>
      <c r="F151" s="53">
        <f t="shared" ca="1" si="21"/>
        <v>7122002614884.0811</v>
      </c>
      <c r="G151" s="53">
        <f t="shared" ca="1" si="22"/>
        <v>16758529553745.674</v>
      </c>
      <c r="H151" s="53">
        <f t="shared" ca="1" si="23"/>
        <v>7122002614884.0811</v>
      </c>
      <c r="I151" s="53">
        <f t="shared" ca="1" si="24"/>
        <v>10342589437608.451</v>
      </c>
      <c r="J151" s="53">
        <f t="shared" ca="1" si="25"/>
        <v>1377479275369.5522</v>
      </c>
      <c r="K151" s="54">
        <f t="shared" ca="1" si="26"/>
        <v>7.5083448604580463</v>
      </c>
    </row>
    <row r="152" spans="2:11" ht="15" customHeight="1" x14ac:dyDescent="0.35">
      <c r="B152" s="5">
        <v>131</v>
      </c>
      <c r="C152" s="52">
        <f t="shared" ca="1" si="18"/>
        <v>3.4810466622510292</v>
      </c>
      <c r="D152" s="53">
        <f t="shared" ca="1" si="19"/>
        <v>10449264325.064299</v>
      </c>
      <c r="E152" s="53">
        <f t="shared" ca="1" si="20"/>
        <v>13179727182964.268</v>
      </c>
      <c r="F152" s="53">
        <f t="shared" ca="1" si="21"/>
        <v>1928905809195.1265</v>
      </c>
      <c r="G152" s="53">
        <f t="shared" ca="1" si="22"/>
        <v>6607083704987.168</v>
      </c>
      <c r="H152" s="53">
        <f t="shared" ca="1" si="23"/>
        <v>13179727182964.268</v>
      </c>
      <c r="I152" s="53">
        <f t="shared" ca="1" si="24"/>
        <v>477183519837.74493</v>
      </c>
      <c r="J152" s="53">
        <f t="shared" ca="1" si="25"/>
        <v>969383463408.96143</v>
      </c>
      <c r="K152" s="54">
        <f t="shared" ca="1" si="26"/>
        <v>0.49225465241553412</v>
      </c>
    </row>
    <row r="153" spans="2:11" ht="15" customHeight="1" x14ac:dyDescent="0.35">
      <c r="B153" s="5">
        <v>132</v>
      </c>
      <c r="C153" s="52">
        <f t="shared" ca="1" si="18"/>
        <v>2.4279764856381245</v>
      </c>
      <c r="D153" s="53">
        <f t="shared" ca="1" si="19"/>
        <v>1967637722.3639436</v>
      </c>
      <c r="E153" s="53">
        <f t="shared" ca="1" si="20"/>
        <v>30584146888798.668</v>
      </c>
      <c r="F153" s="53">
        <f t="shared" ca="1" si="21"/>
        <v>831849626280.50024</v>
      </c>
      <c r="G153" s="53">
        <f t="shared" ca="1" si="22"/>
        <v>6724918979948.2559</v>
      </c>
      <c r="H153" s="53">
        <f t="shared" ca="1" si="23"/>
        <v>6724918979948.2559</v>
      </c>
      <c r="I153" s="53">
        <f t="shared" ca="1" si="24"/>
        <v>4402436675524.5732</v>
      </c>
      <c r="J153" s="53">
        <f t="shared" ca="1" si="25"/>
        <v>1096658087081.4041</v>
      </c>
      <c r="K153" s="54">
        <f t="shared" ca="1" si="26"/>
        <v>4.0144113533517247</v>
      </c>
    </row>
    <row r="154" spans="2:11" ht="15" customHeight="1" x14ac:dyDescent="0.35">
      <c r="B154" s="5">
        <v>133</v>
      </c>
      <c r="C154" s="52">
        <f t="shared" ca="1" si="18"/>
        <v>3.4261524152691543</v>
      </c>
      <c r="D154" s="53">
        <f t="shared" ca="1" si="19"/>
        <v>10281353214.472982</v>
      </c>
      <c r="E154" s="53">
        <f t="shared" ca="1" si="20"/>
        <v>67920657328823.969</v>
      </c>
      <c r="F154" s="53">
        <f t="shared" ca="1" si="21"/>
        <v>1223239056691.3455</v>
      </c>
      <c r="G154" s="53">
        <f t="shared" ca="1" si="22"/>
        <v>295688824210.14471</v>
      </c>
      <c r="H154" s="53">
        <f t="shared" ca="1" si="23"/>
        <v>1223239056691.3455</v>
      </c>
      <c r="I154" s="53">
        <f t="shared" ca="1" si="24"/>
        <v>2809224115894.103</v>
      </c>
      <c r="J154" s="53">
        <f t="shared" ca="1" si="25"/>
        <v>1193755523840.4065</v>
      </c>
      <c r="K154" s="54">
        <f t="shared" ca="1" si="26"/>
        <v>2.3532658570295912</v>
      </c>
    </row>
    <row r="155" spans="2:11" ht="15" customHeight="1" x14ac:dyDescent="0.35">
      <c r="B155" s="5">
        <v>134</v>
      </c>
      <c r="C155" s="52">
        <f t="shared" ca="1" si="18"/>
        <v>2.733576507714079</v>
      </c>
      <c r="D155" s="53">
        <f t="shared" ca="1" si="19"/>
        <v>3041932389.982831</v>
      </c>
      <c r="E155" s="53">
        <f t="shared" ca="1" si="20"/>
        <v>47891475250330.133</v>
      </c>
      <c r="F155" s="53">
        <f t="shared" ca="1" si="21"/>
        <v>3359518582518.1733</v>
      </c>
      <c r="G155" s="53">
        <f t="shared" ca="1" si="22"/>
        <v>3710893061097.5576</v>
      </c>
      <c r="H155" s="53">
        <f t="shared" ca="1" si="23"/>
        <v>47891475250330.133</v>
      </c>
      <c r="I155" s="53">
        <f t="shared" ca="1" si="24"/>
        <v>6231883951952.498</v>
      </c>
      <c r="J155" s="53">
        <f t="shared" ca="1" si="25"/>
        <v>744060154818.27417</v>
      </c>
      <c r="K155" s="54">
        <f t="shared" ca="1" si="26"/>
        <v>8.3755109201816413</v>
      </c>
    </row>
    <row r="156" spans="2:11" ht="15" customHeight="1" x14ac:dyDescent="0.35">
      <c r="B156" s="5">
        <v>135</v>
      </c>
      <c r="C156" s="52">
        <f t="shared" ca="1" si="18"/>
        <v>3.1908677218687957</v>
      </c>
      <c r="D156" s="53">
        <f t="shared" ca="1" si="19"/>
        <v>6923227804.6135759</v>
      </c>
      <c r="E156" s="53">
        <f t="shared" ca="1" si="20"/>
        <v>65203395109080.43</v>
      </c>
      <c r="F156" s="53">
        <f t="shared" ca="1" si="21"/>
        <v>1612515844622.7129</v>
      </c>
      <c r="G156" s="53">
        <f t="shared" ca="1" si="22"/>
        <v>3322116297311.1982</v>
      </c>
      <c r="H156" s="53">
        <f t="shared" ca="1" si="23"/>
        <v>1612515844622.7129</v>
      </c>
      <c r="I156" s="53">
        <f t="shared" ca="1" si="24"/>
        <v>9273259328433.957</v>
      </c>
      <c r="J156" s="53">
        <f t="shared" ca="1" si="25"/>
        <v>903740663704.48767</v>
      </c>
      <c r="K156" s="54">
        <f t="shared" ca="1" si="26"/>
        <v>10.260973862150129</v>
      </c>
    </row>
    <row r="157" spans="2:11" ht="15" customHeight="1" x14ac:dyDescent="0.35">
      <c r="B157" s="5">
        <v>136</v>
      </c>
      <c r="C157" s="52">
        <f t="shared" ca="1" si="18"/>
        <v>3.1638023321025548</v>
      </c>
      <c r="D157" s="53">
        <f t="shared" ca="1" si="19"/>
        <v>5521117466.8167458</v>
      </c>
      <c r="E157" s="53">
        <f t="shared" ca="1" si="20"/>
        <v>22461813231016.148</v>
      </c>
      <c r="F157" s="53">
        <f t="shared" ca="1" si="21"/>
        <v>5638319870950.2441</v>
      </c>
      <c r="G157" s="53">
        <f t="shared" ca="1" si="22"/>
        <v>4018913704128.4092</v>
      </c>
      <c r="H157" s="53">
        <f t="shared" ca="1" si="23"/>
        <v>22461813231016.148</v>
      </c>
      <c r="I157" s="53">
        <f t="shared" ca="1" si="24"/>
        <v>1379417846754.1289</v>
      </c>
      <c r="J157" s="53">
        <f t="shared" ca="1" si="25"/>
        <v>949517808692.72119</v>
      </c>
      <c r="K157" s="54">
        <f t="shared" ca="1" si="26"/>
        <v>1.452756161207009</v>
      </c>
    </row>
    <row r="158" spans="2:11" ht="15" customHeight="1" x14ac:dyDescent="0.35">
      <c r="B158" s="5">
        <v>137</v>
      </c>
      <c r="C158" s="52">
        <f t="shared" ca="1" si="18"/>
        <v>2.8225686518092079</v>
      </c>
      <c r="D158" s="53">
        <f t="shared" ca="1" si="19"/>
        <v>4244672407.4837928</v>
      </c>
      <c r="E158" s="53">
        <f t="shared" ca="1" si="20"/>
        <v>10275463386966.389</v>
      </c>
      <c r="F158" s="53">
        <f t="shared" ca="1" si="21"/>
        <v>2854499372075.2153</v>
      </c>
      <c r="G158" s="53">
        <f t="shared" ca="1" si="22"/>
        <v>109009160564.16512</v>
      </c>
      <c r="H158" s="53">
        <f t="shared" ca="1" si="23"/>
        <v>109009160564.16512</v>
      </c>
      <c r="I158" s="53">
        <f t="shared" ca="1" si="24"/>
        <v>2933376903643.4648</v>
      </c>
      <c r="J158" s="53">
        <f t="shared" ca="1" si="25"/>
        <v>646327295491.76563</v>
      </c>
      <c r="K158" s="54">
        <f t="shared" ca="1" si="26"/>
        <v>4.5385316759855714</v>
      </c>
    </row>
    <row r="159" spans="2:11" ht="15" customHeight="1" x14ac:dyDescent="0.35">
      <c r="B159" s="5">
        <v>138</v>
      </c>
      <c r="C159" s="52">
        <f t="shared" ca="1" si="18"/>
        <v>2.5691124359331745</v>
      </c>
      <c r="D159" s="53">
        <f t="shared" ca="1" si="19"/>
        <v>2373457882.1398635</v>
      </c>
      <c r="E159" s="53">
        <f t="shared" ca="1" si="20"/>
        <v>4420281661230.8906</v>
      </c>
      <c r="F159" s="53">
        <f t="shared" ca="1" si="21"/>
        <v>1111069161451.0337</v>
      </c>
      <c r="G159" s="53">
        <f t="shared" ca="1" si="22"/>
        <v>1047038780152.6014</v>
      </c>
      <c r="H159" s="53">
        <f t="shared" ca="1" si="23"/>
        <v>1047038780152.6014</v>
      </c>
      <c r="I159" s="53">
        <f t="shared" ca="1" si="24"/>
        <v>3801106153923.019</v>
      </c>
      <c r="J159" s="53">
        <f t="shared" ca="1" si="25"/>
        <v>1262694437912.6111</v>
      </c>
      <c r="K159" s="54">
        <f t="shared" ca="1" si="26"/>
        <v>3.0103135325492634</v>
      </c>
    </row>
    <row r="160" spans="2:11" ht="15" customHeight="1" x14ac:dyDescent="0.35">
      <c r="B160" s="5">
        <v>139</v>
      </c>
      <c r="C160" s="52">
        <f t="shared" ca="1" si="18"/>
        <v>2.8335763450081943</v>
      </c>
      <c r="D160" s="53">
        <f t="shared" ca="1" si="19"/>
        <v>4357683091.7984982</v>
      </c>
      <c r="E160" s="53">
        <f t="shared" ca="1" si="20"/>
        <v>25568142846940.75</v>
      </c>
      <c r="F160" s="53">
        <f t="shared" ca="1" si="21"/>
        <v>6316182213841.7344</v>
      </c>
      <c r="G160" s="53">
        <f t="shared" ca="1" si="22"/>
        <v>21658580969964.961</v>
      </c>
      <c r="H160" s="53">
        <f t="shared" ca="1" si="23"/>
        <v>25568142846940.75</v>
      </c>
      <c r="I160" s="53">
        <f t="shared" ca="1" si="24"/>
        <v>16396349125991.398</v>
      </c>
      <c r="J160" s="53">
        <f t="shared" ca="1" si="25"/>
        <v>1397551742732.3433</v>
      </c>
      <c r="K160" s="54">
        <f t="shared" ca="1" si="26"/>
        <v>11.732194683493447</v>
      </c>
    </row>
    <row r="161" spans="2:11" ht="15" customHeight="1" x14ac:dyDescent="0.35">
      <c r="B161" s="5">
        <v>140</v>
      </c>
      <c r="C161" s="52">
        <f t="shared" ca="1" si="18"/>
        <v>3.2212033121205845</v>
      </c>
      <c r="D161" s="53">
        <f t="shared" ca="1" si="19"/>
        <v>6079202817.383831</v>
      </c>
      <c r="E161" s="53">
        <f t="shared" ca="1" si="20"/>
        <v>14485104745325.979</v>
      </c>
      <c r="F161" s="53">
        <f t="shared" ca="1" si="21"/>
        <v>252917514620.09738</v>
      </c>
      <c r="G161" s="53">
        <f t="shared" ca="1" si="22"/>
        <v>11554532078799</v>
      </c>
      <c r="H161" s="53">
        <f t="shared" ca="1" si="23"/>
        <v>252917514620.09738</v>
      </c>
      <c r="I161" s="53">
        <f t="shared" ca="1" si="24"/>
        <v>1041034797719.4188</v>
      </c>
      <c r="J161" s="53">
        <f t="shared" ca="1" si="25"/>
        <v>1771841197499.719</v>
      </c>
      <c r="K161" s="54">
        <f t="shared" ca="1" si="26"/>
        <v>0.58754407516229112</v>
      </c>
    </row>
    <row r="162" spans="2:11" ht="15" customHeight="1" x14ac:dyDescent="0.35">
      <c r="B162" s="5">
        <v>141</v>
      </c>
      <c r="C162" s="52">
        <f t="shared" ca="1" si="18"/>
        <v>3.2199545894157837</v>
      </c>
      <c r="D162" s="53">
        <f t="shared" ca="1" si="19"/>
        <v>8049660787.7987089</v>
      </c>
      <c r="E162" s="53">
        <f t="shared" ca="1" si="20"/>
        <v>31885816720319.621</v>
      </c>
      <c r="F162" s="53">
        <f t="shared" ca="1" si="21"/>
        <v>676164417172.71301</v>
      </c>
      <c r="G162" s="53">
        <f t="shared" ca="1" si="22"/>
        <v>3670240703858.3628</v>
      </c>
      <c r="H162" s="53">
        <f t="shared" ca="1" si="23"/>
        <v>676164417172.71301</v>
      </c>
      <c r="I162" s="53">
        <f t="shared" ca="1" si="24"/>
        <v>14698623620447.701</v>
      </c>
      <c r="J162" s="53">
        <f t="shared" ca="1" si="25"/>
        <v>822161124425.81299</v>
      </c>
      <c r="K162" s="54">
        <f t="shared" ca="1" si="26"/>
        <v>17.878032886452804</v>
      </c>
    </row>
    <row r="163" spans="2:11" ht="15" customHeight="1" x14ac:dyDescent="0.35">
      <c r="B163" s="5">
        <v>142</v>
      </c>
      <c r="C163" s="52">
        <f t="shared" ca="1" si="18"/>
        <v>3.0162576350299317</v>
      </c>
      <c r="D163" s="53">
        <f t="shared" ca="1" si="19"/>
        <v>4398348135.2791185</v>
      </c>
      <c r="E163" s="53">
        <f t="shared" ca="1" si="20"/>
        <v>1907895485396.0186</v>
      </c>
      <c r="F163" s="53">
        <f t="shared" ca="1" si="21"/>
        <v>4446277292513.6855</v>
      </c>
      <c r="G163" s="53">
        <f t="shared" ca="1" si="22"/>
        <v>13534079083355.756</v>
      </c>
      <c r="H163" s="53">
        <f t="shared" ca="1" si="23"/>
        <v>13534079083355.756</v>
      </c>
      <c r="I163" s="53">
        <f t="shared" ca="1" si="24"/>
        <v>12399510241239.027</v>
      </c>
      <c r="J163" s="53">
        <f t="shared" ca="1" si="25"/>
        <v>657649114713.33167</v>
      </c>
      <c r="K163" s="54">
        <f t="shared" ca="1" si="26"/>
        <v>18.854294735337639</v>
      </c>
    </row>
    <row r="164" spans="2:11" ht="15" customHeight="1" x14ac:dyDescent="0.35">
      <c r="B164" s="5">
        <v>143</v>
      </c>
      <c r="C164" s="52">
        <f t="shared" ca="1" si="18"/>
        <v>2.8312158659398974</v>
      </c>
      <c r="D164" s="53">
        <f t="shared" ca="1" si="19"/>
        <v>3439032024.9764609</v>
      </c>
      <c r="E164" s="53">
        <f t="shared" ca="1" si="20"/>
        <v>11623849901128.428</v>
      </c>
      <c r="F164" s="53">
        <f t="shared" ca="1" si="21"/>
        <v>1058206370536.053</v>
      </c>
      <c r="G164" s="53">
        <f t="shared" ca="1" si="22"/>
        <v>57392131449617.953</v>
      </c>
      <c r="H164" s="53">
        <f t="shared" ca="1" si="23"/>
        <v>1058206370536.053</v>
      </c>
      <c r="I164" s="53">
        <f t="shared" ca="1" si="24"/>
        <v>5277563376055.6367</v>
      </c>
      <c r="J164" s="53">
        <f t="shared" ca="1" si="25"/>
        <v>729310589434.32666</v>
      </c>
      <c r="K164" s="54">
        <f t="shared" ca="1" si="26"/>
        <v>7.2363728876459339</v>
      </c>
    </row>
    <row r="165" spans="2:11" ht="15" customHeight="1" x14ac:dyDescent="0.35">
      <c r="B165" s="5">
        <v>144</v>
      </c>
      <c r="C165" s="52">
        <f t="shared" ca="1" si="18"/>
        <v>3.0942843811813989</v>
      </c>
      <c r="D165" s="53">
        <f t="shared" ca="1" si="19"/>
        <v>6108841625.3757725</v>
      </c>
      <c r="E165" s="53">
        <f t="shared" ca="1" si="20"/>
        <v>53017851441657.539</v>
      </c>
      <c r="F165" s="53">
        <f t="shared" ca="1" si="21"/>
        <v>1895147079893.1948</v>
      </c>
      <c r="G165" s="53">
        <f t="shared" ca="1" si="22"/>
        <v>28775026922342.125</v>
      </c>
      <c r="H165" s="53">
        <f t="shared" ca="1" si="23"/>
        <v>53017851441657.539</v>
      </c>
      <c r="I165" s="53">
        <f t="shared" ca="1" si="24"/>
        <v>31333859847519.77</v>
      </c>
      <c r="J165" s="53">
        <f t="shared" ca="1" si="25"/>
        <v>771788228455.61597</v>
      </c>
      <c r="K165" s="54">
        <f t="shared" ca="1" si="26"/>
        <v>40.599038301245244</v>
      </c>
    </row>
    <row r="166" spans="2:11" ht="15" customHeight="1" x14ac:dyDescent="0.35">
      <c r="B166" s="5">
        <v>145</v>
      </c>
      <c r="C166" s="52">
        <f t="shared" ca="1" si="18"/>
        <v>2.8701332322205184</v>
      </c>
      <c r="D166" s="53">
        <f t="shared" ca="1" si="19"/>
        <v>4638389536.3139505</v>
      </c>
      <c r="E166" s="53">
        <f t="shared" ca="1" si="20"/>
        <v>13263477115143.943</v>
      </c>
      <c r="F166" s="53">
        <f t="shared" ca="1" si="21"/>
        <v>2510490126843.0229</v>
      </c>
      <c r="G166" s="53">
        <f t="shared" ca="1" si="22"/>
        <v>2112991686986.3154</v>
      </c>
      <c r="H166" s="53">
        <f t="shared" ca="1" si="23"/>
        <v>2112991686986.3154</v>
      </c>
      <c r="I166" s="53">
        <f t="shared" ca="1" si="24"/>
        <v>4260748735440.0522</v>
      </c>
      <c r="J166" s="53">
        <f t="shared" ca="1" si="25"/>
        <v>1687319929819.1304</v>
      </c>
      <c r="K166" s="54">
        <f t="shared" ca="1" si="26"/>
        <v>2.5251575946813931</v>
      </c>
    </row>
    <row r="167" spans="2:11" ht="15" customHeight="1" x14ac:dyDescent="0.35">
      <c r="B167" s="5">
        <v>146</v>
      </c>
      <c r="C167" s="52">
        <f t="shared" ca="1" si="18"/>
        <v>3.712450728818113</v>
      </c>
      <c r="D167" s="53">
        <f t="shared" ca="1" si="19"/>
        <v>15193374274.224993</v>
      </c>
      <c r="E167" s="53">
        <f t="shared" ca="1" si="20"/>
        <v>131304871642325.94</v>
      </c>
      <c r="F167" s="53">
        <f t="shared" ca="1" si="21"/>
        <v>2084534995829.7085</v>
      </c>
      <c r="G167" s="53">
        <f t="shared" ca="1" si="22"/>
        <v>46623805830901.313</v>
      </c>
      <c r="H167" s="53">
        <f t="shared" ca="1" si="23"/>
        <v>131304871642325.94</v>
      </c>
      <c r="I167" s="53">
        <f t="shared" ca="1" si="24"/>
        <v>10425254819735.695</v>
      </c>
      <c r="J167" s="53">
        <f t="shared" ca="1" si="25"/>
        <v>1271439669354.5085</v>
      </c>
      <c r="K167" s="54">
        <f t="shared" ca="1" si="26"/>
        <v>8.1995670506556131</v>
      </c>
    </row>
    <row r="168" spans="2:11" ht="15" customHeight="1" x14ac:dyDescent="0.35">
      <c r="B168" s="5">
        <v>147</v>
      </c>
      <c r="C168" s="52">
        <f t="shared" ca="1" si="18"/>
        <v>2.4990226635294066</v>
      </c>
      <c r="D168" s="53">
        <f t="shared" ca="1" si="19"/>
        <v>1984853301.8048728</v>
      </c>
      <c r="E168" s="53">
        <f t="shared" ca="1" si="20"/>
        <v>7881981216298.9121</v>
      </c>
      <c r="F168" s="53">
        <f t="shared" ca="1" si="21"/>
        <v>1127236698015.8762</v>
      </c>
      <c r="G168" s="53">
        <f t="shared" ca="1" si="22"/>
        <v>1384069227961.2363</v>
      </c>
      <c r="H168" s="53">
        <f t="shared" ca="1" si="23"/>
        <v>7881981216298.9121</v>
      </c>
      <c r="I168" s="53">
        <f t="shared" ca="1" si="24"/>
        <v>2297211343607.8413</v>
      </c>
      <c r="J168" s="53">
        <f t="shared" ca="1" si="25"/>
        <v>539906079705.19666</v>
      </c>
      <c r="K168" s="54">
        <f t="shared" ca="1" si="26"/>
        <v>4.2548351092141452</v>
      </c>
    </row>
    <row r="169" spans="2:11" ht="15" customHeight="1" x14ac:dyDescent="0.35">
      <c r="B169" s="5">
        <v>148</v>
      </c>
      <c r="C169" s="52">
        <f t="shared" ca="1" si="18"/>
        <v>2.9330051687184153</v>
      </c>
      <c r="D169" s="53">
        <f t="shared" ca="1" si="19"/>
        <v>4320841267.2945023</v>
      </c>
      <c r="E169" s="53">
        <f t="shared" ca="1" si="20"/>
        <v>8211668873564.4424</v>
      </c>
      <c r="F169" s="53">
        <f t="shared" ca="1" si="21"/>
        <v>5752135599728.4258</v>
      </c>
      <c r="G169" s="53">
        <f t="shared" ca="1" si="22"/>
        <v>8056007983497.8018</v>
      </c>
      <c r="H169" s="53">
        <f t="shared" ca="1" si="23"/>
        <v>5752135599728.4258</v>
      </c>
      <c r="I169" s="53">
        <f t="shared" ca="1" si="24"/>
        <v>9847623365103.8945</v>
      </c>
      <c r="J169" s="53">
        <f t="shared" ca="1" si="25"/>
        <v>739388363690.08093</v>
      </c>
      <c r="K169" s="54">
        <f t="shared" ca="1" si="26"/>
        <v>13.318607444614296</v>
      </c>
    </row>
    <row r="170" spans="2:11" ht="15" customHeight="1" x14ac:dyDescent="0.35">
      <c r="B170" s="5">
        <v>149</v>
      </c>
      <c r="C170" s="52">
        <f t="shared" ca="1" si="18"/>
        <v>3.0875137526275922</v>
      </c>
      <c r="D170" s="53">
        <f t="shared" ca="1" si="19"/>
        <v>5986256303.2976389</v>
      </c>
      <c r="E170" s="53">
        <f t="shared" ca="1" si="20"/>
        <v>16782934643335.01</v>
      </c>
      <c r="F170" s="53">
        <f t="shared" ca="1" si="21"/>
        <v>145024375494.58707</v>
      </c>
      <c r="G170" s="53">
        <f t="shared" ca="1" si="22"/>
        <v>8542230229181.5195</v>
      </c>
      <c r="H170" s="53">
        <f t="shared" ca="1" si="23"/>
        <v>8542230229181.5195</v>
      </c>
      <c r="I170" s="53">
        <f t="shared" ca="1" si="24"/>
        <v>2152934038300.7729</v>
      </c>
      <c r="J170" s="53">
        <f t="shared" ca="1" si="25"/>
        <v>1067946890170.5542</v>
      </c>
      <c r="K170" s="54">
        <f t="shared" ca="1" si="26"/>
        <v>2.0159560911844063</v>
      </c>
    </row>
    <row r="171" spans="2:11" ht="15" customHeight="1" x14ac:dyDescent="0.35">
      <c r="B171" s="5">
        <v>150</v>
      </c>
      <c r="C171" s="52">
        <f t="shared" ca="1" si="18"/>
        <v>3.1366268272675768</v>
      </c>
      <c r="D171" s="53">
        <f t="shared" ca="1" si="19"/>
        <v>5088711701.094017</v>
      </c>
      <c r="E171" s="53">
        <f t="shared" ca="1" si="20"/>
        <v>17464963795983.598</v>
      </c>
      <c r="F171" s="53">
        <f t="shared" ca="1" si="21"/>
        <v>346969714117.13092</v>
      </c>
      <c r="G171" s="53">
        <f t="shared" ca="1" si="22"/>
        <v>7933059912932.9697</v>
      </c>
      <c r="H171" s="53">
        <f t="shared" ca="1" si="23"/>
        <v>17464963795983.598</v>
      </c>
      <c r="I171" s="53">
        <f t="shared" ca="1" si="24"/>
        <v>5815835426267.4639</v>
      </c>
      <c r="J171" s="53">
        <f t="shared" ca="1" si="25"/>
        <v>1139725600187.0615</v>
      </c>
      <c r="K171" s="54">
        <f t="shared" ca="1" si="26"/>
        <v>5.1028382843317015</v>
      </c>
    </row>
    <row r="172" spans="2:11" ht="15" customHeight="1" x14ac:dyDescent="0.35">
      <c r="B172" s="5">
        <v>151</v>
      </c>
      <c r="C172" s="52">
        <f t="shared" ca="1" si="18"/>
        <v>3.4257125219272222</v>
      </c>
      <c r="D172" s="53">
        <f t="shared" ca="1" si="19"/>
        <v>9928822065.6770287</v>
      </c>
      <c r="E172" s="53">
        <f t="shared" ca="1" si="20"/>
        <v>82299684048064.219</v>
      </c>
      <c r="F172" s="53">
        <f t="shared" ca="1" si="21"/>
        <v>4582315702316.1846</v>
      </c>
      <c r="G172" s="53">
        <f t="shared" ca="1" si="22"/>
        <v>3306114763906.4058</v>
      </c>
      <c r="H172" s="53">
        <f t="shared" ca="1" si="23"/>
        <v>4582315702316.1846</v>
      </c>
      <c r="I172" s="53">
        <f t="shared" ca="1" si="24"/>
        <v>727361598608928</v>
      </c>
      <c r="J172" s="53">
        <f t="shared" ca="1" si="25"/>
        <v>716922127193.72925</v>
      </c>
      <c r="K172" s="54">
        <f t="shared" ca="1" si="26"/>
        <v>1014.5615137533309</v>
      </c>
    </row>
    <row r="173" spans="2:11" ht="15" customHeight="1" x14ac:dyDescent="0.35">
      <c r="B173" s="5">
        <v>152</v>
      </c>
      <c r="C173" s="52">
        <f t="shared" ca="1" si="18"/>
        <v>2.9777915233154397</v>
      </c>
      <c r="D173" s="53">
        <f t="shared" ca="1" si="19"/>
        <v>4423673818.5315752</v>
      </c>
      <c r="E173" s="53">
        <f t="shared" ca="1" si="20"/>
        <v>7686476479962.6729</v>
      </c>
      <c r="F173" s="53">
        <f t="shared" ca="1" si="21"/>
        <v>4916398760670.8955</v>
      </c>
      <c r="G173" s="53">
        <f t="shared" ca="1" si="22"/>
        <v>68722926972086.516</v>
      </c>
      <c r="H173" s="53">
        <f t="shared" ca="1" si="23"/>
        <v>68722926972086.516</v>
      </c>
      <c r="I173" s="53">
        <f t="shared" ca="1" si="24"/>
        <v>4789111314519.1689</v>
      </c>
      <c r="J173" s="53">
        <f t="shared" ca="1" si="25"/>
        <v>1049590971629.5793</v>
      </c>
      <c r="K173" s="54">
        <f t="shared" ca="1" si="26"/>
        <v>4.5628358512684857</v>
      </c>
    </row>
    <row r="174" spans="2:11" ht="15" customHeight="1" x14ac:dyDescent="0.35">
      <c r="B174" s="5">
        <v>153</v>
      </c>
      <c r="C174" s="52">
        <f t="shared" ca="1" si="18"/>
        <v>2.5276304178939646</v>
      </c>
      <c r="D174" s="53">
        <f t="shared" ca="1" si="19"/>
        <v>1826038772.0322475</v>
      </c>
      <c r="E174" s="53">
        <f t="shared" ca="1" si="20"/>
        <v>1124161638588.7419</v>
      </c>
      <c r="F174" s="53">
        <f t="shared" ca="1" si="21"/>
        <v>4331822677713.7832</v>
      </c>
      <c r="G174" s="53">
        <f t="shared" ca="1" si="22"/>
        <v>49983812120626.875</v>
      </c>
      <c r="H174" s="53">
        <f t="shared" ca="1" si="23"/>
        <v>4331822677713.7832</v>
      </c>
      <c r="I174" s="53">
        <f t="shared" ca="1" si="24"/>
        <v>12784892776614.039</v>
      </c>
      <c r="J174" s="53">
        <f t="shared" ca="1" si="25"/>
        <v>866994974050.18628</v>
      </c>
      <c r="K174" s="54">
        <f t="shared" ca="1" si="26"/>
        <v>14.746213252989378</v>
      </c>
    </row>
    <row r="175" spans="2:11" ht="15" customHeight="1" x14ac:dyDescent="0.35">
      <c r="B175" s="5">
        <v>154</v>
      </c>
      <c r="C175" s="52">
        <f t="shared" ca="1" si="18"/>
        <v>3.4849878873931517</v>
      </c>
      <c r="D175" s="53">
        <f t="shared" ca="1" si="19"/>
        <v>11407146361.768066</v>
      </c>
      <c r="E175" s="53">
        <f t="shared" ca="1" si="20"/>
        <v>28182922457027.191</v>
      </c>
      <c r="F175" s="53">
        <f t="shared" ca="1" si="21"/>
        <v>17043035143458.881</v>
      </c>
      <c r="G175" s="53">
        <f t="shared" ca="1" si="22"/>
        <v>5618825272603.0918</v>
      </c>
      <c r="H175" s="53">
        <f t="shared" ca="1" si="23"/>
        <v>5618825272603.0918</v>
      </c>
      <c r="I175" s="53">
        <f t="shared" ca="1" si="24"/>
        <v>5335842596321.1357</v>
      </c>
      <c r="J175" s="53">
        <f t="shared" ca="1" si="25"/>
        <v>958684900047.09045</v>
      </c>
      <c r="K175" s="54">
        <f t="shared" ca="1" si="26"/>
        <v>5.5657939288070981</v>
      </c>
    </row>
    <row r="176" spans="2:11" ht="15" customHeight="1" x14ac:dyDescent="0.35">
      <c r="B176" s="5">
        <v>155</v>
      </c>
      <c r="C176" s="52">
        <f t="shared" ca="1" si="18"/>
        <v>3.0401645844027252</v>
      </c>
      <c r="D176" s="53">
        <f t="shared" ca="1" si="19"/>
        <v>4240928757.3578653</v>
      </c>
      <c r="E176" s="53">
        <f t="shared" ca="1" si="20"/>
        <v>3508749204033.2622</v>
      </c>
      <c r="F176" s="53">
        <f t="shared" ca="1" si="21"/>
        <v>789047373864.72522</v>
      </c>
      <c r="G176" s="53">
        <f t="shared" ca="1" si="22"/>
        <v>2741598200415.0957</v>
      </c>
      <c r="H176" s="53">
        <f t="shared" ca="1" si="23"/>
        <v>3508749204033.2622</v>
      </c>
      <c r="I176" s="53">
        <f t="shared" ca="1" si="24"/>
        <v>18588469623957.977</v>
      </c>
      <c r="J176" s="53">
        <f t="shared" ca="1" si="25"/>
        <v>1244376169037.3779</v>
      </c>
      <c r="K176" s="54">
        <f t="shared" ca="1" si="26"/>
        <v>14.937982650646234</v>
      </c>
    </row>
    <row r="177" spans="2:11" ht="15" customHeight="1" x14ac:dyDescent="0.35">
      <c r="B177" s="5">
        <v>156</v>
      </c>
      <c r="C177" s="52">
        <f t="shared" ca="1" si="18"/>
        <v>3.0262725877369099</v>
      </c>
      <c r="D177" s="53">
        <f t="shared" ca="1" si="19"/>
        <v>5188860531.4982691</v>
      </c>
      <c r="E177" s="53">
        <f t="shared" ca="1" si="20"/>
        <v>69783880667991.984</v>
      </c>
      <c r="F177" s="53">
        <f t="shared" ca="1" si="21"/>
        <v>14339566454797.803</v>
      </c>
      <c r="G177" s="53">
        <f t="shared" ca="1" si="22"/>
        <v>1015370792763.4036</v>
      </c>
      <c r="H177" s="53">
        <f t="shared" ca="1" si="23"/>
        <v>1015370792763.4036</v>
      </c>
      <c r="I177" s="53">
        <f t="shared" ca="1" si="24"/>
        <v>8213581258626.7959</v>
      </c>
      <c r="J177" s="53">
        <f t="shared" ca="1" si="25"/>
        <v>1101826705538.0583</v>
      </c>
      <c r="K177" s="54">
        <f t="shared" ca="1" si="26"/>
        <v>7.4545127807696705</v>
      </c>
    </row>
    <row r="178" spans="2:11" ht="15" customHeight="1" x14ac:dyDescent="0.35">
      <c r="B178" s="5">
        <v>157</v>
      </c>
      <c r="C178" s="52">
        <f t="shared" ca="1" si="18"/>
        <v>2.606981532191806</v>
      </c>
      <c r="D178" s="53">
        <f t="shared" ca="1" si="19"/>
        <v>2683045056.0534401</v>
      </c>
      <c r="E178" s="53">
        <f t="shared" ca="1" si="20"/>
        <v>5427039827753.2881</v>
      </c>
      <c r="F178" s="53">
        <f t="shared" ca="1" si="21"/>
        <v>42247590623662.523</v>
      </c>
      <c r="G178" s="53">
        <f t="shared" ca="1" si="22"/>
        <v>36685847890098.07</v>
      </c>
      <c r="H178" s="53">
        <f t="shared" ca="1" si="23"/>
        <v>42247590623662.523</v>
      </c>
      <c r="I178" s="53">
        <f t="shared" ca="1" si="24"/>
        <v>6773753385137.2275</v>
      </c>
      <c r="J178" s="53">
        <f t="shared" ca="1" si="25"/>
        <v>1149452543744.6099</v>
      </c>
      <c r="K178" s="54">
        <f t="shared" ca="1" si="26"/>
        <v>5.8930257034102036</v>
      </c>
    </row>
    <row r="179" spans="2:11" ht="15" customHeight="1" x14ac:dyDescent="0.35">
      <c r="B179" s="5">
        <v>158</v>
      </c>
      <c r="C179" s="52">
        <f t="shared" ca="1" si="18"/>
        <v>3.3249761784010596</v>
      </c>
      <c r="D179" s="53">
        <f t="shared" ca="1" si="19"/>
        <v>8423156641.4851694</v>
      </c>
      <c r="E179" s="53">
        <f t="shared" ca="1" si="20"/>
        <v>14899643672471.291</v>
      </c>
      <c r="F179" s="53">
        <f t="shared" ca="1" si="21"/>
        <v>1159144830952.3342</v>
      </c>
      <c r="G179" s="53">
        <f t="shared" ca="1" si="22"/>
        <v>13230058011194.311</v>
      </c>
      <c r="H179" s="53">
        <f t="shared" ca="1" si="23"/>
        <v>13230058011194.311</v>
      </c>
      <c r="I179" s="53">
        <f t="shared" ca="1" si="24"/>
        <v>10651582272504.738</v>
      </c>
      <c r="J179" s="53">
        <f t="shared" ca="1" si="25"/>
        <v>744636776688.56213</v>
      </c>
      <c r="K179" s="54">
        <f t="shared" ca="1" si="26"/>
        <v>14.304399951709167</v>
      </c>
    </row>
    <row r="180" spans="2:11" ht="15" customHeight="1" x14ac:dyDescent="0.35">
      <c r="B180" s="5">
        <v>159</v>
      </c>
      <c r="C180" s="52">
        <f t="shared" ca="1" si="18"/>
        <v>2.4297318544861057</v>
      </c>
      <c r="D180" s="53">
        <f t="shared" ca="1" si="19"/>
        <v>1832442283.7223699</v>
      </c>
      <c r="E180" s="53">
        <f t="shared" ca="1" si="20"/>
        <v>4697052035186.6348</v>
      </c>
      <c r="F180" s="53">
        <f t="shared" ca="1" si="21"/>
        <v>4800923163351.0918</v>
      </c>
      <c r="G180" s="53">
        <f t="shared" ca="1" si="22"/>
        <v>10686923119856.299</v>
      </c>
      <c r="H180" s="53">
        <f t="shared" ca="1" si="23"/>
        <v>4800923163351.0918</v>
      </c>
      <c r="I180" s="53">
        <f t="shared" ca="1" si="24"/>
        <v>14032005005194.943</v>
      </c>
      <c r="J180" s="53">
        <f t="shared" ca="1" si="25"/>
        <v>1269967407445.5586</v>
      </c>
      <c r="K180" s="54">
        <f t="shared" ca="1" si="26"/>
        <v>11.04910639669032</v>
      </c>
    </row>
    <row r="181" spans="2:11" ht="15" customHeight="1" x14ac:dyDescent="0.35">
      <c r="B181" s="5">
        <v>160</v>
      </c>
      <c r="C181" s="52">
        <f t="shared" ca="1" si="18"/>
        <v>2.8953464070890402</v>
      </c>
      <c r="D181" s="53">
        <f t="shared" ca="1" si="19"/>
        <v>4537256654.2565317</v>
      </c>
      <c r="E181" s="53">
        <f t="shared" ca="1" si="20"/>
        <v>6709234085891.3809</v>
      </c>
      <c r="F181" s="53">
        <f t="shared" ca="1" si="21"/>
        <v>8633662068010.1123</v>
      </c>
      <c r="G181" s="53">
        <f t="shared" ca="1" si="22"/>
        <v>1216710510446.5171</v>
      </c>
      <c r="H181" s="53">
        <f t="shared" ca="1" si="23"/>
        <v>1216710510446.5171</v>
      </c>
      <c r="I181" s="53">
        <f t="shared" ca="1" si="24"/>
        <v>15930095062135.58</v>
      </c>
      <c r="J181" s="53">
        <f t="shared" ca="1" si="25"/>
        <v>924857702180.06641</v>
      </c>
      <c r="K181" s="54">
        <f t="shared" ca="1" si="26"/>
        <v>17.224374111374431</v>
      </c>
    </row>
    <row r="182" spans="2:11" ht="15" customHeight="1" x14ac:dyDescent="0.35">
      <c r="B182" s="5">
        <v>161</v>
      </c>
      <c r="C182" s="52">
        <f t="shared" ca="1" si="18"/>
        <v>3.0371267254373571</v>
      </c>
      <c r="D182" s="53">
        <f t="shared" ca="1" si="19"/>
        <v>4584335966.1787691</v>
      </c>
      <c r="E182" s="53">
        <f t="shared" ca="1" si="20"/>
        <v>12803286367826.102</v>
      </c>
      <c r="F182" s="53">
        <f t="shared" ca="1" si="21"/>
        <v>6487098214431.8926</v>
      </c>
      <c r="G182" s="53">
        <f t="shared" ca="1" si="22"/>
        <v>2597908195133.5889</v>
      </c>
      <c r="H182" s="53">
        <f t="shared" ca="1" si="23"/>
        <v>2597908195133.5889</v>
      </c>
      <c r="I182" s="53">
        <f t="shared" ca="1" si="24"/>
        <v>8884439496626.8555</v>
      </c>
      <c r="J182" s="53">
        <f t="shared" ca="1" si="25"/>
        <v>1073963670381.1899</v>
      </c>
      <c r="K182" s="54">
        <f t="shared" ca="1" si="26"/>
        <v>8.2725698658628133</v>
      </c>
    </row>
    <row r="183" spans="2:11" ht="15" customHeight="1" x14ac:dyDescent="0.35">
      <c r="B183" s="5">
        <v>162</v>
      </c>
      <c r="C183" s="52">
        <f t="shared" ca="1" si="18"/>
        <v>2.9215077884662755</v>
      </c>
      <c r="D183" s="53">
        <f t="shared" ca="1" si="19"/>
        <v>4978182456.4700499</v>
      </c>
      <c r="E183" s="53">
        <f t="shared" ca="1" si="20"/>
        <v>3349612167030.0928</v>
      </c>
      <c r="F183" s="53">
        <f t="shared" ca="1" si="21"/>
        <v>8340830396205.748</v>
      </c>
      <c r="G183" s="53">
        <f t="shared" ca="1" si="22"/>
        <v>15605789985355.623</v>
      </c>
      <c r="H183" s="53">
        <f t="shared" ca="1" si="23"/>
        <v>8340830396205.748</v>
      </c>
      <c r="I183" s="53">
        <f t="shared" ca="1" si="24"/>
        <v>1758711680597.7234</v>
      </c>
      <c r="J183" s="53">
        <f t="shared" ca="1" si="25"/>
        <v>1120374191666.7722</v>
      </c>
      <c r="K183" s="54">
        <f t="shared" ca="1" si="26"/>
        <v>1.5697538319597502</v>
      </c>
    </row>
    <row r="184" spans="2:11" ht="15" customHeight="1" x14ac:dyDescent="0.35">
      <c r="B184" s="5">
        <v>163</v>
      </c>
      <c r="C184" s="52">
        <f t="shared" ca="1" si="18"/>
        <v>2.8168415443189683</v>
      </c>
      <c r="D184" s="53">
        <f t="shared" ca="1" si="19"/>
        <v>3353796288.7895002</v>
      </c>
      <c r="E184" s="53">
        <f t="shared" ca="1" si="20"/>
        <v>25521141240070.609</v>
      </c>
      <c r="F184" s="53">
        <f t="shared" ca="1" si="21"/>
        <v>3805748672211.208</v>
      </c>
      <c r="G184" s="53">
        <f t="shared" ca="1" si="22"/>
        <v>2225036495433.9971</v>
      </c>
      <c r="H184" s="53">
        <f t="shared" ca="1" si="23"/>
        <v>3805748672211.208</v>
      </c>
      <c r="I184" s="53">
        <f t="shared" ca="1" si="24"/>
        <v>33917101750763.453</v>
      </c>
      <c r="J184" s="53">
        <f t="shared" ca="1" si="25"/>
        <v>1437647291053.6428</v>
      </c>
      <c r="K184" s="54">
        <f t="shared" ca="1" si="26"/>
        <v>23.592088241550414</v>
      </c>
    </row>
    <row r="185" spans="2:11" ht="15" customHeight="1" x14ac:dyDescent="0.35">
      <c r="B185" s="5">
        <v>164</v>
      </c>
      <c r="C185" s="52">
        <f t="shared" ca="1" si="18"/>
        <v>3.5397941059961284</v>
      </c>
      <c r="D185" s="53">
        <f t="shared" ca="1" si="19"/>
        <v>13301572240.66721</v>
      </c>
      <c r="E185" s="53">
        <f t="shared" ca="1" si="20"/>
        <v>11097692592014.09</v>
      </c>
      <c r="F185" s="53">
        <f t="shared" ca="1" si="21"/>
        <v>1560324857433.1589</v>
      </c>
      <c r="G185" s="53">
        <f t="shared" ca="1" si="22"/>
        <v>3713581682142.2427</v>
      </c>
      <c r="H185" s="53">
        <f t="shared" ca="1" si="23"/>
        <v>1560324857433.1589</v>
      </c>
      <c r="I185" s="53">
        <f t="shared" ca="1" si="24"/>
        <v>7204662297009.5771</v>
      </c>
      <c r="J185" s="53">
        <f t="shared" ca="1" si="25"/>
        <v>1048386942191.2631</v>
      </c>
      <c r="K185" s="54">
        <f t="shared" ca="1" si="26"/>
        <v>6.872140435048637</v>
      </c>
    </row>
    <row r="186" spans="2:11" ht="15" customHeight="1" x14ac:dyDescent="0.35">
      <c r="B186" s="5">
        <v>165</v>
      </c>
      <c r="C186" s="52">
        <f t="shared" ca="1" si="18"/>
        <v>3.3170005855037932</v>
      </c>
      <c r="D186" s="53">
        <f t="shared" ca="1" si="19"/>
        <v>6513291358.1545181</v>
      </c>
      <c r="E186" s="53">
        <f t="shared" ca="1" si="20"/>
        <v>5425492156784.2461</v>
      </c>
      <c r="F186" s="53">
        <f t="shared" ca="1" si="21"/>
        <v>3393315386852.4731</v>
      </c>
      <c r="G186" s="53">
        <f t="shared" ca="1" si="22"/>
        <v>10994019148172.998</v>
      </c>
      <c r="H186" s="53">
        <f t="shared" ca="1" si="23"/>
        <v>3393315386852.4731</v>
      </c>
      <c r="I186" s="53">
        <f t="shared" ca="1" si="24"/>
        <v>13097645126368.605</v>
      </c>
      <c r="J186" s="53">
        <f t="shared" ca="1" si="25"/>
        <v>611760478141.90503</v>
      </c>
      <c r="K186" s="54">
        <f t="shared" ca="1" si="26"/>
        <v>21.409760182857795</v>
      </c>
    </row>
    <row r="187" spans="2:11" ht="15" customHeight="1" x14ac:dyDescent="0.35">
      <c r="B187" s="5">
        <v>166</v>
      </c>
      <c r="C187" s="52">
        <f t="shared" ca="1" si="18"/>
        <v>3.5323750691966365</v>
      </c>
      <c r="D187" s="53">
        <f t="shared" ca="1" si="19"/>
        <v>11691373734.5926</v>
      </c>
      <c r="E187" s="53">
        <f t="shared" ca="1" si="20"/>
        <v>21413361343123.82</v>
      </c>
      <c r="F187" s="53">
        <f t="shared" ca="1" si="21"/>
        <v>1458966030405.0347</v>
      </c>
      <c r="G187" s="53">
        <f t="shared" ca="1" si="22"/>
        <v>12670479909074.35</v>
      </c>
      <c r="H187" s="53">
        <f t="shared" ca="1" si="23"/>
        <v>12670479909074.35</v>
      </c>
      <c r="I187" s="53">
        <f t="shared" ca="1" si="24"/>
        <v>1813331428177.0271</v>
      </c>
      <c r="J187" s="53">
        <f t="shared" ca="1" si="25"/>
        <v>776276482890.20081</v>
      </c>
      <c r="K187" s="54">
        <f t="shared" ca="1" si="26"/>
        <v>2.3359350284910163</v>
      </c>
    </row>
    <row r="188" spans="2:11" ht="15" customHeight="1" x14ac:dyDescent="0.35">
      <c r="B188" s="5">
        <v>167</v>
      </c>
      <c r="C188" s="52">
        <f t="shared" ca="1" si="18"/>
        <v>3.3334777644632192</v>
      </c>
      <c r="D188" s="53">
        <f t="shared" ca="1" si="19"/>
        <v>7073737213.6776495</v>
      </c>
      <c r="E188" s="53">
        <f t="shared" ca="1" si="20"/>
        <v>18436551549308.418</v>
      </c>
      <c r="F188" s="53">
        <f t="shared" ca="1" si="21"/>
        <v>3324664194536.9014</v>
      </c>
      <c r="G188" s="53">
        <f t="shared" ca="1" si="22"/>
        <v>150135488278576.66</v>
      </c>
      <c r="H188" s="53">
        <f t="shared" ca="1" si="23"/>
        <v>3324664194536.9014</v>
      </c>
      <c r="I188" s="53">
        <f t="shared" ca="1" si="24"/>
        <v>3817044540816.3467</v>
      </c>
      <c r="J188" s="53">
        <f t="shared" ca="1" si="25"/>
        <v>616329100217.15125</v>
      </c>
      <c r="K188" s="54">
        <f t="shared" ca="1" si="26"/>
        <v>6.1931921427553673</v>
      </c>
    </row>
    <row r="189" spans="2:11" ht="15" customHeight="1" x14ac:dyDescent="0.35">
      <c r="B189" s="5">
        <v>168</v>
      </c>
      <c r="C189" s="52">
        <f t="shared" ca="1" si="18"/>
        <v>2.8863175353955595</v>
      </c>
      <c r="D189" s="53">
        <f t="shared" ca="1" si="19"/>
        <v>4331734543.3232193</v>
      </c>
      <c r="E189" s="53">
        <f t="shared" ca="1" si="20"/>
        <v>32970224514265.813</v>
      </c>
      <c r="F189" s="53">
        <f t="shared" ca="1" si="21"/>
        <v>426504677492.25897</v>
      </c>
      <c r="G189" s="53">
        <f t="shared" ca="1" si="22"/>
        <v>1883550441435.1797</v>
      </c>
      <c r="H189" s="53">
        <f t="shared" ca="1" si="23"/>
        <v>1883550441435.1797</v>
      </c>
      <c r="I189" s="53">
        <f t="shared" ca="1" si="24"/>
        <v>9116212751373.7871</v>
      </c>
      <c r="J189" s="53">
        <f t="shared" ca="1" si="25"/>
        <v>1045428062636.4045</v>
      </c>
      <c r="K189" s="54">
        <f t="shared" ca="1" si="26"/>
        <v>8.720076566898479</v>
      </c>
    </row>
    <row r="190" spans="2:11" ht="15" customHeight="1" x14ac:dyDescent="0.35">
      <c r="B190" s="5">
        <v>169</v>
      </c>
      <c r="C190" s="52">
        <f t="shared" ca="1" si="18"/>
        <v>3.4165031434552926</v>
      </c>
      <c r="D190" s="53">
        <f t="shared" ca="1" si="19"/>
        <v>7984984618.5087271</v>
      </c>
      <c r="E190" s="53">
        <f t="shared" ca="1" si="20"/>
        <v>19497116184963.387</v>
      </c>
      <c r="F190" s="53">
        <f t="shared" ca="1" si="21"/>
        <v>8814541950784.7832</v>
      </c>
      <c r="G190" s="53">
        <f t="shared" ca="1" si="22"/>
        <v>9278909579569.7773</v>
      </c>
      <c r="H190" s="53">
        <f t="shared" ca="1" si="23"/>
        <v>19497116184963.387</v>
      </c>
      <c r="I190" s="53">
        <f t="shared" ca="1" si="24"/>
        <v>2751831123433.7661</v>
      </c>
      <c r="J190" s="53">
        <f t="shared" ca="1" si="25"/>
        <v>928701837191.25623</v>
      </c>
      <c r="K190" s="54">
        <f t="shared" ca="1" si="26"/>
        <v>2.9630943035025523</v>
      </c>
    </row>
    <row r="191" spans="2:11" ht="15" customHeight="1" x14ac:dyDescent="0.35">
      <c r="B191" s="5">
        <v>170</v>
      </c>
      <c r="C191" s="52">
        <f t="shared" ca="1" si="18"/>
        <v>2.2655343721213721</v>
      </c>
      <c r="D191" s="53">
        <f t="shared" ca="1" si="19"/>
        <v>1391077872.0093687</v>
      </c>
      <c r="E191" s="53">
        <f t="shared" ca="1" si="20"/>
        <v>2731969285134.834</v>
      </c>
      <c r="F191" s="53">
        <f t="shared" ca="1" si="21"/>
        <v>5945395552098.7334</v>
      </c>
      <c r="G191" s="53">
        <f t="shared" ca="1" si="22"/>
        <v>2134755754603.2253</v>
      </c>
      <c r="H191" s="53">
        <f t="shared" ca="1" si="23"/>
        <v>5945395552098.7334</v>
      </c>
      <c r="I191" s="53">
        <f t="shared" ca="1" si="24"/>
        <v>4018285108814.4302</v>
      </c>
      <c r="J191" s="53">
        <f t="shared" ca="1" si="25"/>
        <v>1509139288658.9014</v>
      </c>
      <c r="K191" s="54">
        <f t="shared" ca="1" si="26"/>
        <v>2.6626336873021739</v>
      </c>
    </row>
    <row r="192" spans="2:11" ht="15" customHeight="1" x14ac:dyDescent="0.35">
      <c r="B192" s="5">
        <v>171</v>
      </c>
      <c r="C192" s="52">
        <f t="shared" ca="1" si="18"/>
        <v>2.3453311174308578</v>
      </c>
      <c r="D192" s="53">
        <f t="shared" ca="1" si="19"/>
        <v>1146064835.0172579</v>
      </c>
      <c r="E192" s="53">
        <f t="shared" ca="1" si="20"/>
        <v>6853044664367.7725</v>
      </c>
      <c r="F192" s="53">
        <f t="shared" ca="1" si="21"/>
        <v>6447524107663.9424</v>
      </c>
      <c r="G192" s="53">
        <f t="shared" ca="1" si="22"/>
        <v>747159734723.32068</v>
      </c>
      <c r="H192" s="53">
        <f t="shared" ca="1" si="23"/>
        <v>6447524107663.9424</v>
      </c>
      <c r="I192" s="53">
        <f t="shared" ca="1" si="24"/>
        <v>5293842846512.1074</v>
      </c>
      <c r="J192" s="53">
        <f t="shared" ca="1" si="25"/>
        <v>729623957757.73474</v>
      </c>
      <c r="K192" s="54">
        <f t="shared" ca="1" si="26"/>
        <v>7.2555770547626146</v>
      </c>
    </row>
    <row r="193" spans="2:11" ht="15" customHeight="1" x14ac:dyDescent="0.35">
      <c r="B193" s="5">
        <v>172</v>
      </c>
      <c r="C193" s="52">
        <f t="shared" ca="1" si="18"/>
        <v>2.6952327951752646</v>
      </c>
      <c r="D193" s="53">
        <f t="shared" ca="1" si="19"/>
        <v>2649967432.5886912</v>
      </c>
      <c r="E193" s="53">
        <f t="shared" ca="1" si="20"/>
        <v>3529547136202.6978</v>
      </c>
      <c r="F193" s="53">
        <f t="shared" ca="1" si="21"/>
        <v>3068632527605.9399</v>
      </c>
      <c r="G193" s="53">
        <f t="shared" ca="1" si="22"/>
        <v>107618576225.6573</v>
      </c>
      <c r="H193" s="53">
        <f t="shared" ca="1" si="23"/>
        <v>107618576225.6573</v>
      </c>
      <c r="I193" s="53">
        <f t="shared" ca="1" si="24"/>
        <v>14292897326510.668</v>
      </c>
      <c r="J193" s="53">
        <f t="shared" ca="1" si="25"/>
        <v>846460321055.63269</v>
      </c>
      <c r="K193" s="54">
        <f t="shared" ca="1" si="26"/>
        <v>16.885490047171725</v>
      </c>
    </row>
    <row r="194" spans="2:11" ht="15" customHeight="1" x14ac:dyDescent="0.35">
      <c r="B194" s="5">
        <v>173</v>
      </c>
      <c r="C194" s="52">
        <f t="shared" ca="1" si="18"/>
        <v>2.9266562026370062</v>
      </c>
      <c r="D194" s="53">
        <f t="shared" ca="1" si="19"/>
        <v>3947184202.8469777</v>
      </c>
      <c r="E194" s="53">
        <f t="shared" ca="1" si="20"/>
        <v>12070956356469.941</v>
      </c>
      <c r="F194" s="53">
        <f t="shared" ca="1" si="21"/>
        <v>1316436013488.8879</v>
      </c>
      <c r="G194" s="53">
        <f t="shared" ca="1" si="22"/>
        <v>770799936910.4104</v>
      </c>
      <c r="H194" s="53">
        <f t="shared" ca="1" si="23"/>
        <v>1316436013488.8879</v>
      </c>
      <c r="I194" s="53">
        <f t="shared" ca="1" si="24"/>
        <v>24278927430659.273</v>
      </c>
      <c r="J194" s="53">
        <f t="shared" ca="1" si="25"/>
        <v>734431244344.83252</v>
      </c>
      <c r="K194" s="54">
        <f t="shared" ca="1" si="26"/>
        <v>33.058135281700721</v>
      </c>
    </row>
    <row r="195" spans="2:11" ht="15" customHeight="1" x14ac:dyDescent="0.35">
      <c r="B195" s="5">
        <v>174</v>
      </c>
      <c r="C195" s="52">
        <f t="shared" ca="1" si="18"/>
        <v>2.6782892277158075</v>
      </c>
      <c r="D195" s="53">
        <f t="shared" ca="1" si="19"/>
        <v>2466177938.77036</v>
      </c>
      <c r="E195" s="53">
        <f t="shared" ca="1" si="20"/>
        <v>15393048432397.088</v>
      </c>
      <c r="F195" s="53">
        <f t="shared" ca="1" si="21"/>
        <v>1521611946377.3918</v>
      </c>
      <c r="G195" s="53">
        <f t="shared" ca="1" si="22"/>
        <v>2093161809335.135</v>
      </c>
      <c r="H195" s="53">
        <f t="shared" ca="1" si="23"/>
        <v>1521611946377.3918</v>
      </c>
      <c r="I195" s="53">
        <f t="shared" ca="1" si="24"/>
        <v>113318590130347.05</v>
      </c>
      <c r="J195" s="53">
        <f t="shared" ca="1" si="25"/>
        <v>544832816722.77075</v>
      </c>
      <c r="K195" s="54">
        <f t="shared" ca="1" si="26"/>
        <v>207.98782057947761</v>
      </c>
    </row>
    <row r="196" spans="2:11" ht="15" customHeight="1" x14ac:dyDescent="0.35">
      <c r="B196" s="5">
        <v>175</v>
      </c>
      <c r="C196" s="52">
        <f t="shared" ca="1" si="18"/>
        <v>3.2551282865910243</v>
      </c>
      <c r="D196" s="53">
        <f t="shared" ca="1" si="19"/>
        <v>8681766198.561882</v>
      </c>
      <c r="E196" s="53">
        <f t="shared" ca="1" si="20"/>
        <v>89108800489043.109</v>
      </c>
      <c r="F196" s="53">
        <f t="shared" ca="1" si="21"/>
        <v>5274176467314.1563</v>
      </c>
      <c r="G196" s="53">
        <f t="shared" ca="1" si="22"/>
        <v>55029955845592.313</v>
      </c>
      <c r="H196" s="53">
        <f t="shared" ca="1" si="23"/>
        <v>55029955845592.313</v>
      </c>
      <c r="I196" s="53">
        <f t="shared" ca="1" si="24"/>
        <v>19854527202681.781</v>
      </c>
      <c r="J196" s="53">
        <f t="shared" ca="1" si="25"/>
        <v>835907876699.90381</v>
      </c>
      <c r="K196" s="54">
        <f t="shared" ca="1" si="26"/>
        <v>23.752051818276719</v>
      </c>
    </row>
    <row r="197" spans="2:11" ht="15" customHeight="1" x14ac:dyDescent="0.35">
      <c r="B197" s="5">
        <v>176</v>
      </c>
      <c r="C197" s="52">
        <f t="shared" ca="1" si="18"/>
        <v>2.6166198446324294</v>
      </c>
      <c r="D197" s="53">
        <f t="shared" ca="1" si="19"/>
        <v>2306107741.5857882</v>
      </c>
      <c r="E197" s="53">
        <f t="shared" ca="1" si="20"/>
        <v>8925224178341.2773</v>
      </c>
      <c r="F197" s="53">
        <f t="shared" ca="1" si="21"/>
        <v>3578327003201.7129</v>
      </c>
      <c r="G197" s="53">
        <f t="shared" ca="1" si="22"/>
        <v>432871705901.86664</v>
      </c>
      <c r="H197" s="53">
        <f t="shared" ca="1" si="23"/>
        <v>8925224178341.2773</v>
      </c>
      <c r="I197" s="53">
        <f t="shared" ca="1" si="24"/>
        <v>1635229293964.0405</v>
      </c>
      <c r="J197" s="53">
        <f t="shared" ca="1" si="25"/>
        <v>855660649572.63501</v>
      </c>
      <c r="K197" s="54">
        <f t="shared" ca="1" si="26"/>
        <v>1.911072216281964</v>
      </c>
    </row>
    <row r="198" spans="2:11" ht="15" customHeight="1" x14ac:dyDescent="0.35">
      <c r="B198" s="5">
        <v>177</v>
      </c>
      <c r="C198" s="52">
        <f t="shared" ca="1" si="18"/>
        <v>3.1964017848826853</v>
      </c>
      <c r="D198" s="53">
        <f t="shared" ca="1" si="19"/>
        <v>6345765012.6886177</v>
      </c>
      <c r="E198" s="53">
        <f t="shared" ca="1" si="20"/>
        <v>20191500482161.477</v>
      </c>
      <c r="F198" s="53">
        <f t="shared" ca="1" si="21"/>
        <v>4985497595741.1396</v>
      </c>
      <c r="G198" s="53">
        <f t="shared" ca="1" si="22"/>
        <v>32026981849843.063</v>
      </c>
      <c r="H198" s="53">
        <f t="shared" ca="1" si="23"/>
        <v>32026981849843.063</v>
      </c>
      <c r="I198" s="53">
        <f t="shared" ca="1" si="24"/>
        <v>4166324817807.8413</v>
      </c>
      <c r="J198" s="53">
        <f t="shared" ca="1" si="25"/>
        <v>1300946222698.5544</v>
      </c>
      <c r="K198" s="54">
        <f t="shared" ca="1" si="26"/>
        <v>3.2025342363234879</v>
      </c>
    </row>
    <row r="199" spans="2:11" ht="15" customHeight="1" x14ac:dyDescent="0.35">
      <c r="B199" s="5">
        <v>178</v>
      </c>
      <c r="C199" s="52">
        <f t="shared" ca="1" si="18"/>
        <v>2.5677042573305604</v>
      </c>
      <c r="D199" s="53">
        <f t="shared" ca="1" si="19"/>
        <v>2298232358.2948313</v>
      </c>
      <c r="E199" s="53">
        <f t="shared" ca="1" si="20"/>
        <v>3607035584727.4971</v>
      </c>
      <c r="F199" s="53">
        <f t="shared" ca="1" si="21"/>
        <v>1590667386670.5566</v>
      </c>
      <c r="G199" s="53">
        <f t="shared" ca="1" si="22"/>
        <v>3585331433021.4316</v>
      </c>
      <c r="H199" s="53">
        <f t="shared" ca="1" si="23"/>
        <v>3585331433021.4316</v>
      </c>
      <c r="I199" s="53">
        <f t="shared" ca="1" si="24"/>
        <v>68652985445880.969</v>
      </c>
      <c r="J199" s="53">
        <f t="shared" ca="1" si="25"/>
        <v>1356060072457.6252</v>
      </c>
      <c r="K199" s="54">
        <f t="shared" ca="1" si="26"/>
        <v>50.626802484833334</v>
      </c>
    </row>
    <row r="200" spans="2:11" ht="15" customHeight="1" x14ac:dyDescent="0.35">
      <c r="B200" s="5">
        <v>179</v>
      </c>
      <c r="C200" s="52">
        <f t="shared" ca="1" si="18"/>
        <v>3.2906298557385409</v>
      </c>
      <c r="D200" s="53">
        <f t="shared" ca="1" si="19"/>
        <v>6665914044.0621071</v>
      </c>
      <c r="E200" s="53">
        <f t="shared" ca="1" si="20"/>
        <v>32621353306964.969</v>
      </c>
      <c r="F200" s="53">
        <f t="shared" ca="1" si="21"/>
        <v>635554325332.99133</v>
      </c>
      <c r="G200" s="53">
        <f t="shared" ca="1" si="22"/>
        <v>4203773328606.8931</v>
      </c>
      <c r="H200" s="53">
        <f t="shared" ca="1" si="23"/>
        <v>32621353306964.969</v>
      </c>
      <c r="I200" s="53">
        <f t="shared" ca="1" si="24"/>
        <v>1797375447449.699</v>
      </c>
      <c r="J200" s="53">
        <f t="shared" ca="1" si="25"/>
        <v>1166153256735.3037</v>
      </c>
      <c r="K200" s="54">
        <f t="shared" ca="1" si="26"/>
        <v>1.5412857933283393</v>
      </c>
    </row>
    <row r="201" spans="2:11" ht="15" customHeight="1" x14ac:dyDescent="0.35">
      <c r="B201" s="5">
        <v>180</v>
      </c>
      <c r="C201" s="52">
        <f t="shared" ca="1" si="18"/>
        <v>3.8999633599062089</v>
      </c>
      <c r="D201" s="53">
        <f t="shared" ca="1" si="19"/>
        <v>19755268532.845093</v>
      </c>
      <c r="E201" s="53">
        <f t="shared" ca="1" si="20"/>
        <v>220893688588910.88</v>
      </c>
      <c r="F201" s="53">
        <f t="shared" ca="1" si="21"/>
        <v>3622735545581.1851</v>
      </c>
      <c r="G201" s="53">
        <f t="shared" ca="1" si="22"/>
        <v>8308455225778.0068</v>
      </c>
      <c r="H201" s="53">
        <f t="shared" ca="1" si="23"/>
        <v>220893688588910.88</v>
      </c>
      <c r="I201" s="53">
        <f t="shared" ca="1" si="24"/>
        <v>8791906372278.0137</v>
      </c>
      <c r="J201" s="53">
        <f t="shared" ca="1" si="25"/>
        <v>1751093850285.7803</v>
      </c>
      <c r="K201" s="54">
        <f t="shared" ca="1" si="26"/>
        <v>5.0208082055928447</v>
      </c>
    </row>
    <row r="202" spans="2:11" ht="15" customHeight="1" x14ac:dyDescent="0.35">
      <c r="B202" s="5">
        <v>181</v>
      </c>
      <c r="C202" s="52">
        <f t="shared" ca="1" si="18"/>
        <v>3.392814027566589</v>
      </c>
      <c r="D202" s="53">
        <f t="shared" ca="1" si="19"/>
        <v>9852236075.1737747</v>
      </c>
      <c r="E202" s="53">
        <f t="shared" ca="1" si="20"/>
        <v>37133371794667.008</v>
      </c>
      <c r="F202" s="53">
        <f t="shared" ca="1" si="21"/>
        <v>1191452828305.1116</v>
      </c>
      <c r="G202" s="53">
        <f t="shared" ca="1" si="22"/>
        <v>9004609702130.3535</v>
      </c>
      <c r="H202" s="53">
        <f t="shared" ca="1" si="23"/>
        <v>37133371794667.008</v>
      </c>
      <c r="I202" s="53">
        <f t="shared" ca="1" si="24"/>
        <v>3595345802395.5161</v>
      </c>
      <c r="J202" s="53">
        <f t="shared" ca="1" si="25"/>
        <v>1083472223578.5641</v>
      </c>
      <c r="K202" s="54">
        <f t="shared" ca="1" si="26"/>
        <v>3.3183553063506963</v>
      </c>
    </row>
    <row r="203" spans="2:11" ht="15" customHeight="1" x14ac:dyDescent="0.35">
      <c r="B203" s="5">
        <v>182</v>
      </c>
      <c r="C203" s="52">
        <f t="shared" ca="1" si="18"/>
        <v>2.5911082607813292</v>
      </c>
      <c r="D203" s="53">
        <f t="shared" ca="1" si="19"/>
        <v>2122719109.4057953</v>
      </c>
      <c r="E203" s="53">
        <f t="shared" ca="1" si="20"/>
        <v>9462905703766.8574</v>
      </c>
      <c r="F203" s="53">
        <f t="shared" ca="1" si="21"/>
        <v>5485189345894.5342</v>
      </c>
      <c r="G203" s="53">
        <f t="shared" ca="1" si="22"/>
        <v>1193353945365.1438</v>
      </c>
      <c r="H203" s="53">
        <f t="shared" ca="1" si="23"/>
        <v>5485189345894.5342</v>
      </c>
      <c r="I203" s="53">
        <f t="shared" ca="1" si="24"/>
        <v>3323743843310.4419</v>
      </c>
      <c r="J203" s="53">
        <f t="shared" ca="1" si="25"/>
        <v>596249235830.76794</v>
      </c>
      <c r="K203" s="54">
        <f t="shared" ca="1" si="26"/>
        <v>5.5744202987185254</v>
      </c>
    </row>
    <row r="204" spans="2:11" ht="15" customHeight="1" x14ac:dyDescent="0.35">
      <c r="B204" s="5">
        <v>183</v>
      </c>
      <c r="C204" s="52">
        <f t="shared" ca="1" si="18"/>
        <v>3.1613430627750856</v>
      </c>
      <c r="D204" s="53">
        <f t="shared" ca="1" si="19"/>
        <v>5053087695.6517601</v>
      </c>
      <c r="E204" s="53">
        <f t="shared" ca="1" si="20"/>
        <v>10430575426006.232</v>
      </c>
      <c r="F204" s="53">
        <f t="shared" ca="1" si="21"/>
        <v>920224655616.61633</v>
      </c>
      <c r="G204" s="53">
        <f t="shared" ca="1" si="22"/>
        <v>1121991791267.4817</v>
      </c>
      <c r="H204" s="53">
        <f t="shared" ca="1" si="23"/>
        <v>1121991791267.4817</v>
      </c>
      <c r="I204" s="53">
        <f t="shared" ca="1" si="24"/>
        <v>9641233627335.8398</v>
      </c>
      <c r="J204" s="53">
        <f t="shared" ca="1" si="25"/>
        <v>1183699842004.7737</v>
      </c>
      <c r="K204" s="54">
        <f t="shared" ca="1" si="26"/>
        <v>8.1449986603081417</v>
      </c>
    </row>
    <row r="205" spans="2:11" ht="15" customHeight="1" x14ac:dyDescent="0.35">
      <c r="B205" s="5">
        <v>184</v>
      </c>
      <c r="C205" s="52">
        <f t="shared" ca="1" si="18"/>
        <v>3.3917186174315712</v>
      </c>
      <c r="D205" s="53">
        <f t="shared" ca="1" si="19"/>
        <v>8549918109.5585308</v>
      </c>
      <c r="E205" s="53">
        <f t="shared" ca="1" si="20"/>
        <v>24490113285362.875</v>
      </c>
      <c r="F205" s="53">
        <f t="shared" ca="1" si="21"/>
        <v>540404887755.37201</v>
      </c>
      <c r="G205" s="53">
        <f t="shared" ca="1" si="22"/>
        <v>6564028241096.0762</v>
      </c>
      <c r="H205" s="53">
        <f t="shared" ca="1" si="23"/>
        <v>540404887755.37201</v>
      </c>
      <c r="I205" s="53">
        <f t="shared" ca="1" si="24"/>
        <v>3107962335325.2549</v>
      </c>
      <c r="J205" s="53">
        <f t="shared" ca="1" si="25"/>
        <v>673304968982.18884</v>
      </c>
      <c r="K205" s="54">
        <f t="shared" ca="1" si="26"/>
        <v>4.6159800959488697</v>
      </c>
    </row>
    <row r="206" spans="2:11" ht="15" customHeight="1" x14ac:dyDescent="0.35">
      <c r="B206" s="5">
        <v>185</v>
      </c>
      <c r="C206" s="52">
        <f t="shared" ca="1" si="18"/>
        <v>3.0828689725714145</v>
      </c>
      <c r="D206" s="53">
        <f t="shared" ca="1" si="19"/>
        <v>5163522062.1002502</v>
      </c>
      <c r="E206" s="53">
        <f t="shared" ca="1" si="20"/>
        <v>8778552479760.7275</v>
      </c>
      <c r="F206" s="53">
        <f t="shared" ca="1" si="21"/>
        <v>2356805886392.8271</v>
      </c>
      <c r="G206" s="53">
        <f t="shared" ca="1" si="22"/>
        <v>10030337949002.1</v>
      </c>
      <c r="H206" s="53">
        <f t="shared" ca="1" si="23"/>
        <v>2356805886392.8271</v>
      </c>
      <c r="I206" s="53">
        <f t="shared" ca="1" si="24"/>
        <v>10524294600203.531</v>
      </c>
      <c r="J206" s="53">
        <f t="shared" ca="1" si="25"/>
        <v>756720142035.76721</v>
      </c>
      <c r="K206" s="54">
        <f t="shared" ca="1" si="26"/>
        <v>13.907776489060454</v>
      </c>
    </row>
    <row r="207" spans="2:11" ht="15" customHeight="1" x14ac:dyDescent="0.35">
      <c r="B207" s="5">
        <v>186</v>
      </c>
      <c r="C207" s="52">
        <f t="shared" ca="1" si="18"/>
        <v>3.7470770381668714</v>
      </c>
      <c r="D207" s="53">
        <f t="shared" ca="1" si="19"/>
        <v>15148502526.406111</v>
      </c>
      <c r="E207" s="53">
        <f t="shared" ca="1" si="20"/>
        <v>88372167853258.016</v>
      </c>
      <c r="F207" s="53">
        <f t="shared" ca="1" si="21"/>
        <v>4903814322214.8916</v>
      </c>
      <c r="G207" s="53">
        <f t="shared" ca="1" si="22"/>
        <v>21938225343134.641</v>
      </c>
      <c r="H207" s="53">
        <f t="shared" ca="1" si="23"/>
        <v>88372167853258.016</v>
      </c>
      <c r="I207" s="53">
        <f t="shared" ca="1" si="24"/>
        <v>11921709305208.979</v>
      </c>
      <c r="J207" s="53">
        <f t="shared" ca="1" si="25"/>
        <v>795548629756.35791</v>
      </c>
      <c r="K207" s="54">
        <f t="shared" ca="1" si="26"/>
        <v>14.985519249602733</v>
      </c>
    </row>
    <row r="208" spans="2:11" ht="15" customHeight="1" x14ac:dyDescent="0.35">
      <c r="B208" s="5">
        <v>187</v>
      </c>
      <c r="C208" s="52">
        <f t="shared" ca="1" si="18"/>
        <v>2.8065655969532148</v>
      </c>
      <c r="D208" s="53">
        <f t="shared" ca="1" si="19"/>
        <v>3438682144.8759012</v>
      </c>
      <c r="E208" s="53">
        <f t="shared" ca="1" si="20"/>
        <v>3480775043592.9712</v>
      </c>
      <c r="F208" s="53">
        <f t="shared" ca="1" si="21"/>
        <v>822118390043.03809</v>
      </c>
      <c r="G208" s="53">
        <f t="shared" ca="1" si="22"/>
        <v>10516195907995.787</v>
      </c>
      <c r="H208" s="53">
        <f t="shared" ca="1" si="23"/>
        <v>822118390043.03809</v>
      </c>
      <c r="I208" s="53">
        <f t="shared" ca="1" si="24"/>
        <v>6345099246571.2598</v>
      </c>
      <c r="J208" s="53">
        <f t="shared" ca="1" si="25"/>
        <v>1186326066446.5256</v>
      </c>
      <c r="K208" s="54">
        <f t="shared" ca="1" si="26"/>
        <v>5.3485288960876671</v>
      </c>
    </row>
    <row r="209" spans="2:11" ht="15" customHeight="1" x14ac:dyDescent="0.35">
      <c r="B209" s="5">
        <v>188</v>
      </c>
      <c r="C209" s="52">
        <f t="shared" ca="1" si="18"/>
        <v>2.5825611114859659</v>
      </c>
      <c r="D209" s="53">
        <f t="shared" ca="1" si="19"/>
        <v>2410613355.3467212</v>
      </c>
      <c r="E209" s="53">
        <f t="shared" ca="1" si="20"/>
        <v>7418745523181.2461</v>
      </c>
      <c r="F209" s="53">
        <f t="shared" ca="1" si="21"/>
        <v>2833484826722.9468</v>
      </c>
      <c r="G209" s="53">
        <f t="shared" ca="1" si="22"/>
        <v>18139177892493.258</v>
      </c>
      <c r="H209" s="53">
        <f t="shared" ca="1" si="23"/>
        <v>18139177892493.258</v>
      </c>
      <c r="I209" s="53">
        <f t="shared" ca="1" si="24"/>
        <v>710250828262.03943</v>
      </c>
      <c r="J209" s="53">
        <f t="shared" ca="1" si="25"/>
        <v>1348457620450.8093</v>
      </c>
      <c r="K209" s="54">
        <f t="shared" ca="1" si="26"/>
        <v>0.52671349658329791</v>
      </c>
    </row>
    <row r="210" spans="2:11" ht="15" customHeight="1" x14ac:dyDescent="0.35">
      <c r="B210" s="5">
        <v>189</v>
      </c>
      <c r="C210" s="52">
        <f t="shared" ca="1" si="18"/>
        <v>2.5383935934213229</v>
      </c>
      <c r="D210" s="53">
        <f t="shared" ca="1" si="19"/>
        <v>2217357989.2236505</v>
      </c>
      <c r="E210" s="53">
        <f t="shared" ca="1" si="20"/>
        <v>7320325739102.1553</v>
      </c>
      <c r="F210" s="53">
        <f t="shared" ca="1" si="21"/>
        <v>1164638497985.7603</v>
      </c>
      <c r="G210" s="53">
        <f t="shared" ca="1" si="22"/>
        <v>34648741332834.957</v>
      </c>
      <c r="H210" s="53">
        <f t="shared" ca="1" si="23"/>
        <v>34648741332834.957</v>
      </c>
      <c r="I210" s="53">
        <f t="shared" ca="1" si="24"/>
        <v>113418625311919.75</v>
      </c>
      <c r="J210" s="53">
        <f t="shared" ca="1" si="25"/>
        <v>1049040237352.7423</v>
      </c>
      <c r="K210" s="54">
        <f t="shared" ca="1" si="26"/>
        <v>108.11656338190816</v>
      </c>
    </row>
    <row r="211" spans="2:11" ht="15" customHeight="1" x14ac:dyDescent="0.35">
      <c r="B211" s="5">
        <v>190</v>
      </c>
      <c r="C211" s="52">
        <f t="shared" ca="1" si="18"/>
        <v>3.6072507341205355</v>
      </c>
      <c r="D211" s="53">
        <f t="shared" ca="1" si="19"/>
        <v>9888848250.8364067</v>
      </c>
      <c r="E211" s="53">
        <f t="shared" ca="1" si="20"/>
        <v>70995501401637.844</v>
      </c>
      <c r="F211" s="53">
        <f t="shared" ca="1" si="21"/>
        <v>267569011061.87482</v>
      </c>
      <c r="G211" s="53">
        <f t="shared" ca="1" si="22"/>
        <v>12170824875646.506</v>
      </c>
      <c r="H211" s="53">
        <f t="shared" ca="1" si="23"/>
        <v>12170824875646.506</v>
      </c>
      <c r="I211" s="53">
        <f t="shared" ca="1" si="24"/>
        <v>12463570306870.332</v>
      </c>
      <c r="J211" s="53">
        <f t="shared" ca="1" si="25"/>
        <v>719223571705.75183</v>
      </c>
      <c r="K211" s="54">
        <f t="shared" ca="1" si="26"/>
        <v>17.329201651874417</v>
      </c>
    </row>
    <row r="212" spans="2:11" ht="15" customHeight="1" x14ac:dyDescent="0.35">
      <c r="B212" s="5">
        <v>191</v>
      </c>
      <c r="C212" s="52">
        <f t="shared" ca="1" si="18"/>
        <v>2.992336034626963</v>
      </c>
      <c r="D212" s="53">
        <f t="shared" ca="1" si="19"/>
        <v>4662691305.2271528</v>
      </c>
      <c r="E212" s="53">
        <f t="shared" ca="1" si="20"/>
        <v>169112089092336.84</v>
      </c>
      <c r="F212" s="53">
        <f t="shared" ca="1" si="21"/>
        <v>20314721291566.172</v>
      </c>
      <c r="G212" s="53">
        <f t="shared" ca="1" si="22"/>
        <v>30670915385783.484</v>
      </c>
      <c r="H212" s="53">
        <f t="shared" ca="1" si="23"/>
        <v>20314721291566.172</v>
      </c>
      <c r="I212" s="53">
        <f t="shared" ca="1" si="24"/>
        <v>44249283997163.188</v>
      </c>
      <c r="J212" s="53">
        <f t="shared" ca="1" si="25"/>
        <v>504466045941.34143</v>
      </c>
      <c r="K212" s="54">
        <f t="shared" ca="1" si="26"/>
        <v>87.715088762006445</v>
      </c>
    </row>
    <row r="213" spans="2:11" ht="15" customHeight="1" x14ac:dyDescent="0.35">
      <c r="B213" s="5">
        <v>192</v>
      </c>
      <c r="C213" s="52">
        <f t="shared" ca="1" si="18"/>
        <v>3.6129436914223132</v>
      </c>
      <c r="D213" s="53">
        <f t="shared" ca="1" si="19"/>
        <v>13019337213.684353</v>
      </c>
      <c r="E213" s="53">
        <f t="shared" ca="1" si="20"/>
        <v>65412465082141.539</v>
      </c>
      <c r="F213" s="53">
        <f t="shared" ca="1" si="21"/>
        <v>1832250943133.0769</v>
      </c>
      <c r="G213" s="53">
        <f t="shared" ca="1" si="22"/>
        <v>8010733144094.7793</v>
      </c>
      <c r="H213" s="53">
        <f t="shared" ca="1" si="23"/>
        <v>65412465082141.539</v>
      </c>
      <c r="I213" s="53">
        <f t="shared" ca="1" si="24"/>
        <v>2720599329249.0566</v>
      </c>
      <c r="J213" s="53">
        <f t="shared" ca="1" si="25"/>
        <v>1187858312631.2026</v>
      </c>
      <c r="K213" s="54">
        <f t="shared" ca="1" si="26"/>
        <v>2.2903399339124109</v>
      </c>
    </row>
    <row r="214" spans="2:11" ht="15" customHeight="1" x14ac:dyDescent="0.35">
      <c r="B214" s="5">
        <v>193</v>
      </c>
      <c r="C214" s="52">
        <f t="shared" ref="C214:C277" ca="1" si="27">MEDIAN(1.8,NORMINV(RAND(),$C$7,$D$7),4.5)</f>
        <v>3.1457869530644245</v>
      </c>
      <c r="D214" s="53">
        <f t="shared" ref="D214:D277" ca="1" si="28">($C$8+RAND()*($D$8-$C$8))*C214^5</f>
        <v>6669157253.4227428</v>
      </c>
      <c r="E214" s="53">
        <f t="shared" ref="E214:E277" ca="1" si="29">D214*($C$10+RAND()*($D$10-$C$10))*EXP(NORMINV(RAND(),$C$9,$D$9))*($C$11+RAND()*($D$11-$C$11))</f>
        <v>40660507198489.563</v>
      </c>
      <c r="F214" s="53">
        <f t="shared" ref="F214:F277" ca="1" si="30">EXP(NORMINV(RAND(),$C$12,$D$12))*EXP(NORMINV(RAND(),$C$13,$D$13))</f>
        <v>601921736235.34583</v>
      </c>
      <c r="G214" s="53">
        <f t="shared" ref="G214:G277" ca="1" si="31">EXP(NORMINV(RAND(),$C$14,$D$14))*($C$15+RAND()*($D$15-$C$15))*EXP(NORMINV(RAND(),$C$16,$D$16))/1000000*31536000</f>
        <v>15520036088819.631</v>
      </c>
      <c r="H214" s="53">
        <f t="shared" ref="H214:H277" ca="1" si="32">CHOOSE(RANDBETWEEN(1,3),E214,F214,G214)</f>
        <v>601921736235.34583</v>
      </c>
      <c r="I214" s="53">
        <f t="shared" ref="I214:I277" ca="1" si="33">EXP(NORMINV(RAND(),$C$14,$D$14))*($C$15+RAND()*($D$15-$C$15))*60</f>
        <v>41904784275410.852</v>
      </c>
      <c r="J214" s="53">
        <f t="shared" ref="J214:J277" ca="1" si="34">($C$17+RAND()*($D$17-$C$17))*($C$18+RAND()*($D$18-$C$18))</f>
        <v>654214066399.96411</v>
      </c>
      <c r="K214" s="54">
        <f t="shared" ref="K214:K277" ca="1" si="35">I214/J214</f>
        <v>64.053627746046814</v>
      </c>
    </row>
    <row r="215" spans="2:11" ht="15" customHeight="1" x14ac:dyDescent="0.35">
      <c r="B215" s="5">
        <v>194</v>
      </c>
      <c r="C215" s="52">
        <f t="shared" ca="1" si="27"/>
        <v>2.7887588606443159</v>
      </c>
      <c r="D215" s="53">
        <f t="shared" ca="1" si="28"/>
        <v>3639632866.4692597</v>
      </c>
      <c r="E215" s="53">
        <f t="shared" ca="1" si="29"/>
        <v>28917858825562.789</v>
      </c>
      <c r="F215" s="53">
        <f t="shared" ca="1" si="30"/>
        <v>3289809802493.5288</v>
      </c>
      <c r="G215" s="53">
        <f t="shared" ca="1" si="31"/>
        <v>9528261063137.2793</v>
      </c>
      <c r="H215" s="53">
        <f t="shared" ca="1" si="32"/>
        <v>3289809802493.5288</v>
      </c>
      <c r="I215" s="53">
        <f t="shared" ca="1" si="33"/>
        <v>2132469609029.1523</v>
      </c>
      <c r="J215" s="53">
        <f t="shared" ca="1" si="34"/>
        <v>599104795170.37122</v>
      </c>
      <c r="K215" s="54">
        <f t="shared" ca="1" si="35"/>
        <v>3.5594267083486262</v>
      </c>
    </row>
    <row r="216" spans="2:11" ht="15" customHeight="1" x14ac:dyDescent="0.35">
      <c r="B216" s="5">
        <v>195</v>
      </c>
      <c r="C216" s="52">
        <f t="shared" ca="1" si="27"/>
        <v>2.6410635342171904</v>
      </c>
      <c r="D216" s="53">
        <f t="shared" ca="1" si="28"/>
        <v>2737376241.3472867</v>
      </c>
      <c r="E216" s="53">
        <f t="shared" ca="1" si="29"/>
        <v>11225949815537.016</v>
      </c>
      <c r="F216" s="53">
        <f t="shared" ca="1" si="30"/>
        <v>2832830686702.957</v>
      </c>
      <c r="G216" s="53">
        <f t="shared" ca="1" si="31"/>
        <v>21133674521106.754</v>
      </c>
      <c r="H216" s="53">
        <f t="shared" ca="1" si="32"/>
        <v>2832830686702.957</v>
      </c>
      <c r="I216" s="53">
        <f t="shared" ca="1" si="33"/>
        <v>45475629869500.867</v>
      </c>
      <c r="J216" s="53">
        <f t="shared" ca="1" si="34"/>
        <v>696336893372.19141</v>
      </c>
      <c r="K216" s="54">
        <f t="shared" ca="1" si="35"/>
        <v>65.306937349353092</v>
      </c>
    </row>
    <row r="217" spans="2:11" ht="15" customHeight="1" x14ac:dyDescent="0.35">
      <c r="B217" s="5">
        <v>196</v>
      </c>
      <c r="C217" s="52">
        <f t="shared" ca="1" si="27"/>
        <v>3.1251855212091253</v>
      </c>
      <c r="D217" s="53">
        <f t="shared" ca="1" si="28"/>
        <v>5627018557.5035963</v>
      </c>
      <c r="E217" s="53">
        <f t="shared" ca="1" si="29"/>
        <v>43860115643440.836</v>
      </c>
      <c r="F217" s="53">
        <f t="shared" ca="1" si="30"/>
        <v>1580211564831.9072</v>
      </c>
      <c r="G217" s="53">
        <f t="shared" ca="1" si="31"/>
        <v>6936875350331.2725</v>
      </c>
      <c r="H217" s="53">
        <f t="shared" ca="1" si="32"/>
        <v>6936875350331.2725</v>
      </c>
      <c r="I217" s="53">
        <f t="shared" ca="1" si="33"/>
        <v>22884258482444.438</v>
      </c>
      <c r="J217" s="53">
        <f t="shared" ca="1" si="34"/>
        <v>1199591326035.2832</v>
      </c>
      <c r="K217" s="54">
        <f t="shared" ca="1" si="35"/>
        <v>19.076712198376924</v>
      </c>
    </row>
    <row r="218" spans="2:11" ht="15" customHeight="1" x14ac:dyDescent="0.35">
      <c r="B218" s="5">
        <v>197</v>
      </c>
      <c r="C218" s="52">
        <f t="shared" ca="1" si="27"/>
        <v>3.5763263445648246</v>
      </c>
      <c r="D218" s="53">
        <f t="shared" ca="1" si="28"/>
        <v>10504381584.446833</v>
      </c>
      <c r="E218" s="53">
        <f t="shared" ca="1" si="29"/>
        <v>43082510657090.078</v>
      </c>
      <c r="F218" s="53">
        <f t="shared" ca="1" si="30"/>
        <v>1417169837603.9265</v>
      </c>
      <c r="G218" s="53">
        <f t="shared" ca="1" si="31"/>
        <v>26048380425678.703</v>
      </c>
      <c r="H218" s="53">
        <f t="shared" ca="1" si="32"/>
        <v>43082510657090.078</v>
      </c>
      <c r="I218" s="53">
        <f t="shared" ca="1" si="33"/>
        <v>2187622193362.533</v>
      </c>
      <c r="J218" s="53">
        <f t="shared" ca="1" si="34"/>
        <v>887748202216.39502</v>
      </c>
      <c r="K218" s="54">
        <f t="shared" ca="1" si="35"/>
        <v>2.4642372554524017</v>
      </c>
    </row>
    <row r="219" spans="2:11" ht="15" customHeight="1" x14ac:dyDescent="0.35">
      <c r="B219" s="5">
        <v>198</v>
      </c>
      <c r="C219" s="52">
        <f t="shared" ca="1" si="27"/>
        <v>3.1345520129583453</v>
      </c>
      <c r="D219" s="53">
        <f t="shared" ca="1" si="28"/>
        <v>6803250517.9146872</v>
      </c>
      <c r="E219" s="53">
        <f t="shared" ca="1" si="29"/>
        <v>15396897498255.236</v>
      </c>
      <c r="F219" s="53">
        <f t="shared" ca="1" si="30"/>
        <v>1282458703645.769</v>
      </c>
      <c r="G219" s="53">
        <f t="shared" ca="1" si="31"/>
        <v>2449377778171.7407</v>
      </c>
      <c r="H219" s="53">
        <f t="shared" ca="1" si="32"/>
        <v>2449377778171.7407</v>
      </c>
      <c r="I219" s="53">
        <f t="shared" ca="1" si="33"/>
        <v>1037344339855.4686</v>
      </c>
      <c r="J219" s="53">
        <f t="shared" ca="1" si="34"/>
        <v>1539571562099.7578</v>
      </c>
      <c r="K219" s="54">
        <f t="shared" ca="1" si="35"/>
        <v>0.67378767274752571</v>
      </c>
    </row>
    <row r="220" spans="2:11" ht="15" customHeight="1" x14ac:dyDescent="0.35">
      <c r="B220" s="5">
        <v>199</v>
      </c>
      <c r="C220" s="52">
        <f t="shared" ca="1" si="27"/>
        <v>2.6985657831396459</v>
      </c>
      <c r="D220" s="53">
        <f t="shared" ca="1" si="28"/>
        <v>2402411270.5364218</v>
      </c>
      <c r="E220" s="53">
        <f t="shared" ca="1" si="29"/>
        <v>11652125988441.996</v>
      </c>
      <c r="F220" s="53">
        <f t="shared" ca="1" si="30"/>
        <v>1180102247206.3928</v>
      </c>
      <c r="G220" s="53">
        <f t="shared" ca="1" si="31"/>
        <v>1494388296513.1157</v>
      </c>
      <c r="H220" s="53">
        <f t="shared" ca="1" si="32"/>
        <v>1494388296513.1157</v>
      </c>
      <c r="I220" s="53">
        <f t="shared" ca="1" si="33"/>
        <v>2044631286575.2053</v>
      </c>
      <c r="J220" s="53">
        <f t="shared" ca="1" si="34"/>
        <v>516947605816.56244</v>
      </c>
      <c r="K220" s="54">
        <f t="shared" ca="1" si="35"/>
        <v>3.9552002244899409</v>
      </c>
    </row>
    <row r="221" spans="2:11" ht="15" customHeight="1" x14ac:dyDescent="0.35">
      <c r="B221" s="5">
        <v>200</v>
      </c>
      <c r="C221" s="52">
        <f t="shared" ca="1" si="27"/>
        <v>2.8783315186858385</v>
      </c>
      <c r="D221" s="53">
        <f t="shared" ca="1" si="28"/>
        <v>4026716136.9449039</v>
      </c>
      <c r="E221" s="53">
        <f t="shared" ca="1" si="29"/>
        <v>9780972371450.8535</v>
      </c>
      <c r="F221" s="53">
        <f t="shared" ca="1" si="30"/>
        <v>2770266840225.084</v>
      </c>
      <c r="G221" s="53">
        <f t="shared" ca="1" si="31"/>
        <v>8895977594031.6934</v>
      </c>
      <c r="H221" s="53">
        <f t="shared" ca="1" si="32"/>
        <v>9780972371450.8535</v>
      </c>
      <c r="I221" s="53">
        <f t="shared" ca="1" si="33"/>
        <v>61184109528851.172</v>
      </c>
      <c r="J221" s="53">
        <f t="shared" ca="1" si="34"/>
        <v>952115148089.0708</v>
      </c>
      <c r="K221" s="54">
        <f t="shared" ca="1" si="35"/>
        <v>64.261249967138824</v>
      </c>
    </row>
    <row r="222" spans="2:11" ht="15" customHeight="1" x14ac:dyDescent="0.35">
      <c r="B222" s="5">
        <v>201</v>
      </c>
      <c r="C222" s="52">
        <f t="shared" ca="1" si="27"/>
        <v>3.4319540251121348</v>
      </c>
      <c r="D222" s="53">
        <f t="shared" ca="1" si="28"/>
        <v>8870310562.7994747</v>
      </c>
      <c r="E222" s="53">
        <f t="shared" ca="1" si="29"/>
        <v>8361519135235.0596</v>
      </c>
      <c r="F222" s="53">
        <f t="shared" ca="1" si="30"/>
        <v>3442645827296.9351</v>
      </c>
      <c r="G222" s="53">
        <f t="shared" ca="1" si="31"/>
        <v>50102949444083.859</v>
      </c>
      <c r="H222" s="53">
        <f t="shared" ca="1" si="32"/>
        <v>3442645827296.9351</v>
      </c>
      <c r="I222" s="53">
        <f t="shared" ca="1" si="33"/>
        <v>2319382138483.3813</v>
      </c>
      <c r="J222" s="53">
        <f t="shared" ca="1" si="34"/>
        <v>1469373128229.3369</v>
      </c>
      <c r="K222" s="54">
        <f t="shared" ca="1" si="35"/>
        <v>1.5784841126626188</v>
      </c>
    </row>
    <row r="223" spans="2:11" ht="15" customHeight="1" x14ac:dyDescent="0.35">
      <c r="B223" s="5">
        <v>202</v>
      </c>
      <c r="C223" s="52">
        <f t="shared" ca="1" si="27"/>
        <v>2.7825012892381604</v>
      </c>
      <c r="D223" s="53">
        <f t="shared" ca="1" si="28"/>
        <v>3576841849.5865965</v>
      </c>
      <c r="E223" s="53">
        <f t="shared" ca="1" si="29"/>
        <v>10454908784676.773</v>
      </c>
      <c r="F223" s="53">
        <f t="shared" ca="1" si="30"/>
        <v>2318411726320.6011</v>
      </c>
      <c r="G223" s="53">
        <f t="shared" ca="1" si="31"/>
        <v>26752629999991.742</v>
      </c>
      <c r="H223" s="53">
        <f t="shared" ca="1" si="32"/>
        <v>26752629999991.742</v>
      </c>
      <c r="I223" s="53">
        <f t="shared" ca="1" si="33"/>
        <v>2326045675774.769</v>
      </c>
      <c r="J223" s="53">
        <f t="shared" ca="1" si="34"/>
        <v>1232026444029.8879</v>
      </c>
      <c r="K223" s="54">
        <f t="shared" ca="1" si="35"/>
        <v>1.8879835632150936</v>
      </c>
    </row>
    <row r="224" spans="2:11" ht="15" customHeight="1" x14ac:dyDescent="0.35">
      <c r="B224" s="5">
        <v>203</v>
      </c>
      <c r="C224" s="52">
        <f t="shared" ca="1" si="27"/>
        <v>3.0281456201644472</v>
      </c>
      <c r="D224" s="53">
        <f t="shared" ca="1" si="28"/>
        <v>5842782435.2902365</v>
      </c>
      <c r="E224" s="53">
        <f t="shared" ca="1" si="29"/>
        <v>75046012689896.188</v>
      </c>
      <c r="F224" s="53">
        <f t="shared" ca="1" si="30"/>
        <v>6472736165845.6836</v>
      </c>
      <c r="G224" s="53">
        <f t="shared" ca="1" si="31"/>
        <v>9945207735778.334</v>
      </c>
      <c r="H224" s="53">
        <f t="shared" ca="1" si="32"/>
        <v>75046012689896.188</v>
      </c>
      <c r="I224" s="53">
        <f t="shared" ca="1" si="33"/>
        <v>3750171687318.5801</v>
      </c>
      <c r="J224" s="53">
        <f t="shared" ca="1" si="34"/>
        <v>1552072237100.9116</v>
      </c>
      <c r="K224" s="54">
        <f t="shared" ca="1" si="35"/>
        <v>2.4162352741541588</v>
      </c>
    </row>
    <row r="225" spans="2:11" ht="15" customHeight="1" x14ac:dyDescent="0.35">
      <c r="B225" s="5">
        <v>204</v>
      </c>
      <c r="C225" s="52">
        <f t="shared" ca="1" si="27"/>
        <v>2.9982762619218759</v>
      </c>
      <c r="D225" s="53">
        <f t="shared" ca="1" si="28"/>
        <v>4561023564.2676077</v>
      </c>
      <c r="E225" s="53">
        <f t="shared" ca="1" si="29"/>
        <v>36899258554796.781</v>
      </c>
      <c r="F225" s="53">
        <f t="shared" ca="1" si="30"/>
        <v>6426291428345.6064</v>
      </c>
      <c r="G225" s="53">
        <f t="shared" ca="1" si="31"/>
        <v>29717651823339.414</v>
      </c>
      <c r="H225" s="53">
        <f t="shared" ca="1" si="32"/>
        <v>36899258554796.781</v>
      </c>
      <c r="I225" s="53">
        <f t="shared" ca="1" si="33"/>
        <v>11607983220872.66</v>
      </c>
      <c r="J225" s="53">
        <f t="shared" ca="1" si="34"/>
        <v>833816747809.10938</v>
      </c>
      <c r="K225" s="54">
        <f t="shared" ca="1" si="35"/>
        <v>13.921504037155829</v>
      </c>
    </row>
    <row r="226" spans="2:11" ht="15" customHeight="1" x14ac:dyDescent="0.35">
      <c r="B226" s="5">
        <v>205</v>
      </c>
      <c r="C226" s="52">
        <f t="shared" ca="1" si="27"/>
        <v>2.7106362319346182</v>
      </c>
      <c r="D226" s="53">
        <f t="shared" ca="1" si="28"/>
        <v>3196964766.8383331</v>
      </c>
      <c r="E226" s="53">
        <f t="shared" ca="1" si="29"/>
        <v>18840913860248.496</v>
      </c>
      <c r="F226" s="53">
        <f t="shared" ca="1" si="30"/>
        <v>2052413672014.4272</v>
      </c>
      <c r="G226" s="53">
        <f t="shared" ca="1" si="31"/>
        <v>25379080422610.586</v>
      </c>
      <c r="H226" s="53">
        <f t="shared" ca="1" si="32"/>
        <v>18840913860248.496</v>
      </c>
      <c r="I226" s="53">
        <f t="shared" ca="1" si="33"/>
        <v>8406853226659.3027</v>
      </c>
      <c r="J226" s="53">
        <f t="shared" ca="1" si="34"/>
        <v>865507837204.2738</v>
      </c>
      <c r="K226" s="54">
        <f t="shared" ca="1" si="35"/>
        <v>9.7132028911659063</v>
      </c>
    </row>
    <row r="227" spans="2:11" ht="15" customHeight="1" x14ac:dyDescent="0.35">
      <c r="B227" s="5">
        <v>206</v>
      </c>
      <c r="C227" s="52">
        <f t="shared" ca="1" si="27"/>
        <v>3.2521858000923847</v>
      </c>
      <c r="D227" s="53">
        <f t="shared" ca="1" si="28"/>
        <v>7032488923.1246395</v>
      </c>
      <c r="E227" s="53">
        <f t="shared" ca="1" si="29"/>
        <v>30546489628920.617</v>
      </c>
      <c r="F227" s="53">
        <f t="shared" ca="1" si="30"/>
        <v>3261589250241.0234</v>
      </c>
      <c r="G227" s="53">
        <f t="shared" ca="1" si="31"/>
        <v>466359890172.62805</v>
      </c>
      <c r="H227" s="53">
        <f t="shared" ca="1" si="32"/>
        <v>30546489628920.617</v>
      </c>
      <c r="I227" s="53">
        <f t="shared" ca="1" si="33"/>
        <v>18326606271419.215</v>
      </c>
      <c r="J227" s="53">
        <f t="shared" ca="1" si="34"/>
        <v>895354326486.68579</v>
      </c>
      <c r="K227" s="54">
        <f t="shared" ca="1" si="35"/>
        <v>20.468551644053218</v>
      </c>
    </row>
    <row r="228" spans="2:11" ht="15" customHeight="1" x14ac:dyDescent="0.35">
      <c r="B228" s="5">
        <v>207</v>
      </c>
      <c r="C228" s="52">
        <f t="shared" ca="1" si="27"/>
        <v>3.0873831693976075</v>
      </c>
      <c r="D228" s="53">
        <f t="shared" ca="1" si="28"/>
        <v>4534519682.2933941</v>
      </c>
      <c r="E228" s="53">
        <f t="shared" ca="1" si="29"/>
        <v>7869821202679.2627</v>
      </c>
      <c r="F228" s="53">
        <f t="shared" ca="1" si="30"/>
        <v>9019092359076.9941</v>
      </c>
      <c r="G228" s="53">
        <f t="shared" ca="1" si="31"/>
        <v>2079713724175.842</v>
      </c>
      <c r="H228" s="53">
        <f t="shared" ca="1" si="32"/>
        <v>9019092359076.9941</v>
      </c>
      <c r="I228" s="53">
        <f t="shared" ca="1" si="33"/>
        <v>133510034037776.45</v>
      </c>
      <c r="J228" s="53">
        <f t="shared" ca="1" si="34"/>
        <v>1125770443003.239</v>
      </c>
      <c r="K228" s="54">
        <f t="shared" ca="1" si="35"/>
        <v>118.59436785496804</v>
      </c>
    </row>
    <row r="229" spans="2:11" ht="15" customHeight="1" x14ac:dyDescent="0.35">
      <c r="B229" s="5">
        <v>208</v>
      </c>
      <c r="C229" s="52">
        <f t="shared" ca="1" si="27"/>
        <v>2.8602205583513021</v>
      </c>
      <c r="D229" s="53">
        <f t="shared" ca="1" si="28"/>
        <v>4428699904.4746771</v>
      </c>
      <c r="E229" s="53">
        <f t="shared" ca="1" si="29"/>
        <v>14427959831540.217</v>
      </c>
      <c r="F229" s="53">
        <f t="shared" ca="1" si="30"/>
        <v>15805454477543.977</v>
      </c>
      <c r="G229" s="53">
        <f t="shared" ca="1" si="31"/>
        <v>35248697175897.648</v>
      </c>
      <c r="H229" s="53">
        <f t="shared" ca="1" si="32"/>
        <v>15805454477543.977</v>
      </c>
      <c r="I229" s="53">
        <f t="shared" ca="1" si="33"/>
        <v>10356333317921.941</v>
      </c>
      <c r="J229" s="53">
        <f t="shared" ca="1" si="34"/>
        <v>1075154539630.438</v>
      </c>
      <c r="K229" s="54">
        <f t="shared" ca="1" si="35"/>
        <v>9.6324137007147979</v>
      </c>
    </row>
    <row r="230" spans="2:11" ht="15" customHeight="1" x14ac:dyDescent="0.35">
      <c r="B230" s="5">
        <v>209</v>
      </c>
      <c r="C230" s="52">
        <f t="shared" ca="1" si="27"/>
        <v>3.1876688255134837</v>
      </c>
      <c r="D230" s="53">
        <f t="shared" ca="1" si="28"/>
        <v>5689503217.9337225</v>
      </c>
      <c r="E230" s="53">
        <f t="shared" ca="1" si="29"/>
        <v>14189423079570.166</v>
      </c>
      <c r="F230" s="53">
        <f t="shared" ca="1" si="30"/>
        <v>869830727219.07837</v>
      </c>
      <c r="G230" s="53">
        <f t="shared" ca="1" si="31"/>
        <v>10761500278191.236</v>
      </c>
      <c r="H230" s="53">
        <f t="shared" ca="1" si="32"/>
        <v>14189423079570.166</v>
      </c>
      <c r="I230" s="53">
        <f t="shared" ca="1" si="33"/>
        <v>5518657527078.3799</v>
      </c>
      <c r="J230" s="53">
        <f t="shared" ca="1" si="34"/>
        <v>1285784502319.8586</v>
      </c>
      <c r="K230" s="54">
        <f t="shared" ca="1" si="35"/>
        <v>4.2920547861025078</v>
      </c>
    </row>
    <row r="231" spans="2:11" ht="15" customHeight="1" x14ac:dyDescent="0.35">
      <c r="B231" s="5">
        <v>210</v>
      </c>
      <c r="C231" s="52">
        <f t="shared" ca="1" si="27"/>
        <v>2.6201367341755928</v>
      </c>
      <c r="D231" s="53">
        <f t="shared" ca="1" si="28"/>
        <v>2918920487.3614693</v>
      </c>
      <c r="E231" s="53">
        <f t="shared" ca="1" si="29"/>
        <v>56979004359224.664</v>
      </c>
      <c r="F231" s="53">
        <f t="shared" ca="1" si="30"/>
        <v>4596298111362.5713</v>
      </c>
      <c r="G231" s="53">
        <f t="shared" ca="1" si="31"/>
        <v>1064286850030.2196</v>
      </c>
      <c r="H231" s="53">
        <f t="shared" ca="1" si="32"/>
        <v>4596298111362.5713</v>
      </c>
      <c r="I231" s="53">
        <f t="shared" ca="1" si="33"/>
        <v>19814127853186.563</v>
      </c>
      <c r="J231" s="53">
        <f t="shared" ca="1" si="34"/>
        <v>1808046045663.1196</v>
      </c>
      <c r="K231" s="54">
        <f t="shared" ca="1" si="35"/>
        <v>10.958862414325033</v>
      </c>
    </row>
    <row r="232" spans="2:11" ht="15" customHeight="1" x14ac:dyDescent="0.35">
      <c r="B232" s="5">
        <v>211</v>
      </c>
      <c r="C232" s="52">
        <f t="shared" ca="1" si="27"/>
        <v>3.9857662229893092</v>
      </c>
      <c r="D232" s="53">
        <f t="shared" ca="1" si="28"/>
        <v>24117433841.663536</v>
      </c>
      <c r="E232" s="53">
        <f t="shared" ca="1" si="29"/>
        <v>40010451362059.633</v>
      </c>
      <c r="F232" s="53">
        <f t="shared" ca="1" si="30"/>
        <v>4541369218293.2881</v>
      </c>
      <c r="G232" s="53">
        <f t="shared" ca="1" si="31"/>
        <v>225532569450.32587</v>
      </c>
      <c r="H232" s="53">
        <f t="shared" ca="1" si="32"/>
        <v>225532569450.32587</v>
      </c>
      <c r="I232" s="53">
        <f t="shared" ca="1" si="33"/>
        <v>4259831080634.0498</v>
      </c>
      <c r="J232" s="53">
        <f t="shared" ca="1" si="34"/>
        <v>1348595593948.8508</v>
      </c>
      <c r="K232" s="54">
        <f t="shared" ca="1" si="35"/>
        <v>3.1587164452767857</v>
      </c>
    </row>
    <row r="233" spans="2:11" ht="15" customHeight="1" x14ac:dyDescent="0.35">
      <c r="B233" s="5">
        <v>212</v>
      </c>
      <c r="C233" s="52">
        <f t="shared" ca="1" si="27"/>
        <v>2.6242232917059551</v>
      </c>
      <c r="D233" s="53">
        <f t="shared" ca="1" si="28"/>
        <v>2242955489.3109035</v>
      </c>
      <c r="E233" s="53">
        <f t="shared" ca="1" si="29"/>
        <v>8458847496893.7754</v>
      </c>
      <c r="F233" s="53">
        <f t="shared" ca="1" si="30"/>
        <v>3650622487339.9297</v>
      </c>
      <c r="G233" s="53">
        <f t="shared" ca="1" si="31"/>
        <v>16022446715762.934</v>
      </c>
      <c r="H233" s="53">
        <f t="shared" ca="1" si="32"/>
        <v>16022446715762.934</v>
      </c>
      <c r="I233" s="53">
        <f t="shared" ca="1" si="33"/>
        <v>29602183683883.73</v>
      </c>
      <c r="J233" s="53">
        <f t="shared" ca="1" si="34"/>
        <v>1299173983060.5576</v>
      </c>
      <c r="K233" s="54">
        <f t="shared" ca="1" si="35"/>
        <v>22.785388308152335</v>
      </c>
    </row>
    <row r="234" spans="2:11" ht="15" customHeight="1" x14ac:dyDescent="0.35">
      <c r="B234" s="5">
        <v>213</v>
      </c>
      <c r="C234" s="52">
        <f t="shared" ca="1" si="27"/>
        <v>2.9400694847361573</v>
      </c>
      <c r="D234" s="53">
        <f t="shared" ca="1" si="28"/>
        <v>3791437251.2019577</v>
      </c>
      <c r="E234" s="53">
        <f t="shared" ca="1" si="29"/>
        <v>31920674365842.555</v>
      </c>
      <c r="F234" s="53">
        <f t="shared" ca="1" si="30"/>
        <v>191091521275.22693</v>
      </c>
      <c r="G234" s="53">
        <f t="shared" ca="1" si="31"/>
        <v>8000364459385.502</v>
      </c>
      <c r="H234" s="53">
        <f t="shared" ca="1" si="32"/>
        <v>8000364459385.502</v>
      </c>
      <c r="I234" s="53">
        <f t="shared" ca="1" si="33"/>
        <v>11830634335438.855</v>
      </c>
      <c r="J234" s="53">
        <f t="shared" ca="1" si="34"/>
        <v>929315036922.23926</v>
      </c>
      <c r="K234" s="54">
        <f t="shared" ca="1" si="35"/>
        <v>12.730488440841604</v>
      </c>
    </row>
    <row r="235" spans="2:11" ht="15" customHeight="1" x14ac:dyDescent="0.35">
      <c r="B235" s="5">
        <v>214</v>
      </c>
      <c r="C235" s="52">
        <f t="shared" ca="1" si="27"/>
        <v>2.4691977172363231</v>
      </c>
      <c r="D235" s="53">
        <f t="shared" ca="1" si="28"/>
        <v>1790596079.9861689</v>
      </c>
      <c r="E235" s="53">
        <f t="shared" ca="1" si="29"/>
        <v>2961019522180.9951</v>
      </c>
      <c r="F235" s="53">
        <f t="shared" ca="1" si="30"/>
        <v>876255083435.7594</v>
      </c>
      <c r="G235" s="53">
        <f t="shared" ca="1" si="31"/>
        <v>23560197673643.965</v>
      </c>
      <c r="H235" s="53">
        <f t="shared" ca="1" si="32"/>
        <v>2961019522180.9951</v>
      </c>
      <c r="I235" s="53">
        <f t="shared" ca="1" si="33"/>
        <v>18115705126239.609</v>
      </c>
      <c r="J235" s="53">
        <f t="shared" ca="1" si="34"/>
        <v>1392544756125.0713</v>
      </c>
      <c r="K235" s="54">
        <f t="shared" ca="1" si="35"/>
        <v>13.009064912677427</v>
      </c>
    </row>
    <row r="236" spans="2:11" ht="15" customHeight="1" x14ac:dyDescent="0.35">
      <c r="B236" s="5">
        <v>215</v>
      </c>
      <c r="C236" s="52">
        <f t="shared" ca="1" si="27"/>
        <v>2.8017950402778338</v>
      </c>
      <c r="D236" s="53">
        <f t="shared" ca="1" si="28"/>
        <v>3467941873.7904754</v>
      </c>
      <c r="E236" s="53">
        <f t="shared" ca="1" si="29"/>
        <v>13235688788320.256</v>
      </c>
      <c r="F236" s="53">
        <f t="shared" ca="1" si="30"/>
        <v>3941465238749.3374</v>
      </c>
      <c r="G236" s="53">
        <f t="shared" ca="1" si="31"/>
        <v>4212985618445.7969</v>
      </c>
      <c r="H236" s="53">
        <f t="shared" ca="1" si="32"/>
        <v>4212985618445.7969</v>
      </c>
      <c r="I236" s="53">
        <f t="shared" ca="1" si="33"/>
        <v>9066014855568.7012</v>
      </c>
      <c r="J236" s="53">
        <f t="shared" ca="1" si="34"/>
        <v>1347662372364.6262</v>
      </c>
      <c r="K236" s="54">
        <f t="shared" ca="1" si="35"/>
        <v>6.727215244320691</v>
      </c>
    </row>
    <row r="237" spans="2:11" ht="15" customHeight="1" x14ac:dyDescent="0.35">
      <c r="B237" s="5">
        <v>216</v>
      </c>
      <c r="C237" s="52">
        <f t="shared" ca="1" si="27"/>
        <v>3.3488372672294715</v>
      </c>
      <c r="D237" s="53">
        <f t="shared" ca="1" si="28"/>
        <v>9614649656.4675636</v>
      </c>
      <c r="E237" s="53">
        <f t="shared" ca="1" si="29"/>
        <v>26680700196657.891</v>
      </c>
      <c r="F237" s="53">
        <f t="shared" ca="1" si="30"/>
        <v>3316185257206.5562</v>
      </c>
      <c r="G237" s="53">
        <f t="shared" ca="1" si="31"/>
        <v>24710435985797.043</v>
      </c>
      <c r="H237" s="53">
        <f t="shared" ca="1" si="32"/>
        <v>26680700196657.891</v>
      </c>
      <c r="I237" s="53">
        <f t="shared" ca="1" si="33"/>
        <v>22982853039154.344</v>
      </c>
      <c r="J237" s="53">
        <f t="shared" ca="1" si="34"/>
        <v>570741717644.75854</v>
      </c>
      <c r="K237" s="54">
        <f t="shared" ca="1" si="35"/>
        <v>40.268395192831072</v>
      </c>
    </row>
    <row r="238" spans="2:11" ht="15" customHeight="1" x14ac:dyDescent="0.35">
      <c r="B238" s="5">
        <v>217</v>
      </c>
      <c r="C238" s="52">
        <f t="shared" ca="1" si="27"/>
        <v>2.9841059690462961</v>
      </c>
      <c r="D238" s="53">
        <f t="shared" ca="1" si="28"/>
        <v>4673464638.5174065</v>
      </c>
      <c r="E238" s="53">
        <f t="shared" ca="1" si="29"/>
        <v>42979969981434.859</v>
      </c>
      <c r="F238" s="53">
        <f t="shared" ca="1" si="30"/>
        <v>1578935279390.9363</v>
      </c>
      <c r="G238" s="53">
        <f t="shared" ca="1" si="31"/>
        <v>26591236268637.383</v>
      </c>
      <c r="H238" s="53">
        <f t="shared" ca="1" si="32"/>
        <v>1578935279390.9363</v>
      </c>
      <c r="I238" s="53">
        <f t="shared" ca="1" si="33"/>
        <v>19158620856539.086</v>
      </c>
      <c r="J238" s="53">
        <f t="shared" ca="1" si="34"/>
        <v>683096807358.94446</v>
      </c>
      <c r="K238" s="54">
        <f t="shared" ca="1" si="35"/>
        <v>28.046714096955036</v>
      </c>
    </row>
    <row r="239" spans="2:11" ht="15" customHeight="1" x14ac:dyDescent="0.35">
      <c r="B239" s="5">
        <v>218</v>
      </c>
      <c r="C239" s="52">
        <f t="shared" ca="1" si="27"/>
        <v>3.3670176886700056</v>
      </c>
      <c r="D239" s="53">
        <f t="shared" ca="1" si="28"/>
        <v>7690102043.2696295</v>
      </c>
      <c r="E239" s="53">
        <f t="shared" ca="1" si="29"/>
        <v>29470912370353.883</v>
      </c>
      <c r="F239" s="53">
        <f t="shared" ca="1" si="30"/>
        <v>3257041347102.5923</v>
      </c>
      <c r="G239" s="53">
        <f t="shared" ca="1" si="31"/>
        <v>140745610278531.75</v>
      </c>
      <c r="H239" s="53">
        <f t="shared" ca="1" si="32"/>
        <v>3257041347102.5923</v>
      </c>
      <c r="I239" s="53">
        <f t="shared" ca="1" si="33"/>
        <v>7522563690648.876</v>
      </c>
      <c r="J239" s="53">
        <f t="shared" ca="1" si="34"/>
        <v>1328964607489.9666</v>
      </c>
      <c r="K239" s="54">
        <f t="shared" ca="1" si="35"/>
        <v>5.6604695476855804</v>
      </c>
    </row>
    <row r="240" spans="2:11" ht="15" customHeight="1" x14ac:dyDescent="0.35">
      <c r="B240" s="5">
        <v>219</v>
      </c>
      <c r="C240" s="52">
        <f t="shared" ca="1" si="27"/>
        <v>2.568526890493799</v>
      </c>
      <c r="D240" s="53">
        <f t="shared" ca="1" si="28"/>
        <v>1904326010.6456676</v>
      </c>
      <c r="E240" s="53">
        <f t="shared" ca="1" si="29"/>
        <v>3897703838653.604</v>
      </c>
      <c r="F240" s="53">
        <f t="shared" ca="1" si="30"/>
        <v>1701507593506.7192</v>
      </c>
      <c r="G240" s="53">
        <f t="shared" ca="1" si="31"/>
        <v>3145848110989.168</v>
      </c>
      <c r="H240" s="53">
        <f t="shared" ca="1" si="32"/>
        <v>3145848110989.168</v>
      </c>
      <c r="I240" s="53">
        <f t="shared" ca="1" si="33"/>
        <v>5041545099869.7412</v>
      </c>
      <c r="J240" s="53">
        <f t="shared" ca="1" si="34"/>
        <v>1522565276836.7271</v>
      </c>
      <c r="K240" s="54">
        <f t="shared" ca="1" si="35"/>
        <v>3.3112177038110486</v>
      </c>
    </row>
    <row r="241" spans="2:11" ht="15" customHeight="1" x14ac:dyDescent="0.35">
      <c r="B241" s="5">
        <v>220</v>
      </c>
      <c r="C241" s="52">
        <f t="shared" ca="1" si="27"/>
        <v>2.3263139452292227</v>
      </c>
      <c r="D241" s="53">
        <f t="shared" ca="1" si="28"/>
        <v>1562686262.8675187</v>
      </c>
      <c r="E241" s="53">
        <f t="shared" ca="1" si="29"/>
        <v>10633788169343.82</v>
      </c>
      <c r="F241" s="53">
        <f t="shared" ca="1" si="30"/>
        <v>9618239855978.7637</v>
      </c>
      <c r="G241" s="53">
        <f t="shared" ca="1" si="31"/>
        <v>34818722458379.066</v>
      </c>
      <c r="H241" s="53">
        <f t="shared" ca="1" si="32"/>
        <v>34818722458379.066</v>
      </c>
      <c r="I241" s="53">
        <f t="shared" ca="1" si="33"/>
        <v>3275416692346.8877</v>
      </c>
      <c r="J241" s="53">
        <f t="shared" ca="1" si="34"/>
        <v>963456029907.82507</v>
      </c>
      <c r="K241" s="54">
        <f t="shared" ca="1" si="35"/>
        <v>3.3996535292433121</v>
      </c>
    </row>
    <row r="242" spans="2:11" ht="15" customHeight="1" x14ac:dyDescent="0.35">
      <c r="B242" s="5">
        <v>221</v>
      </c>
      <c r="C242" s="52">
        <f t="shared" ca="1" si="27"/>
        <v>3.0419577720801243</v>
      </c>
      <c r="D242" s="53">
        <f t="shared" ca="1" si="28"/>
        <v>5812895824.1204338</v>
      </c>
      <c r="E242" s="53">
        <f t="shared" ca="1" si="29"/>
        <v>14020491534606.773</v>
      </c>
      <c r="F242" s="53">
        <f t="shared" ca="1" si="30"/>
        <v>1863933249203.7861</v>
      </c>
      <c r="G242" s="53">
        <f t="shared" ca="1" si="31"/>
        <v>588938538684.04858</v>
      </c>
      <c r="H242" s="53">
        <f t="shared" ca="1" si="32"/>
        <v>14020491534606.773</v>
      </c>
      <c r="I242" s="53">
        <f t="shared" ca="1" si="33"/>
        <v>1399614836933.2434</v>
      </c>
      <c r="J242" s="53">
        <f t="shared" ca="1" si="34"/>
        <v>531004532134.53259</v>
      </c>
      <c r="K242" s="54">
        <f t="shared" ca="1" si="35"/>
        <v>2.635786989062165</v>
      </c>
    </row>
    <row r="243" spans="2:11" ht="15" customHeight="1" x14ac:dyDescent="0.35">
      <c r="B243" s="5">
        <v>222</v>
      </c>
      <c r="C243" s="52">
        <f t="shared" ca="1" si="27"/>
        <v>3.3081641540002145</v>
      </c>
      <c r="D243" s="53">
        <f t="shared" ca="1" si="28"/>
        <v>6710655440.5275793</v>
      </c>
      <c r="E243" s="53">
        <f t="shared" ca="1" si="29"/>
        <v>15417713467616.984</v>
      </c>
      <c r="F243" s="53">
        <f t="shared" ca="1" si="30"/>
        <v>5418871694551.4365</v>
      </c>
      <c r="G243" s="53">
        <f t="shared" ca="1" si="31"/>
        <v>7656590547686.3301</v>
      </c>
      <c r="H243" s="53">
        <f t="shared" ca="1" si="32"/>
        <v>7656590547686.3301</v>
      </c>
      <c r="I243" s="53">
        <f t="shared" ca="1" si="33"/>
        <v>13802427304770.266</v>
      </c>
      <c r="J243" s="53">
        <f t="shared" ca="1" si="34"/>
        <v>1102558524678.5005</v>
      </c>
      <c r="K243" s="54">
        <f t="shared" ca="1" si="35"/>
        <v>12.518543910215534</v>
      </c>
    </row>
    <row r="244" spans="2:11" ht="15" customHeight="1" x14ac:dyDescent="0.35">
      <c r="B244" s="5">
        <v>223</v>
      </c>
      <c r="C244" s="52">
        <f t="shared" ca="1" si="27"/>
        <v>3.100361295376342</v>
      </c>
      <c r="D244" s="53">
        <f t="shared" ca="1" si="28"/>
        <v>6352569679.0994215</v>
      </c>
      <c r="E244" s="53">
        <f t="shared" ca="1" si="29"/>
        <v>29342828914439.348</v>
      </c>
      <c r="F244" s="53">
        <f t="shared" ca="1" si="30"/>
        <v>4029678254821.5161</v>
      </c>
      <c r="G244" s="53">
        <f t="shared" ca="1" si="31"/>
        <v>7066438042273.501</v>
      </c>
      <c r="H244" s="53">
        <f t="shared" ca="1" si="32"/>
        <v>4029678254821.5161</v>
      </c>
      <c r="I244" s="53">
        <f t="shared" ca="1" si="33"/>
        <v>1828340081895.3271</v>
      </c>
      <c r="J244" s="53">
        <f t="shared" ca="1" si="34"/>
        <v>1124144533881.7419</v>
      </c>
      <c r="K244" s="54">
        <f t="shared" ca="1" si="35"/>
        <v>1.6264279430172146</v>
      </c>
    </row>
    <row r="245" spans="2:11" ht="15" customHeight="1" x14ac:dyDescent="0.35">
      <c r="B245" s="5">
        <v>224</v>
      </c>
      <c r="C245" s="52">
        <f t="shared" ca="1" si="27"/>
        <v>3.4780895979216968</v>
      </c>
      <c r="D245" s="53">
        <f t="shared" ca="1" si="28"/>
        <v>12151520511.897665</v>
      </c>
      <c r="E245" s="53">
        <f t="shared" ca="1" si="29"/>
        <v>25387325848576.934</v>
      </c>
      <c r="F245" s="53">
        <f t="shared" ca="1" si="30"/>
        <v>7403534622257.7725</v>
      </c>
      <c r="G245" s="53">
        <f t="shared" ca="1" si="31"/>
        <v>343217157495.62793</v>
      </c>
      <c r="H245" s="53">
        <f t="shared" ca="1" si="32"/>
        <v>343217157495.62793</v>
      </c>
      <c r="I245" s="53">
        <f t="shared" ca="1" si="33"/>
        <v>20565177019758.238</v>
      </c>
      <c r="J245" s="53">
        <f t="shared" ca="1" si="34"/>
        <v>1384691329254.3379</v>
      </c>
      <c r="K245" s="54">
        <f t="shared" ca="1" si="35"/>
        <v>14.851813241896064</v>
      </c>
    </row>
    <row r="246" spans="2:11" ht="15" customHeight="1" x14ac:dyDescent="0.35">
      <c r="B246" s="5">
        <v>225</v>
      </c>
      <c r="C246" s="52">
        <f t="shared" ca="1" si="27"/>
        <v>3.1686929227572138</v>
      </c>
      <c r="D246" s="53">
        <f t="shared" ca="1" si="28"/>
        <v>7342900290.6053896</v>
      </c>
      <c r="E246" s="53">
        <f t="shared" ca="1" si="29"/>
        <v>99138579760091.391</v>
      </c>
      <c r="F246" s="53">
        <f t="shared" ca="1" si="30"/>
        <v>4866353594413.835</v>
      </c>
      <c r="G246" s="53">
        <f t="shared" ca="1" si="31"/>
        <v>49791447255388.992</v>
      </c>
      <c r="H246" s="53">
        <f t="shared" ca="1" si="32"/>
        <v>49791447255388.992</v>
      </c>
      <c r="I246" s="53">
        <f t="shared" ca="1" si="33"/>
        <v>3589110754185.1836</v>
      </c>
      <c r="J246" s="53">
        <f t="shared" ca="1" si="34"/>
        <v>1314086742743.2583</v>
      </c>
      <c r="K246" s="54">
        <f t="shared" ca="1" si="35"/>
        <v>2.7312586280968301</v>
      </c>
    </row>
    <row r="247" spans="2:11" ht="15" customHeight="1" x14ac:dyDescent="0.35">
      <c r="B247" s="5">
        <v>226</v>
      </c>
      <c r="C247" s="52">
        <f t="shared" ca="1" si="27"/>
        <v>2.0525542913568016</v>
      </c>
      <c r="D247" s="53">
        <f t="shared" ca="1" si="28"/>
        <v>665794499.76848507</v>
      </c>
      <c r="E247" s="53">
        <f t="shared" ca="1" si="29"/>
        <v>4960494850013.4854</v>
      </c>
      <c r="F247" s="53">
        <f t="shared" ca="1" si="30"/>
        <v>3369372860815.0361</v>
      </c>
      <c r="G247" s="53">
        <f t="shared" ca="1" si="31"/>
        <v>609220466791.6344</v>
      </c>
      <c r="H247" s="53">
        <f t="shared" ca="1" si="32"/>
        <v>609220466791.6344</v>
      </c>
      <c r="I247" s="53">
        <f t="shared" ca="1" si="33"/>
        <v>22427239703920.211</v>
      </c>
      <c r="J247" s="53">
        <f t="shared" ca="1" si="34"/>
        <v>1145097152897.3674</v>
      </c>
      <c r="K247" s="54">
        <f t="shared" ca="1" si="35"/>
        <v>19.585447092566753</v>
      </c>
    </row>
    <row r="248" spans="2:11" ht="15" customHeight="1" x14ac:dyDescent="0.35">
      <c r="B248" s="5">
        <v>227</v>
      </c>
      <c r="C248" s="52">
        <f t="shared" ca="1" si="27"/>
        <v>2.9747432042787945</v>
      </c>
      <c r="D248" s="53">
        <f t="shared" ca="1" si="28"/>
        <v>4815028728.6795607</v>
      </c>
      <c r="E248" s="53">
        <f t="shared" ca="1" si="29"/>
        <v>37857492838246.133</v>
      </c>
      <c r="F248" s="53">
        <f t="shared" ca="1" si="30"/>
        <v>425219050616.01697</v>
      </c>
      <c r="G248" s="53">
        <f t="shared" ca="1" si="31"/>
        <v>6195177021752.2314</v>
      </c>
      <c r="H248" s="53">
        <f t="shared" ca="1" si="32"/>
        <v>6195177021752.2314</v>
      </c>
      <c r="I248" s="53">
        <f t="shared" ca="1" si="33"/>
        <v>16091602425005.5</v>
      </c>
      <c r="J248" s="53">
        <f t="shared" ca="1" si="34"/>
        <v>972283403147.60608</v>
      </c>
      <c r="K248" s="54">
        <f t="shared" ca="1" si="35"/>
        <v>16.550320999938503</v>
      </c>
    </row>
    <row r="249" spans="2:11" ht="15" customHeight="1" x14ac:dyDescent="0.35">
      <c r="B249" s="5">
        <v>228</v>
      </c>
      <c r="C249" s="52">
        <f t="shared" ca="1" si="27"/>
        <v>2.999443857915161</v>
      </c>
      <c r="D249" s="53">
        <f t="shared" ca="1" si="28"/>
        <v>4318363275.0564709</v>
      </c>
      <c r="E249" s="53">
        <f t="shared" ca="1" si="29"/>
        <v>11315521118186.145</v>
      </c>
      <c r="F249" s="53">
        <f t="shared" ca="1" si="30"/>
        <v>2326203309194.9438</v>
      </c>
      <c r="G249" s="53">
        <f t="shared" ca="1" si="31"/>
        <v>5119499722471.9004</v>
      </c>
      <c r="H249" s="53">
        <f t="shared" ca="1" si="32"/>
        <v>2326203309194.9438</v>
      </c>
      <c r="I249" s="53">
        <f t="shared" ca="1" si="33"/>
        <v>57001308352483.453</v>
      </c>
      <c r="J249" s="53">
        <f t="shared" ca="1" si="34"/>
        <v>614155931673.0752</v>
      </c>
      <c r="K249" s="54">
        <f t="shared" ca="1" si="35"/>
        <v>92.812436407153584</v>
      </c>
    </row>
    <row r="250" spans="2:11" ht="15" customHeight="1" x14ac:dyDescent="0.35">
      <c r="B250" s="5">
        <v>229</v>
      </c>
      <c r="C250" s="52">
        <f t="shared" ca="1" si="27"/>
        <v>2.7433532434060526</v>
      </c>
      <c r="D250" s="53">
        <f t="shared" ca="1" si="28"/>
        <v>2729092378.3142877</v>
      </c>
      <c r="E250" s="53">
        <f t="shared" ca="1" si="29"/>
        <v>17021759908695.939</v>
      </c>
      <c r="F250" s="53">
        <f t="shared" ca="1" si="30"/>
        <v>20930590888082.523</v>
      </c>
      <c r="G250" s="53">
        <f t="shared" ca="1" si="31"/>
        <v>24737492757750.656</v>
      </c>
      <c r="H250" s="53">
        <f t="shared" ca="1" si="32"/>
        <v>20930590888082.523</v>
      </c>
      <c r="I250" s="53">
        <f t="shared" ca="1" si="33"/>
        <v>19467769245471.977</v>
      </c>
      <c r="J250" s="53">
        <f t="shared" ca="1" si="34"/>
        <v>1633412023797.2014</v>
      </c>
      <c r="K250" s="54">
        <f t="shared" ca="1" si="35"/>
        <v>11.918468189192799</v>
      </c>
    </row>
    <row r="251" spans="2:11" ht="15" customHeight="1" x14ac:dyDescent="0.35">
      <c r="B251" s="5">
        <v>230</v>
      </c>
      <c r="C251" s="52">
        <f t="shared" ca="1" si="27"/>
        <v>3.5160391522517624</v>
      </c>
      <c r="D251" s="53">
        <f t="shared" ca="1" si="28"/>
        <v>11852232107.948196</v>
      </c>
      <c r="E251" s="53">
        <f t="shared" ca="1" si="29"/>
        <v>76076566414796.469</v>
      </c>
      <c r="F251" s="53">
        <f t="shared" ca="1" si="30"/>
        <v>2292135670643.9219</v>
      </c>
      <c r="G251" s="53">
        <f t="shared" ca="1" si="31"/>
        <v>2456334157342.0688</v>
      </c>
      <c r="H251" s="53">
        <f t="shared" ca="1" si="32"/>
        <v>2456334157342.0688</v>
      </c>
      <c r="I251" s="53">
        <f t="shared" ca="1" si="33"/>
        <v>5099398611992.2676</v>
      </c>
      <c r="J251" s="53">
        <f t="shared" ca="1" si="34"/>
        <v>1422062220266.0608</v>
      </c>
      <c r="K251" s="54">
        <f t="shared" ca="1" si="35"/>
        <v>3.5859180697720774</v>
      </c>
    </row>
    <row r="252" spans="2:11" ht="15" customHeight="1" x14ac:dyDescent="0.35">
      <c r="B252" s="5">
        <v>231</v>
      </c>
      <c r="C252" s="52">
        <f t="shared" ca="1" si="27"/>
        <v>3.37430241322686</v>
      </c>
      <c r="D252" s="53">
        <f t="shared" ca="1" si="28"/>
        <v>10192390199.157576</v>
      </c>
      <c r="E252" s="53">
        <f t="shared" ca="1" si="29"/>
        <v>81791386379239.703</v>
      </c>
      <c r="F252" s="53">
        <f t="shared" ca="1" si="30"/>
        <v>172358602014.31949</v>
      </c>
      <c r="G252" s="53">
        <f t="shared" ca="1" si="31"/>
        <v>7424252636645.0059</v>
      </c>
      <c r="H252" s="53">
        <f t="shared" ca="1" si="32"/>
        <v>172358602014.31949</v>
      </c>
      <c r="I252" s="53">
        <f t="shared" ca="1" si="33"/>
        <v>21802041831297.238</v>
      </c>
      <c r="J252" s="53">
        <f t="shared" ca="1" si="34"/>
        <v>748804511404.83325</v>
      </c>
      <c r="K252" s="54">
        <f t="shared" ca="1" si="35"/>
        <v>29.115799249652483</v>
      </c>
    </row>
    <row r="253" spans="2:11" ht="15" customHeight="1" x14ac:dyDescent="0.35">
      <c r="B253" s="5">
        <v>232</v>
      </c>
      <c r="C253" s="52">
        <f t="shared" ca="1" si="27"/>
        <v>3.0598634624661791</v>
      </c>
      <c r="D253" s="53">
        <f t="shared" ca="1" si="28"/>
        <v>4918582538.1055241</v>
      </c>
      <c r="E253" s="53">
        <f t="shared" ca="1" si="29"/>
        <v>11210548497593.357</v>
      </c>
      <c r="F253" s="53">
        <f t="shared" ca="1" si="30"/>
        <v>1069124229921.4399</v>
      </c>
      <c r="G253" s="53">
        <f t="shared" ca="1" si="31"/>
        <v>1881210942713.3247</v>
      </c>
      <c r="H253" s="53">
        <f t="shared" ca="1" si="32"/>
        <v>11210548497593.357</v>
      </c>
      <c r="I253" s="53">
        <f t="shared" ca="1" si="33"/>
        <v>12646046791623.223</v>
      </c>
      <c r="J253" s="53">
        <f t="shared" ca="1" si="34"/>
        <v>1060233145992.1575</v>
      </c>
      <c r="K253" s="54">
        <f t="shared" ca="1" si="35"/>
        <v>11.927609355948928</v>
      </c>
    </row>
    <row r="254" spans="2:11" ht="15" customHeight="1" x14ac:dyDescent="0.35">
      <c r="B254" s="5">
        <v>233</v>
      </c>
      <c r="C254" s="52">
        <f t="shared" ca="1" si="27"/>
        <v>3.5071391789869142</v>
      </c>
      <c r="D254" s="53">
        <f t="shared" ca="1" si="28"/>
        <v>9224974598.4750805</v>
      </c>
      <c r="E254" s="53">
        <f t="shared" ca="1" si="29"/>
        <v>31097821350292.598</v>
      </c>
      <c r="F254" s="53">
        <f t="shared" ca="1" si="30"/>
        <v>2298675532017.71</v>
      </c>
      <c r="G254" s="53">
        <f t="shared" ca="1" si="31"/>
        <v>3571491145272.2246</v>
      </c>
      <c r="H254" s="53">
        <f t="shared" ca="1" si="32"/>
        <v>31097821350292.598</v>
      </c>
      <c r="I254" s="53">
        <f t="shared" ca="1" si="33"/>
        <v>3513842419881.8301</v>
      </c>
      <c r="J254" s="53">
        <f t="shared" ca="1" si="34"/>
        <v>573054400411.61023</v>
      </c>
      <c r="K254" s="54">
        <f t="shared" ca="1" si="35"/>
        <v>6.1317780953395129</v>
      </c>
    </row>
    <row r="255" spans="2:11" ht="15" customHeight="1" x14ac:dyDescent="0.35">
      <c r="B255" s="5">
        <v>234</v>
      </c>
      <c r="C255" s="52">
        <f t="shared" ca="1" si="27"/>
        <v>1.8</v>
      </c>
      <c r="D255" s="53">
        <f t="shared" ca="1" si="28"/>
        <v>368558112.73280352</v>
      </c>
      <c r="E255" s="53">
        <f t="shared" ca="1" si="29"/>
        <v>4200299486397.5674</v>
      </c>
      <c r="F255" s="53">
        <f t="shared" ca="1" si="30"/>
        <v>777855746791.72546</v>
      </c>
      <c r="G255" s="53">
        <f t="shared" ca="1" si="31"/>
        <v>41712581636386.039</v>
      </c>
      <c r="H255" s="53">
        <f t="shared" ca="1" si="32"/>
        <v>777855746791.72546</v>
      </c>
      <c r="I255" s="53">
        <f t="shared" ca="1" si="33"/>
        <v>5867535679770.2646</v>
      </c>
      <c r="J255" s="53">
        <f t="shared" ca="1" si="34"/>
        <v>1594504084456.167</v>
      </c>
      <c r="K255" s="54">
        <f t="shared" ca="1" si="35"/>
        <v>3.6798498899872611</v>
      </c>
    </row>
    <row r="256" spans="2:11" ht="15" customHeight="1" x14ac:dyDescent="0.35">
      <c r="B256" s="5">
        <v>235</v>
      </c>
      <c r="C256" s="52">
        <f t="shared" ca="1" si="27"/>
        <v>3.4070780150687812</v>
      </c>
      <c r="D256" s="53">
        <f t="shared" ca="1" si="28"/>
        <v>8122501922.1224356</v>
      </c>
      <c r="E256" s="53">
        <f t="shared" ca="1" si="29"/>
        <v>14930692953193.801</v>
      </c>
      <c r="F256" s="53">
        <f t="shared" ca="1" si="30"/>
        <v>1295269620624.0691</v>
      </c>
      <c r="G256" s="53">
        <f t="shared" ca="1" si="31"/>
        <v>837393904926.23572</v>
      </c>
      <c r="H256" s="53">
        <f t="shared" ca="1" si="32"/>
        <v>1295269620624.0691</v>
      </c>
      <c r="I256" s="53">
        <f t="shared" ca="1" si="33"/>
        <v>569467654326.79187</v>
      </c>
      <c r="J256" s="53">
        <f t="shared" ca="1" si="34"/>
        <v>897719550304.19263</v>
      </c>
      <c r="K256" s="54">
        <f t="shared" ca="1" si="35"/>
        <v>0.63434917300601013</v>
      </c>
    </row>
    <row r="257" spans="2:11" ht="15" customHeight="1" x14ac:dyDescent="0.35">
      <c r="B257" s="5">
        <v>236</v>
      </c>
      <c r="C257" s="52">
        <f t="shared" ca="1" si="27"/>
        <v>3.2771968182174538</v>
      </c>
      <c r="D257" s="53">
        <f t="shared" ca="1" si="28"/>
        <v>7579951937.0393639</v>
      </c>
      <c r="E257" s="53">
        <f t="shared" ca="1" si="29"/>
        <v>90232586007946.891</v>
      </c>
      <c r="F257" s="53">
        <f t="shared" ca="1" si="30"/>
        <v>2294863995460.29</v>
      </c>
      <c r="G257" s="53">
        <f t="shared" ca="1" si="31"/>
        <v>4104965025856.8486</v>
      </c>
      <c r="H257" s="53">
        <f t="shared" ca="1" si="32"/>
        <v>90232586007946.891</v>
      </c>
      <c r="I257" s="53">
        <f t="shared" ca="1" si="33"/>
        <v>6153129539630.7803</v>
      </c>
      <c r="J257" s="53">
        <f t="shared" ca="1" si="34"/>
        <v>646819329215.61584</v>
      </c>
      <c r="K257" s="54">
        <f t="shared" ca="1" si="35"/>
        <v>9.5129030035211706</v>
      </c>
    </row>
    <row r="258" spans="2:11" ht="15" customHeight="1" x14ac:dyDescent="0.35">
      <c r="B258" s="5">
        <v>237</v>
      </c>
      <c r="C258" s="52">
        <f t="shared" ca="1" si="27"/>
        <v>3.487020827912569</v>
      </c>
      <c r="D258" s="53">
        <f t="shared" ca="1" si="28"/>
        <v>11502179890.694477</v>
      </c>
      <c r="E258" s="53">
        <f t="shared" ca="1" si="29"/>
        <v>71433315054812.453</v>
      </c>
      <c r="F258" s="53">
        <f t="shared" ca="1" si="30"/>
        <v>4326491958823.563</v>
      </c>
      <c r="G258" s="53">
        <f t="shared" ca="1" si="31"/>
        <v>65673540803777.516</v>
      </c>
      <c r="H258" s="53">
        <f t="shared" ca="1" si="32"/>
        <v>65673540803777.516</v>
      </c>
      <c r="I258" s="53">
        <f t="shared" ca="1" si="33"/>
        <v>5218736521406.4023</v>
      </c>
      <c r="J258" s="53">
        <f t="shared" ca="1" si="34"/>
        <v>1160056740157.3005</v>
      </c>
      <c r="K258" s="54">
        <f t="shared" ca="1" si="35"/>
        <v>4.4986907456774539</v>
      </c>
    </row>
    <row r="259" spans="2:11" ht="15" customHeight="1" x14ac:dyDescent="0.35">
      <c r="B259" s="5">
        <v>238</v>
      </c>
      <c r="C259" s="52">
        <f t="shared" ca="1" si="27"/>
        <v>2.9795295153494776</v>
      </c>
      <c r="D259" s="53">
        <f t="shared" ca="1" si="28"/>
        <v>5164173660.1522608</v>
      </c>
      <c r="E259" s="53">
        <f t="shared" ca="1" si="29"/>
        <v>7357057417641.4697</v>
      </c>
      <c r="F259" s="53">
        <f t="shared" ca="1" si="30"/>
        <v>2458210709681.208</v>
      </c>
      <c r="G259" s="53">
        <f t="shared" ca="1" si="31"/>
        <v>2181888183083.7256</v>
      </c>
      <c r="H259" s="53">
        <f t="shared" ca="1" si="32"/>
        <v>2458210709681.208</v>
      </c>
      <c r="I259" s="53">
        <f t="shared" ca="1" si="33"/>
        <v>461960880714.4978</v>
      </c>
      <c r="J259" s="53">
        <f t="shared" ca="1" si="34"/>
        <v>464385909832.48242</v>
      </c>
      <c r="K259" s="54">
        <f t="shared" ca="1" si="35"/>
        <v>0.99477798730185552</v>
      </c>
    </row>
    <row r="260" spans="2:11" ht="15" customHeight="1" x14ac:dyDescent="0.35">
      <c r="B260" s="5">
        <v>239</v>
      </c>
      <c r="C260" s="52">
        <f t="shared" ca="1" si="27"/>
        <v>2.6499299733365591</v>
      </c>
      <c r="D260" s="53">
        <f t="shared" ca="1" si="28"/>
        <v>2860321592.2626719</v>
      </c>
      <c r="E260" s="53">
        <f t="shared" ca="1" si="29"/>
        <v>10573136171427.658</v>
      </c>
      <c r="F260" s="53">
        <f t="shared" ca="1" si="30"/>
        <v>2214449120804.6826</v>
      </c>
      <c r="G260" s="53">
        <f t="shared" ca="1" si="31"/>
        <v>18685203857063.445</v>
      </c>
      <c r="H260" s="53">
        <f t="shared" ca="1" si="32"/>
        <v>2214449120804.6826</v>
      </c>
      <c r="I260" s="53">
        <f t="shared" ca="1" si="33"/>
        <v>4984950000631.0996</v>
      </c>
      <c r="J260" s="53">
        <f t="shared" ca="1" si="34"/>
        <v>1525518939575.0264</v>
      </c>
      <c r="K260" s="54">
        <f t="shared" ca="1" si="35"/>
        <v>3.267707710020165</v>
      </c>
    </row>
    <row r="261" spans="2:11" ht="15" customHeight="1" x14ac:dyDescent="0.35">
      <c r="B261" s="5">
        <v>240</v>
      </c>
      <c r="C261" s="52">
        <f t="shared" ca="1" si="27"/>
        <v>3.2029406140250187</v>
      </c>
      <c r="D261" s="53">
        <f t="shared" ca="1" si="28"/>
        <v>5518514991.284667</v>
      </c>
      <c r="E261" s="53">
        <f t="shared" ca="1" si="29"/>
        <v>34704603360213.57</v>
      </c>
      <c r="F261" s="53">
        <f t="shared" ca="1" si="30"/>
        <v>2037280687428.6228</v>
      </c>
      <c r="G261" s="53">
        <f t="shared" ca="1" si="31"/>
        <v>452017789000.86292</v>
      </c>
      <c r="H261" s="53">
        <f t="shared" ca="1" si="32"/>
        <v>452017789000.86292</v>
      </c>
      <c r="I261" s="53">
        <f t="shared" ca="1" si="33"/>
        <v>3131145009071.394</v>
      </c>
      <c r="J261" s="53">
        <f t="shared" ca="1" si="34"/>
        <v>800708791681.02258</v>
      </c>
      <c r="K261" s="54">
        <f t="shared" ca="1" si="35"/>
        <v>3.9104666285701839</v>
      </c>
    </row>
    <row r="262" spans="2:11" ht="15" customHeight="1" x14ac:dyDescent="0.35">
      <c r="B262" s="5">
        <v>241</v>
      </c>
      <c r="C262" s="52">
        <f t="shared" ca="1" si="27"/>
        <v>3.6551438848636142</v>
      </c>
      <c r="D262" s="53">
        <f t="shared" ca="1" si="28"/>
        <v>12925835058.352034</v>
      </c>
      <c r="E262" s="53">
        <f t="shared" ca="1" si="29"/>
        <v>282700730458310.63</v>
      </c>
      <c r="F262" s="53">
        <f t="shared" ca="1" si="30"/>
        <v>2094321667336.5544</v>
      </c>
      <c r="G262" s="53">
        <f t="shared" ca="1" si="31"/>
        <v>50312927574804.844</v>
      </c>
      <c r="H262" s="53">
        <f t="shared" ca="1" si="32"/>
        <v>282700730458310.63</v>
      </c>
      <c r="I262" s="53">
        <f t="shared" ca="1" si="33"/>
        <v>3038110561142.7021</v>
      </c>
      <c r="J262" s="53">
        <f t="shared" ca="1" si="34"/>
        <v>1375473102706.3381</v>
      </c>
      <c r="K262" s="54">
        <f t="shared" ca="1" si="35"/>
        <v>2.2087749699830628</v>
      </c>
    </row>
    <row r="263" spans="2:11" ht="15" customHeight="1" x14ac:dyDescent="0.35">
      <c r="B263" s="5">
        <v>242</v>
      </c>
      <c r="C263" s="52">
        <f t="shared" ca="1" si="27"/>
        <v>3.215956759110234</v>
      </c>
      <c r="D263" s="53">
        <f t="shared" ca="1" si="28"/>
        <v>7468002726.3001795</v>
      </c>
      <c r="E263" s="53">
        <f t="shared" ca="1" si="29"/>
        <v>71774714193639.156</v>
      </c>
      <c r="F263" s="53">
        <f t="shared" ca="1" si="30"/>
        <v>466799034798.349</v>
      </c>
      <c r="G263" s="53">
        <f t="shared" ca="1" si="31"/>
        <v>3005287708138.5859</v>
      </c>
      <c r="H263" s="53">
        <f t="shared" ca="1" si="32"/>
        <v>466799034798.349</v>
      </c>
      <c r="I263" s="53">
        <f t="shared" ca="1" si="33"/>
        <v>18116577547775.254</v>
      </c>
      <c r="J263" s="53">
        <f t="shared" ca="1" si="34"/>
        <v>1139596943200.1042</v>
      </c>
      <c r="K263" s="54">
        <f t="shared" ca="1" si="35"/>
        <v>15.897355337670581</v>
      </c>
    </row>
    <row r="264" spans="2:11" ht="15" customHeight="1" x14ac:dyDescent="0.35">
      <c r="B264" s="5">
        <v>243</v>
      </c>
      <c r="C264" s="52">
        <f t="shared" ca="1" si="27"/>
        <v>2.7775178647789134</v>
      </c>
      <c r="D264" s="53">
        <f t="shared" ca="1" si="28"/>
        <v>3621642819.3996263</v>
      </c>
      <c r="E264" s="53">
        <f t="shared" ca="1" si="29"/>
        <v>12267604931319.289</v>
      </c>
      <c r="F264" s="53">
        <f t="shared" ca="1" si="30"/>
        <v>11550208522375.943</v>
      </c>
      <c r="G264" s="53">
        <f t="shared" ca="1" si="31"/>
        <v>24405332461601.047</v>
      </c>
      <c r="H264" s="53">
        <f t="shared" ca="1" si="32"/>
        <v>11550208522375.943</v>
      </c>
      <c r="I264" s="53">
        <f t="shared" ca="1" si="33"/>
        <v>7507617865744.5508</v>
      </c>
      <c r="J264" s="53">
        <f t="shared" ca="1" si="34"/>
        <v>1831049556725.7815</v>
      </c>
      <c r="K264" s="54">
        <f t="shared" ca="1" si="35"/>
        <v>4.1001718594495111</v>
      </c>
    </row>
    <row r="265" spans="2:11" ht="15" customHeight="1" x14ac:dyDescent="0.35">
      <c r="B265" s="5">
        <v>244</v>
      </c>
      <c r="C265" s="52">
        <f t="shared" ca="1" si="27"/>
        <v>3.3246948876319893</v>
      </c>
      <c r="D265" s="53">
        <f t="shared" ca="1" si="28"/>
        <v>8621582351.7214222</v>
      </c>
      <c r="E265" s="53">
        <f t="shared" ca="1" si="29"/>
        <v>6459690707761.4971</v>
      </c>
      <c r="F265" s="53">
        <f t="shared" ca="1" si="30"/>
        <v>715791213630.93152</v>
      </c>
      <c r="G265" s="53">
        <f t="shared" ca="1" si="31"/>
        <v>37680917598110.648</v>
      </c>
      <c r="H265" s="53">
        <f t="shared" ca="1" si="32"/>
        <v>6459690707761.4971</v>
      </c>
      <c r="I265" s="53">
        <f t="shared" ca="1" si="33"/>
        <v>34487169616585.27</v>
      </c>
      <c r="J265" s="53">
        <f t="shared" ca="1" si="34"/>
        <v>807123108856.78235</v>
      </c>
      <c r="K265" s="54">
        <f t="shared" ca="1" si="35"/>
        <v>42.728512215978128</v>
      </c>
    </row>
    <row r="266" spans="2:11" ht="15" customHeight="1" x14ac:dyDescent="0.35">
      <c r="B266" s="5">
        <v>245</v>
      </c>
      <c r="C266" s="52">
        <f t="shared" ca="1" si="27"/>
        <v>2.8939556385196599</v>
      </c>
      <c r="D266" s="53">
        <f t="shared" ca="1" si="28"/>
        <v>3347155862.5264268</v>
      </c>
      <c r="E266" s="53">
        <f t="shared" ca="1" si="29"/>
        <v>3691043494476.521</v>
      </c>
      <c r="F266" s="53">
        <f t="shared" ca="1" si="30"/>
        <v>2011476064961.6355</v>
      </c>
      <c r="G266" s="53">
        <f t="shared" ca="1" si="31"/>
        <v>15986727964467.201</v>
      </c>
      <c r="H266" s="53">
        <f t="shared" ca="1" si="32"/>
        <v>15986727964467.201</v>
      </c>
      <c r="I266" s="53">
        <f t="shared" ca="1" si="33"/>
        <v>40612480319316.719</v>
      </c>
      <c r="J266" s="53">
        <f t="shared" ca="1" si="34"/>
        <v>1101236911644.4893</v>
      </c>
      <c r="K266" s="54">
        <f t="shared" ca="1" si="35"/>
        <v>36.878967540844279</v>
      </c>
    </row>
    <row r="267" spans="2:11" ht="15" customHeight="1" x14ac:dyDescent="0.35">
      <c r="B267" s="5">
        <v>246</v>
      </c>
      <c r="C267" s="52">
        <f t="shared" ca="1" si="27"/>
        <v>3.3273844881891415</v>
      </c>
      <c r="D267" s="53">
        <f t="shared" ca="1" si="28"/>
        <v>8893467427.174221</v>
      </c>
      <c r="E267" s="53">
        <f t="shared" ca="1" si="29"/>
        <v>162709615336453.69</v>
      </c>
      <c r="F267" s="53">
        <f t="shared" ca="1" si="30"/>
        <v>7072301691759.2988</v>
      </c>
      <c r="G267" s="53">
        <f t="shared" ca="1" si="31"/>
        <v>68256556333657.531</v>
      </c>
      <c r="H267" s="53">
        <f t="shared" ca="1" si="32"/>
        <v>68256556333657.531</v>
      </c>
      <c r="I267" s="53">
        <f t="shared" ca="1" si="33"/>
        <v>835441755737037.88</v>
      </c>
      <c r="J267" s="53">
        <f t="shared" ca="1" si="34"/>
        <v>863003647774.42969</v>
      </c>
      <c r="K267" s="54">
        <f t="shared" ca="1" si="35"/>
        <v>968.06283251702325</v>
      </c>
    </row>
    <row r="268" spans="2:11" ht="15" customHeight="1" x14ac:dyDescent="0.35">
      <c r="B268" s="5">
        <v>247</v>
      </c>
      <c r="C268" s="52">
        <f t="shared" ca="1" si="27"/>
        <v>2.9648618453365199</v>
      </c>
      <c r="D268" s="53">
        <f t="shared" ca="1" si="28"/>
        <v>3727685293.3248267</v>
      </c>
      <c r="E268" s="53">
        <f t="shared" ca="1" si="29"/>
        <v>9440098662671.209</v>
      </c>
      <c r="F268" s="53">
        <f t="shared" ca="1" si="30"/>
        <v>698571985725.56799</v>
      </c>
      <c r="G268" s="53">
        <f t="shared" ca="1" si="31"/>
        <v>1640614808726.1914</v>
      </c>
      <c r="H268" s="53">
        <f t="shared" ca="1" si="32"/>
        <v>1640614808726.1914</v>
      </c>
      <c r="I268" s="53">
        <f t="shared" ca="1" si="33"/>
        <v>2469836066225.9302</v>
      </c>
      <c r="J268" s="53">
        <f t="shared" ca="1" si="34"/>
        <v>638720560444.86121</v>
      </c>
      <c r="K268" s="54">
        <f t="shared" ca="1" si="35"/>
        <v>3.8668491656284227</v>
      </c>
    </row>
    <row r="269" spans="2:11" ht="15" customHeight="1" x14ac:dyDescent="0.35">
      <c r="B269" s="5">
        <v>248</v>
      </c>
      <c r="C269" s="52">
        <f t="shared" ca="1" si="27"/>
        <v>2.6655463227741918</v>
      </c>
      <c r="D269" s="53">
        <f t="shared" ca="1" si="28"/>
        <v>2294761663.7351856</v>
      </c>
      <c r="E269" s="53">
        <f t="shared" ca="1" si="29"/>
        <v>14644021549364.348</v>
      </c>
      <c r="F269" s="53">
        <f t="shared" ca="1" si="30"/>
        <v>1941613185492.6831</v>
      </c>
      <c r="G269" s="53">
        <f t="shared" ca="1" si="31"/>
        <v>15875499794859.637</v>
      </c>
      <c r="H269" s="53">
        <f t="shared" ca="1" si="32"/>
        <v>14644021549364.348</v>
      </c>
      <c r="I269" s="53">
        <f t="shared" ca="1" si="33"/>
        <v>1029079665251.2419</v>
      </c>
      <c r="J269" s="53">
        <f t="shared" ca="1" si="34"/>
        <v>886132422560.0769</v>
      </c>
      <c r="K269" s="54">
        <f t="shared" ca="1" si="35"/>
        <v>1.1613158925820408</v>
      </c>
    </row>
    <row r="270" spans="2:11" ht="15" customHeight="1" x14ac:dyDescent="0.35">
      <c r="B270" s="5">
        <v>249</v>
      </c>
      <c r="C270" s="52">
        <f t="shared" ca="1" si="27"/>
        <v>2.4893685156875049</v>
      </c>
      <c r="D270" s="53">
        <f t="shared" ca="1" si="28"/>
        <v>2195516629.8969054</v>
      </c>
      <c r="E270" s="53">
        <f t="shared" ca="1" si="29"/>
        <v>22652551641039.949</v>
      </c>
      <c r="F270" s="53">
        <f t="shared" ca="1" si="30"/>
        <v>6621137000656.0889</v>
      </c>
      <c r="G270" s="53">
        <f t="shared" ca="1" si="31"/>
        <v>20270458913893.543</v>
      </c>
      <c r="H270" s="53">
        <f t="shared" ca="1" si="32"/>
        <v>20270458913893.543</v>
      </c>
      <c r="I270" s="53">
        <f t="shared" ca="1" si="33"/>
        <v>25705073684861.648</v>
      </c>
      <c r="J270" s="53">
        <f t="shared" ca="1" si="34"/>
        <v>515747816955.62878</v>
      </c>
      <c r="K270" s="54">
        <f t="shared" ca="1" si="35"/>
        <v>49.84039261008278</v>
      </c>
    </row>
    <row r="271" spans="2:11" ht="15" customHeight="1" x14ac:dyDescent="0.35">
      <c r="B271" s="5">
        <v>250</v>
      </c>
      <c r="C271" s="52">
        <f t="shared" ca="1" si="27"/>
        <v>3.5705704297728382</v>
      </c>
      <c r="D271" s="53">
        <f t="shared" ca="1" si="28"/>
        <v>9537861351.6434193</v>
      </c>
      <c r="E271" s="53">
        <f t="shared" ca="1" si="29"/>
        <v>70061333970791.391</v>
      </c>
      <c r="F271" s="53">
        <f t="shared" ca="1" si="30"/>
        <v>3949068938111.7773</v>
      </c>
      <c r="G271" s="53">
        <f t="shared" ca="1" si="31"/>
        <v>1890823492078.4277</v>
      </c>
      <c r="H271" s="53">
        <f t="shared" ca="1" si="32"/>
        <v>3949068938111.7773</v>
      </c>
      <c r="I271" s="53">
        <f t="shared" ca="1" si="33"/>
        <v>22229133709058.902</v>
      </c>
      <c r="J271" s="53">
        <f t="shared" ca="1" si="34"/>
        <v>693525772774.31812</v>
      </c>
      <c r="K271" s="54">
        <f t="shared" ca="1" si="35"/>
        <v>32.052354190292704</v>
      </c>
    </row>
    <row r="272" spans="2:11" ht="15" customHeight="1" x14ac:dyDescent="0.35">
      <c r="B272" s="5">
        <v>251</v>
      </c>
      <c r="C272" s="52">
        <f t="shared" ca="1" si="27"/>
        <v>3.412274097891411</v>
      </c>
      <c r="D272" s="53">
        <f t="shared" ca="1" si="28"/>
        <v>7546812126.4868612</v>
      </c>
      <c r="E272" s="53">
        <f t="shared" ca="1" si="29"/>
        <v>19326385474134.641</v>
      </c>
      <c r="F272" s="53">
        <f t="shared" ca="1" si="30"/>
        <v>10446044189644.844</v>
      </c>
      <c r="G272" s="53">
        <f t="shared" ca="1" si="31"/>
        <v>10217116231974.494</v>
      </c>
      <c r="H272" s="53">
        <f t="shared" ca="1" si="32"/>
        <v>10217116231974.494</v>
      </c>
      <c r="I272" s="53">
        <f t="shared" ca="1" si="33"/>
        <v>9892686824326.1074</v>
      </c>
      <c r="J272" s="53">
        <f t="shared" ca="1" si="34"/>
        <v>1275617899793.5127</v>
      </c>
      <c r="K272" s="54">
        <f t="shared" ca="1" si="35"/>
        <v>7.7552116710869772</v>
      </c>
    </row>
    <row r="273" spans="2:11" ht="15" customHeight="1" x14ac:dyDescent="0.35">
      <c r="B273" s="5">
        <v>252</v>
      </c>
      <c r="C273" s="52">
        <f t="shared" ca="1" si="27"/>
        <v>3.0153359014631453</v>
      </c>
      <c r="D273" s="53">
        <f t="shared" ca="1" si="28"/>
        <v>4622924941.1269665</v>
      </c>
      <c r="E273" s="53">
        <f t="shared" ca="1" si="29"/>
        <v>7199723273251.7607</v>
      </c>
      <c r="F273" s="53">
        <f t="shared" ca="1" si="30"/>
        <v>968814474835.67114</v>
      </c>
      <c r="G273" s="53">
        <f t="shared" ca="1" si="31"/>
        <v>10469806671439.125</v>
      </c>
      <c r="H273" s="53">
        <f t="shared" ca="1" si="32"/>
        <v>10469806671439.125</v>
      </c>
      <c r="I273" s="53">
        <f t="shared" ca="1" si="33"/>
        <v>25095587574255.996</v>
      </c>
      <c r="J273" s="53">
        <f t="shared" ca="1" si="34"/>
        <v>935895920500.73523</v>
      </c>
      <c r="K273" s="54">
        <f t="shared" ca="1" si="35"/>
        <v>26.814506853314445</v>
      </c>
    </row>
    <row r="274" spans="2:11" ht="15" customHeight="1" x14ac:dyDescent="0.35">
      <c r="B274" s="5">
        <v>253</v>
      </c>
      <c r="C274" s="52">
        <f t="shared" ca="1" si="27"/>
        <v>2.6326296141928092</v>
      </c>
      <c r="D274" s="53">
        <f t="shared" ca="1" si="28"/>
        <v>2040728172.961803</v>
      </c>
      <c r="E274" s="53">
        <f t="shared" ca="1" si="29"/>
        <v>3595772646295.9663</v>
      </c>
      <c r="F274" s="53">
        <f t="shared" ca="1" si="30"/>
        <v>3523880533790.5825</v>
      </c>
      <c r="G274" s="53">
        <f t="shared" ca="1" si="31"/>
        <v>4287183217319.9307</v>
      </c>
      <c r="H274" s="53">
        <f t="shared" ca="1" si="32"/>
        <v>4287183217319.9307</v>
      </c>
      <c r="I274" s="53">
        <f t="shared" ca="1" si="33"/>
        <v>2869671298179.7607</v>
      </c>
      <c r="J274" s="53">
        <f t="shared" ca="1" si="34"/>
        <v>610538524582.60205</v>
      </c>
      <c r="K274" s="54">
        <f t="shared" ca="1" si="35"/>
        <v>4.7002296868025271</v>
      </c>
    </row>
    <row r="275" spans="2:11" ht="15" customHeight="1" x14ac:dyDescent="0.35">
      <c r="B275" s="5">
        <v>254</v>
      </c>
      <c r="C275" s="52">
        <f t="shared" ca="1" si="27"/>
        <v>2.3472137035462364</v>
      </c>
      <c r="D275" s="53">
        <f t="shared" ca="1" si="28"/>
        <v>1233276437.5595231</v>
      </c>
      <c r="E275" s="53">
        <f t="shared" ca="1" si="29"/>
        <v>2914389879563.9834</v>
      </c>
      <c r="F275" s="53">
        <f t="shared" ca="1" si="30"/>
        <v>686333146230.59583</v>
      </c>
      <c r="G275" s="53">
        <f t="shared" ca="1" si="31"/>
        <v>2529005528026.3013</v>
      </c>
      <c r="H275" s="53">
        <f t="shared" ca="1" si="32"/>
        <v>686333146230.59583</v>
      </c>
      <c r="I275" s="53">
        <f t="shared" ca="1" si="33"/>
        <v>3393018289521.2251</v>
      </c>
      <c r="J275" s="53">
        <f t="shared" ca="1" si="34"/>
        <v>878840144825.85583</v>
      </c>
      <c r="K275" s="54">
        <f t="shared" ca="1" si="35"/>
        <v>3.8607911910914803</v>
      </c>
    </row>
    <row r="276" spans="2:11" ht="15" customHeight="1" x14ac:dyDescent="0.35">
      <c r="B276" s="5">
        <v>255</v>
      </c>
      <c r="C276" s="52">
        <f t="shared" ca="1" si="27"/>
        <v>2.8835873512485843</v>
      </c>
      <c r="D276" s="53">
        <f t="shared" ca="1" si="28"/>
        <v>3783350170.3880439</v>
      </c>
      <c r="E276" s="53">
        <f t="shared" ca="1" si="29"/>
        <v>9832655941591.1836</v>
      </c>
      <c r="F276" s="53">
        <f t="shared" ca="1" si="30"/>
        <v>1388666119738.8557</v>
      </c>
      <c r="G276" s="53">
        <f t="shared" ca="1" si="31"/>
        <v>2050372623950.7996</v>
      </c>
      <c r="H276" s="53">
        <f t="shared" ca="1" si="32"/>
        <v>9832655941591.1836</v>
      </c>
      <c r="I276" s="53">
        <f t="shared" ca="1" si="33"/>
        <v>3791773018202.25</v>
      </c>
      <c r="J276" s="53">
        <f t="shared" ca="1" si="34"/>
        <v>1693822575819.1479</v>
      </c>
      <c r="K276" s="54">
        <f t="shared" ca="1" si="35"/>
        <v>2.2385892550573159</v>
      </c>
    </row>
    <row r="277" spans="2:11" ht="15" customHeight="1" x14ac:dyDescent="0.35">
      <c r="B277" s="5">
        <v>256</v>
      </c>
      <c r="C277" s="52">
        <f t="shared" ca="1" si="27"/>
        <v>2.1254595230469078</v>
      </c>
      <c r="D277" s="53">
        <f t="shared" ca="1" si="28"/>
        <v>951544153.169626</v>
      </c>
      <c r="E277" s="53">
        <f t="shared" ca="1" si="29"/>
        <v>3098480232450.478</v>
      </c>
      <c r="F277" s="53">
        <f t="shared" ca="1" si="30"/>
        <v>2244296329147.0063</v>
      </c>
      <c r="G277" s="53">
        <f t="shared" ca="1" si="31"/>
        <v>10131282507111.322</v>
      </c>
      <c r="H277" s="53">
        <f t="shared" ca="1" si="32"/>
        <v>3098480232450.478</v>
      </c>
      <c r="I277" s="53">
        <f t="shared" ca="1" si="33"/>
        <v>5061128153816.3174</v>
      </c>
      <c r="J277" s="53">
        <f t="shared" ca="1" si="34"/>
        <v>1464624434443.76</v>
      </c>
      <c r="K277" s="54">
        <f t="shared" ca="1" si="35"/>
        <v>3.4555808538988697</v>
      </c>
    </row>
    <row r="278" spans="2:11" ht="15" customHeight="1" x14ac:dyDescent="0.35">
      <c r="B278" s="5">
        <v>257</v>
      </c>
      <c r="C278" s="52">
        <f t="shared" ref="C278:C341" ca="1" si="36">MEDIAN(1.8,NORMINV(RAND(),$C$7,$D$7),4.5)</f>
        <v>2.7643808127868996</v>
      </c>
      <c r="D278" s="53">
        <f t="shared" ref="D278:D341" ca="1" si="37">($C$8+RAND()*($D$8-$C$8))*C278^5</f>
        <v>2632676210.8035793</v>
      </c>
      <c r="E278" s="53">
        <f t="shared" ref="E278:E341" ca="1" si="38">D278*($C$10+RAND()*($D$10-$C$10))*EXP(NORMINV(RAND(),$C$9,$D$9))*($C$11+RAND()*($D$11-$C$11))</f>
        <v>3095464689301.3149</v>
      </c>
      <c r="F278" s="53">
        <f t="shared" ref="F278:F341" ca="1" si="39">EXP(NORMINV(RAND(),$C$12,$D$12))*EXP(NORMINV(RAND(),$C$13,$D$13))</f>
        <v>1796246472079.71</v>
      </c>
      <c r="G278" s="53">
        <f t="shared" ref="G278:G341" ca="1" si="40">EXP(NORMINV(RAND(),$C$14,$D$14))*($C$15+RAND()*($D$15-$C$15))*EXP(NORMINV(RAND(),$C$16,$D$16))/1000000*31536000</f>
        <v>1383990135207.9663</v>
      </c>
      <c r="H278" s="53">
        <f t="shared" ref="H278:H341" ca="1" si="41">CHOOSE(RANDBETWEEN(1,3),E278,F278,G278)</f>
        <v>3095464689301.3149</v>
      </c>
      <c r="I278" s="53">
        <f t="shared" ref="I278:I341" ca="1" si="42">EXP(NORMINV(RAND(),$C$14,$D$14))*($C$15+RAND()*($D$15-$C$15))*60</f>
        <v>151648184552044</v>
      </c>
      <c r="J278" s="53">
        <f t="shared" ref="J278:J341" ca="1" si="43">($C$17+RAND()*($D$17-$C$17))*($C$18+RAND()*($D$18-$C$18))</f>
        <v>653874966948.86072</v>
      </c>
      <c r="K278" s="54">
        <f t="shared" ref="K278:K341" ca="1" si="44">I278/J278</f>
        <v>231.92229740751696</v>
      </c>
    </row>
    <row r="279" spans="2:11" ht="15" customHeight="1" x14ac:dyDescent="0.35">
      <c r="B279" s="5">
        <v>258</v>
      </c>
      <c r="C279" s="52">
        <f t="shared" ca="1" si="36"/>
        <v>3.2265667939371934</v>
      </c>
      <c r="D279" s="53">
        <f t="shared" ca="1" si="37"/>
        <v>7008004965.9430628</v>
      </c>
      <c r="E279" s="53">
        <f t="shared" ca="1" si="38"/>
        <v>11756386937511.641</v>
      </c>
      <c r="F279" s="53">
        <f t="shared" ca="1" si="39"/>
        <v>1400779740438.7031</v>
      </c>
      <c r="G279" s="53">
        <f t="shared" ca="1" si="40"/>
        <v>22383012457851.934</v>
      </c>
      <c r="H279" s="53">
        <f t="shared" ca="1" si="41"/>
        <v>1400779740438.7031</v>
      </c>
      <c r="I279" s="53">
        <f t="shared" ca="1" si="42"/>
        <v>7595905787204.2549</v>
      </c>
      <c r="J279" s="53">
        <f t="shared" ca="1" si="43"/>
        <v>940289019862.72485</v>
      </c>
      <c r="K279" s="54">
        <f t="shared" ca="1" si="44"/>
        <v>8.0782670293365761</v>
      </c>
    </row>
    <row r="280" spans="2:11" ht="15" customHeight="1" x14ac:dyDescent="0.35">
      <c r="B280" s="5">
        <v>259</v>
      </c>
      <c r="C280" s="52">
        <f t="shared" ca="1" si="36"/>
        <v>3.344240308970126</v>
      </c>
      <c r="D280" s="53">
        <f t="shared" ca="1" si="37"/>
        <v>7071280057.8707542</v>
      </c>
      <c r="E280" s="53">
        <f t="shared" ca="1" si="38"/>
        <v>20299589209946.75</v>
      </c>
      <c r="F280" s="53">
        <f t="shared" ca="1" si="39"/>
        <v>477307480594.00769</v>
      </c>
      <c r="G280" s="53">
        <f t="shared" ca="1" si="40"/>
        <v>305312867700.83795</v>
      </c>
      <c r="H280" s="53">
        <f t="shared" ca="1" si="41"/>
        <v>477307480594.00769</v>
      </c>
      <c r="I280" s="53">
        <f t="shared" ca="1" si="42"/>
        <v>32072896820905.563</v>
      </c>
      <c r="J280" s="53">
        <f t="shared" ca="1" si="43"/>
        <v>604531315912.66492</v>
      </c>
      <c r="K280" s="54">
        <f t="shared" ca="1" si="44"/>
        <v>53.054152823307255</v>
      </c>
    </row>
    <row r="281" spans="2:11" ht="15" customHeight="1" x14ac:dyDescent="0.35">
      <c r="B281" s="5">
        <v>260</v>
      </c>
      <c r="C281" s="52">
        <f t="shared" ca="1" si="36"/>
        <v>3.1320938562336105</v>
      </c>
      <c r="D281" s="53">
        <f t="shared" ca="1" si="37"/>
        <v>7030573986.5625877</v>
      </c>
      <c r="E281" s="53">
        <f t="shared" ca="1" si="38"/>
        <v>88645915101015.938</v>
      </c>
      <c r="F281" s="53">
        <f t="shared" ca="1" si="39"/>
        <v>392908703201.29138</v>
      </c>
      <c r="G281" s="53">
        <f t="shared" ca="1" si="40"/>
        <v>2385278038683.8833</v>
      </c>
      <c r="H281" s="53">
        <f t="shared" ca="1" si="41"/>
        <v>2385278038683.8833</v>
      </c>
      <c r="I281" s="53">
        <f t="shared" ca="1" si="42"/>
        <v>2695893806662.6475</v>
      </c>
      <c r="J281" s="53">
        <f t="shared" ca="1" si="43"/>
        <v>653635201962.99524</v>
      </c>
      <c r="K281" s="54">
        <f t="shared" ca="1" si="44"/>
        <v>4.124462389060974</v>
      </c>
    </row>
    <row r="282" spans="2:11" ht="15" customHeight="1" x14ac:dyDescent="0.35">
      <c r="B282" s="5">
        <v>261</v>
      </c>
      <c r="C282" s="52">
        <f t="shared" ca="1" si="36"/>
        <v>2.1778809427592463</v>
      </c>
      <c r="D282" s="53">
        <f t="shared" ca="1" si="37"/>
        <v>1053347858.1237555</v>
      </c>
      <c r="E282" s="53">
        <f t="shared" ca="1" si="38"/>
        <v>1374115996288.908</v>
      </c>
      <c r="F282" s="53">
        <f t="shared" ca="1" si="39"/>
        <v>2005245410341.4575</v>
      </c>
      <c r="G282" s="53">
        <f t="shared" ca="1" si="40"/>
        <v>318915944027.2489</v>
      </c>
      <c r="H282" s="53">
        <f t="shared" ca="1" si="41"/>
        <v>318915944027.2489</v>
      </c>
      <c r="I282" s="53">
        <f t="shared" ca="1" si="42"/>
        <v>5197373322337.6055</v>
      </c>
      <c r="J282" s="53">
        <f t="shared" ca="1" si="43"/>
        <v>701315973857.34912</v>
      </c>
      <c r="K282" s="54">
        <f t="shared" ca="1" si="44"/>
        <v>7.4108868414207469</v>
      </c>
    </row>
    <row r="283" spans="2:11" ht="15" customHeight="1" x14ac:dyDescent="0.35">
      <c r="B283" s="5">
        <v>262</v>
      </c>
      <c r="C283" s="52">
        <f t="shared" ca="1" si="36"/>
        <v>2.8777458661998021</v>
      </c>
      <c r="D283" s="53">
        <f t="shared" ca="1" si="37"/>
        <v>3320325768.7854924</v>
      </c>
      <c r="E283" s="53">
        <f t="shared" ca="1" si="38"/>
        <v>10613390481514.65</v>
      </c>
      <c r="F283" s="53">
        <f t="shared" ca="1" si="39"/>
        <v>2490797847347.0596</v>
      </c>
      <c r="G283" s="53">
        <f t="shared" ca="1" si="40"/>
        <v>18717507516626.473</v>
      </c>
      <c r="H283" s="53">
        <f t="shared" ca="1" si="41"/>
        <v>10613390481514.65</v>
      </c>
      <c r="I283" s="53">
        <f t="shared" ca="1" si="42"/>
        <v>513431661110851.19</v>
      </c>
      <c r="J283" s="53">
        <f t="shared" ca="1" si="43"/>
        <v>1103927983147.1526</v>
      </c>
      <c r="K283" s="54">
        <f t="shared" ca="1" si="44"/>
        <v>465.09524982519736</v>
      </c>
    </row>
    <row r="284" spans="2:11" ht="15" customHeight="1" x14ac:dyDescent="0.35">
      <c r="B284" s="5">
        <v>263</v>
      </c>
      <c r="C284" s="52">
        <f t="shared" ca="1" si="36"/>
        <v>2.2037056492038691</v>
      </c>
      <c r="D284" s="53">
        <f t="shared" ca="1" si="37"/>
        <v>1181091715.2431471</v>
      </c>
      <c r="E284" s="53">
        <f t="shared" ca="1" si="38"/>
        <v>18044080547169.227</v>
      </c>
      <c r="F284" s="53">
        <f t="shared" ca="1" si="39"/>
        <v>1611357903349.1382</v>
      </c>
      <c r="G284" s="53">
        <f t="shared" ca="1" si="40"/>
        <v>4127491999734.1572</v>
      </c>
      <c r="H284" s="53">
        <f t="shared" ca="1" si="41"/>
        <v>1611357903349.1382</v>
      </c>
      <c r="I284" s="53">
        <f t="shared" ca="1" si="42"/>
        <v>1580908759053.8892</v>
      </c>
      <c r="J284" s="53">
        <f t="shared" ca="1" si="43"/>
        <v>656564341005.66357</v>
      </c>
      <c r="K284" s="54">
        <f t="shared" ca="1" si="44"/>
        <v>2.4078504730128989</v>
      </c>
    </row>
    <row r="285" spans="2:11" ht="15" customHeight="1" x14ac:dyDescent="0.35">
      <c r="B285" s="5">
        <v>264</v>
      </c>
      <c r="C285" s="52">
        <f t="shared" ca="1" si="36"/>
        <v>3.1936291839688842</v>
      </c>
      <c r="D285" s="53">
        <f t="shared" ca="1" si="37"/>
        <v>7763772571.1944942</v>
      </c>
      <c r="E285" s="53">
        <f t="shared" ca="1" si="38"/>
        <v>85385172155959.922</v>
      </c>
      <c r="F285" s="53">
        <f t="shared" ca="1" si="39"/>
        <v>3149291433572.3359</v>
      </c>
      <c r="G285" s="53">
        <f t="shared" ca="1" si="40"/>
        <v>2598974438100.0942</v>
      </c>
      <c r="H285" s="53">
        <f t="shared" ca="1" si="41"/>
        <v>85385172155959.922</v>
      </c>
      <c r="I285" s="53">
        <f t="shared" ca="1" si="42"/>
        <v>4126257248749.4697</v>
      </c>
      <c r="J285" s="53">
        <f t="shared" ca="1" si="43"/>
        <v>1135180297153.1804</v>
      </c>
      <c r="K285" s="54">
        <f t="shared" ca="1" si="44"/>
        <v>3.634891531413424</v>
      </c>
    </row>
    <row r="286" spans="2:11" ht="15" customHeight="1" x14ac:dyDescent="0.35">
      <c r="B286" s="5">
        <v>265</v>
      </c>
      <c r="C286" s="52">
        <f t="shared" ca="1" si="36"/>
        <v>2.9806232137033919</v>
      </c>
      <c r="D286" s="53">
        <f t="shared" ca="1" si="37"/>
        <v>4641980165.4606762</v>
      </c>
      <c r="E286" s="53">
        <f t="shared" ca="1" si="38"/>
        <v>6808290066992.9834</v>
      </c>
      <c r="F286" s="53">
        <f t="shared" ca="1" si="39"/>
        <v>13237478348397.668</v>
      </c>
      <c r="G286" s="53">
        <f t="shared" ca="1" si="40"/>
        <v>570175364457.03979</v>
      </c>
      <c r="H286" s="53">
        <f t="shared" ca="1" si="41"/>
        <v>570175364457.03979</v>
      </c>
      <c r="I286" s="53">
        <f t="shared" ca="1" si="42"/>
        <v>991515232775.54968</v>
      </c>
      <c r="J286" s="53">
        <f t="shared" ca="1" si="43"/>
        <v>1201746559083.9658</v>
      </c>
      <c r="K286" s="54">
        <f t="shared" ca="1" si="44"/>
        <v>0.8250618445966964</v>
      </c>
    </row>
    <row r="287" spans="2:11" ht="15" customHeight="1" x14ac:dyDescent="0.35">
      <c r="B287" s="5">
        <v>266</v>
      </c>
      <c r="C287" s="52">
        <f t="shared" ca="1" si="36"/>
        <v>2.8880751091912598</v>
      </c>
      <c r="D287" s="53">
        <f t="shared" ca="1" si="37"/>
        <v>4143965816.7359228</v>
      </c>
      <c r="E287" s="53">
        <f t="shared" ca="1" si="38"/>
        <v>10711037219553.746</v>
      </c>
      <c r="F287" s="53">
        <f t="shared" ca="1" si="39"/>
        <v>406697422448.78046</v>
      </c>
      <c r="G287" s="53">
        <f t="shared" ca="1" si="40"/>
        <v>6479173498545.542</v>
      </c>
      <c r="H287" s="53">
        <f t="shared" ca="1" si="41"/>
        <v>6479173498545.542</v>
      </c>
      <c r="I287" s="53">
        <f t="shared" ca="1" si="42"/>
        <v>52007448795296.758</v>
      </c>
      <c r="J287" s="53">
        <f t="shared" ca="1" si="43"/>
        <v>653778329511.69727</v>
      </c>
      <c r="K287" s="54">
        <f t="shared" ca="1" si="44"/>
        <v>79.549055769622683</v>
      </c>
    </row>
    <row r="288" spans="2:11" ht="15" customHeight="1" x14ac:dyDescent="0.35">
      <c r="B288" s="5">
        <v>267</v>
      </c>
      <c r="C288" s="52">
        <f t="shared" ca="1" si="36"/>
        <v>3.20009182006156</v>
      </c>
      <c r="D288" s="53">
        <f t="shared" ca="1" si="37"/>
        <v>7567677097.0851145</v>
      </c>
      <c r="E288" s="53">
        <f t="shared" ca="1" si="38"/>
        <v>8226464841416.7275</v>
      </c>
      <c r="F288" s="53">
        <f t="shared" ca="1" si="39"/>
        <v>4819139214704.5352</v>
      </c>
      <c r="G288" s="53">
        <f t="shared" ca="1" si="40"/>
        <v>4254582489875.8037</v>
      </c>
      <c r="H288" s="53">
        <f t="shared" ca="1" si="41"/>
        <v>8226464841416.7275</v>
      </c>
      <c r="I288" s="53">
        <f t="shared" ca="1" si="42"/>
        <v>11887275076554.381</v>
      </c>
      <c r="J288" s="53">
        <f t="shared" ca="1" si="43"/>
        <v>953911846199.49072</v>
      </c>
      <c r="K288" s="54">
        <f t="shared" ca="1" si="44"/>
        <v>12.461607562496299</v>
      </c>
    </row>
    <row r="289" spans="2:11" ht="15" customHeight="1" x14ac:dyDescent="0.35">
      <c r="B289" s="5">
        <v>268</v>
      </c>
      <c r="C289" s="52">
        <f t="shared" ca="1" si="36"/>
        <v>2.6817109361040927</v>
      </c>
      <c r="D289" s="53">
        <f t="shared" ca="1" si="37"/>
        <v>2924373473.5844684</v>
      </c>
      <c r="E289" s="53">
        <f t="shared" ca="1" si="38"/>
        <v>7269228912544.1582</v>
      </c>
      <c r="F289" s="53">
        <f t="shared" ca="1" si="39"/>
        <v>279210490057.49359</v>
      </c>
      <c r="G289" s="53">
        <f t="shared" ca="1" si="40"/>
        <v>2506793863290.9429</v>
      </c>
      <c r="H289" s="53">
        <f t="shared" ca="1" si="41"/>
        <v>2506793863290.9429</v>
      </c>
      <c r="I289" s="53">
        <f t="shared" ca="1" si="42"/>
        <v>27013259214862.723</v>
      </c>
      <c r="J289" s="53">
        <f t="shared" ca="1" si="43"/>
        <v>648646025423.04211</v>
      </c>
      <c r="K289" s="54">
        <f t="shared" ca="1" si="44"/>
        <v>41.645609710234289</v>
      </c>
    </row>
    <row r="290" spans="2:11" ht="15" customHeight="1" x14ac:dyDescent="0.35">
      <c r="B290" s="5">
        <v>269</v>
      </c>
      <c r="C290" s="52">
        <f t="shared" ca="1" si="36"/>
        <v>3.2548169782326446</v>
      </c>
      <c r="D290" s="53">
        <f t="shared" ca="1" si="37"/>
        <v>6671172381.3383589</v>
      </c>
      <c r="E290" s="53">
        <f t="shared" ca="1" si="38"/>
        <v>12717564882608.686</v>
      </c>
      <c r="F290" s="53">
        <f t="shared" ca="1" si="39"/>
        <v>1289412296426.3906</v>
      </c>
      <c r="G290" s="53">
        <f t="shared" ca="1" si="40"/>
        <v>19955966851706.762</v>
      </c>
      <c r="H290" s="53">
        <f t="shared" ca="1" si="41"/>
        <v>12717564882608.686</v>
      </c>
      <c r="I290" s="53">
        <f t="shared" ca="1" si="42"/>
        <v>17269728839628.281</v>
      </c>
      <c r="J290" s="53">
        <f t="shared" ca="1" si="43"/>
        <v>711814110376.50146</v>
      </c>
      <c r="K290" s="54">
        <f t="shared" ca="1" si="44"/>
        <v>24.261571367971005</v>
      </c>
    </row>
    <row r="291" spans="2:11" ht="15" customHeight="1" x14ac:dyDescent="0.35">
      <c r="B291" s="5">
        <v>270</v>
      </c>
      <c r="C291" s="52">
        <f t="shared" ca="1" si="36"/>
        <v>3.1518494162405228</v>
      </c>
      <c r="D291" s="53">
        <f t="shared" ca="1" si="37"/>
        <v>5398626378.5728035</v>
      </c>
      <c r="E291" s="53">
        <f t="shared" ca="1" si="38"/>
        <v>33673092259474.254</v>
      </c>
      <c r="F291" s="53">
        <f t="shared" ca="1" si="39"/>
        <v>4745718046336.8242</v>
      </c>
      <c r="G291" s="53">
        <f t="shared" ca="1" si="40"/>
        <v>14125365897113.291</v>
      </c>
      <c r="H291" s="53">
        <f t="shared" ca="1" si="41"/>
        <v>4745718046336.8242</v>
      </c>
      <c r="I291" s="53">
        <f t="shared" ca="1" si="42"/>
        <v>2211910854156.3789</v>
      </c>
      <c r="J291" s="53">
        <f t="shared" ca="1" si="43"/>
        <v>1105038165338.8696</v>
      </c>
      <c r="K291" s="54">
        <f t="shared" ca="1" si="44"/>
        <v>2.0016601449037528</v>
      </c>
    </row>
    <row r="292" spans="2:11" ht="15" customHeight="1" x14ac:dyDescent="0.35">
      <c r="B292" s="5">
        <v>271</v>
      </c>
      <c r="C292" s="52">
        <f t="shared" ca="1" si="36"/>
        <v>2.1941871100771388</v>
      </c>
      <c r="D292" s="53">
        <f t="shared" ca="1" si="37"/>
        <v>1175690384.0638525</v>
      </c>
      <c r="E292" s="53">
        <f t="shared" ca="1" si="38"/>
        <v>2845841682870.6304</v>
      </c>
      <c r="F292" s="53">
        <f t="shared" ca="1" si="39"/>
        <v>2104151090659.783</v>
      </c>
      <c r="G292" s="53">
        <f t="shared" ca="1" si="40"/>
        <v>1615478590030.4966</v>
      </c>
      <c r="H292" s="53">
        <f t="shared" ca="1" si="41"/>
        <v>1615478590030.4966</v>
      </c>
      <c r="I292" s="53">
        <f t="shared" ca="1" si="42"/>
        <v>7922918850059.6064</v>
      </c>
      <c r="J292" s="53">
        <f t="shared" ca="1" si="43"/>
        <v>621370833091.51794</v>
      </c>
      <c r="K292" s="54">
        <f t="shared" ca="1" si="44"/>
        <v>12.750709283602129</v>
      </c>
    </row>
    <row r="293" spans="2:11" ht="15" customHeight="1" x14ac:dyDescent="0.35">
      <c r="B293" s="5">
        <v>272</v>
      </c>
      <c r="C293" s="52">
        <f t="shared" ca="1" si="36"/>
        <v>2.5471332096672006</v>
      </c>
      <c r="D293" s="53">
        <f t="shared" ca="1" si="37"/>
        <v>2312942883.7908435</v>
      </c>
      <c r="E293" s="53">
        <f t="shared" ca="1" si="38"/>
        <v>6818470738387.3438</v>
      </c>
      <c r="F293" s="53">
        <f t="shared" ca="1" si="39"/>
        <v>1756705042713.7356</v>
      </c>
      <c r="G293" s="53">
        <f t="shared" ca="1" si="40"/>
        <v>3749257423522.0459</v>
      </c>
      <c r="H293" s="53">
        <f t="shared" ca="1" si="41"/>
        <v>3749257423522.0459</v>
      </c>
      <c r="I293" s="53">
        <f t="shared" ca="1" si="42"/>
        <v>5556224982359.5557</v>
      </c>
      <c r="J293" s="53">
        <f t="shared" ca="1" si="43"/>
        <v>762436941611.49536</v>
      </c>
      <c r="K293" s="54">
        <f t="shared" ca="1" si="44"/>
        <v>7.2874551049636391</v>
      </c>
    </row>
    <row r="294" spans="2:11" ht="15" customHeight="1" x14ac:dyDescent="0.35">
      <c r="B294" s="5">
        <v>273</v>
      </c>
      <c r="C294" s="52">
        <f t="shared" ca="1" si="36"/>
        <v>2.7154439725459336</v>
      </c>
      <c r="D294" s="53">
        <f t="shared" ca="1" si="37"/>
        <v>3119847343.6480994</v>
      </c>
      <c r="E294" s="53">
        <f t="shared" ca="1" si="38"/>
        <v>27463474809077</v>
      </c>
      <c r="F294" s="53">
        <f t="shared" ca="1" si="39"/>
        <v>1426511361586.9077</v>
      </c>
      <c r="G294" s="53">
        <f t="shared" ca="1" si="40"/>
        <v>13684965123120.553</v>
      </c>
      <c r="H294" s="53">
        <f t="shared" ca="1" si="41"/>
        <v>13684965123120.553</v>
      </c>
      <c r="I294" s="53">
        <f t="shared" ca="1" si="42"/>
        <v>10796283271954.65</v>
      </c>
      <c r="J294" s="53">
        <f t="shared" ca="1" si="43"/>
        <v>1135982429859.4597</v>
      </c>
      <c r="K294" s="54">
        <f t="shared" ca="1" si="44"/>
        <v>9.503917479859556</v>
      </c>
    </row>
    <row r="295" spans="2:11" ht="15" customHeight="1" x14ac:dyDescent="0.35">
      <c r="B295" s="5">
        <v>274</v>
      </c>
      <c r="C295" s="52">
        <f t="shared" ca="1" si="36"/>
        <v>3.0143423528766835</v>
      </c>
      <c r="D295" s="53">
        <f t="shared" ca="1" si="37"/>
        <v>4254025460.7421889</v>
      </c>
      <c r="E295" s="53">
        <f t="shared" ca="1" si="38"/>
        <v>8445446059419.7441</v>
      </c>
      <c r="F295" s="53">
        <f t="shared" ca="1" si="39"/>
        <v>2626515788238.5576</v>
      </c>
      <c r="G295" s="53">
        <f t="shared" ca="1" si="40"/>
        <v>5725364640254.8242</v>
      </c>
      <c r="H295" s="53">
        <f t="shared" ca="1" si="41"/>
        <v>2626515788238.5576</v>
      </c>
      <c r="I295" s="53">
        <f t="shared" ca="1" si="42"/>
        <v>9156761800053.8574</v>
      </c>
      <c r="J295" s="53">
        <f t="shared" ca="1" si="43"/>
        <v>1177709530858.708</v>
      </c>
      <c r="K295" s="54">
        <f t="shared" ca="1" si="44"/>
        <v>7.7750596052129692</v>
      </c>
    </row>
    <row r="296" spans="2:11" ht="15" customHeight="1" x14ac:dyDescent="0.35">
      <c r="B296" s="5">
        <v>275</v>
      </c>
      <c r="C296" s="52">
        <f t="shared" ca="1" si="36"/>
        <v>2.004288980420486</v>
      </c>
      <c r="D296" s="53">
        <f t="shared" ca="1" si="37"/>
        <v>561103285.8385067</v>
      </c>
      <c r="E296" s="53">
        <f t="shared" ca="1" si="38"/>
        <v>2363322929586.4053</v>
      </c>
      <c r="F296" s="53">
        <f t="shared" ca="1" si="39"/>
        <v>4508181012194.373</v>
      </c>
      <c r="G296" s="53">
        <f t="shared" ca="1" si="40"/>
        <v>11995649078125.207</v>
      </c>
      <c r="H296" s="53">
        <f t="shared" ca="1" si="41"/>
        <v>2363322929586.4053</v>
      </c>
      <c r="I296" s="53">
        <f t="shared" ca="1" si="42"/>
        <v>5176695922848.5264</v>
      </c>
      <c r="J296" s="53">
        <f t="shared" ca="1" si="43"/>
        <v>808291149252.44727</v>
      </c>
      <c r="K296" s="54">
        <f t="shared" ca="1" si="44"/>
        <v>6.404494132635528</v>
      </c>
    </row>
    <row r="297" spans="2:11" ht="15" customHeight="1" x14ac:dyDescent="0.35">
      <c r="B297" s="5">
        <v>276</v>
      </c>
      <c r="C297" s="52">
        <f t="shared" ca="1" si="36"/>
        <v>2.3830414594035862</v>
      </c>
      <c r="D297" s="53">
        <f t="shared" ca="1" si="37"/>
        <v>1288253622.4234583</v>
      </c>
      <c r="E297" s="53">
        <f t="shared" ca="1" si="38"/>
        <v>5085042213915.001</v>
      </c>
      <c r="F297" s="53">
        <f t="shared" ca="1" si="39"/>
        <v>15289175018092.496</v>
      </c>
      <c r="G297" s="53">
        <f t="shared" ca="1" si="40"/>
        <v>675114842452.61548</v>
      </c>
      <c r="H297" s="53">
        <f t="shared" ca="1" si="41"/>
        <v>675114842452.61548</v>
      </c>
      <c r="I297" s="53">
        <f t="shared" ca="1" si="42"/>
        <v>2841834920587.958</v>
      </c>
      <c r="J297" s="53">
        <f t="shared" ca="1" si="43"/>
        <v>467822365227.14764</v>
      </c>
      <c r="K297" s="54">
        <f t="shared" ca="1" si="44"/>
        <v>6.0746025239903316</v>
      </c>
    </row>
    <row r="298" spans="2:11" ht="15" customHeight="1" x14ac:dyDescent="0.35">
      <c r="B298" s="5">
        <v>277</v>
      </c>
      <c r="C298" s="52">
        <f t="shared" ca="1" si="36"/>
        <v>3.0356486056226673</v>
      </c>
      <c r="D298" s="53">
        <f t="shared" ca="1" si="37"/>
        <v>4764718094.7353935</v>
      </c>
      <c r="E298" s="53">
        <f t="shared" ca="1" si="38"/>
        <v>41563398619331.625</v>
      </c>
      <c r="F298" s="53">
        <f t="shared" ca="1" si="39"/>
        <v>1809925064127.5117</v>
      </c>
      <c r="G298" s="53">
        <f t="shared" ca="1" si="40"/>
        <v>4934130632174.3389</v>
      </c>
      <c r="H298" s="53">
        <f t="shared" ca="1" si="41"/>
        <v>4934130632174.3389</v>
      </c>
      <c r="I298" s="53">
        <f t="shared" ca="1" si="42"/>
        <v>25342759015646.664</v>
      </c>
      <c r="J298" s="53">
        <f t="shared" ca="1" si="43"/>
        <v>557420041957.35486</v>
      </c>
      <c r="K298" s="54">
        <f t="shared" ca="1" si="44"/>
        <v>45.464384320765951</v>
      </c>
    </row>
    <row r="299" spans="2:11" ht="15" customHeight="1" x14ac:dyDescent="0.35">
      <c r="B299" s="5">
        <v>278</v>
      </c>
      <c r="C299" s="52">
        <f t="shared" ca="1" si="36"/>
        <v>2.5702970118413693</v>
      </c>
      <c r="D299" s="53">
        <f t="shared" ca="1" si="37"/>
        <v>2631334455.0913224</v>
      </c>
      <c r="E299" s="53">
        <f t="shared" ca="1" si="38"/>
        <v>10329000268806.105</v>
      </c>
      <c r="F299" s="53">
        <f t="shared" ca="1" si="39"/>
        <v>3782902748057.3145</v>
      </c>
      <c r="G299" s="53">
        <f t="shared" ca="1" si="40"/>
        <v>10617539075463.293</v>
      </c>
      <c r="H299" s="53">
        <f t="shared" ca="1" si="41"/>
        <v>3782902748057.3145</v>
      </c>
      <c r="I299" s="53">
        <f t="shared" ca="1" si="42"/>
        <v>5895877791855.5098</v>
      </c>
      <c r="J299" s="53">
        <f t="shared" ca="1" si="43"/>
        <v>668642804790.87305</v>
      </c>
      <c r="K299" s="54">
        <f t="shared" ca="1" si="44"/>
        <v>8.8176792595555167</v>
      </c>
    </row>
    <row r="300" spans="2:11" ht="15" customHeight="1" x14ac:dyDescent="0.35">
      <c r="B300" s="5">
        <v>279</v>
      </c>
      <c r="C300" s="52">
        <f t="shared" ca="1" si="36"/>
        <v>2.4533885738787613</v>
      </c>
      <c r="D300" s="53">
        <f t="shared" ca="1" si="37"/>
        <v>1915420950.6097233</v>
      </c>
      <c r="E300" s="53">
        <f t="shared" ca="1" si="38"/>
        <v>16124420333491.447</v>
      </c>
      <c r="F300" s="53">
        <f t="shared" ca="1" si="39"/>
        <v>20152060093712.371</v>
      </c>
      <c r="G300" s="53">
        <f t="shared" ca="1" si="40"/>
        <v>10904415333368.891</v>
      </c>
      <c r="H300" s="53">
        <f t="shared" ca="1" si="41"/>
        <v>16124420333491.447</v>
      </c>
      <c r="I300" s="53">
        <f t="shared" ca="1" si="42"/>
        <v>1389636372185.093</v>
      </c>
      <c r="J300" s="53">
        <f t="shared" ca="1" si="43"/>
        <v>1485955009468.5818</v>
      </c>
      <c r="K300" s="54">
        <f t="shared" ca="1" si="44"/>
        <v>0.93518065037653131</v>
      </c>
    </row>
    <row r="301" spans="2:11" ht="15" customHeight="1" x14ac:dyDescent="0.35">
      <c r="B301" s="5">
        <v>280</v>
      </c>
      <c r="C301" s="52">
        <f t="shared" ca="1" si="36"/>
        <v>2.7318924525009822</v>
      </c>
      <c r="D301" s="53">
        <f t="shared" ca="1" si="37"/>
        <v>2466859758.4946337</v>
      </c>
      <c r="E301" s="53">
        <f t="shared" ca="1" si="38"/>
        <v>11190815725909.949</v>
      </c>
      <c r="F301" s="53">
        <f t="shared" ca="1" si="39"/>
        <v>5426739108004.3652</v>
      </c>
      <c r="G301" s="53">
        <f t="shared" ca="1" si="40"/>
        <v>6135651612834.4512</v>
      </c>
      <c r="H301" s="53">
        <f t="shared" ca="1" si="41"/>
        <v>6135651612834.4512</v>
      </c>
      <c r="I301" s="53">
        <f t="shared" ca="1" si="42"/>
        <v>8585874070880.7129</v>
      </c>
      <c r="J301" s="53">
        <f t="shared" ca="1" si="43"/>
        <v>1611436353559.6824</v>
      </c>
      <c r="K301" s="54">
        <f t="shared" ca="1" si="44"/>
        <v>5.3280876107296535</v>
      </c>
    </row>
    <row r="302" spans="2:11" ht="15" customHeight="1" x14ac:dyDescent="0.35">
      <c r="B302" s="5">
        <v>281</v>
      </c>
      <c r="C302" s="52">
        <f t="shared" ca="1" si="36"/>
        <v>3.2081704564965996</v>
      </c>
      <c r="D302" s="53">
        <f t="shared" ca="1" si="37"/>
        <v>7804034770.8955317</v>
      </c>
      <c r="E302" s="53">
        <f t="shared" ca="1" si="38"/>
        <v>7408334845706.8516</v>
      </c>
      <c r="F302" s="53">
        <f t="shared" ca="1" si="39"/>
        <v>4567141223911.3506</v>
      </c>
      <c r="G302" s="53">
        <f t="shared" ca="1" si="40"/>
        <v>1850798175631.4197</v>
      </c>
      <c r="H302" s="53">
        <f t="shared" ca="1" si="41"/>
        <v>1850798175631.4197</v>
      </c>
      <c r="I302" s="53">
        <f t="shared" ca="1" si="42"/>
        <v>4782766812842.3086</v>
      </c>
      <c r="J302" s="53">
        <f t="shared" ca="1" si="43"/>
        <v>981486277595.50842</v>
      </c>
      <c r="K302" s="54">
        <f t="shared" ca="1" si="44"/>
        <v>4.8729838837475725</v>
      </c>
    </row>
    <row r="303" spans="2:11" ht="15" customHeight="1" x14ac:dyDescent="0.35">
      <c r="B303" s="5">
        <v>282</v>
      </c>
      <c r="C303" s="52">
        <f t="shared" ca="1" si="36"/>
        <v>2.6777371040945881</v>
      </c>
      <c r="D303" s="53">
        <f t="shared" ca="1" si="37"/>
        <v>2886742853.8738608</v>
      </c>
      <c r="E303" s="53">
        <f t="shared" ca="1" si="38"/>
        <v>13701286565906.463</v>
      </c>
      <c r="F303" s="53">
        <f t="shared" ca="1" si="39"/>
        <v>7353930819392.6113</v>
      </c>
      <c r="G303" s="53">
        <f t="shared" ca="1" si="40"/>
        <v>3079964892473.3042</v>
      </c>
      <c r="H303" s="53">
        <f t="shared" ca="1" si="41"/>
        <v>3079964892473.3042</v>
      </c>
      <c r="I303" s="53">
        <f t="shared" ca="1" si="42"/>
        <v>4393700477801.1401</v>
      </c>
      <c r="J303" s="53">
        <f t="shared" ca="1" si="43"/>
        <v>854762620712.03333</v>
      </c>
      <c r="K303" s="54">
        <f t="shared" ca="1" si="44"/>
        <v>5.1402580919379757</v>
      </c>
    </row>
    <row r="304" spans="2:11" ht="15" customHeight="1" x14ac:dyDescent="0.35">
      <c r="B304" s="5">
        <v>283</v>
      </c>
      <c r="C304" s="52">
        <f t="shared" ca="1" si="36"/>
        <v>3.3982474146661485</v>
      </c>
      <c r="D304" s="53">
        <f t="shared" ca="1" si="37"/>
        <v>10186490310.980759</v>
      </c>
      <c r="E304" s="53">
        <f t="shared" ca="1" si="38"/>
        <v>16662070860073.498</v>
      </c>
      <c r="F304" s="53">
        <f t="shared" ca="1" si="39"/>
        <v>27546350779292.332</v>
      </c>
      <c r="G304" s="53">
        <f t="shared" ca="1" si="40"/>
        <v>3199302935848.0029</v>
      </c>
      <c r="H304" s="53">
        <f t="shared" ca="1" si="41"/>
        <v>3199302935848.0029</v>
      </c>
      <c r="I304" s="53">
        <f t="shared" ca="1" si="42"/>
        <v>1309123022024.1292</v>
      </c>
      <c r="J304" s="53">
        <f t="shared" ca="1" si="43"/>
        <v>738944819329.55139</v>
      </c>
      <c r="K304" s="54">
        <f t="shared" ca="1" si="44"/>
        <v>1.7716113406301481</v>
      </c>
    </row>
    <row r="305" spans="2:11" ht="15" customHeight="1" x14ac:dyDescent="0.35">
      <c r="B305" s="5">
        <v>284</v>
      </c>
      <c r="C305" s="52">
        <f t="shared" ca="1" si="36"/>
        <v>2.5211334823565421</v>
      </c>
      <c r="D305" s="53">
        <f t="shared" ca="1" si="37"/>
        <v>2403079210.8773055</v>
      </c>
      <c r="E305" s="53">
        <f t="shared" ca="1" si="38"/>
        <v>7118014033070.9854</v>
      </c>
      <c r="F305" s="53">
        <f t="shared" ca="1" si="39"/>
        <v>4038737329119.3574</v>
      </c>
      <c r="G305" s="53">
        <f t="shared" ca="1" si="40"/>
        <v>35806838573742.414</v>
      </c>
      <c r="H305" s="53">
        <f t="shared" ca="1" si="41"/>
        <v>7118014033070.9854</v>
      </c>
      <c r="I305" s="53">
        <f t="shared" ca="1" si="42"/>
        <v>136567886461341.5</v>
      </c>
      <c r="J305" s="53">
        <f t="shared" ca="1" si="43"/>
        <v>429118195703.26135</v>
      </c>
      <c r="K305" s="54">
        <f t="shared" ca="1" si="44"/>
        <v>318.25237854928736</v>
      </c>
    </row>
    <row r="306" spans="2:11" ht="15" customHeight="1" x14ac:dyDescent="0.35">
      <c r="B306" s="5">
        <v>285</v>
      </c>
      <c r="C306" s="52">
        <f t="shared" ca="1" si="36"/>
        <v>3.1834990178287312</v>
      </c>
      <c r="D306" s="53">
        <f t="shared" ca="1" si="37"/>
        <v>7334716955.2027044</v>
      </c>
      <c r="E306" s="53">
        <f t="shared" ca="1" si="38"/>
        <v>31102930424611.926</v>
      </c>
      <c r="F306" s="53">
        <f t="shared" ca="1" si="39"/>
        <v>428169509954.18402</v>
      </c>
      <c r="G306" s="53">
        <f t="shared" ca="1" si="40"/>
        <v>5566344812311.3818</v>
      </c>
      <c r="H306" s="53">
        <f t="shared" ca="1" si="41"/>
        <v>5566344812311.3818</v>
      </c>
      <c r="I306" s="53">
        <f t="shared" ca="1" si="42"/>
        <v>119880069917449.02</v>
      </c>
      <c r="J306" s="53">
        <f t="shared" ca="1" si="43"/>
        <v>712394540339.73035</v>
      </c>
      <c r="K306" s="54">
        <f t="shared" ca="1" si="44"/>
        <v>168.27763708054246</v>
      </c>
    </row>
    <row r="307" spans="2:11" ht="15" customHeight="1" x14ac:dyDescent="0.35">
      <c r="B307" s="5">
        <v>286</v>
      </c>
      <c r="C307" s="52">
        <f t="shared" ca="1" si="36"/>
        <v>3.0668361754072277</v>
      </c>
      <c r="D307" s="53">
        <f t="shared" ca="1" si="37"/>
        <v>5093713928.7527924</v>
      </c>
      <c r="E307" s="53">
        <f t="shared" ca="1" si="38"/>
        <v>56524439359969.273</v>
      </c>
      <c r="F307" s="53">
        <f t="shared" ca="1" si="39"/>
        <v>379465518620.83929</v>
      </c>
      <c r="G307" s="53">
        <f t="shared" ca="1" si="40"/>
        <v>7146695233368.7773</v>
      </c>
      <c r="H307" s="53">
        <f t="shared" ca="1" si="41"/>
        <v>7146695233368.7773</v>
      </c>
      <c r="I307" s="53">
        <f t="shared" ca="1" si="42"/>
        <v>8151042098172.2676</v>
      </c>
      <c r="J307" s="53">
        <f t="shared" ca="1" si="43"/>
        <v>1041624365937.1022</v>
      </c>
      <c r="K307" s="54">
        <f t="shared" ca="1" si="44"/>
        <v>7.8253181902471578</v>
      </c>
    </row>
    <row r="308" spans="2:11" ht="15" customHeight="1" x14ac:dyDescent="0.35">
      <c r="B308" s="5">
        <v>287</v>
      </c>
      <c r="C308" s="52">
        <f t="shared" ca="1" si="36"/>
        <v>3.3919415714494283</v>
      </c>
      <c r="D308" s="53">
        <f t="shared" ca="1" si="37"/>
        <v>7742577375.378993</v>
      </c>
      <c r="E308" s="53">
        <f t="shared" ca="1" si="38"/>
        <v>13985363718480.93</v>
      </c>
      <c r="F308" s="53">
        <f t="shared" ca="1" si="39"/>
        <v>7561048261913.1318</v>
      </c>
      <c r="G308" s="53">
        <f t="shared" ca="1" si="40"/>
        <v>17893361616875.672</v>
      </c>
      <c r="H308" s="53">
        <f t="shared" ca="1" si="41"/>
        <v>7561048261913.1318</v>
      </c>
      <c r="I308" s="53">
        <f t="shared" ca="1" si="42"/>
        <v>1220452414013.3054</v>
      </c>
      <c r="J308" s="53">
        <f t="shared" ca="1" si="43"/>
        <v>722269773620.4552</v>
      </c>
      <c r="K308" s="54">
        <f t="shared" ca="1" si="44"/>
        <v>1.6897459350896771</v>
      </c>
    </row>
    <row r="309" spans="2:11" ht="15" customHeight="1" x14ac:dyDescent="0.35">
      <c r="B309" s="5">
        <v>288</v>
      </c>
      <c r="C309" s="52">
        <f t="shared" ca="1" si="36"/>
        <v>3.2467717035539199</v>
      </c>
      <c r="D309" s="53">
        <f t="shared" ca="1" si="37"/>
        <v>7709930592.2673273</v>
      </c>
      <c r="E309" s="53">
        <f t="shared" ca="1" si="38"/>
        <v>27809902063592.164</v>
      </c>
      <c r="F309" s="53">
        <f t="shared" ca="1" si="39"/>
        <v>2116588458722.53</v>
      </c>
      <c r="G309" s="53">
        <f t="shared" ca="1" si="40"/>
        <v>4422747820855.0186</v>
      </c>
      <c r="H309" s="53">
        <f t="shared" ca="1" si="41"/>
        <v>2116588458722.53</v>
      </c>
      <c r="I309" s="53">
        <f t="shared" ca="1" si="42"/>
        <v>5184171063419.7344</v>
      </c>
      <c r="J309" s="53">
        <f t="shared" ca="1" si="43"/>
        <v>559227233528.77527</v>
      </c>
      <c r="K309" s="54">
        <f t="shared" ca="1" si="44"/>
        <v>9.2702407046723003</v>
      </c>
    </row>
    <row r="310" spans="2:11" ht="15" customHeight="1" x14ac:dyDescent="0.35">
      <c r="B310" s="5">
        <v>289</v>
      </c>
      <c r="C310" s="52">
        <f t="shared" ca="1" si="36"/>
        <v>3.5733410714087861</v>
      </c>
      <c r="D310" s="53">
        <f t="shared" ca="1" si="37"/>
        <v>13958318934.859762</v>
      </c>
      <c r="E310" s="53">
        <f t="shared" ca="1" si="38"/>
        <v>36032860509921.555</v>
      </c>
      <c r="F310" s="53">
        <f t="shared" ca="1" si="39"/>
        <v>1048582181565.97</v>
      </c>
      <c r="G310" s="53">
        <f t="shared" ca="1" si="40"/>
        <v>2433859333924.062</v>
      </c>
      <c r="H310" s="53">
        <f t="shared" ca="1" si="41"/>
        <v>36032860509921.555</v>
      </c>
      <c r="I310" s="53">
        <f t="shared" ca="1" si="42"/>
        <v>4555036619710.876</v>
      </c>
      <c r="J310" s="53">
        <f t="shared" ca="1" si="43"/>
        <v>1401105325911.5476</v>
      </c>
      <c r="K310" s="54">
        <f t="shared" ca="1" si="44"/>
        <v>3.2510308364914726</v>
      </c>
    </row>
    <row r="311" spans="2:11" ht="15" customHeight="1" x14ac:dyDescent="0.35">
      <c r="B311" s="5">
        <v>290</v>
      </c>
      <c r="C311" s="52">
        <f t="shared" ca="1" si="36"/>
        <v>2.6972857075820778</v>
      </c>
      <c r="D311" s="53">
        <f t="shared" ca="1" si="37"/>
        <v>2596568952.523169</v>
      </c>
      <c r="E311" s="53">
        <f t="shared" ca="1" si="38"/>
        <v>9347784866798.0254</v>
      </c>
      <c r="F311" s="53">
        <f t="shared" ca="1" si="39"/>
        <v>2280669203758.9126</v>
      </c>
      <c r="G311" s="53">
        <f t="shared" ca="1" si="40"/>
        <v>3883971346361.0317</v>
      </c>
      <c r="H311" s="53">
        <f t="shared" ca="1" si="41"/>
        <v>9347784866798.0254</v>
      </c>
      <c r="I311" s="53">
        <f t="shared" ca="1" si="42"/>
        <v>27857430723119.012</v>
      </c>
      <c r="J311" s="53">
        <f t="shared" ca="1" si="43"/>
        <v>767795249323.95532</v>
      </c>
      <c r="K311" s="54">
        <f t="shared" ca="1" si="44"/>
        <v>36.282369222325244</v>
      </c>
    </row>
    <row r="312" spans="2:11" ht="15" customHeight="1" x14ac:dyDescent="0.35">
      <c r="B312" s="5">
        <v>291</v>
      </c>
      <c r="C312" s="52">
        <f t="shared" ca="1" si="36"/>
        <v>3.3601712304113338</v>
      </c>
      <c r="D312" s="53">
        <f t="shared" ca="1" si="37"/>
        <v>9070258157.8884296</v>
      </c>
      <c r="E312" s="53">
        <f t="shared" ca="1" si="38"/>
        <v>79756627000904.422</v>
      </c>
      <c r="F312" s="53">
        <f t="shared" ca="1" si="39"/>
        <v>3090097935329.1226</v>
      </c>
      <c r="G312" s="53">
        <f t="shared" ca="1" si="40"/>
        <v>1999914968575.4917</v>
      </c>
      <c r="H312" s="53">
        <f t="shared" ca="1" si="41"/>
        <v>79756627000904.422</v>
      </c>
      <c r="I312" s="53">
        <f t="shared" ca="1" si="42"/>
        <v>21887572847625.805</v>
      </c>
      <c r="J312" s="53">
        <f t="shared" ca="1" si="43"/>
        <v>465279231011.95471</v>
      </c>
      <c r="K312" s="54">
        <f t="shared" ca="1" si="44"/>
        <v>47.041800683906807</v>
      </c>
    </row>
    <row r="313" spans="2:11" ht="15" customHeight="1" x14ac:dyDescent="0.35">
      <c r="B313" s="5">
        <v>292</v>
      </c>
      <c r="C313" s="52">
        <f t="shared" ca="1" si="36"/>
        <v>2.7056625319440295</v>
      </c>
      <c r="D313" s="53">
        <f t="shared" ca="1" si="37"/>
        <v>2782151550.6537895</v>
      </c>
      <c r="E313" s="53">
        <f t="shared" ca="1" si="38"/>
        <v>3306068159248.6504</v>
      </c>
      <c r="F313" s="53">
        <f t="shared" ca="1" si="39"/>
        <v>1108464693513.5847</v>
      </c>
      <c r="G313" s="53">
        <f t="shared" ca="1" si="40"/>
        <v>3012293559908.145</v>
      </c>
      <c r="H313" s="53">
        <f t="shared" ca="1" si="41"/>
        <v>1108464693513.5847</v>
      </c>
      <c r="I313" s="53">
        <f t="shared" ca="1" si="42"/>
        <v>4529765116041.4795</v>
      </c>
      <c r="J313" s="53">
        <f t="shared" ca="1" si="43"/>
        <v>1303499995750.3186</v>
      </c>
      <c r="K313" s="54">
        <f t="shared" ca="1" si="44"/>
        <v>3.4750787347982026</v>
      </c>
    </row>
    <row r="314" spans="2:11" ht="15" customHeight="1" x14ac:dyDescent="0.35">
      <c r="B314" s="5">
        <v>293</v>
      </c>
      <c r="C314" s="52">
        <f t="shared" ca="1" si="36"/>
        <v>2.9803346694029611</v>
      </c>
      <c r="D314" s="53">
        <f t="shared" ca="1" si="37"/>
        <v>3783484501.0087113</v>
      </c>
      <c r="E314" s="53">
        <f t="shared" ca="1" si="38"/>
        <v>7945986545886.2109</v>
      </c>
      <c r="F314" s="53">
        <f t="shared" ca="1" si="39"/>
        <v>5006801322509.5781</v>
      </c>
      <c r="G314" s="53">
        <f t="shared" ca="1" si="40"/>
        <v>1129735932008.6543</v>
      </c>
      <c r="H314" s="53">
        <f t="shared" ca="1" si="41"/>
        <v>5006801322509.5781</v>
      </c>
      <c r="I314" s="53">
        <f t="shared" ca="1" si="42"/>
        <v>1814585876758.5967</v>
      </c>
      <c r="J314" s="53">
        <f t="shared" ca="1" si="43"/>
        <v>908084811105.83032</v>
      </c>
      <c r="K314" s="54">
        <f t="shared" ca="1" si="44"/>
        <v>1.9982559498477512</v>
      </c>
    </row>
    <row r="315" spans="2:11" ht="15" customHeight="1" x14ac:dyDescent="0.35">
      <c r="B315" s="5">
        <v>294</v>
      </c>
      <c r="C315" s="52">
        <f t="shared" ca="1" si="36"/>
        <v>3.2654752801008815</v>
      </c>
      <c r="D315" s="53">
        <f t="shared" ca="1" si="37"/>
        <v>8578388963.2786026</v>
      </c>
      <c r="E315" s="53">
        <f t="shared" ca="1" si="38"/>
        <v>120538467184101.13</v>
      </c>
      <c r="F315" s="53">
        <f t="shared" ca="1" si="39"/>
        <v>5516546998742.7383</v>
      </c>
      <c r="G315" s="53">
        <f t="shared" ca="1" si="40"/>
        <v>1354605484458.8735</v>
      </c>
      <c r="H315" s="53">
        <f t="shared" ca="1" si="41"/>
        <v>1354605484458.8735</v>
      </c>
      <c r="I315" s="53">
        <f t="shared" ca="1" si="42"/>
        <v>22698881477493.535</v>
      </c>
      <c r="J315" s="53">
        <f t="shared" ca="1" si="43"/>
        <v>979599398011.0011</v>
      </c>
      <c r="K315" s="54">
        <f t="shared" ca="1" si="44"/>
        <v>23.171595984625771</v>
      </c>
    </row>
    <row r="316" spans="2:11" ht="15" customHeight="1" x14ac:dyDescent="0.35">
      <c r="B316" s="5">
        <v>295</v>
      </c>
      <c r="C316" s="52">
        <f t="shared" ca="1" si="36"/>
        <v>3.2563079356013334</v>
      </c>
      <c r="D316" s="53">
        <f t="shared" ca="1" si="37"/>
        <v>7887578639.2206793</v>
      </c>
      <c r="E316" s="53">
        <f t="shared" ca="1" si="38"/>
        <v>4861422553717.8369</v>
      </c>
      <c r="F316" s="53">
        <f t="shared" ca="1" si="39"/>
        <v>6775113850597.6055</v>
      </c>
      <c r="G316" s="53">
        <f t="shared" ca="1" si="40"/>
        <v>2121327281127.438</v>
      </c>
      <c r="H316" s="53">
        <f t="shared" ca="1" si="41"/>
        <v>2121327281127.438</v>
      </c>
      <c r="I316" s="53">
        <f t="shared" ca="1" si="42"/>
        <v>11346471130411.15</v>
      </c>
      <c r="J316" s="53">
        <f t="shared" ca="1" si="43"/>
        <v>951054674140.96204</v>
      </c>
      <c r="K316" s="54">
        <f t="shared" ca="1" si="44"/>
        <v>11.930408880709013</v>
      </c>
    </row>
    <row r="317" spans="2:11" ht="15" customHeight="1" x14ac:dyDescent="0.35">
      <c r="B317" s="5">
        <v>296</v>
      </c>
      <c r="C317" s="52">
        <f t="shared" ca="1" si="36"/>
        <v>3.348051177715091</v>
      </c>
      <c r="D317" s="53">
        <f t="shared" ca="1" si="37"/>
        <v>10034734577.118324</v>
      </c>
      <c r="E317" s="53">
        <f t="shared" ca="1" si="38"/>
        <v>28140345551012.223</v>
      </c>
      <c r="F317" s="53">
        <f t="shared" ca="1" si="39"/>
        <v>2516538577774.9902</v>
      </c>
      <c r="G317" s="53">
        <f t="shared" ca="1" si="40"/>
        <v>9949719302124.5703</v>
      </c>
      <c r="H317" s="53">
        <f t="shared" ca="1" si="41"/>
        <v>28140345551012.223</v>
      </c>
      <c r="I317" s="53">
        <f t="shared" ca="1" si="42"/>
        <v>1720089127161.7837</v>
      </c>
      <c r="J317" s="53">
        <f t="shared" ca="1" si="43"/>
        <v>1130508131068.9905</v>
      </c>
      <c r="K317" s="54">
        <f t="shared" ca="1" si="44"/>
        <v>1.5215185807954295</v>
      </c>
    </row>
    <row r="318" spans="2:11" ht="15" customHeight="1" x14ac:dyDescent="0.35">
      <c r="B318" s="5">
        <v>297</v>
      </c>
      <c r="C318" s="52">
        <f t="shared" ca="1" si="36"/>
        <v>2.3643921879826753</v>
      </c>
      <c r="D318" s="53">
        <f t="shared" ca="1" si="37"/>
        <v>1290414523.0628321</v>
      </c>
      <c r="E318" s="53">
        <f t="shared" ca="1" si="38"/>
        <v>2160342735929.0806</v>
      </c>
      <c r="F318" s="53">
        <f t="shared" ca="1" si="39"/>
        <v>2353506095586.8579</v>
      </c>
      <c r="G318" s="53">
        <f t="shared" ca="1" si="40"/>
        <v>6886547226741.8301</v>
      </c>
      <c r="H318" s="53">
        <f t="shared" ca="1" si="41"/>
        <v>2353506095586.8579</v>
      </c>
      <c r="I318" s="53">
        <f t="shared" ca="1" si="42"/>
        <v>40138819040631.625</v>
      </c>
      <c r="J318" s="53">
        <f t="shared" ca="1" si="43"/>
        <v>620435108759.41138</v>
      </c>
      <c r="K318" s="54">
        <f t="shared" ca="1" si="44"/>
        <v>64.694628775749081</v>
      </c>
    </row>
    <row r="319" spans="2:11" ht="15" customHeight="1" x14ac:dyDescent="0.35">
      <c r="B319" s="5">
        <v>298</v>
      </c>
      <c r="C319" s="52">
        <f t="shared" ca="1" si="36"/>
        <v>3.2582067908808123</v>
      </c>
      <c r="D319" s="53">
        <f t="shared" ca="1" si="37"/>
        <v>8687329459.8257332</v>
      </c>
      <c r="E319" s="53">
        <f t="shared" ca="1" si="38"/>
        <v>3912188891997.0488</v>
      </c>
      <c r="F319" s="53">
        <f t="shared" ca="1" si="39"/>
        <v>1096070917212.0526</v>
      </c>
      <c r="G319" s="53">
        <f t="shared" ca="1" si="40"/>
        <v>23013904894100.234</v>
      </c>
      <c r="H319" s="53">
        <f t="shared" ca="1" si="41"/>
        <v>23013904894100.234</v>
      </c>
      <c r="I319" s="53">
        <f t="shared" ca="1" si="42"/>
        <v>1824724785568.4309</v>
      </c>
      <c r="J319" s="53">
        <f t="shared" ca="1" si="43"/>
        <v>817254455264.77661</v>
      </c>
      <c r="K319" s="54">
        <f t="shared" ca="1" si="44"/>
        <v>2.2327498783438884</v>
      </c>
    </row>
    <row r="320" spans="2:11" ht="15" customHeight="1" x14ac:dyDescent="0.35">
      <c r="B320" s="5">
        <v>299</v>
      </c>
      <c r="C320" s="52">
        <f t="shared" ca="1" si="36"/>
        <v>3.6500742741428329</v>
      </c>
      <c r="D320" s="53">
        <f t="shared" ca="1" si="37"/>
        <v>12516605571.594021</v>
      </c>
      <c r="E320" s="53">
        <f t="shared" ca="1" si="38"/>
        <v>122732319775983.89</v>
      </c>
      <c r="F320" s="53">
        <f t="shared" ca="1" si="39"/>
        <v>6903671849193.876</v>
      </c>
      <c r="G320" s="53">
        <f t="shared" ca="1" si="40"/>
        <v>846502116645.43921</v>
      </c>
      <c r="H320" s="53">
        <f t="shared" ca="1" si="41"/>
        <v>846502116645.43921</v>
      </c>
      <c r="I320" s="53">
        <f t="shared" ca="1" si="42"/>
        <v>9970403314383.4766</v>
      </c>
      <c r="J320" s="53">
        <f t="shared" ca="1" si="43"/>
        <v>989984160802.79309</v>
      </c>
      <c r="K320" s="54">
        <f t="shared" ca="1" si="44"/>
        <v>10.07127559121585</v>
      </c>
    </row>
    <row r="321" spans="2:11" ht="15" customHeight="1" x14ac:dyDescent="0.35">
      <c r="B321" s="5">
        <v>300</v>
      </c>
      <c r="C321" s="52">
        <f t="shared" ca="1" si="36"/>
        <v>4.2454278212058432</v>
      </c>
      <c r="D321" s="53">
        <f t="shared" ca="1" si="37"/>
        <v>26619712933.174492</v>
      </c>
      <c r="E321" s="53">
        <f t="shared" ca="1" si="38"/>
        <v>78748022939961.703</v>
      </c>
      <c r="F321" s="53">
        <f t="shared" ca="1" si="39"/>
        <v>3523701409987.001</v>
      </c>
      <c r="G321" s="53">
        <f t="shared" ca="1" si="40"/>
        <v>5932729436851.0518</v>
      </c>
      <c r="H321" s="53">
        <f t="shared" ca="1" si="41"/>
        <v>3523701409987.001</v>
      </c>
      <c r="I321" s="53">
        <f t="shared" ca="1" si="42"/>
        <v>2773340114288.5195</v>
      </c>
      <c r="J321" s="53">
        <f t="shared" ca="1" si="43"/>
        <v>1314801067657.6531</v>
      </c>
      <c r="K321" s="54">
        <f t="shared" ca="1" si="44"/>
        <v>2.1093229861984262</v>
      </c>
    </row>
    <row r="322" spans="2:11" ht="15" customHeight="1" x14ac:dyDescent="0.35">
      <c r="B322" s="5">
        <v>301</v>
      </c>
      <c r="C322" s="52">
        <f t="shared" ca="1" si="36"/>
        <v>3.5383956477928731</v>
      </c>
      <c r="D322" s="53">
        <f t="shared" ca="1" si="37"/>
        <v>9812554551.1996498</v>
      </c>
      <c r="E322" s="53">
        <f t="shared" ca="1" si="38"/>
        <v>63486397492341.82</v>
      </c>
      <c r="F322" s="53">
        <f t="shared" ca="1" si="39"/>
        <v>2055661204334.0122</v>
      </c>
      <c r="G322" s="53">
        <f t="shared" ca="1" si="40"/>
        <v>9604695487001.4258</v>
      </c>
      <c r="H322" s="53">
        <f t="shared" ca="1" si="41"/>
        <v>9604695487001.4258</v>
      </c>
      <c r="I322" s="53">
        <f t="shared" ca="1" si="42"/>
        <v>5779158934667.5107</v>
      </c>
      <c r="J322" s="53">
        <f t="shared" ca="1" si="43"/>
        <v>1714552861295.5015</v>
      </c>
      <c r="K322" s="54">
        <f t="shared" ca="1" si="44"/>
        <v>3.3706507773116003</v>
      </c>
    </row>
    <row r="323" spans="2:11" ht="15" customHeight="1" x14ac:dyDescent="0.35">
      <c r="B323" s="5">
        <v>302</v>
      </c>
      <c r="C323" s="52">
        <f t="shared" ca="1" si="36"/>
        <v>3.9138181678084711</v>
      </c>
      <c r="D323" s="53">
        <f t="shared" ca="1" si="37"/>
        <v>20188837329.600899</v>
      </c>
      <c r="E323" s="53">
        <f t="shared" ca="1" si="38"/>
        <v>93263961199092.031</v>
      </c>
      <c r="F323" s="53">
        <f t="shared" ca="1" si="39"/>
        <v>2531634314208.3164</v>
      </c>
      <c r="G323" s="53">
        <f t="shared" ca="1" si="40"/>
        <v>787344090264.30029</v>
      </c>
      <c r="H323" s="53">
        <f t="shared" ca="1" si="41"/>
        <v>93263961199092.031</v>
      </c>
      <c r="I323" s="53">
        <f t="shared" ca="1" si="42"/>
        <v>4956386504757.0586</v>
      </c>
      <c r="J323" s="53">
        <f t="shared" ca="1" si="43"/>
        <v>1135864216899.7327</v>
      </c>
      <c r="K323" s="54">
        <f t="shared" ca="1" si="44"/>
        <v>4.3635378516326471</v>
      </c>
    </row>
    <row r="324" spans="2:11" ht="15" customHeight="1" x14ac:dyDescent="0.35">
      <c r="B324" s="5">
        <v>303</v>
      </c>
      <c r="C324" s="52">
        <f t="shared" ca="1" si="36"/>
        <v>3.5312573576688191</v>
      </c>
      <c r="D324" s="53">
        <f t="shared" ca="1" si="37"/>
        <v>9622870218.7099667</v>
      </c>
      <c r="E324" s="53">
        <f t="shared" ca="1" si="38"/>
        <v>128828569445981.73</v>
      </c>
      <c r="F324" s="53">
        <f t="shared" ca="1" si="39"/>
        <v>6530223959358.7822</v>
      </c>
      <c r="G324" s="53">
        <f t="shared" ca="1" si="40"/>
        <v>9681433010747.5508</v>
      </c>
      <c r="H324" s="53">
        <f t="shared" ca="1" si="41"/>
        <v>6530223959358.7822</v>
      </c>
      <c r="I324" s="53">
        <f t="shared" ca="1" si="42"/>
        <v>1435552245593.741</v>
      </c>
      <c r="J324" s="53">
        <f t="shared" ca="1" si="43"/>
        <v>1005404744294.2787</v>
      </c>
      <c r="K324" s="54">
        <f t="shared" ca="1" si="44"/>
        <v>1.4278351616506393</v>
      </c>
    </row>
    <row r="325" spans="2:11" ht="15" customHeight="1" x14ac:dyDescent="0.35">
      <c r="B325" s="5">
        <v>304</v>
      </c>
      <c r="C325" s="52">
        <f t="shared" ca="1" si="36"/>
        <v>3.0653437987664405</v>
      </c>
      <c r="D325" s="53">
        <f t="shared" ca="1" si="37"/>
        <v>5602889402.0585194</v>
      </c>
      <c r="E325" s="53">
        <f t="shared" ca="1" si="38"/>
        <v>10766629881976.311</v>
      </c>
      <c r="F325" s="53">
        <f t="shared" ca="1" si="39"/>
        <v>1037897770534.3668</v>
      </c>
      <c r="G325" s="53">
        <f t="shared" ca="1" si="40"/>
        <v>1441662517455.999</v>
      </c>
      <c r="H325" s="53">
        <f t="shared" ca="1" si="41"/>
        <v>1441662517455.999</v>
      </c>
      <c r="I325" s="53">
        <f t="shared" ca="1" si="42"/>
        <v>26322815799590.324</v>
      </c>
      <c r="J325" s="53">
        <f t="shared" ca="1" si="43"/>
        <v>702736959316.20801</v>
      </c>
      <c r="K325" s="54">
        <f t="shared" ca="1" si="44"/>
        <v>37.457565666111414</v>
      </c>
    </row>
    <row r="326" spans="2:11" ht="15" customHeight="1" x14ac:dyDescent="0.35">
      <c r="B326" s="5">
        <v>305</v>
      </c>
      <c r="C326" s="52">
        <f t="shared" ca="1" si="36"/>
        <v>2.8189405669621963</v>
      </c>
      <c r="D326" s="53">
        <f t="shared" ca="1" si="37"/>
        <v>3049993102.8128533</v>
      </c>
      <c r="E326" s="53">
        <f t="shared" ca="1" si="38"/>
        <v>11920534030618.773</v>
      </c>
      <c r="F326" s="53">
        <f t="shared" ca="1" si="39"/>
        <v>1552365609991.6699</v>
      </c>
      <c r="G326" s="53">
        <f t="shared" ca="1" si="40"/>
        <v>11074013719302.113</v>
      </c>
      <c r="H326" s="53">
        <f t="shared" ca="1" si="41"/>
        <v>11920534030618.773</v>
      </c>
      <c r="I326" s="53">
        <f t="shared" ca="1" si="42"/>
        <v>14682278091183.354</v>
      </c>
      <c r="J326" s="53">
        <f t="shared" ca="1" si="43"/>
        <v>1400272874456.5989</v>
      </c>
      <c r="K326" s="54">
        <f t="shared" ca="1" si="44"/>
        <v>10.485297800888327</v>
      </c>
    </row>
    <row r="327" spans="2:11" ht="15" customHeight="1" x14ac:dyDescent="0.35">
      <c r="B327" s="5">
        <v>306</v>
      </c>
      <c r="C327" s="52">
        <f t="shared" ca="1" si="36"/>
        <v>3.3717850448516438</v>
      </c>
      <c r="D327" s="53">
        <f t="shared" ca="1" si="37"/>
        <v>7819686841.7159777</v>
      </c>
      <c r="E327" s="53">
        <f t="shared" ca="1" si="38"/>
        <v>43264187893732.563</v>
      </c>
      <c r="F327" s="53">
        <f t="shared" ca="1" si="39"/>
        <v>2328367134995.0596</v>
      </c>
      <c r="G327" s="53">
        <f t="shared" ca="1" si="40"/>
        <v>18887904419201.309</v>
      </c>
      <c r="H327" s="53">
        <f t="shared" ca="1" si="41"/>
        <v>18887904419201.309</v>
      </c>
      <c r="I327" s="53">
        <f t="shared" ca="1" si="42"/>
        <v>37299505234682.211</v>
      </c>
      <c r="J327" s="53">
        <f t="shared" ca="1" si="43"/>
        <v>744398704142.42847</v>
      </c>
      <c r="K327" s="54">
        <f t="shared" ca="1" si="44"/>
        <v>50.106891679308411</v>
      </c>
    </row>
    <row r="328" spans="2:11" ht="15" customHeight="1" x14ac:dyDescent="0.35">
      <c r="B328" s="5">
        <v>307</v>
      </c>
      <c r="C328" s="52">
        <f t="shared" ca="1" si="36"/>
        <v>3.7223062994439884</v>
      </c>
      <c r="D328" s="53">
        <f t="shared" ca="1" si="37"/>
        <v>15217715317.48959</v>
      </c>
      <c r="E328" s="53">
        <f t="shared" ca="1" si="38"/>
        <v>124151071847744.33</v>
      </c>
      <c r="F328" s="53">
        <f t="shared" ca="1" si="39"/>
        <v>1333240250668.1443</v>
      </c>
      <c r="G328" s="53">
        <f t="shared" ca="1" si="40"/>
        <v>218607974929290</v>
      </c>
      <c r="H328" s="53">
        <f t="shared" ca="1" si="41"/>
        <v>1333240250668.1443</v>
      </c>
      <c r="I328" s="53">
        <f t="shared" ca="1" si="42"/>
        <v>2404852005770.8711</v>
      </c>
      <c r="J328" s="53">
        <f t="shared" ca="1" si="43"/>
        <v>779963043247.74561</v>
      </c>
      <c r="K328" s="54">
        <f t="shared" ca="1" si="44"/>
        <v>3.0832896847998472</v>
      </c>
    </row>
    <row r="329" spans="2:11" ht="15" customHeight="1" x14ac:dyDescent="0.35">
      <c r="B329" s="5">
        <v>308</v>
      </c>
      <c r="C329" s="52">
        <f t="shared" ca="1" si="36"/>
        <v>1.9380181792285793</v>
      </c>
      <c r="D329" s="53">
        <f t="shared" ca="1" si="37"/>
        <v>500806271.81235439</v>
      </c>
      <c r="E329" s="53">
        <f t="shared" ca="1" si="38"/>
        <v>3122315571452.8193</v>
      </c>
      <c r="F329" s="53">
        <f t="shared" ca="1" si="39"/>
        <v>5055784334625.2412</v>
      </c>
      <c r="G329" s="53">
        <f t="shared" ca="1" si="40"/>
        <v>460332088405.4671</v>
      </c>
      <c r="H329" s="53">
        <f t="shared" ca="1" si="41"/>
        <v>460332088405.4671</v>
      </c>
      <c r="I329" s="53">
        <f t="shared" ca="1" si="42"/>
        <v>4721725738157.7939</v>
      </c>
      <c r="J329" s="53">
        <f t="shared" ca="1" si="43"/>
        <v>896780077231.44446</v>
      </c>
      <c r="K329" s="54">
        <f t="shared" ca="1" si="44"/>
        <v>5.2651991921305727</v>
      </c>
    </row>
    <row r="330" spans="2:11" ht="15" customHeight="1" x14ac:dyDescent="0.35">
      <c r="B330" s="5">
        <v>309</v>
      </c>
      <c r="C330" s="52">
        <f t="shared" ca="1" si="36"/>
        <v>2.5083621287513749</v>
      </c>
      <c r="D330" s="53">
        <f t="shared" ca="1" si="37"/>
        <v>1832876759.627208</v>
      </c>
      <c r="E330" s="53">
        <f t="shared" ca="1" si="38"/>
        <v>3932059947869.4805</v>
      </c>
      <c r="F330" s="53">
        <f t="shared" ca="1" si="39"/>
        <v>1035406465690.9333</v>
      </c>
      <c r="G330" s="53">
        <f t="shared" ca="1" si="40"/>
        <v>6075943817554.0557</v>
      </c>
      <c r="H330" s="53">
        <f t="shared" ca="1" si="41"/>
        <v>6075943817554.0557</v>
      </c>
      <c r="I330" s="53">
        <f t="shared" ca="1" si="42"/>
        <v>23575087620320.859</v>
      </c>
      <c r="J330" s="53">
        <f t="shared" ca="1" si="43"/>
        <v>1236245703084.9194</v>
      </c>
      <c r="K330" s="54">
        <f t="shared" ca="1" si="44"/>
        <v>19.069904600268167</v>
      </c>
    </row>
    <row r="331" spans="2:11" ht="15" customHeight="1" x14ac:dyDescent="0.35">
      <c r="B331" s="5">
        <v>310</v>
      </c>
      <c r="C331" s="52">
        <f t="shared" ca="1" si="36"/>
        <v>2.7857321556518269</v>
      </c>
      <c r="D331" s="53">
        <f t="shared" ca="1" si="37"/>
        <v>3512202436.5215988</v>
      </c>
      <c r="E331" s="53">
        <f t="shared" ca="1" si="38"/>
        <v>25546740747153.887</v>
      </c>
      <c r="F331" s="53">
        <f t="shared" ca="1" si="39"/>
        <v>1160277259788.354</v>
      </c>
      <c r="G331" s="53">
        <f t="shared" ca="1" si="40"/>
        <v>7877358234722.833</v>
      </c>
      <c r="H331" s="53">
        <f t="shared" ca="1" si="41"/>
        <v>7877358234722.833</v>
      </c>
      <c r="I331" s="53">
        <f t="shared" ca="1" si="42"/>
        <v>14943502199582.287</v>
      </c>
      <c r="J331" s="53">
        <f t="shared" ca="1" si="43"/>
        <v>841151246746.01453</v>
      </c>
      <c r="K331" s="54">
        <f t="shared" ca="1" si="44"/>
        <v>17.765535339085666</v>
      </c>
    </row>
    <row r="332" spans="2:11" ht="15" customHeight="1" x14ac:dyDescent="0.35">
      <c r="B332" s="5">
        <v>311</v>
      </c>
      <c r="C332" s="52">
        <f t="shared" ca="1" si="36"/>
        <v>3.8361898647426425</v>
      </c>
      <c r="D332" s="53">
        <f t="shared" ca="1" si="37"/>
        <v>16438801656.877939</v>
      </c>
      <c r="E332" s="53">
        <f t="shared" ca="1" si="38"/>
        <v>74204948822002.234</v>
      </c>
      <c r="F332" s="53">
        <f t="shared" ca="1" si="39"/>
        <v>6055630495444.2813</v>
      </c>
      <c r="G332" s="53">
        <f t="shared" ca="1" si="40"/>
        <v>7309285857841.1582</v>
      </c>
      <c r="H332" s="53">
        <f t="shared" ca="1" si="41"/>
        <v>6055630495444.2813</v>
      </c>
      <c r="I332" s="53">
        <f t="shared" ca="1" si="42"/>
        <v>34573933524004.891</v>
      </c>
      <c r="J332" s="53">
        <f t="shared" ca="1" si="43"/>
        <v>1389659820764.3315</v>
      </c>
      <c r="K332" s="54">
        <f t="shared" ca="1" si="44"/>
        <v>24.879422292708128</v>
      </c>
    </row>
    <row r="333" spans="2:11" ht="15" customHeight="1" x14ac:dyDescent="0.35">
      <c r="B333" s="5">
        <v>312</v>
      </c>
      <c r="C333" s="52">
        <f t="shared" ca="1" si="36"/>
        <v>2.8774541659643815</v>
      </c>
      <c r="D333" s="53">
        <f t="shared" ca="1" si="37"/>
        <v>3872689053.9958549</v>
      </c>
      <c r="E333" s="53">
        <f t="shared" ca="1" si="38"/>
        <v>7278973315097.0986</v>
      </c>
      <c r="F333" s="53">
        <f t="shared" ca="1" si="39"/>
        <v>5692976986996.8691</v>
      </c>
      <c r="G333" s="53">
        <f t="shared" ca="1" si="40"/>
        <v>8816248792682.332</v>
      </c>
      <c r="H333" s="53">
        <f t="shared" ca="1" si="41"/>
        <v>8816248792682.332</v>
      </c>
      <c r="I333" s="53">
        <f t="shared" ca="1" si="42"/>
        <v>7087815585224.7344</v>
      </c>
      <c r="J333" s="53">
        <f t="shared" ca="1" si="43"/>
        <v>1294642413208.2751</v>
      </c>
      <c r="K333" s="54">
        <f t="shared" ca="1" si="44"/>
        <v>5.4747283982920809</v>
      </c>
    </row>
    <row r="334" spans="2:11" ht="15" customHeight="1" x14ac:dyDescent="0.35">
      <c r="B334" s="5">
        <v>313</v>
      </c>
      <c r="C334" s="52">
        <f t="shared" ca="1" si="36"/>
        <v>2.7031144829295561</v>
      </c>
      <c r="D334" s="53">
        <f t="shared" ca="1" si="37"/>
        <v>2589326157.2898445</v>
      </c>
      <c r="E334" s="53">
        <f t="shared" ca="1" si="38"/>
        <v>30780598944109.195</v>
      </c>
      <c r="F334" s="53">
        <f t="shared" ca="1" si="39"/>
        <v>5557786520990.1172</v>
      </c>
      <c r="G334" s="53">
        <f t="shared" ca="1" si="40"/>
        <v>4978059286846.2715</v>
      </c>
      <c r="H334" s="53">
        <f t="shared" ca="1" si="41"/>
        <v>4978059286846.2715</v>
      </c>
      <c r="I334" s="53">
        <f t="shared" ca="1" si="42"/>
        <v>2594367740978.4224</v>
      </c>
      <c r="J334" s="53">
        <f t="shared" ca="1" si="43"/>
        <v>1047789816958.5667</v>
      </c>
      <c r="K334" s="54">
        <f t="shared" ca="1" si="44"/>
        <v>2.4760383227517213</v>
      </c>
    </row>
    <row r="335" spans="2:11" ht="15" customHeight="1" x14ac:dyDescent="0.35">
      <c r="B335" s="5">
        <v>314</v>
      </c>
      <c r="C335" s="52">
        <f t="shared" ca="1" si="36"/>
        <v>3.0899730264116974</v>
      </c>
      <c r="D335" s="53">
        <f t="shared" ca="1" si="37"/>
        <v>6118917493.9072895</v>
      </c>
      <c r="E335" s="53">
        <f t="shared" ca="1" si="38"/>
        <v>44015008865765.07</v>
      </c>
      <c r="F335" s="53">
        <f t="shared" ca="1" si="39"/>
        <v>1247116970840.5098</v>
      </c>
      <c r="G335" s="53">
        <f t="shared" ca="1" si="40"/>
        <v>150011343723591.84</v>
      </c>
      <c r="H335" s="53">
        <f t="shared" ca="1" si="41"/>
        <v>150011343723591.84</v>
      </c>
      <c r="I335" s="53">
        <f t="shared" ca="1" si="42"/>
        <v>4343537866833.9531</v>
      </c>
      <c r="J335" s="53">
        <f t="shared" ca="1" si="43"/>
        <v>939364719264.7439</v>
      </c>
      <c r="K335" s="54">
        <f t="shared" ca="1" si="44"/>
        <v>4.6239099444076537</v>
      </c>
    </row>
    <row r="336" spans="2:11" ht="15" customHeight="1" x14ac:dyDescent="0.35">
      <c r="B336" s="5">
        <v>315</v>
      </c>
      <c r="C336" s="52">
        <f t="shared" ca="1" si="36"/>
        <v>2.8701154366734039</v>
      </c>
      <c r="D336" s="53">
        <f t="shared" ca="1" si="37"/>
        <v>3956043058.9405351</v>
      </c>
      <c r="E336" s="53">
        <f t="shared" ca="1" si="38"/>
        <v>20911804702162.816</v>
      </c>
      <c r="F336" s="53">
        <f t="shared" ca="1" si="39"/>
        <v>1476709712163.9968</v>
      </c>
      <c r="G336" s="53">
        <f t="shared" ca="1" si="40"/>
        <v>12013468778432.996</v>
      </c>
      <c r="H336" s="53">
        <f t="shared" ca="1" si="41"/>
        <v>12013468778432.996</v>
      </c>
      <c r="I336" s="53">
        <f t="shared" ca="1" si="42"/>
        <v>4568440424359.707</v>
      </c>
      <c r="J336" s="53">
        <f t="shared" ca="1" si="43"/>
        <v>1364434153229.1248</v>
      </c>
      <c r="K336" s="54">
        <f t="shared" ca="1" si="44"/>
        <v>3.348230776507501</v>
      </c>
    </row>
    <row r="337" spans="2:11" ht="15" customHeight="1" x14ac:dyDescent="0.35">
      <c r="B337" s="5">
        <v>316</v>
      </c>
      <c r="C337" s="52">
        <f t="shared" ca="1" si="36"/>
        <v>2.8506433718634567</v>
      </c>
      <c r="D337" s="53">
        <f t="shared" ca="1" si="37"/>
        <v>4266902600.3179512</v>
      </c>
      <c r="E337" s="53">
        <f t="shared" ca="1" si="38"/>
        <v>3633762504654.417</v>
      </c>
      <c r="F337" s="53">
        <f t="shared" ca="1" si="39"/>
        <v>3049752379470.9336</v>
      </c>
      <c r="G337" s="53">
        <f t="shared" ca="1" si="40"/>
        <v>4870550076567.3877</v>
      </c>
      <c r="H337" s="53">
        <f t="shared" ca="1" si="41"/>
        <v>4870550076567.3877</v>
      </c>
      <c r="I337" s="53">
        <f t="shared" ca="1" si="42"/>
        <v>16257967390768.594</v>
      </c>
      <c r="J337" s="53">
        <f t="shared" ca="1" si="43"/>
        <v>1236766958781.3127</v>
      </c>
      <c r="K337" s="54">
        <f t="shared" ca="1" si="44"/>
        <v>13.145538272455866</v>
      </c>
    </row>
    <row r="338" spans="2:11" ht="15" customHeight="1" x14ac:dyDescent="0.35">
      <c r="B338" s="5">
        <v>317</v>
      </c>
      <c r="C338" s="52">
        <f t="shared" ca="1" si="36"/>
        <v>2.9025489513493832</v>
      </c>
      <c r="D338" s="53">
        <f t="shared" ca="1" si="37"/>
        <v>3606045328.9427662</v>
      </c>
      <c r="E338" s="53">
        <f t="shared" ca="1" si="38"/>
        <v>24952602387742.832</v>
      </c>
      <c r="F338" s="53">
        <f t="shared" ca="1" si="39"/>
        <v>3223145054213.543</v>
      </c>
      <c r="G338" s="53">
        <f t="shared" ca="1" si="40"/>
        <v>68848481068.392197</v>
      </c>
      <c r="H338" s="53">
        <f t="shared" ca="1" si="41"/>
        <v>24952602387742.832</v>
      </c>
      <c r="I338" s="53">
        <f t="shared" ca="1" si="42"/>
        <v>14275974202390.828</v>
      </c>
      <c r="J338" s="53">
        <f t="shared" ca="1" si="43"/>
        <v>920647767491.46338</v>
      </c>
      <c r="K338" s="54">
        <f t="shared" ca="1" si="44"/>
        <v>15.506445251357437</v>
      </c>
    </row>
    <row r="339" spans="2:11" ht="15" customHeight="1" x14ac:dyDescent="0.35">
      <c r="B339" s="5">
        <v>318</v>
      </c>
      <c r="C339" s="52">
        <f t="shared" ca="1" si="36"/>
        <v>3.2984417592579196</v>
      </c>
      <c r="D339" s="53">
        <f t="shared" ca="1" si="37"/>
        <v>6503848524.4324398</v>
      </c>
      <c r="E339" s="53">
        <f t="shared" ca="1" si="38"/>
        <v>2142775083180.8416</v>
      </c>
      <c r="F339" s="53">
        <f t="shared" ca="1" si="39"/>
        <v>766444530670.46191</v>
      </c>
      <c r="G339" s="53">
        <f t="shared" ca="1" si="40"/>
        <v>1666496785975.3689</v>
      </c>
      <c r="H339" s="53">
        <f t="shared" ca="1" si="41"/>
        <v>766444530670.46191</v>
      </c>
      <c r="I339" s="53">
        <f t="shared" ca="1" si="42"/>
        <v>6747017810533.3721</v>
      </c>
      <c r="J339" s="53">
        <f t="shared" ca="1" si="43"/>
        <v>1456067599481.3936</v>
      </c>
      <c r="K339" s="54">
        <f t="shared" ca="1" si="44"/>
        <v>4.6337256683250505</v>
      </c>
    </row>
    <row r="340" spans="2:11" ht="15" customHeight="1" x14ac:dyDescent="0.35">
      <c r="B340" s="5">
        <v>319</v>
      </c>
      <c r="C340" s="52">
        <f t="shared" ca="1" si="36"/>
        <v>3.7500482212508537</v>
      </c>
      <c r="D340" s="53">
        <f t="shared" ca="1" si="37"/>
        <v>16945895918.653458</v>
      </c>
      <c r="E340" s="53">
        <f t="shared" ca="1" si="38"/>
        <v>86954114068782.656</v>
      </c>
      <c r="F340" s="53">
        <f t="shared" ca="1" si="39"/>
        <v>2764835844749.5288</v>
      </c>
      <c r="G340" s="53">
        <f t="shared" ca="1" si="40"/>
        <v>33771336305507.914</v>
      </c>
      <c r="H340" s="53">
        <f t="shared" ca="1" si="41"/>
        <v>33771336305507.914</v>
      </c>
      <c r="I340" s="53">
        <f t="shared" ca="1" si="42"/>
        <v>13838591661149.447</v>
      </c>
      <c r="J340" s="53">
        <f t="shared" ca="1" si="43"/>
        <v>733942385203.6748</v>
      </c>
      <c r="K340" s="54">
        <f t="shared" ca="1" si="44"/>
        <v>18.855147134347785</v>
      </c>
    </row>
    <row r="341" spans="2:11" ht="15" customHeight="1" x14ac:dyDescent="0.35">
      <c r="B341" s="5">
        <v>320</v>
      </c>
      <c r="C341" s="52">
        <f t="shared" ca="1" si="36"/>
        <v>2.6269893039905639</v>
      </c>
      <c r="D341" s="53">
        <f t="shared" ca="1" si="37"/>
        <v>2852959949.5907421</v>
      </c>
      <c r="E341" s="53">
        <f t="shared" ca="1" si="38"/>
        <v>9345998527431.2773</v>
      </c>
      <c r="F341" s="53">
        <f t="shared" ca="1" si="39"/>
        <v>2158315586053.8506</v>
      </c>
      <c r="G341" s="53">
        <f t="shared" ca="1" si="40"/>
        <v>1162751818832.98</v>
      </c>
      <c r="H341" s="53">
        <f t="shared" ca="1" si="41"/>
        <v>1162751818832.98</v>
      </c>
      <c r="I341" s="53">
        <f t="shared" ca="1" si="42"/>
        <v>21377345468930.477</v>
      </c>
      <c r="J341" s="53">
        <f t="shared" ca="1" si="43"/>
        <v>1292225793449.9021</v>
      </c>
      <c r="K341" s="54">
        <f t="shared" ca="1" si="44"/>
        <v>16.543041918284732</v>
      </c>
    </row>
    <row r="342" spans="2:11" ht="15" customHeight="1" x14ac:dyDescent="0.35">
      <c r="B342" s="5">
        <v>321</v>
      </c>
      <c r="C342" s="52">
        <f t="shared" ref="C342:C405" ca="1" si="45">MEDIAN(1.8,NORMINV(RAND(),$C$7,$D$7),4.5)</f>
        <v>3.6949225326939783</v>
      </c>
      <c r="D342" s="53">
        <f t="shared" ref="D342:D405" ca="1" si="46">($C$8+RAND()*($D$8-$C$8))*C342^5</f>
        <v>15654519152.193695</v>
      </c>
      <c r="E342" s="53">
        <f t="shared" ref="E342:E405" ca="1" si="47">D342*($C$10+RAND()*($D$10-$C$10))*EXP(NORMINV(RAND(),$C$9,$D$9))*($C$11+RAND()*($D$11-$C$11))</f>
        <v>59086155620431</v>
      </c>
      <c r="F342" s="53">
        <f t="shared" ref="F342:F405" ca="1" si="48">EXP(NORMINV(RAND(),$C$12,$D$12))*EXP(NORMINV(RAND(),$C$13,$D$13))</f>
        <v>1853840741761.8315</v>
      </c>
      <c r="G342" s="53">
        <f t="shared" ref="G342:G405" ca="1" si="49">EXP(NORMINV(RAND(),$C$14,$D$14))*($C$15+RAND()*($D$15-$C$15))*EXP(NORMINV(RAND(),$C$16,$D$16))/1000000*31536000</f>
        <v>1542772393464.5603</v>
      </c>
      <c r="H342" s="53">
        <f t="shared" ref="H342:H405" ca="1" si="50">CHOOSE(RANDBETWEEN(1,3),E342,F342,G342)</f>
        <v>1853840741761.8315</v>
      </c>
      <c r="I342" s="53">
        <f t="shared" ref="I342:I405" ca="1" si="51">EXP(NORMINV(RAND(),$C$14,$D$14))*($C$15+RAND()*($D$15-$C$15))*60</f>
        <v>52217543604624.156</v>
      </c>
      <c r="J342" s="53">
        <f t="shared" ref="J342:J405" ca="1" si="52">($C$17+RAND()*($D$17-$C$17))*($C$18+RAND()*($D$18-$C$18))</f>
        <v>1192395141065.6426</v>
      </c>
      <c r="K342" s="54">
        <f t="shared" ref="K342:K405" ca="1" si="53">I342/J342</f>
        <v>43.792147255780812</v>
      </c>
    </row>
    <row r="343" spans="2:11" ht="15" customHeight="1" x14ac:dyDescent="0.35">
      <c r="B343" s="5">
        <v>322</v>
      </c>
      <c r="C343" s="52">
        <f t="shared" ca="1" si="45"/>
        <v>2.6129307648573712</v>
      </c>
      <c r="D343" s="53">
        <f t="shared" ca="1" si="46"/>
        <v>2527116110.3151221</v>
      </c>
      <c r="E343" s="53">
        <f t="shared" ca="1" si="47"/>
        <v>1192820730919.9702</v>
      </c>
      <c r="F343" s="53">
        <f t="shared" ca="1" si="48"/>
        <v>4181570918573.1211</v>
      </c>
      <c r="G343" s="53">
        <f t="shared" ca="1" si="49"/>
        <v>63914988186125.891</v>
      </c>
      <c r="H343" s="53">
        <f t="shared" ca="1" si="50"/>
        <v>63914988186125.891</v>
      </c>
      <c r="I343" s="53">
        <f t="shared" ca="1" si="51"/>
        <v>14443389521801.32</v>
      </c>
      <c r="J343" s="53">
        <f t="shared" ca="1" si="52"/>
        <v>1424527296763.8386</v>
      </c>
      <c r="K343" s="54">
        <f t="shared" ca="1" si="53"/>
        <v>10.139075295091224</v>
      </c>
    </row>
    <row r="344" spans="2:11" ht="15" customHeight="1" x14ac:dyDescent="0.35">
      <c r="B344" s="5">
        <v>323</v>
      </c>
      <c r="C344" s="52">
        <f t="shared" ca="1" si="45"/>
        <v>3.3137186811154908</v>
      </c>
      <c r="D344" s="53">
        <f t="shared" ca="1" si="46"/>
        <v>6833311248.8374434</v>
      </c>
      <c r="E344" s="53">
        <f t="shared" ca="1" si="47"/>
        <v>25021615554097.164</v>
      </c>
      <c r="F344" s="53">
        <f t="shared" ca="1" si="48"/>
        <v>11540931220853.723</v>
      </c>
      <c r="G344" s="53">
        <f t="shared" ca="1" si="49"/>
        <v>11847037699192.1</v>
      </c>
      <c r="H344" s="53">
        <f t="shared" ca="1" si="50"/>
        <v>11540931220853.723</v>
      </c>
      <c r="I344" s="53">
        <f t="shared" ca="1" si="51"/>
        <v>11668274434791.355</v>
      </c>
      <c r="J344" s="53">
        <f t="shared" ca="1" si="52"/>
        <v>714260474854.53528</v>
      </c>
      <c r="K344" s="54">
        <f t="shared" ca="1" si="53"/>
        <v>16.336161450299613</v>
      </c>
    </row>
    <row r="345" spans="2:11" ht="15" customHeight="1" x14ac:dyDescent="0.35">
      <c r="B345" s="5">
        <v>324</v>
      </c>
      <c r="C345" s="52">
        <f t="shared" ca="1" si="45"/>
        <v>2.4820966961732354</v>
      </c>
      <c r="D345" s="53">
        <f t="shared" ca="1" si="46"/>
        <v>1721552902.8262422</v>
      </c>
      <c r="E345" s="53">
        <f t="shared" ca="1" si="47"/>
        <v>5272665478210.6074</v>
      </c>
      <c r="F345" s="53">
        <f t="shared" ca="1" si="48"/>
        <v>9660959643284.8887</v>
      </c>
      <c r="G345" s="53">
        <f t="shared" ca="1" si="49"/>
        <v>379573089424.40826</v>
      </c>
      <c r="H345" s="53">
        <f t="shared" ca="1" si="50"/>
        <v>5272665478210.6074</v>
      </c>
      <c r="I345" s="53">
        <f t="shared" ca="1" si="51"/>
        <v>65229316675769.883</v>
      </c>
      <c r="J345" s="53">
        <f t="shared" ca="1" si="52"/>
        <v>1077171574158.046</v>
      </c>
      <c r="K345" s="54">
        <f t="shared" ca="1" si="53"/>
        <v>60.556106604238359</v>
      </c>
    </row>
    <row r="346" spans="2:11" ht="15" customHeight="1" x14ac:dyDescent="0.35">
      <c r="B346" s="5">
        <v>325</v>
      </c>
      <c r="C346" s="52">
        <f t="shared" ca="1" si="45"/>
        <v>2.3911943076619422</v>
      </c>
      <c r="D346" s="53">
        <f t="shared" ca="1" si="46"/>
        <v>1580683088.7831051</v>
      </c>
      <c r="E346" s="53">
        <f t="shared" ca="1" si="47"/>
        <v>6959566073139.3193</v>
      </c>
      <c r="F346" s="53">
        <f t="shared" ca="1" si="48"/>
        <v>565012632463.46472</v>
      </c>
      <c r="G346" s="53">
        <f t="shared" ca="1" si="49"/>
        <v>6052395349012.6357</v>
      </c>
      <c r="H346" s="53">
        <f t="shared" ca="1" si="50"/>
        <v>565012632463.46472</v>
      </c>
      <c r="I346" s="53">
        <f t="shared" ca="1" si="51"/>
        <v>46270897007267.148</v>
      </c>
      <c r="J346" s="53">
        <f t="shared" ca="1" si="52"/>
        <v>1099514727265.3638</v>
      </c>
      <c r="K346" s="54">
        <f t="shared" ca="1" si="53"/>
        <v>42.08301704366334</v>
      </c>
    </row>
    <row r="347" spans="2:11" ht="15" customHeight="1" x14ac:dyDescent="0.35">
      <c r="B347" s="5">
        <v>326</v>
      </c>
      <c r="C347" s="52">
        <f t="shared" ca="1" si="45"/>
        <v>3.0817260305150214</v>
      </c>
      <c r="D347" s="53">
        <f t="shared" ca="1" si="46"/>
        <v>6239043251.847784</v>
      </c>
      <c r="E347" s="53">
        <f t="shared" ca="1" si="47"/>
        <v>15863335541026.229</v>
      </c>
      <c r="F347" s="53">
        <f t="shared" ca="1" si="48"/>
        <v>2089335551866.6992</v>
      </c>
      <c r="G347" s="53">
        <f t="shared" ca="1" si="49"/>
        <v>2001455555658.1641</v>
      </c>
      <c r="H347" s="53">
        <f t="shared" ca="1" si="50"/>
        <v>15863335541026.229</v>
      </c>
      <c r="I347" s="53">
        <f t="shared" ca="1" si="51"/>
        <v>2586488457405.8608</v>
      </c>
      <c r="J347" s="53">
        <f t="shared" ca="1" si="52"/>
        <v>662668850847.4989</v>
      </c>
      <c r="K347" s="54">
        <f t="shared" ca="1" si="53"/>
        <v>3.9031387307521022</v>
      </c>
    </row>
    <row r="348" spans="2:11" ht="15" customHeight="1" x14ac:dyDescent="0.35">
      <c r="B348" s="5">
        <v>327</v>
      </c>
      <c r="C348" s="52">
        <f t="shared" ca="1" si="45"/>
        <v>3.0629048300888462</v>
      </c>
      <c r="D348" s="53">
        <f t="shared" ca="1" si="46"/>
        <v>5920272425.1584845</v>
      </c>
      <c r="E348" s="53">
        <f t="shared" ca="1" si="47"/>
        <v>4816421412136.4629</v>
      </c>
      <c r="F348" s="53">
        <f t="shared" ca="1" si="48"/>
        <v>2716136161820.8857</v>
      </c>
      <c r="G348" s="53">
        <f t="shared" ca="1" si="49"/>
        <v>596723023851.7113</v>
      </c>
      <c r="H348" s="53">
        <f t="shared" ca="1" si="50"/>
        <v>4816421412136.4629</v>
      </c>
      <c r="I348" s="53">
        <f t="shared" ca="1" si="51"/>
        <v>18515219738669.852</v>
      </c>
      <c r="J348" s="53">
        <f t="shared" ca="1" si="52"/>
        <v>1395991401860.4673</v>
      </c>
      <c r="K348" s="54">
        <f t="shared" ca="1" si="53"/>
        <v>13.263133078036317</v>
      </c>
    </row>
    <row r="349" spans="2:11" ht="15" customHeight="1" x14ac:dyDescent="0.35">
      <c r="B349" s="5">
        <v>328</v>
      </c>
      <c r="C349" s="52">
        <f t="shared" ca="1" si="45"/>
        <v>2.3583006462314478</v>
      </c>
      <c r="D349" s="53">
        <f t="shared" ca="1" si="46"/>
        <v>1702079573.2298357</v>
      </c>
      <c r="E349" s="53">
        <f t="shared" ca="1" si="47"/>
        <v>3947982741990.1772</v>
      </c>
      <c r="F349" s="53">
        <f t="shared" ca="1" si="48"/>
        <v>5917329234744.1191</v>
      </c>
      <c r="G349" s="53">
        <f t="shared" ca="1" si="49"/>
        <v>3734572798806.7485</v>
      </c>
      <c r="H349" s="53">
        <f t="shared" ca="1" si="50"/>
        <v>3947982741990.1772</v>
      </c>
      <c r="I349" s="53">
        <f t="shared" ca="1" si="51"/>
        <v>3254611460552.9922</v>
      </c>
      <c r="J349" s="53">
        <f t="shared" ca="1" si="52"/>
        <v>1126463874619.0837</v>
      </c>
      <c r="K349" s="54">
        <f t="shared" ca="1" si="53"/>
        <v>2.8892284376660959</v>
      </c>
    </row>
    <row r="350" spans="2:11" ht="15" customHeight="1" x14ac:dyDescent="0.35">
      <c r="B350" s="5">
        <v>329</v>
      </c>
      <c r="C350" s="52">
        <f t="shared" ca="1" si="45"/>
        <v>3.3008803259451671</v>
      </c>
      <c r="D350" s="53">
        <f t="shared" ca="1" si="46"/>
        <v>7342062267.2853985</v>
      </c>
      <c r="E350" s="53">
        <f t="shared" ca="1" si="47"/>
        <v>15145281288697.176</v>
      </c>
      <c r="F350" s="53">
        <f t="shared" ca="1" si="48"/>
        <v>13566180731558.1</v>
      </c>
      <c r="G350" s="53">
        <f t="shared" ca="1" si="49"/>
        <v>2778204677628.0625</v>
      </c>
      <c r="H350" s="53">
        <f t="shared" ca="1" si="50"/>
        <v>15145281288697.176</v>
      </c>
      <c r="I350" s="53">
        <f t="shared" ca="1" si="51"/>
        <v>3037174662049.7358</v>
      </c>
      <c r="J350" s="53">
        <f t="shared" ca="1" si="52"/>
        <v>1060834290521.3186</v>
      </c>
      <c r="K350" s="54">
        <f t="shared" ca="1" si="53"/>
        <v>2.8630057391500774</v>
      </c>
    </row>
    <row r="351" spans="2:11" ht="15" customHeight="1" x14ac:dyDescent="0.35">
      <c r="B351" s="5">
        <v>330</v>
      </c>
      <c r="C351" s="52">
        <f t="shared" ca="1" si="45"/>
        <v>2.6909819290264481</v>
      </c>
      <c r="D351" s="53">
        <f t="shared" ca="1" si="46"/>
        <v>2450290094.7536168</v>
      </c>
      <c r="E351" s="53">
        <f t="shared" ca="1" si="47"/>
        <v>10223812727899.377</v>
      </c>
      <c r="F351" s="53">
        <f t="shared" ca="1" si="48"/>
        <v>4636048153027.7148</v>
      </c>
      <c r="G351" s="53">
        <f t="shared" ca="1" si="49"/>
        <v>7247577223794.2734</v>
      </c>
      <c r="H351" s="53">
        <f t="shared" ca="1" si="50"/>
        <v>4636048153027.7148</v>
      </c>
      <c r="I351" s="53">
        <f t="shared" ca="1" si="51"/>
        <v>55439394878087.234</v>
      </c>
      <c r="J351" s="53">
        <f t="shared" ca="1" si="52"/>
        <v>1365201677709.1724</v>
      </c>
      <c r="K351" s="54">
        <f t="shared" ca="1" si="53"/>
        <v>40.608941362506471</v>
      </c>
    </row>
    <row r="352" spans="2:11" ht="15" customHeight="1" x14ac:dyDescent="0.35">
      <c r="B352" s="5">
        <v>331</v>
      </c>
      <c r="C352" s="52">
        <f t="shared" ca="1" si="45"/>
        <v>3.2980641763668408</v>
      </c>
      <c r="D352" s="53">
        <f t="shared" ca="1" si="46"/>
        <v>7392936902.7915096</v>
      </c>
      <c r="E352" s="53">
        <f t="shared" ca="1" si="47"/>
        <v>52616822092244.242</v>
      </c>
      <c r="F352" s="53">
        <f t="shared" ca="1" si="48"/>
        <v>10400873662458.727</v>
      </c>
      <c r="G352" s="53">
        <f t="shared" ca="1" si="49"/>
        <v>11218253812068.309</v>
      </c>
      <c r="H352" s="53">
        <f t="shared" ca="1" si="50"/>
        <v>11218253812068.309</v>
      </c>
      <c r="I352" s="53">
        <f t="shared" ca="1" si="51"/>
        <v>4540391525465.7783</v>
      </c>
      <c r="J352" s="53">
        <f t="shared" ca="1" si="52"/>
        <v>1108962481708.5022</v>
      </c>
      <c r="K352" s="54">
        <f t="shared" ca="1" si="53"/>
        <v>4.0942697344194272</v>
      </c>
    </row>
    <row r="353" spans="2:11" ht="15" customHeight="1" x14ac:dyDescent="0.35">
      <c r="B353" s="5">
        <v>332</v>
      </c>
      <c r="C353" s="52">
        <f t="shared" ca="1" si="45"/>
        <v>2.3462981930891531</v>
      </c>
      <c r="D353" s="53">
        <f t="shared" ca="1" si="46"/>
        <v>1508572813.6942828</v>
      </c>
      <c r="E353" s="53">
        <f t="shared" ca="1" si="47"/>
        <v>8477561488690.2734</v>
      </c>
      <c r="F353" s="53">
        <f t="shared" ca="1" si="48"/>
        <v>17457213020156.799</v>
      </c>
      <c r="G353" s="53">
        <f t="shared" ca="1" si="49"/>
        <v>13020727003992.287</v>
      </c>
      <c r="H353" s="53">
        <f t="shared" ca="1" si="50"/>
        <v>8477561488690.2734</v>
      </c>
      <c r="I353" s="53">
        <f t="shared" ca="1" si="51"/>
        <v>2800864754382.3706</v>
      </c>
      <c r="J353" s="53">
        <f t="shared" ca="1" si="52"/>
        <v>1576563999969.8701</v>
      </c>
      <c r="K353" s="54">
        <f t="shared" ca="1" si="53"/>
        <v>1.776562673279295</v>
      </c>
    </row>
    <row r="354" spans="2:11" ht="15" customHeight="1" x14ac:dyDescent="0.35">
      <c r="B354" s="5">
        <v>333</v>
      </c>
      <c r="C354" s="52">
        <f t="shared" ca="1" si="45"/>
        <v>3.7542625318829881</v>
      </c>
      <c r="D354" s="53">
        <f t="shared" ca="1" si="46"/>
        <v>12252898079.214046</v>
      </c>
      <c r="E354" s="53">
        <f t="shared" ca="1" si="47"/>
        <v>57962847569814.906</v>
      </c>
      <c r="F354" s="53">
        <f t="shared" ca="1" si="48"/>
        <v>30628187396740.32</v>
      </c>
      <c r="G354" s="53">
        <f t="shared" ca="1" si="49"/>
        <v>57618501980.708046</v>
      </c>
      <c r="H354" s="53">
        <f t="shared" ca="1" si="50"/>
        <v>57962847569814.906</v>
      </c>
      <c r="I354" s="53">
        <f t="shared" ca="1" si="51"/>
        <v>20972198253955.563</v>
      </c>
      <c r="J354" s="53">
        <f t="shared" ca="1" si="52"/>
        <v>1108468370001.2014</v>
      </c>
      <c r="K354" s="54">
        <f t="shared" ca="1" si="53"/>
        <v>18.919978974170306</v>
      </c>
    </row>
    <row r="355" spans="2:11" ht="15" customHeight="1" x14ac:dyDescent="0.35">
      <c r="B355" s="5">
        <v>334</v>
      </c>
      <c r="C355" s="52">
        <f t="shared" ca="1" si="45"/>
        <v>2.9873139223710909</v>
      </c>
      <c r="D355" s="53">
        <f t="shared" ca="1" si="46"/>
        <v>5149113694.0487957</v>
      </c>
      <c r="E355" s="53">
        <f t="shared" ca="1" si="47"/>
        <v>40827460120587.688</v>
      </c>
      <c r="F355" s="53">
        <f t="shared" ca="1" si="48"/>
        <v>4713928746016.4502</v>
      </c>
      <c r="G355" s="53">
        <f t="shared" ca="1" si="49"/>
        <v>8318613069464.5439</v>
      </c>
      <c r="H355" s="53">
        <f t="shared" ca="1" si="50"/>
        <v>40827460120587.688</v>
      </c>
      <c r="I355" s="53">
        <f t="shared" ca="1" si="51"/>
        <v>19508878770721.387</v>
      </c>
      <c r="J355" s="53">
        <f t="shared" ca="1" si="52"/>
        <v>981076080701.96997</v>
      </c>
      <c r="K355" s="54">
        <f t="shared" ca="1" si="53"/>
        <v>19.885184395447276</v>
      </c>
    </row>
    <row r="356" spans="2:11" ht="15" customHeight="1" x14ac:dyDescent="0.35">
      <c r="B356" s="5">
        <v>335</v>
      </c>
      <c r="C356" s="52">
        <f t="shared" ca="1" si="45"/>
        <v>3.1815020680796438</v>
      </c>
      <c r="D356" s="53">
        <f t="shared" ca="1" si="46"/>
        <v>6184502358.0816517</v>
      </c>
      <c r="E356" s="53">
        <f t="shared" ca="1" si="47"/>
        <v>3502844507539.1689</v>
      </c>
      <c r="F356" s="53">
        <f t="shared" ca="1" si="48"/>
        <v>728656927470.46228</v>
      </c>
      <c r="G356" s="53">
        <f t="shared" ca="1" si="49"/>
        <v>4030332380904.6694</v>
      </c>
      <c r="H356" s="53">
        <f t="shared" ca="1" si="50"/>
        <v>3502844507539.1689</v>
      </c>
      <c r="I356" s="53">
        <f t="shared" ca="1" si="51"/>
        <v>2785217503830.3345</v>
      </c>
      <c r="J356" s="53">
        <f t="shared" ca="1" si="52"/>
        <v>934369098434.20581</v>
      </c>
      <c r="K356" s="54">
        <f t="shared" ca="1" si="53"/>
        <v>2.9808536139494959</v>
      </c>
    </row>
    <row r="357" spans="2:11" ht="15" customHeight="1" x14ac:dyDescent="0.35">
      <c r="B357" s="5">
        <v>336</v>
      </c>
      <c r="C357" s="52">
        <f t="shared" ca="1" si="45"/>
        <v>2.3201927406646665</v>
      </c>
      <c r="D357" s="53">
        <f t="shared" ca="1" si="46"/>
        <v>1169861641.5428483</v>
      </c>
      <c r="E357" s="53">
        <f t="shared" ca="1" si="47"/>
        <v>2254301487388.5674</v>
      </c>
      <c r="F357" s="53">
        <f t="shared" ca="1" si="48"/>
        <v>2714471746656.1025</v>
      </c>
      <c r="G357" s="53">
        <f t="shared" ca="1" si="49"/>
        <v>3937513235700.439</v>
      </c>
      <c r="H357" s="53">
        <f t="shared" ca="1" si="50"/>
        <v>3937513235700.439</v>
      </c>
      <c r="I357" s="53">
        <f t="shared" ca="1" si="51"/>
        <v>6233971962341.9717</v>
      </c>
      <c r="J357" s="53">
        <f t="shared" ca="1" si="52"/>
        <v>659938652592.5155</v>
      </c>
      <c r="K357" s="54">
        <f t="shared" ca="1" si="53"/>
        <v>9.446290102651691</v>
      </c>
    </row>
    <row r="358" spans="2:11" ht="15" customHeight="1" x14ac:dyDescent="0.35">
      <c r="B358" s="5">
        <v>337</v>
      </c>
      <c r="C358" s="52">
        <f t="shared" ca="1" si="45"/>
        <v>2.5189406207382832</v>
      </c>
      <c r="D358" s="53">
        <f t="shared" ca="1" si="46"/>
        <v>1852709297.6518781</v>
      </c>
      <c r="E358" s="53">
        <f t="shared" ca="1" si="47"/>
        <v>1284408332417.2979</v>
      </c>
      <c r="F358" s="53">
        <f t="shared" ca="1" si="48"/>
        <v>3867608932849.5327</v>
      </c>
      <c r="G358" s="53">
        <f t="shared" ca="1" si="49"/>
        <v>6100956590166.375</v>
      </c>
      <c r="H358" s="53">
        <f t="shared" ca="1" si="50"/>
        <v>3867608932849.5327</v>
      </c>
      <c r="I358" s="53">
        <f t="shared" ca="1" si="51"/>
        <v>134742053400199.69</v>
      </c>
      <c r="J358" s="53">
        <f t="shared" ca="1" si="52"/>
        <v>772143072939.57312</v>
      </c>
      <c r="K358" s="54">
        <f t="shared" ca="1" si="53"/>
        <v>174.5039981868029</v>
      </c>
    </row>
    <row r="359" spans="2:11" ht="15" customHeight="1" x14ac:dyDescent="0.35">
      <c r="B359" s="5">
        <v>338</v>
      </c>
      <c r="C359" s="52">
        <f t="shared" ca="1" si="45"/>
        <v>3.2217700564039404</v>
      </c>
      <c r="D359" s="53">
        <f t="shared" ca="1" si="46"/>
        <v>7818214638.513545</v>
      </c>
      <c r="E359" s="53">
        <f t="shared" ca="1" si="47"/>
        <v>41851842361213.961</v>
      </c>
      <c r="F359" s="53">
        <f t="shared" ca="1" si="48"/>
        <v>2849681949885.1196</v>
      </c>
      <c r="G359" s="53">
        <f t="shared" ca="1" si="49"/>
        <v>10118607181417.666</v>
      </c>
      <c r="H359" s="53">
        <f t="shared" ca="1" si="50"/>
        <v>10118607181417.666</v>
      </c>
      <c r="I359" s="53">
        <f t="shared" ca="1" si="51"/>
        <v>12807491941442.654</v>
      </c>
      <c r="J359" s="53">
        <f t="shared" ca="1" si="52"/>
        <v>915994364528.88586</v>
      </c>
      <c r="K359" s="54">
        <f t="shared" ca="1" si="53"/>
        <v>13.982064123320018</v>
      </c>
    </row>
    <row r="360" spans="2:11" ht="15" customHeight="1" x14ac:dyDescent="0.35">
      <c r="B360" s="5">
        <v>339</v>
      </c>
      <c r="C360" s="52">
        <f t="shared" ca="1" si="45"/>
        <v>3.0266700942105889</v>
      </c>
      <c r="D360" s="53">
        <f t="shared" ca="1" si="46"/>
        <v>4691644964.9685259</v>
      </c>
      <c r="E360" s="53">
        <f t="shared" ca="1" si="47"/>
        <v>13167914639051.402</v>
      </c>
      <c r="F360" s="53">
        <f t="shared" ca="1" si="48"/>
        <v>7426126301980.8867</v>
      </c>
      <c r="G360" s="53">
        <f t="shared" ca="1" si="49"/>
        <v>94812638582590.859</v>
      </c>
      <c r="H360" s="53">
        <f t="shared" ca="1" si="50"/>
        <v>7426126301980.8867</v>
      </c>
      <c r="I360" s="53">
        <f t="shared" ca="1" si="51"/>
        <v>10912636620067.156</v>
      </c>
      <c r="J360" s="53">
        <f t="shared" ca="1" si="52"/>
        <v>942324137454.68811</v>
      </c>
      <c r="K360" s="54">
        <f t="shared" ca="1" si="53"/>
        <v>11.580555125695158</v>
      </c>
    </row>
    <row r="361" spans="2:11" ht="15" customHeight="1" x14ac:dyDescent="0.35">
      <c r="B361" s="5">
        <v>340</v>
      </c>
      <c r="C361" s="52">
        <f t="shared" ca="1" si="45"/>
        <v>2.8417790353932735</v>
      </c>
      <c r="D361" s="53">
        <f t="shared" ca="1" si="46"/>
        <v>4171398577.6406865</v>
      </c>
      <c r="E361" s="53">
        <f t="shared" ca="1" si="47"/>
        <v>16170608018720.91</v>
      </c>
      <c r="F361" s="53">
        <f t="shared" ca="1" si="48"/>
        <v>4362407020188.1021</v>
      </c>
      <c r="G361" s="53">
        <f t="shared" ca="1" si="49"/>
        <v>16192308375005.217</v>
      </c>
      <c r="H361" s="53">
        <f t="shared" ca="1" si="50"/>
        <v>16170608018720.91</v>
      </c>
      <c r="I361" s="53">
        <f t="shared" ca="1" si="51"/>
        <v>29140687932917.098</v>
      </c>
      <c r="J361" s="53">
        <f t="shared" ca="1" si="52"/>
        <v>993076942007.19592</v>
      </c>
      <c r="K361" s="54">
        <f t="shared" ca="1" si="53"/>
        <v>29.343837018326361</v>
      </c>
    </row>
    <row r="362" spans="2:11" ht="15" customHeight="1" x14ac:dyDescent="0.35">
      <c r="B362" s="5">
        <v>341</v>
      </c>
      <c r="C362" s="52">
        <f t="shared" ca="1" si="45"/>
        <v>3.3030622696211727</v>
      </c>
      <c r="D362" s="53">
        <f t="shared" ca="1" si="46"/>
        <v>8185335482.7037849</v>
      </c>
      <c r="E362" s="53">
        <f t="shared" ca="1" si="47"/>
        <v>10548473486658.914</v>
      </c>
      <c r="F362" s="53">
        <f t="shared" ca="1" si="48"/>
        <v>998322350191.24609</v>
      </c>
      <c r="G362" s="53">
        <f t="shared" ca="1" si="49"/>
        <v>586792100957.64819</v>
      </c>
      <c r="H362" s="53">
        <f t="shared" ca="1" si="50"/>
        <v>998322350191.24609</v>
      </c>
      <c r="I362" s="53">
        <f t="shared" ca="1" si="51"/>
        <v>7049030453664.752</v>
      </c>
      <c r="J362" s="53">
        <f t="shared" ca="1" si="52"/>
        <v>998114293702.4729</v>
      </c>
      <c r="K362" s="54">
        <f t="shared" ca="1" si="53"/>
        <v>7.0623479677027765</v>
      </c>
    </row>
    <row r="363" spans="2:11" ht="15" customHeight="1" x14ac:dyDescent="0.35">
      <c r="B363" s="5">
        <v>342</v>
      </c>
      <c r="C363" s="52">
        <f t="shared" ca="1" si="45"/>
        <v>2.537286376405953</v>
      </c>
      <c r="D363" s="53">
        <f t="shared" ca="1" si="46"/>
        <v>1983717440.7078817</v>
      </c>
      <c r="E363" s="53">
        <f t="shared" ca="1" si="47"/>
        <v>1966749586581.2085</v>
      </c>
      <c r="F363" s="53">
        <f t="shared" ca="1" si="48"/>
        <v>7520610599454.7246</v>
      </c>
      <c r="G363" s="53">
        <f t="shared" ca="1" si="49"/>
        <v>1270694039859.7949</v>
      </c>
      <c r="H363" s="53">
        <f t="shared" ca="1" si="50"/>
        <v>1966749586581.2085</v>
      </c>
      <c r="I363" s="53">
        <f t="shared" ca="1" si="51"/>
        <v>9546969666635.3398</v>
      </c>
      <c r="J363" s="53">
        <f t="shared" ca="1" si="52"/>
        <v>1268639912717.9224</v>
      </c>
      <c r="K363" s="54">
        <f t="shared" ca="1" si="53"/>
        <v>7.5253581185081906</v>
      </c>
    </row>
    <row r="364" spans="2:11" ht="15" customHeight="1" x14ac:dyDescent="0.35">
      <c r="B364" s="5">
        <v>343</v>
      </c>
      <c r="C364" s="52">
        <f t="shared" ca="1" si="45"/>
        <v>3.137124441262507</v>
      </c>
      <c r="D364" s="53">
        <f t="shared" ca="1" si="46"/>
        <v>7038594985.16961</v>
      </c>
      <c r="E364" s="53">
        <f t="shared" ca="1" si="47"/>
        <v>5369259935667.1895</v>
      </c>
      <c r="F364" s="53">
        <f t="shared" ca="1" si="48"/>
        <v>731535514934.63245</v>
      </c>
      <c r="G364" s="53">
        <f t="shared" ca="1" si="49"/>
        <v>1730256159650.9502</v>
      </c>
      <c r="H364" s="53">
        <f t="shared" ca="1" si="50"/>
        <v>5369259935667.1895</v>
      </c>
      <c r="I364" s="53">
        <f t="shared" ca="1" si="51"/>
        <v>21729610522990.426</v>
      </c>
      <c r="J364" s="53">
        <f t="shared" ca="1" si="52"/>
        <v>806986594997.39844</v>
      </c>
      <c r="K364" s="54">
        <f t="shared" ca="1" si="53"/>
        <v>26.926854371181317</v>
      </c>
    </row>
    <row r="365" spans="2:11" ht="15" customHeight="1" x14ac:dyDescent="0.35">
      <c r="B365" s="5">
        <v>344</v>
      </c>
      <c r="C365" s="52">
        <f t="shared" ca="1" si="45"/>
        <v>2.677632144873261</v>
      </c>
      <c r="D365" s="53">
        <f t="shared" ca="1" si="46"/>
        <v>2554063159.9771628</v>
      </c>
      <c r="E365" s="53">
        <f t="shared" ca="1" si="47"/>
        <v>7008930583639.208</v>
      </c>
      <c r="F365" s="53">
        <f t="shared" ca="1" si="48"/>
        <v>3491035516734.5781</v>
      </c>
      <c r="G365" s="53">
        <f t="shared" ca="1" si="49"/>
        <v>11464843167547.576</v>
      </c>
      <c r="H365" s="53">
        <f t="shared" ca="1" si="50"/>
        <v>11464843167547.576</v>
      </c>
      <c r="I365" s="53">
        <f t="shared" ca="1" si="51"/>
        <v>5871801071881.9971</v>
      </c>
      <c r="J365" s="53">
        <f t="shared" ca="1" si="52"/>
        <v>587937594445.474</v>
      </c>
      <c r="K365" s="54">
        <f t="shared" ca="1" si="53"/>
        <v>9.9871161962692874</v>
      </c>
    </row>
    <row r="366" spans="2:11" ht="15" customHeight="1" x14ac:dyDescent="0.35">
      <c r="B366" s="5">
        <v>345</v>
      </c>
      <c r="C366" s="52">
        <f t="shared" ca="1" si="45"/>
        <v>2.894281694692153</v>
      </c>
      <c r="D366" s="53">
        <f t="shared" ca="1" si="46"/>
        <v>3579679817.2533417</v>
      </c>
      <c r="E366" s="53">
        <f t="shared" ca="1" si="47"/>
        <v>2543156423934.7217</v>
      </c>
      <c r="F366" s="53">
        <f t="shared" ca="1" si="48"/>
        <v>4288862504063.061</v>
      </c>
      <c r="G366" s="53">
        <f t="shared" ca="1" si="49"/>
        <v>34846408955141.754</v>
      </c>
      <c r="H366" s="53">
        <f t="shared" ca="1" si="50"/>
        <v>34846408955141.754</v>
      </c>
      <c r="I366" s="53">
        <f t="shared" ca="1" si="51"/>
        <v>1448840694462.8606</v>
      </c>
      <c r="J366" s="53">
        <f t="shared" ca="1" si="52"/>
        <v>1519547845566.9883</v>
      </c>
      <c r="K366" s="54">
        <f t="shared" ca="1" si="53"/>
        <v>0.95346829564438973</v>
      </c>
    </row>
    <row r="367" spans="2:11" ht="15" customHeight="1" x14ac:dyDescent="0.35">
      <c r="B367" s="5">
        <v>346</v>
      </c>
      <c r="C367" s="52">
        <f t="shared" ca="1" si="45"/>
        <v>2.8666777920334949</v>
      </c>
      <c r="D367" s="53">
        <f t="shared" ca="1" si="46"/>
        <v>4417052422.7605696</v>
      </c>
      <c r="E367" s="53">
        <f t="shared" ca="1" si="47"/>
        <v>18432186533800.402</v>
      </c>
      <c r="F367" s="53">
        <f t="shared" ca="1" si="48"/>
        <v>8074776454773.0371</v>
      </c>
      <c r="G367" s="53">
        <f t="shared" ca="1" si="49"/>
        <v>15174902135838.141</v>
      </c>
      <c r="H367" s="53">
        <f t="shared" ca="1" si="50"/>
        <v>8074776454773.0371</v>
      </c>
      <c r="I367" s="53">
        <f t="shared" ca="1" si="51"/>
        <v>11213186604831.701</v>
      </c>
      <c r="J367" s="53">
        <f t="shared" ca="1" si="52"/>
        <v>1126550831422.4421</v>
      </c>
      <c r="K367" s="54">
        <f t="shared" ca="1" si="53"/>
        <v>9.9535558379317379</v>
      </c>
    </row>
    <row r="368" spans="2:11" ht="15" customHeight="1" x14ac:dyDescent="0.35">
      <c r="B368" s="5">
        <v>347</v>
      </c>
      <c r="C368" s="52">
        <f t="shared" ca="1" si="45"/>
        <v>2.9760259679296182</v>
      </c>
      <c r="D368" s="53">
        <f t="shared" ca="1" si="46"/>
        <v>5601230909.697794</v>
      </c>
      <c r="E368" s="53">
        <f t="shared" ca="1" si="47"/>
        <v>82564159060652.219</v>
      </c>
      <c r="F368" s="53">
        <f t="shared" ca="1" si="48"/>
        <v>3264917240667.1167</v>
      </c>
      <c r="G368" s="53">
        <f t="shared" ca="1" si="49"/>
        <v>1729315320827.1765</v>
      </c>
      <c r="H368" s="53">
        <f t="shared" ca="1" si="50"/>
        <v>1729315320827.1765</v>
      </c>
      <c r="I368" s="53">
        <f t="shared" ca="1" si="51"/>
        <v>3322704360371.9722</v>
      </c>
      <c r="J368" s="53">
        <f t="shared" ca="1" si="52"/>
        <v>945712148112.56689</v>
      </c>
      <c r="K368" s="54">
        <f t="shared" ca="1" si="53"/>
        <v>3.5134415551321383</v>
      </c>
    </row>
    <row r="369" spans="2:11" ht="15" customHeight="1" x14ac:dyDescent="0.35">
      <c r="B369" s="5">
        <v>348</v>
      </c>
      <c r="C369" s="52">
        <f t="shared" ca="1" si="45"/>
        <v>2.7585684545988833</v>
      </c>
      <c r="D369" s="53">
        <f t="shared" ca="1" si="46"/>
        <v>3487389753.143086</v>
      </c>
      <c r="E369" s="53">
        <f t="shared" ca="1" si="47"/>
        <v>1841705904890.157</v>
      </c>
      <c r="F369" s="53">
        <f t="shared" ca="1" si="48"/>
        <v>1112547377761.5903</v>
      </c>
      <c r="G369" s="53">
        <f t="shared" ca="1" si="49"/>
        <v>379114465555.22296</v>
      </c>
      <c r="H369" s="53">
        <f t="shared" ca="1" si="50"/>
        <v>1841705904890.157</v>
      </c>
      <c r="I369" s="53">
        <f t="shared" ca="1" si="51"/>
        <v>31398573196417.563</v>
      </c>
      <c r="J369" s="53">
        <f t="shared" ca="1" si="52"/>
        <v>1159969205088.4458</v>
      </c>
      <c r="K369" s="54">
        <f t="shared" ca="1" si="53"/>
        <v>27.068454109541186</v>
      </c>
    </row>
    <row r="370" spans="2:11" ht="15" customHeight="1" x14ac:dyDescent="0.35">
      <c r="B370" s="5">
        <v>349</v>
      </c>
      <c r="C370" s="52">
        <f t="shared" ca="1" si="45"/>
        <v>3.3729801200933669</v>
      </c>
      <c r="D370" s="53">
        <f t="shared" ca="1" si="46"/>
        <v>9903856683.310854</v>
      </c>
      <c r="E370" s="53">
        <f t="shared" ca="1" si="47"/>
        <v>24154588424810.063</v>
      </c>
      <c r="F370" s="53">
        <f t="shared" ca="1" si="48"/>
        <v>2307507924860.8599</v>
      </c>
      <c r="G370" s="53">
        <f t="shared" ca="1" si="49"/>
        <v>9253356540974.8809</v>
      </c>
      <c r="H370" s="53">
        <f t="shared" ca="1" si="50"/>
        <v>2307507924860.8599</v>
      </c>
      <c r="I370" s="53">
        <f t="shared" ca="1" si="51"/>
        <v>721297177051.22644</v>
      </c>
      <c r="J370" s="53">
        <f t="shared" ca="1" si="52"/>
        <v>760050970161.32568</v>
      </c>
      <c r="K370" s="54">
        <f t="shared" ca="1" si="53"/>
        <v>0.94901158654942119</v>
      </c>
    </row>
    <row r="371" spans="2:11" ht="15" customHeight="1" x14ac:dyDescent="0.35">
      <c r="B371" s="5">
        <v>350</v>
      </c>
      <c r="C371" s="52">
        <f t="shared" ca="1" si="45"/>
        <v>2.700920826428272</v>
      </c>
      <c r="D371" s="53">
        <f t="shared" ca="1" si="46"/>
        <v>3202338135.1387715</v>
      </c>
      <c r="E371" s="53">
        <f t="shared" ca="1" si="47"/>
        <v>1855117515649.3142</v>
      </c>
      <c r="F371" s="53">
        <f t="shared" ca="1" si="48"/>
        <v>3882711025620.5088</v>
      </c>
      <c r="G371" s="53">
        <f t="shared" ca="1" si="49"/>
        <v>61579124200455.031</v>
      </c>
      <c r="H371" s="53">
        <f t="shared" ca="1" si="50"/>
        <v>61579124200455.031</v>
      </c>
      <c r="I371" s="53">
        <f t="shared" ca="1" si="51"/>
        <v>10913447904291.234</v>
      </c>
      <c r="J371" s="53">
        <f t="shared" ca="1" si="52"/>
        <v>553797268248.97498</v>
      </c>
      <c r="K371" s="54">
        <f t="shared" ca="1" si="53"/>
        <v>19.706575907819015</v>
      </c>
    </row>
    <row r="372" spans="2:11" ht="15" customHeight="1" x14ac:dyDescent="0.35">
      <c r="B372" s="5">
        <v>351</v>
      </c>
      <c r="C372" s="52">
        <f t="shared" ca="1" si="45"/>
        <v>2.5377385856730568</v>
      </c>
      <c r="D372" s="53">
        <f t="shared" ca="1" si="46"/>
        <v>2129109043.0368211</v>
      </c>
      <c r="E372" s="53">
        <f t="shared" ca="1" si="47"/>
        <v>31908822298219.289</v>
      </c>
      <c r="F372" s="53">
        <f t="shared" ca="1" si="48"/>
        <v>7133586699743.9551</v>
      </c>
      <c r="G372" s="53">
        <f t="shared" ca="1" si="49"/>
        <v>6236207738715.2568</v>
      </c>
      <c r="H372" s="53">
        <f t="shared" ca="1" si="50"/>
        <v>7133586699743.9551</v>
      </c>
      <c r="I372" s="53">
        <f t="shared" ca="1" si="51"/>
        <v>15616924828479.906</v>
      </c>
      <c r="J372" s="53">
        <f t="shared" ca="1" si="52"/>
        <v>1438862408155.3733</v>
      </c>
      <c r="K372" s="54">
        <f t="shared" ca="1" si="53"/>
        <v>10.853661017178744</v>
      </c>
    </row>
    <row r="373" spans="2:11" ht="15" customHeight="1" x14ac:dyDescent="0.35">
      <c r="B373" s="5">
        <v>352</v>
      </c>
      <c r="C373" s="52">
        <f t="shared" ca="1" si="45"/>
        <v>2.760595393343344</v>
      </c>
      <c r="D373" s="53">
        <f t="shared" ca="1" si="46"/>
        <v>3323673273.691112</v>
      </c>
      <c r="E373" s="53">
        <f t="shared" ca="1" si="47"/>
        <v>9469856620185.9609</v>
      </c>
      <c r="F373" s="53">
        <f t="shared" ca="1" si="48"/>
        <v>20024943009347.016</v>
      </c>
      <c r="G373" s="53">
        <f t="shared" ca="1" si="49"/>
        <v>1086217021681.2205</v>
      </c>
      <c r="H373" s="53">
        <f t="shared" ca="1" si="50"/>
        <v>20024943009347.016</v>
      </c>
      <c r="I373" s="53">
        <f t="shared" ca="1" si="51"/>
        <v>3570351261929.8281</v>
      </c>
      <c r="J373" s="53">
        <f t="shared" ca="1" si="52"/>
        <v>1366309561118.6626</v>
      </c>
      <c r="K373" s="54">
        <f t="shared" ca="1" si="53"/>
        <v>2.6131349465245721</v>
      </c>
    </row>
    <row r="374" spans="2:11" ht="15" customHeight="1" x14ac:dyDescent="0.35">
      <c r="B374" s="5">
        <v>353</v>
      </c>
      <c r="C374" s="52">
        <f t="shared" ca="1" si="45"/>
        <v>3.242636592620066</v>
      </c>
      <c r="D374" s="53">
        <f t="shared" ca="1" si="46"/>
        <v>8250621282.0624876</v>
      </c>
      <c r="E374" s="53">
        <f t="shared" ca="1" si="47"/>
        <v>17223157087683.176</v>
      </c>
      <c r="F374" s="53">
        <f t="shared" ca="1" si="48"/>
        <v>596600843474.34558</v>
      </c>
      <c r="G374" s="53">
        <f t="shared" ca="1" si="49"/>
        <v>6225948714465.1123</v>
      </c>
      <c r="H374" s="53">
        <f t="shared" ca="1" si="50"/>
        <v>596600843474.34558</v>
      </c>
      <c r="I374" s="53">
        <f t="shared" ca="1" si="51"/>
        <v>2530360380387.1333</v>
      </c>
      <c r="J374" s="53">
        <f t="shared" ca="1" si="52"/>
        <v>1361255539674.5281</v>
      </c>
      <c r="K374" s="54">
        <f t="shared" ca="1" si="53"/>
        <v>1.8588430361812409</v>
      </c>
    </row>
    <row r="375" spans="2:11" ht="15" customHeight="1" x14ac:dyDescent="0.35">
      <c r="B375" s="5">
        <v>354</v>
      </c>
      <c r="C375" s="52">
        <f t="shared" ca="1" si="45"/>
        <v>2.8224981732252652</v>
      </c>
      <c r="D375" s="53">
        <f t="shared" ca="1" si="46"/>
        <v>3784089681.8195996</v>
      </c>
      <c r="E375" s="53">
        <f t="shared" ca="1" si="47"/>
        <v>5143525946504.2598</v>
      </c>
      <c r="F375" s="53">
        <f t="shared" ca="1" si="48"/>
        <v>966338134515.15991</v>
      </c>
      <c r="G375" s="53">
        <f t="shared" ca="1" si="49"/>
        <v>2526495514672.1396</v>
      </c>
      <c r="H375" s="53">
        <f t="shared" ca="1" si="50"/>
        <v>2526495514672.1396</v>
      </c>
      <c r="I375" s="53">
        <f t="shared" ca="1" si="51"/>
        <v>43012926045916.766</v>
      </c>
      <c r="J375" s="53">
        <f t="shared" ca="1" si="52"/>
        <v>693692489222.6936</v>
      </c>
      <c r="K375" s="54">
        <f t="shared" ca="1" si="53"/>
        <v>62.005754299162497</v>
      </c>
    </row>
    <row r="376" spans="2:11" ht="15" customHeight="1" x14ac:dyDescent="0.35">
      <c r="B376" s="5">
        <v>355</v>
      </c>
      <c r="C376" s="52">
        <f t="shared" ca="1" si="45"/>
        <v>2.5144255329504066</v>
      </c>
      <c r="D376" s="53">
        <f t="shared" ca="1" si="46"/>
        <v>1837589795.9682536</v>
      </c>
      <c r="E376" s="53">
        <f t="shared" ca="1" si="47"/>
        <v>8503091050211.7939</v>
      </c>
      <c r="F376" s="53">
        <f t="shared" ca="1" si="48"/>
        <v>3734308414774.1636</v>
      </c>
      <c r="G376" s="53">
        <f t="shared" ca="1" si="49"/>
        <v>15353008128009.09</v>
      </c>
      <c r="H376" s="53">
        <f t="shared" ca="1" si="50"/>
        <v>3734308414774.1636</v>
      </c>
      <c r="I376" s="53">
        <f t="shared" ca="1" si="51"/>
        <v>4202604380651.5054</v>
      </c>
      <c r="J376" s="53">
        <f t="shared" ca="1" si="52"/>
        <v>832110673487.71497</v>
      </c>
      <c r="K376" s="54">
        <f t="shared" ca="1" si="53"/>
        <v>5.0505353609234183</v>
      </c>
    </row>
    <row r="377" spans="2:11" ht="15" customHeight="1" x14ac:dyDescent="0.35">
      <c r="B377" s="5">
        <v>356</v>
      </c>
      <c r="C377" s="52">
        <f t="shared" ca="1" si="45"/>
        <v>2.5168267882899942</v>
      </c>
      <c r="D377" s="53">
        <f t="shared" ca="1" si="46"/>
        <v>1949989937.0467935</v>
      </c>
      <c r="E377" s="53">
        <f t="shared" ca="1" si="47"/>
        <v>9142751758664.1953</v>
      </c>
      <c r="F377" s="53">
        <f t="shared" ca="1" si="48"/>
        <v>1236485294782.9651</v>
      </c>
      <c r="G377" s="53">
        <f t="shared" ca="1" si="49"/>
        <v>3674854497619.1694</v>
      </c>
      <c r="H377" s="53">
        <f t="shared" ca="1" si="50"/>
        <v>3674854497619.1694</v>
      </c>
      <c r="I377" s="53">
        <f t="shared" ca="1" si="51"/>
        <v>10496439296864.045</v>
      </c>
      <c r="J377" s="53">
        <f t="shared" ca="1" si="52"/>
        <v>728524267089.12231</v>
      </c>
      <c r="K377" s="54">
        <f t="shared" ca="1" si="53"/>
        <v>14.407810104670114</v>
      </c>
    </row>
    <row r="378" spans="2:11" ht="15" customHeight="1" x14ac:dyDescent="0.35">
      <c r="B378" s="5">
        <v>357</v>
      </c>
      <c r="C378" s="52">
        <f t="shared" ca="1" si="45"/>
        <v>1.939540173040172</v>
      </c>
      <c r="D378" s="53">
        <f t="shared" ca="1" si="46"/>
        <v>547426750.23631334</v>
      </c>
      <c r="E378" s="53">
        <f t="shared" ca="1" si="47"/>
        <v>6930825038042.4902</v>
      </c>
      <c r="F378" s="53">
        <f t="shared" ca="1" si="48"/>
        <v>2986169704553.2046</v>
      </c>
      <c r="G378" s="53">
        <f t="shared" ca="1" si="49"/>
        <v>3718678757521.082</v>
      </c>
      <c r="H378" s="53">
        <f t="shared" ca="1" si="50"/>
        <v>2986169704553.2046</v>
      </c>
      <c r="I378" s="53">
        <f t="shared" ca="1" si="51"/>
        <v>12516833118019.885</v>
      </c>
      <c r="J378" s="53">
        <f t="shared" ca="1" si="52"/>
        <v>445922575896.815</v>
      </c>
      <c r="K378" s="54">
        <f t="shared" ca="1" si="53"/>
        <v>28.069521021326892</v>
      </c>
    </row>
    <row r="379" spans="2:11" ht="15" customHeight="1" x14ac:dyDescent="0.35">
      <c r="B379" s="5">
        <v>358</v>
      </c>
      <c r="C379" s="52">
        <f t="shared" ca="1" si="45"/>
        <v>3.1653510251717476</v>
      </c>
      <c r="D379" s="53">
        <f t="shared" ca="1" si="46"/>
        <v>7086978506.8769903</v>
      </c>
      <c r="E379" s="53">
        <f t="shared" ca="1" si="47"/>
        <v>10565097932662.273</v>
      </c>
      <c r="F379" s="53">
        <f t="shared" ca="1" si="48"/>
        <v>9292736060506.0898</v>
      </c>
      <c r="G379" s="53">
        <f t="shared" ca="1" si="49"/>
        <v>4925642856094.1006</v>
      </c>
      <c r="H379" s="53">
        <f t="shared" ca="1" si="50"/>
        <v>4925642856094.1006</v>
      </c>
      <c r="I379" s="53">
        <f t="shared" ca="1" si="51"/>
        <v>7686867898295.1553</v>
      </c>
      <c r="J379" s="53">
        <f t="shared" ca="1" si="52"/>
        <v>1512360173111.7471</v>
      </c>
      <c r="K379" s="54">
        <f t="shared" ca="1" si="53"/>
        <v>5.0826965923594036</v>
      </c>
    </row>
    <row r="380" spans="2:11" ht="15" customHeight="1" x14ac:dyDescent="0.35">
      <c r="B380" s="5">
        <v>359</v>
      </c>
      <c r="C380" s="52">
        <f t="shared" ca="1" si="45"/>
        <v>2.7307303655003596</v>
      </c>
      <c r="D380" s="53">
        <f t="shared" ca="1" si="46"/>
        <v>2871357299.0699263</v>
      </c>
      <c r="E380" s="53">
        <f t="shared" ca="1" si="47"/>
        <v>24713207673900.035</v>
      </c>
      <c r="F380" s="53">
        <f t="shared" ca="1" si="48"/>
        <v>1488801290377.3721</v>
      </c>
      <c r="G380" s="53">
        <f t="shared" ca="1" si="49"/>
        <v>114430532270306.66</v>
      </c>
      <c r="H380" s="53">
        <f t="shared" ca="1" si="50"/>
        <v>1488801290377.3721</v>
      </c>
      <c r="I380" s="53">
        <f t="shared" ca="1" si="51"/>
        <v>1764916096419.9861</v>
      </c>
      <c r="J380" s="53">
        <f t="shared" ca="1" si="52"/>
        <v>1209897024648.4001</v>
      </c>
      <c r="K380" s="54">
        <f t="shared" ca="1" si="53"/>
        <v>1.45873248752957</v>
      </c>
    </row>
    <row r="381" spans="2:11" ht="15" customHeight="1" x14ac:dyDescent="0.35">
      <c r="B381" s="5">
        <v>360</v>
      </c>
      <c r="C381" s="52">
        <f t="shared" ca="1" si="45"/>
        <v>2.844453310008157</v>
      </c>
      <c r="D381" s="53">
        <f t="shared" ca="1" si="46"/>
        <v>3178553455.26191</v>
      </c>
      <c r="E381" s="53">
        <f t="shared" ca="1" si="47"/>
        <v>8962982970758.9512</v>
      </c>
      <c r="F381" s="53">
        <f t="shared" ca="1" si="48"/>
        <v>719638045829.01685</v>
      </c>
      <c r="G381" s="53">
        <f t="shared" ca="1" si="49"/>
        <v>1952898166107.7439</v>
      </c>
      <c r="H381" s="53">
        <f t="shared" ca="1" si="50"/>
        <v>719638045829.01685</v>
      </c>
      <c r="I381" s="53">
        <f t="shared" ca="1" si="51"/>
        <v>8662751722783.292</v>
      </c>
      <c r="J381" s="53">
        <f t="shared" ca="1" si="52"/>
        <v>1265612020696.0637</v>
      </c>
      <c r="K381" s="54">
        <f t="shared" ca="1" si="53"/>
        <v>6.8447135307856311</v>
      </c>
    </row>
    <row r="382" spans="2:11" ht="15" customHeight="1" x14ac:dyDescent="0.35">
      <c r="B382" s="5">
        <v>361</v>
      </c>
      <c r="C382" s="52">
        <f t="shared" ca="1" si="45"/>
        <v>3.2625611200239737</v>
      </c>
      <c r="D382" s="53">
        <f t="shared" ca="1" si="46"/>
        <v>8235699352.5099468</v>
      </c>
      <c r="E382" s="53">
        <f t="shared" ca="1" si="47"/>
        <v>5273415966310.7715</v>
      </c>
      <c r="F382" s="53">
        <f t="shared" ca="1" si="48"/>
        <v>2922160340100.6748</v>
      </c>
      <c r="G382" s="53">
        <f t="shared" ca="1" si="49"/>
        <v>32349184455912.945</v>
      </c>
      <c r="H382" s="53">
        <f t="shared" ca="1" si="50"/>
        <v>32349184455912.945</v>
      </c>
      <c r="I382" s="53">
        <f t="shared" ca="1" si="51"/>
        <v>93064835103784.781</v>
      </c>
      <c r="J382" s="53">
        <f t="shared" ca="1" si="52"/>
        <v>691328628253.60132</v>
      </c>
      <c r="K382" s="54">
        <f t="shared" ca="1" si="53"/>
        <v>134.61736039903391</v>
      </c>
    </row>
    <row r="383" spans="2:11" ht="15" customHeight="1" x14ac:dyDescent="0.35">
      <c r="B383" s="5">
        <v>362</v>
      </c>
      <c r="C383" s="52">
        <f t="shared" ca="1" si="45"/>
        <v>2.7253015807191452</v>
      </c>
      <c r="D383" s="53">
        <f t="shared" ca="1" si="46"/>
        <v>3192320535.6668773</v>
      </c>
      <c r="E383" s="53">
        <f t="shared" ca="1" si="47"/>
        <v>23949072153852.008</v>
      </c>
      <c r="F383" s="53">
        <f t="shared" ca="1" si="48"/>
        <v>10258974173834.338</v>
      </c>
      <c r="G383" s="53">
        <f t="shared" ca="1" si="49"/>
        <v>1576263759064.7798</v>
      </c>
      <c r="H383" s="53">
        <f t="shared" ca="1" si="50"/>
        <v>10258974173834.338</v>
      </c>
      <c r="I383" s="53">
        <f t="shared" ca="1" si="51"/>
        <v>9487227432807.2363</v>
      </c>
      <c r="J383" s="53">
        <f t="shared" ca="1" si="52"/>
        <v>1109073427288.8154</v>
      </c>
      <c r="K383" s="54">
        <f t="shared" ca="1" si="53"/>
        <v>8.5541923549635754</v>
      </c>
    </row>
    <row r="384" spans="2:11" ht="15" customHeight="1" x14ac:dyDescent="0.35">
      <c r="B384" s="5">
        <v>363</v>
      </c>
      <c r="C384" s="52">
        <f t="shared" ca="1" si="45"/>
        <v>2.774974644733939</v>
      </c>
      <c r="D384" s="53">
        <f t="shared" ca="1" si="46"/>
        <v>2663446239.1242003</v>
      </c>
      <c r="E384" s="53">
        <f t="shared" ca="1" si="47"/>
        <v>45476348733113.859</v>
      </c>
      <c r="F384" s="53">
        <f t="shared" ca="1" si="48"/>
        <v>4209869960945.2178</v>
      </c>
      <c r="G384" s="53">
        <f t="shared" ca="1" si="49"/>
        <v>443531777797.0708</v>
      </c>
      <c r="H384" s="53">
        <f t="shared" ca="1" si="50"/>
        <v>4209869960945.2178</v>
      </c>
      <c r="I384" s="53">
        <f t="shared" ca="1" si="51"/>
        <v>2988874537152.5044</v>
      </c>
      <c r="J384" s="53">
        <f t="shared" ca="1" si="52"/>
        <v>1501636737292.5557</v>
      </c>
      <c r="K384" s="54">
        <f t="shared" ca="1" si="53"/>
        <v>1.990411171307271</v>
      </c>
    </row>
    <row r="385" spans="2:11" ht="15" customHeight="1" x14ac:dyDescent="0.35">
      <c r="B385" s="5">
        <v>364</v>
      </c>
      <c r="C385" s="52">
        <f t="shared" ca="1" si="45"/>
        <v>3.0476041293358964</v>
      </c>
      <c r="D385" s="53">
        <f t="shared" ca="1" si="46"/>
        <v>5353654643.7271671</v>
      </c>
      <c r="E385" s="53">
        <f t="shared" ca="1" si="47"/>
        <v>98314649365266.375</v>
      </c>
      <c r="F385" s="53">
        <f t="shared" ca="1" si="48"/>
        <v>2280252479176.4375</v>
      </c>
      <c r="G385" s="53">
        <f t="shared" ca="1" si="49"/>
        <v>1414203969705.5886</v>
      </c>
      <c r="H385" s="53">
        <f t="shared" ca="1" si="50"/>
        <v>1414203969705.5886</v>
      </c>
      <c r="I385" s="53">
        <f t="shared" ca="1" si="51"/>
        <v>643854079491.92371</v>
      </c>
      <c r="J385" s="53">
        <f t="shared" ca="1" si="52"/>
        <v>1662674956404.2886</v>
      </c>
      <c r="K385" s="54">
        <f t="shared" ca="1" si="53"/>
        <v>0.38723989737857523</v>
      </c>
    </row>
    <row r="386" spans="2:11" ht="15" customHeight="1" x14ac:dyDescent="0.35">
      <c r="B386" s="5">
        <v>365</v>
      </c>
      <c r="C386" s="52">
        <f t="shared" ca="1" si="45"/>
        <v>3.2626686205169411</v>
      </c>
      <c r="D386" s="53">
        <f t="shared" ca="1" si="46"/>
        <v>6788480545.4662046</v>
      </c>
      <c r="E386" s="53">
        <f t="shared" ca="1" si="47"/>
        <v>9680888499224.0684</v>
      </c>
      <c r="F386" s="53">
        <f t="shared" ca="1" si="48"/>
        <v>7465746113405.7822</v>
      </c>
      <c r="G386" s="53">
        <f t="shared" ca="1" si="49"/>
        <v>12418357605461.059</v>
      </c>
      <c r="H386" s="53">
        <f t="shared" ca="1" si="50"/>
        <v>12418357605461.059</v>
      </c>
      <c r="I386" s="53">
        <f t="shared" ca="1" si="51"/>
        <v>9050972877996.0039</v>
      </c>
      <c r="J386" s="53">
        <f t="shared" ca="1" si="52"/>
        <v>581628816725.87683</v>
      </c>
      <c r="K386" s="54">
        <f t="shared" ca="1" si="53"/>
        <v>15.561424430354094</v>
      </c>
    </row>
    <row r="387" spans="2:11" ht="15" customHeight="1" x14ac:dyDescent="0.35">
      <c r="B387" s="5">
        <v>366</v>
      </c>
      <c r="C387" s="52">
        <f t="shared" ca="1" si="45"/>
        <v>2.6974317643953594</v>
      </c>
      <c r="D387" s="53">
        <f t="shared" ca="1" si="46"/>
        <v>3362860577.3025436</v>
      </c>
      <c r="E387" s="53">
        <f t="shared" ca="1" si="47"/>
        <v>2042789367999.9148</v>
      </c>
      <c r="F387" s="53">
        <f t="shared" ca="1" si="48"/>
        <v>3629225291797.0557</v>
      </c>
      <c r="G387" s="53">
        <f t="shared" ca="1" si="49"/>
        <v>20269096150794.637</v>
      </c>
      <c r="H387" s="53">
        <f t="shared" ca="1" si="50"/>
        <v>2042789367999.9148</v>
      </c>
      <c r="I387" s="53">
        <f t="shared" ca="1" si="51"/>
        <v>1472462790156.7378</v>
      </c>
      <c r="J387" s="53">
        <f t="shared" ca="1" si="52"/>
        <v>767985739852.13184</v>
      </c>
      <c r="K387" s="54">
        <f t="shared" ca="1" si="53"/>
        <v>1.9173048583431329</v>
      </c>
    </row>
    <row r="388" spans="2:11" ht="15" customHeight="1" x14ac:dyDescent="0.35">
      <c r="B388" s="5">
        <v>367</v>
      </c>
      <c r="C388" s="52">
        <f t="shared" ca="1" si="45"/>
        <v>3.2754801180468394</v>
      </c>
      <c r="D388" s="53">
        <f t="shared" ca="1" si="46"/>
        <v>8242968592.8697891</v>
      </c>
      <c r="E388" s="53">
        <f t="shared" ca="1" si="47"/>
        <v>45213608039182.57</v>
      </c>
      <c r="F388" s="53">
        <f t="shared" ca="1" si="48"/>
        <v>4051212140706.0151</v>
      </c>
      <c r="G388" s="53">
        <f t="shared" ca="1" si="49"/>
        <v>16034604298826.039</v>
      </c>
      <c r="H388" s="53">
        <f t="shared" ca="1" si="50"/>
        <v>45213608039182.57</v>
      </c>
      <c r="I388" s="53">
        <f t="shared" ca="1" si="51"/>
        <v>242907192144.0553</v>
      </c>
      <c r="J388" s="53">
        <f t="shared" ca="1" si="52"/>
        <v>1643599567326.6143</v>
      </c>
      <c r="K388" s="54">
        <f t="shared" ca="1" si="53"/>
        <v>0.14778976398682944</v>
      </c>
    </row>
    <row r="389" spans="2:11" ht="15" customHeight="1" x14ac:dyDescent="0.35">
      <c r="B389" s="5">
        <v>368</v>
      </c>
      <c r="C389" s="52">
        <f t="shared" ca="1" si="45"/>
        <v>2.5132202127980361</v>
      </c>
      <c r="D389" s="53">
        <f t="shared" ca="1" si="46"/>
        <v>1624748654.2386811</v>
      </c>
      <c r="E389" s="53">
        <f t="shared" ca="1" si="47"/>
        <v>13979868854410.826</v>
      </c>
      <c r="F389" s="53">
        <f t="shared" ca="1" si="48"/>
        <v>2385955643889.4058</v>
      </c>
      <c r="G389" s="53">
        <f t="shared" ca="1" si="49"/>
        <v>7573101442468.7041</v>
      </c>
      <c r="H389" s="53">
        <f t="shared" ca="1" si="50"/>
        <v>7573101442468.7041</v>
      </c>
      <c r="I389" s="53">
        <f t="shared" ca="1" si="51"/>
        <v>5108396337586.7334</v>
      </c>
      <c r="J389" s="53">
        <f t="shared" ca="1" si="52"/>
        <v>845754582039.14636</v>
      </c>
      <c r="K389" s="54">
        <f t="shared" ca="1" si="53"/>
        <v>6.0400457131076912</v>
      </c>
    </row>
    <row r="390" spans="2:11" ht="15" customHeight="1" x14ac:dyDescent="0.35">
      <c r="B390" s="5">
        <v>369</v>
      </c>
      <c r="C390" s="52">
        <f t="shared" ca="1" si="45"/>
        <v>2.8748002794683853</v>
      </c>
      <c r="D390" s="53">
        <f t="shared" ca="1" si="46"/>
        <v>4256758518.0360947</v>
      </c>
      <c r="E390" s="53">
        <f t="shared" ca="1" si="47"/>
        <v>5925076367933.3799</v>
      </c>
      <c r="F390" s="53">
        <f t="shared" ca="1" si="48"/>
        <v>2954482833454.4678</v>
      </c>
      <c r="G390" s="53">
        <f t="shared" ca="1" si="49"/>
        <v>6369414657155.8438</v>
      </c>
      <c r="H390" s="53">
        <f t="shared" ca="1" si="50"/>
        <v>6369414657155.8438</v>
      </c>
      <c r="I390" s="53">
        <f t="shared" ca="1" si="51"/>
        <v>1184816154890.7798</v>
      </c>
      <c r="J390" s="53">
        <f t="shared" ca="1" si="52"/>
        <v>776588979778.63928</v>
      </c>
      <c r="K390" s="54">
        <f t="shared" ca="1" si="53"/>
        <v>1.525666968939609</v>
      </c>
    </row>
    <row r="391" spans="2:11" ht="15" customHeight="1" x14ac:dyDescent="0.35">
      <c r="B391" s="5">
        <v>370</v>
      </c>
      <c r="C391" s="52">
        <f t="shared" ca="1" si="45"/>
        <v>2.5619344549736343</v>
      </c>
      <c r="D391" s="53">
        <f t="shared" ca="1" si="46"/>
        <v>1785527763.2185121</v>
      </c>
      <c r="E391" s="53">
        <f t="shared" ca="1" si="47"/>
        <v>6197754662735.7734</v>
      </c>
      <c r="F391" s="53">
        <f t="shared" ca="1" si="48"/>
        <v>2902154276579.1436</v>
      </c>
      <c r="G391" s="53">
        <f t="shared" ca="1" si="49"/>
        <v>6015230007723.998</v>
      </c>
      <c r="H391" s="53">
        <f t="shared" ca="1" si="50"/>
        <v>6197754662735.7734</v>
      </c>
      <c r="I391" s="53">
        <f t="shared" ca="1" si="51"/>
        <v>33165214204860.563</v>
      </c>
      <c r="J391" s="53">
        <f t="shared" ca="1" si="52"/>
        <v>685316608768.4834</v>
      </c>
      <c r="K391" s="54">
        <f t="shared" ca="1" si="53"/>
        <v>48.394003268735283</v>
      </c>
    </row>
    <row r="392" spans="2:11" ht="15" customHeight="1" x14ac:dyDescent="0.35">
      <c r="B392" s="5">
        <v>371</v>
      </c>
      <c r="C392" s="52">
        <f t="shared" ca="1" si="45"/>
        <v>2.5196973559391034</v>
      </c>
      <c r="D392" s="53">
        <f t="shared" ca="1" si="46"/>
        <v>2380678864.0412703</v>
      </c>
      <c r="E392" s="53">
        <f t="shared" ca="1" si="47"/>
        <v>2956296976251.6152</v>
      </c>
      <c r="F392" s="53">
        <f t="shared" ca="1" si="48"/>
        <v>3776918242455.2788</v>
      </c>
      <c r="G392" s="53">
        <f t="shared" ca="1" si="49"/>
        <v>3321518069604.2905</v>
      </c>
      <c r="H392" s="53">
        <f t="shared" ca="1" si="50"/>
        <v>2956296976251.6152</v>
      </c>
      <c r="I392" s="53">
        <f t="shared" ca="1" si="51"/>
        <v>2492209810213.479</v>
      </c>
      <c r="J392" s="53">
        <f t="shared" ca="1" si="52"/>
        <v>1134081160680.3469</v>
      </c>
      <c r="K392" s="54">
        <f t="shared" ca="1" si="53"/>
        <v>2.1975586021712736</v>
      </c>
    </row>
    <row r="393" spans="2:11" ht="15" customHeight="1" x14ac:dyDescent="0.35">
      <c r="B393" s="5">
        <v>372</v>
      </c>
      <c r="C393" s="52">
        <f t="shared" ca="1" si="45"/>
        <v>2.8869779882261839</v>
      </c>
      <c r="D393" s="53">
        <f t="shared" ca="1" si="46"/>
        <v>3993120614.5340409</v>
      </c>
      <c r="E393" s="53">
        <f t="shared" ca="1" si="47"/>
        <v>20098804337846.484</v>
      </c>
      <c r="F393" s="53">
        <f t="shared" ca="1" si="48"/>
        <v>841667541103.57813</v>
      </c>
      <c r="G393" s="53">
        <f t="shared" ca="1" si="49"/>
        <v>23055925889196.336</v>
      </c>
      <c r="H393" s="53">
        <f t="shared" ca="1" si="50"/>
        <v>841667541103.57813</v>
      </c>
      <c r="I393" s="53">
        <f t="shared" ca="1" si="51"/>
        <v>5086532803496.915</v>
      </c>
      <c r="J393" s="53">
        <f t="shared" ca="1" si="52"/>
        <v>1380807672357.3657</v>
      </c>
      <c r="K393" s="54">
        <f t="shared" ca="1" si="53"/>
        <v>3.6837373555529269</v>
      </c>
    </row>
    <row r="394" spans="2:11" ht="15" customHeight="1" x14ac:dyDescent="0.35">
      <c r="B394" s="5">
        <v>373</v>
      </c>
      <c r="C394" s="52">
        <f t="shared" ca="1" si="45"/>
        <v>3.6838554780915285</v>
      </c>
      <c r="D394" s="53">
        <f t="shared" ca="1" si="46"/>
        <v>14351162508.860233</v>
      </c>
      <c r="E394" s="53">
        <f t="shared" ca="1" si="47"/>
        <v>48409904767132.578</v>
      </c>
      <c r="F394" s="53">
        <f t="shared" ca="1" si="48"/>
        <v>4010203066547.8477</v>
      </c>
      <c r="G394" s="53">
        <f t="shared" ca="1" si="49"/>
        <v>1440278897269.7246</v>
      </c>
      <c r="H394" s="53">
        <f t="shared" ca="1" si="50"/>
        <v>1440278897269.7246</v>
      </c>
      <c r="I394" s="53">
        <f t="shared" ca="1" si="51"/>
        <v>13650588490340.535</v>
      </c>
      <c r="J394" s="53">
        <f t="shared" ca="1" si="52"/>
        <v>919907801132.45374</v>
      </c>
      <c r="K394" s="54">
        <f t="shared" ca="1" si="53"/>
        <v>14.839083301104697</v>
      </c>
    </row>
    <row r="395" spans="2:11" ht="15" customHeight="1" x14ac:dyDescent="0.35">
      <c r="B395" s="5">
        <v>374</v>
      </c>
      <c r="C395" s="52">
        <f t="shared" ca="1" si="45"/>
        <v>3.0164994464585719</v>
      </c>
      <c r="D395" s="53">
        <f t="shared" ca="1" si="46"/>
        <v>4783884678.5471125</v>
      </c>
      <c r="E395" s="53">
        <f t="shared" ca="1" si="47"/>
        <v>15418225765609.676</v>
      </c>
      <c r="F395" s="53">
        <f t="shared" ca="1" si="48"/>
        <v>3319737263620.4771</v>
      </c>
      <c r="G395" s="53">
        <f t="shared" ca="1" si="49"/>
        <v>3519523807871.2349</v>
      </c>
      <c r="H395" s="53">
        <f t="shared" ca="1" si="50"/>
        <v>3519523807871.2349</v>
      </c>
      <c r="I395" s="53">
        <f t="shared" ca="1" si="51"/>
        <v>1424993714724.8167</v>
      </c>
      <c r="J395" s="53">
        <f t="shared" ca="1" si="52"/>
        <v>1618577249774.301</v>
      </c>
      <c r="K395" s="54">
        <f t="shared" ca="1" si="53"/>
        <v>0.88039895218070174</v>
      </c>
    </row>
    <row r="396" spans="2:11" ht="15" customHeight="1" x14ac:dyDescent="0.35">
      <c r="B396" s="5">
        <v>375</v>
      </c>
      <c r="C396" s="52">
        <f t="shared" ca="1" si="45"/>
        <v>2.7414373507855823</v>
      </c>
      <c r="D396" s="53">
        <f t="shared" ca="1" si="46"/>
        <v>2655816366.5769801</v>
      </c>
      <c r="E396" s="53">
        <f t="shared" ca="1" si="47"/>
        <v>19501303066554.941</v>
      </c>
      <c r="F396" s="53">
        <f t="shared" ca="1" si="48"/>
        <v>18645873277406.762</v>
      </c>
      <c r="G396" s="53">
        <f t="shared" ca="1" si="49"/>
        <v>1769079064099.5125</v>
      </c>
      <c r="H396" s="53">
        <f t="shared" ca="1" si="50"/>
        <v>19501303066554.941</v>
      </c>
      <c r="I396" s="53">
        <f t="shared" ca="1" si="51"/>
        <v>7630512488987.1113</v>
      </c>
      <c r="J396" s="53">
        <f t="shared" ca="1" si="52"/>
        <v>971920236900.57837</v>
      </c>
      <c r="K396" s="54">
        <f t="shared" ca="1" si="53"/>
        <v>7.8509657472721877</v>
      </c>
    </row>
    <row r="397" spans="2:11" ht="15" customHeight="1" x14ac:dyDescent="0.35">
      <c r="B397" s="5">
        <v>376</v>
      </c>
      <c r="C397" s="52">
        <f t="shared" ca="1" si="45"/>
        <v>2.3683472983345562</v>
      </c>
      <c r="D397" s="53">
        <f t="shared" ca="1" si="46"/>
        <v>1735366329.9156258</v>
      </c>
      <c r="E397" s="53">
        <f t="shared" ca="1" si="47"/>
        <v>4537075815001.5156</v>
      </c>
      <c r="F397" s="53">
        <f t="shared" ca="1" si="48"/>
        <v>6646187930202.9307</v>
      </c>
      <c r="G397" s="53">
        <f t="shared" ca="1" si="49"/>
        <v>1833691999501.4163</v>
      </c>
      <c r="H397" s="53">
        <f t="shared" ca="1" si="50"/>
        <v>4537075815001.5156</v>
      </c>
      <c r="I397" s="53">
        <f t="shared" ca="1" si="51"/>
        <v>2446253389298.1636</v>
      </c>
      <c r="J397" s="53">
        <f t="shared" ca="1" si="52"/>
        <v>905814368164.88489</v>
      </c>
      <c r="K397" s="54">
        <f t="shared" ca="1" si="53"/>
        <v>2.7006122614880774</v>
      </c>
    </row>
    <row r="398" spans="2:11" ht="15" customHeight="1" x14ac:dyDescent="0.35">
      <c r="B398" s="5">
        <v>377</v>
      </c>
      <c r="C398" s="52">
        <f t="shared" ca="1" si="45"/>
        <v>2.6042405178250014</v>
      </c>
      <c r="D398" s="53">
        <f t="shared" ca="1" si="46"/>
        <v>2307773338.2906365</v>
      </c>
      <c r="E398" s="53">
        <f t="shared" ca="1" si="47"/>
        <v>53372796985699.352</v>
      </c>
      <c r="F398" s="53">
        <f t="shared" ca="1" si="48"/>
        <v>7750175631086.9492</v>
      </c>
      <c r="G398" s="53">
        <f t="shared" ca="1" si="49"/>
        <v>16257201254674.742</v>
      </c>
      <c r="H398" s="53">
        <f t="shared" ca="1" si="50"/>
        <v>16257201254674.742</v>
      </c>
      <c r="I398" s="53">
        <f t="shared" ca="1" si="51"/>
        <v>12698902808412.902</v>
      </c>
      <c r="J398" s="53">
        <f t="shared" ca="1" si="52"/>
        <v>1653135343860.3979</v>
      </c>
      <c r="K398" s="54">
        <f t="shared" ca="1" si="53"/>
        <v>7.6817078865172972</v>
      </c>
    </row>
    <row r="399" spans="2:11" ht="15" customHeight="1" x14ac:dyDescent="0.35">
      <c r="B399" s="5">
        <v>378</v>
      </c>
      <c r="C399" s="52">
        <f t="shared" ca="1" si="45"/>
        <v>2.7125754576251389</v>
      </c>
      <c r="D399" s="53">
        <f t="shared" ca="1" si="46"/>
        <v>2566671719.6084523</v>
      </c>
      <c r="E399" s="53">
        <f t="shared" ca="1" si="47"/>
        <v>8404407205817.4727</v>
      </c>
      <c r="F399" s="53">
        <f t="shared" ca="1" si="48"/>
        <v>3040630302043.1396</v>
      </c>
      <c r="G399" s="53">
        <f t="shared" ca="1" si="49"/>
        <v>6142420824049.75</v>
      </c>
      <c r="H399" s="53">
        <f t="shared" ca="1" si="50"/>
        <v>3040630302043.1396</v>
      </c>
      <c r="I399" s="53">
        <f t="shared" ca="1" si="51"/>
        <v>2920669522443.4229</v>
      </c>
      <c r="J399" s="53">
        <f t="shared" ca="1" si="52"/>
        <v>981310934051.48499</v>
      </c>
      <c r="K399" s="54">
        <f t="shared" ca="1" si="53"/>
        <v>2.9762936711456112</v>
      </c>
    </row>
    <row r="400" spans="2:11" ht="15" customHeight="1" x14ac:dyDescent="0.35">
      <c r="B400" s="5">
        <v>379</v>
      </c>
      <c r="C400" s="52">
        <f t="shared" ca="1" si="45"/>
        <v>3.0311845079457185</v>
      </c>
      <c r="D400" s="53">
        <f t="shared" ca="1" si="46"/>
        <v>4380581201.9727716</v>
      </c>
      <c r="E400" s="53">
        <f t="shared" ca="1" si="47"/>
        <v>46681582905505.367</v>
      </c>
      <c r="F400" s="53">
        <f t="shared" ca="1" si="48"/>
        <v>1553034467613.0046</v>
      </c>
      <c r="G400" s="53">
        <f t="shared" ca="1" si="49"/>
        <v>9374036290406.2598</v>
      </c>
      <c r="H400" s="53">
        <f t="shared" ca="1" si="50"/>
        <v>1553034467613.0046</v>
      </c>
      <c r="I400" s="53">
        <f t="shared" ca="1" si="51"/>
        <v>1144706004559.8491</v>
      </c>
      <c r="J400" s="53">
        <f t="shared" ca="1" si="52"/>
        <v>813721930643.67285</v>
      </c>
      <c r="K400" s="54">
        <f t="shared" ca="1" si="53"/>
        <v>1.4067532918209051</v>
      </c>
    </row>
    <row r="401" spans="2:11" ht="15" customHeight="1" x14ac:dyDescent="0.35">
      <c r="B401" s="5">
        <v>380</v>
      </c>
      <c r="C401" s="52">
        <f t="shared" ca="1" si="45"/>
        <v>3.5101020752564436</v>
      </c>
      <c r="D401" s="53">
        <f t="shared" ca="1" si="46"/>
        <v>11128549265.303112</v>
      </c>
      <c r="E401" s="53">
        <f t="shared" ca="1" si="47"/>
        <v>57377373414253.305</v>
      </c>
      <c r="F401" s="53">
        <f t="shared" ca="1" si="48"/>
        <v>1129345537440.468</v>
      </c>
      <c r="G401" s="53">
        <f t="shared" ca="1" si="49"/>
        <v>8590577600750.3193</v>
      </c>
      <c r="H401" s="53">
        <f t="shared" ca="1" si="50"/>
        <v>8590577600750.3193</v>
      </c>
      <c r="I401" s="53">
        <f t="shared" ca="1" si="51"/>
        <v>1177688425226.3799</v>
      </c>
      <c r="J401" s="53">
        <f t="shared" ca="1" si="52"/>
        <v>975893009407.98291</v>
      </c>
      <c r="K401" s="54">
        <f t="shared" ca="1" si="53"/>
        <v>1.2067802657391864</v>
      </c>
    </row>
    <row r="402" spans="2:11" ht="15" customHeight="1" x14ac:dyDescent="0.35">
      <c r="B402" s="5">
        <v>381</v>
      </c>
      <c r="C402" s="52">
        <f t="shared" ca="1" si="45"/>
        <v>2.7927694200607931</v>
      </c>
      <c r="D402" s="53">
        <f t="shared" ca="1" si="46"/>
        <v>4012786095.6709442</v>
      </c>
      <c r="E402" s="53">
        <f t="shared" ca="1" si="47"/>
        <v>20573851431704.746</v>
      </c>
      <c r="F402" s="53">
        <f t="shared" ca="1" si="48"/>
        <v>9431415746011.207</v>
      </c>
      <c r="G402" s="53">
        <f t="shared" ca="1" si="49"/>
        <v>10991193417107.488</v>
      </c>
      <c r="H402" s="53">
        <f t="shared" ca="1" si="50"/>
        <v>10991193417107.488</v>
      </c>
      <c r="I402" s="53">
        <f t="shared" ca="1" si="51"/>
        <v>21555127998725.559</v>
      </c>
      <c r="J402" s="53">
        <f t="shared" ca="1" si="52"/>
        <v>1208013407852.0339</v>
      </c>
      <c r="K402" s="54">
        <f t="shared" ca="1" si="53"/>
        <v>17.843450957264363</v>
      </c>
    </row>
    <row r="403" spans="2:11" ht="15" customHeight="1" x14ac:dyDescent="0.35">
      <c r="B403" s="5">
        <v>382</v>
      </c>
      <c r="C403" s="52">
        <f t="shared" ca="1" si="45"/>
        <v>2.7966836952676131</v>
      </c>
      <c r="D403" s="53">
        <f t="shared" ca="1" si="46"/>
        <v>2961613698.9518852</v>
      </c>
      <c r="E403" s="53">
        <f t="shared" ca="1" si="47"/>
        <v>6333291123043.4473</v>
      </c>
      <c r="F403" s="53">
        <f t="shared" ca="1" si="48"/>
        <v>3249413048013.4375</v>
      </c>
      <c r="G403" s="53">
        <f t="shared" ca="1" si="49"/>
        <v>16820662756164.273</v>
      </c>
      <c r="H403" s="53">
        <f t="shared" ca="1" si="50"/>
        <v>16820662756164.273</v>
      </c>
      <c r="I403" s="53">
        <f t="shared" ca="1" si="51"/>
        <v>41617840418857.406</v>
      </c>
      <c r="J403" s="53">
        <f t="shared" ca="1" si="52"/>
        <v>1496997035573.0525</v>
      </c>
      <c r="K403" s="54">
        <f t="shared" ca="1" si="53"/>
        <v>27.800883655675403</v>
      </c>
    </row>
    <row r="404" spans="2:11" ht="15" customHeight="1" x14ac:dyDescent="0.35">
      <c r="B404" s="5">
        <v>383</v>
      </c>
      <c r="C404" s="52">
        <f t="shared" ca="1" si="45"/>
        <v>3.0536864778453028</v>
      </c>
      <c r="D404" s="53">
        <f t="shared" ca="1" si="46"/>
        <v>4262142405.8993516</v>
      </c>
      <c r="E404" s="53">
        <f t="shared" ca="1" si="47"/>
        <v>10138525417279.848</v>
      </c>
      <c r="F404" s="53">
        <f t="shared" ca="1" si="48"/>
        <v>768588369356.20508</v>
      </c>
      <c r="G404" s="53">
        <f t="shared" ca="1" si="49"/>
        <v>4569849637134.8438</v>
      </c>
      <c r="H404" s="53">
        <f t="shared" ca="1" si="50"/>
        <v>4569849637134.8438</v>
      </c>
      <c r="I404" s="53">
        <f t="shared" ca="1" si="51"/>
        <v>1585755111439.9824</v>
      </c>
      <c r="J404" s="53">
        <f t="shared" ca="1" si="52"/>
        <v>1836752774517.9785</v>
      </c>
      <c r="K404" s="54">
        <f t="shared" ca="1" si="53"/>
        <v>0.86334706196708166</v>
      </c>
    </row>
    <row r="405" spans="2:11" ht="15" customHeight="1" x14ac:dyDescent="0.35">
      <c r="B405" s="5">
        <v>384</v>
      </c>
      <c r="C405" s="52">
        <f t="shared" ca="1" si="45"/>
        <v>3.747831483024568</v>
      </c>
      <c r="D405" s="53">
        <f t="shared" ca="1" si="46"/>
        <v>15908060947.179977</v>
      </c>
      <c r="E405" s="53">
        <f t="shared" ca="1" si="47"/>
        <v>54504302848129.461</v>
      </c>
      <c r="F405" s="53">
        <f t="shared" ca="1" si="48"/>
        <v>717402332709.7688</v>
      </c>
      <c r="G405" s="53">
        <f t="shared" ca="1" si="49"/>
        <v>12365327769007.244</v>
      </c>
      <c r="H405" s="53">
        <f t="shared" ca="1" si="50"/>
        <v>717402332709.7688</v>
      </c>
      <c r="I405" s="53">
        <f t="shared" ca="1" si="51"/>
        <v>8266963137253.7568</v>
      </c>
      <c r="J405" s="53">
        <f t="shared" ca="1" si="52"/>
        <v>928364831454.35474</v>
      </c>
      <c r="K405" s="54">
        <f t="shared" ca="1" si="53"/>
        <v>8.9048646148119648</v>
      </c>
    </row>
    <row r="406" spans="2:11" ht="15" customHeight="1" x14ac:dyDescent="0.35">
      <c r="B406" s="5">
        <v>385</v>
      </c>
      <c r="C406" s="52">
        <f t="shared" ref="C406:C469" ca="1" si="54">MEDIAN(1.8,NORMINV(RAND(),$C$7,$D$7),4.5)</f>
        <v>2.5928980970567377</v>
      </c>
      <c r="D406" s="53">
        <f t="shared" ref="D406:D469" ca="1" si="55">($C$8+RAND()*($D$8-$C$8))*C406^5</f>
        <v>2533838271.9788537</v>
      </c>
      <c r="E406" s="53">
        <f t="shared" ref="E406:E469" ca="1" si="56">D406*($C$10+RAND()*($D$10-$C$10))*EXP(NORMINV(RAND(),$C$9,$D$9))*($C$11+RAND()*($D$11-$C$11))</f>
        <v>19138305917665.453</v>
      </c>
      <c r="F406" s="53">
        <f t="shared" ref="F406:F469" ca="1" si="57">EXP(NORMINV(RAND(),$C$12,$D$12))*EXP(NORMINV(RAND(),$C$13,$D$13))</f>
        <v>3423801674653.4404</v>
      </c>
      <c r="G406" s="53">
        <f t="shared" ref="G406:G469" ca="1" si="58">EXP(NORMINV(RAND(),$C$14,$D$14))*($C$15+RAND()*($D$15-$C$15))*EXP(NORMINV(RAND(),$C$16,$D$16))/1000000*31536000</f>
        <v>1804515897262.2893</v>
      </c>
      <c r="H406" s="53">
        <f t="shared" ref="H406:H469" ca="1" si="59">CHOOSE(RANDBETWEEN(1,3),E406,F406,G406)</f>
        <v>19138305917665.453</v>
      </c>
      <c r="I406" s="53">
        <f t="shared" ref="I406:I469" ca="1" si="60">EXP(NORMINV(RAND(),$C$14,$D$14))*($C$15+RAND()*($D$15-$C$15))*60</f>
        <v>2817894963509.4375</v>
      </c>
      <c r="J406" s="53">
        <f t="shared" ref="J406:J469" ca="1" si="61">($C$17+RAND()*($D$17-$C$17))*($C$18+RAND()*($D$18-$C$18))</f>
        <v>1210336602972.9583</v>
      </c>
      <c r="K406" s="54">
        <f t="shared" ref="K406:K469" ca="1" si="62">I406/J406</f>
        <v>2.3281911466511236</v>
      </c>
    </row>
    <row r="407" spans="2:11" ht="15" customHeight="1" x14ac:dyDescent="0.35">
      <c r="B407" s="5">
        <v>386</v>
      </c>
      <c r="C407" s="52">
        <f t="shared" ca="1" si="54"/>
        <v>3.0969447599217999</v>
      </c>
      <c r="D407" s="53">
        <f t="shared" ca="1" si="55"/>
        <v>5818112389.7609758</v>
      </c>
      <c r="E407" s="53">
        <f t="shared" ca="1" si="56"/>
        <v>14726874125209.822</v>
      </c>
      <c r="F407" s="53">
        <f t="shared" ca="1" si="57"/>
        <v>1007255554425.4396</v>
      </c>
      <c r="G407" s="53">
        <f t="shared" ca="1" si="58"/>
        <v>30899228371426.301</v>
      </c>
      <c r="H407" s="53">
        <f t="shared" ca="1" si="59"/>
        <v>30899228371426.301</v>
      </c>
      <c r="I407" s="53">
        <f t="shared" ca="1" si="60"/>
        <v>17066405635185.213</v>
      </c>
      <c r="J407" s="53">
        <f t="shared" ca="1" si="61"/>
        <v>839834452228.63794</v>
      </c>
      <c r="K407" s="54">
        <f t="shared" ca="1" si="62"/>
        <v>20.321154472642455</v>
      </c>
    </row>
    <row r="408" spans="2:11" ht="15" customHeight="1" x14ac:dyDescent="0.35">
      <c r="B408" s="5">
        <v>387</v>
      </c>
      <c r="C408" s="52">
        <f t="shared" ca="1" si="54"/>
        <v>2.685523773534026</v>
      </c>
      <c r="D408" s="53">
        <f t="shared" ca="1" si="55"/>
        <v>3231681894.5610151</v>
      </c>
      <c r="E408" s="53">
        <f t="shared" ca="1" si="56"/>
        <v>2706789223303.3247</v>
      </c>
      <c r="F408" s="53">
        <f t="shared" ca="1" si="57"/>
        <v>4394235663240.8154</v>
      </c>
      <c r="G408" s="53">
        <f t="shared" ca="1" si="58"/>
        <v>7906590881712.5889</v>
      </c>
      <c r="H408" s="53">
        <f t="shared" ca="1" si="59"/>
        <v>2706789223303.3247</v>
      </c>
      <c r="I408" s="53">
        <f t="shared" ca="1" si="60"/>
        <v>1574527429629.8979</v>
      </c>
      <c r="J408" s="53">
        <f t="shared" ca="1" si="61"/>
        <v>890174175785.68274</v>
      </c>
      <c r="K408" s="54">
        <f t="shared" ca="1" si="62"/>
        <v>1.7687857864896985</v>
      </c>
    </row>
    <row r="409" spans="2:11" ht="15" customHeight="1" x14ac:dyDescent="0.35">
      <c r="B409" s="5">
        <v>388</v>
      </c>
      <c r="C409" s="52">
        <f t="shared" ca="1" si="54"/>
        <v>3.2293321929262984</v>
      </c>
      <c r="D409" s="53">
        <f t="shared" ca="1" si="55"/>
        <v>6772740411.0946636</v>
      </c>
      <c r="E409" s="53">
        <f t="shared" ca="1" si="56"/>
        <v>14321974958556.754</v>
      </c>
      <c r="F409" s="53">
        <f t="shared" ca="1" si="57"/>
        <v>514791907248.28168</v>
      </c>
      <c r="G409" s="53">
        <f t="shared" ca="1" si="58"/>
        <v>940575953153.6377</v>
      </c>
      <c r="H409" s="53">
        <f t="shared" ca="1" si="59"/>
        <v>14321974958556.754</v>
      </c>
      <c r="I409" s="53">
        <f t="shared" ca="1" si="60"/>
        <v>34392576201513.715</v>
      </c>
      <c r="J409" s="53">
        <f t="shared" ca="1" si="61"/>
        <v>1709434206289.781</v>
      </c>
      <c r="K409" s="54">
        <f t="shared" ca="1" si="62"/>
        <v>20.119274596803951</v>
      </c>
    </row>
    <row r="410" spans="2:11" ht="15" customHeight="1" x14ac:dyDescent="0.35">
      <c r="B410" s="5">
        <v>389</v>
      </c>
      <c r="C410" s="52">
        <f t="shared" ca="1" si="54"/>
        <v>3.2389760096676343</v>
      </c>
      <c r="D410" s="53">
        <f t="shared" ca="1" si="55"/>
        <v>6653735655.6700077</v>
      </c>
      <c r="E410" s="53">
        <f t="shared" ca="1" si="56"/>
        <v>124955709141208.44</v>
      </c>
      <c r="F410" s="53">
        <f t="shared" ca="1" si="57"/>
        <v>685346530686.86377</v>
      </c>
      <c r="G410" s="53">
        <f t="shared" ca="1" si="58"/>
        <v>10477021388116.645</v>
      </c>
      <c r="H410" s="53">
        <f t="shared" ca="1" si="59"/>
        <v>10477021388116.645</v>
      </c>
      <c r="I410" s="53">
        <f t="shared" ca="1" si="60"/>
        <v>5641595806589.5176</v>
      </c>
      <c r="J410" s="53">
        <f t="shared" ca="1" si="61"/>
        <v>1323546055425.844</v>
      </c>
      <c r="K410" s="54">
        <f t="shared" ca="1" si="62"/>
        <v>4.262485452215234</v>
      </c>
    </row>
    <row r="411" spans="2:11" ht="15" customHeight="1" x14ac:dyDescent="0.35">
      <c r="B411" s="5">
        <v>390</v>
      </c>
      <c r="C411" s="52">
        <f t="shared" ca="1" si="54"/>
        <v>3.0480136288672988</v>
      </c>
      <c r="D411" s="53">
        <f t="shared" ca="1" si="55"/>
        <v>4662228194.0538588</v>
      </c>
      <c r="E411" s="53">
        <f t="shared" ca="1" si="56"/>
        <v>23994293464373.734</v>
      </c>
      <c r="F411" s="53">
        <f t="shared" ca="1" si="57"/>
        <v>16087659156197.348</v>
      </c>
      <c r="G411" s="53">
        <f t="shared" ca="1" si="58"/>
        <v>271478479941.63293</v>
      </c>
      <c r="H411" s="53">
        <f t="shared" ca="1" si="59"/>
        <v>16087659156197.348</v>
      </c>
      <c r="I411" s="53">
        <f t="shared" ca="1" si="60"/>
        <v>50133363459214.594</v>
      </c>
      <c r="J411" s="53">
        <f t="shared" ca="1" si="61"/>
        <v>631695029038.26331</v>
      </c>
      <c r="K411" s="54">
        <f t="shared" ca="1" si="62"/>
        <v>79.363238833050715</v>
      </c>
    </row>
    <row r="412" spans="2:11" ht="15" customHeight="1" x14ac:dyDescent="0.35">
      <c r="B412" s="5">
        <v>391</v>
      </c>
      <c r="C412" s="52">
        <f t="shared" ca="1" si="54"/>
        <v>3.3798546242829133</v>
      </c>
      <c r="D412" s="53">
        <f t="shared" ca="1" si="55"/>
        <v>10411515576.958628</v>
      </c>
      <c r="E412" s="53">
        <f t="shared" ca="1" si="56"/>
        <v>39432198051461.375</v>
      </c>
      <c r="F412" s="53">
        <f t="shared" ca="1" si="57"/>
        <v>1992679402803.9636</v>
      </c>
      <c r="G412" s="53">
        <f t="shared" ca="1" si="58"/>
        <v>4884070828052.0703</v>
      </c>
      <c r="H412" s="53">
        <f t="shared" ca="1" si="59"/>
        <v>4884070828052.0703</v>
      </c>
      <c r="I412" s="53">
        <f t="shared" ca="1" si="60"/>
        <v>10047893209970.793</v>
      </c>
      <c r="J412" s="53">
        <f t="shared" ca="1" si="61"/>
        <v>1117284187314.9038</v>
      </c>
      <c r="K412" s="54">
        <f t="shared" ca="1" si="62"/>
        <v>8.9931400838297364</v>
      </c>
    </row>
    <row r="413" spans="2:11" ht="15" customHeight="1" x14ac:dyDescent="0.35">
      <c r="B413" s="5">
        <v>392</v>
      </c>
      <c r="C413" s="52">
        <f t="shared" ca="1" si="54"/>
        <v>3.6486508871964829</v>
      </c>
      <c r="D413" s="53">
        <f t="shared" ca="1" si="55"/>
        <v>13736246995.354452</v>
      </c>
      <c r="E413" s="53">
        <f t="shared" ca="1" si="56"/>
        <v>63855586871630.008</v>
      </c>
      <c r="F413" s="53">
        <f t="shared" ca="1" si="57"/>
        <v>6167089677525.7744</v>
      </c>
      <c r="G413" s="53">
        <f t="shared" ca="1" si="58"/>
        <v>1232331632307.4111</v>
      </c>
      <c r="H413" s="53">
        <f t="shared" ca="1" si="59"/>
        <v>63855586871630.008</v>
      </c>
      <c r="I413" s="53">
        <f t="shared" ca="1" si="60"/>
        <v>28777734609511.934</v>
      </c>
      <c r="J413" s="53">
        <f t="shared" ca="1" si="61"/>
        <v>1539715210717.7024</v>
      </c>
      <c r="K413" s="54">
        <f t="shared" ca="1" si="62"/>
        <v>18.690297016743678</v>
      </c>
    </row>
    <row r="414" spans="2:11" ht="15" customHeight="1" x14ac:dyDescent="0.35">
      <c r="B414" s="5">
        <v>393</v>
      </c>
      <c r="C414" s="52">
        <f t="shared" ca="1" si="54"/>
        <v>3.9591663331032856</v>
      </c>
      <c r="D414" s="53">
        <f t="shared" ca="1" si="55"/>
        <v>20609202889.913536</v>
      </c>
      <c r="E414" s="53">
        <f t="shared" ca="1" si="56"/>
        <v>82730550541370.484</v>
      </c>
      <c r="F414" s="53">
        <f t="shared" ca="1" si="57"/>
        <v>1500520646061.0872</v>
      </c>
      <c r="G414" s="53">
        <f t="shared" ca="1" si="58"/>
        <v>40259469244734.406</v>
      </c>
      <c r="H414" s="53">
        <f t="shared" ca="1" si="59"/>
        <v>82730550541370.484</v>
      </c>
      <c r="I414" s="53">
        <f t="shared" ca="1" si="60"/>
        <v>7948146483765.9473</v>
      </c>
      <c r="J414" s="53">
        <f t="shared" ca="1" si="61"/>
        <v>873503374531.24695</v>
      </c>
      <c r="K414" s="54">
        <f t="shared" ca="1" si="62"/>
        <v>9.0991594486182787</v>
      </c>
    </row>
    <row r="415" spans="2:11" ht="15" customHeight="1" x14ac:dyDescent="0.35">
      <c r="B415" s="5">
        <v>394</v>
      </c>
      <c r="C415" s="52">
        <f t="shared" ca="1" si="54"/>
        <v>2.7001236440520602</v>
      </c>
      <c r="D415" s="53">
        <f t="shared" ca="1" si="55"/>
        <v>2992268611.3914456</v>
      </c>
      <c r="E415" s="53">
        <f t="shared" ca="1" si="56"/>
        <v>8375128688861.4727</v>
      </c>
      <c r="F415" s="53">
        <f t="shared" ca="1" si="57"/>
        <v>3114050630994.9888</v>
      </c>
      <c r="G415" s="53">
        <f t="shared" ca="1" si="58"/>
        <v>4225328615807.2524</v>
      </c>
      <c r="H415" s="53">
        <f t="shared" ca="1" si="59"/>
        <v>3114050630994.9888</v>
      </c>
      <c r="I415" s="53">
        <f t="shared" ca="1" si="60"/>
        <v>43838515986836.102</v>
      </c>
      <c r="J415" s="53">
        <f t="shared" ca="1" si="61"/>
        <v>1285549913022.4844</v>
      </c>
      <c r="K415" s="54">
        <f t="shared" ca="1" si="62"/>
        <v>34.10098320007382</v>
      </c>
    </row>
    <row r="416" spans="2:11" ht="15" customHeight="1" x14ac:dyDescent="0.35">
      <c r="B416" s="5">
        <v>395</v>
      </c>
      <c r="C416" s="52">
        <f t="shared" ca="1" si="54"/>
        <v>3.1504685688686247</v>
      </c>
      <c r="D416" s="53">
        <f t="shared" ca="1" si="55"/>
        <v>7020239395.5872612</v>
      </c>
      <c r="E416" s="53">
        <f t="shared" ca="1" si="56"/>
        <v>45520426902009.836</v>
      </c>
      <c r="F416" s="53">
        <f t="shared" ca="1" si="57"/>
        <v>2740954923742.8315</v>
      </c>
      <c r="G416" s="53">
        <f t="shared" ca="1" si="58"/>
        <v>2951996569829.2842</v>
      </c>
      <c r="H416" s="53">
        <f t="shared" ca="1" si="59"/>
        <v>2951996569829.2842</v>
      </c>
      <c r="I416" s="53">
        <f t="shared" ca="1" si="60"/>
        <v>9044515055736.7363</v>
      </c>
      <c r="J416" s="53">
        <f t="shared" ca="1" si="61"/>
        <v>947169322663.46558</v>
      </c>
      <c r="K416" s="54">
        <f t="shared" ca="1" si="62"/>
        <v>9.5489949255359292</v>
      </c>
    </row>
    <row r="417" spans="2:11" ht="15" customHeight="1" x14ac:dyDescent="0.35">
      <c r="B417" s="5">
        <v>396</v>
      </c>
      <c r="C417" s="52">
        <f t="shared" ca="1" si="54"/>
        <v>2.2801240984574678</v>
      </c>
      <c r="D417" s="53">
        <f t="shared" ca="1" si="55"/>
        <v>1185354930.1687889</v>
      </c>
      <c r="E417" s="53">
        <f t="shared" ca="1" si="56"/>
        <v>9310916492783.6191</v>
      </c>
      <c r="F417" s="53">
        <f t="shared" ca="1" si="57"/>
        <v>9314055045662.9219</v>
      </c>
      <c r="G417" s="53">
        <f t="shared" ca="1" si="58"/>
        <v>1833929083949.8352</v>
      </c>
      <c r="H417" s="53">
        <f t="shared" ca="1" si="59"/>
        <v>9310916492783.6191</v>
      </c>
      <c r="I417" s="53">
        <f t="shared" ca="1" si="60"/>
        <v>2141926563569.2776</v>
      </c>
      <c r="J417" s="53">
        <f t="shared" ca="1" si="61"/>
        <v>1149461060096.4316</v>
      </c>
      <c r="K417" s="54">
        <f t="shared" ca="1" si="62"/>
        <v>1.8634181164776344</v>
      </c>
    </row>
    <row r="418" spans="2:11" ht="15" customHeight="1" x14ac:dyDescent="0.35">
      <c r="B418" s="5">
        <v>397</v>
      </c>
      <c r="C418" s="52">
        <f t="shared" ca="1" si="54"/>
        <v>3.4296634599909619</v>
      </c>
      <c r="D418" s="53">
        <f t="shared" ca="1" si="55"/>
        <v>8418846716.6584787</v>
      </c>
      <c r="E418" s="53">
        <f t="shared" ca="1" si="56"/>
        <v>10652125913949.197</v>
      </c>
      <c r="F418" s="53">
        <f t="shared" ca="1" si="57"/>
        <v>6553642062213.8135</v>
      </c>
      <c r="G418" s="53">
        <f t="shared" ca="1" si="58"/>
        <v>71948554580759.328</v>
      </c>
      <c r="H418" s="53">
        <f t="shared" ca="1" si="59"/>
        <v>10652125913949.197</v>
      </c>
      <c r="I418" s="53">
        <f t="shared" ca="1" si="60"/>
        <v>77236423443162.313</v>
      </c>
      <c r="J418" s="53">
        <f t="shared" ca="1" si="61"/>
        <v>621910962735.8197</v>
      </c>
      <c r="K418" s="54">
        <f t="shared" ca="1" si="62"/>
        <v>124.19209190877604</v>
      </c>
    </row>
    <row r="419" spans="2:11" ht="15" customHeight="1" x14ac:dyDescent="0.35">
      <c r="B419" s="5">
        <v>398</v>
      </c>
      <c r="C419" s="52">
        <f t="shared" ca="1" si="54"/>
        <v>3.2650769296025319</v>
      </c>
      <c r="D419" s="53">
        <f t="shared" ca="1" si="55"/>
        <v>8655540738.0325661</v>
      </c>
      <c r="E419" s="53">
        <f t="shared" ca="1" si="56"/>
        <v>45394630208858.773</v>
      </c>
      <c r="F419" s="53">
        <f t="shared" ca="1" si="57"/>
        <v>4847482639238.3213</v>
      </c>
      <c r="G419" s="53">
        <f t="shared" ca="1" si="58"/>
        <v>75427973996359.844</v>
      </c>
      <c r="H419" s="53">
        <f t="shared" ca="1" si="59"/>
        <v>45394630208858.773</v>
      </c>
      <c r="I419" s="53">
        <f t="shared" ca="1" si="60"/>
        <v>40943861656414.328</v>
      </c>
      <c r="J419" s="53">
        <f t="shared" ca="1" si="61"/>
        <v>1112156468296.2908</v>
      </c>
      <c r="K419" s="54">
        <f t="shared" ca="1" si="62"/>
        <v>36.814839299668066</v>
      </c>
    </row>
    <row r="420" spans="2:11" ht="15" customHeight="1" x14ac:dyDescent="0.35">
      <c r="B420" s="5">
        <v>399</v>
      </c>
      <c r="C420" s="52">
        <f t="shared" ca="1" si="54"/>
        <v>2.9930189938749483</v>
      </c>
      <c r="D420" s="53">
        <f t="shared" ca="1" si="55"/>
        <v>5205628582.1320457</v>
      </c>
      <c r="E420" s="53">
        <f t="shared" ca="1" si="56"/>
        <v>6126133031163.21</v>
      </c>
      <c r="F420" s="53">
        <f t="shared" ca="1" si="57"/>
        <v>1468003639775.1233</v>
      </c>
      <c r="G420" s="53">
        <f t="shared" ca="1" si="58"/>
        <v>1858732751541.9065</v>
      </c>
      <c r="H420" s="53">
        <f t="shared" ca="1" si="59"/>
        <v>1468003639775.1233</v>
      </c>
      <c r="I420" s="53">
        <f t="shared" ca="1" si="60"/>
        <v>376726257104.48639</v>
      </c>
      <c r="J420" s="53">
        <f t="shared" ca="1" si="61"/>
        <v>862981768224.66052</v>
      </c>
      <c r="K420" s="54">
        <f t="shared" ca="1" si="62"/>
        <v>0.4365402271237937</v>
      </c>
    </row>
    <row r="421" spans="2:11" ht="15" customHeight="1" x14ac:dyDescent="0.35">
      <c r="B421" s="5">
        <v>400</v>
      </c>
      <c r="C421" s="52">
        <f t="shared" ca="1" si="54"/>
        <v>2.8773128371481098</v>
      </c>
      <c r="D421" s="53">
        <f t="shared" ca="1" si="55"/>
        <v>4054559978.5488234</v>
      </c>
      <c r="E421" s="53">
        <f t="shared" ca="1" si="56"/>
        <v>25220463019006.43</v>
      </c>
      <c r="F421" s="53">
        <f t="shared" ca="1" si="57"/>
        <v>1236308980544.6733</v>
      </c>
      <c r="G421" s="53">
        <f t="shared" ca="1" si="58"/>
        <v>1170386342316.3367</v>
      </c>
      <c r="H421" s="53">
        <f t="shared" ca="1" si="59"/>
        <v>1236308980544.6733</v>
      </c>
      <c r="I421" s="53">
        <f t="shared" ca="1" si="60"/>
        <v>6041070896863.5674</v>
      </c>
      <c r="J421" s="53">
        <f t="shared" ca="1" si="61"/>
        <v>1152544016770.9866</v>
      </c>
      <c r="K421" s="54">
        <f t="shared" ca="1" si="62"/>
        <v>5.2415099197586166</v>
      </c>
    </row>
    <row r="422" spans="2:11" ht="15" customHeight="1" x14ac:dyDescent="0.35">
      <c r="B422" s="5">
        <v>401</v>
      </c>
      <c r="C422" s="52">
        <f t="shared" ca="1" si="54"/>
        <v>3.0140998260784628</v>
      </c>
      <c r="D422" s="53">
        <f t="shared" ca="1" si="55"/>
        <v>5442098725.7390003</v>
      </c>
      <c r="E422" s="53">
        <f t="shared" ca="1" si="56"/>
        <v>33357210211092.719</v>
      </c>
      <c r="F422" s="53">
        <f t="shared" ca="1" si="57"/>
        <v>1855849760137.3066</v>
      </c>
      <c r="G422" s="53">
        <f t="shared" ca="1" si="58"/>
        <v>10234333429204.91</v>
      </c>
      <c r="H422" s="53">
        <f t="shared" ca="1" si="59"/>
        <v>10234333429204.91</v>
      </c>
      <c r="I422" s="53">
        <f t="shared" ca="1" si="60"/>
        <v>38420724622000.609</v>
      </c>
      <c r="J422" s="53">
        <f t="shared" ca="1" si="61"/>
        <v>1329416516907.2312</v>
      </c>
      <c r="K422" s="54">
        <f t="shared" ca="1" si="62"/>
        <v>28.900441760256594</v>
      </c>
    </row>
    <row r="423" spans="2:11" ht="15" customHeight="1" x14ac:dyDescent="0.35">
      <c r="B423" s="5">
        <v>402</v>
      </c>
      <c r="C423" s="52">
        <f t="shared" ca="1" si="54"/>
        <v>3.7268997063304461</v>
      </c>
      <c r="D423" s="53">
        <f t="shared" ca="1" si="55"/>
        <v>16464655057.359585</v>
      </c>
      <c r="E423" s="53">
        <f t="shared" ca="1" si="56"/>
        <v>156375428906478.34</v>
      </c>
      <c r="F423" s="53">
        <f t="shared" ca="1" si="57"/>
        <v>4011827551081.9536</v>
      </c>
      <c r="G423" s="53">
        <f t="shared" ca="1" si="58"/>
        <v>49123360319220.117</v>
      </c>
      <c r="H423" s="53">
        <f t="shared" ca="1" si="59"/>
        <v>156375428906478.34</v>
      </c>
      <c r="I423" s="53">
        <f t="shared" ca="1" si="60"/>
        <v>2080172154402997.8</v>
      </c>
      <c r="J423" s="53">
        <f t="shared" ca="1" si="61"/>
        <v>1414802944852.9761</v>
      </c>
      <c r="K423" s="54">
        <f t="shared" ca="1" si="62"/>
        <v>1470.2910832710811</v>
      </c>
    </row>
    <row r="424" spans="2:11" ht="15" customHeight="1" x14ac:dyDescent="0.35">
      <c r="B424" s="5">
        <v>403</v>
      </c>
      <c r="C424" s="52">
        <f t="shared" ca="1" si="54"/>
        <v>2.7263598715995938</v>
      </c>
      <c r="D424" s="53">
        <f t="shared" ca="1" si="55"/>
        <v>2526991851.3291531</v>
      </c>
      <c r="E424" s="53">
        <f t="shared" ca="1" si="56"/>
        <v>6709929413575.6191</v>
      </c>
      <c r="F424" s="53">
        <f t="shared" ca="1" si="57"/>
        <v>9667140646511.4609</v>
      </c>
      <c r="G424" s="53">
        <f t="shared" ca="1" si="58"/>
        <v>7086022356612.624</v>
      </c>
      <c r="H424" s="53">
        <f t="shared" ca="1" si="59"/>
        <v>9667140646511.4609</v>
      </c>
      <c r="I424" s="53">
        <f t="shared" ca="1" si="60"/>
        <v>3811468192920.4727</v>
      </c>
      <c r="J424" s="53">
        <f t="shared" ca="1" si="61"/>
        <v>1181868388747.1155</v>
      </c>
      <c r="K424" s="54">
        <f t="shared" ca="1" si="62"/>
        <v>3.2249514660096499</v>
      </c>
    </row>
    <row r="425" spans="2:11" ht="15" customHeight="1" x14ac:dyDescent="0.35">
      <c r="B425" s="5">
        <v>404</v>
      </c>
      <c r="C425" s="52">
        <f t="shared" ca="1" si="54"/>
        <v>2.8703649986305018</v>
      </c>
      <c r="D425" s="53">
        <f t="shared" ca="1" si="55"/>
        <v>4247451609.5150213</v>
      </c>
      <c r="E425" s="53">
        <f t="shared" ca="1" si="56"/>
        <v>18794526312631.566</v>
      </c>
      <c r="F425" s="53">
        <f t="shared" ca="1" si="57"/>
        <v>861618195658.10913</v>
      </c>
      <c r="G425" s="53">
        <f t="shared" ca="1" si="58"/>
        <v>56430143213030.656</v>
      </c>
      <c r="H425" s="53">
        <f t="shared" ca="1" si="59"/>
        <v>56430143213030.656</v>
      </c>
      <c r="I425" s="53">
        <f t="shared" ca="1" si="60"/>
        <v>4015822827938.6323</v>
      </c>
      <c r="J425" s="53">
        <f t="shared" ca="1" si="61"/>
        <v>1196364604034.0972</v>
      </c>
      <c r="K425" s="54">
        <f t="shared" ca="1" si="62"/>
        <v>3.3566880985925414</v>
      </c>
    </row>
    <row r="426" spans="2:11" ht="15" customHeight="1" x14ac:dyDescent="0.35">
      <c r="B426" s="5">
        <v>405</v>
      </c>
      <c r="C426" s="52">
        <f t="shared" ca="1" si="54"/>
        <v>2.4554186516131202</v>
      </c>
      <c r="D426" s="53">
        <f t="shared" ca="1" si="55"/>
        <v>1511921502.844362</v>
      </c>
      <c r="E426" s="53">
        <f t="shared" ca="1" si="56"/>
        <v>14874039354919.734</v>
      </c>
      <c r="F426" s="53">
        <f t="shared" ca="1" si="57"/>
        <v>2750405662181.7969</v>
      </c>
      <c r="G426" s="53">
        <f t="shared" ca="1" si="58"/>
        <v>19413591887356.984</v>
      </c>
      <c r="H426" s="53">
        <f t="shared" ca="1" si="59"/>
        <v>14874039354919.734</v>
      </c>
      <c r="I426" s="53">
        <f t="shared" ca="1" si="60"/>
        <v>19760347722331.738</v>
      </c>
      <c r="J426" s="53">
        <f t="shared" ca="1" si="61"/>
        <v>1627580070364.8342</v>
      </c>
      <c r="K426" s="54">
        <f t="shared" ca="1" si="62"/>
        <v>12.140937384360026</v>
      </c>
    </row>
    <row r="427" spans="2:11" ht="15" customHeight="1" x14ac:dyDescent="0.35">
      <c r="B427" s="5">
        <v>406</v>
      </c>
      <c r="C427" s="52">
        <f t="shared" ca="1" si="54"/>
        <v>2.9646116902388062</v>
      </c>
      <c r="D427" s="53">
        <f t="shared" ca="1" si="55"/>
        <v>5234121255.6324463</v>
      </c>
      <c r="E427" s="53">
        <f t="shared" ca="1" si="56"/>
        <v>9561455979331.1035</v>
      </c>
      <c r="F427" s="53">
        <f t="shared" ca="1" si="57"/>
        <v>6751399825782.4297</v>
      </c>
      <c r="G427" s="53">
        <f t="shared" ca="1" si="58"/>
        <v>8896760500147.5273</v>
      </c>
      <c r="H427" s="53">
        <f t="shared" ca="1" si="59"/>
        <v>9561455979331.1035</v>
      </c>
      <c r="I427" s="53">
        <f t="shared" ca="1" si="60"/>
        <v>19767689349873.238</v>
      </c>
      <c r="J427" s="53">
        <f t="shared" ca="1" si="61"/>
        <v>1076523368447.1422</v>
      </c>
      <c r="K427" s="54">
        <f t="shared" ca="1" si="62"/>
        <v>18.362526935562606</v>
      </c>
    </row>
    <row r="428" spans="2:11" ht="15" customHeight="1" x14ac:dyDescent="0.35">
      <c r="B428" s="5">
        <v>407</v>
      </c>
      <c r="C428" s="52">
        <f t="shared" ca="1" si="54"/>
        <v>3.3359854036359988</v>
      </c>
      <c r="D428" s="53">
        <f t="shared" ca="1" si="55"/>
        <v>9242912108.1146851</v>
      </c>
      <c r="E428" s="53">
        <f t="shared" ca="1" si="56"/>
        <v>20588802425674.359</v>
      </c>
      <c r="F428" s="53">
        <f t="shared" ca="1" si="57"/>
        <v>4061756590263.4438</v>
      </c>
      <c r="G428" s="53">
        <f t="shared" ca="1" si="58"/>
        <v>4998902305326.0332</v>
      </c>
      <c r="H428" s="53">
        <f t="shared" ca="1" si="59"/>
        <v>20588802425674.359</v>
      </c>
      <c r="I428" s="53">
        <f t="shared" ca="1" si="60"/>
        <v>19028265368072.383</v>
      </c>
      <c r="J428" s="53">
        <f t="shared" ca="1" si="61"/>
        <v>1109071549206.2002</v>
      </c>
      <c r="K428" s="54">
        <f t="shared" ca="1" si="62"/>
        <v>17.156932194042444</v>
      </c>
    </row>
    <row r="429" spans="2:11" ht="15" customHeight="1" x14ac:dyDescent="0.35">
      <c r="B429" s="5">
        <v>408</v>
      </c>
      <c r="C429" s="52">
        <f t="shared" ca="1" si="54"/>
        <v>3.074999510066565</v>
      </c>
      <c r="D429" s="53">
        <f t="shared" ca="1" si="55"/>
        <v>5461034104.9870024</v>
      </c>
      <c r="E429" s="53">
        <f t="shared" ca="1" si="56"/>
        <v>68890722738907.695</v>
      </c>
      <c r="F429" s="53">
        <f t="shared" ca="1" si="57"/>
        <v>5339872582591.1484</v>
      </c>
      <c r="G429" s="53">
        <f t="shared" ca="1" si="58"/>
        <v>1304481266596.813</v>
      </c>
      <c r="H429" s="53">
        <f t="shared" ca="1" si="59"/>
        <v>68890722738907.695</v>
      </c>
      <c r="I429" s="53">
        <f t="shared" ca="1" si="60"/>
        <v>10585005462881.35</v>
      </c>
      <c r="J429" s="53">
        <f t="shared" ca="1" si="61"/>
        <v>921851529652.28198</v>
      </c>
      <c r="K429" s="54">
        <f t="shared" ca="1" si="62"/>
        <v>11.48233215697322</v>
      </c>
    </row>
    <row r="430" spans="2:11" ht="15" customHeight="1" x14ac:dyDescent="0.35">
      <c r="B430" s="5">
        <v>409</v>
      </c>
      <c r="C430" s="52">
        <f t="shared" ca="1" si="54"/>
        <v>3.6328258712517436</v>
      </c>
      <c r="D430" s="53">
        <f t="shared" ca="1" si="55"/>
        <v>14537904773.455299</v>
      </c>
      <c r="E430" s="53">
        <f t="shared" ca="1" si="56"/>
        <v>90925355396668.641</v>
      </c>
      <c r="F430" s="53">
        <f t="shared" ca="1" si="57"/>
        <v>9166601775351.9551</v>
      </c>
      <c r="G430" s="53">
        <f t="shared" ca="1" si="58"/>
        <v>328921389716.77972</v>
      </c>
      <c r="H430" s="53">
        <f t="shared" ca="1" si="59"/>
        <v>9166601775351.9551</v>
      </c>
      <c r="I430" s="53">
        <f t="shared" ca="1" si="60"/>
        <v>136379058952908.66</v>
      </c>
      <c r="J430" s="53">
        <f t="shared" ca="1" si="61"/>
        <v>1131967968925.4629</v>
      </c>
      <c r="K430" s="54">
        <f t="shared" ca="1" si="62"/>
        <v>120.4796095797379</v>
      </c>
    </row>
    <row r="431" spans="2:11" ht="15" customHeight="1" x14ac:dyDescent="0.35">
      <c r="B431" s="5">
        <v>410</v>
      </c>
      <c r="C431" s="52">
        <f t="shared" ca="1" si="54"/>
        <v>3.3038966105319458</v>
      </c>
      <c r="D431" s="53">
        <f t="shared" ca="1" si="55"/>
        <v>7417878706.2018652</v>
      </c>
      <c r="E431" s="53">
        <f t="shared" ca="1" si="56"/>
        <v>121861903158114.09</v>
      </c>
      <c r="F431" s="53">
        <f t="shared" ca="1" si="57"/>
        <v>7470614138812.3291</v>
      </c>
      <c r="G431" s="53">
        <f t="shared" ca="1" si="58"/>
        <v>2191075524575.0083</v>
      </c>
      <c r="H431" s="53">
        <f t="shared" ca="1" si="59"/>
        <v>2191075524575.0083</v>
      </c>
      <c r="I431" s="53">
        <f t="shared" ca="1" si="60"/>
        <v>2902282089117.5015</v>
      </c>
      <c r="J431" s="53">
        <f t="shared" ca="1" si="61"/>
        <v>1645880759419.5186</v>
      </c>
      <c r="K431" s="54">
        <f t="shared" ca="1" si="62"/>
        <v>1.7633610895002503</v>
      </c>
    </row>
    <row r="432" spans="2:11" ht="15" customHeight="1" x14ac:dyDescent="0.35">
      <c r="B432" s="5">
        <v>411</v>
      </c>
      <c r="C432" s="52">
        <f t="shared" ca="1" si="54"/>
        <v>3.376164824696223</v>
      </c>
      <c r="D432" s="53">
        <f t="shared" ca="1" si="55"/>
        <v>10515587108.345177</v>
      </c>
      <c r="E432" s="53">
        <f t="shared" ca="1" si="56"/>
        <v>13479814061297.961</v>
      </c>
      <c r="F432" s="53">
        <f t="shared" ca="1" si="57"/>
        <v>3239796996290.7925</v>
      </c>
      <c r="G432" s="53">
        <f t="shared" ca="1" si="58"/>
        <v>34401669212902.684</v>
      </c>
      <c r="H432" s="53">
        <f t="shared" ca="1" si="59"/>
        <v>34401669212902.684</v>
      </c>
      <c r="I432" s="53">
        <f t="shared" ca="1" si="60"/>
        <v>1506899282886.5437</v>
      </c>
      <c r="J432" s="53">
        <f t="shared" ca="1" si="61"/>
        <v>1376242425626.4976</v>
      </c>
      <c r="K432" s="54">
        <f t="shared" ca="1" si="62"/>
        <v>1.0949373851780277</v>
      </c>
    </row>
    <row r="433" spans="2:11" ht="15" customHeight="1" x14ac:dyDescent="0.35">
      <c r="B433" s="5">
        <v>412</v>
      </c>
      <c r="C433" s="52">
        <f t="shared" ca="1" si="54"/>
        <v>2.603794165094568</v>
      </c>
      <c r="D433" s="53">
        <f t="shared" ca="1" si="55"/>
        <v>2206670497.8136463</v>
      </c>
      <c r="E433" s="53">
        <f t="shared" ca="1" si="56"/>
        <v>4883790219609.0303</v>
      </c>
      <c r="F433" s="53">
        <f t="shared" ca="1" si="57"/>
        <v>2057733118671.0754</v>
      </c>
      <c r="G433" s="53">
        <f t="shared" ca="1" si="58"/>
        <v>1390953235601.2673</v>
      </c>
      <c r="H433" s="53">
        <f t="shared" ca="1" si="59"/>
        <v>1390953235601.2673</v>
      </c>
      <c r="I433" s="53">
        <f t="shared" ca="1" si="60"/>
        <v>3720918483918.4712</v>
      </c>
      <c r="J433" s="53">
        <f t="shared" ca="1" si="61"/>
        <v>1183363189762.4458</v>
      </c>
      <c r="K433" s="54">
        <f t="shared" ca="1" si="62"/>
        <v>3.1443588207821698</v>
      </c>
    </row>
    <row r="434" spans="2:11" ht="15" customHeight="1" x14ac:dyDescent="0.35">
      <c r="B434" s="5">
        <v>413</v>
      </c>
      <c r="C434" s="52">
        <f t="shared" ca="1" si="54"/>
        <v>3.6904861270686062</v>
      </c>
      <c r="D434" s="53">
        <f t="shared" ca="1" si="55"/>
        <v>13869173373.232887</v>
      </c>
      <c r="E434" s="53">
        <f t="shared" ca="1" si="56"/>
        <v>26476800529928.922</v>
      </c>
      <c r="F434" s="53">
        <f t="shared" ca="1" si="57"/>
        <v>1031653870142.403</v>
      </c>
      <c r="G434" s="53">
        <f t="shared" ca="1" si="58"/>
        <v>793867355145.61157</v>
      </c>
      <c r="H434" s="53">
        <f t="shared" ca="1" si="59"/>
        <v>26476800529928.922</v>
      </c>
      <c r="I434" s="53">
        <f t="shared" ca="1" si="60"/>
        <v>12884894139719.404</v>
      </c>
      <c r="J434" s="53">
        <f t="shared" ca="1" si="61"/>
        <v>866029383775.70947</v>
      </c>
      <c r="K434" s="54">
        <f t="shared" ca="1" si="62"/>
        <v>14.878125824719623</v>
      </c>
    </row>
    <row r="435" spans="2:11" ht="15" customHeight="1" x14ac:dyDescent="0.35">
      <c r="B435" s="5">
        <v>414</v>
      </c>
      <c r="C435" s="52">
        <f t="shared" ca="1" si="54"/>
        <v>3.3088538246757713</v>
      </c>
      <c r="D435" s="53">
        <f t="shared" ca="1" si="55"/>
        <v>7842025660.2273865</v>
      </c>
      <c r="E435" s="53">
        <f t="shared" ca="1" si="56"/>
        <v>56232819950102.969</v>
      </c>
      <c r="F435" s="53">
        <f t="shared" ca="1" si="57"/>
        <v>1109757535705.387</v>
      </c>
      <c r="G435" s="53">
        <f t="shared" ca="1" si="58"/>
        <v>23064605273302.867</v>
      </c>
      <c r="H435" s="53">
        <f t="shared" ca="1" si="59"/>
        <v>1109757535705.387</v>
      </c>
      <c r="I435" s="53">
        <f t="shared" ca="1" si="60"/>
        <v>11472915751773.641</v>
      </c>
      <c r="J435" s="53">
        <f t="shared" ca="1" si="61"/>
        <v>696138274567.06494</v>
      </c>
      <c r="K435" s="54">
        <f t="shared" ca="1" si="62"/>
        <v>16.480800109588511</v>
      </c>
    </row>
    <row r="436" spans="2:11" ht="15" customHeight="1" x14ac:dyDescent="0.35">
      <c r="B436" s="5">
        <v>415</v>
      </c>
      <c r="C436" s="52">
        <f t="shared" ca="1" si="54"/>
        <v>2.8551436387655103</v>
      </c>
      <c r="D436" s="53">
        <f t="shared" ca="1" si="55"/>
        <v>3608637647.739943</v>
      </c>
      <c r="E436" s="53">
        <f t="shared" ca="1" si="56"/>
        <v>26827969649357.227</v>
      </c>
      <c r="F436" s="53">
        <f t="shared" ca="1" si="57"/>
        <v>1945529685330.6921</v>
      </c>
      <c r="G436" s="53">
        <f t="shared" ca="1" si="58"/>
        <v>8621997373397.8184</v>
      </c>
      <c r="H436" s="53">
        <f t="shared" ca="1" si="59"/>
        <v>26827969649357.227</v>
      </c>
      <c r="I436" s="53">
        <f t="shared" ca="1" si="60"/>
        <v>1972288997413.1177</v>
      </c>
      <c r="J436" s="53">
        <f t="shared" ca="1" si="61"/>
        <v>1501010514249.6443</v>
      </c>
      <c r="K436" s="54">
        <f t="shared" ca="1" si="62"/>
        <v>1.3139741385483004</v>
      </c>
    </row>
    <row r="437" spans="2:11" ht="15" customHeight="1" x14ac:dyDescent="0.35">
      <c r="B437" s="5">
        <v>416</v>
      </c>
      <c r="C437" s="52">
        <f t="shared" ca="1" si="54"/>
        <v>3.6376141529562682</v>
      </c>
      <c r="D437" s="53">
        <f t="shared" ca="1" si="55"/>
        <v>12523075506.337946</v>
      </c>
      <c r="E437" s="53">
        <f t="shared" ca="1" si="56"/>
        <v>58756810557560.125</v>
      </c>
      <c r="F437" s="53">
        <f t="shared" ca="1" si="57"/>
        <v>1082183427788.7258</v>
      </c>
      <c r="G437" s="53">
        <f t="shared" ca="1" si="58"/>
        <v>1142446693648.6748</v>
      </c>
      <c r="H437" s="53">
        <f t="shared" ca="1" si="59"/>
        <v>1142446693648.6748</v>
      </c>
      <c r="I437" s="53">
        <f t="shared" ca="1" si="60"/>
        <v>4880816882069.1963</v>
      </c>
      <c r="J437" s="53">
        <f t="shared" ca="1" si="61"/>
        <v>673461486837.69971</v>
      </c>
      <c r="K437" s="54">
        <f t="shared" ca="1" si="62"/>
        <v>7.2473585757479917</v>
      </c>
    </row>
    <row r="438" spans="2:11" ht="15" customHeight="1" x14ac:dyDescent="0.35">
      <c r="B438" s="5">
        <v>417</v>
      </c>
      <c r="C438" s="52">
        <f t="shared" ca="1" si="54"/>
        <v>3.11287371676528</v>
      </c>
      <c r="D438" s="53">
        <f t="shared" ca="1" si="55"/>
        <v>5119722190.3082132</v>
      </c>
      <c r="E438" s="53">
        <f t="shared" ca="1" si="56"/>
        <v>18185032459528.047</v>
      </c>
      <c r="F438" s="53">
        <f t="shared" ca="1" si="57"/>
        <v>2210992283515.1523</v>
      </c>
      <c r="G438" s="53">
        <f t="shared" ca="1" si="58"/>
        <v>4002236726365.9063</v>
      </c>
      <c r="H438" s="53">
        <f t="shared" ca="1" si="59"/>
        <v>4002236726365.9063</v>
      </c>
      <c r="I438" s="53">
        <f t="shared" ca="1" si="60"/>
        <v>1057111208228.093</v>
      </c>
      <c r="J438" s="53">
        <f t="shared" ca="1" si="61"/>
        <v>1294665242730.4226</v>
      </c>
      <c r="K438" s="54">
        <f t="shared" ca="1" si="62"/>
        <v>0.8165131598023494</v>
      </c>
    </row>
    <row r="439" spans="2:11" ht="15" customHeight="1" x14ac:dyDescent="0.35">
      <c r="B439" s="5">
        <v>418</v>
      </c>
      <c r="C439" s="52">
        <f t="shared" ca="1" si="54"/>
        <v>2.7069970621966091</v>
      </c>
      <c r="D439" s="53">
        <f t="shared" ca="1" si="55"/>
        <v>2512885901.5597839</v>
      </c>
      <c r="E439" s="53">
        <f t="shared" ca="1" si="56"/>
        <v>19334589712863.379</v>
      </c>
      <c r="F439" s="53">
        <f t="shared" ca="1" si="57"/>
        <v>664255749725.72302</v>
      </c>
      <c r="G439" s="53">
        <f t="shared" ca="1" si="58"/>
        <v>533376524912.18457</v>
      </c>
      <c r="H439" s="53">
        <f t="shared" ca="1" si="59"/>
        <v>664255749725.72302</v>
      </c>
      <c r="I439" s="53">
        <f t="shared" ca="1" si="60"/>
        <v>60764268571552.742</v>
      </c>
      <c r="J439" s="53">
        <f t="shared" ca="1" si="61"/>
        <v>752401896512.51892</v>
      </c>
      <c r="K439" s="54">
        <f t="shared" ca="1" si="62"/>
        <v>80.760387305246127</v>
      </c>
    </row>
    <row r="440" spans="2:11" ht="15" customHeight="1" x14ac:dyDescent="0.35">
      <c r="B440" s="5">
        <v>419</v>
      </c>
      <c r="C440" s="52">
        <f t="shared" ca="1" si="54"/>
        <v>2.7761423379844579</v>
      </c>
      <c r="D440" s="53">
        <f t="shared" ca="1" si="55"/>
        <v>2676772764.4660916</v>
      </c>
      <c r="E440" s="53">
        <f t="shared" ca="1" si="56"/>
        <v>2207883090912.1157</v>
      </c>
      <c r="F440" s="53">
        <f t="shared" ca="1" si="57"/>
        <v>1612631282921.5889</v>
      </c>
      <c r="G440" s="53">
        <f t="shared" ca="1" si="58"/>
        <v>1612224020677.9866</v>
      </c>
      <c r="H440" s="53">
        <f t="shared" ca="1" si="59"/>
        <v>1612224020677.9866</v>
      </c>
      <c r="I440" s="53">
        <f t="shared" ca="1" si="60"/>
        <v>1312706933566.7188</v>
      </c>
      <c r="J440" s="53">
        <f t="shared" ca="1" si="61"/>
        <v>1500171722344.4482</v>
      </c>
      <c r="K440" s="54">
        <f t="shared" ca="1" si="62"/>
        <v>0.87503778001843546</v>
      </c>
    </row>
    <row r="441" spans="2:11" ht="15" customHeight="1" x14ac:dyDescent="0.35">
      <c r="B441" s="5">
        <v>420</v>
      </c>
      <c r="C441" s="52">
        <f t="shared" ca="1" si="54"/>
        <v>2.8344404437342812</v>
      </c>
      <c r="D441" s="53">
        <f t="shared" ca="1" si="55"/>
        <v>3426601007.4548855</v>
      </c>
      <c r="E441" s="53">
        <f t="shared" ca="1" si="56"/>
        <v>7280032780476.8262</v>
      </c>
      <c r="F441" s="53">
        <f t="shared" ca="1" si="57"/>
        <v>5726791365439.6914</v>
      </c>
      <c r="G441" s="53">
        <f t="shared" ca="1" si="58"/>
        <v>4092580070460.9448</v>
      </c>
      <c r="H441" s="53">
        <f t="shared" ca="1" si="59"/>
        <v>4092580070460.9448</v>
      </c>
      <c r="I441" s="53">
        <f t="shared" ca="1" si="60"/>
        <v>11296211658911.293</v>
      </c>
      <c r="J441" s="53">
        <f t="shared" ca="1" si="61"/>
        <v>988003890371.73633</v>
      </c>
      <c r="K441" s="54">
        <f t="shared" ca="1" si="62"/>
        <v>11.433367589940456</v>
      </c>
    </row>
    <row r="442" spans="2:11" ht="15" customHeight="1" x14ac:dyDescent="0.35">
      <c r="B442" s="5">
        <v>421</v>
      </c>
      <c r="C442" s="52">
        <f t="shared" ca="1" si="54"/>
        <v>2.9933643750637002</v>
      </c>
      <c r="D442" s="53">
        <f t="shared" ca="1" si="55"/>
        <v>4152342964.5401549</v>
      </c>
      <c r="E442" s="53">
        <f t="shared" ca="1" si="56"/>
        <v>19544710132271.012</v>
      </c>
      <c r="F442" s="53">
        <f t="shared" ca="1" si="57"/>
        <v>931928682100.58459</v>
      </c>
      <c r="G442" s="53">
        <f t="shared" ca="1" si="58"/>
        <v>475044591694.50299</v>
      </c>
      <c r="H442" s="53">
        <f t="shared" ca="1" si="59"/>
        <v>475044591694.50299</v>
      </c>
      <c r="I442" s="53">
        <f t="shared" ca="1" si="60"/>
        <v>2772852890494.0625</v>
      </c>
      <c r="J442" s="53">
        <f t="shared" ca="1" si="61"/>
        <v>668064746365.42627</v>
      </c>
      <c r="K442" s="54">
        <f t="shared" ca="1" si="62"/>
        <v>4.1505750835972615</v>
      </c>
    </row>
    <row r="443" spans="2:11" ht="15" customHeight="1" x14ac:dyDescent="0.35">
      <c r="B443" s="5">
        <v>422</v>
      </c>
      <c r="C443" s="52">
        <f t="shared" ca="1" si="54"/>
        <v>2.6339586083786632</v>
      </c>
      <c r="D443" s="53">
        <f t="shared" ca="1" si="55"/>
        <v>2840815835.0602436</v>
      </c>
      <c r="E443" s="53">
        <f t="shared" ca="1" si="56"/>
        <v>6589972093618.2275</v>
      </c>
      <c r="F443" s="53">
        <f t="shared" ca="1" si="57"/>
        <v>3594169927170.3979</v>
      </c>
      <c r="G443" s="53">
        <f t="shared" ca="1" si="58"/>
        <v>3349851932537.4927</v>
      </c>
      <c r="H443" s="53">
        <f t="shared" ca="1" si="59"/>
        <v>3349851932537.4927</v>
      </c>
      <c r="I443" s="53">
        <f t="shared" ca="1" si="60"/>
        <v>139113244647.41214</v>
      </c>
      <c r="J443" s="53">
        <f t="shared" ca="1" si="61"/>
        <v>1145637001125.6399</v>
      </c>
      <c r="K443" s="54">
        <f t="shared" ca="1" si="62"/>
        <v>0.12142872874281044</v>
      </c>
    </row>
    <row r="444" spans="2:11" ht="15" customHeight="1" x14ac:dyDescent="0.35">
      <c r="B444" s="5">
        <v>423</v>
      </c>
      <c r="C444" s="52">
        <f t="shared" ca="1" si="54"/>
        <v>3.2430533078635291</v>
      </c>
      <c r="D444" s="53">
        <f t="shared" ca="1" si="55"/>
        <v>6382898150.1598282</v>
      </c>
      <c r="E444" s="53">
        <f t="shared" ca="1" si="56"/>
        <v>15907476750077.537</v>
      </c>
      <c r="F444" s="53">
        <f t="shared" ca="1" si="57"/>
        <v>6109328106754.3242</v>
      </c>
      <c r="G444" s="53">
        <f t="shared" ca="1" si="58"/>
        <v>12287230337627.98</v>
      </c>
      <c r="H444" s="53">
        <f t="shared" ca="1" si="59"/>
        <v>12287230337627.98</v>
      </c>
      <c r="I444" s="53">
        <f t="shared" ca="1" si="60"/>
        <v>17972870796139.773</v>
      </c>
      <c r="J444" s="53">
        <f t="shared" ca="1" si="61"/>
        <v>510450661363.63647</v>
      </c>
      <c r="K444" s="54">
        <f t="shared" ca="1" si="62"/>
        <v>35.209809990502102</v>
      </c>
    </row>
    <row r="445" spans="2:11" ht="15" customHeight="1" x14ac:dyDescent="0.35">
      <c r="B445" s="5">
        <v>424</v>
      </c>
      <c r="C445" s="52">
        <f t="shared" ca="1" si="54"/>
        <v>3.0119954876616872</v>
      </c>
      <c r="D445" s="53">
        <f t="shared" ca="1" si="55"/>
        <v>5622408372.5463543</v>
      </c>
      <c r="E445" s="53">
        <f t="shared" ca="1" si="56"/>
        <v>413646270805460.56</v>
      </c>
      <c r="F445" s="53">
        <f t="shared" ca="1" si="57"/>
        <v>1449979995784.8552</v>
      </c>
      <c r="G445" s="53">
        <f t="shared" ca="1" si="58"/>
        <v>592565355818.88672</v>
      </c>
      <c r="H445" s="53">
        <f t="shared" ca="1" si="59"/>
        <v>592565355818.88672</v>
      </c>
      <c r="I445" s="53">
        <f t="shared" ca="1" si="60"/>
        <v>19198475137582.723</v>
      </c>
      <c r="J445" s="53">
        <f t="shared" ca="1" si="61"/>
        <v>1308733333061.283</v>
      </c>
      <c r="K445" s="54">
        <f t="shared" ca="1" si="62"/>
        <v>14.669508793418752</v>
      </c>
    </row>
    <row r="446" spans="2:11" ht="15" customHeight="1" x14ac:dyDescent="0.35">
      <c r="B446" s="5">
        <v>425</v>
      </c>
      <c r="C446" s="52">
        <f t="shared" ca="1" si="54"/>
        <v>2.5290766139295084</v>
      </c>
      <c r="D446" s="53">
        <f t="shared" ca="1" si="55"/>
        <v>2190902604.7694345</v>
      </c>
      <c r="E446" s="53">
        <f t="shared" ca="1" si="56"/>
        <v>11721497387840.746</v>
      </c>
      <c r="F446" s="53">
        <f t="shared" ca="1" si="57"/>
        <v>20140530309998.328</v>
      </c>
      <c r="G446" s="53">
        <f t="shared" ca="1" si="58"/>
        <v>7620135678935.7578</v>
      </c>
      <c r="H446" s="53">
        <f t="shared" ca="1" si="59"/>
        <v>11721497387840.746</v>
      </c>
      <c r="I446" s="53">
        <f t="shared" ca="1" si="60"/>
        <v>6427605328921.8604</v>
      </c>
      <c r="J446" s="53">
        <f t="shared" ca="1" si="61"/>
        <v>775629625616.33459</v>
      </c>
      <c r="K446" s="54">
        <f t="shared" ca="1" si="62"/>
        <v>8.2869518087506329</v>
      </c>
    </row>
    <row r="447" spans="2:11" ht="15" customHeight="1" x14ac:dyDescent="0.35">
      <c r="B447" s="5">
        <v>426</v>
      </c>
      <c r="C447" s="52">
        <f t="shared" ca="1" si="54"/>
        <v>3.3355756751618602</v>
      </c>
      <c r="D447" s="53">
        <f t="shared" ca="1" si="55"/>
        <v>7460112706.6488085</v>
      </c>
      <c r="E447" s="53">
        <f t="shared" ca="1" si="56"/>
        <v>14335687337236.697</v>
      </c>
      <c r="F447" s="53">
        <f t="shared" ca="1" si="57"/>
        <v>14754914634786.928</v>
      </c>
      <c r="G447" s="53">
        <f t="shared" ca="1" si="58"/>
        <v>16868926822851.395</v>
      </c>
      <c r="H447" s="53">
        <f t="shared" ca="1" si="59"/>
        <v>14754914634786.928</v>
      </c>
      <c r="I447" s="53">
        <f t="shared" ca="1" si="60"/>
        <v>105589093323.14667</v>
      </c>
      <c r="J447" s="53">
        <f t="shared" ca="1" si="61"/>
        <v>704822861832.81152</v>
      </c>
      <c r="K447" s="54">
        <f t="shared" ca="1" si="62"/>
        <v>0.14980940466172488</v>
      </c>
    </row>
    <row r="448" spans="2:11" ht="15" customHeight="1" x14ac:dyDescent="0.35">
      <c r="B448" s="5">
        <v>427</v>
      </c>
      <c r="C448" s="52">
        <f t="shared" ca="1" si="54"/>
        <v>3.0991841279176104</v>
      </c>
      <c r="D448" s="53">
        <f t="shared" ca="1" si="55"/>
        <v>6114211240.1447687</v>
      </c>
      <c r="E448" s="53">
        <f t="shared" ca="1" si="56"/>
        <v>41857502866233.891</v>
      </c>
      <c r="F448" s="53">
        <f t="shared" ca="1" si="57"/>
        <v>183248083220.37466</v>
      </c>
      <c r="G448" s="53">
        <f t="shared" ca="1" si="58"/>
        <v>209591451199801.38</v>
      </c>
      <c r="H448" s="53">
        <f t="shared" ca="1" si="59"/>
        <v>183248083220.37466</v>
      </c>
      <c r="I448" s="53">
        <f t="shared" ca="1" si="60"/>
        <v>16104195784533.293</v>
      </c>
      <c r="J448" s="53">
        <f t="shared" ca="1" si="61"/>
        <v>1424044283786.4673</v>
      </c>
      <c r="K448" s="54">
        <f t="shared" ca="1" si="62"/>
        <v>11.308774571049847</v>
      </c>
    </row>
    <row r="449" spans="2:11" ht="15" customHeight="1" x14ac:dyDescent="0.35">
      <c r="B449" s="5">
        <v>428</v>
      </c>
      <c r="C449" s="52">
        <f t="shared" ca="1" si="54"/>
        <v>3.1424167827268361</v>
      </c>
      <c r="D449" s="53">
        <f t="shared" ca="1" si="55"/>
        <v>5903951652.5509195</v>
      </c>
      <c r="E449" s="53">
        <f t="shared" ca="1" si="56"/>
        <v>55073499083471.586</v>
      </c>
      <c r="F449" s="53">
        <f t="shared" ca="1" si="57"/>
        <v>6876369405225.4287</v>
      </c>
      <c r="G449" s="53">
        <f t="shared" ca="1" si="58"/>
        <v>18628939151950.09</v>
      </c>
      <c r="H449" s="53">
        <f t="shared" ca="1" si="59"/>
        <v>55073499083471.586</v>
      </c>
      <c r="I449" s="53">
        <f t="shared" ca="1" si="60"/>
        <v>22020925335346.215</v>
      </c>
      <c r="J449" s="53">
        <f t="shared" ca="1" si="61"/>
        <v>598767933612.72595</v>
      </c>
      <c r="K449" s="54">
        <f t="shared" ca="1" si="62"/>
        <v>36.777061861814758</v>
      </c>
    </row>
    <row r="450" spans="2:11" ht="15" customHeight="1" x14ac:dyDescent="0.35">
      <c r="B450" s="5">
        <v>429</v>
      </c>
      <c r="C450" s="52">
        <f t="shared" ca="1" si="54"/>
        <v>3.2893154305179118</v>
      </c>
      <c r="D450" s="53">
        <f t="shared" ca="1" si="55"/>
        <v>7660944656.753643</v>
      </c>
      <c r="E450" s="53">
        <f t="shared" ca="1" si="56"/>
        <v>39343111703813.242</v>
      </c>
      <c r="F450" s="53">
        <f t="shared" ca="1" si="57"/>
        <v>1860461407553.6245</v>
      </c>
      <c r="G450" s="53">
        <f t="shared" ca="1" si="58"/>
        <v>5981426576803.043</v>
      </c>
      <c r="H450" s="53">
        <f t="shared" ca="1" si="59"/>
        <v>5981426576803.043</v>
      </c>
      <c r="I450" s="53">
        <f t="shared" ca="1" si="60"/>
        <v>31837110256820.566</v>
      </c>
      <c r="J450" s="53">
        <f t="shared" ca="1" si="61"/>
        <v>654645303256.09521</v>
      </c>
      <c r="K450" s="54">
        <f t="shared" ca="1" si="62"/>
        <v>48.632610817595655</v>
      </c>
    </row>
    <row r="451" spans="2:11" ht="15" customHeight="1" x14ac:dyDescent="0.35">
      <c r="B451" s="5">
        <v>430</v>
      </c>
      <c r="C451" s="52">
        <f t="shared" ca="1" si="54"/>
        <v>2.4960863483302624</v>
      </c>
      <c r="D451" s="53">
        <f t="shared" ca="1" si="55"/>
        <v>1999640387.486203</v>
      </c>
      <c r="E451" s="53">
        <f t="shared" ca="1" si="56"/>
        <v>5877234369413.7813</v>
      </c>
      <c r="F451" s="53">
        <f t="shared" ca="1" si="57"/>
        <v>5277383899866.3779</v>
      </c>
      <c r="G451" s="53">
        <f t="shared" ca="1" si="58"/>
        <v>279575306477246.94</v>
      </c>
      <c r="H451" s="53">
        <f t="shared" ca="1" si="59"/>
        <v>5277383899866.3779</v>
      </c>
      <c r="I451" s="53">
        <f t="shared" ca="1" si="60"/>
        <v>1048250486811.3569</v>
      </c>
      <c r="J451" s="53">
        <f t="shared" ca="1" si="61"/>
        <v>1254386042924.6436</v>
      </c>
      <c r="K451" s="54">
        <f t="shared" ca="1" si="62"/>
        <v>0.83566816828360546</v>
      </c>
    </row>
    <row r="452" spans="2:11" ht="15" customHeight="1" x14ac:dyDescent="0.35">
      <c r="B452" s="5">
        <v>431</v>
      </c>
      <c r="C452" s="52">
        <f t="shared" ca="1" si="54"/>
        <v>2.9592059027998094</v>
      </c>
      <c r="D452" s="53">
        <f t="shared" ca="1" si="55"/>
        <v>4522752460.0030203</v>
      </c>
      <c r="E452" s="53">
        <f t="shared" ca="1" si="56"/>
        <v>16677801017543.16</v>
      </c>
      <c r="F452" s="53">
        <f t="shared" ca="1" si="57"/>
        <v>2182173498863.7432</v>
      </c>
      <c r="G452" s="53">
        <f t="shared" ca="1" si="58"/>
        <v>37080157460262.359</v>
      </c>
      <c r="H452" s="53">
        <f t="shared" ca="1" si="59"/>
        <v>16677801017543.16</v>
      </c>
      <c r="I452" s="53">
        <f t="shared" ca="1" si="60"/>
        <v>2770766959684.8286</v>
      </c>
      <c r="J452" s="53">
        <f t="shared" ca="1" si="61"/>
        <v>1616239073757.6321</v>
      </c>
      <c r="K452" s="54">
        <f t="shared" ca="1" si="62"/>
        <v>1.7143298938089695</v>
      </c>
    </row>
    <row r="453" spans="2:11" ht="15" customHeight="1" x14ac:dyDescent="0.35">
      <c r="B453" s="5">
        <v>432</v>
      </c>
      <c r="C453" s="52">
        <f t="shared" ca="1" si="54"/>
        <v>3.1516347100990463</v>
      </c>
      <c r="D453" s="53">
        <f t="shared" ca="1" si="55"/>
        <v>5623744454.771204</v>
      </c>
      <c r="E453" s="53">
        <f t="shared" ca="1" si="56"/>
        <v>45392168875791.648</v>
      </c>
      <c r="F453" s="53">
        <f t="shared" ca="1" si="57"/>
        <v>6026444546779.9824</v>
      </c>
      <c r="G453" s="53">
        <f t="shared" ca="1" si="58"/>
        <v>894865839575.27515</v>
      </c>
      <c r="H453" s="53">
        <f t="shared" ca="1" si="59"/>
        <v>894865839575.27515</v>
      </c>
      <c r="I453" s="53">
        <f t="shared" ca="1" si="60"/>
        <v>3083475312826.8062</v>
      </c>
      <c r="J453" s="53">
        <f t="shared" ca="1" si="61"/>
        <v>1352009622963.7595</v>
      </c>
      <c r="K453" s="54">
        <f t="shared" ca="1" si="62"/>
        <v>2.2806607737506157</v>
      </c>
    </row>
    <row r="454" spans="2:11" ht="15" customHeight="1" x14ac:dyDescent="0.35">
      <c r="B454" s="5">
        <v>433</v>
      </c>
      <c r="C454" s="52">
        <f t="shared" ca="1" si="54"/>
        <v>2.624933996056162</v>
      </c>
      <c r="D454" s="53">
        <f t="shared" ca="1" si="55"/>
        <v>2943556502.1318283</v>
      </c>
      <c r="E454" s="53">
        <f t="shared" ca="1" si="56"/>
        <v>10064230848259.898</v>
      </c>
      <c r="F454" s="53">
        <f t="shared" ca="1" si="57"/>
        <v>13249295780632.82</v>
      </c>
      <c r="G454" s="53">
        <f t="shared" ca="1" si="58"/>
        <v>23466850718725.211</v>
      </c>
      <c r="H454" s="53">
        <f t="shared" ca="1" si="59"/>
        <v>10064230848259.898</v>
      </c>
      <c r="I454" s="53">
        <f t="shared" ca="1" si="60"/>
        <v>1979167546110.9937</v>
      </c>
      <c r="J454" s="53">
        <f t="shared" ca="1" si="61"/>
        <v>1125156642426.7197</v>
      </c>
      <c r="K454" s="54">
        <f t="shared" ca="1" si="62"/>
        <v>1.7590151197457777</v>
      </c>
    </row>
    <row r="455" spans="2:11" ht="15" customHeight="1" x14ac:dyDescent="0.35">
      <c r="B455" s="5">
        <v>434</v>
      </c>
      <c r="C455" s="52">
        <f t="shared" ca="1" si="54"/>
        <v>3.2902720018676899</v>
      </c>
      <c r="D455" s="53">
        <f t="shared" ca="1" si="55"/>
        <v>7166745095.2655191</v>
      </c>
      <c r="E455" s="53">
        <f t="shared" ca="1" si="56"/>
        <v>7311194916302.0518</v>
      </c>
      <c r="F455" s="53">
        <f t="shared" ca="1" si="57"/>
        <v>1394136311939.3755</v>
      </c>
      <c r="G455" s="53">
        <f t="shared" ca="1" si="58"/>
        <v>1043906555816.9508</v>
      </c>
      <c r="H455" s="53">
        <f t="shared" ca="1" si="59"/>
        <v>7311194916302.0518</v>
      </c>
      <c r="I455" s="53">
        <f t="shared" ca="1" si="60"/>
        <v>1576245650404.8594</v>
      </c>
      <c r="J455" s="53">
        <f t="shared" ca="1" si="61"/>
        <v>1007254189468.6835</v>
      </c>
      <c r="K455" s="54">
        <f t="shared" ca="1" si="62"/>
        <v>1.5648936156188273</v>
      </c>
    </row>
    <row r="456" spans="2:11" ht="15" customHeight="1" x14ac:dyDescent="0.35">
      <c r="B456" s="5">
        <v>435</v>
      </c>
      <c r="C456" s="52">
        <f t="shared" ca="1" si="54"/>
        <v>3.5561184468419609</v>
      </c>
      <c r="D456" s="53">
        <f t="shared" ca="1" si="55"/>
        <v>11910011892.322973</v>
      </c>
      <c r="E456" s="53">
        <f t="shared" ca="1" si="56"/>
        <v>4421197113274.4414</v>
      </c>
      <c r="F456" s="53">
        <f t="shared" ca="1" si="57"/>
        <v>2765688675620.4473</v>
      </c>
      <c r="G456" s="53">
        <f t="shared" ca="1" si="58"/>
        <v>5038692538984.0352</v>
      </c>
      <c r="H456" s="53">
        <f t="shared" ca="1" si="59"/>
        <v>4421197113274.4414</v>
      </c>
      <c r="I456" s="53">
        <f t="shared" ca="1" si="60"/>
        <v>35514884984859.969</v>
      </c>
      <c r="J456" s="53">
        <f t="shared" ca="1" si="61"/>
        <v>1212790401190.7546</v>
      </c>
      <c r="K456" s="54">
        <f t="shared" ca="1" si="62"/>
        <v>29.283613186574012</v>
      </c>
    </row>
    <row r="457" spans="2:11" ht="15" customHeight="1" x14ac:dyDescent="0.35">
      <c r="B457" s="5">
        <v>436</v>
      </c>
      <c r="C457" s="52">
        <f t="shared" ca="1" si="54"/>
        <v>3.3106807889013616</v>
      </c>
      <c r="D457" s="53">
        <f t="shared" ca="1" si="55"/>
        <v>9349008074.8140736</v>
      </c>
      <c r="E457" s="53">
        <f t="shared" ca="1" si="56"/>
        <v>25822930540302.887</v>
      </c>
      <c r="F457" s="53">
        <f t="shared" ca="1" si="57"/>
        <v>29323365721816.563</v>
      </c>
      <c r="G457" s="53">
        <f t="shared" ca="1" si="58"/>
        <v>1422990169856.4199</v>
      </c>
      <c r="H457" s="53">
        <f t="shared" ca="1" si="59"/>
        <v>25822930540302.887</v>
      </c>
      <c r="I457" s="53">
        <f t="shared" ca="1" si="60"/>
        <v>13634109143348.533</v>
      </c>
      <c r="J457" s="53">
        <f t="shared" ca="1" si="61"/>
        <v>1369967258821.4968</v>
      </c>
      <c r="K457" s="54">
        <f t="shared" ca="1" si="62"/>
        <v>9.9521423271656619</v>
      </c>
    </row>
    <row r="458" spans="2:11" ht="15" customHeight="1" x14ac:dyDescent="0.35">
      <c r="B458" s="5">
        <v>437</v>
      </c>
      <c r="C458" s="52">
        <f t="shared" ca="1" si="54"/>
        <v>2.7765330041988259</v>
      </c>
      <c r="D458" s="53">
        <f t="shared" ca="1" si="55"/>
        <v>3113320798.3459702</v>
      </c>
      <c r="E458" s="53">
        <f t="shared" ca="1" si="56"/>
        <v>44275170372553.742</v>
      </c>
      <c r="F458" s="53">
        <f t="shared" ca="1" si="57"/>
        <v>9498755917694.002</v>
      </c>
      <c r="G458" s="53">
        <f t="shared" ca="1" si="58"/>
        <v>5714768935392.9316</v>
      </c>
      <c r="H458" s="53">
        <f t="shared" ca="1" si="59"/>
        <v>5714768935392.9316</v>
      </c>
      <c r="I458" s="53">
        <f t="shared" ca="1" si="60"/>
        <v>7743989899805.4189</v>
      </c>
      <c r="J458" s="53">
        <f t="shared" ca="1" si="61"/>
        <v>963928437425.32031</v>
      </c>
      <c r="K458" s="54">
        <f t="shared" ca="1" si="62"/>
        <v>8.0337809313830721</v>
      </c>
    </row>
    <row r="459" spans="2:11" ht="15" customHeight="1" x14ac:dyDescent="0.35">
      <c r="B459" s="5">
        <v>438</v>
      </c>
      <c r="C459" s="52">
        <f t="shared" ca="1" si="54"/>
        <v>2.8355670299553464</v>
      </c>
      <c r="D459" s="53">
        <f t="shared" ca="1" si="55"/>
        <v>3357163234.3252859</v>
      </c>
      <c r="E459" s="53">
        <f t="shared" ca="1" si="56"/>
        <v>2893723774917.7534</v>
      </c>
      <c r="F459" s="53">
        <f t="shared" ca="1" si="57"/>
        <v>5398435472026.7432</v>
      </c>
      <c r="G459" s="53">
        <f t="shared" ca="1" si="58"/>
        <v>3760541661044.4077</v>
      </c>
      <c r="H459" s="53">
        <f t="shared" ca="1" si="59"/>
        <v>3760541661044.4077</v>
      </c>
      <c r="I459" s="53">
        <f t="shared" ca="1" si="60"/>
        <v>41661508207774.984</v>
      </c>
      <c r="J459" s="53">
        <f t="shared" ca="1" si="61"/>
        <v>1251234178042.0378</v>
      </c>
      <c r="K459" s="54">
        <f t="shared" ca="1" si="62"/>
        <v>33.296331685063095</v>
      </c>
    </row>
    <row r="460" spans="2:11" ht="15" customHeight="1" x14ac:dyDescent="0.35">
      <c r="B460" s="5">
        <v>439</v>
      </c>
      <c r="C460" s="52">
        <f t="shared" ca="1" si="54"/>
        <v>2.9530765469230653</v>
      </c>
      <c r="D460" s="53">
        <f t="shared" ca="1" si="55"/>
        <v>3648082529.3456373</v>
      </c>
      <c r="E460" s="53">
        <f t="shared" ca="1" si="56"/>
        <v>40791111198266.328</v>
      </c>
      <c r="F460" s="53">
        <f t="shared" ca="1" si="57"/>
        <v>2802092523699.7705</v>
      </c>
      <c r="G460" s="53">
        <f t="shared" ca="1" si="58"/>
        <v>2101888117406.2949</v>
      </c>
      <c r="H460" s="53">
        <f t="shared" ca="1" si="59"/>
        <v>40791111198266.328</v>
      </c>
      <c r="I460" s="53">
        <f t="shared" ca="1" si="60"/>
        <v>41959302901734.492</v>
      </c>
      <c r="J460" s="53">
        <f t="shared" ca="1" si="61"/>
        <v>1238981768617.0452</v>
      </c>
      <c r="K460" s="54">
        <f t="shared" ca="1" si="62"/>
        <v>33.865956678740787</v>
      </c>
    </row>
    <row r="461" spans="2:11" ht="15" customHeight="1" x14ac:dyDescent="0.35">
      <c r="B461" s="5">
        <v>440</v>
      </c>
      <c r="C461" s="52">
        <f t="shared" ca="1" si="54"/>
        <v>2.5885326259749726</v>
      </c>
      <c r="D461" s="53">
        <f t="shared" ca="1" si="55"/>
        <v>2334840781.1903424</v>
      </c>
      <c r="E461" s="53">
        <f t="shared" ca="1" si="56"/>
        <v>5812589240241.4482</v>
      </c>
      <c r="F461" s="53">
        <f t="shared" ca="1" si="57"/>
        <v>3702690858789.2671</v>
      </c>
      <c r="G461" s="53">
        <f t="shared" ca="1" si="58"/>
        <v>21378540938940.039</v>
      </c>
      <c r="H461" s="53">
        <f t="shared" ca="1" si="59"/>
        <v>5812589240241.4482</v>
      </c>
      <c r="I461" s="53">
        <f t="shared" ca="1" si="60"/>
        <v>8935310478068.2246</v>
      </c>
      <c r="J461" s="53">
        <f t="shared" ca="1" si="61"/>
        <v>903062029526.98804</v>
      </c>
      <c r="K461" s="54">
        <f t="shared" ca="1" si="62"/>
        <v>9.8944592795562691</v>
      </c>
    </row>
    <row r="462" spans="2:11" ht="15" customHeight="1" x14ac:dyDescent="0.35">
      <c r="B462" s="5">
        <v>441</v>
      </c>
      <c r="C462" s="52">
        <f t="shared" ca="1" si="54"/>
        <v>2.5997626077531919</v>
      </c>
      <c r="D462" s="53">
        <f t="shared" ca="1" si="55"/>
        <v>2656659547.9829412</v>
      </c>
      <c r="E462" s="53">
        <f t="shared" ca="1" si="56"/>
        <v>10989384451600.033</v>
      </c>
      <c r="F462" s="53">
        <f t="shared" ca="1" si="57"/>
        <v>3510149620228.0811</v>
      </c>
      <c r="G462" s="53">
        <f t="shared" ca="1" si="58"/>
        <v>6279077352542.2451</v>
      </c>
      <c r="H462" s="53">
        <f t="shared" ca="1" si="59"/>
        <v>3510149620228.0811</v>
      </c>
      <c r="I462" s="53">
        <f t="shared" ca="1" si="60"/>
        <v>44793245148232.609</v>
      </c>
      <c r="J462" s="53">
        <f t="shared" ca="1" si="61"/>
        <v>933379830530.34619</v>
      </c>
      <c r="K462" s="54">
        <f t="shared" ca="1" si="62"/>
        <v>47.99037185406192</v>
      </c>
    </row>
    <row r="463" spans="2:11" ht="15" customHeight="1" x14ac:dyDescent="0.35">
      <c r="B463" s="5">
        <v>442</v>
      </c>
      <c r="C463" s="52">
        <f t="shared" ca="1" si="54"/>
        <v>3.0517731462091997</v>
      </c>
      <c r="D463" s="53">
        <f t="shared" ca="1" si="55"/>
        <v>4876853389.1028852</v>
      </c>
      <c r="E463" s="53">
        <f t="shared" ca="1" si="56"/>
        <v>6513038138077.7949</v>
      </c>
      <c r="F463" s="53">
        <f t="shared" ca="1" si="57"/>
        <v>4465314420948.9199</v>
      </c>
      <c r="G463" s="53">
        <f t="shared" ca="1" si="58"/>
        <v>10698132589369.029</v>
      </c>
      <c r="H463" s="53">
        <f t="shared" ca="1" si="59"/>
        <v>4465314420948.9199</v>
      </c>
      <c r="I463" s="53">
        <f t="shared" ca="1" si="60"/>
        <v>8632643261226.2822</v>
      </c>
      <c r="J463" s="53">
        <f t="shared" ca="1" si="61"/>
        <v>798966950677.8313</v>
      </c>
      <c r="K463" s="54">
        <f t="shared" ca="1" si="62"/>
        <v>10.804756384356676</v>
      </c>
    </row>
    <row r="464" spans="2:11" ht="15" customHeight="1" x14ac:dyDescent="0.35">
      <c r="B464" s="5">
        <v>443</v>
      </c>
      <c r="C464" s="52">
        <f t="shared" ca="1" si="54"/>
        <v>4.3499739839308065</v>
      </c>
      <c r="D464" s="53">
        <f t="shared" ca="1" si="55"/>
        <v>36409929829.669968</v>
      </c>
      <c r="E464" s="53">
        <f t="shared" ca="1" si="56"/>
        <v>43094447542439.711</v>
      </c>
      <c r="F464" s="53">
        <f t="shared" ca="1" si="57"/>
        <v>3467419686218.5059</v>
      </c>
      <c r="G464" s="53">
        <f t="shared" ca="1" si="58"/>
        <v>18072498191945.035</v>
      </c>
      <c r="H464" s="53">
        <f t="shared" ca="1" si="59"/>
        <v>43094447542439.711</v>
      </c>
      <c r="I464" s="53">
        <f t="shared" ca="1" si="60"/>
        <v>2153384427492.7285</v>
      </c>
      <c r="J464" s="53">
        <f t="shared" ca="1" si="61"/>
        <v>1207638834182.4119</v>
      </c>
      <c r="K464" s="54">
        <f t="shared" ca="1" si="62"/>
        <v>1.7831361219437758</v>
      </c>
    </row>
    <row r="465" spans="2:11" ht="15" customHeight="1" x14ac:dyDescent="0.35">
      <c r="B465" s="5">
        <v>444</v>
      </c>
      <c r="C465" s="52">
        <f t="shared" ca="1" si="54"/>
        <v>2.5266931199111049</v>
      </c>
      <c r="D465" s="53">
        <f t="shared" ca="1" si="55"/>
        <v>1679831989.011821</v>
      </c>
      <c r="E465" s="53">
        <f t="shared" ca="1" si="56"/>
        <v>904848709292.19019</v>
      </c>
      <c r="F465" s="53">
        <f t="shared" ca="1" si="57"/>
        <v>4440187839391.1475</v>
      </c>
      <c r="G465" s="53">
        <f t="shared" ca="1" si="58"/>
        <v>252274738248.04282</v>
      </c>
      <c r="H465" s="53">
        <f t="shared" ca="1" si="59"/>
        <v>904848709292.19019</v>
      </c>
      <c r="I465" s="53">
        <f t="shared" ca="1" si="60"/>
        <v>19971314052963.203</v>
      </c>
      <c r="J465" s="53">
        <f t="shared" ca="1" si="61"/>
        <v>905931800679.14978</v>
      </c>
      <c r="K465" s="54">
        <f t="shared" ca="1" si="62"/>
        <v>22.045052439920212</v>
      </c>
    </row>
    <row r="466" spans="2:11" ht="15" customHeight="1" x14ac:dyDescent="0.35">
      <c r="B466" s="5">
        <v>445</v>
      </c>
      <c r="C466" s="52">
        <f t="shared" ca="1" si="54"/>
        <v>3.1661706748064873</v>
      </c>
      <c r="D466" s="53">
        <f t="shared" ca="1" si="55"/>
        <v>5371520354.9343872</v>
      </c>
      <c r="E466" s="53">
        <f t="shared" ca="1" si="56"/>
        <v>17148118988002.281</v>
      </c>
      <c r="F466" s="53">
        <f t="shared" ca="1" si="57"/>
        <v>1523096930913.7119</v>
      </c>
      <c r="G466" s="53">
        <f t="shared" ca="1" si="58"/>
        <v>95064315407195.953</v>
      </c>
      <c r="H466" s="53">
        <f t="shared" ca="1" si="59"/>
        <v>95064315407195.953</v>
      </c>
      <c r="I466" s="53">
        <f t="shared" ca="1" si="60"/>
        <v>37421905056070.484</v>
      </c>
      <c r="J466" s="53">
        <f t="shared" ca="1" si="61"/>
        <v>1641972596157.6135</v>
      </c>
      <c r="K466" s="54">
        <f t="shared" ca="1" si="62"/>
        <v>22.790821931889504</v>
      </c>
    </row>
    <row r="467" spans="2:11" ht="15" customHeight="1" x14ac:dyDescent="0.35">
      <c r="B467" s="5">
        <v>446</v>
      </c>
      <c r="C467" s="52">
        <f t="shared" ca="1" si="54"/>
        <v>3.3104484541043897</v>
      </c>
      <c r="D467" s="53">
        <f t="shared" ca="1" si="55"/>
        <v>6750305582.72262</v>
      </c>
      <c r="E467" s="53">
        <f t="shared" ca="1" si="56"/>
        <v>71444225076476.688</v>
      </c>
      <c r="F467" s="53">
        <f t="shared" ca="1" si="57"/>
        <v>1709327473900.2366</v>
      </c>
      <c r="G467" s="53">
        <f t="shared" ca="1" si="58"/>
        <v>383672211834.37903</v>
      </c>
      <c r="H467" s="53">
        <f t="shared" ca="1" si="59"/>
        <v>383672211834.37903</v>
      </c>
      <c r="I467" s="53">
        <f t="shared" ca="1" si="60"/>
        <v>2306424124567.958</v>
      </c>
      <c r="J467" s="53">
        <f t="shared" ca="1" si="61"/>
        <v>946529191424.68774</v>
      </c>
      <c r="K467" s="54">
        <f t="shared" ca="1" si="62"/>
        <v>2.4367173727588862</v>
      </c>
    </row>
    <row r="468" spans="2:11" ht="15" customHeight="1" x14ac:dyDescent="0.35">
      <c r="B468" s="5">
        <v>447</v>
      </c>
      <c r="C468" s="52">
        <f t="shared" ca="1" si="54"/>
        <v>2.9640061436052116</v>
      </c>
      <c r="D468" s="53">
        <f t="shared" ca="1" si="55"/>
        <v>3937339905.8476453</v>
      </c>
      <c r="E468" s="53">
        <f t="shared" ca="1" si="56"/>
        <v>9838734572182.2363</v>
      </c>
      <c r="F468" s="53">
        <f t="shared" ca="1" si="57"/>
        <v>4396523559072.7729</v>
      </c>
      <c r="G468" s="53">
        <f t="shared" ca="1" si="58"/>
        <v>1052710383455.2554</v>
      </c>
      <c r="H468" s="53">
        <f t="shared" ca="1" si="59"/>
        <v>4396523559072.7729</v>
      </c>
      <c r="I468" s="53">
        <f t="shared" ca="1" si="60"/>
        <v>219510348349370.78</v>
      </c>
      <c r="J468" s="53">
        <f t="shared" ca="1" si="61"/>
        <v>850036769243.44434</v>
      </c>
      <c r="K468" s="54">
        <f t="shared" ca="1" si="62"/>
        <v>258.236297877727</v>
      </c>
    </row>
    <row r="469" spans="2:11" ht="15" customHeight="1" x14ac:dyDescent="0.35">
      <c r="B469" s="5">
        <v>448</v>
      </c>
      <c r="C469" s="52">
        <f t="shared" ca="1" si="54"/>
        <v>3.4365971860874738</v>
      </c>
      <c r="D469" s="53">
        <f t="shared" ca="1" si="55"/>
        <v>8078119804.3180695</v>
      </c>
      <c r="E469" s="53">
        <f t="shared" ca="1" si="56"/>
        <v>68852598771316.125</v>
      </c>
      <c r="F469" s="53">
        <f t="shared" ca="1" si="57"/>
        <v>6207257022711.3711</v>
      </c>
      <c r="G469" s="53">
        <f t="shared" ca="1" si="58"/>
        <v>353054414090.80469</v>
      </c>
      <c r="H469" s="53">
        <f t="shared" ca="1" si="59"/>
        <v>6207257022711.3711</v>
      </c>
      <c r="I469" s="53">
        <f t="shared" ca="1" si="60"/>
        <v>6866440933633.6982</v>
      </c>
      <c r="J469" s="53">
        <f t="shared" ca="1" si="61"/>
        <v>717126181680.4574</v>
      </c>
      <c r="K469" s="54">
        <f t="shared" ca="1" si="62"/>
        <v>9.5749410759811031</v>
      </c>
    </row>
    <row r="470" spans="2:11" ht="15" customHeight="1" x14ac:dyDescent="0.35">
      <c r="B470" s="5">
        <v>449</v>
      </c>
      <c r="C470" s="52">
        <f t="shared" ref="C470:C533" ca="1" si="63">MEDIAN(1.8,NORMINV(RAND(),$C$7,$D$7),4.5)</f>
        <v>2.77324047658509</v>
      </c>
      <c r="D470" s="53">
        <f t="shared" ref="D470:D533" ca="1" si="64">($C$8+RAND()*($D$8-$C$8))*C470^5</f>
        <v>3552991284.3699608</v>
      </c>
      <c r="E470" s="53">
        <f t="shared" ref="E470:E533" ca="1" si="65">D470*($C$10+RAND()*($D$10-$C$10))*EXP(NORMINV(RAND(),$C$9,$D$9))*($C$11+RAND()*($D$11-$C$11))</f>
        <v>13674527924819.793</v>
      </c>
      <c r="F470" s="53">
        <f t="shared" ref="F470:F533" ca="1" si="66">EXP(NORMINV(RAND(),$C$12,$D$12))*EXP(NORMINV(RAND(),$C$13,$D$13))</f>
        <v>2252965221775.4756</v>
      </c>
      <c r="G470" s="53">
        <f t="shared" ref="G470:G533" ca="1" si="67">EXP(NORMINV(RAND(),$C$14,$D$14))*($C$15+RAND()*($D$15-$C$15))*EXP(NORMINV(RAND(),$C$16,$D$16))/1000000*31536000</f>
        <v>2089876400455.8811</v>
      </c>
      <c r="H470" s="53">
        <f t="shared" ref="H470:H533" ca="1" si="68">CHOOSE(RANDBETWEEN(1,3),E470,F470,G470)</f>
        <v>2252965221775.4756</v>
      </c>
      <c r="I470" s="53">
        <f t="shared" ref="I470:I533" ca="1" si="69">EXP(NORMINV(RAND(),$C$14,$D$14))*($C$15+RAND()*($D$15-$C$15))*60</f>
        <v>1128794146117.0408</v>
      </c>
      <c r="J470" s="53">
        <f t="shared" ref="J470:J533" ca="1" si="70">($C$17+RAND()*($D$17-$C$17))*($C$18+RAND()*($D$18-$C$18))</f>
        <v>1173385782792.5723</v>
      </c>
      <c r="K470" s="54">
        <f t="shared" ref="K470:K533" ca="1" si="71">I470/J470</f>
        <v>0.96199746295765864</v>
      </c>
    </row>
    <row r="471" spans="2:11" ht="15" customHeight="1" x14ac:dyDescent="0.35">
      <c r="B471" s="5">
        <v>450</v>
      </c>
      <c r="C471" s="52">
        <f t="shared" ca="1" si="63"/>
        <v>1.851709124843516</v>
      </c>
      <c r="D471" s="53">
        <f t="shared" ca="1" si="64"/>
        <v>387397431.4557327</v>
      </c>
      <c r="E471" s="53">
        <f t="shared" ca="1" si="65"/>
        <v>651461659783.44263</v>
      </c>
      <c r="F471" s="53">
        <f t="shared" ca="1" si="66"/>
        <v>2821463074280.1191</v>
      </c>
      <c r="G471" s="53">
        <f t="shared" ca="1" si="67"/>
        <v>4193978984923.7949</v>
      </c>
      <c r="H471" s="53">
        <f t="shared" ca="1" si="68"/>
        <v>4193978984923.7949</v>
      </c>
      <c r="I471" s="53">
        <f t="shared" ca="1" si="69"/>
        <v>2488665184537.9922</v>
      </c>
      <c r="J471" s="53">
        <f t="shared" ca="1" si="70"/>
        <v>973271357485.78284</v>
      </c>
      <c r="K471" s="54">
        <f t="shared" ca="1" si="71"/>
        <v>2.5570106069563909</v>
      </c>
    </row>
    <row r="472" spans="2:11" ht="15" customHeight="1" x14ac:dyDescent="0.35">
      <c r="B472" s="5">
        <v>451</v>
      </c>
      <c r="C472" s="52">
        <f t="shared" ca="1" si="63"/>
        <v>3.4846100438146177</v>
      </c>
      <c r="D472" s="53">
        <f t="shared" ca="1" si="64"/>
        <v>8841761707.9412956</v>
      </c>
      <c r="E472" s="53">
        <f t="shared" ca="1" si="65"/>
        <v>38058585806374.891</v>
      </c>
      <c r="F472" s="53">
        <f t="shared" ca="1" si="66"/>
        <v>2167915324285.0815</v>
      </c>
      <c r="G472" s="53">
        <f t="shared" ca="1" si="67"/>
        <v>834569992276.55249</v>
      </c>
      <c r="H472" s="53">
        <f t="shared" ca="1" si="68"/>
        <v>2167915324285.0815</v>
      </c>
      <c r="I472" s="53">
        <f t="shared" ca="1" si="69"/>
        <v>28805121560253.879</v>
      </c>
      <c r="J472" s="53">
        <f t="shared" ca="1" si="70"/>
        <v>929172326901.67236</v>
      </c>
      <c r="K472" s="54">
        <f t="shared" ca="1" si="71"/>
        <v>31.000838839340638</v>
      </c>
    </row>
    <row r="473" spans="2:11" ht="15" customHeight="1" x14ac:dyDescent="0.35">
      <c r="B473" s="5">
        <v>452</v>
      </c>
      <c r="C473" s="52">
        <f t="shared" ca="1" si="63"/>
        <v>3.2875098001193725</v>
      </c>
      <c r="D473" s="53">
        <f t="shared" ca="1" si="64"/>
        <v>7925491719.4963579</v>
      </c>
      <c r="E473" s="53">
        <f t="shared" ca="1" si="65"/>
        <v>9816609593973.4453</v>
      </c>
      <c r="F473" s="53">
        <f t="shared" ca="1" si="66"/>
        <v>1079504529416.812</v>
      </c>
      <c r="G473" s="53">
        <f t="shared" ca="1" si="67"/>
        <v>1338320682388.6472</v>
      </c>
      <c r="H473" s="53">
        <f t="shared" ca="1" si="68"/>
        <v>1338320682388.6472</v>
      </c>
      <c r="I473" s="53">
        <f t="shared" ca="1" si="69"/>
        <v>6719681791500.8643</v>
      </c>
      <c r="J473" s="53">
        <f t="shared" ca="1" si="70"/>
        <v>1174249121858.9609</v>
      </c>
      <c r="K473" s="54">
        <f t="shared" ca="1" si="71"/>
        <v>5.7225350791515988</v>
      </c>
    </row>
    <row r="474" spans="2:11" ht="15" customHeight="1" x14ac:dyDescent="0.35">
      <c r="B474" s="5">
        <v>453</v>
      </c>
      <c r="C474" s="52">
        <f t="shared" ca="1" si="63"/>
        <v>1.8350056826029764</v>
      </c>
      <c r="D474" s="53">
        <f t="shared" ca="1" si="64"/>
        <v>457639524.79234898</v>
      </c>
      <c r="E474" s="53">
        <f t="shared" ca="1" si="65"/>
        <v>2473912616350.1973</v>
      </c>
      <c r="F474" s="53">
        <f t="shared" ca="1" si="66"/>
        <v>1679975622104.2173</v>
      </c>
      <c r="G474" s="53">
        <f t="shared" ca="1" si="67"/>
        <v>18864333996169.93</v>
      </c>
      <c r="H474" s="53">
        <f t="shared" ca="1" si="68"/>
        <v>1679975622104.2173</v>
      </c>
      <c r="I474" s="53">
        <f t="shared" ca="1" si="69"/>
        <v>8249403944497.7012</v>
      </c>
      <c r="J474" s="53">
        <f t="shared" ca="1" si="70"/>
        <v>1130127220511.8655</v>
      </c>
      <c r="K474" s="54">
        <f t="shared" ca="1" si="71"/>
        <v>7.299535658260953</v>
      </c>
    </row>
    <row r="475" spans="2:11" ht="15" customHeight="1" x14ac:dyDescent="0.35">
      <c r="B475" s="5">
        <v>454</v>
      </c>
      <c r="C475" s="52">
        <f t="shared" ca="1" si="63"/>
        <v>2.6051781445762976</v>
      </c>
      <c r="D475" s="53">
        <f t="shared" ca="1" si="64"/>
        <v>1957762293.8987484</v>
      </c>
      <c r="E475" s="53">
        <f t="shared" ca="1" si="65"/>
        <v>15406465902796.078</v>
      </c>
      <c r="F475" s="53">
        <f t="shared" ca="1" si="66"/>
        <v>2380846983832.2114</v>
      </c>
      <c r="G475" s="53">
        <f t="shared" ca="1" si="67"/>
        <v>4068417680975.2939</v>
      </c>
      <c r="H475" s="53">
        <f t="shared" ca="1" si="68"/>
        <v>15406465902796.078</v>
      </c>
      <c r="I475" s="53">
        <f t="shared" ca="1" si="69"/>
        <v>179689206826.27649</v>
      </c>
      <c r="J475" s="53">
        <f t="shared" ca="1" si="70"/>
        <v>918809176542.61633</v>
      </c>
      <c r="K475" s="54">
        <f t="shared" ca="1" si="71"/>
        <v>0.19556749259125639</v>
      </c>
    </row>
    <row r="476" spans="2:11" ht="15" customHeight="1" x14ac:dyDescent="0.35">
      <c r="B476" s="5">
        <v>455</v>
      </c>
      <c r="C476" s="52">
        <f t="shared" ca="1" si="63"/>
        <v>3.0955512311566782</v>
      </c>
      <c r="D476" s="53">
        <f t="shared" ca="1" si="64"/>
        <v>5789649549.5591927</v>
      </c>
      <c r="E476" s="53">
        <f t="shared" ca="1" si="65"/>
        <v>8744096553372.0693</v>
      </c>
      <c r="F476" s="53">
        <f t="shared" ca="1" si="66"/>
        <v>2209065266361.2852</v>
      </c>
      <c r="G476" s="53">
        <f t="shared" ca="1" si="67"/>
        <v>7912402590143.9727</v>
      </c>
      <c r="H476" s="53">
        <f t="shared" ca="1" si="68"/>
        <v>7912402590143.9727</v>
      </c>
      <c r="I476" s="53">
        <f t="shared" ca="1" si="69"/>
        <v>2994308287206.7944</v>
      </c>
      <c r="J476" s="53">
        <f t="shared" ca="1" si="70"/>
        <v>667859987652.6842</v>
      </c>
      <c r="K476" s="54">
        <f t="shared" ca="1" si="71"/>
        <v>4.483437161329034</v>
      </c>
    </row>
    <row r="477" spans="2:11" ht="15" customHeight="1" x14ac:dyDescent="0.35">
      <c r="B477" s="5">
        <v>456</v>
      </c>
      <c r="C477" s="52">
        <f t="shared" ca="1" si="63"/>
        <v>3.1407934037424461</v>
      </c>
      <c r="D477" s="53">
        <f t="shared" ca="1" si="64"/>
        <v>6000614728.6049948</v>
      </c>
      <c r="E477" s="53">
        <f t="shared" ca="1" si="65"/>
        <v>15539553647821.904</v>
      </c>
      <c r="F477" s="53">
        <f t="shared" ca="1" si="66"/>
        <v>7844712882327.1963</v>
      </c>
      <c r="G477" s="53">
        <f t="shared" ca="1" si="67"/>
        <v>4914302973959.7598</v>
      </c>
      <c r="H477" s="53">
        <f t="shared" ca="1" si="68"/>
        <v>7844712882327.1963</v>
      </c>
      <c r="I477" s="53">
        <f t="shared" ca="1" si="69"/>
        <v>37123150178688.359</v>
      </c>
      <c r="J477" s="53">
        <f t="shared" ca="1" si="70"/>
        <v>1320361639360.8484</v>
      </c>
      <c r="K477" s="54">
        <f t="shared" ca="1" si="71"/>
        <v>28.115895730399043</v>
      </c>
    </row>
    <row r="478" spans="2:11" ht="15" customHeight="1" x14ac:dyDescent="0.35">
      <c r="B478" s="5">
        <v>457</v>
      </c>
      <c r="C478" s="52">
        <f t="shared" ca="1" si="63"/>
        <v>2.8221349252564099</v>
      </c>
      <c r="D478" s="53">
        <f t="shared" ca="1" si="64"/>
        <v>3492148178.4076581</v>
      </c>
      <c r="E478" s="53">
        <f t="shared" ca="1" si="65"/>
        <v>49190171821555.828</v>
      </c>
      <c r="F478" s="53">
        <f t="shared" ca="1" si="66"/>
        <v>1313954320410.1833</v>
      </c>
      <c r="G478" s="53">
        <f t="shared" ca="1" si="67"/>
        <v>11031749238864.176</v>
      </c>
      <c r="H478" s="53">
        <f t="shared" ca="1" si="68"/>
        <v>49190171821555.828</v>
      </c>
      <c r="I478" s="53">
        <f t="shared" ca="1" si="69"/>
        <v>21330238465339.313</v>
      </c>
      <c r="J478" s="53">
        <f t="shared" ca="1" si="70"/>
        <v>1429805336754.1448</v>
      </c>
      <c r="K478" s="54">
        <f t="shared" ca="1" si="71"/>
        <v>14.918281473030374</v>
      </c>
    </row>
    <row r="479" spans="2:11" ht="15" customHeight="1" x14ac:dyDescent="0.35">
      <c r="B479" s="5">
        <v>458</v>
      </c>
      <c r="C479" s="52">
        <f t="shared" ca="1" si="63"/>
        <v>2.1132345714969221</v>
      </c>
      <c r="D479" s="53">
        <f t="shared" ca="1" si="64"/>
        <v>839534201.20946765</v>
      </c>
      <c r="E479" s="53">
        <f t="shared" ca="1" si="65"/>
        <v>2097256221007.5354</v>
      </c>
      <c r="F479" s="53">
        <f t="shared" ca="1" si="66"/>
        <v>2468563651071.8276</v>
      </c>
      <c r="G479" s="53">
        <f t="shared" ca="1" si="67"/>
        <v>192339035577767.81</v>
      </c>
      <c r="H479" s="53">
        <f t="shared" ca="1" si="68"/>
        <v>2468563651071.8276</v>
      </c>
      <c r="I479" s="53">
        <f t="shared" ca="1" si="69"/>
        <v>418495452073.64667</v>
      </c>
      <c r="J479" s="53">
        <f t="shared" ca="1" si="70"/>
        <v>1221971788464.1775</v>
      </c>
      <c r="K479" s="54">
        <f t="shared" ca="1" si="71"/>
        <v>0.34247554323625451</v>
      </c>
    </row>
    <row r="480" spans="2:11" ht="15" customHeight="1" x14ac:dyDescent="0.35">
      <c r="B480" s="5">
        <v>459</v>
      </c>
      <c r="C480" s="52">
        <f t="shared" ca="1" si="63"/>
        <v>2.8111408655515859</v>
      </c>
      <c r="D480" s="53">
        <f t="shared" ca="1" si="64"/>
        <v>3802883540.5878386</v>
      </c>
      <c r="E480" s="53">
        <f t="shared" ca="1" si="65"/>
        <v>7631201467365.7402</v>
      </c>
      <c r="F480" s="53">
        <f t="shared" ca="1" si="66"/>
        <v>2819186987460.5474</v>
      </c>
      <c r="G480" s="53">
        <f t="shared" ca="1" si="67"/>
        <v>1038393405901.7651</v>
      </c>
      <c r="H480" s="53">
        <f t="shared" ca="1" si="68"/>
        <v>2819186987460.5474</v>
      </c>
      <c r="I480" s="53">
        <f t="shared" ca="1" si="69"/>
        <v>7544553204646.041</v>
      </c>
      <c r="J480" s="53">
        <f t="shared" ca="1" si="70"/>
        <v>1176733382726.6484</v>
      </c>
      <c r="K480" s="54">
        <f t="shared" ca="1" si="71"/>
        <v>6.4114380669343323</v>
      </c>
    </row>
    <row r="481" spans="2:11" ht="15" customHeight="1" x14ac:dyDescent="0.35">
      <c r="B481" s="5">
        <v>460</v>
      </c>
      <c r="C481" s="52">
        <f t="shared" ca="1" si="63"/>
        <v>3.2226826729605689</v>
      </c>
      <c r="D481" s="53">
        <f t="shared" ca="1" si="64"/>
        <v>7737238248.7218647</v>
      </c>
      <c r="E481" s="53">
        <f t="shared" ca="1" si="65"/>
        <v>104746561077279.66</v>
      </c>
      <c r="F481" s="53">
        <f t="shared" ca="1" si="66"/>
        <v>725281131075.98694</v>
      </c>
      <c r="G481" s="53">
        <f t="shared" ca="1" si="67"/>
        <v>62926123403146.586</v>
      </c>
      <c r="H481" s="53">
        <f t="shared" ca="1" si="68"/>
        <v>62926123403146.586</v>
      </c>
      <c r="I481" s="53">
        <f t="shared" ca="1" si="69"/>
        <v>17802662882956.191</v>
      </c>
      <c r="J481" s="53">
        <f t="shared" ca="1" si="70"/>
        <v>665060753397.17981</v>
      </c>
      <c r="K481" s="54">
        <f t="shared" ca="1" si="71"/>
        <v>26.768476100895843</v>
      </c>
    </row>
    <row r="482" spans="2:11" ht="15" customHeight="1" x14ac:dyDescent="0.35">
      <c r="B482" s="5">
        <v>461</v>
      </c>
      <c r="C482" s="52">
        <f t="shared" ca="1" si="63"/>
        <v>2.6582550411477359</v>
      </c>
      <c r="D482" s="53">
        <f t="shared" ca="1" si="64"/>
        <v>2748303148.072938</v>
      </c>
      <c r="E482" s="53">
        <f t="shared" ca="1" si="65"/>
        <v>14881620503978.109</v>
      </c>
      <c r="F482" s="53">
        <f t="shared" ca="1" si="66"/>
        <v>2299301640171.3169</v>
      </c>
      <c r="G482" s="53">
        <f t="shared" ca="1" si="67"/>
        <v>1626696634158.4717</v>
      </c>
      <c r="H482" s="53">
        <f t="shared" ca="1" si="68"/>
        <v>14881620503978.109</v>
      </c>
      <c r="I482" s="53">
        <f t="shared" ca="1" si="69"/>
        <v>11052218074184.809</v>
      </c>
      <c r="J482" s="53">
        <f t="shared" ca="1" si="70"/>
        <v>608139939950.61865</v>
      </c>
      <c r="K482" s="54">
        <f t="shared" ca="1" si="71"/>
        <v>18.173807290279694</v>
      </c>
    </row>
    <row r="483" spans="2:11" ht="15" customHeight="1" x14ac:dyDescent="0.35">
      <c r="B483" s="5">
        <v>462</v>
      </c>
      <c r="C483" s="52">
        <f t="shared" ca="1" si="63"/>
        <v>3.769988838345502</v>
      </c>
      <c r="D483" s="53">
        <f t="shared" ca="1" si="64"/>
        <v>13787095174.892872</v>
      </c>
      <c r="E483" s="53">
        <f t="shared" ca="1" si="65"/>
        <v>51125472527724.914</v>
      </c>
      <c r="F483" s="53">
        <f t="shared" ca="1" si="66"/>
        <v>6703308234413.1318</v>
      </c>
      <c r="G483" s="53">
        <f t="shared" ca="1" si="67"/>
        <v>5280214805282.6895</v>
      </c>
      <c r="H483" s="53">
        <f t="shared" ca="1" si="68"/>
        <v>5280214805282.6895</v>
      </c>
      <c r="I483" s="53">
        <f t="shared" ca="1" si="69"/>
        <v>280746909245877.25</v>
      </c>
      <c r="J483" s="53">
        <f t="shared" ca="1" si="70"/>
        <v>600250815951.83594</v>
      </c>
      <c r="K483" s="54">
        <f t="shared" ca="1" si="71"/>
        <v>467.71599768788047</v>
      </c>
    </row>
    <row r="484" spans="2:11" ht="15" customHeight="1" x14ac:dyDescent="0.35">
      <c r="B484" s="5">
        <v>463</v>
      </c>
      <c r="C484" s="52">
        <f t="shared" ca="1" si="63"/>
        <v>2.6189486567322353</v>
      </c>
      <c r="D484" s="53">
        <f t="shared" ca="1" si="64"/>
        <v>2705850012.3467851</v>
      </c>
      <c r="E484" s="53">
        <f t="shared" ca="1" si="65"/>
        <v>14859637146151.727</v>
      </c>
      <c r="F484" s="53">
        <f t="shared" ca="1" si="66"/>
        <v>2316554749960.415</v>
      </c>
      <c r="G484" s="53">
        <f t="shared" ca="1" si="67"/>
        <v>5369175612261.2734</v>
      </c>
      <c r="H484" s="53">
        <f t="shared" ca="1" si="68"/>
        <v>14859637146151.727</v>
      </c>
      <c r="I484" s="53">
        <f t="shared" ca="1" si="69"/>
        <v>4637203089427.2666</v>
      </c>
      <c r="J484" s="53">
        <f t="shared" ca="1" si="70"/>
        <v>873063958211.46289</v>
      </c>
      <c r="K484" s="54">
        <f t="shared" ca="1" si="71"/>
        <v>5.3114128075186215</v>
      </c>
    </row>
    <row r="485" spans="2:11" ht="15" customHeight="1" x14ac:dyDescent="0.35">
      <c r="B485" s="5">
        <v>464</v>
      </c>
      <c r="C485" s="52">
        <f t="shared" ca="1" si="63"/>
        <v>3.8726482668147173</v>
      </c>
      <c r="D485" s="53">
        <f t="shared" ca="1" si="64"/>
        <v>15250762556.052942</v>
      </c>
      <c r="E485" s="53">
        <f t="shared" ca="1" si="65"/>
        <v>81609215222951.75</v>
      </c>
      <c r="F485" s="53">
        <f t="shared" ca="1" si="66"/>
        <v>2291705583252.5562</v>
      </c>
      <c r="G485" s="53">
        <f t="shared" ca="1" si="67"/>
        <v>1509861964700.9734</v>
      </c>
      <c r="H485" s="53">
        <f t="shared" ca="1" si="68"/>
        <v>81609215222951.75</v>
      </c>
      <c r="I485" s="53">
        <f t="shared" ca="1" si="69"/>
        <v>41150752549353.422</v>
      </c>
      <c r="J485" s="53">
        <f t="shared" ca="1" si="70"/>
        <v>1377302490039.8555</v>
      </c>
      <c r="K485" s="54">
        <f t="shared" ca="1" si="71"/>
        <v>29.877788537333313</v>
      </c>
    </row>
    <row r="486" spans="2:11" ht="15" customHeight="1" x14ac:dyDescent="0.35">
      <c r="B486" s="5">
        <v>465</v>
      </c>
      <c r="C486" s="52">
        <f t="shared" ca="1" si="63"/>
        <v>2.7578363486219732</v>
      </c>
      <c r="D486" s="53">
        <f t="shared" ca="1" si="64"/>
        <v>3260326090.8292503</v>
      </c>
      <c r="E486" s="53">
        <f t="shared" ca="1" si="65"/>
        <v>14834065352014.199</v>
      </c>
      <c r="F486" s="53">
        <f t="shared" ca="1" si="66"/>
        <v>8376508770760.7432</v>
      </c>
      <c r="G486" s="53">
        <f t="shared" ca="1" si="67"/>
        <v>71136429247618.75</v>
      </c>
      <c r="H486" s="53">
        <f t="shared" ca="1" si="68"/>
        <v>8376508770760.7432</v>
      </c>
      <c r="I486" s="53">
        <f t="shared" ca="1" si="69"/>
        <v>3650385066916.9072</v>
      </c>
      <c r="J486" s="53">
        <f t="shared" ca="1" si="70"/>
        <v>1029838820403.7256</v>
      </c>
      <c r="K486" s="54">
        <f t="shared" ca="1" si="71"/>
        <v>3.5446178514477191</v>
      </c>
    </row>
    <row r="487" spans="2:11" ht="15" customHeight="1" x14ac:dyDescent="0.35">
      <c r="B487" s="5">
        <v>466</v>
      </c>
      <c r="C487" s="52">
        <f t="shared" ca="1" si="63"/>
        <v>2.8825275678893574</v>
      </c>
      <c r="D487" s="53">
        <f t="shared" ca="1" si="64"/>
        <v>3272935541.4686542</v>
      </c>
      <c r="E487" s="53">
        <f t="shared" ca="1" si="65"/>
        <v>6924584411955.1123</v>
      </c>
      <c r="F487" s="53">
        <f t="shared" ca="1" si="66"/>
        <v>2547552848677.1465</v>
      </c>
      <c r="G487" s="53">
        <f t="shared" ca="1" si="67"/>
        <v>20385305896187.59</v>
      </c>
      <c r="H487" s="53">
        <f t="shared" ca="1" si="68"/>
        <v>20385305896187.59</v>
      </c>
      <c r="I487" s="53">
        <f t="shared" ca="1" si="69"/>
        <v>21699842694363.027</v>
      </c>
      <c r="J487" s="53">
        <f t="shared" ca="1" si="70"/>
        <v>532637214660.69659</v>
      </c>
      <c r="K487" s="54">
        <f t="shared" ca="1" si="71"/>
        <v>40.740380313430364</v>
      </c>
    </row>
    <row r="488" spans="2:11" ht="15" customHeight="1" x14ac:dyDescent="0.35">
      <c r="B488" s="5">
        <v>467</v>
      </c>
      <c r="C488" s="52">
        <f t="shared" ca="1" si="63"/>
        <v>3.7966653734563849</v>
      </c>
      <c r="D488" s="53">
        <f t="shared" ca="1" si="64"/>
        <v>16972394060.872416</v>
      </c>
      <c r="E488" s="53">
        <f t="shared" ca="1" si="65"/>
        <v>101849755883874.31</v>
      </c>
      <c r="F488" s="53">
        <f t="shared" ca="1" si="66"/>
        <v>3992031121927.0088</v>
      </c>
      <c r="G488" s="53">
        <f t="shared" ca="1" si="67"/>
        <v>17280549157004.156</v>
      </c>
      <c r="H488" s="53">
        <f t="shared" ca="1" si="68"/>
        <v>101849755883874.31</v>
      </c>
      <c r="I488" s="53">
        <f t="shared" ca="1" si="69"/>
        <v>12447523182396.957</v>
      </c>
      <c r="J488" s="53">
        <f t="shared" ca="1" si="70"/>
        <v>1233332472740.3059</v>
      </c>
      <c r="K488" s="54">
        <f t="shared" ca="1" si="71"/>
        <v>10.092593406496599</v>
      </c>
    </row>
    <row r="489" spans="2:11" ht="15" customHeight="1" x14ac:dyDescent="0.35">
      <c r="B489" s="5">
        <v>468</v>
      </c>
      <c r="C489" s="52">
        <f t="shared" ca="1" si="63"/>
        <v>4.1377972158299636</v>
      </c>
      <c r="D489" s="53">
        <f t="shared" ca="1" si="64"/>
        <v>20179941058.126221</v>
      </c>
      <c r="E489" s="53">
        <f t="shared" ca="1" si="65"/>
        <v>129294034335968.44</v>
      </c>
      <c r="F489" s="53">
        <f t="shared" ca="1" si="66"/>
        <v>3254831724194.3022</v>
      </c>
      <c r="G489" s="53">
        <f t="shared" ca="1" si="67"/>
        <v>1991654827217.6396</v>
      </c>
      <c r="H489" s="53">
        <f t="shared" ca="1" si="68"/>
        <v>1991654827217.6396</v>
      </c>
      <c r="I489" s="53">
        <f t="shared" ca="1" si="69"/>
        <v>9415490507601.5723</v>
      </c>
      <c r="J489" s="53">
        <f t="shared" ca="1" si="70"/>
        <v>568124148595.15771</v>
      </c>
      <c r="K489" s="54">
        <f t="shared" ca="1" si="71"/>
        <v>16.572945422024301</v>
      </c>
    </row>
    <row r="490" spans="2:11" ht="15" customHeight="1" x14ac:dyDescent="0.35">
      <c r="B490" s="5">
        <v>469</v>
      </c>
      <c r="C490" s="52">
        <f t="shared" ca="1" si="63"/>
        <v>3.4188729003239451</v>
      </c>
      <c r="D490" s="53">
        <f t="shared" ca="1" si="64"/>
        <v>10256020849.586493</v>
      </c>
      <c r="E490" s="53">
        <f t="shared" ca="1" si="65"/>
        <v>26235639946318.922</v>
      </c>
      <c r="F490" s="53">
        <f t="shared" ca="1" si="66"/>
        <v>41150388232715.945</v>
      </c>
      <c r="G490" s="53">
        <f t="shared" ca="1" si="67"/>
        <v>1018715529155.2773</v>
      </c>
      <c r="H490" s="53">
        <f t="shared" ca="1" si="68"/>
        <v>26235639946318.922</v>
      </c>
      <c r="I490" s="53">
        <f t="shared" ca="1" si="69"/>
        <v>45794007477638.102</v>
      </c>
      <c r="J490" s="53">
        <f t="shared" ca="1" si="70"/>
        <v>661189710798.41943</v>
      </c>
      <c r="K490" s="54">
        <f t="shared" ca="1" si="71"/>
        <v>69.260012262349875</v>
      </c>
    </row>
    <row r="491" spans="2:11" ht="15" customHeight="1" x14ac:dyDescent="0.35">
      <c r="B491" s="5">
        <v>470</v>
      </c>
      <c r="C491" s="52">
        <f t="shared" ca="1" si="63"/>
        <v>2.2539738212088567</v>
      </c>
      <c r="D491" s="53">
        <f t="shared" ca="1" si="64"/>
        <v>1208382580.1135426</v>
      </c>
      <c r="E491" s="53">
        <f t="shared" ca="1" si="65"/>
        <v>3418798737319.7847</v>
      </c>
      <c r="F491" s="53">
        <f t="shared" ca="1" si="66"/>
        <v>1202405240788.4668</v>
      </c>
      <c r="G491" s="53">
        <f t="shared" ca="1" si="67"/>
        <v>11816661441830.902</v>
      </c>
      <c r="H491" s="53">
        <f t="shared" ca="1" si="68"/>
        <v>11816661441830.902</v>
      </c>
      <c r="I491" s="53">
        <f t="shared" ca="1" si="69"/>
        <v>1481219129535.3584</v>
      </c>
      <c r="J491" s="53">
        <f t="shared" ca="1" si="70"/>
        <v>745429409278.41296</v>
      </c>
      <c r="K491" s="54">
        <f t="shared" ca="1" si="71"/>
        <v>1.9870682738010044</v>
      </c>
    </row>
    <row r="492" spans="2:11" ht="15" customHeight="1" x14ac:dyDescent="0.35">
      <c r="B492" s="5">
        <v>471</v>
      </c>
      <c r="C492" s="52">
        <f t="shared" ca="1" si="63"/>
        <v>3.739121141789012</v>
      </c>
      <c r="D492" s="53">
        <f t="shared" ca="1" si="64"/>
        <v>12017430975.529009</v>
      </c>
      <c r="E492" s="53">
        <f t="shared" ca="1" si="65"/>
        <v>117221263694334.89</v>
      </c>
      <c r="F492" s="53">
        <f t="shared" ca="1" si="66"/>
        <v>1281833672233.1479</v>
      </c>
      <c r="G492" s="53">
        <f t="shared" ca="1" si="67"/>
        <v>7321778587254.5049</v>
      </c>
      <c r="H492" s="53">
        <f t="shared" ca="1" si="68"/>
        <v>7321778587254.5049</v>
      </c>
      <c r="I492" s="53">
        <f t="shared" ca="1" si="69"/>
        <v>6303356605015.8008</v>
      </c>
      <c r="J492" s="53">
        <f t="shared" ca="1" si="70"/>
        <v>1245624068258.1079</v>
      </c>
      <c r="K492" s="54">
        <f t="shared" ca="1" si="71"/>
        <v>5.0604004576039321</v>
      </c>
    </row>
    <row r="493" spans="2:11" ht="15" customHeight="1" x14ac:dyDescent="0.35">
      <c r="B493" s="5">
        <v>472</v>
      </c>
      <c r="C493" s="52">
        <f t="shared" ca="1" si="63"/>
        <v>3.1569300104504725</v>
      </c>
      <c r="D493" s="53">
        <f t="shared" ca="1" si="64"/>
        <v>6146971582.245738</v>
      </c>
      <c r="E493" s="53">
        <f t="shared" ca="1" si="65"/>
        <v>9850566576923.2891</v>
      </c>
      <c r="F493" s="53">
        <f t="shared" ca="1" si="66"/>
        <v>7565005793377.0645</v>
      </c>
      <c r="G493" s="53">
        <f t="shared" ca="1" si="67"/>
        <v>16294644107141.613</v>
      </c>
      <c r="H493" s="53">
        <f t="shared" ca="1" si="68"/>
        <v>16294644107141.613</v>
      </c>
      <c r="I493" s="53">
        <f t="shared" ca="1" si="69"/>
        <v>3815377516302.1948</v>
      </c>
      <c r="J493" s="53">
        <f t="shared" ca="1" si="70"/>
        <v>807900294885.5769</v>
      </c>
      <c r="K493" s="54">
        <f t="shared" ca="1" si="71"/>
        <v>4.7225846313653932</v>
      </c>
    </row>
    <row r="494" spans="2:11" ht="15" customHeight="1" x14ac:dyDescent="0.35">
      <c r="B494" s="5">
        <v>473</v>
      </c>
      <c r="C494" s="52">
        <f t="shared" ca="1" si="63"/>
        <v>2.2906034863116282</v>
      </c>
      <c r="D494" s="53">
        <f t="shared" ca="1" si="64"/>
        <v>1112414253.5274665</v>
      </c>
      <c r="E494" s="53">
        <f t="shared" ca="1" si="65"/>
        <v>6292846195881.2393</v>
      </c>
      <c r="F494" s="53">
        <f t="shared" ca="1" si="66"/>
        <v>2117949942047.9797</v>
      </c>
      <c r="G494" s="53">
        <f t="shared" ca="1" si="67"/>
        <v>8054695631757.1738</v>
      </c>
      <c r="H494" s="53">
        <f t="shared" ca="1" si="68"/>
        <v>8054695631757.1738</v>
      </c>
      <c r="I494" s="53">
        <f t="shared" ca="1" si="69"/>
        <v>1590068337850.3713</v>
      </c>
      <c r="J494" s="53">
        <f t="shared" ca="1" si="70"/>
        <v>1894103860073.4751</v>
      </c>
      <c r="K494" s="54">
        <f t="shared" ca="1" si="71"/>
        <v>0.83948318324460314</v>
      </c>
    </row>
    <row r="495" spans="2:11" ht="15" customHeight="1" x14ac:dyDescent="0.35">
      <c r="B495" s="5">
        <v>474</v>
      </c>
      <c r="C495" s="52">
        <f t="shared" ca="1" si="63"/>
        <v>2.780996250002628</v>
      </c>
      <c r="D495" s="53">
        <f t="shared" ca="1" si="64"/>
        <v>3089533784.344883</v>
      </c>
      <c r="E495" s="53">
        <f t="shared" ca="1" si="65"/>
        <v>8468433997169.3926</v>
      </c>
      <c r="F495" s="53">
        <f t="shared" ca="1" si="66"/>
        <v>1328244856352.6064</v>
      </c>
      <c r="G495" s="53">
        <f t="shared" ca="1" si="67"/>
        <v>4776001008418.5986</v>
      </c>
      <c r="H495" s="53">
        <f t="shared" ca="1" si="68"/>
        <v>8468433997169.3926</v>
      </c>
      <c r="I495" s="53">
        <f t="shared" ca="1" si="69"/>
        <v>2843537828078.3066</v>
      </c>
      <c r="J495" s="53">
        <f t="shared" ca="1" si="70"/>
        <v>1014606795084.3322</v>
      </c>
      <c r="K495" s="54">
        <f t="shared" ca="1" si="71"/>
        <v>2.8026008123097159</v>
      </c>
    </row>
    <row r="496" spans="2:11" ht="15" customHeight="1" x14ac:dyDescent="0.35">
      <c r="B496" s="5">
        <v>475</v>
      </c>
      <c r="C496" s="52">
        <f t="shared" ca="1" si="63"/>
        <v>3.68573629606139</v>
      </c>
      <c r="D496" s="53">
        <f t="shared" ca="1" si="64"/>
        <v>15715204650.918623</v>
      </c>
      <c r="E496" s="53">
        <f t="shared" ca="1" si="65"/>
        <v>32175147164527.703</v>
      </c>
      <c r="F496" s="53">
        <f t="shared" ca="1" si="66"/>
        <v>2179130369949.312</v>
      </c>
      <c r="G496" s="53">
        <f t="shared" ca="1" si="67"/>
        <v>35373491036094.383</v>
      </c>
      <c r="H496" s="53">
        <f t="shared" ca="1" si="68"/>
        <v>2179130369949.312</v>
      </c>
      <c r="I496" s="53">
        <f t="shared" ca="1" si="69"/>
        <v>81906773287172.172</v>
      </c>
      <c r="J496" s="53">
        <f t="shared" ca="1" si="70"/>
        <v>1064194647831.2965</v>
      </c>
      <c r="K496" s="54">
        <f t="shared" ca="1" si="71"/>
        <v>76.965969951163103</v>
      </c>
    </row>
    <row r="497" spans="2:11" ht="15" customHeight="1" x14ac:dyDescent="0.35">
      <c r="B497" s="5">
        <v>476</v>
      </c>
      <c r="C497" s="52">
        <f t="shared" ca="1" si="63"/>
        <v>3.1424328232458838</v>
      </c>
      <c r="D497" s="53">
        <f t="shared" ca="1" si="64"/>
        <v>5343848728.1296453</v>
      </c>
      <c r="E497" s="53">
        <f t="shared" ca="1" si="65"/>
        <v>60440538437639.656</v>
      </c>
      <c r="F497" s="53">
        <f t="shared" ca="1" si="66"/>
        <v>2105737350903.2993</v>
      </c>
      <c r="G497" s="53">
        <f t="shared" ca="1" si="67"/>
        <v>17573882221567.563</v>
      </c>
      <c r="H497" s="53">
        <f t="shared" ca="1" si="68"/>
        <v>2105737350903.2993</v>
      </c>
      <c r="I497" s="53">
        <f t="shared" ca="1" si="69"/>
        <v>27597061540421.148</v>
      </c>
      <c r="J497" s="53">
        <f t="shared" ca="1" si="70"/>
        <v>534269440958.93365</v>
      </c>
      <c r="K497" s="54">
        <f t="shared" ca="1" si="71"/>
        <v>51.653827497392619</v>
      </c>
    </row>
    <row r="498" spans="2:11" ht="15" customHeight="1" x14ac:dyDescent="0.35">
      <c r="B498" s="5">
        <v>477</v>
      </c>
      <c r="C498" s="52">
        <f t="shared" ca="1" si="63"/>
        <v>2.8227537191283738</v>
      </c>
      <c r="D498" s="53">
        <f t="shared" ca="1" si="64"/>
        <v>3512828147.1599259</v>
      </c>
      <c r="E498" s="53">
        <f t="shared" ca="1" si="65"/>
        <v>17243266082609.998</v>
      </c>
      <c r="F498" s="53">
        <f t="shared" ca="1" si="66"/>
        <v>1977827843541.0723</v>
      </c>
      <c r="G498" s="53">
        <f t="shared" ca="1" si="67"/>
        <v>9164354346487.8984</v>
      </c>
      <c r="H498" s="53">
        <f t="shared" ca="1" si="68"/>
        <v>1977827843541.0723</v>
      </c>
      <c r="I498" s="53">
        <f t="shared" ca="1" si="69"/>
        <v>2959771667042.7847</v>
      </c>
      <c r="J498" s="53">
        <f t="shared" ca="1" si="70"/>
        <v>865825771891.59229</v>
      </c>
      <c r="K498" s="54">
        <f t="shared" ca="1" si="71"/>
        <v>3.4184379388205248</v>
      </c>
    </row>
    <row r="499" spans="2:11" ht="15" customHeight="1" x14ac:dyDescent="0.35">
      <c r="B499" s="5">
        <v>478</v>
      </c>
      <c r="C499" s="52">
        <f t="shared" ca="1" si="63"/>
        <v>2.5316330894269892</v>
      </c>
      <c r="D499" s="53">
        <f t="shared" ca="1" si="64"/>
        <v>2321178112.7427049</v>
      </c>
      <c r="E499" s="53">
        <f t="shared" ca="1" si="65"/>
        <v>8163993049131.4316</v>
      </c>
      <c r="F499" s="53">
        <f t="shared" ca="1" si="66"/>
        <v>4603838048462.1709</v>
      </c>
      <c r="G499" s="53">
        <f t="shared" ca="1" si="67"/>
        <v>1817018084705.7493</v>
      </c>
      <c r="H499" s="53">
        <f t="shared" ca="1" si="68"/>
        <v>4603838048462.1709</v>
      </c>
      <c r="I499" s="53">
        <f t="shared" ca="1" si="69"/>
        <v>301155097849413.69</v>
      </c>
      <c r="J499" s="53">
        <f t="shared" ca="1" si="70"/>
        <v>1210643833328.9375</v>
      </c>
      <c r="K499" s="54">
        <f t="shared" ca="1" si="71"/>
        <v>248.75614904948551</v>
      </c>
    </row>
    <row r="500" spans="2:11" ht="15" customHeight="1" x14ac:dyDescent="0.35">
      <c r="B500" s="5">
        <v>479</v>
      </c>
      <c r="C500" s="52">
        <f t="shared" ca="1" si="63"/>
        <v>2.7380202857302294</v>
      </c>
      <c r="D500" s="53">
        <f t="shared" ca="1" si="64"/>
        <v>3115800449.0249481</v>
      </c>
      <c r="E500" s="53">
        <f t="shared" ca="1" si="65"/>
        <v>9805863471387.9668</v>
      </c>
      <c r="F500" s="53">
        <f t="shared" ca="1" si="66"/>
        <v>875848698564.60242</v>
      </c>
      <c r="G500" s="53">
        <f t="shared" ca="1" si="67"/>
        <v>422329921372.72766</v>
      </c>
      <c r="H500" s="53">
        <f t="shared" ca="1" si="68"/>
        <v>9805863471387.9668</v>
      </c>
      <c r="I500" s="53">
        <f t="shared" ca="1" si="69"/>
        <v>8753316611710.4043</v>
      </c>
      <c r="J500" s="53">
        <f t="shared" ca="1" si="70"/>
        <v>762278612865.81677</v>
      </c>
      <c r="K500" s="54">
        <f t="shared" ca="1" si="71"/>
        <v>11.483093535580071</v>
      </c>
    </row>
    <row r="501" spans="2:11" ht="15" customHeight="1" x14ac:dyDescent="0.35">
      <c r="B501" s="5">
        <v>480</v>
      </c>
      <c r="C501" s="52">
        <f t="shared" ca="1" si="63"/>
        <v>3.138479044257859</v>
      </c>
      <c r="D501" s="53">
        <f t="shared" ca="1" si="64"/>
        <v>6961781367.0544472</v>
      </c>
      <c r="E501" s="53">
        <f t="shared" ca="1" si="65"/>
        <v>14678485289891.084</v>
      </c>
      <c r="F501" s="53">
        <f t="shared" ca="1" si="66"/>
        <v>1750044687094.9165</v>
      </c>
      <c r="G501" s="53">
        <f t="shared" ca="1" si="67"/>
        <v>3575752981515.8989</v>
      </c>
      <c r="H501" s="53">
        <f t="shared" ca="1" si="68"/>
        <v>1750044687094.9165</v>
      </c>
      <c r="I501" s="53">
        <f t="shared" ca="1" si="69"/>
        <v>105083057126924.45</v>
      </c>
      <c r="J501" s="53">
        <f t="shared" ca="1" si="70"/>
        <v>744765813547.81812</v>
      </c>
      <c r="K501" s="54">
        <f t="shared" ca="1" si="71"/>
        <v>141.09543592816581</v>
      </c>
    </row>
    <row r="502" spans="2:11" ht="15" customHeight="1" x14ac:dyDescent="0.35">
      <c r="B502" s="5">
        <v>481</v>
      </c>
      <c r="C502" s="52">
        <f t="shared" ca="1" si="63"/>
        <v>2.7075040112356543</v>
      </c>
      <c r="D502" s="53">
        <f t="shared" ca="1" si="64"/>
        <v>2801945127.7793264</v>
      </c>
      <c r="E502" s="53">
        <f t="shared" ca="1" si="65"/>
        <v>3661350160832.5093</v>
      </c>
      <c r="F502" s="53">
        <f t="shared" ca="1" si="66"/>
        <v>2634941489633.6411</v>
      </c>
      <c r="G502" s="53">
        <f t="shared" ca="1" si="67"/>
        <v>1638802066756.9097</v>
      </c>
      <c r="H502" s="53">
        <f t="shared" ca="1" si="68"/>
        <v>3661350160832.5093</v>
      </c>
      <c r="I502" s="53">
        <f t="shared" ca="1" si="69"/>
        <v>36469698199481.047</v>
      </c>
      <c r="J502" s="53">
        <f t="shared" ca="1" si="70"/>
        <v>678726017006.11438</v>
      </c>
      <c r="K502" s="54">
        <f t="shared" ca="1" si="71"/>
        <v>53.732577337097283</v>
      </c>
    </row>
    <row r="503" spans="2:11" ht="15" customHeight="1" x14ac:dyDescent="0.35">
      <c r="B503" s="5">
        <v>482</v>
      </c>
      <c r="C503" s="52">
        <f t="shared" ca="1" si="63"/>
        <v>2.8998011972176023</v>
      </c>
      <c r="D503" s="53">
        <f t="shared" ca="1" si="64"/>
        <v>4724498844.6621141</v>
      </c>
      <c r="E503" s="53">
        <f t="shared" ca="1" si="65"/>
        <v>2920743909423.3887</v>
      </c>
      <c r="F503" s="53">
        <f t="shared" ca="1" si="66"/>
        <v>8230800761034.3164</v>
      </c>
      <c r="G503" s="53">
        <f t="shared" ca="1" si="67"/>
        <v>25384761887959.102</v>
      </c>
      <c r="H503" s="53">
        <f t="shared" ca="1" si="68"/>
        <v>25384761887959.102</v>
      </c>
      <c r="I503" s="53">
        <f t="shared" ca="1" si="69"/>
        <v>4833637226891.7061</v>
      </c>
      <c r="J503" s="53">
        <f t="shared" ca="1" si="70"/>
        <v>866055497603.72009</v>
      </c>
      <c r="K503" s="54">
        <f t="shared" ca="1" si="71"/>
        <v>5.5812095648210152</v>
      </c>
    </row>
    <row r="504" spans="2:11" ht="15" customHeight="1" x14ac:dyDescent="0.35">
      <c r="B504" s="5">
        <v>483</v>
      </c>
      <c r="C504" s="52">
        <f t="shared" ca="1" si="63"/>
        <v>2.6336030967186139</v>
      </c>
      <c r="D504" s="53">
        <f t="shared" ca="1" si="64"/>
        <v>2982060064.444921</v>
      </c>
      <c r="E504" s="53">
        <f t="shared" ca="1" si="65"/>
        <v>4751671110001.1104</v>
      </c>
      <c r="F504" s="53">
        <f t="shared" ca="1" si="66"/>
        <v>843754628503.24768</v>
      </c>
      <c r="G504" s="53">
        <f t="shared" ca="1" si="67"/>
        <v>15871402913266.68</v>
      </c>
      <c r="H504" s="53">
        <f t="shared" ca="1" si="68"/>
        <v>15871402913266.68</v>
      </c>
      <c r="I504" s="53">
        <f t="shared" ca="1" si="69"/>
        <v>9249470739650.8828</v>
      </c>
      <c r="J504" s="53">
        <f t="shared" ca="1" si="70"/>
        <v>664620021501.5127</v>
      </c>
      <c r="K504" s="54">
        <f t="shared" ca="1" si="71"/>
        <v>13.916930637681414</v>
      </c>
    </row>
    <row r="505" spans="2:11" ht="15" customHeight="1" x14ac:dyDescent="0.35">
      <c r="B505" s="5">
        <v>484</v>
      </c>
      <c r="C505" s="52">
        <f t="shared" ca="1" si="63"/>
        <v>2.7517424917481144</v>
      </c>
      <c r="D505" s="53">
        <f t="shared" ca="1" si="64"/>
        <v>3725189946.0242929</v>
      </c>
      <c r="E505" s="53">
        <f t="shared" ca="1" si="65"/>
        <v>6066094009168.8525</v>
      </c>
      <c r="F505" s="53">
        <f t="shared" ca="1" si="66"/>
        <v>819372739076.6676</v>
      </c>
      <c r="G505" s="53">
        <f t="shared" ca="1" si="67"/>
        <v>5567402635634.3008</v>
      </c>
      <c r="H505" s="53">
        <f t="shared" ca="1" si="68"/>
        <v>6066094009168.8525</v>
      </c>
      <c r="I505" s="53">
        <f t="shared" ca="1" si="69"/>
        <v>14372457264040.693</v>
      </c>
      <c r="J505" s="53">
        <f t="shared" ca="1" si="70"/>
        <v>704561638652.91772</v>
      </c>
      <c r="K505" s="54">
        <f t="shared" ca="1" si="71"/>
        <v>20.399148173210261</v>
      </c>
    </row>
    <row r="506" spans="2:11" ht="15" customHeight="1" x14ac:dyDescent="0.35">
      <c r="B506" s="5">
        <v>485</v>
      </c>
      <c r="C506" s="52">
        <f t="shared" ca="1" si="63"/>
        <v>3.4449767925791823</v>
      </c>
      <c r="D506" s="53">
        <f t="shared" ca="1" si="64"/>
        <v>11321557175.599691</v>
      </c>
      <c r="E506" s="53">
        <f t="shared" ca="1" si="65"/>
        <v>38558757784702.148</v>
      </c>
      <c r="F506" s="53">
        <f t="shared" ca="1" si="66"/>
        <v>1136510351322.4075</v>
      </c>
      <c r="G506" s="53">
        <f t="shared" ca="1" si="67"/>
        <v>1398721433157.3086</v>
      </c>
      <c r="H506" s="53">
        <f t="shared" ca="1" si="68"/>
        <v>38558757784702.148</v>
      </c>
      <c r="I506" s="53">
        <f t="shared" ca="1" si="69"/>
        <v>1031559711913.8032</v>
      </c>
      <c r="J506" s="53">
        <f t="shared" ca="1" si="70"/>
        <v>586412244082.08521</v>
      </c>
      <c r="K506" s="54">
        <f t="shared" ca="1" si="71"/>
        <v>1.7591032969110496</v>
      </c>
    </row>
    <row r="507" spans="2:11" ht="15" customHeight="1" x14ac:dyDescent="0.35">
      <c r="B507" s="5">
        <v>486</v>
      </c>
      <c r="C507" s="52">
        <f t="shared" ca="1" si="63"/>
        <v>3.5330873637080629</v>
      </c>
      <c r="D507" s="53">
        <f t="shared" ca="1" si="64"/>
        <v>10536313811.843212</v>
      </c>
      <c r="E507" s="53">
        <f t="shared" ca="1" si="65"/>
        <v>66935303484124.547</v>
      </c>
      <c r="F507" s="53">
        <f t="shared" ca="1" si="66"/>
        <v>5253224874592.0996</v>
      </c>
      <c r="G507" s="53">
        <f t="shared" ca="1" si="67"/>
        <v>1021623871971.5535</v>
      </c>
      <c r="H507" s="53">
        <f t="shared" ca="1" si="68"/>
        <v>5253224874592.0996</v>
      </c>
      <c r="I507" s="53">
        <f t="shared" ca="1" si="69"/>
        <v>5608384601795.9316</v>
      </c>
      <c r="J507" s="53">
        <f t="shared" ca="1" si="70"/>
        <v>1569779421437.5376</v>
      </c>
      <c r="K507" s="54">
        <f t="shared" ca="1" si="71"/>
        <v>3.5727214443033088</v>
      </c>
    </row>
    <row r="508" spans="2:11" ht="15" customHeight="1" x14ac:dyDescent="0.35">
      <c r="B508" s="5">
        <v>487</v>
      </c>
      <c r="C508" s="52">
        <f t="shared" ca="1" si="63"/>
        <v>1.948495150548456</v>
      </c>
      <c r="D508" s="53">
        <f t="shared" ca="1" si="64"/>
        <v>509995798.5289613</v>
      </c>
      <c r="E508" s="53">
        <f t="shared" ca="1" si="65"/>
        <v>718021709038.69019</v>
      </c>
      <c r="F508" s="53">
        <f t="shared" ca="1" si="66"/>
        <v>28902647480219.496</v>
      </c>
      <c r="G508" s="53">
        <f t="shared" ca="1" si="67"/>
        <v>58626596556677.289</v>
      </c>
      <c r="H508" s="53">
        <f t="shared" ca="1" si="68"/>
        <v>28902647480219.496</v>
      </c>
      <c r="I508" s="53">
        <f t="shared" ca="1" si="69"/>
        <v>1109416722510.6023</v>
      </c>
      <c r="J508" s="53">
        <f t="shared" ca="1" si="70"/>
        <v>843729051014.95959</v>
      </c>
      <c r="K508" s="54">
        <f t="shared" ca="1" si="71"/>
        <v>1.3148969105378499</v>
      </c>
    </row>
    <row r="509" spans="2:11" ht="15" customHeight="1" x14ac:dyDescent="0.35">
      <c r="B509" s="5">
        <v>488</v>
      </c>
      <c r="C509" s="52">
        <f t="shared" ca="1" si="63"/>
        <v>2.744257953874913</v>
      </c>
      <c r="D509" s="53">
        <f t="shared" ca="1" si="64"/>
        <v>3238117793.7131181</v>
      </c>
      <c r="E509" s="53">
        <f t="shared" ca="1" si="65"/>
        <v>3811051474923.1831</v>
      </c>
      <c r="F509" s="53">
        <f t="shared" ca="1" si="66"/>
        <v>602479688259.03247</v>
      </c>
      <c r="G509" s="53">
        <f t="shared" ca="1" si="67"/>
        <v>552367213042.71387</v>
      </c>
      <c r="H509" s="53">
        <f t="shared" ca="1" si="68"/>
        <v>552367213042.71387</v>
      </c>
      <c r="I509" s="53">
        <f t="shared" ca="1" si="69"/>
        <v>24955330936317.074</v>
      </c>
      <c r="J509" s="53">
        <f t="shared" ca="1" si="70"/>
        <v>1519049998058.834</v>
      </c>
      <c r="K509" s="54">
        <f t="shared" ca="1" si="71"/>
        <v>16.428248555483382</v>
      </c>
    </row>
    <row r="510" spans="2:11" ht="15" customHeight="1" x14ac:dyDescent="0.35">
      <c r="B510" s="5">
        <v>489</v>
      </c>
      <c r="C510" s="52">
        <f t="shared" ca="1" si="63"/>
        <v>3.4699083455544399</v>
      </c>
      <c r="D510" s="53">
        <f t="shared" ca="1" si="64"/>
        <v>9222273015.3256874</v>
      </c>
      <c r="E510" s="53">
        <f t="shared" ca="1" si="65"/>
        <v>79248775040547.938</v>
      </c>
      <c r="F510" s="53">
        <f t="shared" ca="1" si="66"/>
        <v>6787946319168.2842</v>
      </c>
      <c r="G510" s="53">
        <f t="shared" ca="1" si="67"/>
        <v>6310287444093.3926</v>
      </c>
      <c r="H510" s="53">
        <f t="shared" ca="1" si="68"/>
        <v>79248775040547.938</v>
      </c>
      <c r="I510" s="53">
        <f t="shared" ca="1" si="69"/>
        <v>553949920412.84473</v>
      </c>
      <c r="J510" s="53">
        <f t="shared" ca="1" si="70"/>
        <v>842456910518.33386</v>
      </c>
      <c r="K510" s="54">
        <f t="shared" ca="1" si="71"/>
        <v>0.65754095372310373</v>
      </c>
    </row>
    <row r="511" spans="2:11" ht="15" customHeight="1" x14ac:dyDescent="0.35">
      <c r="B511" s="5">
        <v>490</v>
      </c>
      <c r="C511" s="52">
        <f t="shared" ca="1" si="63"/>
        <v>1.9446280581260633</v>
      </c>
      <c r="D511" s="53">
        <f t="shared" ca="1" si="64"/>
        <v>470506027.29929143</v>
      </c>
      <c r="E511" s="53">
        <f t="shared" ca="1" si="65"/>
        <v>9609112015111.3301</v>
      </c>
      <c r="F511" s="53">
        <f t="shared" ca="1" si="66"/>
        <v>570896522486.27502</v>
      </c>
      <c r="G511" s="53">
        <f t="shared" ca="1" si="67"/>
        <v>767302288475.43115</v>
      </c>
      <c r="H511" s="53">
        <f t="shared" ca="1" si="68"/>
        <v>767302288475.43115</v>
      </c>
      <c r="I511" s="53">
        <f t="shared" ca="1" si="69"/>
        <v>725979733214.6947</v>
      </c>
      <c r="J511" s="53">
        <f t="shared" ca="1" si="70"/>
        <v>1010972537376.2217</v>
      </c>
      <c r="K511" s="54">
        <f t="shared" ca="1" si="71"/>
        <v>0.71810035028135466</v>
      </c>
    </row>
    <row r="512" spans="2:11" ht="15" customHeight="1" x14ac:dyDescent="0.35">
      <c r="B512" s="5">
        <v>491</v>
      </c>
      <c r="C512" s="52">
        <f t="shared" ca="1" si="63"/>
        <v>3.3231451832988332</v>
      </c>
      <c r="D512" s="53">
        <f t="shared" ca="1" si="64"/>
        <v>7858564447.974802</v>
      </c>
      <c r="E512" s="53">
        <f t="shared" ca="1" si="65"/>
        <v>61426669322696.469</v>
      </c>
      <c r="F512" s="53">
        <f t="shared" ca="1" si="66"/>
        <v>3355501944246.6709</v>
      </c>
      <c r="G512" s="53">
        <f t="shared" ca="1" si="67"/>
        <v>83327268526.463425</v>
      </c>
      <c r="H512" s="53">
        <f t="shared" ca="1" si="68"/>
        <v>3355501944246.6709</v>
      </c>
      <c r="I512" s="53">
        <f t="shared" ca="1" si="69"/>
        <v>1978157420448.5442</v>
      </c>
      <c r="J512" s="53">
        <f t="shared" ca="1" si="70"/>
        <v>532134107476.59406</v>
      </c>
      <c r="K512" s="54">
        <f t="shared" ca="1" si="71"/>
        <v>3.717403926294188</v>
      </c>
    </row>
    <row r="513" spans="2:11" ht="15" customHeight="1" x14ac:dyDescent="0.35">
      <c r="B513" s="5">
        <v>492</v>
      </c>
      <c r="C513" s="52">
        <f t="shared" ca="1" si="63"/>
        <v>3.0055463113075276</v>
      </c>
      <c r="D513" s="53">
        <f t="shared" ca="1" si="64"/>
        <v>4235204817.5814428</v>
      </c>
      <c r="E513" s="53">
        <f t="shared" ca="1" si="65"/>
        <v>14062482999045.465</v>
      </c>
      <c r="F513" s="53">
        <f t="shared" ca="1" si="66"/>
        <v>1751935267164.8801</v>
      </c>
      <c r="G513" s="53">
        <f t="shared" ca="1" si="67"/>
        <v>3423341211480.8037</v>
      </c>
      <c r="H513" s="53">
        <f t="shared" ca="1" si="68"/>
        <v>14062482999045.465</v>
      </c>
      <c r="I513" s="53">
        <f t="shared" ca="1" si="69"/>
        <v>2021142206196.2739</v>
      </c>
      <c r="J513" s="53">
        <f t="shared" ca="1" si="70"/>
        <v>1473484658696.0273</v>
      </c>
      <c r="K513" s="54">
        <f t="shared" ca="1" si="71"/>
        <v>1.3716750929628956</v>
      </c>
    </row>
    <row r="514" spans="2:11" ht="15" customHeight="1" x14ac:dyDescent="0.35">
      <c r="B514" s="5">
        <v>493</v>
      </c>
      <c r="C514" s="52">
        <f t="shared" ca="1" si="63"/>
        <v>2.5379707384667269</v>
      </c>
      <c r="D514" s="53">
        <f t="shared" ca="1" si="64"/>
        <v>2172826543.0782399</v>
      </c>
      <c r="E514" s="53">
        <f t="shared" ca="1" si="65"/>
        <v>94486298264802.984</v>
      </c>
      <c r="F514" s="53">
        <f t="shared" ca="1" si="66"/>
        <v>910849400484.14502</v>
      </c>
      <c r="G514" s="53">
        <f t="shared" ca="1" si="67"/>
        <v>733014352621.96265</v>
      </c>
      <c r="H514" s="53">
        <f t="shared" ca="1" si="68"/>
        <v>94486298264802.984</v>
      </c>
      <c r="I514" s="53">
        <f t="shared" ca="1" si="69"/>
        <v>11186447326452.234</v>
      </c>
      <c r="J514" s="53">
        <f t="shared" ca="1" si="70"/>
        <v>1185964743856.7114</v>
      </c>
      <c r="K514" s="54">
        <f t="shared" ca="1" si="71"/>
        <v>9.4323607715979314</v>
      </c>
    </row>
    <row r="515" spans="2:11" ht="15" customHeight="1" x14ac:dyDescent="0.35">
      <c r="B515" s="5">
        <v>494</v>
      </c>
      <c r="C515" s="52">
        <f t="shared" ca="1" si="63"/>
        <v>2.7462277200053373</v>
      </c>
      <c r="D515" s="53">
        <f t="shared" ca="1" si="64"/>
        <v>2576406447.0419769</v>
      </c>
      <c r="E515" s="53">
        <f t="shared" ca="1" si="65"/>
        <v>24732713291174.629</v>
      </c>
      <c r="F515" s="53">
        <f t="shared" ca="1" si="66"/>
        <v>924343964522.89587</v>
      </c>
      <c r="G515" s="53">
        <f t="shared" ca="1" si="67"/>
        <v>76322159855866.422</v>
      </c>
      <c r="H515" s="53">
        <f t="shared" ca="1" si="68"/>
        <v>924343964522.89587</v>
      </c>
      <c r="I515" s="53">
        <f t="shared" ca="1" si="69"/>
        <v>11762738885189.926</v>
      </c>
      <c r="J515" s="53">
        <f t="shared" ca="1" si="70"/>
        <v>1378509785810.8621</v>
      </c>
      <c r="K515" s="54">
        <f t="shared" ca="1" si="71"/>
        <v>8.5329382542401682</v>
      </c>
    </row>
    <row r="516" spans="2:11" ht="15" customHeight="1" x14ac:dyDescent="0.35">
      <c r="B516" s="5">
        <v>495</v>
      </c>
      <c r="C516" s="52">
        <f t="shared" ca="1" si="63"/>
        <v>3.3509399821421706</v>
      </c>
      <c r="D516" s="53">
        <f t="shared" ca="1" si="64"/>
        <v>9993403234.3120079</v>
      </c>
      <c r="E516" s="53">
        <f t="shared" ca="1" si="65"/>
        <v>133173347010902.58</v>
      </c>
      <c r="F516" s="53">
        <f t="shared" ca="1" si="66"/>
        <v>1496955377228.2476</v>
      </c>
      <c r="G516" s="53">
        <f t="shared" ca="1" si="67"/>
        <v>3258393066444.7891</v>
      </c>
      <c r="H516" s="53">
        <f t="shared" ca="1" si="68"/>
        <v>1496955377228.2476</v>
      </c>
      <c r="I516" s="53">
        <f t="shared" ca="1" si="69"/>
        <v>9590825072181.207</v>
      </c>
      <c r="J516" s="53">
        <f t="shared" ca="1" si="70"/>
        <v>1745379231532.8022</v>
      </c>
      <c r="K516" s="54">
        <f t="shared" ca="1" si="71"/>
        <v>5.4949806316639211</v>
      </c>
    </row>
    <row r="517" spans="2:11" ht="15" customHeight="1" x14ac:dyDescent="0.35">
      <c r="B517" s="5">
        <v>496</v>
      </c>
      <c r="C517" s="52">
        <f t="shared" ca="1" si="63"/>
        <v>3.0962807066941878</v>
      </c>
      <c r="D517" s="53">
        <f t="shared" ca="1" si="64"/>
        <v>6705510511.3595209</v>
      </c>
      <c r="E517" s="53">
        <f t="shared" ca="1" si="65"/>
        <v>24951957482737.82</v>
      </c>
      <c r="F517" s="53">
        <f t="shared" ca="1" si="66"/>
        <v>3259266853032.4888</v>
      </c>
      <c r="G517" s="53">
        <f t="shared" ca="1" si="67"/>
        <v>12868311887246.469</v>
      </c>
      <c r="H517" s="53">
        <f t="shared" ca="1" si="68"/>
        <v>12868311887246.469</v>
      </c>
      <c r="I517" s="53">
        <f t="shared" ca="1" si="69"/>
        <v>1779592845230.7688</v>
      </c>
      <c r="J517" s="53">
        <f t="shared" ca="1" si="70"/>
        <v>495701394160.65033</v>
      </c>
      <c r="K517" s="54">
        <f t="shared" ca="1" si="71"/>
        <v>3.5900501112047025</v>
      </c>
    </row>
    <row r="518" spans="2:11" ht="15" customHeight="1" x14ac:dyDescent="0.35">
      <c r="B518" s="5">
        <v>497</v>
      </c>
      <c r="C518" s="52">
        <f t="shared" ca="1" si="63"/>
        <v>3.6207130976209667</v>
      </c>
      <c r="D518" s="53">
        <f t="shared" ca="1" si="64"/>
        <v>14664703212.151924</v>
      </c>
      <c r="E518" s="53">
        <f t="shared" ca="1" si="65"/>
        <v>139719625656613.22</v>
      </c>
      <c r="F518" s="53">
        <f t="shared" ca="1" si="66"/>
        <v>1955031206750.6873</v>
      </c>
      <c r="G518" s="53">
        <f t="shared" ca="1" si="67"/>
        <v>71761174351958.078</v>
      </c>
      <c r="H518" s="53">
        <f t="shared" ca="1" si="68"/>
        <v>71761174351958.078</v>
      </c>
      <c r="I518" s="53">
        <f t="shared" ca="1" si="69"/>
        <v>5287182716270.0088</v>
      </c>
      <c r="J518" s="53">
        <f t="shared" ca="1" si="70"/>
        <v>568687435650.35693</v>
      </c>
      <c r="K518" s="54">
        <f t="shared" ca="1" si="71"/>
        <v>9.2971681539324518</v>
      </c>
    </row>
    <row r="519" spans="2:11" ht="15" customHeight="1" x14ac:dyDescent="0.35">
      <c r="B519" s="5">
        <v>498</v>
      </c>
      <c r="C519" s="52">
        <f t="shared" ca="1" si="63"/>
        <v>2.7804688007898379</v>
      </c>
      <c r="D519" s="53">
        <f t="shared" ca="1" si="64"/>
        <v>2897856712.4601374</v>
      </c>
      <c r="E519" s="53">
        <f t="shared" ca="1" si="65"/>
        <v>3298936808388.4141</v>
      </c>
      <c r="F519" s="53">
        <f t="shared" ca="1" si="66"/>
        <v>1290514058327.7527</v>
      </c>
      <c r="G519" s="53">
        <f t="shared" ca="1" si="67"/>
        <v>3034164821917.9087</v>
      </c>
      <c r="H519" s="53">
        <f t="shared" ca="1" si="68"/>
        <v>3034164821917.9087</v>
      </c>
      <c r="I519" s="53">
        <f t="shared" ca="1" si="69"/>
        <v>4910489416413.3018</v>
      </c>
      <c r="J519" s="53">
        <f t="shared" ca="1" si="70"/>
        <v>1040914455230.6671</v>
      </c>
      <c r="K519" s="54">
        <f t="shared" ca="1" si="71"/>
        <v>4.717476437893386</v>
      </c>
    </row>
    <row r="520" spans="2:11" ht="15" customHeight="1" x14ac:dyDescent="0.35">
      <c r="B520" s="5">
        <v>499</v>
      </c>
      <c r="C520" s="52">
        <f t="shared" ca="1" si="63"/>
        <v>2.369242268821214</v>
      </c>
      <c r="D520" s="53">
        <f t="shared" ca="1" si="64"/>
        <v>1313661731.3047404</v>
      </c>
      <c r="E520" s="53">
        <f t="shared" ca="1" si="65"/>
        <v>3732073718547.3091</v>
      </c>
      <c r="F520" s="53">
        <f t="shared" ca="1" si="66"/>
        <v>13860757205642.164</v>
      </c>
      <c r="G520" s="53">
        <f t="shared" ca="1" si="67"/>
        <v>4156059957732.3765</v>
      </c>
      <c r="H520" s="53">
        <f t="shared" ca="1" si="68"/>
        <v>13860757205642.164</v>
      </c>
      <c r="I520" s="53">
        <f t="shared" ca="1" si="69"/>
        <v>32369710831527.945</v>
      </c>
      <c r="J520" s="53">
        <f t="shared" ca="1" si="70"/>
        <v>1258706552738.3979</v>
      </c>
      <c r="K520" s="54">
        <f t="shared" ca="1" si="71"/>
        <v>25.716645997516686</v>
      </c>
    </row>
    <row r="521" spans="2:11" ht="15" customHeight="1" x14ac:dyDescent="0.35">
      <c r="B521" s="5">
        <v>500</v>
      </c>
      <c r="C521" s="52">
        <f t="shared" ca="1" si="63"/>
        <v>3.0522675784359663</v>
      </c>
      <c r="D521" s="53">
        <f t="shared" ca="1" si="64"/>
        <v>6234946130.6660824</v>
      </c>
      <c r="E521" s="53">
        <f t="shared" ca="1" si="65"/>
        <v>14861277098867.695</v>
      </c>
      <c r="F521" s="53">
        <f t="shared" ca="1" si="66"/>
        <v>3245506400940.7241</v>
      </c>
      <c r="G521" s="53">
        <f t="shared" ca="1" si="67"/>
        <v>3261303506513.2227</v>
      </c>
      <c r="H521" s="53">
        <f t="shared" ca="1" si="68"/>
        <v>3261303506513.2227</v>
      </c>
      <c r="I521" s="53">
        <f t="shared" ca="1" si="69"/>
        <v>3082560364416.5601</v>
      </c>
      <c r="J521" s="53">
        <f t="shared" ca="1" si="70"/>
        <v>1197447501474.3311</v>
      </c>
      <c r="K521" s="54">
        <f t="shared" ca="1" si="71"/>
        <v>2.574276000092885</v>
      </c>
    </row>
    <row r="522" spans="2:11" ht="15" customHeight="1" x14ac:dyDescent="0.35">
      <c r="B522" s="5">
        <v>501</v>
      </c>
      <c r="C522" s="52">
        <f t="shared" ca="1" si="63"/>
        <v>2.7372489909039266</v>
      </c>
      <c r="D522" s="53">
        <f t="shared" ca="1" si="64"/>
        <v>3486474910.2891445</v>
      </c>
      <c r="E522" s="53">
        <f t="shared" ca="1" si="65"/>
        <v>8932322766731.9883</v>
      </c>
      <c r="F522" s="53">
        <f t="shared" ca="1" si="66"/>
        <v>56614982475036.133</v>
      </c>
      <c r="G522" s="53">
        <f t="shared" ca="1" si="67"/>
        <v>3244776868726.1099</v>
      </c>
      <c r="H522" s="53">
        <f t="shared" ca="1" si="68"/>
        <v>8932322766731.9883</v>
      </c>
      <c r="I522" s="53">
        <f t="shared" ca="1" si="69"/>
        <v>9424501829752.1699</v>
      </c>
      <c r="J522" s="53">
        <f t="shared" ca="1" si="70"/>
        <v>1526877609286.063</v>
      </c>
      <c r="K522" s="54">
        <f t="shared" ca="1" si="71"/>
        <v>6.1724016204277667</v>
      </c>
    </row>
    <row r="523" spans="2:11" ht="15" customHeight="1" x14ac:dyDescent="0.35">
      <c r="B523" s="5">
        <v>502</v>
      </c>
      <c r="C523" s="52">
        <f t="shared" ca="1" si="63"/>
        <v>2.8886020605621892</v>
      </c>
      <c r="D523" s="53">
        <f t="shared" ca="1" si="64"/>
        <v>3685393286.2627668</v>
      </c>
      <c r="E523" s="53">
        <f t="shared" ca="1" si="65"/>
        <v>8568267284617.21</v>
      </c>
      <c r="F523" s="53">
        <f t="shared" ca="1" si="66"/>
        <v>3850864890160.0723</v>
      </c>
      <c r="G523" s="53">
        <f t="shared" ca="1" si="67"/>
        <v>5068138676958.1045</v>
      </c>
      <c r="H523" s="53">
        <f t="shared" ca="1" si="68"/>
        <v>3850864890160.0723</v>
      </c>
      <c r="I523" s="53">
        <f t="shared" ca="1" si="69"/>
        <v>25819483792249.379</v>
      </c>
      <c r="J523" s="53">
        <f t="shared" ca="1" si="70"/>
        <v>1227048332462.3013</v>
      </c>
      <c r="K523" s="54">
        <f t="shared" ca="1" si="71"/>
        <v>21.041945218602571</v>
      </c>
    </row>
    <row r="524" spans="2:11" ht="15" customHeight="1" x14ac:dyDescent="0.35">
      <c r="B524" s="5">
        <v>503</v>
      </c>
      <c r="C524" s="52">
        <f t="shared" ca="1" si="63"/>
        <v>3.4497279255090678</v>
      </c>
      <c r="D524" s="53">
        <f t="shared" ca="1" si="64"/>
        <v>9449234585.5224609</v>
      </c>
      <c r="E524" s="53">
        <f t="shared" ca="1" si="65"/>
        <v>12223086735171.93</v>
      </c>
      <c r="F524" s="53">
        <f t="shared" ca="1" si="66"/>
        <v>2290301979760.9336</v>
      </c>
      <c r="G524" s="53">
        <f t="shared" ca="1" si="67"/>
        <v>10145100834692.736</v>
      </c>
      <c r="H524" s="53">
        <f t="shared" ca="1" si="68"/>
        <v>2290301979760.9336</v>
      </c>
      <c r="I524" s="53">
        <f t="shared" ca="1" si="69"/>
        <v>70386762050866.188</v>
      </c>
      <c r="J524" s="53">
        <f t="shared" ca="1" si="70"/>
        <v>809066248591.32715</v>
      </c>
      <c r="K524" s="54">
        <f t="shared" ca="1" si="71"/>
        <v>86.997526065902818</v>
      </c>
    </row>
    <row r="525" spans="2:11" ht="15" customHeight="1" x14ac:dyDescent="0.35">
      <c r="B525" s="5">
        <v>504</v>
      </c>
      <c r="C525" s="52">
        <f t="shared" ca="1" si="63"/>
        <v>2.8615166084391799</v>
      </c>
      <c r="D525" s="53">
        <f t="shared" ca="1" si="64"/>
        <v>3950891851.8990107</v>
      </c>
      <c r="E525" s="53">
        <f t="shared" ca="1" si="65"/>
        <v>299900058431521.5</v>
      </c>
      <c r="F525" s="53">
        <f t="shared" ca="1" si="66"/>
        <v>2775911151927.1812</v>
      </c>
      <c r="G525" s="53">
        <f t="shared" ca="1" si="67"/>
        <v>37651451984146.18</v>
      </c>
      <c r="H525" s="53">
        <f t="shared" ca="1" si="68"/>
        <v>299900058431521.5</v>
      </c>
      <c r="I525" s="53">
        <f t="shared" ca="1" si="69"/>
        <v>15403448463991.625</v>
      </c>
      <c r="J525" s="53">
        <f t="shared" ca="1" si="70"/>
        <v>591396124907.24414</v>
      </c>
      <c r="K525" s="54">
        <f t="shared" ca="1" si="71"/>
        <v>26.045906990695173</v>
      </c>
    </row>
    <row r="526" spans="2:11" ht="15" customHeight="1" x14ac:dyDescent="0.35">
      <c r="B526" s="5">
        <v>505</v>
      </c>
      <c r="C526" s="52">
        <f t="shared" ca="1" si="63"/>
        <v>3.2300275749722167</v>
      </c>
      <c r="D526" s="53">
        <f t="shared" ca="1" si="64"/>
        <v>6547612421.4466467</v>
      </c>
      <c r="E526" s="53">
        <f t="shared" ca="1" si="65"/>
        <v>56001136093240.727</v>
      </c>
      <c r="F526" s="53">
        <f t="shared" ca="1" si="66"/>
        <v>14555114932911.053</v>
      </c>
      <c r="G526" s="53">
        <f t="shared" ca="1" si="67"/>
        <v>215189066842.34274</v>
      </c>
      <c r="H526" s="53">
        <f t="shared" ca="1" si="68"/>
        <v>215189066842.34274</v>
      </c>
      <c r="I526" s="53">
        <f t="shared" ca="1" si="69"/>
        <v>15932116717747.18</v>
      </c>
      <c r="J526" s="53">
        <f t="shared" ca="1" si="70"/>
        <v>1098417233972.7233</v>
      </c>
      <c r="K526" s="54">
        <f t="shared" ca="1" si="71"/>
        <v>14.504612841992989</v>
      </c>
    </row>
    <row r="527" spans="2:11" ht="15" customHeight="1" x14ac:dyDescent="0.35">
      <c r="B527" s="5">
        <v>506</v>
      </c>
      <c r="C527" s="52">
        <f t="shared" ca="1" si="63"/>
        <v>3.9256420538966985</v>
      </c>
      <c r="D527" s="53">
        <f t="shared" ca="1" si="64"/>
        <v>20701703461.831554</v>
      </c>
      <c r="E527" s="53">
        <f t="shared" ca="1" si="65"/>
        <v>47066186985424.484</v>
      </c>
      <c r="F527" s="53">
        <f t="shared" ca="1" si="66"/>
        <v>22712623401471.613</v>
      </c>
      <c r="G527" s="53">
        <f t="shared" ca="1" si="67"/>
        <v>55797489590598.93</v>
      </c>
      <c r="H527" s="53">
        <f t="shared" ca="1" si="68"/>
        <v>47066186985424.484</v>
      </c>
      <c r="I527" s="53">
        <f t="shared" ca="1" si="69"/>
        <v>11723546827579.744</v>
      </c>
      <c r="J527" s="53">
        <f t="shared" ca="1" si="70"/>
        <v>1292487446028.1472</v>
      </c>
      <c r="K527" s="54">
        <f t="shared" ca="1" si="71"/>
        <v>9.0705305212878908</v>
      </c>
    </row>
    <row r="528" spans="2:11" ht="15" customHeight="1" x14ac:dyDescent="0.35">
      <c r="B528" s="5">
        <v>507</v>
      </c>
      <c r="C528" s="52">
        <f t="shared" ca="1" si="63"/>
        <v>3.3493118092633551</v>
      </c>
      <c r="D528" s="53">
        <f t="shared" ca="1" si="64"/>
        <v>7682829819.4797621</v>
      </c>
      <c r="E528" s="53">
        <f t="shared" ca="1" si="65"/>
        <v>23866061525507.762</v>
      </c>
      <c r="F528" s="53">
        <f t="shared" ca="1" si="66"/>
        <v>3140049535709.9902</v>
      </c>
      <c r="G528" s="53">
        <f t="shared" ca="1" si="67"/>
        <v>43155624851260.344</v>
      </c>
      <c r="H528" s="53">
        <f t="shared" ca="1" si="68"/>
        <v>43155624851260.344</v>
      </c>
      <c r="I528" s="53">
        <f t="shared" ca="1" si="69"/>
        <v>31446748657405.281</v>
      </c>
      <c r="J528" s="53">
        <f t="shared" ca="1" si="70"/>
        <v>1127199686981.2983</v>
      </c>
      <c r="K528" s="54">
        <f t="shared" ca="1" si="71"/>
        <v>27.898116918060342</v>
      </c>
    </row>
    <row r="529" spans="2:11" ht="15" customHeight="1" x14ac:dyDescent="0.35">
      <c r="B529" s="5">
        <v>508</v>
      </c>
      <c r="C529" s="52">
        <f t="shared" ca="1" si="63"/>
        <v>2.6025430216650478</v>
      </c>
      <c r="D529" s="53">
        <f t="shared" ca="1" si="64"/>
        <v>1930207577.8881285</v>
      </c>
      <c r="E529" s="53">
        <f t="shared" ca="1" si="65"/>
        <v>10507596024923.275</v>
      </c>
      <c r="F529" s="53">
        <f t="shared" ca="1" si="66"/>
        <v>2116153407174.9507</v>
      </c>
      <c r="G529" s="53">
        <f t="shared" ca="1" si="67"/>
        <v>3006809141391.1992</v>
      </c>
      <c r="H529" s="53">
        <f t="shared" ca="1" si="68"/>
        <v>10507596024923.275</v>
      </c>
      <c r="I529" s="53">
        <f t="shared" ca="1" si="69"/>
        <v>2603303958328.2163</v>
      </c>
      <c r="J529" s="53">
        <f t="shared" ca="1" si="70"/>
        <v>645398777035.16492</v>
      </c>
      <c r="K529" s="54">
        <f t="shared" ca="1" si="71"/>
        <v>4.0336363361072403</v>
      </c>
    </row>
    <row r="530" spans="2:11" ht="15" customHeight="1" x14ac:dyDescent="0.35">
      <c r="B530" s="5">
        <v>509</v>
      </c>
      <c r="C530" s="52">
        <f t="shared" ca="1" si="63"/>
        <v>2.5934596857257737</v>
      </c>
      <c r="D530" s="53">
        <f t="shared" ca="1" si="64"/>
        <v>2073950700.3814087</v>
      </c>
      <c r="E530" s="53">
        <f t="shared" ca="1" si="65"/>
        <v>12951216410392.896</v>
      </c>
      <c r="F530" s="53">
        <f t="shared" ca="1" si="66"/>
        <v>792498315782.05518</v>
      </c>
      <c r="G530" s="53">
        <f t="shared" ca="1" si="67"/>
        <v>3343308172958.8223</v>
      </c>
      <c r="H530" s="53">
        <f t="shared" ca="1" si="68"/>
        <v>12951216410392.896</v>
      </c>
      <c r="I530" s="53">
        <f t="shared" ca="1" si="69"/>
        <v>1144242778009.0374</v>
      </c>
      <c r="J530" s="53">
        <f t="shared" ca="1" si="70"/>
        <v>1605007666044.4875</v>
      </c>
      <c r="K530" s="54">
        <f t="shared" ca="1" si="71"/>
        <v>0.71292044406803556</v>
      </c>
    </row>
    <row r="531" spans="2:11" ht="15" customHeight="1" x14ac:dyDescent="0.35">
      <c r="B531" s="5">
        <v>510</v>
      </c>
      <c r="C531" s="52">
        <f t="shared" ca="1" si="63"/>
        <v>2.7978099826860676</v>
      </c>
      <c r="D531" s="53">
        <f t="shared" ca="1" si="64"/>
        <v>3879160337.0127668</v>
      </c>
      <c r="E531" s="53">
        <f t="shared" ca="1" si="65"/>
        <v>58871651231890.07</v>
      </c>
      <c r="F531" s="53">
        <f t="shared" ca="1" si="66"/>
        <v>2011829305236.5076</v>
      </c>
      <c r="G531" s="53">
        <f t="shared" ca="1" si="67"/>
        <v>16308430511271.74</v>
      </c>
      <c r="H531" s="53">
        <f t="shared" ca="1" si="68"/>
        <v>16308430511271.74</v>
      </c>
      <c r="I531" s="53">
        <f t="shared" ca="1" si="69"/>
        <v>4258279521414.415</v>
      </c>
      <c r="J531" s="53">
        <f t="shared" ca="1" si="70"/>
        <v>1470305709498.2637</v>
      </c>
      <c r="K531" s="54">
        <f t="shared" ca="1" si="71"/>
        <v>2.8961864827876762</v>
      </c>
    </row>
    <row r="532" spans="2:11" ht="15" customHeight="1" x14ac:dyDescent="0.35">
      <c r="B532" s="5">
        <v>511</v>
      </c>
      <c r="C532" s="52">
        <f t="shared" ca="1" si="63"/>
        <v>4.0254540830318977</v>
      </c>
      <c r="D532" s="53">
        <f t="shared" ca="1" si="64"/>
        <v>17200001530.898643</v>
      </c>
      <c r="E532" s="53">
        <f t="shared" ca="1" si="65"/>
        <v>14273817967566.127</v>
      </c>
      <c r="F532" s="53">
        <f t="shared" ca="1" si="66"/>
        <v>5056489150794.0215</v>
      </c>
      <c r="G532" s="53">
        <f t="shared" ca="1" si="67"/>
        <v>4167035792863.3218</v>
      </c>
      <c r="H532" s="53">
        <f t="shared" ca="1" si="68"/>
        <v>4167035792863.3218</v>
      </c>
      <c r="I532" s="53">
        <f t="shared" ca="1" si="69"/>
        <v>8913077620932.4512</v>
      </c>
      <c r="J532" s="53">
        <f t="shared" ca="1" si="70"/>
        <v>912131291712.28369</v>
      </c>
      <c r="K532" s="54">
        <f t="shared" ca="1" si="71"/>
        <v>9.771704689793637</v>
      </c>
    </row>
    <row r="533" spans="2:11" ht="15" customHeight="1" x14ac:dyDescent="0.35">
      <c r="B533" s="5">
        <v>512</v>
      </c>
      <c r="C533" s="52">
        <f t="shared" ca="1" si="63"/>
        <v>3.3188193890516078</v>
      </c>
      <c r="D533" s="53">
        <f t="shared" ca="1" si="64"/>
        <v>8689149266.9122868</v>
      </c>
      <c r="E533" s="53">
        <f t="shared" ca="1" si="65"/>
        <v>119885829225646.41</v>
      </c>
      <c r="F533" s="53">
        <f t="shared" ca="1" si="66"/>
        <v>12753445288915.68</v>
      </c>
      <c r="G533" s="53">
        <f t="shared" ca="1" si="67"/>
        <v>2841206564523.145</v>
      </c>
      <c r="H533" s="53">
        <f t="shared" ca="1" si="68"/>
        <v>12753445288915.68</v>
      </c>
      <c r="I533" s="53">
        <f t="shared" ca="1" si="69"/>
        <v>19389957427754.574</v>
      </c>
      <c r="J533" s="53">
        <f t="shared" ca="1" si="70"/>
        <v>755410012326.97937</v>
      </c>
      <c r="K533" s="54">
        <f t="shared" ca="1" si="71"/>
        <v>25.668123418202228</v>
      </c>
    </row>
    <row r="534" spans="2:11" ht="15" customHeight="1" x14ac:dyDescent="0.35">
      <c r="B534" s="5">
        <v>513</v>
      </c>
      <c r="C534" s="52">
        <f t="shared" ref="C534:C597" ca="1" si="72">MEDIAN(1.8,NORMINV(RAND(),$C$7,$D$7),4.5)</f>
        <v>3.8014291769670594</v>
      </c>
      <c r="D534" s="53">
        <f t="shared" ref="D534:D597" ca="1" si="73">($C$8+RAND()*($D$8-$C$8))*C534^5</f>
        <v>15188619049.557901</v>
      </c>
      <c r="E534" s="53">
        <f t="shared" ref="E534:E597" ca="1" si="74">D534*($C$10+RAND()*($D$10-$C$10))*EXP(NORMINV(RAND(),$C$9,$D$9))*($C$11+RAND()*($D$11-$C$11))</f>
        <v>51489631784536.227</v>
      </c>
      <c r="F534" s="53">
        <f t="shared" ref="F534:F597" ca="1" si="75">EXP(NORMINV(RAND(),$C$12,$D$12))*EXP(NORMINV(RAND(),$C$13,$D$13))</f>
        <v>2198781552944.9473</v>
      </c>
      <c r="G534" s="53">
        <f t="shared" ref="G534:G597" ca="1" si="76">EXP(NORMINV(RAND(),$C$14,$D$14))*($C$15+RAND()*($D$15-$C$15))*EXP(NORMINV(RAND(),$C$16,$D$16))/1000000*31536000</f>
        <v>27531264641676.48</v>
      </c>
      <c r="H534" s="53">
        <f t="shared" ref="H534:H597" ca="1" si="77">CHOOSE(RANDBETWEEN(1,3),E534,F534,G534)</f>
        <v>2198781552944.9473</v>
      </c>
      <c r="I534" s="53">
        <f t="shared" ref="I534:I597" ca="1" si="78">EXP(NORMINV(RAND(),$C$14,$D$14))*($C$15+RAND()*($D$15-$C$15))*60</f>
        <v>2690869695509.2021</v>
      </c>
      <c r="J534" s="53">
        <f t="shared" ref="J534:J597" ca="1" si="79">($C$17+RAND()*($D$17-$C$17))*($C$18+RAND()*($D$18-$C$18))</f>
        <v>745008061198.67725</v>
      </c>
      <c r="K534" s="54">
        <f t="shared" ref="K534:K597" ca="1" si="80">I534/J534</f>
        <v>3.6118665497118783</v>
      </c>
    </row>
    <row r="535" spans="2:11" ht="15" customHeight="1" x14ac:dyDescent="0.35">
      <c r="B535" s="5">
        <v>514</v>
      </c>
      <c r="C535" s="52">
        <f t="shared" ca="1" si="72"/>
        <v>3.182817973171526</v>
      </c>
      <c r="D535" s="53">
        <f t="shared" ca="1" si="73"/>
        <v>7661611180.236783</v>
      </c>
      <c r="E535" s="53">
        <f t="shared" ca="1" si="74"/>
        <v>6042388686112.4229</v>
      </c>
      <c r="F535" s="53">
        <f t="shared" ca="1" si="75"/>
        <v>2871774242583.2842</v>
      </c>
      <c r="G535" s="53">
        <f t="shared" ca="1" si="76"/>
        <v>1735826926141.178</v>
      </c>
      <c r="H535" s="53">
        <f t="shared" ca="1" si="77"/>
        <v>1735826926141.178</v>
      </c>
      <c r="I535" s="53">
        <f t="shared" ca="1" si="78"/>
        <v>10692515641997.977</v>
      </c>
      <c r="J535" s="53">
        <f t="shared" ca="1" si="79"/>
        <v>1230289896412.8025</v>
      </c>
      <c r="K535" s="54">
        <f t="shared" ca="1" si="80"/>
        <v>8.6910537696639647</v>
      </c>
    </row>
    <row r="536" spans="2:11" ht="15" customHeight="1" x14ac:dyDescent="0.35">
      <c r="B536" s="5">
        <v>515</v>
      </c>
      <c r="C536" s="52">
        <f t="shared" ca="1" si="72"/>
        <v>2.2653214360277003</v>
      </c>
      <c r="D536" s="53">
        <f t="shared" ca="1" si="73"/>
        <v>1005795218.7271568</v>
      </c>
      <c r="E536" s="53">
        <f t="shared" ca="1" si="74"/>
        <v>3809824244081.9585</v>
      </c>
      <c r="F536" s="53">
        <f t="shared" ca="1" si="75"/>
        <v>4959929143502.7764</v>
      </c>
      <c r="G536" s="53">
        <f t="shared" ca="1" si="76"/>
        <v>89599658679009.719</v>
      </c>
      <c r="H536" s="53">
        <f t="shared" ca="1" si="77"/>
        <v>4959929143502.7764</v>
      </c>
      <c r="I536" s="53">
        <f t="shared" ca="1" si="78"/>
        <v>38804649418059.242</v>
      </c>
      <c r="J536" s="53">
        <f t="shared" ca="1" si="79"/>
        <v>1492441821254.7007</v>
      </c>
      <c r="K536" s="54">
        <f t="shared" ca="1" si="80"/>
        <v>26.0007786336596</v>
      </c>
    </row>
    <row r="537" spans="2:11" ht="15" customHeight="1" x14ac:dyDescent="0.35">
      <c r="B537" s="5">
        <v>516</v>
      </c>
      <c r="C537" s="52">
        <f t="shared" ca="1" si="72"/>
        <v>3.2463371390531024</v>
      </c>
      <c r="D537" s="53">
        <f t="shared" ca="1" si="73"/>
        <v>7652028652.7746038</v>
      </c>
      <c r="E537" s="53">
        <f t="shared" ca="1" si="74"/>
        <v>41765085769029.781</v>
      </c>
      <c r="F537" s="53">
        <f t="shared" ca="1" si="75"/>
        <v>4460597974106.7832</v>
      </c>
      <c r="G537" s="53">
        <f t="shared" ca="1" si="76"/>
        <v>1439083505482.3362</v>
      </c>
      <c r="H537" s="53">
        <f t="shared" ca="1" si="77"/>
        <v>1439083505482.3362</v>
      </c>
      <c r="I537" s="53">
        <f t="shared" ca="1" si="78"/>
        <v>3341714267244.688</v>
      </c>
      <c r="J537" s="53">
        <f t="shared" ca="1" si="79"/>
        <v>1682969512812.811</v>
      </c>
      <c r="K537" s="54">
        <f t="shared" ca="1" si="80"/>
        <v>1.9856059434252933</v>
      </c>
    </row>
    <row r="538" spans="2:11" ht="15" customHeight="1" x14ac:dyDescent="0.35">
      <c r="B538" s="5">
        <v>517</v>
      </c>
      <c r="C538" s="52">
        <f t="shared" ca="1" si="72"/>
        <v>3.5811584746356147</v>
      </c>
      <c r="D538" s="53">
        <f t="shared" ca="1" si="73"/>
        <v>11944987460.818623</v>
      </c>
      <c r="E538" s="53">
        <f t="shared" ca="1" si="74"/>
        <v>25632481878546.297</v>
      </c>
      <c r="F538" s="53">
        <f t="shared" ca="1" si="75"/>
        <v>3557821557982.25</v>
      </c>
      <c r="G538" s="53">
        <f t="shared" ca="1" si="76"/>
        <v>10919769705897.234</v>
      </c>
      <c r="H538" s="53">
        <f t="shared" ca="1" si="77"/>
        <v>25632481878546.297</v>
      </c>
      <c r="I538" s="53">
        <f t="shared" ca="1" si="78"/>
        <v>15561308881463.186</v>
      </c>
      <c r="J538" s="53">
        <f t="shared" ca="1" si="79"/>
        <v>736859603063.81799</v>
      </c>
      <c r="K538" s="54">
        <f t="shared" ca="1" si="80"/>
        <v>21.118417696885807</v>
      </c>
    </row>
    <row r="539" spans="2:11" ht="15" customHeight="1" x14ac:dyDescent="0.35">
      <c r="B539" s="5">
        <v>518</v>
      </c>
      <c r="C539" s="52">
        <f t="shared" ca="1" si="72"/>
        <v>3.1166709574167588</v>
      </c>
      <c r="D539" s="53">
        <f t="shared" ca="1" si="73"/>
        <v>5125246168.8339596</v>
      </c>
      <c r="E539" s="53">
        <f t="shared" ca="1" si="74"/>
        <v>3946290431734.5703</v>
      </c>
      <c r="F539" s="53">
        <f t="shared" ca="1" si="75"/>
        <v>974656596975.70044</v>
      </c>
      <c r="G539" s="53">
        <f t="shared" ca="1" si="76"/>
        <v>12250103844934.133</v>
      </c>
      <c r="H539" s="53">
        <f t="shared" ca="1" si="77"/>
        <v>3946290431734.5703</v>
      </c>
      <c r="I539" s="53">
        <f t="shared" ca="1" si="78"/>
        <v>50075004670253.375</v>
      </c>
      <c r="J539" s="53">
        <f t="shared" ca="1" si="79"/>
        <v>872874476161.52698</v>
      </c>
      <c r="K539" s="54">
        <f t="shared" ca="1" si="80"/>
        <v>57.367933234178913</v>
      </c>
    </row>
    <row r="540" spans="2:11" ht="15" customHeight="1" x14ac:dyDescent="0.35">
      <c r="B540" s="5">
        <v>519</v>
      </c>
      <c r="C540" s="52">
        <f t="shared" ca="1" si="72"/>
        <v>3.3929319904126651</v>
      </c>
      <c r="D540" s="53">
        <f t="shared" ca="1" si="73"/>
        <v>9360312458.1774578</v>
      </c>
      <c r="E540" s="53">
        <f t="shared" ca="1" si="74"/>
        <v>28818879783650.301</v>
      </c>
      <c r="F540" s="53">
        <f t="shared" ca="1" si="75"/>
        <v>2211500482784.0562</v>
      </c>
      <c r="G540" s="53">
        <f t="shared" ca="1" si="76"/>
        <v>9642321317801.3926</v>
      </c>
      <c r="H540" s="53">
        <f t="shared" ca="1" si="77"/>
        <v>2211500482784.0562</v>
      </c>
      <c r="I540" s="53">
        <f t="shared" ca="1" si="78"/>
        <v>29413162023158.023</v>
      </c>
      <c r="J540" s="53">
        <f t="shared" ca="1" si="79"/>
        <v>467756524390.44641</v>
      </c>
      <c r="K540" s="54">
        <f t="shared" ca="1" si="80"/>
        <v>62.881350637465886</v>
      </c>
    </row>
    <row r="541" spans="2:11" ht="15" customHeight="1" x14ac:dyDescent="0.35">
      <c r="B541" s="5">
        <v>520</v>
      </c>
      <c r="C541" s="52">
        <f t="shared" ca="1" si="72"/>
        <v>3.4369451528350625</v>
      </c>
      <c r="D541" s="53">
        <f t="shared" ca="1" si="73"/>
        <v>10177377543.478807</v>
      </c>
      <c r="E541" s="53">
        <f t="shared" ca="1" si="74"/>
        <v>34376339150206.602</v>
      </c>
      <c r="F541" s="53">
        <f t="shared" ca="1" si="75"/>
        <v>5060345290336.1104</v>
      </c>
      <c r="G541" s="53">
        <f t="shared" ca="1" si="76"/>
        <v>33029945232367.453</v>
      </c>
      <c r="H541" s="53">
        <f t="shared" ca="1" si="77"/>
        <v>33029945232367.453</v>
      </c>
      <c r="I541" s="53">
        <f t="shared" ca="1" si="78"/>
        <v>14736841039240.188</v>
      </c>
      <c r="J541" s="53">
        <f t="shared" ca="1" si="79"/>
        <v>1091419749087.4091</v>
      </c>
      <c r="K541" s="54">
        <f t="shared" ca="1" si="80"/>
        <v>13.502450410634774</v>
      </c>
    </row>
    <row r="542" spans="2:11" ht="15" customHeight="1" x14ac:dyDescent="0.35">
      <c r="B542" s="5">
        <v>521</v>
      </c>
      <c r="C542" s="52">
        <f t="shared" ca="1" si="72"/>
        <v>3.2809998801359574</v>
      </c>
      <c r="D542" s="53">
        <f t="shared" ca="1" si="73"/>
        <v>7587632893.6196308</v>
      </c>
      <c r="E542" s="53">
        <f t="shared" ca="1" si="74"/>
        <v>10292712332009.385</v>
      </c>
      <c r="F542" s="53">
        <f t="shared" ca="1" si="75"/>
        <v>3908638461947.2012</v>
      </c>
      <c r="G542" s="53">
        <f t="shared" ca="1" si="76"/>
        <v>10922771545195.547</v>
      </c>
      <c r="H542" s="53">
        <f t="shared" ca="1" si="77"/>
        <v>3908638461947.2012</v>
      </c>
      <c r="I542" s="53">
        <f t="shared" ca="1" si="78"/>
        <v>832962968651.39453</v>
      </c>
      <c r="J542" s="53">
        <f t="shared" ca="1" si="79"/>
        <v>1017981325562.0715</v>
      </c>
      <c r="K542" s="54">
        <f t="shared" ca="1" si="80"/>
        <v>0.8182497534436397</v>
      </c>
    </row>
    <row r="543" spans="2:11" ht="15" customHeight="1" x14ac:dyDescent="0.35">
      <c r="B543" s="5">
        <v>522</v>
      </c>
      <c r="C543" s="52">
        <f t="shared" ca="1" si="72"/>
        <v>3.3056654569171933</v>
      </c>
      <c r="D543" s="53">
        <f t="shared" ca="1" si="73"/>
        <v>8799530155.3598747</v>
      </c>
      <c r="E543" s="53">
        <f t="shared" ca="1" si="74"/>
        <v>9625735792510.2461</v>
      </c>
      <c r="F543" s="53">
        <f t="shared" ca="1" si="75"/>
        <v>10963778556065.25</v>
      </c>
      <c r="G543" s="53">
        <f t="shared" ca="1" si="76"/>
        <v>92336914240502.609</v>
      </c>
      <c r="H543" s="53">
        <f t="shared" ca="1" si="77"/>
        <v>92336914240502.609</v>
      </c>
      <c r="I543" s="53">
        <f t="shared" ca="1" si="78"/>
        <v>2193805441819.8325</v>
      </c>
      <c r="J543" s="53">
        <f t="shared" ca="1" si="79"/>
        <v>1203361688871.1663</v>
      </c>
      <c r="K543" s="54">
        <f t="shared" ca="1" si="80"/>
        <v>1.8230640563916978</v>
      </c>
    </row>
    <row r="544" spans="2:11" ht="15" customHeight="1" x14ac:dyDescent="0.35">
      <c r="B544" s="5">
        <v>523</v>
      </c>
      <c r="C544" s="52">
        <f t="shared" ca="1" si="72"/>
        <v>2.5816894745628263</v>
      </c>
      <c r="D544" s="53">
        <f t="shared" ca="1" si="73"/>
        <v>2272509658.7715526</v>
      </c>
      <c r="E544" s="53">
        <f t="shared" ca="1" si="74"/>
        <v>9740803135192.6289</v>
      </c>
      <c r="F544" s="53">
        <f t="shared" ca="1" si="75"/>
        <v>2503106507908.4355</v>
      </c>
      <c r="G544" s="53">
        <f t="shared" ca="1" si="76"/>
        <v>15616362067905.301</v>
      </c>
      <c r="H544" s="53">
        <f t="shared" ca="1" si="77"/>
        <v>15616362067905.301</v>
      </c>
      <c r="I544" s="53">
        <f t="shared" ca="1" si="78"/>
        <v>202668179094067.84</v>
      </c>
      <c r="J544" s="53">
        <f t="shared" ca="1" si="79"/>
        <v>1344719109403.2847</v>
      </c>
      <c r="K544" s="54">
        <f t="shared" ca="1" si="80"/>
        <v>150.7141362659755</v>
      </c>
    </row>
    <row r="545" spans="2:11" ht="15" customHeight="1" x14ac:dyDescent="0.35">
      <c r="B545" s="5">
        <v>524</v>
      </c>
      <c r="C545" s="52">
        <f t="shared" ca="1" si="72"/>
        <v>3.1236518339678434</v>
      </c>
      <c r="D545" s="53">
        <f t="shared" ca="1" si="73"/>
        <v>6640985540.9266376</v>
      </c>
      <c r="E545" s="53">
        <f t="shared" ca="1" si="74"/>
        <v>87102019815435.484</v>
      </c>
      <c r="F545" s="53">
        <f t="shared" ca="1" si="75"/>
        <v>1326998655411.5295</v>
      </c>
      <c r="G545" s="53">
        <f t="shared" ca="1" si="76"/>
        <v>15805209017151.256</v>
      </c>
      <c r="H545" s="53">
        <f t="shared" ca="1" si="77"/>
        <v>1326998655411.5295</v>
      </c>
      <c r="I545" s="53">
        <f t="shared" ca="1" si="78"/>
        <v>14807894017742.973</v>
      </c>
      <c r="J545" s="53">
        <f t="shared" ca="1" si="79"/>
        <v>824126614353.04639</v>
      </c>
      <c r="K545" s="54">
        <f t="shared" ca="1" si="80"/>
        <v>17.967984239129841</v>
      </c>
    </row>
    <row r="546" spans="2:11" ht="15" customHeight="1" x14ac:dyDescent="0.35">
      <c r="B546" s="5">
        <v>525</v>
      </c>
      <c r="C546" s="52">
        <f t="shared" ca="1" si="72"/>
        <v>2.5907102859059727</v>
      </c>
      <c r="D546" s="53">
        <f t="shared" ca="1" si="73"/>
        <v>2170476582.0367131</v>
      </c>
      <c r="E546" s="53">
        <f t="shared" ca="1" si="74"/>
        <v>3652808869686.3125</v>
      </c>
      <c r="F546" s="53">
        <f t="shared" ca="1" si="75"/>
        <v>9121739594971.2363</v>
      </c>
      <c r="G546" s="53">
        <f t="shared" ca="1" si="76"/>
        <v>4641025720169.4443</v>
      </c>
      <c r="H546" s="53">
        <f t="shared" ca="1" si="77"/>
        <v>3652808869686.3125</v>
      </c>
      <c r="I546" s="53">
        <f t="shared" ca="1" si="78"/>
        <v>4495455395605.2764</v>
      </c>
      <c r="J546" s="53">
        <f t="shared" ca="1" si="79"/>
        <v>1239050756642.0884</v>
      </c>
      <c r="K546" s="54">
        <f t="shared" ca="1" si="80"/>
        <v>3.6281446676068909</v>
      </c>
    </row>
    <row r="547" spans="2:11" ht="15" customHeight="1" x14ac:dyDescent="0.35">
      <c r="B547" s="5">
        <v>526</v>
      </c>
      <c r="C547" s="52">
        <f t="shared" ca="1" si="72"/>
        <v>2.931784734653013</v>
      </c>
      <c r="D547" s="53">
        <f t="shared" ca="1" si="73"/>
        <v>4812298933.4183655</v>
      </c>
      <c r="E547" s="53">
        <f t="shared" ca="1" si="74"/>
        <v>19783433808319.672</v>
      </c>
      <c r="F547" s="53">
        <f t="shared" ca="1" si="75"/>
        <v>16692455442571.039</v>
      </c>
      <c r="G547" s="53">
        <f t="shared" ca="1" si="76"/>
        <v>25431951799798.816</v>
      </c>
      <c r="H547" s="53">
        <f t="shared" ca="1" si="77"/>
        <v>25431951799798.816</v>
      </c>
      <c r="I547" s="53">
        <f t="shared" ca="1" si="78"/>
        <v>15090690449631.77</v>
      </c>
      <c r="J547" s="53">
        <f t="shared" ca="1" si="79"/>
        <v>866043445377.40381</v>
      </c>
      <c r="K547" s="54">
        <f t="shared" ca="1" si="80"/>
        <v>17.424865380807262</v>
      </c>
    </row>
    <row r="548" spans="2:11" ht="15" customHeight="1" x14ac:dyDescent="0.35">
      <c r="B548" s="5">
        <v>527</v>
      </c>
      <c r="C548" s="52">
        <f t="shared" ca="1" si="72"/>
        <v>2.6528562418249604</v>
      </c>
      <c r="D548" s="53">
        <f t="shared" ca="1" si="73"/>
        <v>2401445773.0342069</v>
      </c>
      <c r="E548" s="53">
        <f t="shared" ca="1" si="74"/>
        <v>64892270417014.617</v>
      </c>
      <c r="F548" s="53">
        <f t="shared" ca="1" si="75"/>
        <v>4959335696745.2236</v>
      </c>
      <c r="G548" s="53">
        <f t="shared" ca="1" si="76"/>
        <v>2217252114936.9844</v>
      </c>
      <c r="H548" s="53">
        <f t="shared" ca="1" si="77"/>
        <v>4959335696745.2236</v>
      </c>
      <c r="I548" s="53">
        <f t="shared" ca="1" si="78"/>
        <v>10018767900488.721</v>
      </c>
      <c r="J548" s="53">
        <f t="shared" ca="1" si="79"/>
        <v>1402404744127.5237</v>
      </c>
      <c r="K548" s="54">
        <f t="shared" ca="1" si="80"/>
        <v>7.1439917345129089</v>
      </c>
    </row>
    <row r="549" spans="2:11" ht="15" customHeight="1" x14ac:dyDescent="0.35">
      <c r="B549" s="5">
        <v>528</v>
      </c>
      <c r="C549" s="52">
        <f t="shared" ca="1" si="72"/>
        <v>3.1977380749771975</v>
      </c>
      <c r="D549" s="53">
        <f t="shared" ca="1" si="73"/>
        <v>6018516730.9881182</v>
      </c>
      <c r="E549" s="53">
        <f t="shared" ca="1" si="74"/>
        <v>79558713429550.938</v>
      </c>
      <c r="F549" s="53">
        <f t="shared" ca="1" si="75"/>
        <v>877589688282.07703</v>
      </c>
      <c r="G549" s="53">
        <f t="shared" ca="1" si="76"/>
        <v>378280055271.42139</v>
      </c>
      <c r="H549" s="53">
        <f t="shared" ca="1" si="77"/>
        <v>378280055271.42139</v>
      </c>
      <c r="I549" s="53">
        <f t="shared" ca="1" si="78"/>
        <v>5511849984178.6318</v>
      </c>
      <c r="J549" s="53">
        <f t="shared" ca="1" si="79"/>
        <v>846837188953.18347</v>
      </c>
      <c r="K549" s="54">
        <f t="shared" ca="1" si="80"/>
        <v>6.5087481467271138</v>
      </c>
    </row>
    <row r="550" spans="2:11" ht="15" customHeight="1" x14ac:dyDescent="0.35">
      <c r="B550" s="5">
        <v>529</v>
      </c>
      <c r="C550" s="52">
        <f t="shared" ca="1" si="72"/>
        <v>2.632741035908035</v>
      </c>
      <c r="D550" s="53">
        <f t="shared" ca="1" si="73"/>
        <v>2838578454.7322574</v>
      </c>
      <c r="E550" s="53">
        <f t="shared" ca="1" si="74"/>
        <v>9024840889110.5488</v>
      </c>
      <c r="F550" s="53">
        <f t="shared" ca="1" si="75"/>
        <v>3440267796191.2866</v>
      </c>
      <c r="G550" s="53">
        <f t="shared" ca="1" si="76"/>
        <v>8578284211808.9668</v>
      </c>
      <c r="H550" s="53">
        <f t="shared" ca="1" si="77"/>
        <v>9024840889110.5488</v>
      </c>
      <c r="I550" s="53">
        <f t="shared" ca="1" si="78"/>
        <v>3815320144511.2402</v>
      </c>
      <c r="J550" s="53">
        <f t="shared" ca="1" si="79"/>
        <v>1384812001385.5295</v>
      </c>
      <c r="K550" s="54">
        <f t="shared" ca="1" si="80"/>
        <v>2.7551177637787245</v>
      </c>
    </row>
    <row r="551" spans="2:11" ht="15" customHeight="1" x14ac:dyDescent="0.35">
      <c r="B551" s="5">
        <v>530</v>
      </c>
      <c r="C551" s="52">
        <f t="shared" ca="1" si="72"/>
        <v>3.0383288687258907</v>
      </c>
      <c r="D551" s="53">
        <f t="shared" ca="1" si="73"/>
        <v>4642023307.9710064</v>
      </c>
      <c r="E551" s="53">
        <f t="shared" ca="1" si="74"/>
        <v>34235815055589.746</v>
      </c>
      <c r="F551" s="53">
        <f t="shared" ca="1" si="75"/>
        <v>6491475334362.0596</v>
      </c>
      <c r="G551" s="53">
        <f t="shared" ca="1" si="76"/>
        <v>1185765346182.3713</v>
      </c>
      <c r="H551" s="53">
        <f t="shared" ca="1" si="77"/>
        <v>1185765346182.3713</v>
      </c>
      <c r="I551" s="53">
        <f t="shared" ca="1" si="78"/>
        <v>943029648350.42786</v>
      </c>
      <c r="J551" s="53">
        <f t="shared" ca="1" si="79"/>
        <v>1874337426751.3064</v>
      </c>
      <c r="K551" s="54">
        <f t="shared" ca="1" si="80"/>
        <v>0.50312693695976241</v>
      </c>
    </row>
    <row r="552" spans="2:11" ht="15" customHeight="1" x14ac:dyDescent="0.35">
      <c r="B552" s="5">
        <v>531</v>
      </c>
      <c r="C552" s="52">
        <f t="shared" ca="1" si="72"/>
        <v>2.7859983118307428</v>
      </c>
      <c r="D552" s="53">
        <f t="shared" ca="1" si="73"/>
        <v>2699814199.3217316</v>
      </c>
      <c r="E552" s="53">
        <f t="shared" ca="1" si="74"/>
        <v>2574641088705.5938</v>
      </c>
      <c r="F552" s="53">
        <f t="shared" ca="1" si="75"/>
        <v>1333061975211.7036</v>
      </c>
      <c r="G552" s="53">
        <f t="shared" ca="1" si="76"/>
        <v>6609807013665.1484</v>
      </c>
      <c r="H552" s="53">
        <f t="shared" ca="1" si="77"/>
        <v>2574641088705.5938</v>
      </c>
      <c r="I552" s="53">
        <f t="shared" ca="1" si="78"/>
        <v>8598126853710.2363</v>
      </c>
      <c r="J552" s="53">
        <f t="shared" ca="1" si="79"/>
        <v>1353950696720.2864</v>
      </c>
      <c r="K552" s="54">
        <f t="shared" ca="1" si="80"/>
        <v>6.3503987807958779</v>
      </c>
    </row>
    <row r="553" spans="2:11" ht="15" customHeight="1" x14ac:dyDescent="0.35">
      <c r="B553" s="5">
        <v>532</v>
      </c>
      <c r="C553" s="52">
        <f t="shared" ca="1" si="72"/>
        <v>3.0721269824474136</v>
      </c>
      <c r="D553" s="53">
        <f t="shared" ca="1" si="73"/>
        <v>5255537380.235445</v>
      </c>
      <c r="E553" s="53">
        <f t="shared" ca="1" si="74"/>
        <v>18100733103942.742</v>
      </c>
      <c r="F553" s="53">
        <f t="shared" ca="1" si="75"/>
        <v>1335145570030.8569</v>
      </c>
      <c r="G553" s="53">
        <f t="shared" ca="1" si="76"/>
        <v>32540789181232.984</v>
      </c>
      <c r="H553" s="53">
        <f t="shared" ca="1" si="77"/>
        <v>32540789181232.984</v>
      </c>
      <c r="I553" s="53">
        <f t="shared" ca="1" si="78"/>
        <v>18506787072090.203</v>
      </c>
      <c r="J553" s="53">
        <f t="shared" ca="1" si="79"/>
        <v>1307221210849.1384</v>
      </c>
      <c r="K553" s="54">
        <f t="shared" ca="1" si="80"/>
        <v>14.157349129967569</v>
      </c>
    </row>
    <row r="554" spans="2:11" ht="15" customHeight="1" x14ac:dyDescent="0.35">
      <c r="B554" s="5">
        <v>533</v>
      </c>
      <c r="C554" s="52">
        <f t="shared" ca="1" si="72"/>
        <v>3.1125440986107367</v>
      </c>
      <c r="D554" s="53">
        <f t="shared" ca="1" si="73"/>
        <v>6482044586.1564083</v>
      </c>
      <c r="E554" s="53">
        <f t="shared" ca="1" si="74"/>
        <v>18424460486930.559</v>
      </c>
      <c r="F554" s="53">
        <f t="shared" ca="1" si="75"/>
        <v>1734919814944.8931</v>
      </c>
      <c r="G554" s="53">
        <f t="shared" ca="1" si="76"/>
        <v>4907328018079.043</v>
      </c>
      <c r="H554" s="53">
        <f t="shared" ca="1" si="77"/>
        <v>4907328018079.043</v>
      </c>
      <c r="I554" s="53">
        <f t="shared" ca="1" si="78"/>
        <v>4042228328764.7012</v>
      </c>
      <c r="J554" s="53">
        <f t="shared" ca="1" si="79"/>
        <v>1148926021551.7817</v>
      </c>
      <c r="K554" s="54">
        <f t="shared" ca="1" si="80"/>
        <v>3.5182668448096588</v>
      </c>
    </row>
    <row r="555" spans="2:11" ht="15" customHeight="1" x14ac:dyDescent="0.35">
      <c r="B555" s="5">
        <v>534</v>
      </c>
      <c r="C555" s="52">
        <f t="shared" ca="1" si="72"/>
        <v>2.9709048741781507</v>
      </c>
      <c r="D555" s="53">
        <f t="shared" ca="1" si="73"/>
        <v>3774109586.4906697</v>
      </c>
      <c r="E555" s="53">
        <f t="shared" ca="1" si="74"/>
        <v>13815642997853.404</v>
      </c>
      <c r="F555" s="53">
        <f t="shared" ca="1" si="75"/>
        <v>1961617245255.3301</v>
      </c>
      <c r="G555" s="53">
        <f t="shared" ca="1" si="76"/>
        <v>2096266557001.8208</v>
      </c>
      <c r="H555" s="53">
        <f t="shared" ca="1" si="77"/>
        <v>13815642997853.404</v>
      </c>
      <c r="I555" s="53">
        <f t="shared" ca="1" si="78"/>
        <v>2341620412807.4155</v>
      </c>
      <c r="J555" s="53">
        <f t="shared" ca="1" si="79"/>
        <v>994854590673.29993</v>
      </c>
      <c r="K555" s="54">
        <f t="shared" ca="1" si="80"/>
        <v>2.3537313239140287</v>
      </c>
    </row>
    <row r="556" spans="2:11" ht="15" customHeight="1" x14ac:dyDescent="0.35">
      <c r="B556" s="5">
        <v>535</v>
      </c>
      <c r="C556" s="52">
        <f t="shared" ca="1" si="72"/>
        <v>3.5313739073103179</v>
      </c>
      <c r="D556" s="53">
        <f t="shared" ca="1" si="73"/>
        <v>8885902015.6291618</v>
      </c>
      <c r="E556" s="53">
        <f t="shared" ca="1" si="74"/>
        <v>24718935752517.262</v>
      </c>
      <c r="F556" s="53">
        <f t="shared" ca="1" si="75"/>
        <v>1700356670612.7539</v>
      </c>
      <c r="G556" s="53">
        <f t="shared" ca="1" si="76"/>
        <v>13220251376558.264</v>
      </c>
      <c r="H556" s="53">
        <f t="shared" ca="1" si="77"/>
        <v>1700356670612.7539</v>
      </c>
      <c r="I556" s="53">
        <f t="shared" ca="1" si="78"/>
        <v>58804134777027.031</v>
      </c>
      <c r="J556" s="53">
        <f t="shared" ca="1" si="79"/>
        <v>1042531271754.5831</v>
      </c>
      <c r="K556" s="54">
        <f t="shared" ca="1" si="80"/>
        <v>56.405151931854768</v>
      </c>
    </row>
    <row r="557" spans="2:11" ht="15" customHeight="1" x14ac:dyDescent="0.35">
      <c r="B557" s="5">
        <v>536</v>
      </c>
      <c r="C557" s="52">
        <f t="shared" ca="1" si="72"/>
        <v>3.485103135525546</v>
      </c>
      <c r="D557" s="53">
        <f t="shared" ca="1" si="73"/>
        <v>12172389310.138754</v>
      </c>
      <c r="E557" s="53">
        <f t="shared" ca="1" si="74"/>
        <v>48168439640728.797</v>
      </c>
      <c r="F557" s="53">
        <f t="shared" ca="1" si="75"/>
        <v>668050301370.77771</v>
      </c>
      <c r="G557" s="53">
        <f t="shared" ca="1" si="76"/>
        <v>16174211811390.119</v>
      </c>
      <c r="H557" s="53">
        <f t="shared" ca="1" si="77"/>
        <v>48168439640728.797</v>
      </c>
      <c r="I557" s="53">
        <f t="shared" ca="1" si="78"/>
        <v>1660522646200.5203</v>
      </c>
      <c r="J557" s="53">
        <f t="shared" ca="1" si="79"/>
        <v>743049522321.86963</v>
      </c>
      <c r="K557" s="54">
        <f t="shared" ca="1" si="80"/>
        <v>2.2347402108701244</v>
      </c>
    </row>
    <row r="558" spans="2:11" ht="15" customHeight="1" x14ac:dyDescent="0.35">
      <c r="B558" s="5">
        <v>537</v>
      </c>
      <c r="C558" s="52">
        <f t="shared" ca="1" si="72"/>
        <v>3.520146040283862</v>
      </c>
      <c r="D558" s="53">
        <f t="shared" ca="1" si="73"/>
        <v>12795036942.900768</v>
      </c>
      <c r="E558" s="53">
        <f t="shared" ca="1" si="74"/>
        <v>8494351509766.5527</v>
      </c>
      <c r="F558" s="53">
        <f t="shared" ca="1" si="75"/>
        <v>11305864229070.418</v>
      </c>
      <c r="G558" s="53">
        <f t="shared" ca="1" si="76"/>
        <v>3044406205737.3965</v>
      </c>
      <c r="H558" s="53">
        <f t="shared" ca="1" si="77"/>
        <v>8494351509766.5527</v>
      </c>
      <c r="I558" s="53">
        <f t="shared" ca="1" si="78"/>
        <v>6113917171001.0898</v>
      </c>
      <c r="J558" s="53">
        <f t="shared" ca="1" si="79"/>
        <v>1268951135963.2334</v>
      </c>
      <c r="K558" s="54">
        <f t="shared" ca="1" si="80"/>
        <v>4.818087156965384</v>
      </c>
    </row>
    <row r="559" spans="2:11" ht="15" customHeight="1" x14ac:dyDescent="0.35">
      <c r="B559" s="5">
        <v>538</v>
      </c>
      <c r="C559" s="52">
        <f t="shared" ca="1" si="72"/>
        <v>3.5520481723847972</v>
      </c>
      <c r="D559" s="53">
        <f t="shared" ca="1" si="73"/>
        <v>13441053696.156406</v>
      </c>
      <c r="E559" s="53">
        <f t="shared" ca="1" si="74"/>
        <v>39654408127417.375</v>
      </c>
      <c r="F559" s="53">
        <f t="shared" ca="1" si="75"/>
        <v>4100818432449.4854</v>
      </c>
      <c r="G559" s="53">
        <f t="shared" ca="1" si="76"/>
        <v>3759524822063.9507</v>
      </c>
      <c r="H559" s="53">
        <f t="shared" ca="1" si="77"/>
        <v>4100818432449.4854</v>
      </c>
      <c r="I559" s="53">
        <f t="shared" ca="1" si="78"/>
        <v>3758379129384.458</v>
      </c>
      <c r="J559" s="53">
        <f t="shared" ca="1" si="79"/>
        <v>979742434190.27625</v>
      </c>
      <c r="K559" s="54">
        <f t="shared" ca="1" si="80"/>
        <v>3.8360889538183884</v>
      </c>
    </row>
    <row r="560" spans="2:11" ht="15" customHeight="1" x14ac:dyDescent="0.35">
      <c r="B560" s="5">
        <v>539</v>
      </c>
      <c r="C560" s="52">
        <f t="shared" ca="1" si="72"/>
        <v>3.4044187609718501</v>
      </c>
      <c r="D560" s="53">
        <f t="shared" ca="1" si="73"/>
        <v>8990637012.5184879</v>
      </c>
      <c r="E560" s="53">
        <f t="shared" ca="1" si="74"/>
        <v>65591775045641.422</v>
      </c>
      <c r="F560" s="53">
        <f t="shared" ca="1" si="75"/>
        <v>637898200941.88208</v>
      </c>
      <c r="G560" s="53">
        <f t="shared" ca="1" si="76"/>
        <v>46826468831421.711</v>
      </c>
      <c r="H560" s="53">
        <f t="shared" ca="1" si="77"/>
        <v>637898200941.88208</v>
      </c>
      <c r="I560" s="53">
        <f t="shared" ca="1" si="78"/>
        <v>1098373537018.1041</v>
      </c>
      <c r="J560" s="53">
        <f t="shared" ca="1" si="79"/>
        <v>524342747383.44037</v>
      </c>
      <c r="K560" s="54">
        <f t="shared" ca="1" si="80"/>
        <v>2.0947625241298278</v>
      </c>
    </row>
    <row r="561" spans="2:11" ht="15" customHeight="1" x14ac:dyDescent="0.35">
      <c r="B561" s="5">
        <v>540</v>
      </c>
      <c r="C561" s="52">
        <f t="shared" ca="1" si="72"/>
        <v>2.7932518324878619</v>
      </c>
      <c r="D561" s="53">
        <f t="shared" ca="1" si="73"/>
        <v>3563022264.07832</v>
      </c>
      <c r="E561" s="53">
        <f t="shared" ca="1" si="74"/>
        <v>3314027595738.7642</v>
      </c>
      <c r="F561" s="53">
        <f t="shared" ca="1" si="75"/>
        <v>6240760680685.0264</v>
      </c>
      <c r="G561" s="53">
        <f t="shared" ca="1" si="76"/>
        <v>7408905392876.4492</v>
      </c>
      <c r="H561" s="53">
        <f t="shared" ca="1" si="77"/>
        <v>6240760680685.0264</v>
      </c>
      <c r="I561" s="53">
        <f t="shared" ca="1" si="78"/>
        <v>40770764292989.727</v>
      </c>
      <c r="J561" s="53">
        <f t="shared" ca="1" si="79"/>
        <v>1288805227842.0991</v>
      </c>
      <c r="K561" s="54">
        <f t="shared" ca="1" si="80"/>
        <v>31.634542917903843</v>
      </c>
    </row>
    <row r="562" spans="2:11" ht="15" customHeight="1" x14ac:dyDescent="0.35">
      <c r="B562" s="5">
        <v>541</v>
      </c>
      <c r="C562" s="52">
        <f t="shared" ca="1" si="72"/>
        <v>3.3564911404165629</v>
      </c>
      <c r="D562" s="53">
        <f t="shared" ca="1" si="73"/>
        <v>10101574756.613188</v>
      </c>
      <c r="E562" s="53">
        <f t="shared" ca="1" si="74"/>
        <v>37522173664844.078</v>
      </c>
      <c r="F562" s="53">
        <f t="shared" ca="1" si="75"/>
        <v>5460586049256.7295</v>
      </c>
      <c r="G562" s="53">
        <f t="shared" ca="1" si="76"/>
        <v>5638513997739.1973</v>
      </c>
      <c r="H562" s="53">
        <f t="shared" ca="1" si="77"/>
        <v>5638513997739.1973</v>
      </c>
      <c r="I562" s="53">
        <f t="shared" ca="1" si="78"/>
        <v>8487488709152.3379</v>
      </c>
      <c r="J562" s="53">
        <f t="shared" ca="1" si="79"/>
        <v>1050549969903.3702</v>
      </c>
      <c r="K562" s="54">
        <f t="shared" ca="1" si="80"/>
        <v>8.0790909069589691</v>
      </c>
    </row>
    <row r="563" spans="2:11" ht="15" customHeight="1" x14ac:dyDescent="0.35">
      <c r="B563" s="5">
        <v>542</v>
      </c>
      <c r="C563" s="52">
        <f t="shared" ca="1" si="72"/>
        <v>3.7197353030378104</v>
      </c>
      <c r="D563" s="53">
        <f t="shared" ca="1" si="73"/>
        <v>14163854276.681101</v>
      </c>
      <c r="E563" s="53">
        <f t="shared" ca="1" si="74"/>
        <v>58654902907876.141</v>
      </c>
      <c r="F563" s="53">
        <f t="shared" ca="1" si="75"/>
        <v>2532752232990.896</v>
      </c>
      <c r="G563" s="53">
        <f t="shared" ca="1" si="76"/>
        <v>27909808354026.109</v>
      </c>
      <c r="H563" s="53">
        <f t="shared" ca="1" si="77"/>
        <v>2532752232990.896</v>
      </c>
      <c r="I563" s="53">
        <f t="shared" ca="1" si="78"/>
        <v>4060894373551.3145</v>
      </c>
      <c r="J563" s="53">
        <f t="shared" ca="1" si="79"/>
        <v>993268905666.23206</v>
      </c>
      <c r="K563" s="54">
        <f t="shared" ca="1" si="80"/>
        <v>4.0884138730060036</v>
      </c>
    </row>
    <row r="564" spans="2:11" ht="15" customHeight="1" x14ac:dyDescent="0.35">
      <c r="B564" s="5">
        <v>543</v>
      </c>
      <c r="C564" s="52">
        <f t="shared" ca="1" si="72"/>
        <v>3.07805003142935</v>
      </c>
      <c r="D564" s="53">
        <f t="shared" ca="1" si="73"/>
        <v>5875169355.4283924</v>
      </c>
      <c r="E564" s="53">
        <f t="shared" ca="1" si="74"/>
        <v>14405415754993.242</v>
      </c>
      <c r="F564" s="53">
        <f t="shared" ca="1" si="75"/>
        <v>2251345829706.6899</v>
      </c>
      <c r="G564" s="53">
        <f t="shared" ca="1" si="76"/>
        <v>1923046343325.9385</v>
      </c>
      <c r="H564" s="53">
        <f t="shared" ca="1" si="77"/>
        <v>2251345829706.6899</v>
      </c>
      <c r="I564" s="53">
        <f t="shared" ca="1" si="78"/>
        <v>674013454385.01636</v>
      </c>
      <c r="J564" s="53">
        <f t="shared" ca="1" si="79"/>
        <v>507482904023.67474</v>
      </c>
      <c r="K564" s="54">
        <f t="shared" ca="1" si="80"/>
        <v>1.3281500697678137</v>
      </c>
    </row>
    <row r="565" spans="2:11" ht="15" customHeight="1" x14ac:dyDescent="0.35">
      <c r="B565" s="5">
        <v>544</v>
      </c>
      <c r="C565" s="52">
        <f t="shared" ca="1" si="72"/>
        <v>2.6536229309041617</v>
      </c>
      <c r="D565" s="53">
        <f t="shared" ca="1" si="73"/>
        <v>2787609532.1874804</v>
      </c>
      <c r="E565" s="53">
        <f t="shared" ca="1" si="74"/>
        <v>3347488591816.751</v>
      </c>
      <c r="F565" s="53">
        <f t="shared" ca="1" si="75"/>
        <v>14975010832863.24</v>
      </c>
      <c r="G565" s="53">
        <f t="shared" ca="1" si="76"/>
        <v>3843741074764.0249</v>
      </c>
      <c r="H565" s="53">
        <f t="shared" ca="1" si="77"/>
        <v>3347488591816.751</v>
      </c>
      <c r="I565" s="53">
        <f t="shared" ca="1" si="78"/>
        <v>3005600305799.0801</v>
      </c>
      <c r="J565" s="53">
        <f t="shared" ca="1" si="79"/>
        <v>876466323918.61829</v>
      </c>
      <c r="K565" s="54">
        <f t="shared" ca="1" si="80"/>
        <v>3.4292250868935339</v>
      </c>
    </row>
    <row r="566" spans="2:11" ht="15" customHeight="1" x14ac:dyDescent="0.35">
      <c r="B566" s="5">
        <v>545</v>
      </c>
      <c r="C566" s="52">
        <f t="shared" ca="1" si="72"/>
        <v>2.3410284714519047</v>
      </c>
      <c r="D566" s="53">
        <f t="shared" ca="1" si="73"/>
        <v>1295787210.2196021</v>
      </c>
      <c r="E566" s="53">
        <f t="shared" ca="1" si="74"/>
        <v>2967971923809.8242</v>
      </c>
      <c r="F566" s="53">
        <f t="shared" ca="1" si="75"/>
        <v>815849045783.43225</v>
      </c>
      <c r="G566" s="53">
        <f t="shared" ca="1" si="76"/>
        <v>3086963049034.4307</v>
      </c>
      <c r="H566" s="53">
        <f t="shared" ca="1" si="77"/>
        <v>2967971923809.8242</v>
      </c>
      <c r="I566" s="53">
        <f t="shared" ca="1" si="78"/>
        <v>21695779089846.359</v>
      </c>
      <c r="J566" s="53">
        <f t="shared" ca="1" si="79"/>
        <v>1006669249415.0854</v>
      </c>
      <c r="K566" s="54">
        <f t="shared" ca="1" si="80"/>
        <v>21.552043138749358</v>
      </c>
    </row>
    <row r="567" spans="2:11" ht="15" customHeight="1" x14ac:dyDescent="0.35">
      <c r="B567" s="5">
        <v>546</v>
      </c>
      <c r="C567" s="52">
        <f t="shared" ca="1" si="72"/>
        <v>2.2356710310646184</v>
      </c>
      <c r="D567" s="53">
        <f t="shared" ca="1" si="73"/>
        <v>1239426402.0010703</v>
      </c>
      <c r="E567" s="53">
        <f t="shared" ca="1" si="74"/>
        <v>3250597092694.4951</v>
      </c>
      <c r="F567" s="53">
        <f t="shared" ca="1" si="75"/>
        <v>2272414960060.7261</v>
      </c>
      <c r="G567" s="53">
        <f t="shared" ca="1" si="76"/>
        <v>1971739572474.335</v>
      </c>
      <c r="H567" s="53">
        <f t="shared" ca="1" si="77"/>
        <v>1971739572474.335</v>
      </c>
      <c r="I567" s="53">
        <f t="shared" ca="1" si="78"/>
        <v>4950338564378.3447</v>
      </c>
      <c r="J567" s="53">
        <f t="shared" ca="1" si="79"/>
        <v>915900593429.88196</v>
      </c>
      <c r="K567" s="54">
        <f t="shared" ca="1" si="80"/>
        <v>5.4048862943086684</v>
      </c>
    </row>
    <row r="568" spans="2:11" ht="15" customHeight="1" x14ac:dyDescent="0.35">
      <c r="B568" s="5">
        <v>547</v>
      </c>
      <c r="C568" s="52">
        <f t="shared" ca="1" si="72"/>
        <v>2.7892531951628139</v>
      </c>
      <c r="D568" s="53">
        <f t="shared" ca="1" si="73"/>
        <v>3508797509.9167352</v>
      </c>
      <c r="E568" s="53">
        <f t="shared" ca="1" si="74"/>
        <v>47480532696766.68</v>
      </c>
      <c r="F568" s="53">
        <f t="shared" ca="1" si="75"/>
        <v>4345537876518.8853</v>
      </c>
      <c r="G568" s="53">
        <f t="shared" ca="1" si="76"/>
        <v>4231168881509.4302</v>
      </c>
      <c r="H568" s="53">
        <f t="shared" ca="1" si="77"/>
        <v>4231168881509.4302</v>
      </c>
      <c r="I568" s="53">
        <f t="shared" ca="1" si="78"/>
        <v>20136714293668.512</v>
      </c>
      <c r="J568" s="53">
        <f t="shared" ca="1" si="79"/>
        <v>1635436153342.8169</v>
      </c>
      <c r="K568" s="54">
        <f t="shared" ca="1" si="80"/>
        <v>12.312748652712152</v>
      </c>
    </row>
    <row r="569" spans="2:11" ht="15" customHeight="1" x14ac:dyDescent="0.35">
      <c r="B569" s="5">
        <v>548</v>
      </c>
      <c r="C569" s="52">
        <f t="shared" ca="1" si="72"/>
        <v>3.3842803341139898</v>
      </c>
      <c r="D569" s="53">
        <f t="shared" ca="1" si="73"/>
        <v>9007982127.6937084</v>
      </c>
      <c r="E569" s="53">
        <f t="shared" ca="1" si="74"/>
        <v>45745364099149.57</v>
      </c>
      <c r="F569" s="53">
        <f t="shared" ca="1" si="75"/>
        <v>4012402338334.498</v>
      </c>
      <c r="G569" s="53">
        <f t="shared" ca="1" si="76"/>
        <v>522725687893.94525</v>
      </c>
      <c r="H569" s="53">
        <f t="shared" ca="1" si="77"/>
        <v>522725687893.94525</v>
      </c>
      <c r="I569" s="53">
        <f t="shared" ca="1" si="78"/>
        <v>25593255901275.719</v>
      </c>
      <c r="J569" s="53">
        <f t="shared" ca="1" si="79"/>
        <v>1356985850668.9094</v>
      </c>
      <c r="K569" s="54">
        <f t="shared" ca="1" si="80"/>
        <v>18.860370495874985</v>
      </c>
    </row>
    <row r="570" spans="2:11" ht="15" customHeight="1" x14ac:dyDescent="0.35">
      <c r="B570" s="5">
        <v>549</v>
      </c>
      <c r="C570" s="52">
        <f t="shared" ca="1" si="72"/>
        <v>2.8524187999334836</v>
      </c>
      <c r="D570" s="53">
        <f t="shared" ca="1" si="73"/>
        <v>3806613659.7772994</v>
      </c>
      <c r="E570" s="53">
        <f t="shared" ca="1" si="74"/>
        <v>71812284448370.422</v>
      </c>
      <c r="F570" s="53">
        <f t="shared" ca="1" si="75"/>
        <v>2182568526202.7424</v>
      </c>
      <c r="G570" s="53">
        <f t="shared" ca="1" si="76"/>
        <v>10967174128684.895</v>
      </c>
      <c r="H570" s="53">
        <f t="shared" ca="1" si="77"/>
        <v>2182568526202.7424</v>
      </c>
      <c r="I570" s="53">
        <f t="shared" ca="1" si="78"/>
        <v>14980335965132.555</v>
      </c>
      <c r="J570" s="53">
        <f t="shared" ca="1" si="79"/>
        <v>974254744477.52759</v>
      </c>
      <c r="K570" s="54">
        <f t="shared" ca="1" si="80"/>
        <v>15.376200167407134</v>
      </c>
    </row>
    <row r="571" spans="2:11" ht="15" customHeight="1" x14ac:dyDescent="0.35">
      <c r="B571" s="5">
        <v>550</v>
      </c>
      <c r="C571" s="52">
        <f t="shared" ca="1" si="72"/>
        <v>3.1914351959828089</v>
      </c>
      <c r="D571" s="53">
        <f t="shared" ca="1" si="73"/>
        <v>7396714508.6335201</v>
      </c>
      <c r="E571" s="53">
        <f t="shared" ca="1" si="74"/>
        <v>35308942554072.75</v>
      </c>
      <c r="F571" s="53">
        <f t="shared" ca="1" si="75"/>
        <v>5998563521660.2939</v>
      </c>
      <c r="G571" s="53">
        <f t="shared" ca="1" si="76"/>
        <v>22801159017716.551</v>
      </c>
      <c r="H571" s="53">
        <f t="shared" ca="1" si="77"/>
        <v>35308942554072.75</v>
      </c>
      <c r="I571" s="53">
        <f t="shared" ca="1" si="78"/>
        <v>2751049488495.6123</v>
      </c>
      <c r="J571" s="53">
        <f t="shared" ca="1" si="79"/>
        <v>656880365847.08362</v>
      </c>
      <c r="K571" s="54">
        <f t="shared" ca="1" si="80"/>
        <v>4.1880525458360776</v>
      </c>
    </row>
    <row r="572" spans="2:11" ht="15" customHeight="1" x14ac:dyDescent="0.35">
      <c r="B572" s="5">
        <v>551</v>
      </c>
      <c r="C572" s="52">
        <f t="shared" ca="1" si="72"/>
        <v>3.4175149220893455</v>
      </c>
      <c r="D572" s="53">
        <f t="shared" ca="1" si="73"/>
        <v>9323730113.1491547</v>
      </c>
      <c r="E572" s="53">
        <f t="shared" ca="1" si="74"/>
        <v>94178430458661.438</v>
      </c>
      <c r="F572" s="53">
        <f t="shared" ca="1" si="75"/>
        <v>1364343886253.6157</v>
      </c>
      <c r="G572" s="53">
        <f t="shared" ca="1" si="76"/>
        <v>23503717312273.043</v>
      </c>
      <c r="H572" s="53">
        <f t="shared" ca="1" si="77"/>
        <v>23503717312273.043</v>
      </c>
      <c r="I572" s="53">
        <f t="shared" ca="1" si="78"/>
        <v>7061184860324.9375</v>
      </c>
      <c r="J572" s="53">
        <f t="shared" ca="1" si="79"/>
        <v>864482693913.19824</v>
      </c>
      <c r="K572" s="54">
        <f t="shared" ca="1" si="80"/>
        <v>8.1681043588756257</v>
      </c>
    </row>
    <row r="573" spans="2:11" ht="15" customHeight="1" x14ac:dyDescent="0.35">
      <c r="B573" s="5">
        <v>552</v>
      </c>
      <c r="C573" s="52">
        <f t="shared" ca="1" si="72"/>
        <v>2.6829773863532314</v>
      </c>
      <c r="D573" s="53">
        <f t="shared" ca="1" si="73"/>
        <v>3173681382.3784232</v>
      </c>
      <c r="E573" s="53">
        <f t="shared" ca="1" si="74"/>
        <v>2345391637060.8516</v>
      </c>
      <c r="F573" s="53">
        <f t="shared" ca="1" si="75"/>
        <v>1893580035961.28</v>
      </c>
      <c r="G573" s="53">
        <f t="shared" ca="1" si="76"/>
        <v>68238258028183.891</v>
      </c>
      <c r="H573" s="53">
        <f t="shared" ca="1" si="77"/>
        <v>68238258028183.891</v>
      </c>
      <c r="I573" s="53">
        <f t="shared" ca="1" si="78"/>
        <v>14152388641564.916</v>
      </c>
      <c r="J573" s="53">
        <f t="shared" ca="1" si="79"/>
        <v>672020899858.99426</v>
      </c>
      <c r="K573" s="54">
        <f t="shared" ca="1" si="80"/>
        <v>21.059447175726856</v>
      </c>
    </row>
    <row r="574" spans="2:11" ht="15" customHeight="1" x14ac:dyDescent="0.35">
      <c r="B574" s="5">
        <v>553</v>
      </c>
      <c r="C574" s="52">
        <f t="shared" ca="1" si="72"/>
        <v>2.5210357258379945</v>
      </c>
      <c r="D574" s="53">
        <f t="shared" ca="1" si="73"/>
        <v>2145162111.0490735</v>
      </c>
      <c r="E574" s="53">
        <f t="shared" ca="1" si="74"/>
        <v>2280650110612.8638</v>
      </c>
      <c r="F574" s="53">
        <f t="shared" ca="1" si="75"/>
        <v>5706391559203.8203</v>
      </c>
      <c r="G574" s="53">
        <f t="shared" ca="1" si="76"/>
        <v>30057947029086.75</v>
      </c>
      <c r="H574" s="53">
        <f t="shared" ca="1" si="77"/>
        <v>5706391559203.8203</v>
      </c>
      <c r="I574" s="53">
        <f t="shared" ca="1" si="78"/>
        <v>1402494718433.5967</v>
      </c>
      <c r="J574" s="53">
        <f t="shared" ca="1" si="79"/>
        <v>1279748136910.0522</v>
      </c>
      <c r="K574" s="54">
        <f t="shared" ca="1" si="80"/>
        <v>1.0959146397508464</v>
      </c>
    </row>
    <row r="575" spans="2:11" ht="15" customHeight="1" x14ac:dyDescent="0.35">
      <c r="B575" s="5">
        <v>554</v>
      </c>
      <c r="C575" s="52">
        <f t="shared" ca="1" si="72"/>
        <v>2.8587422727858853</v>
      </c>
      <c r="D575" s="53">
        <f t="shared" ca="1" si="73"/>
        <v>3868929377.3901219</v>
      </c>
      <c r="E575" s="53">
        <f t="shared" ca="1" si="74"/>
        <v>27122650912812.32</v>
      </c>
      <c r="F575" s="53">
        <f t="shared" ca="1" si="75"/>
        <v>851522927807.14502</v>
      </c>
      <c r="G575" s="53">
        <f t="shared" ca="1" si="76"/>
        <v>8701935585957.21</v>
      </c>
      <c r="H575" s="53">
        <f t="shared" ca="1" si="77"/>
        <v>27122650912812.32</v>
      </c>
      <c r="I575" s="53">
        <f t="shared" ca="1" si="78"/>
        <v>124233201225600.41</v>
      </c>
      <c r="J575" s="53">
        <f t="shared" ca="1" si="79"/>
        <v>1392545149640.7791</v>
      </c>
      <c r="K575" s="54">
        <f t="shared" ca="1" si="80"/>
        <v>89.213050835477475</v>
      </c>
    </row>
    <row r="576" spans="2:11" ht="15" customHeight="1" x14ac:dyDescent="0.35">
      <c r="B576" s="5">
        <v>555</v>
      </c>
      <c r="C576" s="52">
        <f t="shared" ca="1" si="72"/>
        <v>2.2636792206782417</v>
      </c>
      <c r="D576" s="53">
        <f t="shared" ca="1" si="73"/>
        <v>984132265.02905798</v>
      </c>
      <c r="E576" s="53">
        <f t="shared" ca="1" si="74"/>
        <v>9445744547474.7695</v>
      </c>
      <c r="F576" s="53">
        <f t="shared" ca="1" si="75"/>
        <v>6137356973953.1816</v>
      </c>
      <c r="G576" s="53">
        <f t="shared" ca="1" si="76"/>
        <v>62012788221256.414</v>
      </c>
      <c r="H576" s="53">
        <f t="shared" ca="1" si="77"/>
        <v>62012788221256.414</v>
      </c>
      <c r="I576" s="53">
        <f t="shared" ca="1" si="78"/>
        <v>1573056954401.8438</v>
      </c>
      <c r="J576" s="53">
        <f t="shared" ca="1" si="79"/>
        <v>1193439822640.3826</v>
      </c>
      <c r="K576" s="54">
        <f t="shared" ca="1" si="80"/>
        <v>1.3180865298441198</v>
      </c>
    </row>
    <row r="577" spans="2:11" ht="15" customHeight="1" x14ac:dyDescent="0.35">
      <c r="B577" s="5">
        <v>556</v>
      </c>
      <c r="C577" s="52">
        <f t="shared" ca="1" si="72"/>
        <v>2.4725087692506866</v>
      </c>
      <c r="D577" s="53">
        <f t="shared" ca="1" si="73"/>
        <v>2023209163.9663219</v>
      </c>
      <c r="E577" s="53">
        <f t="shared" ca="1" si="74"/>
        <v>13246584038780.879</v>
      </c>
      <c r="F577" s="53">
        <f t="shared" ca="1" si="75"/>
        <v>1479510366145.8442</v>
      </c>
      <c r="G577" s="53">
        <f t="shared" ca="1" si="76"/>
        <v>17860948418537.066</v>
      </c>
      <c r="H577" s="53">
        <f t="shared" ca="1" si="77"/>
        <v>1479510366145.8442</v>
      </c>
      <c r="I577" s="53">
        <f t="shared" ca="1" si="78"/>
        <v>87206818580467.547</v>
      </c>
      <c r="J577" s="53">
        <f t="shared" ca="1" si="79"/>
        <v>750892721858.64368</v>
      </c>
      <c r="K577" s="54">
        <f t="shared" ca="1" si="80"/>
        <v>116.13752010354992</v>
      </c>
    </row>
    <row r="578" spans="2:11" ht="15" customHeight="1" x14ac:dyDescent="0.35">
      <c r="B578" s="5">
        <v>557</v>
      </c>
      <c r="C578" s="52">
        <f t="shared" ca="1" si="72"/>
        <v>1.8062290645957393</v>
      </c>
      <c r="D578" s="53">
        <f t="shared" ca="1" si="73"/>
        <v>452420271.98607337</v>
      </c>
      <c r="E578" s="53">
        <f t="shared" ca="1" si="74"/>
        <v>731315264389.849</v>
      </c>
      <c r="F578" s="53">
        <f t="shared" ca="1" si="75"/>
        <v>5007405062790.0234</v>
      </c>
      <c r="G578" s="53">
        <f t="shared" ca="1" si="76"/>
        <v>9580076719421.0332</v>
      </c>
      <c r="H578" s="53">
        <f t="shared" ca="1" si="77"/>
        <v>5007405062790.0234</v>
      </c>
      <c r="I578" s="53">
        <f t="shared" ca="1" si="78"/>
        <v>2673007913157.5742</v>
      </c>
      <c r="J578" s="53">
        <f t="shared" ca="1" si="79"/>
        <v>918700091996.98059</v>
      </c>
      <c r="K578" s="54">
        <f t="shared" ca="1" si="80"/>
        <v>2.9095544198186052</v>
      </c>
    </row>
    <row r="579" spans="2:11" ht="15" customHeight="1" x14ac:dyDescent="0.35">
      <c r="B579" s="5">
        <v>558</v>
      </c>
      <c r="C579" s="52">
        <f t="shared" ca="1" si="72"/>
        <v>2.9640284958380358</v>
      </c>
      <c r="D579" s="53">
        <f t="shared" ca="1" si="73"/>
        <v>4067151860.5304289</v>
      </c>
      <c r="E579" s="53">
        <f t="shared" ca="1" si="74"/>
        <v>9180077520146.0508</v>
      </c>
      <c r="F579" s="53">
        <f t="shared" ca="1" si="75"/>
        <v>4609019837744.0566</v>
      </c>
      <c r="G579" s="53">
        <f t="shared" ca="1" si="76"/>
        <v>8971467875386.4512</v>
      </c>
      <c r="H579" s="53">
        <f t="shared" ca="1" si="77"/>
        <v>9180077520146.0508</v>
      </c>
      <c r="I579" s="53">
        <f t="shared" ca="1" si="78"/>
        <v>4307503079773.0747</v>
      </c>
      <c r="J579" s="53">
        <f t="shared" ca="1" si="79"/>
        <v>1036584045368.6733</v>
      </c>
      <c r="K579" s="54">
        <f t="shared" ca="1" si="80"/>
        <v>4.1554788528903703</v>
      </c>
    </row>
    <row r="580" spans="2:11" ht="15" customHeight="1" x14ac:dyDescent="0.35">
      <c r="B580" s="5">
        <v>559</v>
      </c>
      <c r="C580" s="52">
        <f t="shared" ca="1" si="72"/>
        <v>3.0471293826286683</v>
      </c>
      <c r="D580" s="53">
        <f t="shared" ca="1" si="73"/>
        <v>6227969319.0864897</v>
      </c>
      <c r="E580" s="53">
        <f t="shared" ca="1" si="74"/>
        <v>13520089560024.469</v>
      </c>
      <c r="F580" s="53">
        <f t="shared" ca="1" si="75"/>
        <v>540050054776.44507</v>
      </c>
      <c r="G580" s="53">
        <f t="shared" ca="1" si="76"/>
        <v>3806373065123.5044</v>
      </c>
      <c r="H580" s="53">
        <f t="shared" ca="1" si="77"/>
        <v>13520089560024.469</v>
      </c>
      <c r="I580" s="53">
        <f t="shared" ca="1" si="78"/>
        <v>22201582650353.48</v>
      </c>
      <c r="J580" s="53">
        <f t="shared" ca="1" si="79"/>
        <v>800160413673.19556</v>
      </c>
      <c r="K580" s="54">
        <f t="shared" ca="1" si="80"/>
        <v>27.746414682570304</v>
      </c>
    </row>
    <row r="581" spans="2:11" ht="15" customHeight="1" x14ac:dyDescent="0.35">
      <c r="B581" s="5">
        <v>560</v>
      </c>
      <c r="C581" s="52">
        <f t="shared" ca="1" si="72"/>
        <v>2.9817200577435683</v>
      </c>
      <c r="D581" s="53">
        <f t="shared" ca="1" si="73"/>
        <v>5553253488.4633245</v>
      </c>
      <c r="E581" s="53">
        <f t="shared" ca="1" si="74"/>
        <v>11713575262201.1</v>
      </c>
      <c r="F581" s="53">
        <f t="shared" ca="1" si="75"/>
        <v>1795177323652.8628</v>
      </c>
      <c r="G581" s="53">
        <f t="shared" ca="1" si="76"/>
        <v>912099401373.00793</v>
      </c>
      <c r="H581" s="53">
        <f t="shared" ca="1" si="77"/>
        <v>912099401373.00793</v>
      </c>
      <c r="I581" s="53">
        <f t="shared" ca="1" si="78"/>
        <v>1400422527203.6145</v>
      </c>
      <c r="J581" s="53">
        <f t="shared" ca="1" si="79"/>
        <v>1145763099692.9727</v>
      </c>
      <c r="K581" s="54">
        <f t="shared" ca="1" si="80"/>
        <v>1.2222618511443442</v>
      </c>
    </row>
    <row r="582" spans="2:11" ht="15" customHeight="1" x14ac:dyDescent="0.35">
      <c r="B582" s="5">
        <v>561</v>
      </c>
      <c r="C582" s="52">
        <f t="shared" ca="1" si="72"/>
        <v>3.5649482698276516</v>
      </c>
      <c r="D582" s="53">
        <f t="shared" ca="1" si="73"/>
        <v>10948355578.334337</v>
      </c>
      <c r="E582" s="53">
        <f t="shared" ca="1" si="74"/>
        <v>40716468812705.07</v>
      </c>
      <c r="F582" s="53">
        <f t="shared" ca="1" si="75"/>
        <v>4294588860596.5059</v>
      </c>
      <c r="G582" s="53">
        <f t="shared" ca="1" si="76"/>
        <v>1111092821232.7542</v>
      </c>
      <c r="H582" s="53">
        <f t="shared" ca="1" si="77"/>
        <v>4294588860596.5059</v>
      </c>
      <c r="I582" s="53">
        <f t="shared" ca="1" si="78"/>
        <v>6958624877031.7578</v>
      </c>
      <c r="J582" s="53">
        <f t="shared" ca="1" si="79"/>
        <v>1085205994796.2966</v>
      </c>
      <c r="K582" s="54">
        <f t="shared" ca="1" si="80"/>
        <v>6.4122617368492856</v>
      </c>
    </row>
    <row r="583" spans="2:11" ht="15" customHeight="1" x14ac:dyDescent="0.35">
      <c r="B583" s="5">
        <v>562</v>
      </c>
      <c r="C583" s="52">
        <f t="shared" ca="1" si="72"/>
        <v>3.1144057833301129</v>
      </c>
      <c r="D583" s="53">
        <f t="shared" ca="1" si="73"/>
        <v>6450118056.3372297</v>
      </c>
      <c r="E583" s="53">
        <f t="shared" ca="1" si="74"/>
        <v>30165022357408.969</v>
      </c>
      <c r="F583" s="53">
        <f t="shared" ca="1" si="75"/>
        <v>6241875682357.2813</v>
      </c>
      <c r="G583" s="53">
        <f t="shared" ca="1" si="76"/>
        <v>11008679802862.932</v>
      </c>
      <c r="H583" s="53">
        <f t="shared" ca="1" si="77"/>
        <v>30165022357408.969</v>
      </c>
      <c r="I583" s="53">
        <f t="shared" ca="1" si="78"/>
        <v>8976546910520.959</v>
      </c>
      <c r="J583" s="53">
        <f t="shared" ca="1" si="79"/>
        <v>768764995519.84741</v>
      </c>
      <c r="K583" s="54">
        <f t="shared" ca="1" si="80"/>
        <v>11.67658122161366</v>
      </c>
    </row>
    <row r="584" spans="2:11" ht="15" customHeight="1" x14ac:dyDescent="0.35">
      <c r="B584" s="5">
        <v>563</v>
      </c>
      <c r="C584" s="52">
        <f t="shared" ca="1" si="72"/>
        <v>3.4595244918515133</v>
      </c>
      <c r="D584" s="53">
        <f t="shared" ca="1" si="73"/>
        <v>9273246528.4145851</v>
      </c>
      <c r="E584" s="53">
        <f t="shared" ca="1" si="74"/>
        <v>6412925954343.7393</v>
      </c>
      <c r="F584" s="53">
        <f t="shared" ca="1" si="75"/>
        <v>1804130566454.6619</v>
      </c>
      <c r="G584" s="53">
        <f t="shared" ca="1" si="76"/>
        <v>42170563317651.609</v>
      </c>
      <c r="H584" s="53">
        <f t="shared" ca="1" si="77"/>
        <v>42170563317651.609</v>
      </c>
      <c r="I584" s="53">
        <f t="shared" ca="1" si="78"/>
        <v>6912880379278.8896</v>
      </c>
      <c r="J584" s="53">
        <f t="shared" ca="1" si="79"/>
        <v>733915491624.84399</v>
      </c>
      <c r="K584" s="54">
        <f t="shared" ca="1" si="80"/>
        <v>9.4191776276233057</v>
      </c>
    </row>
    <row r="585" spans="2:11" ht="15" customHeight="1" x14ac:dyDescent="0.35">
      <c r="B585" s="5">
        <v>564</v>
      </c>
      <c r="C585" s="52">
        <f t="shared" ca="1" si="72"/>
        <v>2.2889838956397899</v>
      </c>
      <c r="D585" s="53">
        <f t="shared" ca="1" si="73"/>
        <v>1343556159.1528807</v>
      </c>
      <c r="E585" s="53">
        <f t="shared" ca="1" si="74"/>
        <v>6794418969276.2119</v>
      </c>
      <c r="F585" s="53">
        <f t="shared" ca="1" si="75"/>
        <v>10168117633853.678</v>
      </c>
      <c r="G585" s="53">
        <f t="shared" ca="1" si="76"/>
        <v>2347798188254.2959</v>
      </c>
      <c r="H585" s="53">
        <f t="shared" ca="1" si="77"/>
        <v>10168117633853.678</v>
      </c>
      <c r="I585" s="53">
        <f t="shared" ca="1" si="78"/>
        <v>19529249872967.672</v>
      </c>
      <c r="J585" s="53">
        <f t="shared" ca="1" si="79"/>
        <v>959331769229.52222</v>
      </c>
      <c r="K585" s="54">
        <f t="shared" ca="1" si="80"/>
        <v>20.3571386869137</v>
      </c>
    </row>
    <row r="586" spans="2:11" ht="15" customHeight="1" x14ac:dyDescent="0.35">
      <c r="B586" s="5">
        <v>565</v>
      </c>
      <c r="C586" s="52">
        <f t="shared" ca="1" si="72"/>
        <v>2.9295607272841084</v>
      </c>
      <c r="D586" s="53">
        <f t="shared" ca="1" si="73"/>
        <v>4711951756.7335405</v>
      </c>
      <c r="E586" s="53">
        <f t="shared" ca="1" si="74"/>
        <v>3188634630296.2334</v>
      </c>
      <c r="F586" s="53">
        <f t="shared" ca="1" si="75"/>
        <v>4602514605501.5469</v>
      </c>
      <c r="G586" s="53">
        <f t="shared" ca="1" si="76"/>
        <v>840011030502.23071</v>
      </c>
      <c r="H586" s="53">
        <f t="shared" ca="1" si="77"/>
        <v>840011030502.23071</v>
      </c>
      <c r="I586" s="53">
        <f t="shared" ca="1" si="78"/>
        <v>14347492247298.977</v>
      </c>
      <c r="J586" s="53">
        <f t="shared" ca="1" si="79"/>
        <v>639246332920.96362</v>
      </c>
      <c r="K586" s="54">
        <f t="shared" ca="1" si="80"/>
        <v>22.444387254815741</v>
      </c>
    </row>
    <row r="587" spans="2:11" ht="15" customHeight="1" x14ac:dyDescent="0.35">
      <c r="B587" s="5">
        <v>566</v>
      </c>
      <c r="C587" s="52">
        <f t="shared" ca="1" si="72"/>
        <v>3.2827082710536892</v>
      </c>
      <c r="D587" s="53">
        <f t="shared" ca="1" si="73"/>
        <v>8110051429.0976048</v>
      </c>
      <c r="E587" s="53">
        <f t="shared" ca="1" si="74"/>
        <v>57330339938281.375</v>
      </c>
      <c r="F587" s="53">
        <f t="shared" ca="1" si="75"/>
        <v>3170734095169.7593</v>
      </c>
      <c r="G587" s="53">
        <f t="shared" ca="1" si="76"/>
        <v>3375458007150.3042</v>
      </c>
      <c r="H587" s="53">
        <f t="shared" ca="1" si="77"/>
        <v>57330339938281.375</v>
      </c>
      <c r="I587" s="53">
        <f t="shared" ca="1" si="78"/>
        <v>2818927927875.2666</v>
      </c>
      <c r="J587" s="53">
        <f t="shared" ca="1" si="79"/>
        <v>1391327499155.8638</v>
      </c>
      <c r="K587" s="54">
        <f t="shared" ca="1" si="80"/>
        <v>2.0260707343062982</v>
      </c>
    </row>
    <row r="588" spans="2:11" ht="15" customHeight="1" x14ac:dyDescent="0.35">
      <c r="B588" s="5">
        <v>567</v>
      </c>
      <c r="C588" s="52">
        <f t="shared" ca="1" si="72"/>
        <v>2.8257155754191143</v>
      </c>
      <c r="D588" s="53">
        <f t="shared" ca="1" si="73"/>
        <v>3783571164.1271887</v>
      </c>
      <c r="E588" s="53">
        <f t="shared" ca="1" si="74"/>
        <v>8357896260978.1699</v>
      </c>
      <c r="F588" s="53">
        <f t="shared" ca="1" si="75"/>
        <v>2859016876306.9639</v>
      </c>
      <c r="G588" s="53">
        <f t="shared" ca="1" si="76"/>
        <v>5695708578966.2354</v>
      </c>
      <c r="H588" s="53">
        <f t="shared" ca="1" si="77"/>
        <v>2859016876306.9639</v>
      </c>
      <c r="I588" s="53">
        <f t="shared" ca="1" si="78"/>
        <v>1894442889424.8235</v>
      </c>
      <c r="J588" s="53">
        <f t="shared" ca="1" si="79"/>
        <v>1155544200033.1907</v>
      </c>
      <c r="K588" s="54">
        <f t="shared" ca="1" si="80"/>
        <v>1.6394378418154922</v>
      </c>
    </row>
    <row r="589" spans="2:11" ht="15" customHeight="1" x14ac:dyDescent="0.35">
      <c r="B589" s="5">
        <v>568</v>
      </c>
      <c r="C589" s="52">
        <f t="shared" ca="1" si="72"/>
        <v>3.8396911488337531</v>
      </c>
      <c r="D589" s="53">
        <f t="shared" ca="1" si="73"/>
        <v>14064505978.016239</v>
      </c>
      <c r="E589" s="53">
        <f t="shared" ca="1" si="74"/>
        <v>8787140051076.3604</v>
      </c>
      <c r="F589" s="53">
        <f t="shared" ca="1" si="75"/>
        <v>25256302758574.371</v>
      </c>
      <c r="G589" s="53">
        <f t="shared" ca="1" si="76"/>
        <v>28193440008623.895</v>
      </c>
      <c r="H589" s="53">
        <f t="shared" ca="1" si="77"/>
        <v>28193440008623.895</v>
      </c>
      <c r="I589" s="53">
        <f t="shared" ca="1" si="78"/>
        <v>41391887881095.922</v>
      </c>
      <c r="J589" s="53">
        <f t="shared" ca="1" si="79"/>
        <v>687355983633.39355</v>
      </c>
      <c r="K589" s="54">
        <f t="shared" ca="1" si="80"/>
        <v>60.218996948708593</v>
      </c>
    </row>
    <row r="590" spans="2:11" ht="15" customHeight="1" x14ac:dyDescent="0.35">
      <c r="B590" s="5">
        <v>569</v>
      </c>
      <c r="C590" s="52">
        <f t="shared" ca="1" si="72"/>
        <v>2.5001835926271703</v>
      </c>
      <c r="D590" s="53">
        <f t="shared" ca="1" si="73"/>
        <v>2324736007.5711946</v>
      </c>
      <c r="E590" s="53">
        <f t="shared" ca="1" si="74"/>
        <v>22405391005598.105</v>
      </c>
      <c r="F590" s="53">
        <f t="shared" ca="1" si="75"/>
        <v>4107092793707.6826</v>
      </c>
      <c r="G590" s="53">
        <f t="shared" ca="1" si="76"/>
        <v>536416739591.17261</v>
      </c>
      <c r="H590" s="53">
        <f t="shared" ca="1" si="77"/>
        <v>536416739591.17261</v>
      </c>
      <c r="I590" s="53">
        <f t="shared" ca="1" si="78"/>
        <v>1181386171068.6782</v>
      </c>
      <c r="J590" s="53">
        <f t="shared" ca="1" si="79"/>
        <v>774724382012.31726</v>
      </c>
      <c r="K590" s="54">
        <f t="shared" ca="1" si="80"/>
        <v>1.5249115666142743</v>
      </c>
    </row>
    <row r="591" spans="2:11" ht="15" customHeight="1" x14ac:dyDescent="0.35">
      <c r="B591" s="5">
        <v>570</v>
      </c>
      <c r="C591" s="52">
        <f t="shared" ca="1" si="72"/>
        <v>3.4388793863702016</v>
      </c>
      <c r="D591" s="53">
        <f t="shared" ca="1" si="73"/>
        <v>10169681398.578617</v>
      </c>
      <c r="E591" s="53">
        <f t="shared" ca="1" si="74"/>
        <v>71877541758437.938</v>
      </c>
      <c r="F591" s="53">
        <f t="shared" ca="1" si="75"/>
        <v>6402382278101.6602</v>
      </c>
      <c r="G591" s="53">
        <f t="shared" ca="1" si="76"/>
        <v>189041793457.60287</v>
      </c>
      <c r="H591" s="53">
        <f t="shared" ca="1" si="77"/>
        <v>6402382278101.6602</v>
      </c>
      <c r="I591" s="53">
        <f t="shared" ca="1" si="78"/>
        <v>43281668858679.961</v>
      </c>
      <c r="J591" s="53">
        <f t="shared" ca="1" si="79"/>
        <v>1212064933813.7285</v>
      </c>
      <c r="K591" s="54">
        <f t="shared" ca="1" si="80"/>
        <v>35.709034764742675</v>
      </c>
    </row>
    <row r="592" spans="2:11" ht="15" customHeight="1" x14ac:dyDescent="0.35">
      <c r="B592" s="5">
        <v>571</v>
      </c>
      <c r="C592" s="52">
        <f t="shared" ca="1" si="72"/>
        <v>2.4831859065037061</v>
      </c>
      <c r="D592" s="53">
        <f t="shared" ca="1" si="73"/>
        <v>2128187623.3531747</v>
      </c>
      <c r="E592" s="53">
        <f t="shared" ca="1" si="74"/>
        <v>3473969825229.4351</v>
      </c>
      <c r="F592" s="53">
        <f t="shared" ca="1" si="75"/>
        <v>16802921611100.914</v>
      </c>
      <c r="G592" s="53">
        <f t="shared" ca="1" si="76"/>
        <v>4563129845430.752</v>
      </c>
      <c r="H592" s="53">
        <f t="shared" ca="1" si="77"/>
        <v>4563129845430.752</v>
      </c>
      <c r="I592" s="53">
        <f t="shared" ca="1" si="78"/>
        <v>2940774679358.1035</v>
      </c>
      <c r="J592" s="53">
        <f t="shared" ca="1" si="79"/>
        <v>1755034441324.3406</v>
      </c>
      <c r="K592" s="54">
        <f t="shared" ca="1" si="80"/>
        <v>1.6756222043933275</v>
      </c>
    </row>
    <row r="593" spans="2:11" ht="15" customHeight="1" x14ac:dyDescent="0.35">
      <c r="B593" s="5">
        <v>572</v>
      </c>
      <c r="C593" s="52">
        <f t="shared" ca="1" si="72"/>
        <v>3.1733253174241889</v>
      </c>
      <c r="D593" s="53">
        <f t="shared" ca="1" si="73"/>
        <v>6240399899.2291222</v>
      </c>
      <c r="E593" s="53">
        <f t="shared" ca="1" si="74"/>
        <v>61682902437075.664</v>
      </c>
      <c r="F593" s="53">
        <f t="shared" ca="1" si="75"/>
        <v>1503329130705.1973</v>
      </c>
      <c r="G593" s="53">
        <f t="shared" ca="1" si="76"/>
        <v>2766211388251.2764</v>
      </c>
      <c r="H593" s="53">
        <f t="shared" ca="1" si="77"/>
        <v>61682902437075.664</v>
      </c>
      <c r="I593" s="53">
        <f t="shared" ca="1" si="78"/>
        <v>6904873179353.1074</v>
      </c>
      <c r="J593" s="53">
        <f t="shared" ca="1" si="79"/>
        <v>702505912042.77075</v>
      </c>
      <c r="K593" s="54">
        <f t="shared" ca="1" si="80"/>
        <v>9.8289182496341994</v>
      </c>
    </row>
    <row r="594" spans="2:11" ht="15" customHeight="1" x14ac:dyDescent="0.35">
      <c r="B594" s="5">
        <v>573</v>
      </c>
      <c r="C594" s="52">
        <f t="shared" ca="1" si="72"/>
        <v>2.5767727436183487</v>
      </c>
      <c r="D594" s="53">
        <f t="shared" ca="1" si="73"/>
        <v>2503269723.1738162</v>
      </c>
      <c r="E594" s="53">
        <f t="shared" ca="1" si="74"/>
        <v>3314390372436.6558</v>
      </c>
      <c r="F594" s="53">
        <f t="shared" ca="1" si="75"/>
        <v>6584159176577.7686</v>
      </c>
      <c r="G594" s="53">
        <f t="shared" ca="1" si="76"/>
        <v>6944641324988.7891</v>
      </c>
      <c r="H594" s="53">
        <f t="shared" ca="1" si="77"/>
        <v>3314390372436.6558</v>
      </c>
      <c r="I594" s="53">
        <f t="shared" ca="1" si="78"/>
        <v>5116467773799.4326</v>
      </c>
      <c r="J594" s="53">
        <f t="shared" ca="1" si="79"/>
        <v>740474077835.25098</v>
      </c>
      <c r="K594" s="54">
        <f t="shared" ca="1" si="80"/>
        <v>6.9097189583695355</v>
      </c>
    </row>
    <row r="595" spans="2:11" ht="15" customHeight="1" x14ac:dyDescent="0.35">
      <c r="B595" s="5">
        <v>574</v>
      </c>
      <c r="C595" s="52">
        <f t="shared" ca="1" si="72"/>
        <v>3.3498415940365529</v>
      </c>
      <c r="D595" s="53">
        <f t="shared" ca="1" si="73"/>
        <v>6927126269.5136709</v>
      </c>
      <c r="E595" s="53">
        <f t="shared" ca="1" si="74"/>
        <v>59198972955280.406</v>
      </c>
      <c r="F595" s="53">
        <f t="shared" ca="1" si="75"/>
        <v>1786379593609.8577</v>
      </c>
      <c r="G595" s="53">
        <f t="shared" ca="1" si="76"/>
        <v>18579238516347.078</v>
      </c>
      <c r="H595" s="53">
        <f t="shared" ca="1" si="77"/>
        <v>18579238516347.078</v>
      </c>
      <c r="I595" s="53">
        <f t="shared" ca="1" si="78"/>
        <v>14619112654765.709</v>
      </c>
      <c r="J595" s="53">
        <f t="shared" ca="1" si="79"/>
        <v>656687799353.37219</v>
      </c>
      <c r="K595" s="54">
        <f t="shared" ca="1" si="80"/>
        <v>22.261891676929078</v>
      </c>
    </row>
    <row r="596" spans="2:11" ht="15" customHeight="1" x14ac:dyDescent="0.35">
      <c r="B596" s="5">
        <v>575</v>
      </c>
      <c r="C596" s="52">
        <f t="shared" ca="1" si="72"/>
        <v>2.6619260146404891</v>
      </c>
      <c r="D596" s="53">
        <f t="shared" ca="1" si="73"/>
        <v>3104061724.1819348</v>
      </c>
      <c r="E596" s="53">
        <f t="shared" ca="1" si="74"/>
        <v>11886837756418.086</v>
      </c>
      <c r="F596" s="53">
        <f t="shared" ca="1" si="75"/>
        <v>3300535419262.0044</v>
      </c>
      <c r="G596" s="53">
        <f t="shared" ca="1" si="76"/>
        <v>20789560973564.172</v>
      </c>
      <c r="H596" s="53">
        <f t="shared" ca="1" si="77"/>
        <v>11886837756418.086</v>
      </c>
      <c r="I596" s="53">
        <f t="shared" ca="1" si="78"/>
        <v>14997102044098.633</v>
      </c>
      <c r="J596" s="53">
        <f t="shared" ca="1" si="79"/>
        <v>1177399339142.0105</v>
      </c>
      <c r="K596" s="54">
        <f t="shared" ca="1" si="80"/>
        <v>12.737481282287161</v>
      </c>
    </row>
    <row r="597" spans="2:11" ht="15" customHeight="1" x14ac:dyDescent="0.35">
      <c r="B597" s="5">
        <v>576</v>
      </c>
      <c r="C597" s="52">
        <f t="shared" ca="1" si="72"/>
        <v>3.7168266025250323</v>
      </c>
      <c r="D597" s="53">
        <f t="shared" ca="1" si="73"/>
        <v>13276536723.777739</v>
      </c>
      <c r="E597" s="53">
        <f t="shared" ca="1" si="74"/>
        <v>52876108293788.93</v>
      </c>
      <c r="F597" s="53">
        <f t="shared" ca="1" si="75"/>
        <v>3808732147572.7417</v>
      </c>
      <c r="G597" s="53">
        <f t="shared" ca="1" si="76"/>
        <v>5859198354911.1455</v>
      </c>
      <c r="H597" s="53">
        <f t="shared" ca="1" si="77"/>
        <v>52876108293788.93</v>
      </c>
      <c r="I597" s="53">
        <f t="shared" ca="1" si="78"/>
        <v>107328600957523.23</v>
      </c>
      <c r="J597" s="53">
        <f t="shared" ca="1" si="79"/>
        <v>1686168243149.4978</v>
      </c>
      <c r="K597" s="54">
        <f t="shared" ca="1" si="80"/>
        <v>63.652367664717872</v>
      </c>
    </row>
    <row r="598" spans="2:11" ht="15" customHeight="1" x14ac:dyDescent="0.35">
      <c r="B598" s="5">
        <v>577</v>
      </c>
      <c r="C598" s="52">
        <f t="shared" ref="C598:C661" ca="1" si="81">MEDIAN(1.8,NORMINV(RAND(),$C$7,$D$7),4.5)</f>
        <v>2.8592392447994208</v>
      </c>
      <c r="D598" s="53">
        <f t="shared" ref="D598:D661" ca="1" si="82">($C$8+RAND()*($D$8-$C$8))*C598^5</f>
        <v>4229670656.7652998</v>
      </c>
      <c r="E598" s="53">
        <f t="shared" ref="E598:E661" ca="1" si="83">D598*($C$10+RAND()*($D$10-$C$10))*EXP(NORMINV(RAND(),$C$9,$D$9))*($C$11+RAND()*($D$11-$C$11))</f>
        <v>6614208518772.5361</v>
      </c>
      <c r="F598" s="53">
        <f t="shared" ref="F598:F661" ca="1" si="84">EXP(NORMINV(RAND(),$C$12,$D$12))*EXP(NORMINV(RAND(),$C$13,$D$13))</f>
        <v>7535090293337.4141</v>
      </c>
      <c r="G598" s="53">
        <f t="shared" ref="G598:G661" ca="1" si="85">EXP(NORMINV(RAND(),$C$14,$D$14))*($C$15+RAND()*($D$15-$C$15))*EXP(NORMINV(RAND(),$C$16,$D$16))/1000000*31536000</f>
        <v>9289060040297.2324</v>
      </c>
      <c r="H598" s="53">
        <f t="shared" ref="H598:H661" ca="1" si="86">CHOOSE(RANDBETWEEN(1,3),E598,F598,G598)</f>
        <v>7535090293337.4141</v>
      </c>
      <c r="I598" s="53">
        <f t="shared" ref="I598:I661" ca="1" si="87">EXP(NORMINV(RAND(),$C$14,$D$14))*($C$15+RAND()*($D$15-$C$15))*60</f>
        <v>9126167299866.0469</v>
      </c>
      <c r="J598" s="53">
        <f t="shared" ref="J598:J661" ca="1" si="88">($C$17+RAND()*($D$17-$C$17))*($C$18+RAND()*($D$18-$C$18))</f>
        <v>946289383300.17896</v>
      </c>
      <c r="K598" s="54">
        <f t="shared" ref="K598:K661" ca="1" si="89">I598/J598</f>
        <v>9.6441611423754843</v>
      </c>
    </row>
    <row r="599" spans="2:11" ht="15" customHeight="1" x14ac:dyDescent="0.35">
      <c r="B599" s="5">
        <v>578</v>
      </c>
      <c r="C599" s="52">
        <f t="shared" ca="1" si="81"/>
        <v>2.6154651167525418</v>
      </c>
      <c r="D599" s="53">
        <f t="shared" ca="1" si="82"/>
        <v>2751749981.2005262</v>
      </c>
      <c r="E599" s="53">
        <f t="shared" ca="1" si="83"/>
        <v>8672874959687.7871</v>
      </c>
      <c r="F599" s="53">
        <f t="shared" ca="1" si="84"/>
        <v>1733512703442.8298</v>
      </c>
      <c r="G599" s="53">
        <f t="shared" ca="1" si="85"/>
        <v>11733224437187.072</v>
      </c>
      <c r="H599" s="53">
        <f t="shared" ca="1" si="86"/>
        <v>1733512703442.8298</v>
      </c>
      <c r="I599" s="53">
        <f t="shared" ca="1" si="87"/>
        <v>3555886493905.6392</v>
      </c>
      <c r="J599" s="53">
        <f t="shared" ca="1" si="88"/>
        <v>1329295124217.4771</v>
      </c>
      <c r="K599" s="54">
        <f t="shared" ca="1" si="89"/>
        <v>2.6750165776760078</v>
      </c>
    </row>
    <row r="600" spans="2:11" ht="15" customHeight="1" x14ac:dyDescent="0.35">
      <c r="B600" s="5">
        <v>579</v>
      </c>
      <c r="C600" s="52">
        <f t="shared" ca="1" si="81"/>
        <v>3.1936134932925855</v>
      </c>
      <c r="D600" s="53">
        <f t="shared" ca="1" si="82"/>
        <v>6107362275.4230251</v>
      </c>
      <c r="E600" s="53">
        <f t="shared" ca="1" si="83"/>
        <v>7113197412685.7783</v>
      </c>
      <c r="F600" s="53">
        <f t="shared" ca="1" si="84"/>
        <v>36595289294740.016</v>
      </c>
      <c r="G600" s="53">
        <f t="shared" ca="1" si="85"/>
        <v>9428196790404.9648</v>
      </c>
      <c r="H600" s="53">
        <f t="shared" ca="1" si="86"/>
        <v>9428196790404.9648</v>
      </c>
      <c r="I600" s="53">
        <f t="shared" ca="1" si="87"/>
        <v>103717605748592.63</v>
      </c>
      <c r="J600" s="53">
        <f t="shared" ca="1" si="88"/>
        <v>850244962810.01074</v>
      </c>
      <c r="K600" s="54">
        <f t="shared" ca="1" si="89"/>
        <v>121.98555743960176</v>
      </c>
    </row>
    <row r="601" spans="2:11" ht="15" customHeight="1" x14ac:dyDescent="0.35">
      <c r="B601" s="5">
        <v>580</v>
      </c>
      <c r="C601" s="52">
        <f t="shared" ca="1" si="81"/>
        <v>2.8612422194433549</v>
      </c>
      <c r="D601" s="53">
        <f t="shared" ca="1" si="82"/>
        <v>3795297488.8227186</v>
      </c>
      <c r="E601" s="53">
        <f t="shared" ca="1" si="83"/>
        <v>23130466662648.859</v>
      </c>
      <c r="F601" s="53">
        <f t="shared" ca="1" si="84"/>
        <v>2008037976275.0486</v>
      </c>
      <c r="G601" s="53">
        <f t="shared" ca="1" si="85"/>
        <v>23825803308165.621</v>
      </c>
      <c r="H601" s="53">
        <f t="shared" ca="1" si="86"/>
        <v>23130466662648.859</v>
      </c>
      <c r="I601" s="53">
        <f t="shared" ca="1" si="87"/>
        <v>14021114772104.947</v>
      </c>
      <c r="J601" s="53">
        <f t="shared" ca="1" si="88"/>
        <v>944003462286.30029</v>
      </c>
      <c r="K601" s="54">
        <f t="shared" ca="1" si="89"/>
        <v>14.852821342568953</v>
      </c>
    </row>
    <row r="602" spans="2:11" ht="15" customHeight="1" x14ac:dyDescent="0.35">
      <c r="B602" s="5">
        <v>581</v>
      </c>
      <c r="C602" s="52">
        <f t="shared" ca="1" si="81"/>
        <v>2.1261308755348107</v>
      </c>
      <c r="D602" s="53">
        <f t="shared" ca="1" si="82"/>
        <v>867464003.49205875</v>
      </c>
      <c r="E602" s="53">
        <f t="shared" ca="1" si="83"/>
        <v>4442868307912.4795</v>
      </c>
      <c r="F602" s="53">
        <f t="shared" ca="1" si="84"/>
        <v>2587059183194.3843</v>
      </c>
      <c r="G602" s="53">
        <f t="shared" ca="1" si="85"/>
        <v>24018029675950.113</v>
      </c>
      <c r="H602" s="53">
        <f t="shared" ca="1" si="86"/>
        <v>24018029675950.113</v>
      </c>
      <c r="I602" s="53">
        <f t="shared" ca="1" si="87"/>
        <v>4355209920651.2686</v>
      </c>
      <c r="J602" s="53">
        <f t="shared" ca="1" si="88"/>
        <v>904878979856.76611</v>
      </c>
      <c r="K602" s="54">
        <f t="shared" ca="1" si="89"/>
        <v>4.8130302699048855</v>
      </c>
    </row>
    <row r="603" spans="2:11" ht="15" customHeight="1" x14ac:dyDescent="0.35">
      <c r="B603" s="5">
        <v>582</v>
      </c>
      <c r="C603" s="52">
        <f t="shared" ca="1" si="81"/>
        <v>3.058172578083783</v>
      </c>
      <c r="D603" s="53">
        <f t="shared" ca="1" si="82"/>
        <v>5163543180.3614359</v>
      </c>
      <c r="E603" s="53">
        <f t="shared" ca="1" si="83"/>
        <v>46544910242642.617</v>
      </c>
      <c r="F603" s="53">
        <f t="shared" ca="1" si="84"/>
        <v>15573970119918.682</v>
      </c>
      <c r="G603" s="53">
        <f t="shared" ca="1" si="85"/>
        <v>2463988738503.9375</v>
      </c>
      <c r="H603" s="53">
        <f t="shared" ca="1" si="86"/>
        <v>46544910242642.617</v>
      </c>
      <c r="I603" s="53">
        <f t="shared" ca="1" si="87"/>
        <v>7999818221014.0801</v>
      </c>
      <c r="J603" s="53">
        <f t="shared" ca="1" si="88"/>
        <v>605462349480.99976</v>
      </c>
      <c r="K603" s="54">
        <f t="shared" ca="1" si="89"/>
        <v>13.212742671565783</v>
      </c>
    </row>
    <row r="604" spans="2:11" ht="15" customHeight="1" x14ac:dyDescent="0.35">
      <c r="B604" s="5">
        <v>583</v>
      </c>
      <c r="C604" s="52">
        <f t="shared" ca="1" si="81"/>
        <v>3.2439573513777176</v>
      </c>
      <c r="D604" s="53">
        <f t="shared" ca="1" si="82"/>
        <v>8158140906.526906</v>
      </c>
      <c r="E604" s="53">
        <f t="shared" ca="1" si="83"/>
        <v>18920169196141.246</v>
      </c>
      <c r="F604" s="53">
        <f t="shared" ca="1" si="84"/>
        <v>11347471122169.092</v>
      </c>
      <c r="G604" s="53">
        <f t="shared" ca="1" si="85"/>
        <v>34688702251708.492</v>
      </c>
      <c r="H604" s="53">
        <f t="shared" ca="1" si="86"/>
        <v>18920169196141.246</v>
      </c>
      <c r="I604" s="53">
        <f t="shared" ca="1" si="87"/>
        <v>9904808818079.5957</v>
      </c>
      <c r="J604" s="53">
        <f t="shared" ca="1" si="88"/>
        <v>1235611821246.624</v>
      </c>
      <c r="K604" s="54">
        <f t="shared" ca="1" si="89"/>
        <v>8.016116912904339</v>
      </c>
    </row>
    <row r="605" spans="2:11" ht="15" customHeight="1" x14ac:dyDescent="0.35">
      <c r="B605" s="5">
        <v>584</v>
      </c>
      <c r="C605" s="52">
        <f t="shared" ca="1" si="81"/>
        <v>2.5487428772434129</v>
      </c>
      <c r="D605" s="53">
        <f t="shared" ca="1" si="82"/>
        <v>1749833448.6092532</v>
      </c>
      <c r="E605" s="53">
        <f t="shared" ca="1" si="83"/>
        <v>3215651220572.8672</v>
      </c>
      <c r="F605" s="53">
        <f t="shared" ca="1" si="84"/>
        <v>3219314207305.0361</v>
      </c>
      <c r="G605" s="53">
        <f t="shared" ca="1" si="85"/>
        <v>1263180263241.9407</v>
      </c>
      <c r="H605" s="53">
        <f t="shared" ca="1" si="86"/>
        <v>3219314207305.0361</v>
      </c>
      <c r="I605" s="53">
        <f t="shared" ca="1" si="87"/>
        <v>8469349238425.0928</v>
      </c>
      <c r="J605" s="53">
        <f t="shared" ca="1" si="88"/>
        <v>1044420042478.9663</v>
      </c>
      <c r="K605" s="54">
        <f t="shared" ca="1" si="89"/>
        <v>8.1091408570854373</v>
      </c>
    </row>
    <row r="606" spans="2:11" ht="15" customHeight="1" x14ac:dyDescent="0.35">
      <c r="B606" s="5">
        <v>585</v>
      </c>
      <c r="C606" s="52">
        <f t="shared" ca="1" si="81"/>
        <v>2.8544934130524386</v>
      </c>
      <c r="D606" s="53">
        <f t="shared" ca="1" si="82"/>
        <v>4073698602.4302988</v>
      </c>
      <c r="E606" s="53">
        <f t="shared" ca="1" si="83"/>
        <v>23076889222496.242</v>
      </c>
      <c r="F606" s="53">
        <f t="shared" ca="1" si="84"/>
        <v>767133785767.52869</v>
      </c>
      <c r="G606" s="53">
        <f t="shared" ca="1" si="85"/>
        <v>136594884249585.69</v>
      </c>
      <c r="H606" s="53">
        <f t="shared" ca="1" si="86"/>
        <v>136594884249585.69</v>
      </c>
      <c r="I606" s="53">
        <f t="shared" ca="1" si="87"/>
        <v>17368240153887.166</v>
      </c>
      <c r="J606" s="53">
        <f t="shared" ca="1" si="88"/>
        <v>774971598252.07776</v>
      </c>
      <c r="K606" s="54">
        <f t="shared" ca="1" si="89"/>
        <v>22.41145377851349</v>
      </c>
    </row>
    <row r="607" spans="2:11" ht="15" customHeight="1" x14ac:dyDescent="0.35">
      <c r="B607" s="5">
        <v>586</v>
      </c>
      <c r="C607" s="52">
        <f t="shared" ca="1" si="81"/>
        <v>2.2088413955146926</v>
      </c>
      <c r="D607" s="53">
        <f t="shared" ca="1" si="82"/>
        <v>1000356114.7000777</v>
      </c>
      <c r="E607" s="53">
        <f t="shared" ca="1" si="83"/>
        <v>1588459277594.9502</v>
      </c>
      <c r="F607" s="53">
        <f t="shared" ca="1" si="84"/>
        <v>1258228599498.0737</v>
      </c>
      <c r="G607" s="53">
        <f t="shared" ca="1" si="85"/>
        <v>45135001824583.875</v>
      </c>
      <c r="H607" s="53">
        <f t="shared" ca="1" si="86"/>
        <v>45135001824583.875</v>
      </c>
      <c r="I607" s="53">
        <f t="shared" ca="1" si="87"/>
        <v>8058014780811.7744</v>
      </c>
      <c r="J607" s="53">
        <f t="shared" ca="1" si="88"/>
        <v>545231239635.58093</v>
      </c>
      <c r="K607" s="54">
        <f t="shared" ca="1" si="89"/>
        <v>14.779077563856305</v>
      </c>
    </row>
    <row r="608" spans="2:11" ht="15" customHeight="1" x14ac:dyDescent="0.35">
      <c r="B608" s="5">
        <v>587</v>
      </c>
      <c r="C608" s="52">
        <f t="shared" ca="1" si="81"/>
        <v>3.2065165231853516</v>
      </c>
      <c r="D608" s="53">
        <f t="shared" ca="1" si="82"/>
        <v>7306159019.3496151</v>
      </c>
      <c r="E608" s="53">
        <f t="shared" ca="1" si="83"/>
        <v>12621193182275.621</v>
      </c>
      <c r="F608" s="53">
        <f t="shared" ca="1" si="84"/>
        <v>4521647865256.1758</v>
      </c>
      <c r="G608" s="53">
        <f t="shared" ca="1" si="85"/>
        <v>4760713962079.7051</v>
      </c>
      <c r="H608" s="53">
        <f t="shared" ca="1" si="86"/>
        <v>12621193182275.621</v>
      </c>
      <c r="I608" s="53">
        <f t="shared" ca="1" si="87"/>
        <v>1291913296326.2571</v>
      </c>
      <c r="J608" s="53">
        <f t="shared" ca="1" si="88"/>
        <v>463845689942.10406</v>
      </c>
      <c r="K608" s="54">
        <f t="shared" ca="1" si="89"/>
        <v>2.7852221640509587</v>
      </c>
    </row>
    <row r="609" spans="2:11" ht="15" customHeight="1" x14ac:dyDescent="0.35">
      <c r="B609" s="5">
        <v>588</v>
      </c>
      <c r="C609" s="52">
        <f t="shared" ca="1" si="81"/>
        <v>2.8554143678087547</v>
      </c>
      <c r="D609" s="53">
        <f t="shared" ca="1" si="82"/>
        <v>4343239669.0993948</v>
      </c>
      <c r="E609" s="53">
        <f t="shared" ca="1" si="83"/>
        <v>6831930941984.1455</v>
      </c>
      <c r="F609" s="53">
        <f t="shared" ca="1" si="84"/>
        <v>5184290815483.9316</v>
      </c>
      <c r="G609" s="53">
        <f t="shared" ca="1" si="85"/>
        <v>4035588408604.4878</v>
      </c>
      <c r="H609" s="53">
        <f t="shared" ca="1" si="86"/>
        <v>5184290815483.9316</v>
      </c>
      <c r="I609" s="53">
        <f t="shared" ca="1" si="87"/>
        <v>4054268931236.498</v>
      </c>
      <c r="J609" s="53">
        <f t="shared" ca="1" si="88"/>
        <v>1057166455559.1682</v>
      </c>
      <c r="K609" s="54">
        <f t="shared" ca="1" si="89"/>
        <v>3.8350336504879632</v>
      </c>
    </row>
    <row r="610" spans="2:11" ht="15" customHeight="1" x14ac:dyDescent="0.35">
      <c r="B610" s="5">
        <v>589</v>
      </c>
      <c r="C610" s="52">
        <f t="shared" ca="1" si="81"/>
        <v>2.6521292109721313</v>
      </c>
      <c r="D610" s="53">
        <f t="shared" ca="1" si="82"/>
        <v>2743940734.7419415</v>
      </c>
      <c r="E610" s="53">
        <f t="shared" ca="1" si="83"/>
        <v>7449362934701.3496</v>
      </c>
      <c r="F610" s="53">
        <f t="shared" ca="1" si="84"/>
        <v>1049156774829.2535</v>
      </c>
      <c r="G610" s="53">
        <f t="shared" ca="1" si="85"/>
        <v>36720785835584.938</v>
      </c>
      <c r="H610" s="53">
        <f t="shared" ca="1" si="86"/>
        <v>36720785835584.938</v>
      </c>
      <c r="I610" s="53">
        <f t="shared" ca="1" si="87"/>
        <v>45509172705397.609</v>
      </c>
      <c r="J610" s="53">
        <f t="shared" ca="1" si="88"/>
        <v>645260351514.2052</v>
      </c>
      <c r="K610" s="54">
        <f t="shared" ca="1" si="89"/>
        <v>70.528388422755498</v>
      </c>
    </row>
    <row r="611" spans="2:11" ht="15" customHeight="1" x14ac:dyDescent="0.35">
      <c r="B611" s="5">
        <v>590</v>
      </c>
      <c r="C611" s="52">
        <f t="shared" ca="1" si="81"/>
        <v>3.4463882733547124</v>
      </c>
      <c r="D611" s="53">
        <f t="shared" ca="1" si="82"/>
        <v>9878656304.0735931</v>
      </c>
      <c r="E611" s="53">
        <f t="shared" ca="1" si="83"/>
        <v>142098794705631.69</v>
      </c>
      <c r="F611" s="53">
        <f t="shared" ca="1" si="84"/>
        <v>1644422656537.9065</v>
      </c>
      <c r="G611" s="53">
        <f t="shared" ca="1" si="85"/>
        <v>49771580216871.953</v>
      </c>
      <c r="H611" s="53">
        <f t="shared" ca="1" si="86"/>
        <v>142098794705631.69</v>
      </c>
      <c r="I611" s="53">
        <f t="shared" ca="1" si="87"/>
        <v>1830254238141.5408</v>
      </c>
      <c r="J611" s="53">
        <f t="shared" ca="1" si="88"/>
        <v>571685093701.67065</v>
      </c>
      <c r="K611" s="54">
        <f t="shared" ca="1" si="89"/>
        <v>3.20150771518392</v>
      </c>
    </row>
    <row r="612" spans="2:11" ht="15" customHeight="1" x14ac:dyDescent="0.35">
      <c r="B612" s="5">
        <v>591</v>
      </c>
      <c r="C612" s="52">
        <f t="shared" ca="1" si="81"/>
        <v>3.4379677287477639</v>
      </c>
      <c r="D612" s="53">
        <f t="shared" ca="1" si="82"/>
        <v>8216116606.6908588</v>
      </c>
      <c r="E612" s="53">
        <f t="shared" ca="1" si="83"/>
        <v>14112856852824.758</v>
      </c>
      <c r="F612" s="53">
        <f t="shared" ca="1" si="84"/>
        <v>278338125820.43842</v>
      </c>
      <c r="G612" s="53">
        <f t="shared" ca="1" si="85"/>
        <v>40565044038973.586</v>
      </c>
      <c r="H612" s="53">
        <f t="shared" ca="1" si="86"/>
        <v>40565044038973.586</v>
      </c>
      <c r="I612" s="53">
        <f t="shared" ca="1" si="87"/>
        <v>10128867513794.48</v>
      </c>
      <c r="J612" s="53">
        <f t="shared" ca="1" si="88"/>
        <v>1028755087914.4913</v>
      </c>
      <c r="K612" s="54">
        <f t="shared" ca="1" si="89"/>
        <v>9.8457520480680021</v>
      </c>
    </row>
    <row r="613" spans="2:11" ht="15" customHeight="1" x14ac:dyDescent="0.35">
      <c r="B613" s="5">
        <v>592</v>
      </c>
      <c r="C613" s="52">
        <f t="shared" ca="1" si="81"/>
        <v>3.1576786693613257</v>
      </c>
      <c r="D613" s="53">
        <f t="shared" ca="1" si="82"/>
        <v>5655055332.1818018</v>
      </c>
      <c r="E613" s="53">
        <f t="shared" ca="1" si="83"/>
        <v>19773426773098.086</v>
      </c>
      <c r="F613" s="53">
        <f t="shared" ca="1" si="84"/>
        <v>383697787204.49207</v>
      </c>
      <c r="G613" s="53">
        <f t="shared" ca="1" si="85"/>
        <v>12750202901898.115</v>
      </c>
      <c r="H613" s="53">
        <f t="shared" ca="1" si="86"/>
        <v>12750202901898.115</v>
      </c>
      <c r="I613" s="53">
        <f t="shared" ca="1" si="87"/>
        <v>3575311054157.2983</v>
      </c>
      <c r="J613" s="53">
        <f t="shared" ca="1" si="88"/>
        <v>466789500149.06689</v>
      </c>
      <c r="K613" s="54">
        <f t="shared" ca="1" si="89"/>
        <v>7.659364773662519</v>
      </c>
    </row>
    <row r="614" spans="2:11" ht="15" customHeight="1" x14ac:dyDescent="0.35">
      <c r="B614" s="5">
        <v>593</v>
      </c>
      <c r="C614" s="52">
        <f t="shared" ca="1" si="81"/>
        <v>2.6628763034609015</v>
      </c>
      <c r="D614" s="53">
        <f t="shared" ca="1" si="82"/>
        <v>2322684481.4815526</v>
      </c>
      <c r="E614" s="53">
        <f t="shared" ca="1" si="83"/>
        <v>2981648580484.0771</v>
      </c>
      <c r="F614" s="53">
        <f t="shared" ca="1" si="84"/>
        <v>10956535817550.494</v>
      </c>
      <c r="G614" s="53">
        <f t="shared" ca="1" si="85"/>
        <v>6900124786338.9482</v>
      </c>
      <c r="H614" s="53">
        <f t="shared" ca="1" si="86"/>
        <v>2981648580484.0771</v>
      </c>
      <c r="I614" s="53">
        <f t="shared" ca="1" si="87"/>
        <v>3934047669024.8013</v>
      </c>
      <c r="J614" s="53">
        <f t="shared" ca="1" si="88"/>
        <v>830240444567.0061</v>
      </c>
      <c r="K614" s="54">
        <f t="shared" ca="1" si="89"/>
        <v>4.7384437782677749</v>
      </c>
    </row>
    <row r="615" spans="2:11" ht="15" customHeight="1" x14ac:dyDescent="0.35">
      <c r="B615" s="5">
        <v>594</v>
      </c>
      <c r="C615" s="52">
        <f t="shared" ca="1" si="81"/>
        <v>2.333069838199417</v>
      </c>
      <c r="D615" s="53">
        <f t="shared" ca="1" si="82"/>
        <v>1583863606.1131144</v>
      </c>
      <c r="E615" s="53">
        <f t="shared" ca="1" si="83"/>
        <v>963724366444.72168</v>
      </c>
      <c r="F615" s="53">
        <f t="shared" ca="1" si="84"/>
        <v>2693564773397.5605</v>
      </c>
      <c r="G615" s="53">
        <f t="shared" ca="1" si="85"/>
        <v>6096254999778.3711</v>
      </c>
      <c r="H615" s="53">
        <f t="shared" ca="1" si="86"/>
        <v>2693564773397.5605</v>
      </c>
      <c r="I615" s="53">
        <f t="shared" ca="1" si="87"/>
        <v>18932508128082.023</v>
      </c>
      <c r="J615" s="53">
        <f t="shared" ca="1" si="88"/>
        <v>1444784306768.5764</v>
      </c>
      <c r="K615" s="54">
        <f t="shared" ca="1" si="89"/>
        <v>13.104037771857254</v>
      </c>
    </row>
    <row r="616" spans="2:11" ht="15" customHeight="1" x14ac:dyDescent="0.35">
      <c r="B616" s="5">
        <v>595</v>
      </c>
      <c r="C616" s="52">
        <f t="shared" ca="1" si="81"/>
        <v>2.7635828259581707</v>
      </c>
      <c r="D616" s="53">
        <f t="shared" ca="1" si="82"/>
        <v>3447348798.6824422</v>
      </c>
      <c r="E616" s="53">
        <f t="shared" ca="1" si="83"/>
        <v>18881542853147.41</v>
      </c>
      <c r="F616" s="53">
        <f t="shared" ca="1" si="84"/>
        <v>303068368324.05286</v>
      </c>
      <c r="G616" s="53">
        <f t="shared" ca="1" si="85"/>
        <v>16117549599373.211</v>
      </c>
      <c r="H616" s="53">
        <f t="shared" ca="1" si="86"/>
        <v>18881542853147.41</v>
      </c>
      <c r="I616" s="53">
        <f t="shared" ca="1" si="87"/>
        <v>2042520735795.886</v>
      </c>
      <c r="J616" s="53">
        <f t="shared" ca="1" si="88"/>
        <v>908832745877.08838</v>
      </c>
      <c r="K616" s="54">
        <f t="shared" ca="1" si="89"/>
        <v>2.247411028114648</v>
      </c>
    </row>
    <row r="617" spans="2:11" ht="15" customHeight="1" x14ac:dyDescent="0.35">
      <c r="B617" s="5">
        <v>596</v>
      </c>
      <c r="C617" s="52">
        <f t="shared" ca="1" si="81"/>
        <v>3.1300041610686433</v>
      </c>
      <c r="D617" s="53">
        <f t="shared" ca="1" si="82"/>
        <v>7040041261.1792955</v>
      </c>
      <c r="E617" s="53">
        <f t="shared" ca="1" si="83"/>
        <v>31010174914228.406</v>
      </c>
      <c r="F617" s="53">
        <f t="shared" ca="1" si="84"/>
        <v>1233285835003.3035</v>
      </c>
      <c r="G617" s="53">
        <f t="shared" ca="1" si="85"/>
        <v>1314026251104.3691</v>
      </c>
      <c r="H617" s="53">
        <f t="shared" ca="1" si="86"/>
        <v>1233285835003.3035</v>
      </c>
      <c r="I617" s="53">
        <f t="shared" ca="1" si="87"/>
        <v>25096667824780.723</v>
      </c>
      <c r="J617" s="53">
        <f t="shared" ca="1" si="88"/>
        <v>822335038465.00867</v>
      </c>
      <c r="K617" s="54">
        <f t="shared" ca="1" si="89"/>
        <v>30.518786930965263</v>
      </c>
    </row>
    <row r="618" spans="2:11" ht="15" customHeight="1" x14ac:dyDescent="0.35">
      <c r="B618" s="5">
        <v>597</v>
      </c>
      <c r="C618" s="52">
        <f t="shared" ca="1" si="81"/>
        <v>2.5833320530795958</v>
      </c>
      <c r="D618" s="53">
        <f t="shared" ca="1" si="82"/>
        <v>2145251331.912966</v>
      </c>
      <c r="E618" s="53">
        <f t="shared" ca="1" si="83"/>
        <v>8211152605444.7051</v>
      </c>
      <c r="F618" s="53">
        <f t="shared" ca="1" si="84"/>
        <v>8878562771401.3223</v>
      </c>
      <c r="G618" s="53">
        <f t="shared" ca="1" si="85"/>
        <v>22393143310205.461</v>
      </c>
      <c r="H618" s="53">
        <f t="shared" ca="1" si="86"/>
        <v>22393143310205.461</v>
      </c>
      <c r="I618" s="53">
        <f t="shared" ca="1" si="87"/>
        <v>84611399240010.531</v>
      </c>
      <c r="J618" s="53">
        <f t="shared" ca="1" si="88"/>
        <v>1670162335913.4749</v>
      </c>
      <c r="K618" s="54">
        <f t="shared" ca="1" si="89"/>
        <v>50.660583956788464</v>
      </c>
    </row>
    <row r="619" spans="2:11" ht="15" customHeight="1" x14ac:dyDescent="0.35">
      <c r="B619" s="5">
        <v>598</v>
      </c>
      <c r="C619" s="52">
        <f t="shared" ca="1" si="81"/>
        <v>3.574615871609546</v>
      </c>
      <c r="D619" s="53">
        <f t="shared" ca="1" si="82"/>
        <v>9965959003.4873962</v>
      </c>
      <c r="E619" s="53">
        <f t="shared" ca="1" si="83"/>
        <v>58091917558503.469</v>
      </c>
      <c r="F619" s="53">
        <f t="shared" ca="1" si="84"/>
        <v>5562778491231.5459</v>
      </c>
      <c r="G619" s="53">
        <f t="shared" ca="1" si="85"/>
        <v>407968020792.50226</v>
      </c>
      <c r="H619" s="53">
        <f t="shared" ca="1" si="86"/>
        <v>407968020792.50226</v>
      </c>
      <c r="I619" s="53">
        <f t="shared" ca="1" si="87"/>
        <v>10984611873354.074</v>
      </c>
      <c r="J619" s="53">
        <f t="shared" ca="1" si="88"/>
        <v>966924836920.00354</v>
      </c>
      <c r="K619" s="54">
        <f t="shared" ca="1" si="89"/>
        <v>11.36035755203469</v>
      </c>
    </row>
    <row r="620" spans="2:11" ht="15" customHeight="1" x14ac:dyDescent="0.35">
      <c r="B620" s="5">
        <v>599</v>
      </c>
      <c r="C620" s="52">
        <f t="shared" ca="1" si="81"/>
        <v>3.2631317954439716</v>
      </c>
      <c r="D620" s="53">
        <f t="shared" ca="1" si="82"/>
        <v>7360313555.5799885</v>
      </c>
      <c r="E620" s="53">
        <f t="shared" ca="1" si="83"/>
        <v>24682548481996.82</v>
      </c>
      <c r="F620" s="53">
        <f t="shared" ca="1" si="84"/>
        <v>780818038330.70801</v>
      </c>
      <c r="G620" s="53">
        <f t="shared" ca="1" si="85"/>
        <v>2992269330583.2246</v>
      </c>
      <c r="H620" s="53">
        <f t="shared" ca="1" si="86"/>
        <v>780818038330.70801</v>
      </c>
      <c r="I620" s="53">
        <f t="shared" ca="1" si="87"/>
        <v>24095387776656.18</v>
      </c>
      <c r="J620" s="53">
        <f t="shared" ca="1" si="88"/>
        <v>1121556328001.0837</v>
      </c>
      <c r="K620" s="54">
        <f t="shared" ca="1" si="89"/>
        <v>21.483885539302932</v>
      </c>
    </row>
    <row r="621" spans="2:11" ht="15" customHeight="1" x14ac:dyDescent="0.35">
      <c r="B621" s="5">
        <v>600</v>
      </c>
      <c r="C621" s="52">
        <f t="shared" ca="1" si="81"/>
        <v>3.3492586679773053</v>
      </c>
      <c r="D621" s="53">
        <f t="shared" ca="1" si="82"/>
        <v>10061184729.755587</v>
      </c>
      <c r="E621" s="53">
        <f t="shared" ca="1" si="83"/>
        <v>31105898390258.477</v>
      </c>
      <c r="F621" s="53">
        <f t="shared" ca="1" si="84"/>
        <v>2703973703218.5913</v>
      </c>
      <c r="G621" s="53">
        <f t="shared" ca="1" si="85"/>
        <v>1038794417893.8978</v>
      </c>
      <c r="H621" s="53">
        <f t="shared" ca="1" si="86"/>
        <v>31105898390258.477</v>
      </c>
      <c r="I621" s="53">
        <f t="shared" ca="1" si="87"/>
        <v>1237453985348.5762</v>
      </c>
      <c r="J621" s="53">
        <f t="shared" ca="1" si="88"/>
        <v>946679199798.92603</v>
      </c>
      <c r="K621" s="54">
        <f t="shared" ca="1" si="89"/>
        <v>1.3071523971493306</v>
      </c>
    </row>
    <row r="622" spans="2:11" ht="15" customHeight="1" x14ac:dyDescent="0.35">
      <c r="B622" s="5">
        <v>601</v>
      </c>
      <c r="C622" s="52">
        <f t="shared" ca="1" si="81"/>
        <v>2.9389653424420543</v>
      </c>
      <c r="D622" s="53">
        <f t="shared" ca="1" si="82"/>
        <v>4036938437.7974696</v>
      </c>
      <c r="E622" s="53">
        <f t="shared" ca="1" si="83"/>
        <v>27571852455929.461</v>
      </c>
      <c r="F622" s="53">
        <f t="shared" ca="1" si="84"/>
        <v>2704715187803.5156</v>
      </c>
      <c r="G622" s="53">
        <f t="shared" ca="1" si="85"/>
        <v>1734101143754.9641</v>
      </c>
      <c r="H622" s="53">
        <f t="shared" ca="1" si="86"/>
        <v>2704715187803.5156</v>
      </c>
      <c r="I622" s="53">
        <f t="shared" ca="1" si="87"/>
        <v>116593471814198.58</v>
      </c>
      <c r="J622" s="53">
        <f t="shared" ca="1" si="88"/>
        <v>926489360841.5332</v>
      </c>
      <c r="K622" s="54">
        <f t="shared" ca="1" si="89"/>
        <v>125.84437203714499</v>
      </c>
    </row>
    <row r="623" spans="2:11" ht="15" customHeight="1" x14ac:dyDescent="0.35">
      <c r="B623" s="5">
        <v>602</v>
      </c>
      <c r="C623" s="52">
        <f t="shared" ca="1" si="81"/>
        <v>3.0966790040987795</v>
      </c>
      <c r="D623" s="53">
        <f t="shared" ca="1" si="82"/>
        <v>6290162222.8752031</v>
      </c>
      <c r="E623" s="53">
        <f t="shared" ca="1" si="83"/>
        <v>26432735807530.695</v>
      </c>
      <c r="F623" s="53">
        <f t="shared" ca="1" si="84"/>
        <v>1562304827064.9241</v>
      </c>
      <c r="G623" s="53">
        <f t="shared" ca="1" si="85"/>
        <v>8837100326074.0293</v>
      </c>
      <c r="H623" s="53">
        <f t="shared" ca="1" si="86"/>
        <v>1562304827064.9241</v>
      </c>
      <c r="I623" s="53">
        <f t="shared" ca="1" si="87"/>
        <v>2112688360586.2129</v>
      </c>
      <c r="J623" s="53">
        <f t="shared" ca="1" si="88"/>
        <v>608564924205.21326</v>
      </c>
      <c r="K623" s="54">
        <f t="shared" ca="1" si="89"/>
        <v>3.4715907482597474</v>
      </c>
    </row>
    <row r="624" spans="2:11" ht="15" customHeight="1" x14ac:dyDescent="0.35">
      <c r="B624" s="5">
        <v>603</v>
      </c>
      <c r="C624" s="52">
        <f t="shared" ca="1" si="81"/>
        <v>2.9083232091957569</v>
      </c>
      <c r="D624" s="53">
        <f t="shared" ca="1" si="82"/>
        <v>3908096662.9751525</v>
      </c>
      <c r="E624" s="53">
        <f t="shared" ca="1" si="83"/>
        <v>60498133592612.563</v>
      </c>
      <c r="F624" s="53">
        <f t="shared" ca="1" si="84"/>
        <v>762387972836.16284</v>
      </c>
      <c r="G624" s="53">
        <f t="shared" ca="1" si="85"/>
        <v>18425335111391.262</v>
      </c>
      <c r="H624" s="53">
        <f t="shared" ca="1" si="86"/>
        <v>762387972836.16284</v>
      </c>
      <c r="I624" s="53">
        <f t="shared" ca="1" si="87"/>
        <v>1462804632802.4695</v>
      </c>
      <c r="J624" s="53">
        <f t="shared" ca="1" si="88"/>
        <v>1157800550270.0835</v>
      </c>
      <c r="K624" s="54">
        <f t="shared" ca="1" si="89"/>
        <v>1.2634340452345068</v>
      </c>
    </row>
    <row r="625" spans="2:11" ht="15" customHeight="1" x14ac:dyDescent="0.35">
      <c r="B625" s="5">
        <v>604</v>
      </c>
      <c r="C625" s="52">
        <f t="shared" ca="1" si="81"/>
        <v>2.264637120533461</v>
      </c>
      <c r="D625" s="53">
        <f t="shared" ca="1" si="82"/>
        <v>1101447803.5749075</v>
      </c>
      <c r="E625" s="53">
        <f t="shared" ca="1" si="83"/>
        <v>3550036413730.0601</v>
      </c>
      <c r="F625" s="53">
        <f t="shared" ca="1" si="84"/>
        <v>32473654389048.5</v>
      </c>
      <c r="G625" s="53">
        <f t="shared" ca="1" si="85"/>
        <v>3173561698411.9712</v>
      </c>
      <c r="H625" s="53">
        <f t="shared" ca="1" si="86"/>
        <v>3550036413730.0601</v>
      </c>
      <c r="I625" s="53">
        <f t="shared" ca="1" si="87"/>
        <v>6756081839799.6533</v>
      </c>
      <c r="J625" s="53">
        <f t="shared" ca="1" si="88"/>
        <v>916015005246.15723</v>
      </c>
      <c r="K625" s="54">
        <f t="shared" ca="1" si="89"/>
        <v>7.3755143759726041</v>
      </c>
    </row>
    <row r="626" spans="2:11" ht="15" customHeight="1" x14ac:dyDescent="0.35">
      <c r="B626" s="5">
        <v>605</v>
      </c>
      <c r="C626" s="52">
        <f t="shared" ca="1" si="81"/>
        <v>3.7461285475564674</v>
      </c>
      <c r="D626" s="53">
        <f t="shared" ca="1" si="82"/>
        <v>14847042503.622126</v>
      </c>
      <c r="E626" s="53">
        <f t="shared" ca="1" si="83"/>
        <v>82856688598182.75</v>
      </c>
      <c r="F626" s="53">
        <f t="shared" ca="1" si="84"/>
        <v>9812241628520.5</v>
      </c>
      <c r="G626" s="53">
        <f t="shared" ca="1" si="85"/>
        <v>4832264348069.291</v>
      </c>
      <c r="H626" s="53">
        <f t="shared" ca="1" si="86"/>
        <v>82856688598182.75</v>
      </c>
      <c r="I626" s="53">
        <f t="shared" ca="1" si="87"/>
        <v>553797381785.58813</v>
      </c>
      <c r="J626" s="53">
        <f t="shared" ca="1" si="88"/>
        <v>1138578076777.3457</v>
      </c>
      <c r="K626" s="54">
        <f t="shared" ca="1" si="89"/>
        <v>0.48639385658387818</v>
      </c>
    </row>
    <row r="627" spans="2:11" ht="15" customHeight="1" x14ac:dyDescent="0.35">
      <c r="B627" s="5">
        <v>606</v>
      </c>
      <c r="C627" s="52">
        <f t="shared" ca="1" si="81"/>
        <v>2.974951543429142</v>
      </c>
      <c r="D627" s="53">
        <f t="shared" ca="1" si="82"/>
        <v>4099829658.5304871</v>
      </c>
      <c r="E627" s="53">
        <f t="shared" ca="1" si="83"/>
        <v>11299826533183.135</v>
      </c>
      <c r="F627" s="53">
        <f t="shared" ca="1" si="84"/>
        <v>2138910379198.5132</v>
      </c>
      <c r="G627" s="53">
        <f t="shared" ca="1" si="85"/>
        <v>1730156233907.3438</v>
      </c>
      <c r="H627" s="53">
        <f t="shared" ca="1" si="86"/>
        <v>11299826533183.135</v>
      </c>
      <c r="I627" s="53">
        <f t="shared" ca="1" si="87"/>
        <v>13688542773545.984</v>
      </c>
      <c r="J627" s="53">
        <f t="shared" ca="1" si="88"/>
        <v>1812933645834.8916</v>
      </c>
      <c r="K627" s="54">
        <f t="shared" ca="1" si="89"/>
        <v>7.5504929841169899</v>
      </c>
    </row>
    <row r="628" spans="2:11" ht="15" customHeight="1" x14ac:dyDescent="0.35">
      <c r="B628" s="5">
        <v>607</v>
      </c>
      <c r="C628" s="52">
        <f t="shared" ca="1" si="81"/>
        <v>3.2993906858349034</v>
      </c>
      <c r="D628" s="53">
        <f t="shared" ca="1" si="82"/>
        <v>8732664306.4601784</v>
      </c>
      <c r="E628" s="53">
        <f t="shared" ca="1" si="83"/>
        <v>23466815738178.898</v>
      </c>
      <c r="F628" s="53">
        <f t="shared" ca="1" si="84"/>
        <v>3053833950377.0283</v>
      </c>
      <c r="G628" s="53">
        <f t="shared" ca="1" si="85"/>
        <v>9492224113092.2305</v>
      </c>
      <c r="H628" s="53">
        <f t="shared" ca="1" si="86"/>
        <v>23466815738178.898</v>
      </c>
      <c r="I628" s="53">
        <f t="shared" ca="1" si="87"/>
        <v>80742994951278.938</v>
      </c>
      <c r="J628" s="53">
        <f t="shared" ca="1" si="88"/>
        <v>934984256483.51794</v>
      </c>
      <c r="K628" s="54">
        <f t="shared" ca="1" si="89"/>
        <v>86.357598420912325</v>
      </c>
    </row>
    <row r="629" spans="2:11" ht="15" customHeight="1" x14ac:dyDescent="0.35">
      <c r="B629" s="5">
        <v>608</v>
      </c>
      <c r="C629" s="52">
        <f t="shared" ca="1" si="81"/>
        <v>3.6377564467300947</v>
      </c>
      <c r="D629" s="53">
        <f t="shared" ca="1" si="82"/>
        <v>13649716476.696688</v>
      </c>
      <c r="E629" s="53">
        <f t="shared" ca="1" si="83"/>
        <v>12299504556025.551</v>
      </c>
      <c r="F629" s="53">
        <f t="shared" ca="1" si="84"/>
        <v>614248005741.55127</v>
      </c>
      <c r="G629" s="53">
        <f t="shared" ca="1" si="85"/>
        <v>2991125357889.2871</v>
      </c>
      <c r="H629" s="53">
        <f t="shared" ca="1" si="86"/>
        <v>12299504556025.551</v>
      </c>
      <c r="I629" s="53">
        <f t="shared" ca="1" si="87"/>
        <v>42871989629792.383</v>
      </c>
      <c r="J629" s="53">
        <f t="shared" ca="1" si="88"/>
        <v>909938186379.29211</v>
      </c>
      <c r="K629" s="54">
        <f t="shared" ca="1" si="89"/>
        <v>47.115276918295997</v>
      </c>
    </row>
    <row r="630" spans="2:11" ht="15" customHeight="1" x14ac:dyDescent="0.35">
      <c r="B630" s="5">
        <v>609</v>
      </c>
      <c r="C630" s="52">
        <f t="shared" ca="1" si="81"/>
        <v>1.8</v>
      </c>
      <c r="D630" s="53">
        <f t="shared" ca="1" si="82"/>
        <v>327351126.35708505</v>
      </c>
      <c r="E630" s="53">
        <f t="shared" ca="1" si="83"/>
        <v>507314937091.40936</v>
      </c>
      <c r="F630" s="53">
        <f t="shared" ca="1" si="84"/>
        <v>16357586741369.109</v>
      </c>
      <c r="G630" s="53">
        <f t="shared" ca="1" si="85"/>
        <v>2817325295686.1367</v>
      </c>
      <c r="H630" s="53">
        <f t="shared" ca="1" si="86"/>
        <v>16357586741369.109</v>
      </c>
      <c r="I630" s="53">
        <f t="shared" ca="1" si="87"/>
        <v>6348571093564.9092</v>
      </c>
      <c r="J630" s="53">
        <f t="shared" ca="1" si="88"/>
        <v>1001470073611.5167</v>
      </c>
      <c r="K630" s="54">
        <f t="shared" ca="1" si="89"/>
        <v>6.3392519265908716</v>
      </c>
    </row>
    <row r="631" spans="2:11" ht="15" customHeight="1" x14ac:dyDescent="0.35">
      <c r="B631" s="5">
        <v>610</v>
      </c>
      <c r="C631" s="52">
        <f t="shared" ca="1" si="81"/>
        <v>3.5719671065087351</v>
      </c>
      <c r="D631" s="53">
        <f t="shared" ca="1" si="82"/>
        <v>11680624431.578369</v>
      </c>
      <c r="E631" s="53">
        <f t="shared" ca="1" si="83"/>
        <v>46762023143856.344</v>
      </c>
      <c r="F631" s="53">
        <f t="shared" ca="1" si="84"/>
        <v>2579675600380.6187</v>
      </c>
      <c r="G631" s="53">
        <f t="shared" ca="1" si="85"/>
        <v>1931043336229.6304</v>
      </c>
      <c r="H631" s="53">
        <f t="shared" ca="1" si="86"/>
        <v>46762023143856.344</v>
      </c>
      <c r="I631" s="53">
        <f t="shared" ca="1" si="87"/>
        <v>56940032571361.266</v>
      </c>
      <c r="J631" s="53">
        <f t="shared" ca="1" si="88"/>
        <v>415631503932.95227</v>
      </c>
      <c r="K631" s="54">
        <f t="shared" ca="1" si="89"/>
        <v>136.9964308108525</v>
      </c>
    </row>
    <row r="632" spans="2:11" ht="15" customHeight="1" x14ac:dyDescent="0.35">
      <c r="B632" s="5">
        <v>611</v>
      </c>
      <c r="C632" s="52">
        <f t="shared" ca="1" si="81"/>
        <v>3.8576735144470944</v>
      </c>
      <c r="D632" s="53">
        <f t="shared" ca="1" si="82"/>
        <v>16964138185.747717</v>
      </c>
      <c r="E632" s="53">
        <f t="shared" ca="1" si="83"/>
        <v>70665059699469.516</v>
      </c>
      <c r="F632" s="53">
        <f t="shared" ca="1" si="84"/>
        <v>3688200698034.4282</v>
      </c>
      <c r="G632" s="53">
        <f t="shared" ca="1" si="85"/>
        <v>11148164096433.01</v>
      </c>
      <c r="H632" s="53">
        <f t="shared" ca="1" si="86"/>
        <v>3688200698034.4282</v>
      </c>
      <c r="I632" s="53">
        <f t="shared" ca="1" si="87"/>
        <v>1484201237905.2461</v>
      </c>
      <c r="J632" s="53">
        <f t="shared" ca="1" si="88"/>
        <v>809702256543.55273</v>
      </c>
      <c r="K632" s="54">
        <f t="shared" ca="1" si="89"/>
        <v>1.8330209974231597</v>
      </c>
    </row>
    <row r="633" spans="2:11" ht="15" customHeight="1" x14ac:dyDescent="0.35">
      <c r="B633" s="5">
        <v>612</v>
      </c>
      <c r="C633" s="52">
        <f t="shared" ca="1" si="81"/>
        <v>2.8721018540635859</v>
      </c>
      <c r="D633" s="53">
        <f t="shared" ca="1" si="82"/>
        <v>4023509735.0017214</v>
      </c>
      <c r="E633" s="53">
        <f t="shared" ca="1" si="83"/>
        <v>11935956108808.295</v>
      </c>
      <c r="F633" s="53">
        <f t="shared" ca="1" si="84"/>
        <v>8159714563993.3203</v>
      </c>
      <c r="G633" s="53">
        <f t="shared" ca="1" si="85"/>
        <v>7734873658949.1025</v>
      </c>
      <c r="H633" s="53">
        <f t="shared" ca="1" si="86"/>
        <v>11935956108808.295</v>
      </c>
      <c r="I633" s="53">
        <f t="shared" ca="1" si="87"/>
        <v>12567236795960.633</v>
      </c>
      <c r="J633" s="53">
        <f t="shared" ca="1" si="88"/>
        <v>1534786238921.9514</v>
      </c>
      <c r="K633" s="54">
        <f t="shared" ca="1" si="89"/>
        <v>8.1882652302042924</v>
      </c>
    </row>
    <row r="634" spans="2:11" ht="15" customHeight="1" x14ac:dyDescent="0.35">
      <c r="B634" s="5">
        <v>613</v>
      </c>
      <c r="C634" s="52">
        <f t="shared" ca="1" si="81"/>
        <v>2.9597097584699945</v>
      </c>
      <c r="D634" s="53">
        <f t="shared" ca="1" si="82"/>
        <v>4682786294.6270876</v>
      </c>
      <c r="E634" s="53">
        <f t="shared" ca="1" si="83"/>
        <v>25265914612101.824</v>
      </c>
      <c r="F634" s="53">
        <f t="shared" ca="1" si="84"/>
        <v>3838286293018.0474</v>
      </c>
      <c r="G634" s="53">
        <f t="shared" ca="1" si="85"/>
        <v>22550421763045.32</v>
      </c>
      <c r="H634" s="53">
        <f t="shared" ca="1" si="86"/>
        <v>25265914612101.824</v>
      </c>
      <c r="I634" s="53">
        <f t="shared" ca="1" si="87"/>
        <v>6202706899627.7559</v>
      </c>
      <c r="J634" s="53">
        <f t="shared" ca="1" si="88"/>
        <v>871674999057.43872</v>
      </c>
      <c r="K634" s="54">
        <f t="shared" ca="1" si="89"/>
        <v>7.1158481157941651</v>
      </c>
    </row>
    <row r="635" spans="2:11" ht="15" customHeight="1" x14ac:dyDescent="0.35">
      <c r="B635" s="5">
        <v>614</v>
      </c>
      <c r="C635" s="52">
        <f t="shared" ca="1" si="81"/>
        <v>2.5793778178396827</v>
      </c>
      <c r="D635" s="53">
        <f t="shared" ca="1" si="82"/>
        <v>1991757653.1511545</v>
      </c>
      <c r="E635" s="53">
        <f t="shared" ca="1" si="83"/>
        <v>11901961571093.777</v>
      </c>
      <c r="F635" s="53">
        <f t="shared" ca="1" si="84"/>
        <v>3108889950522.6372</v>
      </c>
      <c r="G635" s="53">
        <f t="shared" ca="1" si="85"/>
        <v>9229210728477.582</v>
      </c>
      <c r="H635" s="53">
        <f t="shared" ca="1" si="86"/>
        <v>11901961571093.777</v>
      </c>
      <c r="I635" s="53">
        <f t="shared" ca="1" si="87"/>
        <v>2348336391151.2075</v>
      </c>
      <c r="J635" s="53">
        <f t="shared" ca="1" si="88"/>
        <v>1477969029887.7192</v>
      </c>
      <c r="K635" s="54">
        <f t="shared" ca="1" si="89"/>
        <v>1.5888941809082493</v>
      </c>
    </row>
    <row r="636" spans="2:11" ht="15" customHeight="1" x14ac:dyDescent="0.35">
      <c r="B636" s="5">
        <v>615</v>
      </c>
      <c r="C636" s="52">
        <f t="shared" ca="1" si="81"/>
        <v>2.6282904648271943</v>
      </c>
      <c r="D636" s="53">
        <f t="shared" ca="1" si="82"/>
        <v>2705711301.8215342</v>
      </c>
      <c r="E636" s="53">
        <f t="shared" ca="1" si="83"/>
        <v>5903777654711.416</v>
      </c>
      <c r="F636" s="53">
        <f t="shared" ca="1" si="84"/>
        <v>743099241097.62769</v>
      </c>
      <c r="G636" s="53">
        <f t="shared" ca="1" si="85"/>
        <v>60783715625960.805</v>
      </c>
      <c r="H636" s="53">
        <f t="shared" ca="1" si="86"/>
        <v>743099241097.62769</v>
      </c>
      <c r="I636" s="53">
        <f t="shared" ca="1" si="87"/>
        <v>8548251506578.1436</v>
      </c>
      <c r="J636" s="53">
        <f t="shared" ca="1" si="88"/>
        <v>980538903021.84631</v>
      </c>
      <c r="K636" s="54">
        <f t="shared" ca="1" si="89"/>
        <v>8.7179116302616393</v>
      </c>
    </row>
    <row r="637" spans="2:11" ht="15" customHeight="1" x14ac:dyDescent="0.35">
      <c r="B637" s="5">
        <v>616</v>
      </c>
      <c r="C637" s="52">
        <f t="shared" ca="1" si="81"/>
        <v>3.3504315333267201</v>
      </c>
      <c r="D637" s="53">
        <f t="shared" ca="1" si="82"/>
        <v>9002628532.3127804</v>
      </c>
      <c r="E637" s="53">
        <f t="shared" ca="1" si="83"/>
        <v>15388857761637.758</v>
      </c>
      <c r="F637" s="53">
        <f t="shared" ca="1" si="84"/>
        <v>18378256549732.57</v>
      </c>
      <c r="G637" s="53">
        <f t="shared" ca="1" si="85"/>
        <v>1461386010711.6743</v>
      </c>
      <c r="H637" s="53">
        <f t="shared" ca="1" si="86"/>
        <v>15388857761637.758</v>
      </c>
      <c r="I637" s="53">
        <f t="shared" ca="1" si="87"/>
        <v>46140315818892.398</v>
      </c>
      <c r="J637" s="53">
        <f t="shared" ca="1" si="88"/>
        <v>1236953457915.592</v>
      </c>
      <c r="K637" s="54">
        <f t="shared" ca="1" si="89"/>
        <v>37.301577940243689</v>
      </c>
    </row>
    <row r="638" spans="2:11" ht="15" customHeight="1" x14ac:dyDescent="0.35">
      <c r="B638" s="5">
        <v>617</v>
      </c>
      <c r="C638" s="52">
        <f t="shared" ca="1" si="81"/>
        <v>2.6688474720798894</v>
      </c>
      <c r="D638" s="53">
        <f t="shared" ca="1" si="82"/>
        <v>2174451833.9011178</v>
      </c>
      <c r="E638" s="53">
        <f t="shared" ca="1" si="83"/>
        <v>7242565541267.2666</v>
      </c>
      <c r="F638" s="53">
        <f t="shared" ca="1" si="84"/>
        <v>2873378690570.0737</v>
      </c>
      <c r="G638" s="53">
        <f t="shared" ca="1" si="85"/>
        <v>6982115430347.499</v>
      </c>
      <c r="H638" s="53">
        <f t="shared" ca="1" si="86"/>
        <v>6982115430347.499</v>
      </c>
      <c r="I638" s="53">
        <f t="shared" ca="1" si="87"/>
        <v>24357559127468.031</v>
      </c>
      <c r="J638" s="53">
        <f t="shared" ca="1" si="88"/>
        <v>1037271548752.1953</v>
      </c>
      <c r="K638" s="54">
        <f t="shared" ca="1" si="89"/>
        <v>23.482336092963699</v>
      </c>
    </row>
    <row r="639" spans="2:11" ht="15" customHeight="1" x14ac:dyDescent="0.35">
      <c r="B639" s="5">
        <v>618</v>
      </c>
      <c r="C639" s="52">
        <f t="shared" ca="1" si="81"/>
        <v>3.0048471986337661</v>
      </c>
      <c r="D639" s="53">
        <f t="shared" ca="1" si="82"/>
        <v>3985061918.8603377</v>
      </c>
      <c r="E639" s="53">
        <f t="shared" ca="1" si="83"/>
        <v>41673878091315.031</v>
      </c>
      <c r="F639" s="53">
        <f t="shared" ca="1" si="84"/>
        <v>2211999334541.1255</v>
      </c>
      <c r="G639" s="53">
        <f t="shared" ca="1" si="85"/>
        <v>3792277977919.9326</v>
      </c>
      <c r="H639" s="53">
        <f t="shared" ca="1" si="86"/>
        <v>41673878091315.031</v>
      </c>
      <c r="I639" s="53">
        <f t="shared" ca="1" si="87"/>
        <v>2779777795409.0933</v>
      </c>
      <c r="J639" s="53">
        <f t="shared" ca="1" si="88"/>
        <v>570960346329.88708</v>
      </c>
      <c r="K639" s="54">
        <f t="shared" ca="1" si="89"/>
        <v>4.8686004435814265</v>
      </c>
    </row>
    <row r="640" spans="2:11" ht="15" customHeight="1" x14ac:dyDescent="0.35">
      <c r="B640" s="5">
        <v>619</v>
      </c>
      <c r="C640" s="52">
        <f t="shared" ca="1" si="81"/>
        <v>2.9007441418416176</v>
      </c>
      <c r="D640" s="53">
        <f t="shared" ca="1" si="82"/>
        <v>4007319453.3715401</v>
      </c>
      <c r="E640" s="53">
        <f t="shared" ca="1" si="83"/>
        <v>6058949432140.5645</v>
      </c>
      <c r="F640" s="53">
        <f t="shared" ca="1" si="84"/>
        <v>1479274478112.4509</v>
      </c>
      <c r="G640" s="53">
        <f t="shared" ca="1" si="85"/>
        <v>16733421684338.664</v>
      </c>
      <c r="H640" s="53">
        <f t="shared" ca="1" si="86"/>
        <v>6058949432140.5645</v>
      </c>
      <c r="I640" s="53">
        <f t="shared" ca="1" si="87"/>
        <v>45877250558407.203</v>
      </c>
      <c r="J640" s="53">
        <f t="shared" ca="1" si="88"/>
        <v>1364316650553.7305</v>
      </c>
      <c r="K640" s="54">
        <f t="shared" ca="1" si="89"/>
        <v>33.626541565542837</v>
      </c>
    </row>
    <row r="641" spans="2:11" ht="15" customHeight="1" x14ac:dyDescent="0.35">
      <c r="B641" s="5">
        <v>620</v>
      </c>
      <c r="C641" s="52">
        <f t="shared" ca="1" si="81"/>
        <v>3.485049245886024</v>
      </c>
      <c r="D641" s="53">
        <f t="shared" ca="1" si="82"/>
        <v>11988354207.565487</v>
      </c>
      <c r="E641" s="53">
        <f t="shared" ca="1" si="83"/>
        <v>14453537425242.916</v>
      </c>
      <c r="F641" s="53">
        <f t="shared" ca="1" si="84"/>
        <v>1681888190663.2834</v>
      </c>
      <c r="G641" s="53">
        <f t="shared" ca="1" si="85"/>
        <v>15268753409647.943</v>
      </c>
      <c r="H641" s="53">
        <f t="shared" ca="1" si="86"/>
        <v>14453537425242.916</v>
      </c>
      <c r="I641" s="53">
        <f t="shared" ca="1" si="87"/>
        <v>2705784611583.373</v>
      </c>
      <c r="J641" s="53">
        <f t="shared" ca="1" si="88"/>
        <v>1051739856575.0596</v>
      </c>
      <c r="K641" s="54">
        <f t="shared" ca="1" si="89"/>
        <v>2.5726747870853073</v>
      </c>
    </row>
    <row r="642" spans="2:11" ht="15" customHeight="1" x14ac:dyDescent="0.35">
      <c r="B642" s="5">
        <v>621</v>
      </c>
      <c r="C642" s="52">
        <f t="shared" ca="1" si="81"/>
        <v>3.2764429259910619</v>
      </c>
      <c r="D642" s="53">
        <f t="shared" ca="1" si="82"/>
        <v>6170431948.5655756</v>
      </c>
      <c r="E642" s="53">
        <f t="shared" ca="1" si="83"/>
        <v>10496835488993.938</v>
      </c>
      <c r="F642" s="53">
        <f t="shared" ca="1" si="84"/>
        <v>7540405262637.9746</v>
      </c>
      <c r="G642" s="53">
        <f t="shared" ca="1" si="85"/>
        <v>45512657183420.461</v>
      </c>
      <c r="H642" s="53">
        <f t="shared" ca="1" si="86"/>
        <v>45512657183420.461</v>
      </c>
      <c r="I642" s="53">
        <f t="shared" ca="1" si="87"/>
        <v>5863421268122.6895</v>
      </c>
      <c r="J642" s="53">
        <f t="shared" ca="1" si="88"/>
        <v>1631253430898.7383</v>
      </c>
      <c r="K642" s="54">
        <f t="shared" ca="1" si="89"/>
        <v>3.5944269339511767</v>
      </c>
    </row>
    <row r="643" spans="2:11" ht="15" customHeight="1" x14ac:dyDescent="0.35">
      <c r="B643" s="5">
        <v>622</v>
      </c>
      <c r="C643" s="52">
        <f t="shared" ca="1" si="81"/>
        <v>3.2753861696222057</v>
      </c>
      <c r="D643" s="53">
        <f t="shared" ca="1" si="82"/>
        <v>7359020199.8391972</v>
      </c>
      <c r="E643" s="53">
        <f t="shared" ca="1" si="83"/>
        <v>13884978731893.541</v>
      </c>
      <c r="F643" s="53">
        <f t="shared" ca="1" si="84"/>
        <v>343425058715.33136</v>
      </c>
      <c r="G643" s="53">
        <f t="shared" ca="1" si="85"/>
        <v>752041964101.9436</v>
      </c>
      <c r="H643" s="53">
        <f t="shared" ca="1" si="86"/>
        <v>13884978731893.541</v>
      </c>
      <c r="I643" s="53">
        <f t="shared" ca="1" si="87"/>
        <v>30176437527696.027</v>
      </c>
      <c r="J643" s="53">
        <f t="shared" ca="1" si="88"/>
        <v>1157058275961.0317</v>
      </c>
      <c r="K643" s="54">
        <f t="shared" ca="1" si="89"/>
        <v>26.080309137957656</v>
      </c>
    </row>
    <row r="644" spans="2:11" ht="15" customHeight="1" x14ac:dyDescent="0.35">
      <c r="B644" s="5">
        <v>623</v>
      </c>
      <c r="C644" s="52">
        <f t="shared" ca="1" si="81"/>
        <v>4.0838194505258789</v>
      </c>
      <c r="D644" s="53">
        <f t="shared" ca="1" si="82"/>
        <v>21508148483.605499</v>
      </c>
      <c r="E644" s="53">
        <f t="shared" ca="1" si="83"/>
        <v>100398025149788.08</v>
      </c>
      <c r="F644" s="53">
        <f t="shared" ca="1" si="84"/>
        <v>1608751179553.3254</v>
      </c>
      <c r="G644" s="53">
        <f t="shared" ca="1" si="85"/>
        <v>51618515851706.844</v>
      </c>
      <c r="H644" s="53">
        <f t="shared" ca="1" si="86"/>
        <v>100398025149788.08</v>
      </c>
      <c r="I644" s="53">
        <f t="shared" ca="1" si="87"/>
        <v>19039164478993.852</v>
      </c>
      <c r="J644" s="53">
        <f t="shared" ca="1" si="88"/>
        <v>674520410755.02502</v>
      </c>
      <c r="K644" s="54">
        <f t="shared" ca="1" si="89"/>
        <v>28.226224403917364</v>
      </c>
    </row>
    <row r="645" spans="2:11" ht="15" customHeight="1" x14ac:dyDescent="0.35">
      <c r="B645" s="5">
        <v>624</v>
      </c>
      <c r="C645" s="52">
        <f t="shared" ca="1" si="81"/>
        <v>2.5481402334414875</v>
      </c>
      <c r="D645" s="53">
        <f t="shared" ca="1" si="82"/>
        <v>2535166007.9222312</v>
      </c>
      <c r="E645" s="53">
        <f t="shared" ca="1" si="83"/>
        <v>29270380173042.922</v>
      </c>
      <c r="F645" s="53">
        <f t="shared" ca="1" si="84"/>
        <v>2196393843364.9587</v>
      </c>
      <c r="G645" s="53">
        <f t="shared" ca="1" si="85"/>
        <v>632706536513.12988</v>
      </c>
      <c r="H645" s="53">
        <f t="shared" ca="1" si="86"/>
        <v>29270380173042.922</v>
      </c>
      <c r="I645" s="53">
        <f t="shared" ca="1" si="87"/>
        <v>6322576723535.9053</v>
      </c>
      <c r="J645" s="53">
        <f t="shared" ca="1" si="88"/>
        <v>1293194535250.5422</v>
      </c>
      <c r="K645" s="54">
        <f t="shared" ca="1" si="89"/>
        <v>4.889114940708418</v>
      </c>
    </row>
    <row r="646" spans="2:11" ht="15" customHeight="1" x14ac:dyDescent="0.35">
      <c r="B646" s="5">
        <v>625</v>
      </c>
      <c r="C646" s="52">
        <f t="shared" ca="1" si="81"/>
        <v>3.2223192460995169</v>
      </c>
      <c r="D646" s="53">
        <f t="shared" ca="1" si="82"/>
        <v>6072166825.1318197</v>
      </c>
      <c r="E646" s="53">
        <f t="shared" ca="1" si="83"/>
        <v>29349573274618.215</v>
      </c>
      <c r="F646" s="53">
        <f t="shared" ca="1" si="84"/>
        <v>4376971872426.7495</v>
      </c>
      <c r="G646" s="53">
        <f t="shared" ca="1" si="85"/>
        <v>10925360131630.705</v>
      </c>
      <c r="H646" s="53">
        <f t="shared" ca="1" si="86"/>
        <v>4376971872426.7495</v>
      </c>
      <c r="I646" s="53">
        <f t="shared" ca="1" si="87"/>
        <v>11410422803988.504</v>
      </c>
      <c r="J646" s="53">
        <f t="shared" ca="1" si="88"/>
        <v>676995378366.53235</v>
      </c>
      <c r="K646" s="54">
        <f t="shared" ca="1" si="89"/>
        <v>16.854506202863298</v>
      </c>
    </row>
    <row r="647" spans="2:11" ht="15" customHeight="1" x14ac:dyDescent="0.35">
      <c r="B647" s="5">
        <v>626</v>
      </c>
      <c r="C647" s="52">
        <f t="shared" ca="1" si="81"/>
        <v>1.884511146959891</v>
      </c>
      <c r="D647" s="53">
        <f t="shared" ca="1" si="82"/>
        <v>430281054.9588809</v>
      </c>
      <c r="E647" s="53">
        <f t="shared" ca="1" si="83"/>
        <v>430206692378.84192</v>
      </c>
      <c r="F647" s="53">
        <f t="shared" ca="1" si="84"/>
        <v>3354478665938.8794</v>
      </c>
      <c r="G647" s="53">
        <f t="shared" ca="1" si="85"/>
        <v>1468959207860.8896</v>
      </c>
      <c r="H647" s="53">
        <f t="shared" ca="1" si="86"/>
        <v>3354478665938.8794</v>
      </c>
      <c r="I647" s="53">
        <f t="shared" ca="1" si="87"/>
        <v>4069517966297.4858</v>
      </c>
      <c r="J647" s="53">
        <f t="shared" ca="1" si="88"/>
        <v>729709877422.74854</v>
      </c>
      <c r="K647" s="54">
        <f t="shared" ca="1" si="89"/>
        <v>5.5768985623033576</v>
      </c>
    </row>
    <row r="648" spans="2:11" ht="15" customHeight="1" x14ac:dyDescent="0.35">
      <c r="B648" s="5">
        <v>627</v>
      </c>
      <c r="C648" s="52">
        <f t="shared" ca="1" si="81"/>
        <v>3.2374016369639298</v>
      </c>
      <c r="D648" s="53">
        <f t="shared" ca="1" si="82"/>
        <v>8306310039.2672768</v>
      </c>
      <c r="E648" s="53">
        <f t="shared" ca="1" si="83"/>
        <v>50533331414428.875</v>
      </c>
      <c r="F648" s="53">
        <f t="shared" ca="1" si="84"/>
        <v>1797619024870.1558</v>
      </c>
      <c r="G648" s="53">
        <f t="shared" ca="1" si="85"/>
        <v>15297081060794.506</v>
      </c>
      <c r="H648" s="53">
        <f t="shared" ca="1" si="86"/>
        <v>50533331414428.875</v>
      </c>
      <c r="I648" s="53">
        <f t="shared" ca="1" si="87"/>
        <v>2988517663501.6943</v>
      </c>
      <c r="J648" s="53">
        <f t="shared" ca="1" si="88"/>
        <v>865522094902.22656</v>
      </c>
      <c r="K648" s="54">
        <f t="shared" ca="1" si="89"/>
        <v>3.4528496512146134</v>
      </c>
    </row>
    <row r="649" spans="2:11" ht="15" customHeight="1" x14ac:dyDescent="0.35">
      <c r="B649" s="5">
        <v>628</v>
      </c>
      <c r="C649" s="52">
        <f t="shared" ca="1" si="81"/>
        <v>3.1865826302288118</v>
      </c>
      <c r="D649" s="53">
        <f t="shared" ca="1" si="82"/>
        <v>5786830659.8514814</v>
      </c>
      <c r="E649" s="53">
        <f t="shared" ca="1" si="83"/>
        <v>39256510693091.938</v>
      </c>
      <c r="F649" s="53">
        <f t="shared" ca="1" si="84"/>
        <v>13791386133872.168</v>
      </c>
      <c r="G649" s="53">
        <f t="shared" ca="1" si="85"/>
        <v>2014520106921.8945</v>
      </c>
      <c r="H649" s="53">
        <f t="shared" ca="1" si="86"/>
        <v>39256510693091.938</v>
      </c>
      <c r="I649" s="53">
        <f t="shared" ca="1" si="87"/>
        <v>14893145476140.58</v>
      </c>
      <c r="J649" s="53">
        <f t="shared" ca="1" si="88"/>
        <v>622634918941.11902</v>
      </c>
      <c r="K649" s="54">
        <f t="shared" ca="1" si="89"/>
        <v>23.919547431532646</v>
      </c>
    </row>
    <row r="650" spans="2:11" ht="15" customHeight="1" x14ac:dyDescent="0.35">
      <c r="B650" s="5">
        <v>629</v>
      </c>
      <c r="C650" s="52">
        <f t="shared" ca="1" si="81"/>
        <v>3.5198738850262483</v>
      </c>
      <c r="D650" s="53">
        <f t="shared" ca="1" si="82"/>
        <v>8803550128.3164234</v>
      </c>
      <c r="E650" s="53">
        <f t="shared" ca="1" si="83"/>
        <v>35194130893581.133</v>
      </c>
      <c r="F650" s="53">
        <f t="shared" ca="1" si="84"/>
        <v>406037846041.8031</v>
      </c>
      <c r="G650" s="53">
        <f t="shared" ca="1" si="85"/>
        <v>6440932853636.6426</v>
      </c>
      <c r="H650" s="53">
        <f t="shared" ca="1" si="86"/>
        <v>406037846041.8031</v>
      </c>
      <c r="I650" s="53">
        <f t="shared" ca="1" si="87"/>
        <v>11541000025986.008</v>
      </c>
      <c r="J650" s="53">
        <f t="shared" ca="1" si="88"/>
        <v>1319095738819.748</v>
      </c>
      <c r="K650" s="54">
        <f t="shared" ca="1" si="89"/>
        <v>8.7491754285494387</v>
      </c>
    </row>
    <row r="651" spans="2:11" ht="15" customHeight="1" x14ac:dyDescent="0.35">
      <c r="B651" s="5">
        <v>630</v>
      </c>
      <c r="C651" s="52">
        <f t="shared" ca="1" si="81"/>
        <v>2.4643914087210943</v>
      </c>
      <c r="D651" s="53">
        <f t="shared" ca="1" si="82"/>
        <v>1562976344.1262615</v>
      </c>
      <c r="E651" s="53">
        <f t="shared" ca="1" si="83"/>
        <v>3138522289134.4697</v>
      </c>
      <c r="F651" s="53">
        <f t="shared" ca="1" si="84"/>
        <v>17919235011436.844</v>
      </c>
      <c r="G651" s="53">
        <f t="shared" ca="1" si="85"/>
        <v>2096018606619.1938</v>
      </c>
      <c r="H651" s="53">
        <f t="shared" ca="1" si="86"/>
        <v>2096018606619.1938</v>
      </c>
      <c r="I651" s="53">
        <f t="shared" ca="1" si="87"/>
        <v>37759256459384.945</v>
      </c>
      <c r="J651" s="53">
        <f t="shared" ca="1" si="88"/>
        <v>1224151298909.998</v>
      </c>
      <c r="K651" s="54">
        <f t="shared" ca="1" si="89"/>
        <v>30.845252946270882</v>
      </c>
    </row>
    <row r="652" spans="2:11" ht="15" customHeight="1" x14ac:dyDescent="0.35">
      <c r="B652" s="5">
        <v>631</v>
      </c>
      <c r="C652" s="52">
        <f t="shared" ca="1" si="81"/>
        <v>3.2890413115679431</v>
      </c>
      <c r="D652" s="53">
        <f t="shared" ca="1" si="82"/>
        <v>6509874099.1499529</v>
      </c>
      <c r="E652" s="53">
        <f t="shared" ca="1" si="83"/>
        <v>26300854706880.742</v>
      </c>
      <c r="F652" s="53">
        <f t="shared" ca="1" si="84"/>
        <v>603168783419.255</v>
      </c>
      <c r="G652" s="53">
        <f t="shared" ca="1" si="85"/>
        <v>12944203068321.309</v>
      </c>
      <c r="H652" s="53">
        <f t="shared" ca="1" si="86"/>
        <v>26300854706880.742</v>
      </c>
      <c r="I652" s="53">
        <f t="shared" ca="1" si="87"/>
        <v>9045438425322.6777</v>
      </c>
      <c r="J652" s="53">
        <f t="shared" ca="1" si="88"/>
        <v>1360971920594.0247</v>
      </c>
      <c r="K652" s="54">
        <f t="shared" ca="1" si="89"/>
        <v>6.6463078983838306</v>
      </c>
    </row>
    <row r="653" spans="2:11" ht="15" customHeight="1" x14ac:dyDescent="0.35">
      <c r="B653" s="5">
        <v>632</v>
      </c>
      <c r="C653" s="52">
        <f t="shared" ca="1" si="81"/>
        <v>3.1347693524417299</v>
      </c>
      <c r="D653" s="53">
        <f t="shared" ca="1" si="82"/>
        <v>5232662772.1156616</v>
      </c>
      <c r="E653" s="53">
        <f t="shared" ca="1" si="83"/>
        <v>19716277137272.25</v>
      </c>
      <c r="F653" s="53">
        <f t="shared" ca="1" si="84"/>
        <v>34917776982040.844</v>
      </c>
      <c r="G653" s="53">
        <f t="shared" ca="1" si="85"/>
        <v>6219224175599.5615</v>
      </c>
      <c r="H653" s="53">
        <f t="shared" ca="1" si="86"/>
        <v>34917776982040.844</v>
      </c>
      <c r="I653" s="53">
        <f t="shared" ca="1" si="87"/>
        <v>2627281472259.8481</v>
      </c>
      <c r="J653" s="53">
        <f t="shared" ca="1" si="88"/>
        <v>574707949868.49194</v>
      </c>
      <c r="K653" s="54">
        <f t="shared" ca="1" si="89"/>
        <v>4.5715070982766779</v>
      </c>
    </row>
    <row r="654" spans="2:11" ht="15" customHeight="1" x14ac:dyDescent="0.35">
      <c r="B654" s="5">
        <v>633</v>
      </c>
      <c r="C654" s="52">
        <f t="shared" ca="1" si="81"/>
        <v>2.8278936784013218</v>
      </c>
      <c r="D654" s="53">
        <f t="shared" ca="1" si="82"/>
        <v>3028758423.4320202</v>
      </c>
      <c r="E654" s="53">
        <f t="shared" ca="1" si="83"/>
        <v>14185691503875.184</v>
      </c>
      <c r="F654" s="53">
        <f t="shared" ca="1" si="84"/>
        <v>22713856962001.434</v>
      </c>
      <c r="G654" s="53">
        <f t="shared" ca="1" si="85"/>
        <v>13735823570511.986</v>
      </c>
      <c r="H654" s="53">
        <f t="shared" ca="1" si="86"/>
        <v>13735823570511.986</v>
      </c>
      <c r="I654" s="53">
        <f t="shared" ca="1" si="87"/>
        <v>3089831644708.1704</v>
      </c>
      <c r="J654" s="53">
        <f t="shared" ca="1" si="88"/>
        <v>1333566110197.1797</v>
      </c>
      <c r="K654" s="54">
        <f t="shared" ca="1" si="89"/>
        <v>2.3169692309077283</v>
      </c>
    </row>
    <row r="655" spans="2:11" ht="15" customHeight="1" x14ac:dyDescent="0.35">
      <c r="B655" s="5">
        <v>634</v>
      </c>
      <c r="C655" s="52">
        <f t="shared" ca="1" si="81"/>
        <v>2.6111128041085632</v>
      </c>
      <c r="D655" s="53">
        <f t="shared" ca="1" si="82"/>
        <v>2193624864.9627175</v>
      </c>
      <c r="E655" s="53">
        <f t="shared" ca="1" si="83"/>
        <v>1400373310289.7207</v>
      </c>
      <c r="F655" s="53">
        <f t="shared" ca="1" si="84"/>
        <v>4201867282317.064</v>
      </c>
      <c r="G655" s="53">
        <f t="shared" ca="1" si="85"/>
        <v>2256645818004.4858</v>
      </c>
      <c r="H655" s="53">
        <f t="shared" ca="1" si="86"/>
        <v>4201867282317.064</v>
      </c>
      <c r="I655" s="53">
        <f t="shared" ca="1" si="87"/>
        <v>2634721879170.0537</v>
      </c>
      <c r="J655" s="53">
        <f t="shared" ca="1" si="88"/>
        <v>873230191672.56189</v>
      </c>
      <c r="K655" s="54">
        <f t="shared" ca="1" si="89"/>
        <v>3.0172134498963872</v>
      </c>
    </row>
    <row r="656" spans="2:11" ht="15" customHeight="1" x14ac:dyDescent="0.35">
      <c r="B656" s="5">
        <v>635</v>
      </c>
      <c r="C656" s="52">
        <f t="shared" ca="1" si="81"/>
        <v>2.7285494586737036</v>
      </c>
      <c r="D656" s="53">
        <f t="shared" ca="1" si="82"/>
        <v>3344997069.8012757</v>
      </c>
      <c r="E656" s="53">
        <f t="shared" ca="1" si="83"/>
        <v>7882058900601.834</v>
      </c>
      <c r="F656" s="53">
        <f t="shared" ca="1" si="84"/>
        <v>571928290964.72302</v>
      </c>
      <c r="G656" s="53">
        <f t="shared" ca="1" si="85"/>
        <v>1317439186232.8962</v>
      </c>
      <c r="H656" s="53">
        <f t="shared" ca="1" si="86"/>
        <v>571928290964.72302</v>
      </c>
      <c r="I656" s="53">
        <f t="shared" ca="1" si="87"/>
        <v>7923316582951.2305</v>
      </c>
      <c r="J656" s="53">
        <f t="shared" ca="1" si="88"/>
        <v>971079221690.15259</v>
      </c>
      <c r="K656" s="54">
        <f t="shared" ca="1" si="89"/>
        <v>8.1592895883003091</v>
      </c>
    </row>
    <row r="657" spans="2:11" ht="15" customHeight="1" x14ac:dyDescent="0.35">
      <c r="B657" s="5">
        <v>636</v>
      </c>
      <c r="C657" s="52">
        <f t="shared" ca="1" si="81"/>
        <v>2.7618598720515379</v>
      </c>
      <c r="D657" s="53">
        <f t="shared" ca="1" si="82"/>
        <v>3224394284.3171186</v>
      </c>
      <c r="E657" s="53">
        <f t="shared" ca="1" si="83"/>
        <v>9947596668009.9648</v>
      </c>
      <c r="F657" s="53">
        <f t="shared" ca="1" si="84"/>
        <v>3273812784920.2583</v>
      </c>
      <c r="G657" s="53">
        <f t="shared" ca="1" si="85"/>
        <v>3553736088371.5596</v>
      </c>
      <c r="H657" s="53">
        <f t="shared" ca="1" si="86"/>
        <v>9947596668009.9648</v>
      </c>
      <c r="I657" s="53">
        <f t="shared" ca="1" si="87"/>
        <v>1470536550657.6265</v>
      </c>
      <c r="J657" s="53">
        <f t="shared" ca="1" si="88"/>
        <v>1311044491561.9836</v>
      </c>
      <c r="K657" s="54">
        <f t="shared" ca="1" si="89"/>
        <v>1.1216526671079052</v>
      </c>
    </row>
    <row r="658" spans="2:11" ht="15" customHeight="1" x14ac:dyDescent="0.35">
      <c r="B658" s="5">
        <v>637</v>
      </c>
      <c r="C658" s="52">
        <f t="shared" ca="1" si="81"/>
        <v>3.0165545491672874</v>
      </c>
      <c r="D658" s="53">
        <f t="shared" ca="1" si="82"/>
        <v>4679562119.4587727</v>
      </c>
      <c r="E658" s="53">
        <f t="shared" ca="1" si="83"/>
        <v>23652054905387.074</v>
      </c>
      <c r="F658" s="53">
        <f t="shared" ca="1" si="84"/>
        <v>6150034927985.9932</v>
      </c>
      <c r="G658" s="53">
        <f t="shared" ca="1" si="85"/>
        <v>31378823631086.586</v>
      </c>
      <c r="H658" s="53">
        <f t="shared" ca="1" si="86"/>
        <v>23652054905387.074</v>
      </c>
      <c r="I658" s="53">
        <f t="shared" ca="1" si="87"/>
        <v>163648958144190.28</v>
      </c>
      <c r="J658" s="53">
        <f t="shared" ca="1" si="88"/>
        <v>594429424085.17029</v>
      </c>
      <c r="K658" s="54">
        <f t="shared" ca="1" si="89"/>
        <v>275.3042691250468</v>
      </c>
    </row>
    <row r="659" spans="2:11" ht="15" customHeight="1" x14ac:dyDescent="0.35">
      <c r="B659" s="5">
        <v>638</v>
      </c>
      <c r="C659" s="52">
        <f t="shared" ca="1" si="81"/>
        <v>2.7997152976738722</v>
      </c>
      <c r="D659" s="53">
        <f t="shared" ca="1" si="82"/>
        <v>3008695426.9824944</v>
      </c>
      <c r="E659" s="53">
        <f t="shared" ca="1" si="83"/>
        <v>27090014298030.73</v>
      </c>
      <c r="F659" s="53">
        <f t="shared" ca="1" si="84"/>
        <v>3541977497730.585</v>
      </c>
      <c r="G659" s="53">
        <f t="shared" ca="1" si="85"/>
        <v>4138469793314.9775</v>
      </c>
      <c r="H659" s="53">
        <f t="shared" ca="1" si="86"/>
        <v>3541977497730.585</v>
      </c>
      <c r="I659" s="53">
        <f t="shared" ca="1" si="87"/>
        <v>6148200661214.5928</v>
      </c>
      <c r="J659" s="53">
        <f t="shared" ca="1" si="88"/>
        <v>842520832468.05603</v>
      </c>
      <c r="K659" s="54">
        <f t="shared" ca="1" si="89"/>
        <v>7.2973871081670856</v>
      </c>
    </row>
    <row r="660" spans="2:11" ht="15" customHeight="1" x14ac:dyDescent="0.35">
      <c r="B660" s="5">
        <v>639</v>
      </c>
      <c r="C660" s="52">
        <f t="shared" ca="1" si="81"/>
        <v>2.8298393475894277</v>
      </c>
      <c r="D660" s="53">
        <f t="shared" ca="1" si="82"/>
        <v>3613740849.2753534</v>
      </c>
      <c r="E660" s="53">
        <f t="shared" ca="1" si="83"/>
        <v>7890029377426.4336</v>
      </c>
      <c r="F660" s="53">
        <f t="shared" ca="1" si="84"/>
        <v>62295245755609.125</v>
      </c>
      <c r="G660" s="53">
        <f t="shared" ca="1" si="85"/>
        <v>4362269247589.3237</v>
      </c>
      <c r="H660" s="53">
        <f t="shared" ca="1" si="86"/>
        <v>4362269247589.3237</v>
      </c>
      <c r="I660" s="53">
        <f t="shared" ca="1" si="87"/>
        <v>332738910669.30121</v>
      </c>
      <c r="J660" s="53">
        <f t="shared" ca="1" si="88"/>
        <v>695698451322.25146</v>
      </c>
      <c r="K660" s="54">
        <f t="shared" ca="1" si="89"/>
        <v>0.47828036707124227</v>
      </c>
    </row>
    <row r="661" spans="2:11" ht="15" customHeight="1" x14ac:dyDescent="0.35">
      <c r="B661" s="5">
        <v>640</v>
      </c>
      <c r="C661" s="52">
        <f t="shared" ca="1" si="81"/>
        <v>3.3516060022431153</v>
      </c>
      <c r="D661" s="53">
        <f t="shared" ca="1" si="82"/>
        <v>7051556923.7851725</v>
      </c>
      <c r="E661" s="53">
        <f t="shared" ca="1" si="83"/>
        <v>11153022977857.346</v>
      </c>
      <c r="F661" s="53">
        <f t="shared" ca="1" si="84"/>
        <v>6483191119829.3379</v>
      </c>
      <c r="G661" s="53">
        <f t="shared" ca="1" si="85"/>
        <v>3197483735790.9878</v>
      </c>
      <c r="H661" s="53">
        <f t="shared" ca="1" si="86"/>
        <v>6483191119829.3379</v>
      </c>
      <c r="I661" s="53">
        <f t="shared" ca="1" si="87"/>
        <v>35345692001120.25</v>
      </c>
      <c r="J661" s="53">
        <f t="shared" ca="1" si="88"/>
        <v>833820359489.34082</v>
      </c>
      <c r="K661" s="54">
        <f t="shared" ca="1" si="89"/>
        <v>42.390056321924213</v>
      </c>
    </row>
    <row r="662" spans="2:11" ht="15" customHeight="1" x14ac:dyDescent="0.35">
      <c r="B662" s="5">
        <v>641</v>
      </c>
      <c r="C662" s="52">
        <f t="shared" ref="C662:C725" ca="1" si="90">MEDIAN(1.8,NORMINV(RAND(),$C$7,$D$7),4.5)</f>
        <v>2.8686947555743263</v>
      </c>
      <c r="D662" s="53">
        <f t="shared" ref="D662:D725" ca="1" si="91">($C$8+RAND()*($D$8-$C$8))*C662^5</f>
        <v>4228738851.6623926</v>
      </c>
      <c r="E662" s="53">
        <f t="shared" ref="E662:E725" ca="1" si="92">D662*($C$10+RAND()*($D$10-$C$10))*EXP(NORMINV(RAND(),$C$9,$D$9))*($C$11+RAND()*($D$11-$C$11))</f>
        <v>28714903683764.887</v>
      </c>
      <c r="F662" s="53">
        <f t="shared" ref="F662:F725" ca="1" si="93">EXP(NORMINV(RAND(),$C$12,$D$12))*EXP(NORMINV(RAND(),$C$13,$D$13))</f>
        <v>4918410365467.2725</v>
      </c>
      <c r="G662" s="53">
        <f t="shared" ref="G662:G725" ca="1" si="94">EXP(NORMINV(RAND(),$C$14,$D$14))*($C$15+RAND()*($D$15-$C$15))*EXP(NORMINV(RAND(),$C$16,$D$16))/1000000*31536000</f>
        <v>7717410451873.501</v>
      </c>
      <c r="H662" s="53">
        <f t="shared" ref="H662:H725" ca="1" si="95">CHOOSE(RANDBETWEEN(1,3),E662,F662,G662)</f>
        <v>4918410365467.2725</v>
      </c>
      <c r="I662" s="53">
        <f t="shared" ref="I662:I725" ca="1" si="96">EXP(NORMINV(RAND(),$C$14,$D$14))*($C$15+RAND()*($D$15-$C$15))*60</f>
        <v>5192699185016.3467</v>
      </c>
      <c r="J662" s="53">
        <f t="shared" ref="J662:J725" ca="1" si="97">($C$17+RAND()*($D$17-$C$17))*($C$18+RAND()*($D$18-$C$18))</f>
        <v>1264595108604.5132</v>
      </c>
      <c r="K662" s="54">
        <f t="shared" ref="K662:K725" ca="1" si="98">I662/J662</f>
        <v>4.1062148269310601</v>
      </c>
    </row>
    <row r="663" spans="2:11" ht="15" customHeight="1" x14ac:dyDescent="0.35">
      <c r="B663" s="5">
        <v>642</v>
      </c>
      <c r="C663" s="52">
        <f t="shared" ca="1" si="90"/>
        <v>3.1039817992324337</v>
      </c>
      <c r="D663" s="53">
        <f t="shared" ca="1" si="91"/>
        <v>5138002676.021163</v>
      </c>
      <c r="E663" s="53">
        <f t="shared" ca="1" si="92"/>
        <v>15521247459626.576</v>
      </c>
      <c r="F663" s="53">
        <f t="shared" ca="1" si="93"/>
        <v>8520492241125.2637</v>
      </c>
      <c r="G663" s="53">
        <f t="shared" ca="1" si="94"/>
        <v>11117476338350.357</v>
      </c>
      <c r="H663" s="53">
        <f t="shared" ca="1" si="95"/>
        <v>11117476338350.357</v>
      </c>
      <c r="I663" s="53">
        <f t="shared" ca="1" si="96"/>
        <v>161558877825348.75</v>
      </c>
      <c r="J663" s="53">
        <f t="shared" ca="1" si="97"/>
        <v>1263994756094.6685</v>
      </c>
      <c r="K663" s="54">
        <f t="shared" ca="1" si="98"/>
        <v>127.81609816524318</v>
      </c>
    </row>
    <row r="664" spans="2:11" ht="15" customHeight="1" x14ac:dyDescent="0.35">
      <c r="B664" s="5">
        <v>643</v>
      </c>
      <c r="C664" s="52">
        <f t="shared" ca="1" si="90"/>
        <v>3.082601605687171</v>
      </c>
      <c r="D664" s="53">
        <f t="shared" ca="1" si="91"/>
        <v>6179617625.288765</v>
      </c>
      <c r="E664" s="53">
        <f t="shared" ca="1" si="92"/>
        <v>27040410801323.961</v>
      </c>
      <c r="F664" s="53">
        <f t="shared" ca="1" si="93"/>
        <v>7739082220496.2813</v>
      </c>
      <c r="G664" s="53">
        <f t="shared" ca="1" si="94"/>
        <v>26922949169622.727</v>
      </c>
      <c r="H664" s="53">
        <f t="shared" ca="1" si="95"/>
        <v>26922949169622.727</v>
      </c>
      <c r="I664" s="53">
        <f t="shared" ca="1" si="96"/>
        <v>76167172549828.094</v>
      </c>
      <c r="J664" s="53">
        <f t="shared" ca="1" si="97"/>
        <v>988369079534.4939</v>
      </c>
      <c r="K664" s="54">
        <f t="shared" ca="1" si="98"/>
        <v>77.063491894851282</v>
      </c>
    </row>
    <row r="665" spans="2:11" ht="15" customHeight="1" x14ac:dyDescent="0.35">
      <c r="B665" s="5">
        <v>644</v>
      </c>
      <c r="C665" s="52">
        <f t="shared" ca="1" si="90"/>
        <v>3.6569807076999692</v>
      </c>
      <c r="D665" s="53">
        <f t="shared" ca="1" si="91"/>
        <v>13507562229.976305</v>
      </c>
      <c r="E665" s="53">
        <f t="shared" ca="1" si="92"/>
        <v>46811484105727.18</v>
      </c>
      <c r="F665" s="53">
        <f t="shared" ca="1" si="93"/>
        <v>1069417789773.6219</v>
      </c>
      <c r="G665" s="53">
        <f t="shared" ca="1" si="94"/>
        <v>174760521181806.47</v>
      </c>
      <c r="H665" s="53">
        <f t="shared" ca="1" si="95"/>
        <v>174760521181806.47</v>
      </c>
      <c r="I665" s="53">
        <f t="shared" ca="1" si="96"/>
        <v>9284686943261.084</v>
      </c>
      <c r="J665" s="53">
        <f t="shared" ca="1" si="97"/>
        <v>631602053422.16357</v>
      </c>
      <c r="K665" s="54">
        <f t="shared" ca="1" si="98"/>
        <v>14.700216525507697</v>
      </c>
    </row>
    <row r="666" spans="2:11" ht="15" customHeight="1" x14ac:dyDescent="0.35">
      <c r="B666" s="5">
        <v>645</v>
      </c>
      <c r="C666" s="52">
        <f t="shared" ca="1" si="90"/>
        <v>2.8752747648292325</v>
      </c>
      <c r="D666" s="53">
        <f t="shared" ca="1" si="91"/>
        <v>4392314278.8682404</v>
      </c>
      <c r="E666" s="53">
        <f t="shared" ca="1" si="92"/>
        <v>3441755385897.0234</v>
      </c>
      <c r="F666" s="53">
        <f t="shared" ca="1" si="93"/>
        <v>2796319613265.1606</v>
      </c>
      <c r="G666" s="53">
        <f t="shared" ca="1" si="94"/>
        <v>13193421365394.072</v>
      </c>
      <c r="H666" s="53">
        <f t="shared" ca="1" si="95"/>
        <v>13193421365394.072</v>
      </c>
      <c r="I666" s="53">
        <f t="shared" ca="1" si="96"/>
        <v>170388420028413.19</v>
      </c>
      <c r="J666" s="53">
        <f t="shared" ca="1" si="97"/>
        <v>1562581473875.2666</v>
      </c>
      <c r="K666" s="54">
        <f t="shared" ca="1" si="98"/>
        <v>109.04290296354459</v>
      </c>
    </row>
    <row r="667" spans="2:11" ht="15" customHeight="1" x14ac:dyDescent="0.35">
      <c r="B667" s="5">
        <v>646</v>
      </c>
      <c r="C667" s="52">
        <f t="shared" ca="1" si="90"/>
        <v>2.5684942980027499</v>
      </c>
      <c r="D667" s="53">
        <f t="shared" ca="1" si="91"/>
        <v>2271864686.6161685</v>
      </c>
      <c r="E667" s="53">
        <f t="shared" ca="1" si="92"/>
        <v>7669121520854.9043</v>
      </c>
      <c r="F667" s="53">
        <f t="shared" ca="1" si="93"/>
        <v>1518368604895.7998</v>
      </c>
      <c r="G667" s="53">
        <f t="shared" ca="1" si="94"/>
        <v>1714954008628.5339</v>
      </c>
      <c r="H667" s="53">
        <f t="shared" ca="1" si="95"/>
        <v>1518368604895.7998</v>
      </c>
      <c r="I667" s="53">
        <f t="shared" ca="1" si="96"/>
        <v>17493956224370.24</v>
      </c>
      <c r="J667" s="53">
        <f t="shared" ca="1" si="97"/>
        <v>1256980765084.228</v>
      </c>
      <c r="K667" s="54">
        <f t="shared" ca="1" si="98"/>
        <v>13.917441467927317</v>
      </c>
    </row>
    <row r="668" spans="2:11" ht="15" customHeight="1" x14ac:dyDescent="0.35">
      <c r="B668" s="5">
        <v>647</v>
      </c>
      <c r="C668" s="52">
        <f t="shared" ca="1" si="90"/>
        <v>3.0088452327963142</v>
      </c>
      <c r="D668" s="53">
        <f t="shared" ca="1" si="91"/>
        <v>5223746566.5288239</v>
      </c>
      <c r="E668" s="53">
        <f t="shared" ca="1" si="92"/>
        <v>82302356870317.234</v>
      </c>
      <c r="F668" s="53">
        <f t="shared" ca="1" si="93"/>
        <v>4453016713797.1396</v>
      </c>
      <c r="G668" s="53">
        <f t="shared" ca="1" si="94"/>
        <v>944565615782.57947</v>
      </c>
      <c r="H668" s="53">
        <f t="shared" ca="1" si="95"/>
        <v>4453016713797.1396</v>
      </c>
      <c r="I668" s="53">
        <f t="shared" ca="1" si="96"/>
        <v>1546282682482.6982</v>
      </c>
      <c r="J668" s="53">
        <f t="shared" ca="1" si="97"/>
        <v>840124261620.51172</v>
      </c>
      <c r="K668" s="54">
        <f t="shared" ca="1" si="98"/>
        <v>1.8405404451718617</v>
      </c>
    </row>
    <row r="669" spans="2:11" ht="15" customHeight="1" x14ac:dyDescent="0.35">
      <c r="B669" s="5">
        <v>648</v>
      </c>
      <c r="C669" s="52">
        <f t="shared" ca="1" si="90"/>
        <v>3.3995117891982876</v>
      </c>
      <c r="D669" s="53">
        <f t="shared" ca="1" si="91"/>
        <v>10126834304.736048</v>
      </c>
      <c r="E669" s="53">
        <f t="shared" ca="1" si="92"/>
        <v>27829613512571.203</v>
      </c>
      <c r="F669" s="53">
        <f t="shared" ca="1" si="93"/>
        <v>2898138266532.0688</v>
      </c>
      <c r="G669" s="53">
        <f t="shared" ca="1" si="94"/>
        <v>6778734968633.2617</v>
      </c>
      <c r="H669" s="53">
        <f t="shared" ca="1" si="95"/>
        <v>6778734968633.2617</v>
      </c>
      <c r="I669" s="53">
        <f t="shared" ca="1" si="96"/>
        <v>84864064136934.484</v>
      </c>
      <c r="J669" s="53">
        <f t="shared" ca="1" si="97"/>
        <v>1314882401189.1563</v>
      </c>
      <c r="K669" s="54">
        <f t="shared" ca="1" si="98"/>
        <v>64.541181827504062</v>
      </c>
    </row>
    <row r="670" spans="2:11" ht="15" customHeight="1" x14ac:dyDescent="0.35">
      <c r="B670" s="5">
        <v>649</v>
      </c>
      <c r="C670" s="52">
        <f t="shared" ca="1" si="90"/>
        <v>2.7806971140531056</v>
      </c>
      <c r="D670" s="53">
        <f t="shared" ca="1" si="91"/>
        <v>3845860690.1375337</v>
      </c>
      <c r="E670" s="53">
        <f t="shared" ca="1" si="92"/>
        <v>11358687465671.904</v>
      </c>
      <c r="F670" s="53">
        <f t="shared" ca="1" si="93"/>
        <v>4135653363600.9814</v>
      </c>
      <c r="G670" s="53">
        <f t="shared" ca="1" si="94"/>
        <v>3675613493208.8472</v>
      </c>
      <c r="H670" s="53">
        <f t="shared" ca="1" si="95"/>
        <v>4135653363600.9814</v>
      </c>
      <c r="I670" s="53">
        <f t="shared" ca="1" si="96"/>
        <v>5490174864910.6963</v>
      </c>
      <c r="J670" s="53">
        <f t="shared" ca="1" si="97"/>
        <v>773379110916.48169</v>
      </c>
      <c r="K670" s="54">
        <f t="shared" ca="1" si="98"/>
        <v>7.0989438264044189</v>
      </c>
    </row>
    <row r="671" spans="2:11" ht="15" customHeight="1" x14ac:dyDescent="0.35">
      <c r="B671" s="5">
        <v>650</v>
      </c>
      <c r="C671" s="52">
        <f t="shared" ca="1" si="90"/>
        <v>3.2158549871012516</v>
      </c>
      <c r="D671" s="53">
        <f t="shared" ca="1" si="91"/>
        <v>7707887181.6125221</v>
      </c>
      <c r="E671" s="53">
        <f t="shared" ca="1" si="92"/>
        <v>139359653056525.45</v>
      </c>
      <c r="F671" s="53">
        <f t="shared" ca="1" si="93"/>
        <v>5360210263880.166</v>
      </c>
      <c r="G671" s="53">
        <f t="shared" ca="1" si="94"/>
        <v>920148199185.23596</v>
      </c>
      <c r="H671" s="53">
        <f t="shared" ca="1" si="95"/>
        <v>920148199185.23596</v>
      </c>
      <c r="I671" s="53">
        <f t="shared" ca="1" si="96"/>
        <v>75600240620468.969</v>
      </c>
      <c r="J671" s="53">
        <f t="shared" ca="1" si="97"/>
        <v>1277951127187.1943</v>
      </c>
      <c r="K671" s="54">
        <f t="shared" ca="1" si="98"/>
        <v>59.157380131482164</v>
      </c>
    </row>
    <row r="672" spans="2:11" ht="15" customHeight="1" x14ac:dyDescent="0.35">
      <c r="B672" s="5">
        <v>651</v>
      </c>
      <c r="C672" s="52">
        <f t="shared" ca="1" si="90"/>
        <v>2.6201657167666053</v>
      </c>
      <c r="D672" s="53">
        <f t="shared" ca="1" si="91"/>
        <v>2881676798.2798457</v>
      </c>
      <c r="E672" s="53">
        <f t="shared" ca="1" si="92"/>
        <v>7831944899071.6299</v>
      </c>
      <c r="F672" s="53">
        <f t="shared" ca="1" si="93"/>
        <v>7138303806998.1143</v>
      </c>
      <c r="G672" s="53">
        <f t="shared" ca="1" si="94"/>
        <v>34921340363523.965</v>
      </c>
      <c r="H672" s="53">
        <f t="shared" ca="1" si="95"/>
        <v>7138303806998.1143</v>
      </c>
      <c r="I672" s="53">
        <f t="shared" ca="1" si="96"/>
        <v>8832957256387.7441</v>
      </c>
      <c r="J672" s="53">
        <f t="shared" ca="1" si="97"/>
        <v>926618961483.48352</v>
      </c>
      <c r="K672" s="54">
        <f t="shared" ca="1" si="98"/>
        <v>9.5324589972198481</v>
      </c>
    </row>
    <row r="673" spans="2:11" ht="15" customHeight="1" x14ac:dyDescent="0.35">
      <c r="B673" s="5">
        <v>652</v>
      </c>
      <c r="C673" s="52">
        <f t="shared" ca="1" si="90"/>
        <v>3.5338989034948503</v>
      </c>
      <c r="D673" s="53">
        <f t="shared" ca="1" si="91"/>
        <v>11087727898.694859</v>
      </c>
      <c r="E673" s="53">
        <f t="shared" ca="1" si="92"/>
        <v>20426459307460.055</v>
      </c>
      <c r="F673" s="53">
        <f t="shared" ca="1" si="93"/>
        <v>809089824268.84656</v>
      </c>
      <c r="G673" s="53">
        <f t="shared" ca="1" si="94"/>
        <v>28344993775140.215</v>
      </c>
      <c r="H673" s="53">
        <f t="shared" ca="1" si="95"/>
        <v>20426459307460.055</v>
      </c>
      <c r="I673" s="53">
        <f t="shared" ca="1" si="96"/>
        <v>220861659101939.84</v>
      </c>
      <c r="J673" s="53">
        <f t="shared" ca="1" si="97"/>
        <v>1342521848753.1985</v>
      </c>
      <c r="K673" s="54">
        <f t="shared" ca="1" si="98"/>
        <v>164.51252492244674</v>
      </c>
    </row>
    <row r="674" spans="2:11" ht="15" customHeight="1" x14ac:dyDescent="0.35">
      <c r="B674" s="5">
        <v>653</v>
      </c>
      <c r="C674" s="52">
        <f t="shared" ca="1" si="90"/>
        <v>2.7594517280969031</v>
      </c>
      <c r="D674" s="53">
        <f t="shared" ca="1" si="91"/>
        <v>3384117057.2276363</v>
      </c>
      <c r="E674" s="53">
        <f t="shared" ca="1" si="92"/>
        <v>9744168504003.2051</v>
      </c>
      <c r="F674" s="53">
        <f t="shared" ca="1" si="93"/>
        <v>1674393793145.9272</v>
      </c>
      <c r="G674" s="53">
        <f t="shared" ca="1" si="94"/>
        <v>476089930327.08575</v>
      </c>
      <c r="H674" s="53">
        <f t="shared" ca="1" si="95"/>
        <v>1674393793145.9272</v>
      </c>
      <c r="I674" s="53">
        <f t="shared" ca="1" si="96"/>
        <v>282194187824.43152</v>
      </c>
      <c r="J674" s="53">
        <f t="shared" ca="1" si="97"/>
        <v>692688571102.94604</v>
      </c>
      <c r="K674" s="54">
        <f t="shared" ca="1" si="98"/>
        <v>0.407389698050168</v>
      </c>
    </row>
    <row r="675" spans="2:11" ht="15" customHeight="1" x14ac:dyDescent="0.35">
      <c r="B675" s="5">
        <v>654</v>
      </c>
      <c r="C675" s="52">
        <f t="shared" ca="1" si="90"/>
        <v>3.7304817524219636</v>
      </c>
      <c r="D675" s="53">
        <f t="shared" ca="1" si="91"/>
        <v>11973975532.052214</v>
      </c>
      <c r="E675" s="53">
        <f t="shared" ca="1" si="92"/>
        <v>29302908832923.063</v>
      </c>
      <c r="F675" s="53">
        <f t="shared" ca="1" si="93"/>
        <v>1022856451876.6085</v>
      </c>
      <c r="G675" s="53">
        <f t="shared" ca="1" si="94"/>
        <v>12586049017464.379</v>
      </c>
      <c r="H675" s="53">
        <f t="shared" ca="1" si="95"/>
        <v>29302908832923.063</v>
      </c>
      <c r="I675" s="53">
        <f t="shared" ca="1" si="96"/>
        <v>24083945564441.465</v>
      </c>
      <c r="J675" s="53">
        <f t="shared" ca="1" si="97"/>
        <v>952474199595.60486</v>
      </c>
      <c r="K675" s="54">
        <f t="shared" ca="1" si="98"/>
        <v>25.285667133731145</v>
      </c>
    </row>
    <row r="676" spans="2:11" ht="15" customHeight="1" x14ac:dyDescent="0.35">
      <c r="B676" s="5">
        <v>655</v>
      </c>
      <c r="C676" s="52">
        <f t="shared" ca="1" si="90"/>
        <v>3.0484300494192098</v>
      </c>
      <c r="D676" s="53">
        <f t="shared" ca="1" si="91"/>
        <v>5690380220.2793694</v>
      </c>
      <c r="E676" s="53">
        <f t="shared" ca="1" si="92"/>
        <v>40464251522308.961</v>
      </c>
      <c r="F676" s="53">
        <f t="shared" ca="1" si="93"/>
        <v>1656941233071.592</v>
      </c>
      <c r="G676" s="53">
        <f t="shared" ca="1" si="94"/>
        <v>20181884418602.805</v>
      </c>
      <c r="H676" s="53">
        <f t="shared" ca="1" si="95"/>
        <v>20181884418602.805</v>
      </c>
      <c r="I676" s="53">
        <f t="shared" ca="1" si="96"/>
        <v>5216873948896.8975</v>
      </c>
      <c r="J676" s="53">
        <f t="shared" ca="1" si="97"/>
        <v>802507130283.98975</v>
      </c>
      <c r="K676" s="54">
        <f t="shared" ca="1" si="98"/>
        <v>6.5007197469395193</v>
      </c>
    </row>
    <row r="677" spans="2:11" ht="15" customHeight="1" x14ac:dyDescent="0.35">
      <c r="B677" s="5">
        <v>656</v>
      </c>
      <c r="C677" s="52">
        <f t="shared" ca="1" si="90"/>
        <v>2.9801586290029429</v>
      </c>
      <c r="D677" s="53">
        <f t="shared" ca="1" si="91"/>
        <v>4576341406.5970421</v>
      </c>
      <c r="E677" s="53">
        <f t="shared" ca="1" si="92"/>
        <v>12946312696113.078</v>
      </c>
      <c r="F677" s="53">
        <f t="shared" ca="1" si="93"/>
        <v>5851825371377.4131</v>
      </c>
      <c r="G677" s="53">
        <f t="shared" ca="1" si="94"/>
        <v>19071407113096.602</v>
      </c>
      <c r="H677" s="53">
        <f t="shared" ca="1" si="95"/>
        <v>12946312696113.078</v>
      </c>
      <c r="I677" s="53">
        <f t="shared" ca="1" si="96"/>
        <v>59236164522285.43</v>
      </c>
      <c r="J677" s="53">
        <f t="shared" ca="1" si="97"/>
        <v>1237261608308.4451</v>
      </c>
      <c r="K677" s="54">
        <f t="shared" ca="1" si="98"/>
        <v>47.876830675504202</v>
      </c>
    </row>
    <row r="678" spans="2:11" ht="15" customHeight="1" x14ac:dyDescent="0.35">
      <c r="B678" s="5">
        <v>657</v>
      </c>
      <c r="C678" s="52">
        <f t="shared" ca="1" si="90"/>
        <v>2.0459659697749482</v>
      </c>
      <c r="D678" s="53">
        <f t="shared" ca="1" si="91"/>
        <v>647579689.52677298</v>
      </c>
      <c r="E678" s="53">
        <f t="shared" ca="1" si="92"/>
        <v>1828131085027.5095</v>
      </c>
      <c r="F678" s="53">
        <f t="shared" ca="1" si="93"/>
        <v>1834222623322.7046</v>
      </c>
      <c r="G678" s="53">
        <f t="shared" ca="1" si="94"/>
        <v>6812987341148.6123</v>
      </c>
      <c r="H678" s="53">
        <f t="shared" ca="1" si="95"/>
        <v>1834222623322.7046</v>
      </c>
      <c r="I678" s="53">
        <f t="shared" ca="1" si="96"/>
        <v>13744008629797.74</v>
      </c>
      <c r="J678" s="53">
        <f t="shared" ca="1" si="97"/>
        <v>821140737633.44092</v>
      </c>
      <c r="K678" s="54">
        <f t="shared" ca="1" si="98"/>
        <v>16.737701589874227</v>
      </c>
    </row>
    <row r="679" spans="2:11" ht="15" customHeight="1" x14ac:dyDescent="0.35">
      <c r="B679" s="5">
        <v>658</v>
      </c>
      <c r="C679" s="52">
        <f t="shared" ca="1" si="90"/>
        <v>3.1378245179571871</v>
      </c>
      <c r="D679" s="53">
        <f t="shared" ca="1" si="91"/>
        <v>5179775182.3237667</v>
      </c>
      <c r="E679" s="53">
        <f t="shared" ca="1" si="92"/>
        <v>3367520211304.1118</v>
      </c>
      <c r="F679" s="53">
        <f t="shared" ca="1" si="93"/>
        <v>15734450213098.48</v>
      </c>
      <c r="G679" s="53">
        <f t="shared" ca="1" si="94"/>
        <v>432197875852.02478</v>
      </c>
      <c r="H679" s="53">
        <f t="shared" ca="1" si="95"/>
        <v>3367520211304.1118</v>
      </c>
      <c r="I679" s="53">
        <f t="shared" ca="1" si="96"/>
        <v>100603090170347.8</v>
      </c>
      <c r="J679" s="53">
        <f t="shared" ca="1" si="97"/>
        <v>990159902974.58813</v>
      </c>
      <c r="K679" s="54">
        <f t="shared" ca="1" si="98"/>
        <v>101.60287229175924</v>
      </c>
    </row>
    <row r="680" spans="2:11" ht="15" customHeight="1" x14ac:dyDescent="0.35">
      <c r="B680" s="5">
        <v>659</v>
      </c>
      <c r="C680" s="52">
        <f t="shared" ca="1" si="90"/>
        <v>2.7985535172118352</v>
      </c>
      <c r="D680" s="53">
        <f t="shared" ca="1" si="91"/>
        <v>2848256519.6736879</v>
      </c>
      <c r="E680" s="53">
        <f t="shared" ca="1" si="92"/>
        <v>23700179561924.02</v>
      </c>
      <c r="F680" s="53">
        <f t="shared" ca="1" si="93"/>
        <v>2714013700936.9922</v>
      </c>
      <c r="G680" s="53">
        <f t="shared" ca="1" si="94"/>
        <v>1785320600160.8792</v>
      </c>
      <c r="H680" s="53">
        <f t="shared" ca="1" si="95"/>
        <v>1785320600160.8792</v>
      </c>
      <c r="I680" s="53">
        <f t="shared" ca="1" si="96"/>
        <v>2535506028099.2612</v>
      </c>
      <c r="J680" s="53">
        <f t="shared" ca="1" si="97"/>
        <v>1728168996024.6726</v>
      </c>
      <c r="K680" s="54">
        <f t="shared" ca="1" si="98"/>
        <v>1.4671632426757542</v>
      </c>
    </row>
    <row r="681" spans="2:11" ht="15" customHeight="1" x14ac:dyDescent="0.35">
      <c r="B681" s="5">
        <v>660</v>
      </c>
      <c r="C681" s="52">
        <f t="shared" ca="1" si="90"/>
        <v>2.6768786136139333</v>
      </c>
      <c r="D681" s="53">
        <f t="shared" ca="1" si="91"/>
        <v>3054609367.4504533</v>
      </c>
      <c r="E681" s="53">
        <f t="shared" ca="1" si="92"/>
        <v>16626145327785.975</v>
      </c>
      <c r="F681" s="53">
        <f t="shared" ca="1" si="93"/>
        <v>3379324975263.8984</v>
      </c>
      <c r="G681" s="53">
        <f t="shared" ca="1" si="94"/>
        <v>8219668877426.0693</v>
      </c>
      <c r="H681" s="53">
        <f t="shared" ca="1" si="95"/>
        <v>8219668877426.0693</v>
      </c>
      <c r="I681" s="53">
        <f t="shared" ca="1" si="96"/>
        <v>1520719162680.3928</v>
      </c>
      <c r="J681" s="53">
        <f t="shared" ca="1" si="97"/>
        <v>1147572325795.0002</v>
      </c>
      <c r="K681" s="54">
        <f t="shared" ca="1" si="98"/>
        <v>1.3251619340217957</v>
      </c>
    </row>
    <row r="682" spans="2:11" ht="15" customHeight="1" x14ac:dyDescent="0.35">
      <c r="B682" s="5">
        <v>661</v>
      </c>
      <c r="C682" s="52">
        <f t="shared" ca="1" si="90"/>
        <v>3.6227463207461996</v>
      </c>
      <c r="D682" s="53">
        <f t="shared" ca="1" si="91"/>
        <v>11847709762.04369</v>
      </c>
      <c r="E682" s="53">
        <f t="shared" ca="1" si="92"/>
        <v>8612699821960.9746</v>
      </c>
      <c r="F682" s="53">
        <f t="shared" ca="1" si="93"/>
        <v>2435459329095.7803</v>
      </c>
      <c r="G682" s="53">
        <f t="shared" ca="1" si="94"/>
        <v>1961156549114.0925</v>
      </c>
      <c r="H682" s="53">
        <f t="shared" ca="1" si="95"/>
        <v>8612699821960.9746</v>
      </c>
      <c r="I682" s="53">
        <f t="shared" ca="1" si="96"/>
        <v>1150231188767.9915</v>
      </c>
      <c r="J682" s="53">
        <f t="shared" ca="1" si="97"/>
        <v>849359543095.65247</v>
      </c>
      <c r="K682" s="54">
        <f t="shared" ca="1" si="98"/>
        <v>1.3542335494056557</v>
      </c>
    </row>
    <row r="683" spans="2:11" ht="15" customHeight="1" x14ac:dyDescent="0.35">
      <c r="B683" s="5">
        <v>662</v>
      </c>
      <c r="C683" s="52">
        <f t="shared" ca="1" si="90"/>
        <v>3.1753817631934611</v>
      </c>
      <c r="D683" s="53">
        <f t="shared" ca="1" si="91"/>
        <v>6777916954.0810947</v>
      </c>
      <c r="E683" s="53">
        <f t="shared" ca="1" si="92"/>
        <v>5156783951080.3418</v>
      </c>
      <c r="F683" s="53">
        <f t="shared" ca="1" si="93"/>
        <v>9648311859366.5078</v>
      </c>
      <c r="G683" s="53">
        <f t="shared" ca="1" si="94"/>
        <v>2759603983830.707</v>
      </c>
      <c r="H683" s="53">
        <f t="shared" ca="1" si="95"/>
        <v>5156783951080.3418</v>
      </c>
      <c r="I683" s="53">
        <f t="shared" ca="1" si="96"/>
        <v>92424195638989.047</v>
      </c>
      <c r="J683" s="53">
        <f t="shared" ca="1" si="97"/>
        <v>1391652017976.0259</v>
      </c>
      <c r="K683" s="54">
        <f t="shared" ca="1" si="98"/>
        <v>66.413294735423761</v>
      </c>
    </row>
    <row r="684" spans="2:11" ht="15" customHeight="1" x14ac:dyDescent="0.35">
      <c r="B684" s="5">
        <v>663</v>
      </c>
      <c r="C684" s="52">
        <f t="shared" ca="1" si="90"/>
        <v>3.1018208810596559</v>
      </c>
      <c r="D684" s="53">
        <f t="shared" ca="1" si="91"/>
        <v>4738898987.9137526</v>
      </c>
      <c r="E684" s="53">
        <f t="shared" ca="1" si="92"/>
        <v>14227429634755.895</v>
      </c>
      <c r="F684" s="53">
        <f t="shared" ca="1" si="93"/>
        <v>1182782246418.5786</v>
      </c>
      <c r="G684" s="53">
        <f t="shared" ca="1" si="94"/>
        <v>3177835997848.7881</v>
      </c>
      <c r="H684" s="53">
        <f t="shared" ca="1" si="95"/>
        <v>1182782246418.5786</v>
      </c>
      <c r="I684" s="53">
        <f t="shared" ca="1" si="96"/>
        <v>55689325566368.758</v>
      </c>
      <c r="J684" s="53">
        <f t="shared" ca="1" si="97"/>
        <v>593912969922.50342</v>
      </c>
      <c r="K684" s="54">
        <f t="shared" ca="1" si="98"/>
        <v>93.766811614899339</v>
      </c>
    </row>
    <row r="685" spans="2:11" ht="15" customHeight="1" x14ac:dyDescent="0.35">
      <c r="B685" s="5">
        <v>664</v>
      </c>
      <c r="C685" s="52">
        <f t="shared" ca="1" si="90"/>
        <v>3.3155617368070169</v>
      </c>
      <c r="D685" s="53">
        <f t="shared" ca="1" si="91"/>
        <v>9340567688.902195</v>
      </c>
      <c r="E685" s="53">
        <f t="shared" ca="1" si="92"/>
        <v>42524094929514.492</v>
      </c>
      <c r="F685" s="53">
        <f t="shared" ca="1" si="93"/>
        <v>1268555496878.8865</v>
      </c>
      <c r="G685" s="53">
        <f t="shared" ca="1" si="94"/>
        <v>469614504483.04413</v>
      </c>
      <c r="H685" s="53">
        <f t="shared" ca="1" si="95"/>
        <v>469614504483.04413</v>
      </c>
      <c r="I685" s="53">
        <f t="shared" ca="1" si="96"/>
        <v>74938080644111.875</v>
      </c>
      <c r="J685" s="53">
        <f t="shared" ca="1" si="97"/>
        <v>939523161960.72571</v>
      </c>
      <c r="K685" s="54">
        <f t="shared" ca="1" si="98"/>
        <v>79.761823527288897</v>
      </c>
    </row>
    <row r="686" spans="2:11" ht="15" customHeight="1" x14ac:dyDescent="0.35">
      <c r="B686" s="5">
        <v>665</v>
      </c>
      <c r="C686" s="52">
        <f t="shared" ca="1" si="90"/>
        <v>3.8779359548860639</v>
      </c>
      <c r="D686" s="53">
        <f t="shared" ca="1" si="91"/>
        <v>18812336882.494568</v>
      </c>
      <c r="E686" s="53">
        <f t="shared" ca="1" si="92"/>
        <v>120482298537789.38</v>
      </c>
      <c r="F686" s="53">
        <f t="shared" ca="1" si="93"/>
        <v>2399116438152.7925</v>
      </c>
      <c r="G686" s="53">
        <f t="shared" ca="1" si="94"/>
        <v>18038025456773.117</v>
      </c>
      <c r="H686" s="53">
        <f t="shared" ca="1" si="95"/>
        <v>18038025456773.117</v>
      </c>
      <c r="I686" s="53">
        <f t="shared" ca="1" si="96"/>
        <v>7341199872139.0488</v>
      </c>
      <c r="J686" s="53">
        <f t="shared" ca="1" si="97"/>
        <v>796667043177.84973</v>
      </c>
      <c r="K686" s="54">
        <f t="shared" ca="1" si="98"/>
        <v>9.2148908819618178</v>
      </c>
    </row>
    <row r="687" spans="2:11" ht="15" customHeight="1" x14ac:dyDescent="0.35">
      <c r="B687" s="5">
        <v>666</v>
      </c>
      <c r="C687" s="52">
        <f t="shared" ca="1" si="90"/>
        <v>3.0217931235508275</v>
      </c>
      <c r="D687" s="53">
        <f t="shared" ca="1" si="91"/>
        <v>4286308245.1411915</v>
      </c>
      <c r="E687" s="53">
        <f t="shared" ca="1" si="92"/>
        <v>25920752407107.934</v>
      </c>
      <c r="F687" s="53">
        <f t="shared" ca="1" si="93"/>
        <v>7150880377686.4854</v>
      </c>
      <c r="G687" s="53">
        <f t="shared" ca="1" si="94"/>
        <v>15091596808667.76</v>
      </c>
      <c r="H687" s="53">
        <f t="shared" ca="1" si="95"/>
        <v>15091596808667.76</v>
      </c>
      <c r="I687" s="53">
        <f t="shared" ca="1" si="96"/>
        <v>6205068765841.0293</v>
      </c>
      <c r="J687" s="53">
        <f t="shared" ca="1" si="97"/>
        <v>722037480305.67505</v>
      </c>
      <c r="K687" s="54">
        <f t="shared" ca="1" si="98"/>
        <v>8.5938319479123297</v>
      </c>
    </row>
    <row r="688" spans="2:11" ht="15" customHeight="1" x14ac:dyDescent="0.35">
      <c r="B688" s="5">
        <v>667</v>
      </c>
      <c r="C688" s="52">
        <f t="shared" ca="1" si="90"/>
        <v>3.1927063531527105</v>
      </c>
      <c r="D688" s="53">
        <f t="shared" ca="1" si="91"/>
        <v>7470623942.2714329</v>
      </c>
      <c r="E688" s="53">
        <f t="shared" ca="1" si="92"/>
        <v>28260678511754.648</v>
      </c>
      <c r="F688" s="53">
        <f t="shared" ca="1" si="93"/>
        <v>4583522917763.3135</v>
      </c>
      <c r="G688" s="53">
        <f t="shared" ca="1" si="94"/>
        <v>960648869031.54297</v>
      </c>
      <c r="H688" s="53">
        <f t="shared" ca="1" si="95"/>
        <v>28260678511754.648</v>
      </c>
      <c r="I688" s="53">
        <f t="shared" ca="1" si="96"/>
        <v>1344603516795.6284</v>
      </c>
      <c r="J688" s="53">
        <f t="shared" ca="1" si="97"/>
        <v>1301780941423.3389</v>
      </c>
      <c r="K688" s="54">
        <f t="shared" ca="1" si="98"/>
        <v>1.03289537740925</v>
      </c>
    </row>
    <row r="689" spans="2:11" ht="15" customHeight="1" x14ac:dyDescent="0.35">
      <c r="B689" s="5">
        <v>668</v>
      </c>
      <c r="C689" s="52">
        <f t="shared" ca="1" si="90"/>
        <v>2.8220074689673873</v>
      </c>
      <c r="D689" s="53">
        <f t="shared" ca="1" si="91"/>
        <v>3364675657.4827271</v>
      </c>
      <c r="E689" s="53">
        <f t="shared" ca="1" si="92"/>
        <v>16560824457533.234</v>
      </c>
      <c r="F689" s="53">
        <f t="shared" ca="1" si="93"/>
        <v>6623155245801.2207</v>
      </c>
      <c r="G689" s="53">
        <f t="shared" ca="1" si="94"/>
        <v>8719276308278.7891</v>
      </c>
      <c r="H689" s="53">
        <f t="shared" ca="1" si="95"/>
        <v>8719276308278.7891</v>
      </c>
      <c r="I689" s="53">
        <f t="shared" ca="1" si="96"/>
        <v>35912690832615.719</v>
      </c>
      <c r="J689" s="53">
        <f t="shared" ca="1" si="97"/>
        <v>1417078881198.5398</v>
      </c>
      <c r="K689" s="54">
        <f t="shared" ca="1" si="98"/>
        <v>25.342760596531797</v>
      </c>
    </row>
    <row r="690" spans="2:11" ht="15" customHeight="1" x14ac:dyDescent="0.35">
      <c r="B690" s="5">
        <v>669</v>
      </c>
      <c r="C690" s="52">
        <f t="shared" ca="1" si="90"/>
        <v>3.2279087669883868</v>
      </c>
      <c r="D690" s="53">
        <f t="shared" ca="1" si="91"/>
        <v>6988239065.7410946</v>
      </c>
      <c r="E690" s="53">
        <f t="shared" ca="1" si="92"/>
        <v>16976340513249.223</v>
      </c>
      <c r="F690" s="53">
        <f t="shared" ca="1" si="93"/>
        <v>11028662559731.969</v>
      </c>
      <c r="G690" s="53">
        <f t="shared" ca="1" si="94"/>
        <v>53911908422985.602</v>
      </c>
      <c r="H690" s="53">
        <f t="shared" ca="1" si="95"/>
        <v>16976340513249.223</v>
      </c>
      <c r="I690" s="53">
        <f t="shared" ca="1" si="96"/>
        <v>2591722348787.208</v>
      </c>
      <c r="J690" s="53">
        <f t="shared" ca="1" si="97"/>
        <v>489658039443.53918</v>
      </c>
      <c r="K690" s="54">
        <f t="shared" ca="1" si="98"/>
        <v>5.2929231014618123</v>
      </c>
    </row>
    <row r="691" spans="2:11" ht="15" customHeight="1" x14ac:dyDescent="0.35">
      <c r="B691" s="5">
        <v>670</v>
      </c>
      <c r="C691" s="52">
        <f t="shared" ca="1" si="90"/>
        <v>3.2660549945303861</v>
      </c>
      <c r="D691" s="53">
        <f t="shared" ca="1" si="91"/>
        <v>6878753226.6343641</v>
      </c>
      <c r="E691" s="53">
        <f t="shared" ca="1" si="92"/>
        <v>50944304429349.734</v>
      </c>
      <c r="F691" s="53">
        <f t="shared" ca="1" si="93"/>
        <v>24762629013444.785</v>
      </c>
      <c r="G691" s="53">
        <f t="shared" ca="1" si="94"/>
        <v>5421547585145.8818</v>
      </c>
      <c r="H691" s="53">
        <f t="shared" ca="1" si="95"/>
        <v>24762629013444.785</v>
      </c>
      <c r="I691" s="53">
        <f t="shared" ca="1" si="96"/>
        <v>2290545817679.7358</v>
      </c>
      <c r="J691" s="53">
        <f t="shared" ca="1" si="97"/>
        <v>803035052163.1637</v>
      </c>
      <c r="K691" s="54">
        <f t="shared" ca="1" si="98"/>
        <v>2.8523609417915345</v>
      </c>
    </row>
    <row r="692" spans="2:11" ht="15" customHeight="1" x14ac:dyDescent="0.35">
      <c r="B692" s="5">
        <v>671</v>
      </c>
      <c r="C692" s="52">
        <f t="shared" ca="1" si="90"/>
        <v>2.5729968762369451</v>
      </c>
      <c r="D692" s="53">
        <f t="shared" ca="1" si="91"/>
        <v>2126525407.5562522</v>
      </c>
      <c r="E692" s="53">
        <f t="shared" ca="1" si="92"/>
        <v>1606290150742.2654</v>
      </c>
      <c r="F692" s="53">
        <f t="shared" ca="1" si="93"/>
        <v>6420097103475.6318</v>
      </c>
      <c r="G692" s="53">
        <f t="shared" ca="1" si="94"/>
        <v>17036273819691.455</v>
      </c>
      <c r="H692" s="53">
        <f t="shared" ca="1" si="95"/>
        <v>17036273819691.455</v>
      </c>
      <c r="I692" s="53">
        <f t="shared" ca="1" si="96"/>
        <v>13293332640505.725</v>
      </c>
      <c r="J692" s="53">
        <f t="shared" ca="1" si="97"/>
        <v>1416021576483.6948</v>
      </c>
      <c r="K692" s="54">
        <f t="shared" ca="1" si="98"/>
        <v>9.387803732140938</v>
      </c>
    </row>
    <row r="693" spans="2:11" ht="15" customHeight="1" x14ac:dyDescent="0.35">
      <c r="B693" s="5">
        <v>672</v>
      </c>
      <c r="C693" s="52">
        <f t="shared" ca="1" si="90"/>
        <v>2.4709301617596164</v>
      </c>
      <c r="D693" s="53">
        <f t="shared" ca="1" si="91"/>
        <v>1747960680.1318195</v>
      </c>
      <c r="E693" s="53">
        <f t="shared" ca="1" si="92"/>
        <v>2381385114171.9429</v>
      </c>
      <c r="F693" s="53">
        <f t="shared" ca="1" si="93"/>
        <v>7877974730669.3984</v>
      </c>
      <c r="G693" s="53">
        <f t="shared" ca="1" si="94"/>
        <v>4306808803235.4731</v>
      </c>
      <c r="H693" s="53">
        <f t="shared" ca="1" si="95"/>
        <v>7877974730669.3984</v>
      </c>
      <c r="I693" s="53">
        <f t="shared" ca="1" si="96"/>
        <v>34107274325637.641</v>
      </c>
      <c r="J693" s="53">
        <f t="shared" ca="1" si="97"/>
        <v>1054469633142.7574</v>
      </c>
      <c r="K693" s="54">
        <f t="shared" ca="1" si="98"/>
        <v>32.345430587682074</v>
      </c>
    </row>
    <row r="694" spans="2:11" ht="15" customHeight="1" x14ac:dyDescent="0.35">
      <c r="B694" s="5">
        <v>673</v>
      </c>
      <c r="C694" s="52">
        <f t="shared" ca="1" si="90"/>
        <v>3.5432979502098476</v>
      </c>
      <c r="D694" s="53">
        <f t="shared" ca="1" si="91"/>
        <v>13251428762.992599</v>
      </c>
      <c r="E694" s="53">
        <f t="shared" ca="1" si="92"/>
        <v>29855030586407.484</v>
      </c>
      <c r="F694" s="53">
        <f t="shared" ca="1" si="93"/>
        <v>4782187588650.3818</v>
      </c>
      <c r="G694" s="53">
        <f t="shared" ca="1" si="94"/>
        <v>5662626431680.9258</v>
      </c>
      <c r="H694" s="53">
        <f t="shared" ca="1" si="95"/>
        <v>4782187588650.3818</v>
      </c>
      <c r="I694" s="53">
        <f t="shared" ca="1" si="96"/>
        <v>16484697946482.434</v>
      </c>
      <c r="J694" s="53">
        <f t="shared" ca="1" si="97"/>
        <v>1066341190106.0179</v>
      </c>
      <c r="K694" s="54">
        <f t="shared" ca="1" si="98"/>
        <v>15.459121432647171</v>
      </c>
    </row>
    <row r="695" spans="2:11" ht="15" customHeight="1" x14ac:dyDescent="0.35">
      <c r="B695" s="5">
        <v>674</v>
      </c>
      <c r="C695" s="52">
        <f t="shared" ca="1" si="90"/>
        <v>3.741622942017051</v>
      </c>
      <c r="D695" s="53">
        <f t="shared" ca="1" si="91"/>
        <v>14909221526.334471</v>
      </c>
      <c r="E695" s="53">
        <f t="shared" ca="1" si="92"/>
        <v>43890050160679.82</v>
      </c>
      <c r="F695" s="53">
        <f t="shared" ca="1" si="93"/>
        <v>2666252360878.6665</v>
      </c>
      <c r="G695" s="53">
        <f t="shared" ca="1" si="94"/>
        <v>17493566360308.635</v>
      </c>
      <c r="H695" s="53">
        <f t="shared" ca="1" si="95"/>
        <v>2666252360878.6665</v>
      </c>
      <c r="I695" s="53">
        <f t="shared" ca="1" si="96"/>
        <v>3749859684690.2368</v>
      </c>
      <c r="J695" s="53">
        <f t="shared" ca="1" si="97"/>
        <v>954423354437.22864</v>
      </c>
      <c r="K695" s="54">
        <f t="shared" ca="1" si="98"/>
        <v>3.9289269979162702</v>
      </c>
    </row>
    <row r="696" spans="2:11" ht="15" customHeight="1" x14ac:dyDescent="0.35">
      <c r="B696" s="5">
        <v>675</v>
      </c>
      <c r="C696" s="52">
        <f t="shared" ca="1" si="90"/>
        <v>2.9079866475123808</v>
      </c>
      <c r="D696" s="53">
        <f t="shared" ca="1" si="91"/>
        <v>4047406502.132997</v>
      </c>
      <c r="E696" s="53">
        <f t="shared" ca="1" si="92"/>
        <v>32226633628723.648</v>
      </c>
      <c r="F696" s="53">
        <f t="shared" ca="1" si="93"/>
        <v>19466184992861.336</v>
      </c>
      <c r="G696" s="53">
        <f t="shared" ca="1" si="94"/>
        <v>233366076590.26868</v>
      </c>
      <c r="H696" s="53">
        <f t="shared" ca="1" si="95"/>
        <v>233366076590.26868</v>
      </c>
      <c r="I696" s="53">
        <f t="shared" ca="1" si="96"/>
        <v>157332135628885.25</v>
      </c>
      <c r="J696" s="53">
        <f t="shared" ca="1" si="97"/>
        <v>553771688419.4032</v>
      </c>
      <c r="K696" s="54">
        <f t="shared" ca="1" si="98"/>
        <v>284.1101105727322</v>
      </c>
    </row>
    <row r="697" spans="2:11" ht="15" customHeight="1" x14ac:dyDescent="0.35">
      <c r="B697" s="5">
        <v>676</v>
      </c>
      <c r="C697" s="52">
        <f t="shared" ca="1" si="90"/>
        <v>3.7319779223480269</v>
      </c>
      <c r="D697" s="53">
        <f t="shared" ca="1" si="91"/>
        <v>15428168311.947298</v>
      </c>
      <c r="E697" s="53">
        <f t="shared" ca="1" si="92"/>
        <v>24929650116061.887</v>
      </c>
      <c r="F697" s="53">
        <f t="shared" ca="1" si="93"/>
        <v>671532126737.94312</v>
      </c>
      <c r="G697" s="53">
        <f t="shared" ca="1" si="94"/>
        <v>14168847841739.869</v>
      </c>
      <c r="H697" s="53">
        <f t="shared" ca="1" si="95"/>
        <v>671532126737.94312</v>
      </c>
      <c r="I697" s="53">
        <f t="shared" ca="1" si="96"/>
        <v>179598521991564.16</v>
      </c>
      <c r="J697" s="53">
        <f t="shared" ca="1" si="97"/>
        <v>916869184185.69031</v>
      </c>
      <c r="K697" s="54">
        <f t="shared" ca="1" si="98"/>
        <v>195.88238441133026</v>
      </c>
    </row>
    <row r="698" spans="2:11" ht="15" customHeight="1" x14ac:dyDescent="0.35">
      <c r="B698" s="5">
        <v>677</v>
      </c>
      <c r="C698" s="52">
        <f t="shared" ca="1" si="90"/>
        <v>3.0880971451231454</v>
      </c>
      <c r="D698" s="53">
        <f t="shared" ca="1" si="91"/>
        <v>6469440958.3164244</v>
      </c>
      <c r="E698" s="53">
        <f t="shared" ca="1" si="92"/>
        <v>25327045399075.973</v>
      </c>
      <c r="F698" s="53">
        <f t="shared" ca="1" si="93"/>
        <v>15923259158351.539</v>
      </c>
      <c r="G698" s="53">
        <f t="shared" ca="1" si="94"/>
        <v>695524757175.93176</v>
      </c>
      <c r="H698" s="53">
        <f t="shared" ca="1" si="95"/>
        <v>695524757175.93176</v>
      </c>
      <c r="I698" s="53">
        <f t="shared" ca="1" si="96"/>
        <v>4286944382541.6597</v>
      </c>
      <c r="J698" s="53">
        <f t="shared" ca="1" si="97"/>
        <v>1530886737067.916</v>
      </c>
      <c r="K698" s="54">
        <f t="shared" ca="1" si="98"/>
        <v>2.8003014715199499</v>
      </c>
    </row>
    <row r="699" spans="2:11" ht="15" customHeight="1" x14ac:dyDescent="0.35">
      <c r="B699" s="5">
        <v>678</v>
      </c>
      <c r="C699" s="52">
        <f t="shared" ca="1" si="90"/>
        <v>3.5499723263806926</v>
      </c>
      <c r="D699" s="53">
        <f t="shared" ca="1" si="91"/>
        <v>11556768041.907303</v>
      </c>
      <c r="E699" s="53">
        <f t="shared" ca="1" si="92"/>
        <v>27492598037677.73</v>
      </c>
      <c r="F699" s="53">
        <f t="shared" ca="1" si="93"/>
        <v>15851282770853.809</v>
      </c>
      <c r="G699" s="53">
        <f t="shared" ca="1" si="94"/>
        <v>349478882181.55249</v>
      </c>
      <c r="H699" s="53">
        <f t="shared" ca="1" si="95"/>
        <v>15851282770853.809</v>
      </c>
      <c r="I699" s="53">
        <f t="shared" ca="1" si="96"/>
        <v>6753387552962.042</v>
      </c>
      <c r="J699" s="53">
        <f t="shared" ca="1" si="97"/>
        <v>1222095032842.6453</v>
      </c>
      <c r="K699" s="54">
        <f t="shared" ca="1" si="98"/>
        <v>5.5260739725399048</v>
      </c>
    </row>
    <row r="700" spans="2:11" ht="15" customHeight="1" x14ac:dyDescent="0.35">
      <c r="B700" s="5">
        <v>679</v>
      </c>
      <c r="C700" s="52">
        <f t="shared" ca="1" si="90"/>
        <v>3.1236877365098348</v>
      </c>
      <c r="D700" s="53">
        <f t="shared" ca="1" si="91"/>
        <v>4795680302.3800745</v>
      </c>
      <c r="E700" s="53">
        <f t="shared" ca="1" si="92"/>
        <v>112353300601565.95</v>
      </c>
      <c r="F700" s="53">
        <f t="shared" ca="1" si="93"/>
        <v>31089337069675.855</v>
      </c>
      <c r="G700" s="53">
        <f t="shared" ca="1" si="94"/>
        <v>16506155395103.736</v>
      </c>
      <c r="H700" s="53">
        <f t="shared" ca="1" si="95"/>
        <v>112353300601565.95</v>
      </c>
      <c r="I700" s="53">
        <f t="shared" ca="1" si="96"/>
        <v>2921564775582.5234</v>
      </c>
      <c r="J700" s="53">
        <f t="shared" ca="1" si="97"/>
        <v>1105232966901.1257</v>
      </c>
      <c r="K700" s="54">
        <f t="shared" ca="1" si="98"/>
        <v>2.6433927172603844</v>
      </c>
    </row>
    <row r="701" spans="2:11" ht="15" customHeight="1" x14ac:dyDescent="0.35">
      <c r="B701" s="5">
        <v>680</v>
      </c>
      <c r="C701" s="52">
        <f t="shared" ca="1" si="90"/>
        <v>3.068511450567811</v>
      </c>
      <c r="D701" s="53">
        <f t="shared" ca="1" si="91"/>
        <v>4568383649.211132</v>
      </c>
      <c r="E701" s="53">
        <f t="shared" ca="1" si="92"/>
        <v>25304393737024.285</v>
      </c>
      <c r="F701" s="53">
        <f t="shared" ca="1" si="93"/>
        <v>2183973245705.9011</v>
      </c>
      <c r="G701" s="53">
        <f t="shared" ca="1" si="94"/>
        <v>8681634339607.7461</v>
      </c>
      <c r="H701" s="53">
        <f t="shared" ca="1" si="95"/>
        <v>25304393737024.285</v>
      </c>
      <c r="I701" s="53">
        <f t="shared" ca="1" si="96"/>
        <v>5237495340741.4688</v>
      </c>
      <c r="J701" s="53">
        <f t="shared" ca="1" si="97"/>
        <v>1012348110889.3315</v>
      </c>
      <c r="K701" s="54">
        <f t="shared" ca="1" si="98"/>
        <v>5.1736110181905843</v>
      </c>
    </row>
    <row r="702" spans="2:11" ht="15" customHeight="1" x14ac:dyDescent="0.35">
      <c r="B702" s="5">
        <v>681</v>
      </c>
      <c r="C702" s="52">
        <f t="shared" ca="1" si="90"/>
        <v>2.2608940491107745</v>
      </c>
      <c r="D702" s="53">
        <f t="shared" ca="1" si="91"/>
        <v>1360710934.7876313</v>
      </c>
      <c r="E702" s="53">
        <f t="shared" ca="1" si="92"/>
        <v>2320041190324.2695</v>
      </c>
      <c r="F702" s="53">
        <f t="shared" ca="1" si="93"/>
        <v>1453062281560.3789</v>
      </c>
      <c r="G702" s="53">
        <f t="shared" ca="1" si="94"/>
        <v>13589998522531.742</v>
      </c>
      <c r="H702" s="53">
        <f t="shared" ca="1" si="95"/>
        <v>1453062281560.3789</v>
      </c>
      <c r="I702" s="53">
        <f t="shared" ca="1" si="96"/>
        <v>10420912262012.547</v>
      </c>
      <c r="J702" s="53">
        <f t="shared" ca="1" si="97"/>
        <v>438135645216.72485</v>
      </c>
      <c r="K702" s="54">
        <f t="shared" ca="1" si="98"/>
        <v>23.784671198933879</v>
      </c>
    </row>
    <row r="703" spans="2:11" ht="15" customHeight="1" x14ac:dyDescent="0.35">
      <c r="B703" s="5">
        <v>682</v>
      </c>
      <c r="C703" s="52">
        <f t="shared" ca="1" si="90"/>
        <v>3.9896098962139819</v>
      </c>
      <c r="D703" s="53">
        <f t="shared" ca="1" si="91"/>
        <v>20577222110.803833</v>
      </c>
      <c r="E703" s="53">
        <f t="shared" ca="1" si="92"/>
        <v>120616740161261.78</v>
      </c>
      <c r="F703" s="53">
        <f t="shared" ca="1" si="93"/>
        <v>1023597405947.645</v>
      </c>
      <c r="G703" s="53">
        <f t="shared" ca="1" si="94"/>
        <v>1937569089129.7026</v>
      </c>
      <c r="H703" s="53">
        <f t="shared" ca="1" si="95"/>
        <v>1023597405947.645</v>
      </c>
      <c r="I703" s="53">
        <f t="shared" ca="1" si="96"/>
        <v>29896307926221.82</v>
      </c>
      <c r="J703" s="53">
        <f t="shared" ca="1" si="97"/>
        <v>593909485244.29749</v>
      </c>
      <c r="K703" s="54">
        <f t="shared" ca="1" si="98"/>
        <v>50.338155340159851</v>
      </c>
    </row>
    <row r="704" spans="2:11" ht="15" customHeight="1" x14ac:dyDescent="0.35">
      <c r="B704" s="5">
        <v>683</v>
      </c>
      <c r="C704" s="52">
        <f t="shared" ca="1" si="90"/>
        <v>2.7046826038209479</v>
      </c>
      <c r="D704" s="53">
        <f t="shared" ca="1" si="91"/>
        <v>3328731283.1699047</v>
      </c>
      <c r="E704" s="53">
        <f t="shared" ca="1" si="92"/>
        <v>4521989883078.8535</v>
      </c>
      <c r="F704" s="53">
        <f t="shared" ca="1" si="93"/>
        <v>1709487109986.7678</v>
      </c>
      <c r="G704" s="53">
        <f t="shared" ca="1" si="94"/>
        <v>59872730771110.773</v>
      </c>
      <c r="H704" s="53">
        <f t="shared" ca="1" si="95"/>
        <v>1709487109986.7678</v>
      </c>
      <c r="I704" s="53">
        <f t="shared" ca="1" si="96"/>
        <v>157769364270.99152</v>
      </c>
      <c r="J704" s="53">
        <f t="shared" ca="1" si="97"/>
        <v>536183826442.71149</v>
      </c>
      <c r="K704" s="54">
        <f t="shared" ca="1" si="98"/>
        <v>0.29424491469223452</v>
      </c>
    </row>
    <row r="705" spans="2:11" ht="15" customHeight="1" x14ac:dyDescent="0.35">
      <c r="B705" s="5">
        <v>684</v>
      </c>
      <c r="C705" s="52">
        <f t="shared" ca="1" si="90"/>
        <v>2.2400500448552432</v>
      </c>
      <c r="D705" s="53">
        <f t="shared" ca="1" si="91"/>
        <v>970277958.38709605</v>
      </c>
      <c r="E705" s="53">
        <f t="shared" ca="1" si="92"/>
        <v>4357571524165.9849</v>
      </c>
      <c r="F705" s="53">
        <f t="shared" ca="1" si="93"/>
        <v>817106629310.87097</v>
      </c>
      <c r="G705" s="53">
        <f t="shared" ca="1" si="94"/>
        <v>2406792631987.0024</v>
      </c>
      <c r="H705" s="53">
        <f t="shared" ca="1" si="95"/>
        <v>2406792631987.0024</v>
      </c>
      <c r="I705" s="53">
        <f t="shared" ca="1" si="96"/>
        <v>1837051692992.8738</v>
      </c>
      <c r="J705" s="53">
        <f t="shared" ca="1" si="97"/>
        <v>910815502367.16638</v>
      </c>
      <c r="K705" s="54">
        <f t="shared" ca="1" si="98"/>
        <v>2.0169306387720272</v>
      </c>
    </row>
    <row r="706" spans="2:11" ht="15" customHeight="1" x14ac:dyDescent="0.35">
      <c r="B706" s="5">
        <v>685</v>
      </c>
      <c r="C706" s="52">
        <f t="shared" ca="1" si="90"/>
        <v>2.4876067607117158</v>
      </c>
      <c r="D706" s="53">
        <f t="shared" ca="1" si="91"/>
        <v>2263929373.7888427</v>
      </c>
      <c r="E706" s="53">
        <f t="shared" ca="1" si="92"/>
        <v>4865053606566.9961</v>
      </c>
      <c r="F706" s="53">
        <f t="shared" ca="1" si="93"/>
        <v>1899489011240.9463</v>
      </c>
      <c r="G706" s="53">
        <f t="shared" ca="1" si="94"/>
        <v>10055144951098.973</v>
      </c>
      <c r="H706" s="53">
        <f t="shared" ca="1" si="95"/>
        <v>4865053606566.9961</v>
      </c>
      <c r="I706" s="53">
        <f t="shared" ca="1" si="96"/>
        <v>8920645318334.5313</v>
      </c>
      <c r="J706" s="53">
        <f t="shared" ca="1" si="97"/>
        <v>665611287803.71472</v>
      </c>
      <c r="K706" s="54">
        <f t="shared" ca="1" si="98"/>
        <v>13.402184550940463</v>
      </c>
    </row>
    <row r="707" spans="2:11" ht="15" customHeight="1" x14ac:dyDescent="0.35">
      <c r="B707" s="5">
        <v>686</v>
      </c>
      <c r="C707" s="52">
        <f t="shared" ca="1" si="90"/>
        <v>2.908513398297385</v>
      </c>
      <c r="D707" s="53">
        <f t="shared" ca="1" si="91"/>
        <v>3530745810.0644064</v>
      </c>
      <c r="E707" s="53">
        <f t="shared" ca="1" si="92"/>
        <v>34178771983455.18</v>
      </c>
      <c r="F707" s="53">
        <f t="shared" ca="1" si="93"/>
        <v>15098402223319.795</v>
      </c>
      <c r="G707" s="53">
        <f t="shared" ca="1" si="94"/>
        <v>1910514389724.6023</v>
      </c>
      <c r="H707" s="53">
        <f t="shared" ca="1" si="95"/>
        <v>1910514389724.6023</v>
      </c>
      <c r="I707" s="53">
        <f t="shared" ca="1" si="96"/>
        <v>8131949201970.8838</v>
      </c>
      <c r="J707" s="53">
        <f t="shared" ca="1" si="97"/>
        <v>1643548799860.9182</v>
      </c>
      <c r="K707" s="54">
        <f t="shared" ca="1" si="98"/>
        <v>4.9477990569303643</v>
      </c>
    </row>
    <row r="708" spans="2:11" ht="15" customHeight="1" x14ac:dyDescent="0.35">
      <c r="B708" s="5">
        <v>687</v>
      </c>
      <c r="C708" s="52">
        <f t="shared" ca="1" si="90"/>
        <v>2.4924317215770695</v>
      </c>
      <c r="D708" s="53">
        <f t="shared" ca="1" si="91"/>
        <v>2099666914.2396574</v>
      </c>
      <c r="E708" s="53">
        <f t="shared" ca="1" si="92"/>
        <v>9453728688439.1211</v>
      </c>
      <c r="F708" s="53">
        <f t="shared" ca="1" si="93"/>
        <v>4123775590041.248</v>
      </c>
      <c r="G708" s="53">
        <f t="shared" ca="1" si="94"/>
        <v>1034087506031.8027</v>
      </c>
      <c r="H708" s="53">
        <f t="shared" ca="1" si="95"/>
        <v>9453728688439.1211</v>
      </c>
      <c r="I708" s="53">
        <f t="shared" ca="1" si="96"/>
        <v>3078194289196.4268</v>
      </c>
      <c r="J708" s="53">
        <f t="shared" ca="1" si="97"/>
        <v>1173186972812.9404</v>
      </c>
      <c r="K708" s="54">
        <f t="shared" ca="1" si="98"/>
        <v>2.6237883308709664</v>
      </c>
    </row>
    <row r="709" spans="2:11" ht="15" customHeight="1" x14ac:dyDescent="0.35">
      <c r="B709" s="5">
        <v>688</v>
      </c>
      <c r="C709" s="52">
        <f t="shared" ca="1" si="90"/>
        <v>3.1278846266616696</v>
      </c>
      <c r="D709" s="53">
        <f t="shared" ca="1" si="91"/>
        <v>6814053130.8176918</v>
      </c>
      <c r="E709" s="53">
        <f t="shared" ca="1" si="92"/>
        <v>7551315598694.1982</v>
      </c>
      <c r="F709" s="53">
        <f t="shared" ca="1" si="93"/>
        <v>1450216323969.5391</v>
      </c>
      <c r="G709" s="53">
        <f t="shared" ca="1" si="94"/>
        <v>7968632108218.7129</v>
      </c>
      <c r="H709" s="53">
        <f t="shared" ca="1" si="95"/>
        <v>7968632108218.7129</v>
      </c>
      <c r="I709" s="53">
        <f t="shared" ca="1" si="96"/>
        <v>1148903062698.1433</v>
      </c>
      <c r="J709" s="53">
        <f t="shared" ca="1" si="97"/>
        <v>1139784057091.6714</v>
      </c>
      <c r="K709" s="54">
        <f t="shared" ca="1" si="98"/>
        <v>1.0080006432356499</v>
      </c>
    </row>
    <row r="710" spans="2:11" ht="15" customHeight="1" x14ac:dyDescent="0.35">
      <c r="B710" s="5">
        <v>689</v>
      </c>
      <c r="C710" s="52">
        <f t="shared" ca="1" si="90"/>
        <v>3.3353773131032898</v>
      </c>
      <c r="D710" s="53">
        <f t="shared" ca="1" si="91"/>
        <v>6653871943.8694906</v>
      </c>
      <c r="E710" s="53">
        <f t="shared" ca="1" si="92"/>
        <v>69440988660609.164</v>
      </c>
      <c r="F710" s="53">
        <f t="shared" ca="1" si="93"/>
        <v>1867679481602.9712</v>
      </c>
      <c r="G710" s="53">
        <f t="shared" ca="1" si="94"/>
        <v>25754037309180.695</v>
      </c>
      <c r="H710" s="53">
        <f t="shared" ca="1" si="95"/>
        <v>69440988660609.164</v>
      </c>
      <c r="I710" s="53">
        <f t="shared" ca="1" si="96"/>
        <v>3242335873441.5171</v>
      </c>
      <c r="J710" s="53">
        <f t="shared" ca="1" si="97"/>
        <v>657432036805.94421</v>
      </c>
      <c r="K710" s="54">
        <f t="shared" ca="1" si="98"/>
        <v>4.9318190959996757</v>
      </c>
    </row>
    <row r="711" spans="2:11" ht="15" customHeight="1" x14ac:dyDescent="0.35">
      <c r="B711" s="5">
        <v>690</v>
      </c>
      <c r="C711" s="52">
        <f t="shared" ca="1" si="90"/>
        <v>2.8743625828938342</v>
      </c>
      <c r="D711" s="53">
        <f t="shared" ca="1" si="91"/>
        <v>3411930891.3748374</v>
      </c>
      <c r="E711" s="53">
        <f t="shared" ca="1" si="92"/>
        <v>6502649936100.7754</v>
      </c>
      <c r="F711" s="53">
        <f t="shared" ca="1" si="93"/>
        <v>9720462998479.2734</v>
      </c>
      <c r="G711" s="53">
        <f t="shared" ca="1" si="94"/>
        <v>83206540171500</v>
      </c>
      <c r="H711" s="53">
        <f t="shared" ca="1" si="95"/>
        <v>83206540171500</v>
      </c>
      <c r="I711" s="53">
        <f t="shared" ca="1" si="96"/>
        <v>12617334996466.213</v>
      </c>
      <c r="J711" s="53">
        <f t="shared" ca="1" si="97"/>
        <v>1124528580847.4944</v>
      </c>
      <c r="K711" s="54">
        <f t="shared" ca="1" si="98"/>
        <v>11.220110552421204</v>
      </c>
    </row>
    <row r="712" spans="2:11" ht="15" customHeight="1" x14ac:dyDescent="0.35">
      <c r="B712" s="5">
        <v>691</v>
      </c>
      <c r="C712" s="52">
        <f t="shared" ca="1" si="90"/>
        <v>3.0181773288048523</v>
      </c>
      <c r="D712" s="53">
        <f t="shared" ca="1" si="91"/>
        <v>4852560170.7791977</v>
      </c>
      <c r="E712" s="53">
        <f t="shared" ca="1" si="92"/>
        <v>17831497071310.793</v>
      </c>
      <c r="F712" s="53">
        <f t="shared" ca="1" si="93"/>
        <v>118776583936.75172</v>
      </c>
      <c r="G712" s="53">
        <f t="shared" ca="1" si="94"/>
        <v>40118377909143.219</v>
      </c>
      <c r="H712" s="53">
        <f t="shared" ca="1" si="95"/>
        <v>17831497071310.793</v>
      </c>
      <c r="I712" s="53">
        <f t="shared" ca="1" si="96"/>
        <v>12087606718924.953</v>
      </c>
      <c r="J712" s="53">
        <f t="shared" ca="1" si="97"/>
        <v>764665237268.14832</v>
      </c>
      <c r="K712" s="54">
        <f t="shared" ca="1" si="98"/>
        <v>15.807710524554867</v>
      </c>
    </row>
    <row r="713" spans="2:11" ht="15" customHeight="1" x14ac:dyDescent="0.35">
      <c r="B713" s="5">
        <v>692</v>
      </c>
      <c r="C713" s="52">
        <f t="shared" ca="1" si="90"/>
        <v>2.0325492417012643</v>
      </c>
      <c r="D713" s="53">
        <f t="shared" ca="1" si="91"/>
        <v>556971858.60686052</v>
      </c>
      <c r="E713" s="53">
        <f t="shared" ca="1" si="92"/>
        <v>4271326488340.6616</v>
      </c>
      <c r="F713" s="53">
        <f t="shared" ca="1" si="93"/>
        <v>3407223267185.8496</v>
      </c>
      <c r="G713" s="53">
        <f t="shared" ca="1" si="94"/>
        <v>36598685392375.297</v>
      </c>
      <c r="H713" s="53">
        <f t="shared" ca="1" si="95"/>
        <v>36598685392375.297</v>
      </c>
      <c r="I713" s="53">
        <f t="shared" ca="1" si="96"/>
        <v>4677230939217.709</v>
      </c>
      <c r="J713" s="53">
        <f t="shared" ca="1" si="97"/>
        <v>707428671616.95239</v>
      </c>
      <c r="K713" s="54">
        <f t="shared" ca="1" si="98"/>
        <v>6.6115936869325314</v>
      </c>
    </row>
    <row r="714" spans="2:11" ht="15" customHeight="1" x14ac:dyDescent="0.35">
      <c r="B714" s="5">
        <v>693</v>
      </c>
      <c r="C714" s="52">
        <f t="shared" ca="1" si="90"/>
        <v>3.1083417932854172</v>
      </c>
      <c r="D714" s="53">
        <f t="shared" ca="1" si="91"/>
        <v>6631258224.9394827</v>
      </c>
      <c r="E714" s="53">
        <f t="shared" ca="1" si="92"/>
        <v>98072235363287.25</v>
      </c>
      <c r="F714" s="53">
        <f t="shared" ca="1" si="93"/>
        <v>1524418406444.1877</v>
      </c>
      <c r="G714" s="53">
        <f t="shared" ca="1" si="94"/>
        <v>738350878809745.63</v>
      </c>
      <c r="H714" s="53">
        <f t="shared" ca="1" si="95"/>
        <v>98072235363287.25</v>
      </c>
      <c r="I714" s="53">
        <f t="shared" ca="1" si="96"/>
        <v>13813441590051.916</v>
      </c>
      <c r="J714" s="53">
        <f t="shared" ca="1" si="97"/>
        <v>1638905573153.1772</v>
      </c>
      <c r="K714" s="54">
        <f t="shared" ca="1" si="98"/>
        <v>8.4284548276173741</v>
      </c>
    </row>
    <row r="715" spans="2:11" ht="15" customHeight="1" x14ac:dyDescent="0.35">
      <c r="B715" s="5">
        <v>694</v>
      </c>
      <c r="C715" s="52">
        <f t="shared" ca="1" si="90"/>
        <v>4.0430078454288481</v>
      </c>
      <c r="D715" s="53">
        <f t="shared" ca="1" si="91"/>
        <v>19144432177.083553</v>
      </c>
      <c r="E715" s="53">
        <f t="shared" ca="1" si="92"/>
        <v>203108154426496.91</v>
      </c>
      <c r="F715" s="53">
        <f t="shared" ca="1" si="93"/>
        <v>1207459771805.2285</v>
      </c>
      <c r="G715" s="53">
        <f t="shared" ca="1" si="94"/>
        <v>7932391389275.9443</v>
      </c>
      <c r="H715" s="53">
        <f t="shared" ca="1" si="95"/>
        <v>203108154426496.91</v>
      </c>
      <c r="I715" s="53">
        <f t="shared" ca="1" si="96"/>
        <v>6097661181746.2129</v>
      </c>
      <c r="J715" s="53">
        <f t="shared" ca="1" si="97"/>
        <v>461121817952.48822</v>
      </c>
      <c r="K715" s="54">
        <f t="shared" ca="1" si="98"/>
        <v>13.223536480710367</v>
      </c>
    </row>
    <row r="716" spans="2:11" ht="15" customHeight="1" x14ac:dyDescent="0.35">
      <c r="B716" s="5">
        <v>695</v>
      </c>
      <c r="C716" s="52">
        <f t="shared" ca="1" si="90"/>
        <v>2.5902781285896763</v>
      </c>
      <c r="D716" s="53">
        <f t="shared" ca="1" si="91"/>
        <v>2098756118.0192909</v>
      </c>
      <c r="E716" s="53">
        <f t="shared" ca="1" si="92"/>
        <v>8535944444471.0547</v>
      </c>
      <c r="F716" s="53">
        <f t="shared" ca="1" si="93"/>
        <v>765029234225.44348</v>
      </c>
      <c r="G716" s="53">
        <f t="shared" ca="1" si="94"/>
        <v>15448519648589.553</v>
      </c>
      <c r="H716" s="53">
        <f t="shared" ca="1" si="95"/>
        <v>15448519648589.553</v>
      </c>
      <c r="I716" s="53">
        <f t="shared" ca="1" si="96"/>
        <v>7693933185959.0566</v>
      </c>
      <c r="J716" s="53">
        <f t="shared" ca="1" si="97"/>
        <v>662600039030.22375</v>
      </c>
      <c r="K716" s="54">
        <f t="shared" ca="1" si="98"/>
        <v>11.6117306561283</v>
      </c>
    </row>
    <row r="717" spans="2:11" ht="15" customHeight="1" x14ac:dyDescent="0.35">
      <c r="B717" s="5">
        <v>696</v>
      </c>
      <c r="C717" s="52">
        <f t="shared" ca="1" si="90"/>
        <v>2.9339827691834768</v>
      </c>
      <c r="D717" s="53">
        <f t="shared" ca="1" si="91"/>
        <v>3915317363.9079165</v>
      </c>
      <c r="E717" s="53">
        <f t="shared" ca="1" si="92"/>
        <v>21183880500137.543</v>
      </c>
      <c r="F717" s="53">
        <f t="shared" ca="1" si="93"/>
        <v>5599941081649.4131</v>
      </c>
      <c r="G717" s="53">
        <f t="shared" ca="1" si="94"/>
        <v>11476741680212.875</v>
      </c>
      <c r="H717" s="53">
        <f t="shared" ca="1" si="95"/>
        <v>11476741680212.875</v>
      </c>
      <c r="I717" s="53">
        <f t="shared" ca="1" si="96"/>
        <v>616990816204.39417</v>
      </c>
      <c r="J717" s="53">
        <f t="shared" ca="1" si="97"/>
        <v>754375971799.86475</v>
      </c>
      <c r="K717" s="54">
        <f t="shared" ca="1" si="98"/>
        <v>0.81788238129101132</v>
      </c>
    </row>
    <row r="718" spans="2:11" ht="15" customHeight="1" x14ac:dyDescent="0.35">
      <c r="B718" s="5">
        <v>697</v>
      </c>
      <c r="C718" s="52">
        <f t="shared" ca="1" si="90"/>
        <v>2.3173627344502905</v>
      </c>
      <c r="D718" s="53">
        <f t="shared" ca="1" si="91"/>
        <v>1326299874.5149057</v>
      </c>
      <c r="E718" s="53">
        <f t="shared" ca="1" si="92"/>
        <v>9720039551707.4785</v>
      </c>
      <c r="F718" s="53">
        <f t="shared" ca="1" si="93"/>
        <v>8401613119153.915</v>
      </c>
      <c r="G718" s="53">
        <f t="shared" ca="1" si="94"/>
        <v>2431728758268.9282</v>
      </c>
      <c r="H718" s="53">
        <f t="shared" ca="1" si="95"/>
        <v>2431728758268.9282</v>
      </c>
      <c r="I718" s="53">
        <f t="shared" ca="1" si="96"/>
        <v>10520407905489.625</v>
      </c>
      <c r="J718" s="53">
        <f t="shared" ca="1" si="97"/>
        <v>1044509001586.8519</v>
      </c>
      <c r="K718" s="54">
        <f t="shared" ca="1" si="98"/>
        <v>10.07210841601813</v>
      </c>
    </row>
    <row r="719" spans="2:11" ht="15" customHeight="1" x14ac:dyDescent="0.35">
      <c r="B719" s="5">
        <v>698</v>
      </c>
      <c r="C719" s="52">
        <f t="shared" ca="1" si="90"/>
        <v>4.0579469126445584</v>
      </c>
      <c r="D719" s="53">
        <f t="shared" ca="1" si="91"/>
        <v>26219320651.54039</v>
      </c>
      <c r="E719" s="53">
        <f t="shared" ca="1" si="92"/>
        <v>17851000607758.504</v>
      </c>
      <c r="F719" s="53">
        <f t="shared" ca="1" si="93"/>
        <v>6370719394400.2217</v>
      </c>
      <c r="G719" s="53">
        <f t="shared" ca="1" si="94"/>
        <v>15540478583963.715</v>
      </c>
      <c r="H719" s="53">
        <f t="shared" ca="1" si="95"/>
        <v>15540478583963.715</v>
      </c>
      <c r="I719" s="53">
        <f t="shared" ca="1" si="96"/>
        <v>3697261734969.6431</v>
      </c>
      <c r="J719" s="53">
        <f t="shared" ca="1" si="97"/>
        <v>1199649048907.3777</v>
      </c>
      <c r="K719" s="54">
        <f t="shared" ca="1" si="98"/>
        <v>3.0819527913909934</v>
      </c>
    </row>
    <row r="720" spans="2:11" ht="15" customHeight="1" x14ac:dyDescent="0.35">
      <c r="B720" s="5">
        <v>699</v>
      </c>
      <c r="C720" s="52">
        <f t="shared" ca="1" si="90"/>
        <v>2.5734437899151148</v>
      </c>
      <c r="D720" s="53">
        <f t="shared" ca="1" si="91"/>
        <v>1930344127.9895158</v>
      </c>
      <c r="E720" s="53">
        <f t="shared" ca="1" si="92"/>
        <v>17591181530336.996</v>
      </c>
      <c r="F720" s="53">
        <f t="shared" ca="1" si="93"/>
        <v>3346592509893.1069</v>
      </c>
      <c r="G720" s="53">
        <f t="shared" ca="1" si="94"/>
        <v>3074627400368.9165</v>
      </c>
      <c r="H720" s="53">
        <f t="shared" ca="1" si="95"/>
        <v>17591181530336.996</v>
      </c>
      <c r="I720" s="53">
        <f t="shared" ca="1" si="96"/>
        <v>7657687053213.6113</v>
      </c>
      <c r="J720" s="53">
        <f t="shared" ca="1" si="97"/>
        <v>1394292718652.1492</v>
      </c>
      <c r="K720" s="54">
        <f t="shared" ca="1" si="98"/>
        <v>5.492165992673498</v>
      </c>
    </row>
    <row r="721" spans="2:11" ht="15" customHeight="1" x14ac:dyDescent="0.35">
      <c r="B721" s="5">
        <v>700</v>
      </c>
      <c r="C721" s="52">
        <f t="shared" ca="1" si="90"/>
        <v>2.8527377203361479</v>
      </c>
      <c r="D721" s="53">
        <f t="shared" ca="1" si="91"/>
        <v>3455001710.7570372</v>
      </c>
      <c r="E721" s="53">
        <f t="shared" ca="1" si="92"/>
        <v>28300275481462.008</v>
      </c>
      <c r="F721" s="53">
        <f t="shared" ca="1" si="93"/>
        <v>23316288870599.406</v>
      </c>
      <c r="G721" s="53">
        <f t="shared" ca="1" si="94"/>
        <v>69433406399720.25</v>
      </c>
      <c r="H721" s="53">
        <f t="shared" ca="1" si="95"/>
        <v>69433406399720.25</v>
      </c>
      <c r="I721" s="53">
        <f t="shared" ca="1" si="96"/>
        <v>53782861976667.289</v>
      </c>
      <c r="J721" s="53">
        <f t="shared" ca="1" si="97"/>
        <v>820219918908.40198</v>
      </c>
      <c r="K721" s="54">
        <f t="shared" ca="1" si="98"/>
        <v>65.571270261571755</v>
      </c>
    </row>
    <row r="722" spans="2:11" ht="15" customHeight="1" x14ac:dyDescent="0.35">
      <c r="B722" s="5">
        <v>701</v>
      </c>
      <c r="C722" s="52">
        <f t="shared" ca="1" si="90"/>
        <v>2.7810439261466837</v>
      </c>
      <c r="D722" s="53">
        <f t="shared" ca="1" si="91"/>
        <v>2776566319.9674511</v>
      </c>
      <c r="E722" s="53">
        <f t="shared" ca="1" si="92"/>
        <v>25919936777327.098</v>
      </c>
      <c r="F722" s="53">
        <f t="shared" ca="1" si="93"/>
        <v>2307682103989.7397</v>
      </c>
      <c r="G722" s="53">
        <f t="shared" ca="1" si="94"/>
        <v>27498202913061.414</v>
      </c>
      <c r="H722" s="53">
        <f t="shared" ca="1" si="95"/>
        <v>2307682103989.7397</v>
      </c>
      <c r="I722" s="53">
        <f t="shared" ca="1" si="96"/>
        <v>16243577576011.801</v>
      </c>
      <c r="J722" s="53">
        <f t="shared" ca="1" si="97"/>
        <v>1286580884625.4868</v>
      </c>
      <c r="K722" s="54">
        <f t="shared" ca="1" si="98"/>
        <v>12.625383891616091</v>
      </c>
    </row>
    <row r="723" spans="2:11" ht="15" customHeight="1" x14ac:dyDescent="0.35">
      <c r="B723" s="5">
        <v>702</v>
      </c>
      <c r="C723" s="52">
        <f t="shared" ca="1" si="90"/>
        <v>3.2681884235898018</v>
      </c>
      <c r="D723" s="53">
        <f t="shared" ca="1" si="91"/>
        <v>6548922838.7967854</v>
      </c>
      <c r="E723" s="53">
        <f t="shared" ca="1" si="92"/>
        <v>50476587992079.891</v>
      </c>
      <c r="F723" s="53">
        <f t="shared" ca="1" si="93"/>
        <v>3769088757967.1729</v>
      </c>
      <c r="G723" s="53">
        <f t="shared" ca="1" si="94"/>
        <v>2117769231911.2739</v>
      </c>
      <c r="H723" s="53">
        <f t="shared" ca="1" si="95"/>
        <v>2117769231911.2739</v>
      </c>
      <c r="I723" s="53">
        <f t="shared" ca="1" si="96"/>
        <v>37920811659905.906</v>
      </c>
      <c r="J723" s="53">
        <f t="shared" ca="1" si="97"/>
        <v>813965838548.20093</v>
      </c>
      <c r="K723" s="54">
        <f t="shared" ca="1" si="98"/>
        <v>46.587718874715819</v>
      </c>
    </row>
    <row r="724" spans="2:11" ht="15" customHeight="1" x14ac:dyDescent="0.35">
      <c r="B724" s="5">
        <v>703</v>
      </c>
      <c r="C724" s="52">
        <f t="shared" ca="1" si="90"/>
        <v>3.4201957460771464</v>
      </c>
      <c r="D724" s="53">
        <f t="shared" ca="1" si="91"/>
        <v>8602144989.6787605</v>
      </c>
      <c r="E724" s="53">
        <f t="shared" ca="1" si="92"/>
        <v>16174631877797.008</v>
      </c>
      <c r="F724" s="53">
        <f t="shared" ca="1" si="93"/>
        <v>6969127099968.6611</v>
      </c>
      <c r="G724" s="53">
        <f t="shared" ca="1" si="94"/>
        <v>761778670618.15723</v>
      </c>
      <c r="H724" s="53">
        <f t="shared" ca="1" si="95"/>
        <v>16174631877797.008</v>
      </c>
      <c r="I724" s="53">
        <f t="shared" ca="1" si="96"/>
        <v>17173777026731.609</v>
      </c>
      <c r="J724" s="53">
        <f t="shared" ca="1" si="97"/>
        <v>973034521557.2312</v>
      </c>
      <c r="K724" s="54">
        <f t="shared" ca="1" si="98"/>
        <v>17.649709898521309</v>
      </c>
    </row>
    <row r="725" spans="2:11" ht="15" customHeight="1" x14ac:dyDescent="0.35">
      <c r="B725" s="5">
        <v>704</v>
      </c>
      <c r="C725" s="52">
        <f t="shared" ca="1" si="90"/>
        <v>3.0167374598966559</v>
      </c>
      <c r="D725" s="53">
        <f t="shared" ca="1" si="91"/>
        <v>4319619869.4237728</v>
      </c>
      <c r="E725" s="53">
        <f t="shared" ca="1" si="92"/>
        <v>13252929434472.607</v>
      </c>
      <c r="F725" s="53">
        <f t="shared" ca="1" si="93"/>
        <v>3424111592369.8022</v>
      </c>
      <c r="G725" s="53">
        <f t="shared" ca="1" si="94"/>
        <v>3333922874562.2148</v>
      </c>
      <c r="H725" s="53">
        <f t="shared" ca="1" si="95"/>
        <v>13252929434472.607</v>
      </c>
      <c r="I725" s="53">
        <f t="shared" ca="1" si="96"/>
        <v>15760018498653.207</v>
      </c>
      <c r="J725" s="53">
        <f t="shared" ca="1" si="97"/>
        <v>1313945426698.0664</v>
      </c>
      <c r="K725" s="54">
        <f t="shared" ca="1" si="98"/>
        <v>11.99442395279536</v>
      </c>
    </row>
    <row r="726" spans="2:11" ht="15" customHeight="1" x14ac:dyDescent="0.35">
      <c r="B726" s="5">
        <v>705</v>
      </c>
      <c r="C726" s="52">
        <f t="shared" ref="C726:C789" ca="1" si="99">MEDIAN(1.8,NORMINV(RAND(),$C$7,$D$7),4.5)</f>
        <v>2.9024246349331921</v>
      </c>
      <c r="D726" s="53">
        <f t="shared" ref="D726:D789" ca="1" si="100">($C$8+RAND()*($D$8-$C$8))*C726^5</f>
        <v>4931436557.6576576</v>
      </c>
      <c r="E726" s="53">
        <f t="shared" ref="E726:E789" ca="1" si="101">D726*($C$10+RAND()*($D$10-$C$10))*EXP(NORMINV(RAND(),$C$9,$D$9))*($C$11+RAND()*($D$11-$C$11))</f>
        <v>5579880842093.8193</v>
      </c>
      <c r="F726" s="53">
        <f t="shared" ref="F726:F789" ca="1" si="102">EXP(NORMINV(RAND(),$C$12,$D$12))*EXP(NORMINV(RAND(),$C$13,$D$13))</f>
        <v>1355202568395.3521</v>
      </c>
      <c r="G726" s="53">
        <f t="shared" ref="G726:G789" ca="1" si="103">EXP(NORMINV(RAND(),$C$14,$D$14))*($C$15+RAND()*($D$15-$C$15))*EXP(NORMINV(RAND(),$C$16,$D$16))/1000000*31536000</f>
        <v>10065338972410.035</v>
      </c>
      <c r="H726" s="53">
        <f t="shared" ref="H726:H789" ca="1" si="104">CHOOSE(RANDBETWEEN(1,3),E726,F726,G726)</f>
        <v>5579880842093.8193</v>
      </c>
      <c r="I726" s="53">
        <f t="shared" ref="I726:I789" ca="1" si="105">EXP(NORMINV(RAND(),$C$14,$D$14))*($C$15+RAND()*($D$15-$C$15))*60</f>
        <v>6289753189300.9961</v>
      </c>
      <c r="J726" s="53">
        <f t="shared" ref="J726:J789" ca="1" si="106">($C$17+RAND()*($D$17-$C$17))*($C$18+RAND()*($D$18-$C$18))</f>
        <v>1005599285090.6212</v>
      </c>
      <c r="K726" s="54">
        <f t="shared" ref="K726:K789" ca="1" si="107">I726/J726</f>
        <v>6.2547311663354899</v>
      </c>
    </row>
    <row r="727" spans="2:11" ht="15" customHeight="1" x14ac:dyDescent="0.35">
      <c r="B727" s="5">
        <v>706</v>
      </c>
      <c r="C727" s="52">
        <f t="shared" ca="1" si="99"/>
        <v>2.9506532733498054</v>
      </c>
      <c r="D727" s="53">
        <f t="shared" ca="1" si="100"/>
        <v>3795798006.5588393</v>
      </c>
      <c r="E727" s="53">
        <f t="shared" ca="1" si="101"/>
        <v>58071727249637.094</v>
      </c>
      <c r="F727" s="53">
        <f t="shared" ca="1" si="102"/>
        <v>859710738135.26001</v>
      </c>
      <c r="G727" s="53">
        <f t="shared" ca="1" si="103"/>
        <v>26048530191886.918</v>
      </c>
      <c r="H727" s="53">
        <f t="shared" ca="1" si="104"/>
        <v>58071727249637.094</v>
      </c>
      <c r="I727" s="53">
        <f t="shared" ca="1" si="105"/>
        <v>77325559376772.406</v>
      </c>
      <c r="J727" s="53">
        <f t="shared" ca="1" si="106"/>
        <v>721521058671.18286</v>
      </c>
      <c r="K727" s="54">
        <f t="shared" ca="1" si="107"/>
        <v>107.17020445554563</v>
      </c>
    </row>
    <row r="728" spans="2:11" ht="15" customHeight="1" x14ac:dyDescent="0.35">
      <c r="B728" s="5">
        <v>707</v>
      </c>
      <c r="C728" s="52">
        <f t="shared" ca="1" si="99"/>
        <v>2.4240701162404008</v>
      </c>
      <c r="D728" s="53">
        <f t="shared" ca="1" si="100"/>
        <v>1470913276.9259472</v>
      </c>
      <c r="E728" s="53">
        <f t="shared" ca="1" si="101"/>
        <v>34703261405856.879</v>
      </c>
      <c r="F728" s="53">
        <f t="shared" ca="1" si="102"/>
        <v>1572050123621.4355</v>
      </c>
      <c r="G728" s="53">
        <f t="shared" ca="1" si="103"/>
        <v>4048658341467.1489</v>
      </c>
      <c r="H728" s="53">
        <f t="shared" ca="1" si="104"/>
        <v>4048658341467.1489</v>
      </c>
      <c r="I728" s="53">
        <f t="shared" ca="1" si="105"/>
        <v>14009072164236.293</v>
      </c>
      <c r="J728" s="53">
        <f t="shared" ca="1" si="106"/>
        <v>985951292627.35376</v>
      </c>
      <c r="K728" s="54">
        <f t="shared" ca="1" si="107"/>
        <v>14.208685833663292</v>
      </c>
    </row>
    <row r="729" spans="2:11" ht="15" customHeight="1" x14ac:dyDescent="0.35">
      <c r="B729" s="5">
        <v>708</v>
      </c>
      <c r="C729" s="52">
        <f t="shared" ca="1" si="99"/>
        <v>2.7647820007052375</v>
      </c>
      <c r="D729" s="53">
        <f t="shared" ca="1" si="100"/>
        <v>3220799817.8131132</v>
      </c>
      <c r="E729" s="53">
        <f t="shared" ca="1" si="101"/>
        <v>26676420882519.605</v>
      </c>
      <c r="F729" s="53">
        <f t="shared" ca="1" si="102"/>
        <v>1307461184479.9512</v>
      </c>
      <c r="G729" s="53">
        <f t="shared" ca="1" si="103"/>
        <v>6647272457098.6953</v>
      </c>
      <c r="H729" s="53">
        <f t="shared" ca="1" si="104"/>
        <v>6647272457098.6953</v>
      </c>
      <c r="I729" s="53">
        <f t="shared" ca="1" si="105"/>
        <v>8560243646188.085</v>
      </c>
      <c r="J729" s="53">
        <f t="shared" ca="1" si="106"/>
        <v>1121365900905.7737</v>
      </c>
      <c r="K729" s="54">
        <f t="shared" ca="1" si="107"/>
        <v>7.6337648926845567</v>
      </c>
    </row>
    <row r="730" spans="2:11" ht="15" customHeight="1" x14ac:dyDescent="0.35">
      <c r="B730" s="5">
        <v>709</v>
      </c>
      <c r="C730" s="52">
        <f t="shared" ca="1" si="99"/>
        <v>3.1176628262822894</v>
      </c>
      <c r="D730" s="53">
        <f t="shared" ca="1" si="100"/>
        <v>7034624558.3986406</v>
      </c>
      <c r="E730" s="53">
        <f t="shared" ca="1" si="101"/>
        <v>16456887088116.635</v>
      </c>
      <c r="F730" s="53">
        <f t="shared" ca="1" si="102"/>
        <v>2462164952268.1128</v>
      </c>
      <c r="G730" s="53">
        <f t="shared" ca="1" si="103"/>
        <v>24214477331416.25</v>
      </c>
      <c r="H730" s="53">
        <f t="shared" ca="1" si="104"/>
        <v>24214477331416.25</v>
      </c>
      <c r="I730" s="53">
        <f t="shared" ca="1" si="105"/>
        <v>11405074419818.039</v>
      </c>
      <c r="J730" s="53">
        <f t="shared" ca="1" si="106"/>
        <v>1142243380740.8589</v>
      </c>
      <c r="K730" s="54">
        <f t="shared" ca="1" si="107"/>
        <v>9.9848023740971126</v>
      </c>
    </row>
    <row r="731" spans="2:11" ht="15" customHeight="1" x14ac:dyDescent="0.35">
      <c r="B731" s="5">
        <v>710</v>
      </c>
      <c r="C731" s="52">
        <f t="shared" ca="1" si="99"/>
        <v>2.6848237253941205</v>
      </c>
      <c r="D731" s="53">
        <f t="shared" ca="1" si="100"/>
        <v>2756513873.3892112</v>
      </c>
      <c r="E731" s="53">
        <f t="shared" ca="1" si="101"/>
        <v>6418444270849.4014</v>
      </c>
      <c r="F731" s="53">
        <f t="shared" ca="1" si="102"/>
        <v>4635534380358.209</v>
      </c>
      <c r="G731" s="53">
        <f t="shared" ca="1" si="103"/>
        <v>35246512761753.203</v>
      </c>
      <c r="H731" s="53">
        <f t="shared" ca="1" si="104"/>
        <v>6418444270849.4014</v>
      </c>
      <c r="I731" s="53">
        <f t="shared" ca="1" si="105"/>
        <v>3794589321926.5874</v>
      </c>
      <c r="J731" s="53">
        <f t="shared" ca="1" si="106"/>
        <v>812961126505.87402</v>
      </c>
      <c r="K731" s="54">
        <f t="shared" ca="1" si="107"/>
        <v>4.6676147213038606</v>
      </c>
    </row>
    <row r="732" spans="2:11" ht="15" customHeight="1" x14ac:dyDescent="0.35">
      <c r="B732" s="5">
        <v>711</v>
      </c>
      <c r="C732" s="52">
        <f t="shared" ca="1" si="99"/>
        <v>2.9096817148956262</v>
      </c>
      <c r="D732" s="53">
        <f t="shared" ca="1" si="100"/>
        <v>3690434546.3617034</v>
      </c>
      <c r="E732" s="53">
        <f t="shared" ca="1" si="101"/>
        <v>15152589290000.955</v>
      </c>
      <c r="F732" s="53">
        <f t="shared" ca="1" si="102"/>
        <v>24443347026018.352</v>
      </c>
      <c r="G732" s="53">
        <f t="shared" ca="1" si="103"/>
        <v>3974160646341.5215</v>
      </c>
      <c r="H732" s="53">
        <f t="shared" ca="1" si="104"/>
        <v>15152589290000.955</v>
      </c>
      <c r="I732" s="53">
        <f t="shared" ca="1" si="105"/>
        <v>13992592626205.645</v>
      </c>
      <c r="J732" s="53">
        <f t="shared" ca="1" si="106"/>
        <v>1341434882786.3628</v>
      </c>
      <c r="K732" s="54">
        <f t="shared" ca="1" si="107"/>
        <v>10.431063636231762</v>
      </c>
    </row>
    <row r="733" spans="2:11" ht="15" customHeight="1" x14ac:dyDescent="0.35">
      <c r="B733" s="5">
        <v>712</v>
      </c>
      <c r="C733" s="52">
        <f t="shared" ca="1" si="99"/>
        <v>3.2554255863093493</v>
      </c>
      <c r="D733" s="53">
        <f t="shared" ca="1" si="100"/>
        <v>7646204393.5180531</v>
      </c>
      <c r="E733" s="53">
        <f t="shared" ca="1" si="101"/>
        <v>9818268942707.2285</v>
      </c>
      <c r="F733" s="53">
        <f t="shared" ca="1" si="102"/>
        <v>14709631110516.236</v>
      </c>
      <c r="G733" s="53">
        <f t="shared" ca="1" si="103"/>
        <v>5784419627140.4824</v>
      </c>
      <c r="H733" s="53">
        <f t="shared" ca="1" si="104"/>
        <v>5784419627140.4824</v>
      </c>
      <c r="I733" s="53">
        <f t="shared" ca="1" si="105"/>
        <v>7027178544807.2695</v>
      </c>
      <c r="J733" s="53">
        <f t="shared" ca="1" si="106"/>
        <v>878696963621.31653</v>
      </c>
      <c r="K733" s="54">
        <f t="shared" ca="1" si="107"/>
        <v>7.9972719102688332</v>
      </c>
    </row>
    <row r="734" spans="2:11" ht="15" customHeight="1" x14ac:dyDescent="0.35">
      <c r="B734" s="5">
        <v>713</v>
      </c>
      <c r="C734" s="52">
        <f t="shared" ca="1" si="99"/>
        <v>3.3741990134020932</v>
      </c>
      <c r="D734" s="53">
        <f t="shared" ca="1" si="100"/>
        <v>8501552188.8263416</v>
      </c>
      <c r="E734" s="53">
        <f t="shared" ca="1" si="101"/>
        <v>8011727840274.0762</v>
      </c>
      <c r="F734" s="53">
        <f t="shared" ca="1" si="102"/>
        <v>9721348031504.4629</v>
      </c>
      <c r="G734" s="53">
        <f t="shared" ca="1" si="103"/>
        <v>17674284705587.988</v>
      </c>
      <c r="H734" s="53">
        <f t="shared" ca="1" si="104"/>
        <v>17674284705587.988</v>
      </c>
      <c r="I734" s="53">
        <f t="shared" ca="1" si="105"/>
        <v>18106573260280.785</v>
      </c>
      <c r="J734" s="53">
        <f t="shared" ca="1" si="106"/>
        <v>846372503015.02246</v>
      </c>
      <c r="K734" s="54">
        <f t="shared" ca="1" si="107"/>
        <v>21.393149228950563</v>
      </c>
    </row>
    <row r="735" spans="2:11" ht="15" customHeight="1" x14ac:dyDescent="0.35">
      <c r="B735" s="5">
        <v>714</v>
      </c>
      <c r="C735" s="52">
        <f t="shared" ca="1" si="99"/>
        <v>3.0495375607034725</v>
      </c>
      <c r="D735" s="53">
        <f t="shared" ca="1" si="100"/>
        <v>4370606270.7477102</v>
      </c>
      <c r="E735" s="53">
        <f t="shared" ca="1" si="101"/>
        <v>14446900130715.043</v>
      </c>
      <c r="F735" s="53">
        <f t="shared" ca="1" si="102"/>
        <v>5877136518565.5166</v>
      </c>
      <c r="G735" s="53">
        <f t="shared" ca="1" si="103"/>
        <v>7714356003544.0898</v>
      </c>
      <c r="H735" s="53">
        <f t="shared" ca="1" si="104"/>
        <v>5877136518565.5166</v>
      </c>
      <c r="I735" s="53">
        <f t="shared" ca="1" si="105"/>
        <v>38319826729541.844</v>
      </c>
      <c r="J735" s="53">
        <f t="shared" ca="1" si="106"/>
        <v>1194601029056.792</v>
      </c>
      <c r="K735" s="54">
        <f t="shared" ca="1" si="107"/>
        <v>32.077510229333726</v>
      </c>
    </row>
    <row r="736" spans="2:11" ht="15" customHeight="1" x14ac:dyDescent="0.35">
      <c r="B736" s="5">
        <v>715</v>
      </c>
      <c r="C736" s="52">
        <f t="shared" ca="1" si="99"/>
        <v>2.4035367700010393</v>
      </c>
      <c r="D736" s="53">
        <f t="shared" ca="1" si="100"/>
        <v>1531971923.8943279</v>
      </c>
      <c r="E736" s="53">
        <f t="shared" ca="1" si="101"/>
        <v>20182130983098.676</v>
      </c>
      <c r="F736" s="53">
        <f t="shared" ca="1" si="102"/>
        <v>1188476275402.7407</v>
      </c>
      <c r="G736" s="53">
        <f t="shared" ca="1" si="103"/>
        <v>654879895404.46924</v>
      </c>
      <c r="H736" s="53">
        <f t="shared" ca="1" si="104"/>
        <v>1188476275402.7407</v>
      </c>
      <c r="I736" s="53">
        <f t="shared" ca="1" si="105"/>
        <v>8045225038148.9121</v>
      </c>
      <c r="J736" s="53">
        <f t="shared" ca="1" si="106"/>
        <v>810976773275.87854</v>
      </c>
      <c r="K736" s="54">
        <f t="shared" ca="1" si="107"/>
        <v>9.9204136336122701</v>
      </c>
    </row>
    <row r="737" spans="2:11" ht="15" customHeight="1" x14ac:dyDescent="0.35">
      <c r="B737" s="5">
        <v>716</v>
      </c>
      <c r="C737" s="52">
        <f t="shared" ca="1" si="99"/>
        <v>2.2747854540133892</v>
      </c>
      <c r="D737" s="53">
        <f t="shared" ca="1" si="100"/>
        <v>1158209073.8361392</v>
      </c>
      <c r="E737" s="53">
        <f t="shared" ca="1" si="101"/>
        <v>1130415372550.9727</v>
      </c>
      <c r="F737" s="53">
        <f t="shared" ca="1" si="102"/>
        <v>5439424445846.5674</v>
      </c>
      <c r="G737" s="53">
        <f t="shared" ca="1" si="103"/>
        <v>2467059147627.7788</v>
      </c>
      <c r="H737" s="53">
        <f t="shared" ca="1" si="104"/>
        <v>1130415372550.9727</v>
      </c>
      <c r="I737" s="53">
        <f t="shared" ca="1" si="105"/>
        <v>2559760302244.8911</v>
      </c>
      <c r="J737" s="53">
        <f t="shared" ca="1" si="106"/>
        <v>952624953265.30664</v>
      </c>
      <c r="K737" s="54">
        <f t="shared" ca="1" si="107"/>
        <v>2.6870598901181588</v>
      </c>
    </row>
    <row r="738" spans="2:11" ht="15" customHeight="1" x14ac:dyDescent="0.35">
      <c r="B738" s="5">
        <v>717</v>
      </c>
      <c r="C738" s="52">
        <f t="shared" ca="1" si="99"/>
        <v>3.0595219372430251</v>
      </c>
      <c r="D738" s="53">
        <f t="shared" ca="1" si="100"/>
        <v>5325148379.9230156</v>
      </c>
      <c r="E738" s="53">
        <f t="shared" ca="1" si="101"/>
        <v>75330577050904.453</v>
      </c>
      <c r="F738" s="53">
        <f t="shared" ca="1" si="102"/>
        <v>1506322996864.2725</v>
      </c>
      <c r="G738" s="53">
        <f t="shared" ca="1" si="103"/>
        <v>5962599869081.3867</v>
      </c>
      <c r="H738" s="53">
        <f t="shared" ca="1" si="104"/>
        <v>5962599869081.3867</v>
      </c>
      <c r="I738" s="53">
        <f t="shared" ca="1" si="105"/>
        <v>627128664808.26147</v>
      </c>
      <c r="J738" s="53">
        <f t="shared" ca="1" si="106"/>
        <v>880341946539.15308</v>
      </c>
      <c r="K738" s="54">
        <f t="shared" ca="1" si="107"/>
        <v>0.71236940063308685</v>
      </c>
    </row>
    <row r="739" spans="2:11" ht="15" customHeight="1" x14ac:dyDescent="0.35">
      <c r="B739" s="5">
        <v>718</v>
      </c>
      <c r="C739" s="52">
        <f t="shared" ca="1" si="99"/>
        <v>2.8573566764715252</v>
      </c>
      <c r="D739" s="53">
        <f t="shared" ca="1" si="100"/>
        <v>4293283529.4234643</v>
      </c>
      <c r="E739" s="53">
        <f t="shared" ca="1" si="101"/>
        <v>37481708354499.523</v>
      </c>
      <c r="F739" s="53">
        <f t="shared" ca="1" si="102"/>
        <v>9373140483536.1309</v>
      </c>
      <c r="G739" s="53">
        <f t="shared" ca="1" si="103"/>
        <v>307399206537547.69</v>
      </c>
      <c r="H739" s="53">
        <f t="shared" ca="1" si="104"/>
        <v>307399206537547.69</v>
      </c>
      <c r="I739" s="53">
        <f t="shared" ca="1" si="105"/>
        <v>1375076839659.5281</v>
      </c>
      <c r="J739" s="53">
        <f t="shared" ca="1" si="106"/>
        <v>1159392097572.2834</v>
      </c>
      <c r="K739" s="54">
        <f t="shared" ca="1" si="107"/>
        <v>1.1860326135902419</v>
      </c>
    </row>
    <row r="740" spans="2:11" ht="15" customHeight="1" x14ac:dyDescent="0.35">
      <c r="B740" s="5">
        <v>719</v>
      </c>
      <c r="C740" s="52">
        <f t="shared" ca="1" si="99"/>
        <v>3.4509624720291558</v>
      </c>
      <c r="D740" s="53">
        <f t="shared" ca="1" si="100"/>
        <v>10436835637.726957</v>
      </c>
      <c r="E740" s="53">
        <f t="shared" ca="1" si="101"/>
        <v>75914675086578.969</v>
      </c>
      <c r="F740" s="53">
        <f t="shared" ca="1" si="102"/>
        <v>1953343330844.0107</v>
      </c>
      <c r="G740" s="53">
        <f t="shared" ca="1" si="103"/>
        <v>1687708312498.8574</v>
      </c>
      <c r="H740" s="53">
        <f t="shared" ca="1" si="104"/>
        <v>1953343330844.0107</v>
      </c>
      <c r="I740" s="53">
        <f t="shared" ca="1" si="105"/>
        <v>3647316550884.2319</v>
      </c>
      <c r="J740" s="53">
        <f t="shared" ca="1" si="106"/>
        <v>1890611337245.0278</v>
      </c>
      <c r="K740" s="54">
        <f t="shared" ca="1" si="107"/>
        <v>1.9291731087358495</v>
      </c>
    </row>
    <row r="741" spans="2:11" ht="15" customHeight="1" x14ac:dyDescent="0.35">
      <c r="B741" s="5">
        <v>720</v>
      </c>
      <c r="C741" s="52">
        <f t="shared" ca="1" si="99"/>
        <v>3.4768760016033626</v>
      </c>
      <c r="D741" s="53">
        <f t="shared" ca="1" si="100"/>
        <v>11182208041.532305</v>
      </c>
      <c r="E741" s="53">
        <f t="shared" ca="1" si="101"/>
        <v>36937435178772.102</v>
      </c>
      <c r="F741" s="53">
        <f t="shared" ca="1" si="102"/>
        <v>7651546604785.9932</v>
      </c>
      <c r="G741" s="53">
        <f t="shared" ca="1" si="103"/>
        <v>3494125966564.0068</v>
      </c>
      <c r="H741" s="53">
        <f t="shared" ca="1" si="104"/>
        <v>7651546604785.9932</v>
      </c>
      <c r="I741" s="53">
        <f t="shared" ca="1" si="105"/>
        <v>7124844720214.7705</v>
      </c>
      <c r="J741" s="53">
        <f t="shared" ca="1" si="106"/>
        <v>770002118674.75354</v>
      </c>
      <c r="K741" s="54">
        <f t="shared" ca="1" si="107"/>
        <v>9.2530196312671222</v>
      </c>
    </row>
    <row r="742" spans="2:11" ht="15" customHeight="1" x14ac:dyDescent="0.35">
      <c r="B742" s="5">
        <v>721</v>
      </c>
      <c r="C742" s="52">
        <f t="shared" ca="1" si="99"/>
        <v>3.3365089202733529</v>
      </c>
      <c r="D742" s="53">
        <f t="shared" ca="1" si="100"/>
        <v>7104699354.7791481</v>
      </c>
      <c r="E742" s="53">
        <f t="shared" ca="1" si="101"/>
        <v>81979115606107.281</v>
      </c>
      <c r="F742" s="53">
        <f t="shared" ca="1" si="102"/>
        <v>2757440690326.2461</v>
      </c>
      <c r="G742" s="53">
        <f t="shared" ca="1" si="103"/>
        <v>21265477492597.211</v>
      </c>
      <c r="H742" s="53">
        <f t="shared" ca="1" si="104"/>
        <v>2757440690326.2461</v>
      </c>
      <c r="I742" s="53">
        <f t="shared" ca="1" si="105"/>
        <v>14917200158587.516</v>
      </c>
      <c r="J742" s="53">
        <f t="shared" ca="1" si="106"/>
        <v>1178295711269.1172</v>
      </c>
      <c r="K742" s="54">
        <f t="shared" ca="1" si="107"/>
        <v>12.659980016833396</v>
      </c>
    </row>
    <row r="743" spans="2:11" ht="15" customHeight="1" x14ac:dyDescent="0.35">
      <c r="B743" s="5">
        <v>722</v>
      </c>
      <c r="C743" s="52">
        <f t="shared" ca="1" si="99"/>
        <v>2.2059140438583178</v>
      </c>
      <c r="D743" s="53">
        <f t="shared" ca="1" si="100"/>
        <v>1222176185.9302659</v>
      </c>
      <c r="E743" s="53">
        <f t="shared" ca="1" si="101"/>
        <v>13603215873781.424</v>
      </c>
      <c r="F743" s="53">
        <f t="shared" ca="1" si="102"/>
        <v>6297624171882.8506</v>
      </c>
      <c r="G743" s="53">
        <f t="shared" ca="1" si="103"/>
        <v>16398514040612.381</v>
      </c>
      <c r="H743" s="53">
        <f t="shared" ca="1" si="104"/>
        <v>6297624171882.8506</v>
      </c>
      <c r="I743" s="53">
        <f t="shared" ca="1" si="105"/>
        <v>3094089719466.9131</v>
      </c>
      <c r="J743" s="53">
        <f t="shared" ca="1" si="106"/>
        <v>717932046519.13843</v>
      </c>
      <c r="K743" s="54">
        <f t="shared" ca="1" si="107"/>
        <v>4.3097250421797844</v>
      </c>
    </row>
    <row r="744" spans="2:11" ht="15" customHeight="1" x14ac:dyDescent="0.35">
      <c r="B744" s="5">
        <v>723</v>
      </c>
      <c r="C744" s="52">
        <f t="shared" ca="1" si="99"/>
        <v>2.9109540254105926</v>
      </c>
      <c r="D744" s="53">
        <f t="shared" ca="1" si="100"/>
        <v>4801006865.4254227</v>
      </c>
      <c r="E744" s="53">
        <f t="shared" ca="1" si="101"/>
        <v>4852611604543.8076</v>
      </c>
      <c r="F744" s="53">
        <f t="shared" ca="1" si="102"/>
        <v>4333155271505.5557</v>
      </c>
      <c r="G744" s="53">
        <f t="shared" ca="1" si="103"/>
        <v>65347434821441.039</v>
      </c>
      <c r="H744" s="53">
        <f t="shared" ca="1" si="104"/>
        <v>4852611604543.8076</v>
      </c>
      <c r="I744" s="53">
        <f t="shared" ca="1" si="105"/>
        <v>12805383641218.127</v>
      </c>
      <c r="J744" s="53">
        <f t="shared" ca="1" si="106"/>
        <v>989665227203.15479</v>
      </c>
      <c r="K744" s="54">
        <f t="shared" ca="1" si="107"/>
        <v>12.939106365701869</v>
      </c>
    </row>
    <row r="745" spans="2:11" ht="15" customHeight="1" x14ac:dyDescent="0.35">
      <c r="B745" s="5">
        <v>724</v>
      </c>
      <c r="C745" s="52">
        <f t="shared" ca="1" si="99"/>
        <v>3.7849240684988121</v>
      </c>
      <c r="D745" s="53">
        <f t="shared" ca="1" si="100"/>
        <v>15854762848.096994</v>
      </c>
      <c r="E745" s="53">
        <f t="shared" ca="1" si="101"/>
        <v>21634244170838.008</v>
      </c>
      <c r="F745" s="53">
        <f t="shared" ca="1" si="102"/>
        <v>3110513289905.4565</v>
      </c>
      <c r="G745" s="53">
        <f t="shared" ca="1" si="103"/>
        <v>3185662136208.0439</v>
      </c>
      <c r="H745" s="53">
        <f t="shared" ca="1" si="104"/>
        <v>3110513289905.4565</v>
      </c>
      <c r="I745" s="53">
        <f t="shared" ca="1" si="105"/>
        <v>2118991548593.7544</v>
      </c>
      <c r="J745" s="53">
        <f t="shared" ca="1" si="106"/>
        <v>1267491066062.9392</v>
      </c>
      <c r="K745" s="54">
        <f t="shared" ca="1" si="107"/>
        <v>1.671799987652562</v>
      </c>
    </row>
    <row r="746" spans="2:11" ht="15" customHeight="1" x14ac:dyDescent="0.35">
      <c r="B746" s="5">
        <v>725</v>
      </c>
      <c r="C746" s="52">
        <f t="shared" ca="1" si="99"/>
        <v>2.2863259213450782</v>
      </c>
      <c r="D746" s="53">
        <f t="shared" ca="1" si="100"/>
        <v>1090038355.8347368</v>
      </c>
      <c r="E746" s="53">
        <f t="shared" ca="1" si="101"/>
        <v>6456492396222.4883</v>
      </c>
      <c r="F746" s="53">
        <f t="shared" ca="1" si="102"/>
        <v>2290686968632.4258</v>
      </c>
      <c r="G746" s="53">
        <f t="shared" ca="1" si="103"/>
        <v>8140438900473.3037</v>
      </c>
      <c r="H746" s="53">
        <f t="shared" ca="1" si="104"/>
        <v>6456492396222.4883</v>
      </c>
      <c r="I746" s="53">
        <f t="shared" ca="1" si="105"/>
        <v>1495448325275.0227</v>
      </c>
      <c r="J746" s="53">
        <f t="shared" ca="1" si="106"/>
        <v>1279342579199.8999</v>
      </c>
      <c r="K746" s="54">
        <f t="shared" ca="1" si="107"/>
        <v>1.1689193728002669</v>
      </c>
    </row>
    <row r="747" spans="2:11" ht="15" customHeight="1" x14ac:dyDescent="0.35">
      <c r="B747" s="5">
        <v>726</v>
      </c>
      <c r="C747" s="52">
        <f t="shared" ca="1" si="99"/>
        <v>3.2670544777740327</v>
      </c>
      <c r="D747" s="53">
        <f t="shared" ca="1" si="100"/>
        <v>8359517514.612422</v>
      </c>
      <c r="E747" s="53">
        <f t="shared" ca="1" si="101"/>
        <v>112136915550315.39</v>
      </c>
      <c r="F747" s="53">
        <f t="shared" ca="1" si="102"/>
        <v>3586961044968.0967</v>
      </c>
      <c r="G747" s="53">
        <f t="shared" ca="1" si="103"/>
        <v>58350926237038.016</v>
      </c>
      <c r="H747" s="53">
        <f t="shared" ca="1" si="104"/>
        <v>3586961044968.0967</v>
      </c>
      <c r="I747" s="53">
        <f t="shared" ca="1" si="105"/>
        <v>4120310993265.8281</v>
      </c>
      <c r="J747" s="53">
        <f t="shared" ca="1" si="106"/>
        <v>1191249636484.3325</v>
      </c>
      <c r="K747" s="54">
        <f t="shared" ca="1" si="107"/>
        <v>3.4588140613632152</v>
      </c>
    </row>
    <row r="748" spans="2:11" ht="15" customHeight="1" x14ac:dyDescent="0.35">
      <c r="B748" s="5">
        <v>727</v>
      </c>
      <c r="C748" s="52">
        <f t="shared" ca="1" si="99"/>
        <v>2.5473705680406491</v>
      </c>
      <c r="D748" s="53">
        <f t="shared" ca="1" si="100"/>
        <v>1780361159.2320082</v>
      </c>
      <c r="E748" s="53">
        <f t="shared" ca="1" si="101"/>
        <v>1250785879278.2466</v>
      </c>
      <c r="F748" s="53">
        <f t="shared" ca="1" si="102"/>
        <v>588108197726.34094</v>
      </c>
      <c r="G748" s="53">
        <f t="shared" ca="1" si="103"/>
        <v>1969681662145.02</v>
      </c>
      <c r="H748" s="53">
        <f t="shared" ca="1" si="104"/>
        <v>1250785879278.2466</v>
      </c>
      <c r="I748" s="53">
        <f t="shared" ca="1" si="105"/>
        <v>16604082131939.063</v>
      </c>
      <c r="J748" s="53">
        <f t="shared" ca="1" si="106"/>
        <v>583351915946.07556</v>
      </c>
      <c r="K748" s="54">
        <f t="shared" ca="1" si="107"/>
        <v>28.46323407545631</v>
      </c>
    </row>
    <row r="749" spans="2:11" ht="15" customHeight="1" x14ac:dyDescent="0.35">
      <c r="B749" s="5">
        <v>728</v>
      </c>
      <c r="C749" s="52">
        <f t="shared" ca="1" si="99"/>
        <v>2.5065136387506524</v>
      </c>
      <c r="D749" s="53">
        <f t="shared" ca="1" si="100"/>
        <v>1962769476.9595683</v>
      </c>
      <c r="E749" s="53">
        <f t="shared" ca="1" si="101"/>
        <v>6040244359853.7148</v>
      </c>
      <c r="F749" s="53">
        <f t="shared" ca="1" si="102"/>
        <v>7736752112787.1992</v>
      </c>
      <c r="G749" s="53">
        <f t="shared" ca="1" si="103"/>
        <v>9240502082025.0938</v>
      </c>
      <c r="H749" s="53">
        <f t="shared" ca="1" si="104"/>
        <v>7736752112787.1992</v>
      </c>
      <c r="I749" s="53">
        <f t="shared" ca="1" si="105"/>
        <v>5703260914009.708</v>
      </c>
      <c r="J749" s="53">
        <f t="shared" ca="1" si="106"/>
        <v>858367080944.24817</v>
      </c>
      <c r="K749" s="54">
        <f t="shared" ca="1" si="107"/>
        <v>6.6443145836112754</v>
      </c>
    </row>
    <row r="750" spans="2:11" ht="15" customHeight="1" x14ac:dyDescent="0.35">
      <c r="B750" s="5">
        <v>729</v>
      </c>
      <c r="C750" s="52">
        <f t="shared" ca="1" si="99"/>
        <v>3.1179901101608851</v>
      </c>
      <c r="D750" s="53">
        <f t="shared" ca="1" si="100"/>
        <v>6226394834.452158</v>
      </c>
      <c r="E750" s="53">
        <f t="shared" ca="1" si="101"/>
        <v>52449271349750.703</v>
      </c>
      <c r="F750" s="53">
        <f t="shared" ca="1" si="102"/>
        <v>1660720626187.802</v>
      </c>
      <c r="G750" s="53">
        <f t="shared" ca="1" si="103"/>
        <v>68919124769672.063</v>
      </c>
      <c r="H750" s="53">
        <f t="shared" ca="1" si="104"/>
        <v>52449271349750.703</v>
      </c>
      <c r="I750" s="53">
        <f t="shared" ca="1" si="105"/>
        <v>3601964364551.3403</v>
      </c>
      <c r="J750" s="53">
        <f t="shared" ca="1" si="106"/>
        <v>585980773364.84119</v>
      </c>
      <c r="K750" s="54">
        <f t="shared" ca="1" si="107"/>
        <v>6.1468985473158151</v>
      </c>
    </row>
    <row r="751" spans="2:11" ht="15" customHeight="1" x14ac:dyDescent="0.35">
      <c r="B751" s="5">
        <v>730</v>
      </c>
      <c r="C751" s="52">
        <f t="shared" ca="1" si="99"/>
        <v>2.9692000520033943</v>
      </c>
      <c r="D751" s="53">
        <f t="shared" ca="1" si="100"/>
        <v>3939432555.4479389</v>
      </c>
      <c r="E751" s="53">
        <f t="shared" ca="1" si="101"/>
        <v>19882400037824.621</v>
      </c>
      <c r="F751" s="53">
        <f t="shared" ca="1" si="102"/>
        <v>4089879087279.7021</v>
      </c>
      <c r="G751" s="53">
        <f t="shared" ca="1" si="103"/>
        <v>806795664255.29614</v>
      </c>
      <c r="H751" s="53">
        <f t="shared" ca="1" si="104"/>
        <v>19882400037824.621</v>
      </c>
      <c r="I751" s="53">
        <f t="shared" ca="1" si="105"/>
        <v>3292704259528.6162</v>
      </c>
      <c r="J751" s="53">
        <f t="shared" ca="1" si="106"/>
        <v>1359235594014.9004</v>
      </c>
      <c r="K751" s="54">
        <f t="shared" ca="1" si="107"/>
        <v>2.4224676531627969</v>
      </c>
    </row>
    <row r="752" spans="2:11" ht="15" customHeight="1" x14ac:dyDescent="0.35">
      <c r="B752" s="5">
        <v>731</v>
      </c>
      <c r="C752" s="52">
        <f t="shared" ca="1" si="99"/>
        <v>2.921399857453447</v>
      </c>
      <c r="D752" s="53">
        <f t="shared" ca="1" si="100"/>
        <v>3574489075.2730894</v>
      </c>
      <c r="E752" s="53">
        <f t="shared" ca="1" si="101"/>
        <v>10818145931677.115</v>
      </c>
      <c r="F752" s="53">
        <f t="shared" ca="1" si="102"/>
        <v>2191564399873.406</v>
      </c>
      <c r="G752" s="53">
        <f t="shared" ca="1" si="103"/>
        <v>9724783615500.3477</v>
      </c>
      <c r="H752" s="53">
        <f t="shared" ca="1" si="104"/>
        <v>9724783615500.3477</v>
      </c>
      <c r="I752" s="53">
        <f t="shared" ca="1" si="105"/>
        <v>48428008704828.563</v>
      </c>
      <c r="J752" s="53">
        <f t="shared" ca="1" si="106"/>
        <v>619555012271.36865</v>
      </c>
      <c r="K752" s="54">
        <f t="shared" ca="1" si="107"/>
        <v>78.165792779700439</v>
      </c>
    </row>
    <row r="753" spans="2:11" ht="15" customHeight="1" x14ac:dyDescent="0.35">
      <c r="B753" s="5">
        <v>732</v>
      </c>
      <c r="C753" s="52">
        <f t="shared" ca="1" si="99"/>
        <v>3.1485120941168527</v>
      </c>
      <c r="D753" s="53">
        <f t="shared" ca="1" si="100"/>
        <v>5352764704.4506235</v>
      </c>
      <c r="E753" s="53">
        <f t="shared" ca="1" si="101"/>
        <v>92912102016111.469</v>
      </c>
      <c r="F753" s="53">
        <f t="shared" ca="1" si="102"/>
        <v>6425522119922.2793</v>
      </c>
      <c r="G753" s="53">
        <f t="shared" ca="1" si="103"/>
        <v>2867411122500.4692</v>
      </c>
      <c r="H753" s="53">
        <f t="shared" ca="1" si="104"/>
        <v>6425522119922.2793</v>
      </c>
      <c r="I753" s="53">
        <f t="shared" ca="1" si="105"/>
        <v>90574712031649.563</v>
      </c>
      <c r="J753" s="53">
        <f t="shared" ca="1" si="106"/>
        <v>914081370685.5896</v>
      </c>
      <c r="K753" s="54">
        <f t="shared" ca="1" si="107"/>
        <v>99.088237586239941</v>
      </c>
    </row>
    <row r="754" spans="2:11" ht="15" customHeight="1" x14ac:dyDescent="0.35">
      <c r="B754" s="5">
        <v>733</v>
      </c>
      <c r="C754" s="52">
        <f t="shared" ca="1" si="99"/>
        <v>3.5703534296104351</v>
      </c>
      <c r="D754" s="53">
        <f t="shared" ca="1" si="100"/>
        <v>11122937601.727922</v>
      </c>
      <c r="E754" s="53">
        <f t="shared" ca="1" si="101"/>
        <v>79807252408787.969</v>
      </c>
      <c r="F754" s="53">
        <f t="shared" ca="1" si="102"/>
        <v>2916626826363.1318</v>
      </c>
      <c r="G754" s="53">
        <f t="shared" ca="1" si="103"/>
        <v>47968313514204.258</v>
      </c>
      <c r="H754" s="53">
        <f t="shared" ca="1" si="104"/>
        <v>47968313514204.258</v>
      </c>
      <c r="I754" s="53">
        <f t="shared" ca="1" si="105"/>
        <v>7296878169100.7168</v>
      </c>
      <c r="J754" s="53">
        <f t="shared" ca="1" si="106"/>
        <v>1798656223711.666</v>
      </c>
      <c r="K754" s="54">
        <f t="shared" ca="1" si="107"/>
        <v>4.0568498153821997</v>
      </c>
    </row>
    <row r="755" spans="2:11" ht="15" customHeight="1" x14ac:dyDescent="0.35">
      <c r="B755" s="5">
        <v>734</v>
      </c>
      <c r="C755" s="52">
        <f t="shared" ca="1" si="99"/>
        <v>4.3498157309824936</v>
      </c>
      <c r="D755" s="53">
        <f t="shared" ca="1" si="100"/>
        <v>26859836168.113728</v>
      </c>
      <c r="E755" s="53">
        <f t="shared" ca="1" si="101"/>
        <v>174112785219242.97</v>
      </c>
      <c r="F755" s="53">
        <f t="shared" ca="1" si="102"/>
        <v>5267378321338.5977</v>
      </c>
      <c r="G755" s="53">
        <f t="shared" ca="1" si="103"/>
        <v>675435335422.30066</v>
      </c>
      <c r="H755" s="53">
        <f t="shared" ca="1" si="104"/>
        <v>5267378321338.5977</v>
      </c>
      <c r="I755" s="53">
        <f t="shared" ca="1" si="105"/>
        <v>5599600950004.8271</v>
      </c>
      <c r="J755" s="53">
        <f t="shared" ca="1" si="106"/>
        <v>832532509486.18616</v>
      </c>
      <c r="K755" s="54">
        <f t="shared" ca="1" si="107"/>
        <v>6.7259847347711759</v>
      </c>
    </row>
    <row r="756" spans="2:11" ht="15" customHeight="1" x14ac:dyDescent="0.35">
      <c r="B756" s="5">
        <v>735</v>
      </c>
      <c r="C756" s="52">
        <f t="shared" ca="1" si="99"/>
        <v>3.1300824546694344</v>
      </c>
      <c r="D756" s="53">
        <f t="shared" ca="1" si="100"/>
        <v>5568860854.3655539</v>
      </c>
      <c r="E756" s="53">
        <f t="shared" ca="1" si="101"/>
        <v>27381294532175.441</v>
      </c>
      <c r="F756" s="53">
        <f t="shared" ca="1" si="102"/>
        <v>7555346079746.5879</v>
      </c>
      <c r="G756" s="53">
        <f t="shared" ca="1" si="103"/>
        <v>59230016652771.688</v>
      </c>
      <c r="H756" s="53">
        <f t="shared" ca="1" si="104"/>
        <v>27381294532175.441</v>
      </c>
      <c r="I756" s="53">
        <f t="shared" ca="1" si="105"/>
        <v>803075582046.30188</v>
      </c>
      <c r="J756" s="53">
        <f t="shared" ca="1" si="106"/>
        <v>676832914956.58093</v>
      </c>
      <c r="K756" s="54">
        <f t="shared" ca="1" si="107"/>
        <v>1.1865196923790555</v>
      </c>
    </row>
    <row r="757" spans="2:11" ht="15" customHeight="1" x14ac:dyDescent="0.35">
      <c r="B757" s="5">
        <v>736</v>
      </c>
      <c r="C757" s="52">
        <f t="shared" ca="1" si="99"/>
        <v>3.2262050380139176</v>
      </c>
      <c r="D757" s="53">
        <f t="shared" ca="1" si="100"/>
        <v>5700918812.5798569</v>
      </c>
      <c r="E757" s="53">
        <f t="shared" ca="1" si="101"/>
        <v>55999656963630.18</v>
      </c>
      <c r="F757" s="53">
        <f t="shared" ca="1" si="102"/>
        <v>1418343865863.9182</v>
      </c>
      <c r="G757" s="53">
        <f t="shared" ca="1" si="103"/>
        <v>9656596989818.5352</v>
      </c>
      <c r="H757" s="53">
        <f t="shared" ca="1" si="104"/>
        <v>55999656963630.18</v>
      </c>
      <c r="I757" s="53">
        <f t="shared" ca="1" si="105"/>
        <v>4761061290804.0801</v>
      </c>
      <c r="J757" s="53">
        <f t="shared" ca="1" si="106"/>
        <v>729902016882.18958</v>
      </c>
      <c r="K757" s="54">
        <f t="shared" ca="1" si="107"/>
        <v>6.5228772913125725</v>
      </c>
    </row>
    <row r="758" spans="2:11" ht="15" customHeight="1" x14ac:dyDescent="0.35">
      <c r="B758" s="5">
        <v>737</v>
      </c>
      <c r="C758" s="52">
        <f t="shared" ca="1" si="99"/>
        <v>2.6856813447509564</v>
      </c>
      <c r="D758" s="53">
        <f t="shared" ca="1" si="100"/>
        <v>2979408235.4191585</v>
      </c>
      <c r="E758" s="53">
        <f t="shared" ca="1" si="101"/>
        <v>10419848318077.25</v>
      </c>
      <c r="F758" s="53">
        <f t="shared" ca="1" si="102"/>
        <v>691465892785.23328</v>
      </c>
      <c r="G758" s="53">
        <f t="shared" ca="1" si="103"/>
        <v>183342678849.82275</v>
      </c>
      <c r="H758" s="53">
        <f t="shared" ca="1" si="104"/>
        <v>10419848318077.25</v>
      </c>
      <c r="I758" s="53">
        <f t="shared" ca="1" si="105"/>
        <v>6902644436638.1035</v>
      </c>
      <c r="J758" s="53">
        <f t="shared" ca="1" si="106"/>
        <v>1027022717608.2471</v>
      </c>
      <c r="K758" s="54">
        <f t="shared" ca="1" si="107"/>
        <v>6.7210241003364875</v>
      </c>
    </row>
    <row r="759" spans="2:11" ht="15" customHeight="1" x14ac:dyDescent="0.35">
      <c r="B759" s="5">
        <v>738</v>
      </c>
      <c r="C759" s="52">
        <f t="shared" ca="1" si="99"/>
        <v>3.1355761905897634</v>
      </c>
      <c r="D759" s="53">
        <f t="shared" ca="1" si="100"/>
        <v>7243548884.6063299</v>
      </c>
      <c r="E759" s="53">
        <f t="shared" ca="1" si="101"/>
        <v>10630837837114.535</v>
      </c>
      <c r="F759" s="53">
        <f t="shared" ca="1" si="102"/>
        <v>5004270334478.7607</v>
      </c>
      <c r="G759" s="53">
        <f t="shared" ca="1" si="103"/>
        <v>1192144076797.7983</v>
      </c>
      <c r="H759" s="53">
        <f t="shared" ca="1" si="104"/>
        <v>5004270334478.7607</v>
      </c>
      <c r="I759" s="53">
        <f t="shared" ca="1" si="105"/>
        <v>13099614852553.033</v>
      </c>
      <c r="J759" s="53">
        <f t="shared" ca="1" si="106"/>
        <v>706350656820.87585</v>
      </c>
      <c r="K759" s="54">
        <f t="shared" ca="1" si="107"/>
        <v>18.545484068085148</v>
      </c>
    </row>
    <row r="760" spans="2:11" ht="15" customHeight="1" x14ac:dyDescent="0.35">
      <c r="B760" s="5">
        <v>739</v>
      </c>
      <c r="C760" s="52">
        <f t="shared" ca="1" si="99"/>
        <v>2.6658567461478726</v>
      </c>
      <c r="D760" s="53">
        <f t="shared" ca="1" si="100"/>
        <v>2640873609.0456514</v>
      </c>
      <c r="E760" s="53">
        <f t="shared" ca="1" si="101"/>
        <v>26754022449452.586</v>
      </c>
      <c r="F760" s="53">
        <f t="shared" ca="1" si="102"/>
        <v>37271730882929.641</v>
      </c>
      <c r="G760" s="53">
        <f t="shared" ca="1" si="103"/>
        <v>9454857823287.0762</v>
      </c>
      <c r="H760" s="53">
        <f t="shared" ca="1" si="104"/>
        <v>9454857823287.0762</v>
      </c>
      <c r="I760" s="53">
        <f t="shared" ca="1" si="105"/>
        <v>5768114681207.7129</v>
      </c>
      <c r="J760" s="53">
        <f t="shared" ca="1" si="106"/>
        <v>1591659852272.9705</v>
      </c>
      <c r="K760" s="54">
        <f t="shared" ca="1" si="107"/>
        <v>3.623961911818379</v>
      </c>
    </row>
    <row r="761" spans="2:11" ht="15" customHeight="1" x14ac:dyDescent="0.35">
      <c r="B761" s="5">
        <v>740</v>
      </c>
      <c r="C761" s="52">
        <f t="shared" ca="1" si="99"/>
        <v>2.9184426178749212</v>
      </c>
      <c r="D761" s="53">
        <f t="shared" ca="1" si="100"/>
        <v>4504677373.9262877</v>
      </c>
      <c r="E761" s="53">
        <f t="shared" ca="1" si="101"/>
        <v>72386159560461.656</v>
      </c>
      <c r="F761" s="53">
        <f t="shared" ca="1" si="102"/>
        <v>3365888994690.3799</v>
      </c>
      <c r="G761" s="53">
        <f t="shared" ca="1" si="103"/>
        <v>661536630922.4281</v>
      </c>
      <c r="H761" s="53">
        <f t="shared" ca="1" si="104"/>
        <v>72386159560461.656</v>
      </c>
      <c r="I761" s="53">
        <f t="shared" ca="1" si="105"/>
        <v>2002252352327.1487</v>
      </c>
      <c r="J761" s="53">
        <f t="shared" ca="1" si="106"/>
        <v>1563318761947.439</v>
      </c>
      <c r="K761" s="54">
        <f t="shared" ca="1" si="107"/>
        <v>1.2807703720212036</v>
      </c>
    </row>
    <row r="762" spans="2:11" ht="15" customHeight="1" x14ac:dyDescent="0.35">
      <c r="B762" s="5">
        <v>741</v>
      </c>
      <c r="C762" s="52">
        <f t="shared" ca="1" si="99"/>
        <v>3.7075392970500434</v>
      </c>
      <c r="D762" s="53">
        <f t="shared" ca="1" si="100"/>
        <v>16428143229.918293</v>
      </c>
      <c r="E762" s="53">
        <f t="shared" ca="1" si="101"/>
        <v>193710589619533.13</v>
      </c>
      <c r="F762" s="53">
        <f t="shared" ca="1" si="102"/>
        <v>9407902339470.7578</v>
      </c>
      <c r="G762" s="53">
        <f t="shared" ca="1" si="103"/>
        <v>9175752931450.2324</v>
      </c>
      <c r="H762" s="53">
        <f t="shared" ca="1" si="104"/>
        <v>9407902339470.7578</v>
      </c>
      <c r="I762" s="53">
        <f t="shared" ca="1" si="105"/>
        <v>13707820755134.271</v>
      </c>
      <c r="J762" s="53">
        <f t="shared" ca="1" si="106"/>
        <v>1625002318479.344</v>
      </c>
      <c r="K762" s="54">
        <f t="shared" ca="1" si="107"/>
        <v>8.4355699676551055</v>
      </c>
    </row>
    <row r="763" spans="2:11" ht="15" customHeight="1" x14ac:dyDescent="0.35">
      <c r="B763" s="5">
        <v>742</v>
      </c>
      <c r="C763" s="52">
        <f t="shared" ca="1" si="99"/>
        <v>3.6457997749707873</v>
      </c>
      <c r="D763" s="53">
        <f t="shared" ca="1" si="100"/>
        <v>14975449747.797667</v>
      </c>
      <c r="E763" s="53">
        <f t="shared" ca="1" si="101"/>
        <v>13509072118292.676</v>
      </c>
      <c r="F763" s="53">
        <f t="shared" ca="1" si="102"/>
        <v>4005985219261.5991</v>
      </c>
      <c r="G763" s="53">
        <f t="shared" ca="1" si="103"/>
        <v>609572932690.91443</v>
      </c>
      <c r="H763" s="53">
        <f t="shared" ca="1" si="104"/>
        <v>13509072118292.676</v>
      </c>
      <c r="I763" s="53">
        <f t="shared" ca="1" si="105"/>
        <v>9330949465511.4434</v>
      </c>
      <c r="J763" s="53">
        <f t="shared" ca="1" si="106"/>
        <v>1402142887814.1606</v>
      </c>
      <c r="K763" s="54">
        <f t="shared" ca="1" si="107"/>
        <v>6.6547778736429057</v>
      </c>
    </row>
    <row r="764" spans="2:11" ht="15" customHeight="1" x14ac:dyDescent="0.35">
      <c r="B764" s="5">
        <v>743</v>
      </c>
      <c r="C764" s="52">
        <f t="shared" ca="1" si="99"/>
        <v>2.2684536878111174</v>
      </c>
      <c r="D764" s="53">
        <f t="shared" ca="1" si="100"/>
        <v>997435940.02453089</v>
      </c>
      <c r="E764" s="53">
        <f t="shared" ca="1" si="101"/>
        <v>1327030489586.2354</v>
      </c>
      <c r="F764" s="53">
        <f t="shared" ca="1" si="102"/>
        <v>2613075546122.708</v>
      </c>
      <c r="G764" s="53">
        <f t="shared" ca="1" si="103"/>
        <v>5217903345385.4746</v>
      </c>
      <c r="H764" s="53">
        <f t="shared" ca="1" si="104"/>
        <v>1327030489586.2354</v>
      </c>
      <c r="I764" s="53">
        <f t="shared" ca="1" si="105"/>
        <v>25081775529335.605</v>
      </c>
      <c r="J764" s="53">
        <f t="shared" ca="1" si="106"/>
        <v>609252013270.75073</v>
      </c>
      <c r="K764" s="54">
        <f t="shared" ca="1" si="107"/>
        <v>41.168145501374489</v>
      </c>
    </row>
    <row r="765" spans="2:11" ht="15" customHeight="1" x14ac:dyDescent="0.35">
      <c r="B765" s="5">
        <v>744</v>
      </c>
      <c r="C765" s="52">
        <f t="shared" ca="1" si="99"/>
        <v>2.8737396727680435</v>
      </c>
      <c r="D765" s="53">
        <f t="shared" ca="1" si="100"/>
        <v>3662156321.9189863</v>
      </c>
      <c r="E765" s="53">
        <f t="shared" ca="1" si="101"/>
        <v>12045202727294.885</v>
      </c>
      <c r="F765" s="53">
        <f t="shared" ca="1" si="102"/>
        <v>6827693399410.8975</v>
      </c>
      <c r="G765" s="53">
        <f t="shared" ca="1" si="103"/>
        <v>2653075276431.8179</v>
      </c>
      <c r="H765" s="53">
        <f t="shared" ca="1" si="104"/>
        <v>12045202727294.885</v>
      </c>
      <c r="I765" s="53">
        <f t="shared" ca="1" si="105"/>
        <v>140457388779921.03</v>
      </c>
      <c r="J765" s="53">
        <f t="shared" ca="1" si="106"/>
        <v>1012390995470.1036</v>
      </c>
      <c r="K765" s="54">
        <f t="shared" ca="1" si="107"/>
        <v>138.73828333953094</v>
      </c>
    </row>
    <row r="766" spans="2:11" ht="15" customHeight="1" x14ac:dyDescent="0.35">
      <c r="B766" s="5">
        <v>745</v>
      </c>
      <c r="C766" s="52">
        <f t="shared" ca="1" si="99"/>
        <v>3.0794242192889598</v>
      </c>
      <c r="D766" s="53">
        <f t="shared" ca="1" si="100"/>
        <v>5620332675.7913704</v>
      </c>
      <c r="E766" s="53">
        <f t="shared" ca="1" si="101"/>
        <v>9239907576215.3145</v>
      </c>
      <c r="F766" s="53">
        <f t="shared" ca="1" si="102"/>
        <v>5737639080252.6436</v>
      </c>
      <c r="G766" s="53">
        <f t="shared" ca="1" si="103"/>
        <v>104333308993595.77</v>
      </c>
      <c r="H766" s="53">
        <f t="shared" ca="1" si="104"/>
        <v>104333308993595.77</v>
      </c>
      <c r="I766" s="53">
        <f t="shared" ca="1" si="105"/>
        <v>67724478035204.344</v>
      </c>
      <c r="J766" s="53">
        <f t="shared" ca="1" si="106"/>
        <v>773916661152.2384</v>
      </c>
      <c r="K766" s="54">
        <f t="shared" ca="1" si="107"/>
        <v>87.508747950164818</v>
      </c>
    </row>
    <row r="767" spans="2:11" ht="15" customHeight="1" x14ac:dyDescent="0.35">
      <c r="B767" s="5">
        <v>746</v>
      </c>
      <c r="C767" s="52">
        <f t="shared" ca="1" si="99"/>
        <v>3.2849155977681166</v>
      </c>
      <c r="D767" s="53">
        <f t="shared" ca="1" si="100"/>
        <v>8359107020.6336565</v>
      </c>
      <c r="E767" s="53">
        <f t="shared" ca="1" si="101"/>
        <v>78364565942045.406</v>
      </c>
      <c r="F767" s="53">
        <f t="shared" ca="1" si="102"/>
        <v>1708840936155.0281</v>
      </c>
      <c r="G767" s="53">
        <f t="shared" ca="1" si="103"/>
        <v>33201324034126.605</v>
      </c>
      <c r="H767" s="53">
        <f t="shared" ca="1" si="104"/>
        <v>78364565942045.406</v>
      </c>
      <c r="I767" s="53">
        <f t="shared" ca="1" si="105"/>
        <v>7660970001810.1221</v>
      </c>
      <c r="J767" s="53">
        <f t="shared" ca="1" si="106"/>
        <v>1031243323859.4166</v>
      </c>
      <c r="K767" s="54">
        <f t="shared" ca="1" si="107"/>
        <v>7.4288674889443431</v>
      </c>
    </row>
    <row r="768" spans="2:11" ht="15" customHeight="1" x14ac:dyDescent="0.35">
      <c r="B768" s="5">
        <v>747</v>
      </c>
      <c r="C768" s="52">
        <f t="shared" ca="1" si="99"/>
        <v>2.6614858304752236</v>
      </c>
      <c r="D768" s="53">
        <f t="shared" ca="1" si="100"/>
        <v>3197651065.2230644</v>
      </c>
      <c r="E768" s="53">
        <f t="shared" ca="1" si="101"/>
        <v>4514900360306.4697</v>
      </c>
      <c r="F768" s="53">
        <f t="shared" ca="1" si="102"/>
        <v>788283901762.45618</v>
      </c>
      <c r="G768" s="53">
        <f t="shared" ca="1" si="103"/>
        <v>11916956578256.555</v>
      </c>
      <c r="H768" s="53">
        <f t="shared" ca="1" si="104"/>
        <v>788283901762.45618</v>
      </c>
      <c r="I768" s="53">
        <f t="shared" ca="1" si="105"/>
        <v>11677868580915.979</v>
      </c>
      <c r="J768" s="53">
        <f t="shared" ca="1" si="106"/>
        <v>731946105845.62964</v>
      </c>
      <c r="K768" s="54">
        <f t="shared" ca="1" si="107"/>
        <v>15.954547046089329</v>
      </c>
    </row>
    <row r="769" spans="2:11" ht="15" customHeight="1" x14ac:dyDescent="0.35">
      <c r="B769" s="5">
        <v>748</v>
      </c>
      <c r="C769" s="52">
        <f t="shared" ca="1" si="99"/>
        <v>2.8229474225123097</v>
      </c>
      <c r="D769" s="53">
        <f t="shared" ca="1" si="100"/>
        <v>3935638022.1048474</v>
      </c>
      <c r="E769" s="53">
        <f t="shared" ca="1" si="101"/>
        <v>20973513590509.746</v>
      </c>
      <c r="F769" s="53">
        <f t="shared" ca="1" si="102"/>
        <v>1374796022209.9106</v>
      </c>
      <c r="G769" s="53">
        <f t="shared" ca="1" si="103"/>
        <v>5305370836600.9971</v>
      </c>
      <c r="H769" s="53">
        <f t="shared" ca="1" si="104"/>
        <v>1374796022209.9106</v>
      </c>
      <c r="I769" s="53">
        <f t="shared" ca="1" si="105"/>
        <v>1587829939170.0051</v>
      </c>
      <c r="J769" s="53">
        <f t="shared" ca="1" si="106"/>
        <v>807387750925.17896</v>
      </c>
      <c r="K769" s="54">
        <f t="shared" ca="1" si="107"/>
        <v>1.9666262429056223</v>
      </c>
    </row>
    <row r="770" spans="2:11" ht="15" customHeight="1" x14ac:dyDescent="0.35">
      <c r="B770" s="5">
        <v>749</v>
      </c>
      <c r="C770" s="52">
        <f t="shared" ca="1" si="99"/>
        <v>3.8991008524659594</v>
      </c>
      <c r="D770" s="53">
        <f t="shared" ca="1" si="100"/>
        <v>14736622535.333681</v>
      </c>
      <c r="E770" s="53">
        <f t="shared" ca="1" si="101"/>
        <v>80090664225593.234</v>
      </c>
      <c r="F770" s="53">
        <f t="shared" ca="1" si="102"/>
        <v>742919551083.89832</v>
      </c>
      <c r="G770" s="53">
        <f t="shared" ca="1" si="103"/>
        <v>24381477971304.387</v>
      </c>
      <c r="H770" s="53">
        <f t="shared" ca="1" si="104"/>
        <v>742919551083.89832</v>
      </c>
      <c r="I770" s="53">
        <f t="shared" ca="1" si="105"/>
        <v>9767205354453.9297</v>
      </c>
      <c r="J770" s="53">
        <f t="shared" ca="1" si="106"/>
        <v>1054566948605.0294</v>
      </c>
      <c r="K770" s="54">
        <f t="shared" ca="1" si="107"/>
        <v>9.2618163004007386</v>
      </c>
    </row>
    <row r="771" spans="2:11" ht="15" customHeight="1" x14ac:dyDescent="0.35">
      <c r="B771" s="5">
        <v>750</v>
      </c>
      <c r="C771" s="52">
        <f t="shared" ca="1" si="99"/>
        <v>3.3631344250532229</v>
      </c>
      <c r="D771" s="53">
        <f t="shared" ca="1" si="100"/>
        <v>7370471128.3523741</v>
      </c>
      <c r="E771" s="53">
        <f t="shared" ca="1" si="101"/>
        <v>65898510285692.109</v>
      </c>
      <c r="F771" s="53">
        <f t="shared" ca="1" si="102"/>
        <v>4301448090282.3589</v>
      </c>
      <c r="G771" s="53">
        <f t="shared" ca="1" si="103"/>
        <v>14780835781224.613</v>
      </c>
      <c r="H771" s="53">
        <f t="shared" ca="1" si="104"/>
        <v>65898510285692.109</v>
      </c>
      <c r="I771" s="53">
        <f t="shared" ca="1" si="105"/>
        <v>6183247987747.2773</v>
      </c>
      <c r="J771" s="53">
        <f t="shared" ca="1" si="106"/>
        <v>880738664011.59985</v>
      </c>
      <c r="K771" s="54">
        <f t="shared" ca="1" si="107"/>
        <v>7.0205252027698428</v>
      </c>
    </row>
    <row r="772" spans="2:11" ht="15" customHeight="1" x14ac:dyDescent="0.35">
      <c r="B772" s="5">
        <v>751</v>
      </c>
      <c r="C772" s="52">
        <f t="shared" ca="1" si="99"/>
        <v>3.6133960123605302</v>
      </c>
      <c r="D772" s="53">
        <f t="shared" ca="1" si="100"/>
        <v>11396398532.822626</v>
      </c>
      <c r="E772" s="53">
        <f t="shared" ca="1" si="101"/>
        <v>58728387800309.633</v>
      </c>
      <c r="F772" s="53">
        <f t="shared" ca="1" si="102"/>
        <v>2742011710995.0029</v>
      </c>
      <c r="G772" s="53">
        <f t="shared" ca="1" si="103"/>
        <v>3030813515487.6157</v>
      </c>
      <c r="H772" s="53">
        <f t="shared" ca="1" si="104"/>
        <v>3030813515487.6157</v>
      </c>
      <c r="I772" s="53">
        <f t="shared" ca="1" si="105"/>
        <v>15969660676142.887</v>
      </c>
      <c r="J772" s="53">
        <f t="shared" ca="1" si="106"/>
        <v>586898809776.88501</v>
      </c>
      <c r="K772" s="54">
        <f t="shared" ca="1" si="107"/>
        <v>27.210245463291876</v>
      </c>
    </row>
    <row r="773" spans="2:11" ht="15" customHeight="1" x14ac:dyDescent="0.35">
      <c r="B773" s="5">
        <v>752</v>
      </c>
      <c r="C773" s="52">
        <f t="shared" ca="1" si="99"/>
        <v>2.7796538454847113</v>
      </c>
      <c r="D773" s="53">
        <f t="shared" ca="1" si="100"/>
        <v>3948656143.5125318</v>
      </c>
      <c r="E773" s="53">
        <f t="shared" ca="1" si="101"/>
        <v>5645149601779.1133</v>
      </c>
      <c r="F773" s="53">
        <f t="shared" ca="1" si="102"/>
        <v>3717401293759.394</v>
      </c>
      <c r="G773" s="53">
        <f t="shared" ca="1" si="103"/>
        <v>3318173329862.1294</v>
      </c>
      <c r="H773" s="53">
        <f t="shared" ca="1" si="104"/>
        <v>3717401293759.394</v>
      </c>
      <c r="I773" s="53">
        <f t="shared" ca="1" si="105"/>
        <v>1906746126891.9736</v>
      </c>
      <c r="J773" s="53">
        <f t="shared" ca="1" si="106"/>
        <v>1192500506368.1965</v>
      </c>
      <c r="K773" s="54">
        <f t="shared" ca="1" si="107"/>
        <v>1.5989478551242196</v>
      </c>
    </row>
    <row r="774" spans="2:11" ht="15" customHeight="1" x14ac:dyDescent="0.35">
      <c r="B774" s="5">
        <v>753</v>
      </c>
      <c r="C774" s="52">
        <f t="shared" ca="1" si="99"/>
        <v>4.3172436094060807</v>
      </c>
      <c r="D774" s="53">
        <f t="shared" ca="1" si="100"/>
        <v>26708635156.210171</v>
      </c>
      <c r="E774" s="53">
        <f t="shared" ca="1" si="101"/>
        <v>41499469084626.805</v>
      </c>
      <c r="F774" s="53">
        <f t="shared" ca="1" si="102"/>
        <v>11821714949185.729</v>
      </c>
      <c r="G774" s="53">
        <f t="shared" ca="1" si="103"/>
        <v>672237377826.77161</v>
      </c>
      <c r="H774" s="53">
        <f t="shared" ca="1" si="104"/>
        <v>11821714949185.729</v>
      </c>
      <c r="I774" s="53">
        <f t="shared" ca="1" si="105"/>
        <v>43332477920749.93</v>
      </c>
      <c r="J774" s="53">
        <f t="shared" ca="1" si="106"/>
        <v>570742495803.41309</v>
      </c>
      <c r="K774" s="54">
        <f t="shared" ca="1" si="107"/>
        <v>75.922991961116196</v>
      </c>
    </row>
    <row r="775" spans="2:11" ht="15" customHeight="1" x14ac:dyDescent="0.35">
      <c r="B775" s="5">
        <v>754</v>
      </c>
      <c r="C775" s="52">
        <f t="shared" ca="1" si="99"/>
        <v>3.3518203340599402</v>
      </c>
      <c r="D775" s="53">
        <f t="shared" ca="1" si="100"/>
        <v>6962232261.7870226</v>
      </c>
      <c r="E775" s="53">
        <f t="shared" ca="1" si="101"/>
        <v>3380372323606.0361</v>
      </c>
      <c r="F775" s="53">
        <f t="shared" ca="1" si="102"/>
        <v>4714871398796.0137</v>
      </c>
      <c r="G775" s="53">
        <f t="shared" ca="1" si="103"/>
        <v>1967942940829.5928</v>
      </c>
      <c r="H775" s="53">
        <f t="shared" ca="1" si="104"/>
        <v>1967942940829.5928</v>
      </c>
      <c r="I775" s="53">
        <f t="shared" ca="1" si="105"/>
        <v>8796001268636.2129</v>
      </c>
      <c r="J775" s="53">
        <f t="shared" ca="1" si="106"/>
        <v>1026672587321.1592</v>
      </c>
      <c r="K775" s="54">
        <f t="shared" ca="1" si="107"/>
        <v>8.5674842956381454</v>
      </c>
    </row>
    <row r="776" spans="2:11" ht="15" customHeight="1" x14ac:dyDescent="0.35">
      <c r="B776" s="5">
        <v>755</v>
      </c>
      <c r="C776" s="52">
        <f t="shared" ca="1" si="99"/>
        <v>2.8223632718261471</v>
      </c>
      <c r="D776" s="53">
        <f t="shared" ca="1" si="100"/>
        <v>3394034000.1752672</v>
      </c>
      <c r="E776" s="53">
        <f t="shared" ca="1" si="101"/>
        <v>26619082501758.613</v>
      </c>
      <c r="F776" s="53">
        <f t="shared" ca="1" si="102"/>
        <v>4424929462830.6934</v>
      </c>
      <c r="G776" s="53">
        <f t="shared" ca="1" si="103"/>
        <v>8266832208884.5107</v>
      </c>
      <c r="H776" s="53">
        <f t="shared" ca="1" si="104"/>
        <v>4424929462830.6934</v>
      </c>
      <c r="I776" s="53">
        <f t="shared" ca="1" si="105"/>
        <v>348859092705.83368</v>
      </c>
      <c r="J776" s="53">
        <f t="shared" ca="1" si="106"/>
        <v>1350161869178.7168</v>
      </c>
      <c r="K776" s="54">
        <f t="shared" ca="1" si="107"/>
        <v>0.25838316180417642</v>
      </c>
    </row>
    <row r="777" spans="2:11" ht="15" customHeight="1" x14ac:dyDescent="0.35">
      <c r="B777" s="5">
        <v>756</v>
      </c>
      <c r="C777" s="52">
        <f t="shared" ca="1" si="99"/>
        <v>2.9005443336187247</v>
      </c>
      <c r="D777" s="53">
        <f t="shared" ca="1" si="100"/>
        <v>3712136641.3631225</v>
      </c>
      <c r="E777" s="53">
        <f t="shared" ca="1" si="101"/>
        <v>13305459392933.963</v>
      </c>
      <c r="F777" s="53">
        <f t="shared" ca="1" si="102"/>
        <v>2062078839617.9172</v>
      </c>
      <c r="G777" s="53">
        <f t="shared" ca="1" si="103"/>
        <v>435604996827.91394</v>
      </c>
      <c r="H777" s="53">
        <f t="shared" ca="1" si="104"/>
        <v>13305459392933.963</v>
      </c>
      <c r="I777" s="53">
        <f t="shared" ca="1" si="105"/>
        <v>733109873693.90491</v>
      </c>
      <c r="J777" s="53">
        <f t="shared" ca="1" si="106"/>
        <v>486367022431.55353</v>
      </c>
      <c r="K777" s="54">
        <f t="shared" ca="1" si="107"/>
        <v>1.5073182183051392</v>
      </c>
    </row>
    <row r="778" spans="2:11" ht="15" customHeight="1" x14ac:dyDescent="0.35">
      <c r="B778" s="5">
        <v>757</v>
      </c>
      <c r="C778" s="52">
        <f t="shared" ca="1" si="99"/>
        <v>2.4508810367166287</v>
      </c>
      <c r="D778" s="53">
        <f t="shared" ca="1" si="100"/>
        <v>2093703802.3587811</v>
      </c>
      <c r="E778" s="53">
        <f t="shared" ca="1" si="101"/>
        <v>18618728027455.074</v>
      </c>
      <c r="F778" s="53">
        <f t="shared" ca="1" si="102"/>
        <v>9236706805568.084</v>
      </c>
      <c r="G778" s="53">
        <f t="shared" ca="1" si="103"/>
        <v>1294856535694.7161</v>
      </c>
      <c r="H778" s="53">
        <f t="shared" ca="1" si="104"/>
        <v>1294856535694.7161</v>
      </c>
      <c r="I778" s="53">
        <f t="shared" ca="1" si="105"/>
        <v>4300789887001.625</v>
      </c>
      <c r="J778" s="53">
        <f t="shared" ca="1" si="106"/>
        <v>1160160509108.105</v>
      </c>
      <c r="K778" s="54">
        <f t="shared" ca="1" si="107"/>
        <v>3.7070645425674225</v>
      </c>
    </row>
    <row r="779" spans="2:11" ht="15" customHeight="1" x14ac:dyDescent="0.35">
      <c r="B779" s="5">
        <v>758</v>
      </c>
      <c r="C779" s="52">
        <f t="shared" ca="1" si="99"/>
        <v>3.2384082030151675</v>
      </c>
      <c r="D779" s="53">
        <f t="shared" ca="1" si="100"/>
        <v>7600047340.1292439</v>
      </c>
      <c r="E779" s="53">
        <f t="shared" ca="1" si="101"/>
        <v>52628337582674.406</v>
      </c>
      <c r="F779" s="53">
        <f t="shared" ca="1" si="102"/>
        <v>216996886301.06784</v>
      </c>
      <c r="G779" s="53">
        <f t="shared" ca="1" si="103"/>
        <v>126813287449527.03</v>
      </c>
      <c r="H779" s="53">
        <f t="shared" ca="1" si="104"/>
        <v>52628337582674.406</v>
      </c>
      <c r="I779" s="53">
        <f t="shared" ca="1" si="105"/>
        <v>22011956379479.004</v>
      </c>
      <c r="J779" s="53">
        <f t="shared" ca="1" si="106"/>
        <v>894205056762.99719</v>
      </c>
      <c r="K779" s="54">
        <f t="shared" ca="1" si="107"/>
        <v>24.616228920871691</v>
      </c>
    </row>
    <row r="780" spans="2:11" ht="15" customHeight="1" x14ac:dyDescent="0.35">
      <c r="B780" s="5">
        <v>759</v>
      </c>
      <c r="C780" s="52">
        <f t="shared" ca="1" si="99"/>
        <v>3.4248137419771645</v>
      </c>
      <c r="D780" s="53">
        <f t="shared" ca="1" si="100"/>
        <v>9272496590.2471447</v>
      </c>
      <c r="E780" s="53">
        <f t="shared" ca="1" si="101"/>
        <v>53320005657835.547</v>
      </c>
      <c r="F780" s="53">
        <f t="shared" ca="1" si="102"/>
        <v>3745911013420.5576</v>
      </c>
      <c r="G780" s="53">
        <f t="shared" ca="1" si="103"/>
        <v>8743080453556.0957</v>
      </c>
      <c r="H780" s="53">
        <f t="shared" ca="1" si="104"/>
        <v>3745911013420.5576</v>
      </c>
      <c r="I780" s="53">
        <f t="shared" ca="1" si="105"/>
        <v>33338329088359.871</v>
      </c>
      <c r="J780" s="53">
        <f t="shared" ca="1" si="106"/>
        <v>772153980359.69678</v>
      </c>
      <c r="K780" s="54">
        <f t="shared" ca="1" si="107"/>
        <v>43.175752422890696</v>
      </c>
    </row>
    <row r="781" spans="2:11" ht="15" customHeight="1" x14ac:dyDescent="0.35">
      <c r="B781" s="5">
        <v>760</v>
      </c>
      <c r="C781" s="52">
        <f t="shared" ca="1" si="99"/>
        <v>3.2857336301316225</v>
      </c>
      <c r="D781" s="53">
        <f t="shared" ca="1" si="100"/>
        <v>8994716644.6573715</v>
      </c>
      <c r="E781" s="53">
        <f t="shared" ca="1" si="101"/>
        <v>26927033595996.727</v>
      </c>
      <c r="F781" s="53">
        <f t="shared" ca="1" si="102"/>
        <v>2660718144077.3926</v>
      </c>
      <c r="G781" s="53">
        <f t="shared" ca="1" si="103"/>
        <v>7345469800985.6797</v>
      </c>
      <c r="H781" s="53">
        <f t="shared" ca="1" si="104"/>
        <v>7345469800985.6797</v>
      </c>
      <c r="I781" s="53">
        <f t="shared" ca="1" si="105"/>
        <v>1295094520018.957</v>
      </c>
      <c r="J781" s="53">
        <f t="shared" ca="1" si="106"/>
        <v>1424707251806.0696</v>
      </c>
      <c r="K781" s="54">
        <f t="shared" ca="1" si="107"/>
        <v>0.90902500733199376</v>
      </c>
    </row>
    <row r="782" spans="2:11" ht="15" customHeight="1" x14ac:dyDescent="0.35">
      <c r="B782" s="5">
        <v>761</v>
      </c>
      <c r="C782" s="52">
        <f t="shared" ca="1" si="99"/>
        <v>2.6061182119915425</v>
      </c>
      <c r="D782" s="53">
        <f t="shared" ca="1" si="100"/>
        <v>1976393378.4365761</v>
      </c>
      <c r="E782" s="53">
        <f t="shared" ca="1" si="101"/>
        <v>5426599271839.3945</v>
      </c>
      <c r="F782" s="53">
        <f t="shared" ca="1" si="102"/>
        <v>17677685211600.066</v>
      </c>
      <c r="G782" s="53">
        <f t="shared" ca="1" si="103"/>
        <v>15502250030964.02</v>
      </c>
      <c r="H782" s="53">
        <f t="shared" ca="1" si="104"/>
        <v>15502250030964.02</v>
      </c>
      <c r="I782" s="53">
        <f t="shared" ca="1" si="105"/>
        <v>54860534110126.375</v>
      </c>
      <c r="J782" s="53">
        <f t="shared" ca="1" si="106"/>
        <v>1049411169506.6617</v>
      </c>
      <c r="K782" s="54">
        <f t="shared" ca="1" si="107"/>
        <v>52.27744444145457</v>
      </c>
    </row>
    <row r="783" spans="2:11" ht="15" customHeight="1" x14ac:dyDescent="0.35">
      <c r="B783" s="5">
        <v>762</v>
      </c>
      <c r="C783" s="52">
        <f t="shared" ca="1" si="99"/>
        <v>2.5023603439965978</v>
      </c>
      <c r="D783" s="53">
        <f t="shared" ca="1" si="100"/>
        <v>2041608268.7429514</v>
      </c>
      <c r="E783" s="53">
        <f t="shared" ca="1" si="101"/>
        <v>4365348590097.0107</v>
      </c>
      <c r="F783" s="53">
        <f t="shared" ca="1" si="102"/>
        <v>5990756649814.4541</v>
      </c>
      <c r="G783" s="53">
        <f t="shared" ca="1" si="103"/>
        <v>11937736248390.799</v>
      </c>
      <c r="H783" s="53">
        <f t="shared" ca="1" si="104"/>
        <v>5990756649814.4541</v>
      </c>
      <c r="I783" s="53">
        <f t="shared" ca="1" si="105"/>
        <v>12864815532988.598</v>
      </c>
      <c r="J783" s="53">
        <f t="shared" ca="1" si="106"/>
        <v>913374077234.24438</v>
      </c>
      <c r="K783" s="54">
        <f t="shared" ca="1" si="107"/>
        <v>14.084936121620714</v>
      </c>
    </row>
    <row r="784" spans="2:11" ht="15" customHeight="1" x14ac:dyDescent="0.35">
      <c r="B784" s="5">
        <v>763</v>
      </c>
      <c r="C784" s="52">
        <f t="shared" ca="1" si="99"/>
        <v>1.8200430542512909</v>
      </c>
      <c r="D784" s="53">
        <f t="shared" ca="1" si="100"/>
        <v>438690984.36806053</v>
      </c>
      <c r="E784" s="53">
        <f t="shared" ca="1" si="101"/>
        <v>2816091477483.1602</v>
      </c>
      <c r="F784" s="53">
        <f t="shared" ca="1" si="102"/>
        <v>5605812383161.1768</v>
      </c>
      <c r="G784" s="53">
        <f t="shared" ca="1" si="103"/>
        <v>22957675221351.574</v>
      </c>
      <c r="H784" s="53">
        <f t="shared" ca="1" si="104"/>
        <v>22957675221351.574</v>
      </c>
      <c r="I784" s="53">
        <f t="shared" ca="1" si="105"/>
        <v>267272279605201.53</v>
      </c>
      <c r="J784" s="53">
        <f t="shared" ca="1" si="106"/>
        <v>1281795132611.5994</v>
      </c>
      <c r="K784" s="54">
        <f t="shared" ca="1" si="107"/>
        <v>208.51403848027289</v>
      </c>
    </row>
    <row r="785" spans="2:11" ht="15" customHeight="1" x14ac:dyDescent="0.35">
      <c r="B785" s="5">
        <v>764</v>
      </c>
      <c r="C785" s="52">
        <f t="shared" ca="1" si="99"/>
        <v>3.0004681143221958</v>
      </c>
      <c r="D785" s="53">
        <f t="shared" ca="1" si="100"/>
        <v>4999639111.143898</v>
      </c>
      <c r="E785" s="53">
        <f t="shared" ca="1" si="101"/>
        <v>2262131450501.2324</v>
      </c>
      <c r="F785" s="53">
        <f t="shared" ca="1" si="102"/>
        <v>3516374185582.7334</v>
      </c>
      <c r="G785" s="53">
        <f t="shared" ca="1" si="103"/>
        <v>1048003203477.3705</v>
      </c>
      <c r="H785" s="53">
        <f t="shared" ca="1" si="104"/>
        <v>2262131450501.2324</v>
      </c>
      <c r="I785" s="53">
        <f t="shared" ca="1" si="105"/>
        <v>2561306552305.0801</v>
      </c>
      <c r="J785" s="53">
        <f t="shared" ca="1" si="106"/>
        <v>941351391667.27942</v>
      </c>
      <c r="K785" s="54">
        <f t="shared" ca="1" si="107"/>
        <v>2.7208825258850564</v>
      </c>
    </row>
    <row r="786" spans="2:11" ht="15" customHeight="1" x14ac:dyDescent="0.35">
      <c r="B786" s="5">
        <v>765</v>
      </c>
      <c r="C786" s="52">
        <f t="shared" ca="1" si="99"/>
        <v>3.8244708784663253</v>
      </c>
      <c r="D786" s="53">
        <f t="shared" ca="1" si="100"/>
        <v>19398267573.26284</v>
      </c>
      <c r="E786" s="53">
        <f t="shared" ca="1" si="101"/>
        <v>157123355243152.19</v>
      </c>
      <c r="F786" s="53">
        <f t="shared" ca="1" si="102"/>
        <v>2136745340222.6702</v>
      </c>
      <c r="G786" s="53">
        <f t="shared" ca="1" si="103"/>
        <v>28985346925478.98</v>
      </c>
      <c r="H786" s="53">
        <f t="shared" ca="1" si="104"/>
        <v>157123355243152.19</v>
      </c>
      <c r="I786" s="53">
        <f t="shared" ca="1" si="105"/>
        <v>7303348682403.0195</v>
      </c>
      <c r="J786" s="53">
        <f t="shared" ca="1" si="106"/>
        <v>1173454657473.8938</v>
      </c>
      <c r="K786" s="54">
        <f t="shared" ca="1" si="107"/>
        <v>6.2238013508975305</v>
      </c>
    </row>
    <row r="787" spans="2:11" ht="15" customHeight="1" x14ac:dyDescent="0.35">
      <c r="B787" s="5">
        <v>766</v>
      </c>
      <c r="C787" s="52">
        <f t="shared" ca="1" si="99"/>
        <v>3.699110184169927</v>
      </c>
      <c r="D787" s="53">
        <f t="shared" ca="1" si="100"/>
        <v>11471576375.705515</v>
      </c>
      <c r="E787" s="53">
        <f t="shared" ca="1" si="101"/>
        <v>28021525714106.91</v>
      </c>
      <c r="F787" s="53">
        <f t="shared" ca="1" si="102"/>
        <v>1260118091649.1621</v>
      </c>
      <c r="G787" s="53">
        <f t="shared" ca="1" si="103"/>
        <v>895090808778.99744</v>
      </c>
      <c r="H787" s="53">
        <f t="shared" ca="1" si="104"/>
        <v>28021525714106.91</v>
      </c>
      <c r="I787" s="53">
        <f t="shared" ca="1" si="105"/>
        <v>17626559434797.395</v>
      </c>
      <c r="J787" s="53">
        <f t="shared" ca="1" si="106"/>
        <v>450571644598.72498</v>
      </c>
      <c r="K787" s="54">
        <f t="shared" ca="1" si="107"/>
        <v>39.120436552316669</v>
      </c>
    </row>
    <row r="788" spans="2:11" ht="15" customHeight="1" x14ac:dyDescent="0.35">
      <c r="B788" s="5">
        <v>767</v>
      </c>
      <c r="C788" s="52">
        <f t="shared" ca="1" si="99"/>
        <v>2.3352614717938902</v>
      </c>
      <c r="D788" s="53">
        <f t="shared" ca="1" si="100"/>
        <v>1401815237.1476798</v>
      </c>
      <c r="E788" s="53">
        <f t="shared" ca="1" si="101"/>
        <v>5536367434870.1357</v>
      </c>
      <c r="F788" s="53">
        <f t="shared" ca="1" si="102"/>
        <v>4410175799512.7217</v>
      </c>
      <c r="G788" s="53">
        <f t="shared" ca="1" si="103"/>
        <v>52309126561975</v>
      </c>
      <c r="H788" s="53">
        <f t="shared" ca="1" si="104"/>
        <v>5536367434870.1357</v>
      </c>
      <c r="I788" s="53">
        <f t="shared" ca="1" si="105"/>
        <v>1039830653394.6165</v>
      </c>
      <c r="J788" s="53">
        <f t="shared" ca="1" si="106"/>
        <v>689152515991.00696</v>
      </c>
      <c r="K788" s="54">
        <f t="shared" ca="1" si="107"/>
        <v>1.5088541785258252</v>
      </c>
    </row>
    <row r="789" spans="2:11" ht="15" customHeight="1" x14ac:dyDescent="0.35">
      <c r="B789" s="5">
        <v>768</v>
      </c>
      <c r="C789" s="52">
        <f t="shared" ca="1" si="99"/>
        <v>2.3486396915084482</v>
      </c>
      <c r="D789" s="53">
        <f t="shared" ca="1" si="100"/>
        <v>1292525026.7291236</v>
      </c>
      <c r="E789" s="53">
        <f t="shared" ca="1" si="101"/>
        <v>4943766399159.2373</v>
      </c>
      <c r="F789" s="53">
        <f t="shared" ca="1" si="102"/>
        <v>2017474337604.6626</v>
      </c>
      <c r="G789" s="53">
        <f t="shared" ca="1" si="103"/>
        <v>5952617176434.4307</v>
      </c>
      <c r="H789" s="53">
        <f t="shared" ca="1" si="104"/>
        <v>4943766399159.2373</v>
      </c>
      <c r="I789" s="53">
        <f t="shared" ca="1" si="105"/>
        <v>4658296157324.1035</v>
      </c>
      <c r="J789" s="53">
        <f t="shared" ca="1" si="106"/>
        <v>808943902426.57275</v>
      </c>
      <c r="K789" s="54">
        <f t="shared" ca="1" si="107"/>
        <v>5.7584909699556501</v>
      </c>
    </row>
    <row r="790" spans="2:11" ht="15" customHeight="1" x14ac:dyDescent="0.35">
      <c r="B790" s="5">
        <v>769</v>
      </c>
      <c r="C790" s="52">
        <f t="shared" ref="C790:C853" ca="1" si="108">MEDIAN(1.8,NORMINV(RAND(),$C$7,$D$7),4.5)</f>
        <v>3.3060853479039598</v>
      </c>
      <c r="D790" s="53">
        <f t="shared" ref="D790:D853" ca="1" si="109">($C$8+RAND()*($D$8-$C$8))*C790^5</f>
        <v>8610826274.4931564</v>
      </c>
      <c r="E790" s="53">
        <f t="shared" ref="E790:E853" ca="1" si="110">D790*($C$10+RAND()*($D$10-$C$10))*EXP(NORMINV(RAND(),$C$9,$D$9))*($C$11+RAND()*($D$11-$C$11))</f>
        <v>17495088440604.529</v>
      </c>
      <c r="F790" s="53">
        <f t="shared" ref="F790:F853" ca="1" si="111">EXP(NORMINV(RAND(),$C$12,$D$12))*EXP(NORMINV(RAND(),$C$13,$D$13))</f>
        <v>1499858288202.9255</v>
      </c>
      <c r="G790" s="53">
        <f t="shared" ref="G790:G853" ca="1" si="112">EXP(NORMINV(RAND(),$C$14,$D$14))*($C$15+RAND()*($D$15-$C$15))*EXP(NORMINV(RAND(),$C$16,$D$16))/1000000*31536000</f>
        <v>172714147831849.44</v>
      </c>
      <c r="H790" s="53">
        <f t="shared" ref="H790:H853" ca="1" si="113">CHOOSE(RANDBETWEEN(1,3),E790,F790,G790)</f>
        <v>1499858288202.9255</v>
      </c>
      <c r="I790" s="53">
        <f t="shared" ref="I790:I853" ca="1" si="114">EXP(NORMINV(RAND(),$C$14,$D$14))*($C$15+RAND()*($D$15-$C$15))*60</f>
        <v>15955672555102.525</v>
      </c>
      <c r="J790" s="53">
        <f t="shared" ref="J790:J853" ca="1" si="115">($C$17+RAND()*($D$17-$C$17))*($C$18+RAND()*($D$18-$C$18))</f>
        <v>1420502129580.6135</v>
      </c>
      <c r="K790" s="54">
        <f t="shared" ref="K790:K853" ca="1" si="116">I790/J790</f>
        <v>11.232417201523837</v>
      </c>
    </row>
    <row r="791" spans="2:11" ht="15" customHeight="1" x14ac:dyDescent="0.35">
      <c r="B791" s="5">
        <v>770</v>
      </c>
      <c r="C791" s="52">
        <f t="shared" ca="1" si="108"/>
        <v>2.8488974500774895</v>
      </c>
      <c r="D791" s="53">
        <f t="shared" ca="1" si="109"/>
        <v>3228309026.0139284</v>
      </c>
      <c r="E791" s="53">
        <f t="shared" ca="1" si="110"/>
        <v>11223074329752.625</v>
      </c>
      <c r="F791" s="53">
        <f t="shared" ca="1" si="111"/>
        <v>3061179560897.9702</v>
      </c>
      <c r="G791" s="53">
        <f t="shared" ca="1" si="112"/>
        <v>3638770279763.2554</v>
      </c>
      <c r="H791" s="53">
        <f t="shared" ca="1" si="113"/>
        <v>3061179560897.9702</v>
      </c>
      <c r="I791" s="53">
        <f t="shared" ca="1" si="114"/>
        <v>259684429855.3324</v>
      </c>
      <c r="J791" s="53">
        <f t="shared" ca="1" si="115"/>
        <v>1308772382570.4631</v>
      </c>
      <c r="K791" s="54">
        <f t="shared" ca="1" si="116"/>
        <v>0.1984183295076149</v>
      </c>
    </row>
    <row r="792" spans="2:11" ht="15" customHeight="1" x14ac:dyDescent="0.35">
      <c r="B792" s="5">
        <v>771</v>
      </c>
      <c r="C792" s="52">
        <f t="shared" ca="1" si="108"/>
        <v>2.8532419568704794</v>
      </c>
      <c r="D792" s="53">
        <f t="shared" ca="1" si="109"/>
        <v>3508900176.0582104</v>
      </c>
      <c r="E792" s="53">
        <f t="shared" ca="1" si="110"/>
        <v>11559581995729.186</v>
      </c>
      <c r="F792" s="53">
        <f t="shared" ca="1" si="111"/>
        <v>709080834945.32947</v>
      </c>
      <c r="G792" s="53">
        <f t="shared" ca="1" si="112"/>
        <v>267416818008.9754</v>
      </c>
      <c r="H792" s="53">
        <f t="shared" ca="1" si="113"/>
        <v>709080834945.32947</v>
      </c>
      <c r="I792" s="53">
        <f t="shared" ca="1" si="114"/>
        <v>63817900134235.836</v>
      </c>
      <c r="J792" s="53">
        <f t="shared" ca="1" si="115"/>
        <v>942713288979.46228</v>
      </c>
      <c r="K792" s="54">
        <f t="shared" ca="1" si="116"/>
        <v>67.695980188549314</v>
      </c>
    </row>
    <row r="793" spans="2:11" ht="15" customHeight="1" x14ac:dyDescent="0.35">
      <c r="B793" s="5">
        <v>772</v>
      </c>
      <c r="C793" s="52">
        <f t="shared" ca="1" si="108"/>
        <v>3.7193788559639622</v>
      </c>
      <c r="D793" s="53">
        <f t="shared" ca="1" si="109"/>
        <v>12778805960.418428</v>
      </c>
      <c r="E793" s="53">
        <f t="shared" ca="1" si="110"/>
        <v>13205085761716.691</v>
      </c>
      <c r="F793" s="53">
        <f t="shared" ca="1" si="111"/>
        <v>22690198983324.629</v>
      </c>
      <c r="G793" s="53">
        <f t="shared" ca="1" si="112"/>
        <v>11785404969472.498</v>
      </c>
      <c r="H793" s="53">
        <f t="shared" ca="1" si="113"/>
        <v>11785404969472.498</v>
      </c>
      <c r="I793" s="53">
        <f t="shared" ca="1" si="114"/>
        <v>25927224687586.891</v>
      </c>
      <c r="J793" s="53">
        <f t="shared" ca="1" si="115"/>
        <v>890292956592.21729</v>
      </c>
      <c r="K793" s="54">
        <f t="shared" ca="1" si="116"/>
        <v>29.122127155569974</v>
      </c>
    </row>
    <row r="794" spans="2:11" ht="15" customHeight="1" x14ac:dyDescent="0.35">
      <c r="B794" s="5">
        <v>773</v>
      </c>
      <c r="C794" s="52">
        <f t="shared" ca="1" si="108"/>
        <v>2.9977838957143921</v>
      </c>
      <c r="D794" s="53">
        <f t="shared" ca="1" si="109"/>
        <v>5429382397.055541</v>
      </c>
      <c r="E794" s="53">
        <f t="shared" ca="1" si="110"/>
        <v>70869732822799.625</v>
      </c>
      <c r="F794" s="53">
        <f t="shared" ca="1" si="111"/>
        <v>9257254604779.2227</v>
      </c>
      <c r="G794" s="53">
        <f t="shared" ca="1" si="112"/>
        <v>3426017653112.0488</v>
      </c>
      <c r="H794" s="53">
        <f t="shared" ca="1" si="113"/>
        <v>70869732822799.625</v>
      </c>
      <c r="I794" s="53">
        <f t="shared" ca="1" si="114"/>
        <v>261696458349453.69</v>
      </c>
      <c r="J794" s="53">
        <f t="shared" ca="1" si="115"/>
        <v>823491325609.32178</v>
      </c>
      <c r="K794" s="54">
        <f t="shared" ca="1" si="116"/>
        <v>317.7889677900589</v>
      </c>
    </row>
    <row r="795" spans="2:11" ht="15" customHeight="1" x14ac:dyDescent="0.35">
      <c r="B795" s="5">
        <v>774</v>
      </c>
      <c r="C795" s="52">
        <f t="shared" ca="1" si="108"/>
        <v>3.342000160981931</v>
      </c>
      <c r="D795" s="53">
        <f t="shared" ca="1" si="109"/>
        <v>9848852894.7409668</v>
      </c>
      <c r="E795" s="53">
        <f t="shared" ca="1" si="110"/>
        <v>54576638688230.742</v>
      </c>
      <c r="F795" s="53">
        <f t="shared" ca="1" si="111"/>
        <v>7434184107092.6738</v>
      </c>
      <c r="G795" s="53">
        <f t="shared" ca="1" si="112"/>
        <v>4402653958922.1357</v>
      </c>
      <c r="H795" s="53">
        <f t="shared" ca="1" si="113"/>
        <v>4402653958922.1357</v>
      </c>
      <c r="I795" s="53">
        <f t="shared" ca="1" si="114"/>
        <v>3358201071494.1567</v>
      </c>
      <c r="J795" s="53">
        <f t="shared" ca="1" si="115"/>
        <v>601338462842.51855</v>
      </c>
      <c r="K795" s="54">
        <f t="shared" ca="1" si="116"/>
        <v>5.5845439448858585</v>
      </c>
    </row>
    <row r="796" spans="2:11" ht="15" customHeight="1" x14ac:dyDescent="0.35">
      <c r="B796" s="5">
        <v>775</v>
      </c>
      <c r="C796" s="52">
        <f t="shared" ca="1" si="108"/>
        <v>2.8869302033488435</v>
      </c>
      <c r="D796" s="53">
        <f t="shared" ca="1" si="109"/>
        <v>3585143868.2198458</v>
      </c>
      <c r="E796" s="53">
        <f t="shared" ca="1" si="110"/>
        <v>46757612789029.93</v>
      </c>
      <c r="F796" s="53">
        <f t="shared" ca="1" si="111"/>
        <v>918791022531.19006</v>
      </c>
      <c r="G796" s="53">
        <f t="shared" ca="1" si="112"/>
        <v>8786416544765.4229</v>
      </c>
      <c r="H796" s="53">
        <f t="shared" ca="1" si="113"/>
        <v>46757612789029.93</v>
      </c>
      <c r="I796" s="53">
        <f t="shared" ca="1" si="114"/>
        <v>8567169281218.5166</v>
      </c>
      <c r="J796" s="53">
        <f t="shared" ca="1" si="115"/>
        <v>1413451391287.9399</v>
      </c>
      <c r="K796" s="54">
        <f t="shared" ca="1" si="116"/>
        <v>6.0611700791578649</v>
      </c>
    </row>
    <row r="797" spans="2:11" ht="15" customHeight="1" x14ac:dyDescent="0.35">
      <c r="B797" s="5">
        <v>776</v>
      </c>
      <c r="C797" s="52">
        <f t="shared" ca="1" si="108"/>
        <v>3.3008763411523874</v>
      </c>
      <c r="D797" s="53">
        <f t="shared" ca="1" si="109"/>
        <v>7621256718.0657167</v>
      </c>
      <c r="E797" s="53">
        <f t="shared" ca="1" si="110"/>
        <v>9917049858118.0684</v>
      </c>
      <c r="F797" s="53">
        <f t="shared" ca="1" si="111"/>
        <v>3581461328239.8184</v>
      </c>
      <c r="G797" s="53">
        <f t="shared" ca="1" si="112"/>
        <v>10935720137623.871</v>
      </c>
      <c r="H797" s="53">
        <f t="shared" ca="1" si="113"/>
        <v>3581461328239.8184</v>
      </c>
      <c r="I797" s="53">
        <f t="shared" ca="1" si="114"/>
        <v>2421425286473.894</v>
      </c>
      <c r="J797" s="53">
        <f t="shared" ca="1" si="115"/>
        <v>1374530567360.3474</v>
      </c>
      <c r="K797" s="54">
        <f t="shared" ca="1" si="116"/>
        <v>1.7616380049837717</v>
      </c>
    </row>
    <row r="798" spans="2:11" ht="15" customHeight="1" x14ac:dyDescent="0.35">
      <c r="B798" s="5">
        <v>777</v>
      </c>
      <c r="C798" s="52">
        <f t="shared" ca="1" si="108"/>
        <v>3.2558707254460164</v>
      </c>
      <c r="D798" s="53">
        <f t="shared" ca="1" si="109"/>
        <v>7729328046.7270565</v>
      </c>
      <c r="E798" s="53">
        <f t="shared" ca="1" si="110"/>
        <v>36749953507462.328</v>
      </c>
      <c r="F798" s="53">
        <f t="shared" ca="1" si="111"/>
        <v>444899691909.36365</v>
      </c>
      <c r="G798" s="53">
        <f t="shared" ca="1" si="112"/>
        <v>2310043764733.0288</v>
      </c>
      <c r="H798" s="53">
        <f t="shared" ca="1" si="113"/>
        <v>2310043764733.0288</v>
      </c>
      <c r="I798" s="53">
        <f t="shared" ca="1" si="114"/>
        <v>3384221350753.3159</v>
      </c>
      <c r="J798" s="53">
        <f t="shared" ca="1" si="115"/>
        <v>1215881619341.4443</v>
      </c>
      <c r="K798" s="54">
        <f t="shared" ca="1" si="116"/>
        <v>2.7833477346144151</v>
      </c>
    </row>
    <row r="799" spans="2:11" ht="15" customHeight="1" x14ac:dyDescent="0.35">
      <c r="B799" s="5">
        <v>778</v>
      </c>
      <c r="C799" s="52">
        <f t="shared" ca="1" si="108"/>
        <v>2.5675879402018529</v>
      </c>
      <c r="D799" s="53">
        <f t="shared" ca="1" si="109"/>
        <v>2244784138.4302316</v>
      </c>
      <c r="E799" s="53">
        <f t="shared" ca="1" si="110"/>
        <v>51198893958367.297</v>
      </c>
      <c r="F799" s="53">
        <f t="shared" ca="1" si="111"/>
        <v>10096222869071.098</v>
      </c>
      <c r="G799" s="53">
        <f t="shared" ca="1" si="112"/>
        <v>7573694730701.4951</v>
      </c>
      <c r="H799" s="53">
        <f t="shared" ca="1" si="113"/>
        <v>51198893958367.297</v>
      </c>
      <c r="I799" s="53">
        <f t="shared" ca="1" si="114"/>
        <v>108219124448644.13</v>
      </c>
      <c r="J799" s="53">
        <f t="shared" ca="1" si="115"/>
        <v>607258795230.24097</v>
      </c>
      <c r="K799" s="54">
        <f t="shared" ca="1" si="116"/>
        <v>178.20923352392626</v>
      </c>
    </row>
    <row r="800" spans="2:11" ht="15" customHeight="1" x14ac:dyDescent="0.35">
      <c r="B800" s="5">
        <v>779</v>
      </c>
      <c r="C800" s="52">
        <f t="shared" ca="1" si="108"/>
        <v>3.3889445334384973</v>
      </c>
      <c r="D800" s="53">
        <f t="shared" ca="1" si="109"/>
        <v>9037103010.6877613</v>
      </c>
      <c r="E800" s="53">
        <f t="shared" ca="1" si="110"/>
        <v>70735130332712.047</v>
      </c>
      <c r="F800" s="53">
        <f t="shared" ca="1" si="111"/>
        <v>10517040433032.363</v>
      </c>
      <c r="G800" s="53">
        <f t="shared" ca="1" si="112"/>
        <v>892312287988.74854</v>
      </c>
      <c r="H800" s="53">
        <f t="shared" ca="1" si="113"/>
        <v>70735130332712.047</v>
      </c>
      <c r="I800" s="53">
        <f t="shared" ca="1" si="114"/>
        <v>9655629398319.9746</v>
      </c>
      <c r="J800" s="53">
        <f t="shared" ca="1" si="115"/>
        <v>593901513380.73083</v>
      </c>
      <c r="K800" s="54">
        <f t="shared" ca="1" si="116"/>
        <v>16.257963956609867</v>
      </c>
    </row>
    <row r="801" spans="2:11" ht="15" customHeight="1" x14ac:dyDescent="0.35">
      <c r="B801" s="5">
        <v>780</v>
      </c>
      <c r="C801" s="52">
        <f t="shared" ca="1" si="108"/>
        <v>2.680639764883932</v>
      </c>
      <c r="D801" s="53">
        <f t="shared" ca="1" si="109"/>
        <v>3041323171.6790628</v>
      </c>
      <c r="E801" s="53">
        <f t="shared" ca="1" si="110"/>
        <v>13968041009087.402</v>
      </c>
      <c r="F801" s="53">
        <f t="shared" ca="1" si="111"/>
        <v>1797586039789.9519</v>
      </c>
      <c r="G801" s="53">
        <f t="shared" ca="1" si="112"/>
        <v>7450517538475.3965</v>
      </c>
      <c r="H801" s="53">
        <f t="shared" ca="1" si="113"/>
        <v>13968041009087.402</v>
      </c>
      <c r="I801" s="53">
        <f t="shared" ca="1" si="114"/>
        <v>179653529957659.91</v>
      </c>
      <c r="J801" s="53">
        <f t="shared" ca="1" si="115"/>
        <v>1091501195965.9723</v>
      </c>
      <c r="K801" s="54">
        <f t="shared" ca="1" si="116"/>
        <v>164.5930674392597</v>
      </c>
    </row>
    <row r="802" spans="2:11" ht="15" customHeight="1" x14ac:dyDescent="0.35">
      <c r="B802" s="5">
        <v>781</v>
      </c>
      <c r="C802" s="52">
        <f t="shared" ca="1" si="108"/>
        <v>2.7662243445449448</v>
      </c>
      <c r="D802" s="53">
        <f t="shared" ca="1" si="109"/>
        <v>3169762989.7742009</v>
      </c>
      <c r="E802" s="53">
        <f t="shared" ca="1" si="110"/>
        <v>14145110654008.906</v>
      </c>
      <c r="F802" s="53">
        <f t="shared" ca="1" si="111"/>
        <v>1700903444373.7542</v>
      </c>
      <c r="G802" s="53">
        <f t="shared" ca="1" si="112"/>
        <v>722065605768.93274</v>
      </c>
      <c r="H802" s="53">
        <f t="shared" ca="1" si="113"/>
        <v>1700903444373.7542</v>
      </c>
      <c r="I802" s="53">
        <f t="shared" ca="1" si="114"/>
        <v>1111414541137.4238</v>
      </c>
      <c r="J802" s="53">
        <f t="shared" ca="1" si="115"/>
        <v>512326542448.62439</v>
      </c>
      <c r="K802" s="54">
        <f t="shared" ca="1" si="116"/>
        <v>2.1693479627768366</v>
      </c>
    </row>
    <row r="803" spans="2:11" ht="15" customHeight="1" x14ac:dyDescent="0.35">
      <c r="B803" s="5">
        <v>782</v>
      </c>
      <c r="C803" s="52">
        <f t="shared" ca="1" si="108"/>
        <v>3.1374360685935296</v>
      </c>
      <c r="D803" s="53">
        <f t="shared" ca="1" si="109"/>
        <v>7207106835.1170979</v>
      </c>
      <c r="E803" s="53">
        <f t="shared" ca="1" si="110"/>
        <v>89760067173101.844</v>
      </c>
      <c r="F803" s="53">
        <f t="shared" ca="1" si="111"/>
        <v>3240931275211.4858</v>
      </c>
      <c r="G803" s="53">
        <f t="shared" ca="1" si="112"/>
        <v>11860254765751.217</v>
      </c>
      <c r="H803" s="53">
        <f t="shared" ca="1" si="113"/>
        <v>11860254765751.217</v>
      </c>
      <c r="I803" s="53">
        <f t="shared" ca="1" si="114"/>
        <v>13076906493866.041</v>
      </c>
      <c r="J803" s="53">
        <f t="shared" ca="1" si="115"/>
        <v>1463578566120.3867</v>
      </c>
      <c r="K803" s="54">
        <f t="shared" ca="1" si="116"/>
        <v>8.9348852166713133</v>
      </c>
    </row>
    <row r="804" spans="2:11" ht="15" customHeight="1" x14ac:dyDescent="0.35">
      <c r="B804" s="5">
        <v>783</v>
      </c>
      <c r="C804" s="52">
        <f t="shared" ca="1" si="108"/>
        <v>3.0293768454443595</v>
      </c>
      <c r="D804" s="53">
        <f t="shared" ca="1" si="109"/>
        <v>5188467518.0894718</v>
      </c>
      <c r="E804" s="53">
        <f t="shared" ca="1" si="110"/>
        <v>10010579030693.209</v>
      </c>
      <c r="F804" s="53">
        <f t="shared" ca="1" si="111"/>
        <v>1833241446029.4109</v>
      </c>
      <c r="G804" s="53">
        <f t="shared" ca="1" si="112"/>
        <v>1100635876288.4355</v>
      </c>
      <c r="H804" s="53">
        <f t="shared" ca="1" si="113"/>
        <v>10010579030693.209</v>
      </c>
      <c r="I804" s="53">
        <f t="shared" ca="1" si="114"/>
        <v>5855018885430.9209</v>
      </c>
      <c r="J804" s="53">
        <f t="shared" ca="1" si="115"/>
        <v>1004986217226.4678</v>
      </c>
      <c r="K804" s="54">
        <f t="shared" ca="1" si="116"/>
        <v>5.8259693367630794</v>
      </c>
    </row>
    <row r="805" spans="2:11" ht="15" customHeight="1" x14ac:dyDescent="0.35">
      <c r="B805" s="5">
        <v>784</v>
      </c>
      <c r="C805" s="52">
        <f t="shared" ca="1" si="108"/>
        <v>3.73282121058867</v>
      </c>
      <c r="D805" s="53">
        <f t="shared" ca="1" si="109"/>
        <v>16643144775.434383</v>
      </c>
      <c r="E805" s="53">
        <f t="shared" ca="1" si="110"/>
        <v>55715590956976.609</v>
      </c>
      <c r="F805" s="53">
        <f t="shared" ca="1" si="111"/>
        <v>964955081407.38</v>
      </c>
      <c r="G805" s="53">
        <f t="shared" ca="1" si="112"/>
        <v>20382984448003.539</v>
      </c>
      <c r="H805" s="53">
        <f t="shared" ca="1" si="113"/>
        <v>55715590956976.609</v>
      </c>
      <c r="I805" s="53">
        <f t="shared" ca="1" si="114"/>
        <v>38144168724034.633</v>
      </c>
      <c r="J805" s="53">
        <f t="shared" ca="1" si="115"/>
        <v>686602824492.98413</v>
      </c>
      <c r="K805" s="54">
        <f t="shared" ca="1" si="116"/>
        <v>55.554925443544249</v>
      </c>
    </row>
    <row r="806" spans="2:11" ht="15" customHeight="1" x14ac:dyDescent="0.35">
      <c r="B806" s="5">
        <v>785</v>
      </c>
      <c r="C806" s="52">
        <f t="shared" ca="1" si="108"/>
        <v>2.9886114171546039</v>
      </c>
      <c r="D806" s="53">
        <f t="shared" ca="1" si="109"/>
        <v>5021690949.8286114</v>
      </c>
      <c r="E806" s="53">
        <f t="shared" ca="1" si="110"/>
        <v>20301537914951.992</v>
      </c>
      <c r="F806" s="53">
        <f t="shared" ca="1" si="111"/>
        <v>21309032531886.25</v>
      </c>
      <c r="G806" s="53">
        <f t="shared" ca="1" si="112"/>
        <v>3131242931503.8652</v>
      </c>
      <c r="H806" s="53">
        <f t="shared" ca="1" si="113"/>
        <v>3131242931503.8652</v>
      </c>
      <c r="I806" s="53">
        <f t="shared" ca="1" si="114"/>
        <v>5467627293850.9785</v>
      </c>
      <c r="J806" s="53">
        <f t="shared" ca="1" si="115"/>
        <v>1181444209191.6782</v>
      </c>
      <c r="K806" s="54">
        <f t="shared" ca="1" si="116"/>
        <v>4.6279183149848659</v>
      </c>
    </row>
    <row r="807" spans="2:11" ht="15" customHeight="1" x14ac:dyDescent="0.35">
      <c r="B807" s="5">
        <v>786</v>
      </c>
      <c r="C807" s="52">
        <f t="shared" ca="1" si="108"/>
        <v>3.2546573705199005</v>
      </c>
      <c r="D807" s="53">
        <f t="shared" ca="1" si="109"/>
        <v>7049642136.6232529</v>
      </c>
      <c r="E807" s="53">
        <f t="shared" ca="1" si="110"/>
        <v>31895327583255.871</v>
      </c>
      <c r="F807" s="53">
        <f t="shared" ca="1" si="111"/>
        <v>10513200482203.324</v>
      </c>
      <c r="G807" s="53">
        <f t="shared" ca="1" si="112"/>
        <v>18162935801682.688</v>
      </c>
      <c r="H807" s="53">
        <f t="shared" ca="1" si="113"/>
        <v>18162935801682.688</v>
      </c>
      <c r="I807" s="53">
        <f t="shared" ca="1" si="114"/>
        <v>21167467194745.398</v>
      </c>
      <c r="J807" s="53">
        <f t="shared" ca="1" si="115"/>
        <v>600250160473.41846</v>
      </c>
      <c r="K807" s="54">
        <f t="shared" ca="1" si="116"/>
        <v>35.264409055801963</v>
      </c>
    </row>
    <row r="808" spans="2:11" ht="15" customHeight="1" x14ac:dyDescent="0.35">
      <c r="B808" s="5">
        <v>787</v>
      </c>
      <c r="C808" s="52">
        <f t="shared" ca="1" si="108"/>
        <v>3.5098650194571985</v>
      </c>
      <c r="D808" s="53">
        <f t="shared" ca="1" si="109"/>
        <v>9977680506.1233139</v>
      </c>
      <c r="E808" s="53">
        <f t="shared" ca="1" si="110"/>
        <v>135166925565704.05</v>
      </c>
      <c r="F808" s="53">
        <f t="shared" ca="1" si="111"/>
        <v>18624906535720.801</v>
      </c>
      <c r="G808" s="53">
        <f t="shared" ca="1" si="112"/>
        <v>632607141356.02917</v>
      </c>
      <c r="H808" s="53">
        <f t="shared" ca="1" si="113"/>
        <v>135166925565704.05</v>
      </c>
      <c r="I808" s="53">
        <f t="shared" ca="1" si="114"/>
        <v>8981443426381.1953</v>
      </c>
      <c r="J808" s="53">
        <f t="shared" ca="1" si="115"/>
        <v>1456225808908.186</v>
      </c>
      <c r="K808" s="54">
        <f t="shared" ca="1" si="116"/>
        <v>6.1676172551254851</v>
      </c>
    </row>
    <row r="809" spans="2:11" ht="15" customHeight="1" x14ac:dyDescent="0.35">
      <c r="B809" s="5">
        <v>788</v>
      </c>
      <c r="C809" s="52">
        <f t="shared" ca="1" si="108"/>
        <v>3.8682887051369481</v>
      </c>
      <c r="D809" s="53">
        <f t="shared" ca="1" si="109"/>
        <v>17737062081.830254</v>
      </c>
      <c r="E809" s="53">
        <f t="shared" ca="1" si="110"/>
        <v>182491845583728.19</v>
      </c>
      <c r="F809" s="53">
        <f t="shared" ca="1" si="111"/>
        <v>3524309217984.8101</v>
      </c>
      <c r="G809" s="53">
        <f t="shared" ca="1" si="112"/>
        <v>16275492307964.344</v>
      </c>
      <c r="H809" s="53">
        <f t="shared" ca="1" si="113"/>
        <v>3524309217984.8101</v>
      </c>
      <c r="I809" s="53">
        <f t="shared" ca="1" si="114"/>
        <v>1445061452627.4775</v>
      </c>
      <c r="J809" s="53">
        <f t="shared" ca="1" si="115"/>
        <v>1410791185010.0176</v>
      </c>
      <c r="K809" s="54">
        <f t="shared" ca="1" si="116"/>
        <v>1.0242915237787062</v>
      </c>
    </row>
    <row r="810" spans="2:11" ht="15" customHeight="1" x14ac:dyDescent="0.35">
      <c r="B810" s="5">
        <v>789</v>
      </c>
      <c r="C810" s="52">
        <f t="shared" ca="1" si="108"/>
        <v>2.5860647491799424</v>
      </c>
      <c r="D810" s="53">
        <f t="shared" ca="1" si="109"/>
        <v>2050756964.1428597</v>
      </c>
      <c r="E810" s="53">
        <f t="shared" ca="1" si="110"/>
        <v>5839723321405.7666</v>
      </c>
      <c r="F810" s="53">
        <f t="shared" ca="1" si="111"/>
        <v>4624011073493.8652</v>
      </c>
      <c r="G810" s="53">
        <f t="shared" ca="1" si="112"/>
        <v>11554597270415.516</v>
      </c>
      <c r="H810" s="53">
        <f t="shared" ca="1" si="113"/>
        <v>4624011073493.8652</v>
      </c>
      <c r="I810" s="53">
        <f t="shared" ca="1" si="114"/>
        <v>5272090206739.625</v>
      </c>
      <c r="J810" s="53">
        <f t="shared" ca="1" si="115"/>
        <v>821964217013.38928</v>
      </c>
      <c r="K810" s="54">
        <f t="shared" ca="1" si="116"/>
        <v>6.4140142570874783</v>
      </c>
    </row>
    <row r="811" spans="2:11" ht="15" customHeight="1" x14ac:dyDescent="0.35">
      <c r="B811" s="5">
        <v>790</v>
      </c>
      <c r="C811" s="52">
        <f t="shared" ca="1" si="108"/>
        <v>3.1302512592393335</v>
      </c>
      <c r="D811" s="53">
        <f t="shared" ca="1" si="109"/>
        <v>6367678008.1070757</v>
      </c>
      <c r="E811" s="53">
        <f t="shared" ca="1" si="110"/>
        <v>72351957689252.625</v>
      </c>
      <c r="F811" s="53">
        <f t="shared" ca="1" si="111"/>
        <v>5807062052325.3086</v>
      </c>
      <c r="G811" s="53">
        <f t="shared" ca="1" si="112"/>
        <v>1842511369870.7449</v>
      </c>
      <c r="H811" s="53">
        <f t="shared" ca="1" si="113"/>
        <v>1842511369870.7449</v>
      </c>
      <c r="I811" s="53">
        <f t="shared" ca="1" si="114"/>
        <v>18813438569324.488</v>
      </c>
      <c r="J811" s="53">
        <f t="shared" ca="1" si="115"/>
        <v>1114688469011.6292</v>
      </c>
      <c r="K811" s="54">
        <f t="shared" ca="1" si="116"/>
        <v>16.877754720120116</v>
      </c>
    </row>
    <row r="812" spans="2:11" ht="15" customHeight="1" x14ac:dyDescent="0.35">
      <c r="B812" s="5">
        <v>791</v>
      </c>
      <c r="C812" s="52">
        <f t="shared" ca="1" si="108"/>
        <v>3.0735681387282456</v>
      </c>
      <c r="D812" s="53">
        <f t="shared" ca="1" si="109"/>
        <v>5786082396.8788576</v>
      </c>
      <c r="E812" s="53">
        <f t="shared" ca="1" si="110"/>
        <v>33208491949768.316</v>
      </c>
      <c r="F812" s="53">
        <f t="shared" ca="1" si="111"/>
        <v>4099787710202.2959</v>
      </c>
      <c r="G812" s="53">
        <f t="shared" ca="1" si="112"/>
        <v>7352818708378.2793</v>
      </c>
      <c r="H812" s="53">
        <f t="shared" ca="1" si="113"/>
        <v>7352818708378.2793</v>
      </c>
      <c r="I812" s="53">
        <f t="shared" ca="1" si="114"/>
        <v>10239263970140.629</v>
      </c>
      <c r="J812" s="53">
        <f t="shared" ca="1" si="115"/>
        <v>689993687748.05847</v>
      </c>
      <c r="K812" s="54">
        <f t="shared" ca="1" si="116"/>
        <v>14.839648756148263</v>
      </c>
    </row>
    <row r="813" spans="2:11" ht="15" customHeight="1" x14ac:dyDescent="0.35">
      <c r="B813" s="5">
        <v>792</v>
      </c>
      <c r="C813" s="52">
        <f t="shared" ca="1" si="108"/>
        <v>2.9078041667359402</v>
      </c>
      <c r="D813" s="53">
        <f t="shared" ca="1" si="109"/>
        <v>4657824757.5360861</v>
      </c>
      <c r="E813" s="53">
        <f t="shared" ca="1" si="110"/>
        <v>12902315795432.852</v>
      </c>
      <c r="F813" s="53">
        <f t="shared" ca="1" si="111"/>
        <v>2382021975925.252</v>
      </c>
      <c r="G813" s="53">
        <f t="shared" ca="1" si="112"/>
        <v>16019577626048.469</v>
      </c>
      <c r="H813" s="53">
        <f t="shared" ca="1" si="113"/>
        <v>2382021975925.252</v>
      </c>
      <c r="I813" s="53">
        <f t="shared" ca="1" si="114"/>
        <v>1613443838287.7542</v>
      </c>
      <c r="J813" s="53">
        <f t="shared" ca="1" si="115"/>
        <v>1034761668529.4159</v>
      </c>
      <c r="K813" s="54">
        <f t="shared" ca="1" si="116"/>
        <v>1.5592419852397033</v>
      </c>
    </row>
    <row r="814" spans="2:11" ht="15" customHeight="1" x14ac:dyDescent="0.35">
      <c r="B814" s="5">
        <v>793</v>
      </c>
      <c r="C814" s="52">
        <f t="shared" ca="1" si="108"/>
        <v>2.0074856067178097</v>
      </c>
      <c r="D814" s="53">
        <f t="shared" ca="1" si="109"/>
        <v>682126735.19869769</v>
      </c>
      <c r="E814" s="53">
        <f t="shared" ca="1" si="110"/>
        <v>1685199915227.6584</v>
      </c>
      <c r="F814" s="53">
        <f t="shared" ca="1" si="111"/>
        <v>21920580266556.801</v>
      </c>
      <c r="G814" s="53">
        <f t="shared" ca="1" si="112"/>
        <v>735486918841.14636</v>
      </c>
      <c r="H814" s="53">
        <f t="shared" ca="1" si="113"/>
        <v>1685199915227.6584</v>
      </c>
      <c r="I814" s="53">
        <f t="shared" ca="1" si="114"/>
        <v>3846322729287.6348</v>
      </c>
      <c r="J814" s="53">
        <f t="shared" ca="1" si="115"/>
        <v>655137077078.31091</v>
      </c>
      <c r="K814" s="54">
        <f t="shared" ca="1" si="116"/>
        <v>5.8710197664905932</v>
      </c>
    </row>
    <row r="815" spans="2:11" ht="15" customHeight="1" x14ac:dyDescent="0.35">
      <c r="B815" s="5">
        <v>794</v>
      </c>
      <c r="C815" s="52">
        <f t="shared" ca="1" si="108"/>
        <v>2.7838374423576218</v>
      </c>
      <c r="D815" s="53">
        <f t="shared" ca="1" si="109"/>
        <v>3113880617.6696639</v>
      </c>
      <c r="E815" s="53">
        <f t="shared" ca="1" si="110"/>
        <v>52156518808859.594</v>
      </c>
      <c r="F815" s="53">
        <f t="shared" ca="1" si="111"/>
        <v>788264540505.77881</v>
      </c>
      <c r="G815" s="53">
        <f t="shared" ca="1" si="112"/>
        <v>8605867368882.499</v>
      </c>
      <c r="H815" s="53">
        <f t="shared" ca="1" si="113"/>
        <v>788264540505.77881</v>
      </c>
      <c r="I815" s="53">
        <f t="shared" ca="1" si="114"/>
        <v>6471247001808.4785</v>
      </c>
      <c r="J815" s="53">
        <f t="shared" ca="1" si="115"/>
        <v>1202945863383.6208</v>
      </c>
      <c r="K815" s="54">
        <f t="shared" ca="1" si="116"/>
        <v>5.3794997753317766</v>
      </c>
    </row>
    <row r="816" spans="2:11" ht="15" customHeight="1" x14ac:dyDescent="0.35">
      <c r="B816" s="5">
        <v>795</v>
      </c>
      <c r="C816" s="52">
        <f t="shared" ca="1" si="108"/>
        <v>2.9167218193855224</v>
      </c>
      <c r="D816" s="53">
        <f t="shared" ca="1" si="109"/>
        <v>4162742138.2863197</v>
      </c>
      <c r="E816" s="53">
        <f t="shared" ca="1" si="110"/>
        <v>4379796183525.7026</v>
      </c>
      <c r="F816" s="53">
        <f t="shared" ca="1" si="111"/>
        <v>4103246687295.1567</v>
      </c>
      <c r="G816" s="53">
        <f t="shared" ca="1" si="112"/>
        <v>2431643080381.146</v>
      </c>
      <c r="H816" s="53">
        <f t="shared" ca="1" si="113"/>
        <v>4103246687295.1567</v>
      </c>
      <c r="I816" s="53">
        <f t="shared" ca="1" si="114"/>
        <v>21414762385158.93</v>
      </c>
      <c r="J816" s="53">
        <f t="shared" ca="1" si="115"/>
        <v>1464095757932.021</v>
      </c>
      <c r="K816" s="54">
        <f t="shared" ca="1" si="116"/>
        <v>14.626613231505061</v>
      </c>
    </row>
    <row r="817" spans="2:11" ht="15" customHeight="1" x14ac:dyDescent="0.35">
      <c r="B817" s="5">
        <v>796</v>
      </c>
      <c r="C817" s="52">
        <f t="shared" ca="1" si="108"/>
        <v>3.1779512258950651</v>
      </c>
      <c r="D817" s="53">
        <f t="shared" ca="1" si="109"/>
        <v>5309151079.4964619</v>
      </c>
      <c r="E817" s="53">
        <f t="shared" ca="1" si="110"/>
        <v>35370247550868.648</v>
      </c>
      <c r="F817" s="53">
        <f t="shared" ca="1" si="111"/>
        <v>2507228071865.103</v>
      </c>
      <c r="G817" s="53">
        <f t="shared" ca="1" si="112"/>
        <v>6701431528775.1328</v>
      </c>
      <c r="H817" s="53">
        <f t="shared" ca="1" si="113"/>
        <v>35370247550868.648</v>
      </c>
      <c r="I817" s="53">
        <f t="shared" ca="1" si="114"/>
        <v>11594910759233.646</v>
      </c>
      <c r="J817" s="53">
        <f t="shared" ca="1" si="115"/>
        <v>1081215462022.9871</v>
      </c>
      <c r="K817" s="54">
        <f t="shared" ca="1" si="116"/>
        <v>10.723959438703563</v>
      </c>
    </row>
    <row r="818" spans="2:11" ht="15" customHeight="1" x14ac:dyDescent="0.35">
      <c r="B818" s="5">
        <v>797</v>
      </c>
      <c r="C818" s="52">
        <f t="shared" ca="1" si="108"/>
        <v>3.29310307794846</v>
      </c>
      <c r="D818" s="53">
        <f t="shared" ca="1" si="109"/>
        <v>6249777878.5183268</v>
      </c>
      <c r="E818" s="53">
        <f t="shared" ca="1" si="110"/>
        <v>45162075492798.055</v>
      </c>
      <c r="F818" s="53">
        <f t="shared" ca="1" si="111"/>
        <v>2598203716657.4468</v>
      </c>
      <c r="G818" s="53">
        <f t="shared" ca="1" si="112"/>
        <v>11430475402005.621</v>
      </c>
      <c r="H818" s="53">
        <f t="shared" ca="1" si="113"/>
        <v>11430475402005.621</v>
      </c>
      <c r="I818" s="53">
        <f t="shared" ca="1" si="114"/>
        <v>42111413777964.602</v>
      </c>
      <c r="J818" s="53">
        <f t="shared" ca="1" si="115"/>
        <v>797811615741.32666</v>
      </c>
      <c r="K818" s="54">
        <f t="shared" ca="1" si="116"/>
        <v>52.783655874494471</v>
      </c>
    </row>
    <row r="819" spans="2:11" ht="15" customHeight="1" x14ac:dyDescent="0.35">
      <c r="B819" s="5">
        <v>798</v>
      </c>
      <c r="C819" s="52">
        <f t="shared" ca="1" si="108"/>
        <v>3.2803507293753849</v>
      </c>
      <c r="D819" s="53">
        <f t="shared" ca="1" si="109"/>
        <v>6197245900.8582335</v>
      </c>
      <c r="E819" s="53">
        <f t="shared" ca="1" si="110"/>
        <v>8482468142119.4043</v>
      </c>
      <c r="F819" s="53">
        <f t="shared" ca="1" si="111"/>
        <v>4147987997995.6899</v>
      </c>
      <c r="G819" s="53">
        <f t="shared" ca="1" si="112"/>
        <v>45394331089812.539</v>
      </c>
      <c r="H819" s="53">
        <f t="shared" ca="1" si="113"/>
        <v>45394331089812.539</v>
      </c>
      <c r="I819" s="53">
        <f t="shared" ca="1" si="114"/>
        <v>125512237759950.13</v>
      </c>
      <c r="J819" s="53">
        <f t="shared" ca="1" si="115"/>
        <v>874175245306.33997</v>
      </c>
      <c r="K819" s="54">
        <f t="shared" ca="1" si="116"/>
        <v>143.57789062760119</v>
      </c>
    </row>
    <row r="820" spans="2:11" ht="15" customHeight="1" x14ac:dyDescent="0.35">
      <c r="B820" s="5">
        <v>799</v>
      </c>
      <c r="C820" s="52">
        <f t="shared" ca="1" si="108"/>
        <v>1.8253660515268864</v>
      </c>
      <c r="D820" s="53">
        <f t="shared" ca="1" si="109"/>
        <v>422206448.22055888</v>
      </c>
      <c r="E820" s="53">
        <f t="shared" ca="1" si="110"/>
        <v>7604628753502.7598</v>
      </c>
      <c r="F820" s="53">
        <f t="shared" ca="1" si="111"/>
        <v>17233583266907.32</v>
      </c>
      <c r="G820" s="53">
        <f t="shared" ca="1" si="112"/>
        <v>30398818874553.074</v>
      </c>
      <c r="H820" s="53">
        <f t="shared" ca="1" si="113"/>
        <v>30398818874553.074</v>
      </c>
      <c r="I820" s="53">
        <f t="shared" ca="1" si="114"/>
        <v>26919203099948.859</v>
      </c>
      <c r="J820" s="53">
        <f t="shared" ca="1" si="115"/>
        <v>1316847066224.8091</v>
      </c>
      <c r="K820" s="54">
        <f t="shared" ca="1" si="116"/>
        <v>20.442163551400036</v>
      </c>
    </row>
    <row r="821" spans="2:11" ht="15" customHeight="1" x14ac:dyDescent="0.35">
      <c r="B821" s="5">
        <v>800</v>
      </c>
      <c r="C821" s="52">
        <f t="shared" ca="1" si="108"/>
        <v>2.8967381705509934</v>
      </c>
      <c r="D821" s="53">
        <f t="shared" ca="1" si="109"/>
        <v>4233878827.8794398</v>
      </c>
      <c r="E821" s="53">
        <f t="shared" ca="1" si="110"/>
        <v>32115235335981.039</v>
      </c>
      <c r="F821" s="53">
        <f t="shared" ca="1" si="111"/>
        <v>2465113519391.7534</v>
      </c>
      <c r="G821" s="53">
        <f t="shared" ca="1" si="112"/>
        <v>43371878152786.07</v>
      </c>
      <c r="H821" s="53">
        <f t="shared" ca="1" si="113"/>
        <v>43371878152786.07</v>
      </c>
      <c r="I821" s="53">
        <f t="shared" ca="1" si="114"/>
        <v>2836651400693.5425</v>
      </c>
      <c r="J821" s="53">
        <f t="shared" ca="1" si="115"/>
        <v>1811157394200.2004</v>
      </c>
      <c r="K821" s="54">
        <f t="shared" ca="1" si="116"/>
        <v>1.566209215045165</v>
      </c>
    </row>
    <row r="822" spans="2:11" ht="15" customHeight="1" x14ac:dyDescent="0.35">
      <c r="B822" s="5">
        <v>801</v>
      </c>
      <c r="C822" s="52">
        <f t="shared" ca="1" si="108"/>
        <v>3.0319588471880778</v>
      </c>
      <c r="D822" s="53">
        <f t="shared" ca="1" si="109"/>
        <v>5584474226.6528034</v>
      </c>
      <c r="E822" s="53">
        <f t="shared" ca="1" si="110"/>
        <v>7262547157006.4072</v>
      </c>
      <c r="F822" s="53">
        <f t="shared" ca="1" si="111"/>
        <v>1510266433136.8623</v>
      </c>
      <c r="G822" s="53">
        <f t="shared" ca="1" si="112"/>
        <v>925295057239.60059</v>
      </c>
      <c r="H822" s="53">
        <f t="shared" ca="1" si="113"/>
        <v>925295057239.60059</v>
      </c>
      <c r="I822" s="53">
        <f t="shared" ca="1" si="114"/>
        <v>27084076705170.578</v>
      </c>
      <c r="J822" s="53">
        <f t="shared" ca="1" si="115"/>
        <v>1674169375458.1147</v>
      </c>
      <c r="K822" s="54">
        <f t="shared" ca="1" si="116"/>
        <v>16.177620438051182</v>
      </c>
    </row>
    <row r="823" spans="2:11" ht="15" customHeight="1" x14ac:dyDescent="0.35">
      <c r="B823" s="5">
        <v>802</v>
      </c>
      <c r="C823" s="52">
        <f t="shared" ca="1" si="108"/>
        <v>3.0416683554602852</v>
      </c>
      <c r="D823" s="53">
        <f t="shared" ca="1" si="109"/>
        <v>5557501161.0820951</v>
      </c>
      <c r="E823" s="53">
        <f t="shared" ca="1" si="110"/>
        <v>82850525832252.922</v>
      </c>
      <c r="F823" s="53">
        <f t="shared" ca="1" si="111"/>
        <v>2925328666977.3975</v>
      </c>
      <c r="G823" s="53">
        <f t="shared" ca="1" si="112"/>
        <v>488308834127.75159</v>
      </c>
      <c r="H823" s="53">
        <f t="shared" ca="1" si="113"/>
        <v>82850525832252.922</v>
      </c>
      <c r="I823" s="53">
        <f t="shared" ca="1" si="114"/>
        <v>1888875168054.1558</v>
      </c>
      <c r="J823" s="53">
        <f t="shared" ca="1" si="115"/>
        <v>1034237062777.2278</v>
      </c>
      <c r="K823" s="54">
        <f t="shared" ca="1" si="116"/>
        <v>1.8263464306548594</v>
      </c>
    </row>
    <row r="824" spans="2:11" ht="15" customHeight="1" x14ac:dyDescent="0.35">
      <c r="B824" s="5">
        <v>803</v>
      </c>
      <c r="C824" s="52">
        <f t="shared" ca="1" si="108"/>
        <v>3.1290741292410122</v>
      </c>
      <c r="D824" s="53">
        <f t="shared" ca="1" si="109"/>
        <v>6866264160.9824209</v>
      </c>
      <c r="E824" s="53">
        <f t="shared" ca="1" si="110"/>
        <v>14895055437811.031</v>
      </c>
      <c r="F824" s="53">
        <f t="shared" ca="1" si="111"/>
        <v>1427175560900.8691</v>
      </c>
      <c r="G824" s="53">
        <f t="shared" ca="1" si="112"/>
        <v>16750077167118.777</v>
      </c>
      <c r="H824" s="53">
        <f t="shared" ca="1" si="113"/>
        <v>16750077167118.777</v>
      </c>
      <c r="I824" s="53">
        <f t="shared" ca="1" si="114"/>
        <v>11539261363974.359</v>
      </c>
      <c r="J824" s="53">
        <f t="shared" ca="1" si="115"/>
        <v>1328903548427.8877</v>
      </c>
      <c r="K824" s="54">
        <f t="shared" ca="1" si="116"/>
        <v>8.6832948693872289</v>
      </c>
    </row>
    <row r="825" spans="2:11" ht="15" customHeight="1" x14ac:dyDescent="0.35">
      <c r="B825" s="5">
        <v>804</v>
      </c>
      <c r="C825" s="52">
        <f t="shared" ca="1" si="108"/>
        <v>2.8387705504400742</v>
      </c>
      <c r="D825" s="53">
        <f t="shared" ca="1" si="109"/>
        <v>3545644881.6179447</v>
      </c>
      <c r="E825" s="53">
        <f t="shared" ca="1" si="110"/>
        <v>38985742834936.57</v>
      </c>
      <c r="F825" s="53">
        <f t="shared" ca="1" si="111"/>
        <v>523865272254.46191</v>
      </c>
      <c r="G825" s="53">
        <f t="shared" ca="1" si="112"/>
        <v>3690899329126.3096</v>
      </c>
      <c r="H825" s="53">
        <f t="shared" ca="1" si="113"/>
        <v>3690899329126.3096</v>
      </c>
      <c r="I825" s="53">
        <f t="shared" ca="1" si="114"/>
        <v>9316908681246.8848</v>
      </c>
      <c r="J825" s="53">
        <f t="shared" ca="1" si="115"/>
        <v>916030060192.14063</v>
      </c>
      <c r="K825" s="54">
        <f t="shared" ca="1" si="116"/>
        <v>10.170963908425264</v>
      </c>
    </row>
    <row r="826" spans="2:11" ht="15" customHeight="1" x14ac:dyDescent="0.35">
      <c r="B826" s="5">
        <v>805</v>
      </c>
      <c r="C826" s="52">
        <f t="shared" ca="1" si="108"/>
        <v>2.9548126978718372</v>
      </c>
      <c r="D826" s="53">
        <f t="shared" ca="1" si="109"/>
        <v>4636929925.8726454</v>
      </c>
      <c r="E826" s="53">
        <f t="shared" ca="1" si="110"/>
        <v>80996811744392.313</v>
      </c>
      <c r="F826" s="53">
        <f t="shared" ca="1" si="111"/>
        <v>1707907046441.8162</v>
      </c>
      <c r="G826" s="53">
        <f t="shared" ca="1" si="112"/>
        <v>3647986682142.8872</v>
      </c>
      <c r="H826" s="53">
        <f t="shared" ca="1" si="113"/>
        <v>80996811744392.313</v>
      </c>
      <c r="I826" s="53">
        <f t="shared" ca="1" si="114"/>
        <v>8954293255143.5273</v>
      </c>
      <c r="J826" s="53">
        <f t="shared" ca="1" si="115"/>
        <v>588826126459.42029</v>
      </c>
      <c r="K826" s="54">
        <f t="shared" ca="1" si="116"/>
        <v>15.207024370649464</v>
      </c>
    </row>
    <row r="827" spans="2:11" ht="15" customHeight="1" x14ac:dyDescent="0.35">
      <c r="B827" s="5">
        <v>806</v>
      </c>
      <c r="C827" s="52">
        <f t="shared" ca="1" si="108"/>
        <v>4.5</v>
      </c>
      <c r="D827" s="53">
        <f t="shared" ca="1" si="109"/>
        <v>34527526356.519348</v>
      </c>
      <c r="E827" s="53">
        <f t="shared" ca="1" si="110"/>
        <v>123742089274715.25</v>
      </c>
      <c r="F827" s="53">
        <f t="shared" ca="1" si="111"/>
        <v>16088559013173.967</v>
      </c>
      <c r="G827" s="53">
        <f t="shared" ca="1" si="112"/>
        <v>3243153794649.6235</v>
      </c>
      <c r="H827" s="53">
        <f t="shared" ca="1" si="113"/>
        <v>3243153794649.6235</v>
      </c>
      <c r="I827" s="53">
        <f t="shared" ca="1" si="114"/>
        <v>7815347279998.3047</v>
      </c>
      <c r="J827" s="53">
        <f t="shared" ca="1" si="115"/>
        <v>1110425819470.7681</v>
      </c>
      <c r="K827" s="54">
        <f t="shared" ca="1" si="116"/>
        <v>7.0381534209310086</v>
      </c>
    </row>
    <row r="828" spans="2:11" ht="15" customHeight="1" x14ac:dyDescent="0.35">
      <c r="B828" s="5">
        <v>807</v>
      </c>
      <c r="C828" s="52">
        <f t="shared" ca="1" si="108"/>
        <v>3.045677189843695</v>
      </c>
      <c r="D828" s="53">
        <f t="shared" ca="1" si="109"/>
        <v>5646336593.2231426</v>
      </c>
      <c r="E828" s="53">
        <f t="shared" ca="1" si="110"/>
        <v>24357727366589.102</v>
      </c>
      <c r="F828" s="53">
        <f t="shared" ca="1" si="111"/>
        <v>1108225391381.9768</v>
      </c>
      <c r="G828" s="53">
        <f t="shared" ca="1" si="112"/>
        <v>48468066485093.727</v>
      </c>
      <c r="H828" s="53">
        <f t="shared" ca="1" si="113"/>
        <v>48468066485093.727</v>
      </c>
      <c r="I828" s="53">
        <f t="shared" ca="1" si="114"/>
        <v>455744867444.92963</v>
      </c>
      <c r="J828" s="53">
        <f t="shared" ca="1" si="115"/>
        <v>1100798900901.7014</v>
      </c>
      <c r="K828" s="54">
        <f t="shared" ca="1" si="116"/>
        <v>0.41401282929299227</v>
      </c>
    </row>
    <row r="829" spans="2:11" ht="15" customHeight="1" x14ac:dyDescent="0.35">
      <c r="B829" s="5">
        <v>808</v>
      </c>
      <c r="C829" s="52">
        <f t="shared" ca="1" si="108"/>
        <v>3.8378048653636045</v>
      </c>
      <c r="D829" s="53">
        <f t="shared" ca="1" si="109"/>
        <v>16163203600.661087</v>
      </c>
      <c r="E829" s="53">
        <f t="shared" ca="1" si="110"/>
        <v>29338612010632.602</v>
      </c>
      <c r="F829" s="53">
        <f t="shared" ca="1" si="111"/>
        <v>11800774277117.58</v>
      </c>
      <c r="G829" s="53">
        <f t="shared" ca="1" si="112"/>
        <v>2531924750557.6768</v>
      </c>
      <c r="H829" s="53">
        <f t="shared" ca="1" si="113"/>
        <v>29338612010632.602</v>
      </c>
      <c r="I829" s="53">
        <f t="shared" ca="1" si="114"/>
        <v>17284728597369.463</v>
      </c>
      <c r="J829" s="53">
        <f t="shared" ca="1" si="115"/>
        <v>907554757707.71948</v>
      </c>
      <c r="K829" s="54">
        <f t="shared" ca="1" si="116"/>
        <v>19.04538370888697</v>
      </c>
    </row>
    <row r="830" spans="2:11" ht="15" customHeight="1" x14ac:dyDescent="0.35">
      <c r="B830" s="5">
        <v>809</v>
      </c>
      <c r="C830" s="52">
        <f t="shared" ca="1" si="108"/>
        <v>3.6852140331845007</v>
      </c>
      <c r="D830" s="53">
        <f t="shared" ca="1" si="109"/>
        <v>12277299426.989426</v>
      </c>
      <c r="E830" s="53">
        <f t="shared" ca="1" si="110"/>
        <v>63009869150927.141</v>
      </c>
      <c r="F830" s="53">
        <f t="shared" ca="1" si="111"/>
        <v>8451903217729.1641</v>
      </c>
      <c r="G830" s="53">
        <f t="shared" ca="1" si="112"/>
        <v>7316751260967.9072</v>
      </c>
      <c r="H830" s="53">
        <f t="shared" ca="1" si="113"/>
        <v>63009869150927.141</v>
      </c>
      <c r="I830" s="53">
        <f t="shared" ca="1" si="114"/>
        <v>748302823166.20862</v>
      </c>
      <c r="J830" s="53">
        <f t="shared" ca="1" si="115"/>
        <v>459985665480.88513</v>
      </c>
      <c r="K830" s="54">
        <f t="shared" ca="1" si="116"/>
        <v>1.6267959619652639</v>
      </c>
    </row>
    <row r="831" spans="2:11" ht="15" customHeight="1" x14ac:dyDescent="0.35">
      <c r="B831" s="5">
        <v>810</v>
      </c>
      <c r="C831" s="52">
        <f t="shared" ca="1" si="108"/>
        <v>2.667020329666911</v>
      </c>
      <c r="D831" s="53">
        <f t="shared" ca="1" si="109"/>
        <v>2954353851.6988244</v>
      </c>
      <c r="E831" s="53">
        <f t="shared" ca="1" si="110"/>
        <v>1470223221423.7117</v>
      </c>
      <c r="F831" s="53">
        <f t="shared" ca="1" si="111"/>
        <v>1208466600884.8149</v>
      </c>
      <c r="G831" s="53">
        <f t="shared" ca="1" si="112"/>
        <v>21438904388985.625</v>
      </c>
      <c r="H831" s="53">
        <f t="shared" ca="1" si="113"/>
        <v>21438904388985.625</v>
      </c>
      <c r="I831" s="53">
        <f t="shared" ca="1" si="114"/>
        <v>69465518280293.422</v>
      </c>
      <c r="J831" s="53">
        <f t="shared" ca="1" si="115"/>
        <v>733872908063.58301</v>
      </c>
      <c r="K831" s="54">
        <f t="shared" ca="1" si="116"/>
        <v>94.656060357354008</v>
      </c>
    </row>
    <row r="832" spans="2:11" ht="15" customHeight="1" x14ac:dyDescent="0.35">
      <c r="B832" s="5">
        <v>811</v>
      </c>
      <c r="C832" s="52">
        <f t="shared" ca="1" si="108"/>
        <v>2.4285269923747972</v>
      </c>
      <c r="D832" s="53">
        <f t="shared" ca="1" si="109"/>
        <v>1942002444.8672202</v>
      </c>
      <c r="E832" s="53">
        <f t="shared" ca="1" si="110"/>
        <v>5930315875501.7305</v>
      </c>
      <c r="F832" s="53">
        <f t="shared" ca="1" si="111"/>
        <v>6574832014785.415</v>
      </c>
      <c r="G832" s="53">
        <f t="shared" ca="1" si="112"/>
        <v>364706475310.86523</v>
      </c>
      <c r="H832" s="53">
        <f t="shared" ca="1" si="113"/>
        <v>5930315875501.7305</v>
      </c>
      <c r="I832" s="53">
        <f t="shared" ca="1" si="114"/>
        <v>5455810704872.4121</v>
      </c>
      <c r="J832" s="53">
        <f t="shared" ca="1" si="115"/>
        <v>1134881802576.6582</v>
      </c>
      <c r="K832" s="54">
        <f t="shared" ca="1" si="116"/>
        <v>4.8073823128412414</v>
      </c>
    </row>
    <row r="833" spans="2:11" ht="15" customHeight="1" x14ac:dyDescent="0.35">
      <c r="B833" s="5">
        <v>812</v>
      </c>
      <c r="C833" s="52">
        <f t="shared" ca="1" si="108"/>
        <v>3.5025365457747699</v>
      </c>
      <c r="D833" s="53">
        <f t="shared" ca="1" si="109"/>
        <v>10451216721.098785</v>
      </c>
      <c r="E833" s="53">
        <f t="shared" ca="1" si="110"/>
        <v>20961376314489.449</v>
      </c>
      <c r="F833" s="53">
        <f t="shared" ca="1" si="111"/>
        <v>1714955544918.4658</v>
      </c>
      <c r="G833" s="53">
        <f t="shared" ca="1" si="112"/>
        <v>27622415037128.422</v>
      </c>
      <c r="H833" s="53">
        <f t="shared" ca="1" si="113"/>
        <v>20961376314489.449</v>
      </c>
      <c r="I833" s="53">
        <f t="shared" ca="1" si="114"/>
        <v>5769480257614.1533</v>
      </c>
      <c r="J833" s="53">
        <f t="shared" ca="1" si="115"/>
        <v>560549870088.46387</v>
      </c>
      <c r="K833" s="54">
        <f t="shared" ca="1" si="116"/>
        <v>10.292536963220838</v>
      </c>
    </row>
    <row r="834" spans="2:11" ht="15" customHeight="1" x14ac:dyDescent="0.35">
      <c r="B834" s="5">
        <v>813</v>
      </c>
      <c r="C834" s="52">
        <f t="shared" ca="1" si="108"/>
        <v>1.8587396459872909</v>
      </c>
      <c r="D834" s="53">
        <f t="shared" ca="1" si="109"/>
        <v>448225838.1620906</v>
      </c>
      <c r="E834" s="53">
        <f t="shared" ca="1" si="110"/>
        <v>2323370115813.5659</v>
      </c>
      <c r="F834" s="53">
        <f t="shared" ca="1" si="111"/>
        <v>1606558018749.8071</v>
      </c>
      <c r="G834" s="53">
        <f t="shared" ca="1" si="112"/>
        <v>15654495567114.375</v>
      </c>
      <c r="H834" s="53">
        <f t="shared" ca="1" si="113"/>
        <v>2323370115813.5659</v>
      </c>
      <c r="I834" s="53">
        <f t="shared" ca="1" si="114"/>
        <v>22847720391109.891</v>
      </c>
      <c r="J834" s="53">
        <f t="shared" ca="1" si="115"/>
        <v>1312129296128.4089</v>
      </c>
      <c r="K834" s="54">
        <f t="shared" ca="1" si="116"/>
        <v>17.412705027259708</v>
      </c>
    </row>
    <row r="835" spans="2:11" ht="15" customHeight="1" x14ac:dyDescent="0.35">
      <c r="B835" s="5">
        <v>814</v>
      </c>
      <c r="C835" s="52">
        <f t="shared" ca="1" si="108"/>
        <v>2.624826612772365</v>
      </c>
      <c r="D835" s="53">
        <f t="shared" ca="1" si="109"/>
        <v>2681432057.1146774</v>
      </c>
      <c r="E835" s="53">
        <f t="shared" ca="1" si="110"/>
        <v>3858453141110.9629</v>
      </c>
      <c r="F835" s="53">
        <f t="shared" ca="1" si="111"/>
        <v>4879974164843.1396</v>
      </c>
      <c r="G835" s="53">
        <f t="shared" ca="1" si="112"/>
        <v>10188067968217.424</v>
      </c>
      <c r="H835" s="53">
        <f t="shared" ca="1" si="113"/>
        <v>10188067968217.424</v>
      </c>
      <c r="I835" s="53">
        <f t="shared" ca="1" si="114"/>
        <v>22507438571461.473</v>
      </c>
      <c r="J835" s="53">
        <f t="shared" ca="1" si="115"/>
        <v>818719392884.71155</v>
      </c>
      <c r="K835" s="54">
        <f t="shared" ca="1" si="116"/>
        <v>27.491028998540983</v>
      </c>
    </row>
    <row r="836" spans="2:11" ht="15" customHeight="1" x14ac:dyDescent="0.35">
      <c r="B836" s="5">
        <v>815</v>
      </c>
      <c r="C836" s="52">
        <f t="shared" ca="1" si="108"/>
        <v>3.1764875002635549</v>
      </c>
      <c r="D836" s="53">
        <f t="shared" ca="1" si="109"/>
        <v>6973414778.974822</v>
      </c>
      <c r="E836" s="53">
        <f t="shared" ca="1" si="110"/>
        <v>130272935636194.25</v>
      </c>
      <c r="F836" s="53">
        <f t="shared" ca="1" si="111"/>
        <v>854884608996.85864</v>
      </c>
      <c r="G836" s="53">
        <f t="shared" ca="1" si="112"/>
        <v>6249137700947.5498</v>
      </c>
      <c r="H836" s="53">
        <f t="shared" ca="1" si="113"/>
        <v>6249137700947.5498</v>
      </c>
      <c r="I836" s="53">
        <f t="shared" ca="1" si="114"/>
        <v>39355440967064.914</v>
      </c>
      <c r="J836" s="53">
        <f t="shared" ca="1" si="115"/>
        <v>919531813987.38696</v>
      </c>
      <c r="K836" s="54">
        <f t="shared" ca="1" si="116"/>
        <v>42.799433764457817</v>
      </c>
    </row>
    <row r="837" spans="2:11" ht="15" customHeight="1" x14ac:dyDescent="0.35">
      <c r="B837" s="5">
        <v>816</v>
      </c>
      <c r="C837" s="52">
        <f t="shared" ca="1" si="108"/>
        <v>3.8734459868889068</v>
      </c>
      <c r="D837" s="53">
        <f t="shared" ca="1" si="109"/>
        <v>16747601035.031803</v>
      </c>
      <c r="E837" s="53">
        <f t="shared" ca="1" si="110"/>
        <v>68980488276845.656</v>
      </c>
      <c r="F837" s="53">
        <f t="shared" ca="1" si="111"/>
        <v>5514564926374.1504</v>
      </c>
      <c r="G837" s="53">
        <f t="shared" ca="1" si="112"/>
        <v>4418469424991.3984</v>
      </c>
      <c r="H837" s="53">
        <f t="shared" ca="1" si="113"/>
        <v>4418469424991.3984</v>
      </c>
      <c r="I837" s="53">
        <f t="shared" ca="1" si="114"/>
        <v>3508928591971.5195</v>
      </c>
      <c r="J837" s="53">
        <f t="shared" ca="1" si="115"/>
        <v>1014265732425.1639</v>
      </c>
      <c r="K837" s="54">
        <f t="shared" ca="1" si="116"/>
        <v>3.4595752176123336</v>
      </c>
    </row>
    <row r="838" spans="2:11" ht="15" customHeight="1" x14ac:dyDescent="0.35">
      <c r="B838" s="5">
        <v>817</v>
      </c>
      <c r="C838" s="52">
        <f t="shared" ca="1" si="108"/>
        <v>3.1663934467652424</v>
      </c>
      <c r="D838" s="53">
        <f t="shared" ca="1" si="109"/>
        <v>5327882852.5196123</v>
      </c>
      <c r="E838" s="53">
        <f t="shared" ca="1" si="110"/>
        <v>20503387762375.844</v>
      </c>
      <c r="F838" s="53">
        <f t="shared" ca="1" si="111"/>
        <v>3795676595078.8452</v>
      </c>
      <c r="G838" s="53">
        <f t="shared" ca="1" si="112"/>
        <v>24097248133845.16</v>
      </c>
      <c r="H838" s="53">
        <f t="shared" ca="1" si="113"/>
        <v>24097248133845.16</v>
      </c>
      <c r="I838" s="53">
        <f t="shared" ca="1" si="114"/>
        <v>48559149441803.484</v>
      </c>
      <c r="J838" s="53">
        <f t="shared" ca="1" si="115"/>
        <v>621705736457.32617</v>
      </c>
      <c r="K838" s="54">
        <f t="shared" ca="1" si="116"/>
        <v>78.106323609797641</v>
      </c>
    </row>
    <row r="839" spans="2:11" ht="15" customHeight="1" x14ac:dyDescent="0.35">
      <c r="B839" s="5">
        <v>818</v>
      </c>
      <c r="C839" s="52">
        <f t="shared" ca="1" si="108"/>
        <v>3.3962431396698398</v>
      </c>
      <c r="D839" s="53">
        <f t="shared" ca="1" si="109"/>
        <v>7952829966.8546486</v>
      </c>
      <c r="E839" s="53">
        <f t="shared" ca="1" si="110"/>
        <v>24275493742517.121</v>
      </c>
      <c r="F839" s="53">
        <f t="shared" ca="1" si="111"/>
        <v>32334199751831.344</v>
      </c>
      <c r="G839" s="53">
        <f t="shared" ca="1" si="112"/>
        <v>64857465388534.406</v>
      </c>
      <c r="H839" s="53">
        <f t="shared" ca="1" si="113"/>
        <v>64857465388534.406</v>
      </c>
      <c r="I839" s="53">
        <f t="shared" ca="1" si="114"/>
        <v>5108826703156.7549</v>
      </c>
      <c r="J839" s="53">
        <f t="shared" ca="1" si="115"/>
        <v>998392322415.14893</v>
      </c>
      <c r="K839" s="54">
        <f t="shared" ca="1" si="116"/>
        <v>5.1170532750074731</v>
      </c>
    </row>
    <row r="840" spans="2:11" ht="15" customHeight="1" x14ac:dyDescent="0.35">
      <c r="B840" s="5">
        <v>819</v>
      </c>
      <c r="C840" s="52">
        <f t="shared" ca="1" si="108"/>
        <v>3.1539499554967261</v>
      </c>
      <c r="D840" s="53">
        <f t="shared" ca="1" si="109"/>
        <v>7295805504.222373</v>
      </c>
      <c r="E840" s="53">
        <f t="shared" ca="1" si="110"/>
        <v>5316527226755.3154</v>
      </c>
      <c r="F840" s="53">
        <f t="shared" ca="1" si="111"/>
        <v>5680941465525.5</v>
      </c>
      <c r="G840" s="53">
        <f t="shared" ca="1" si="112"/>
        <v>9257406712324.3633</v>
      </c>
      <c r="H840" s="53">
        <f t="shared" ca="1" si="113"/>
        <v>9257406712324.3633</v>
      </c>
      <c r="I840" s="53">
        <f t="shared" ca="1" si="114"/>
        <v>64694473410361.109</v>
      </c>
      <c r="J840" s="53">
        <f t="shared" ca="1" si="115"/>
        <v>1381178462074.1099</v>
      </c>
      <c r="K840" s="54">
        <f t="shared" ca="1" si="116"/>
        <v>46.840053756130608</v>
      </c>
    </row>
    <row r="841" spans="2:11" ht="15" customHeight="1" x14ac:dyDescent="0.35">
      <c r="B841" s="5">
        <v>820</v>
      </c>
      <c r="C841" s="52">
        <f t="shared" ca="1" si="108"/>
        <v>3.385931499644828</v>
      </c>
      <c r="D841" s="53">
        <f t="shared" ca="1" si="109"/>
        <v>10056123213.382452</v>
      </c>
      <c r="E841" s="53">
        <f t="shared" ca="1" si="110"/>
        <v>48261750273718.789</v>
      </c>
      <c r="F841" s="53">
        <f t="shared" ca="1" si="111"/>
        <v>2060597010076.1367</v>
      </c>
      <c r="G841" s="53">
        <f t="shared" ca="1" si="112"/>
        <v>8989737322592.8184</v>
      </c>
      <c r="H841" s="53">
        <f t="shared" ca="1" si="113"/>
        <v>2060597010076.1367</v>
      </c>
      <c r="I841" s="53">
        <f t="shared" ca="1" si="114"/>
        <v>2760018089716.6528</v>
      </c>
      <c r="J841" s="53">
        <f t="shared" ca="1" si="115"/>
        <v>1528490892217.1707</v>
      </c>
      <c r="K841" s="54">
        <f t="shared" ca="1" si="116"/>
        <v>1.805714449310899</v>
      </c>
    </row>
    <row r="842" spans="2:11" ht="15" customHeight="1" x14ac:dyDescent="0.35">
      <c r="B842" s="5">
        <v>821</v>
      </c>
      <c r="C842" s="52">
        <f t="shared" ca="1" si="108"/>
        <v>2.863850911133631</v>
      </c>
      <c r="D842" s="53">
        <f t="shared" ca="1" si="109"/>
        <v>3091181262.086956</v>
      </c>
      <c r="E842" s="53">
        <f t="shared" ca="1" si="110"/>
        <v>12233323755518.279</v>
      </c>
      <c r="F842" s="53">
        <f t="shared" ca="1" si="111"/>
        <v>4624763138612.8389</v>
      </c>
      <c r="G842" s="53">
        <f t="shared" ca="1" si="112"/>
        <v>5627607471869.3838</v>
      </c>
      <c r="H842" s="53">
        <f t="shared" ca="1" si="113"/>
        <v>4624763138612.8389</v>
      </c>
      <c r="I842" s="53">
        <f t="shared" ca="1" si="114"/>
        <v>2403293971112.7646</v>
      </c>
      <c r="J842" s="53">
        <f t="shared" ca="1" si="115"/>
        <v>942131440594.7666</v>
      </c>
      <c r="K842" s="54">
        <f t="shared" ca="1" si="116"/>
        <v>2.5509115475390223</v>
      </c>
    </row>
    <row r="843" spans="2:11" ht="15" customHeight="1" x14ac:dyDescent="0.35">
      <c r="B843" s="5">
        <v>822</v>
      </c>
      <c r="C843" s="52">
        <f t="shared" ca="1" si="108"/>
        <v>2.8167625069723221</v>
      </c>
      <c r="D843" s="53">
        <f t="shared" ca="1" si="109"/>
        <v>2888049652.7207179</v>
      </c>
      <c r="E843" s="53">
        <f t="shared" ca="1" si="110"/>
        <v>7536554193379.918</v>
      </c>
      <c r="F843" s="53">
        <f t="shared" ca="1" si="111"/>
        <v>4334437956234.6157</v>
      </c>
      <c r="G843" s="53">
        <f t="shared" ca="1" si="112"/>
        <v>3317049845633.6611</v>
      </c>
      <c r="H843" s="53">
        <f t="shared" ca="1" si="113"/>
        <v>7536554193379.918</v>
      </c>
      <c r="I843" s="53">
        <f t="shared" ca="1" si="114"/>
        <v>3749808375184.8901</v>
      </c>
      <c r="J843" s="53">
        <f t="shared" ca="1" si="115"/>
        <v>1119182048903.1116</v>
      </c>
      <c r="K843" s="54">
        <f t="shared" ca="1" si="116"/>
        <v>3.3504901002120291</v>
      </c>
    </row>
    <row r="844" spans="2:11" ht="15" customHeight="1" x14ac:dyDescent="0.35">
      <c r="B844" s="5">
        <v>823</v>
      </c>
      <c r="C844" s="52">
        <f t="shared" ca="1" si="108"/>
        <v>3.5609773821757456</v>
      </c>
      <c r="D844" s="53">
        <f t="shared" ca="1" si="109"/>
        <v>13248242627.628614</v>
      </c>
      <c r="E844" s="53">
        <f t="shared" ca="1" si="110"/>
        <v>205497956176264.5</v>
      </c>
      <c r="F844" s="53">
        <f t="shared" ca="1" si="111"/>
        <v>1219268900462.9709</v>
      </c>
      <c r="G844" s="53">
        <f t="shared" ca="1" si="112"/>
        <v>1620771226049.4971</v>
      </c>
      <c r="H844" s="53">
        <f t="shared" ca="1" si="113"/>
        <v>205497956176264.5</v>
      </c>
      <c r="I844" s="53">
        <f t="shared" ca="1" si="114"/>
        <v>34915038965752.875</v>
      </c>
      <c r="J844" s="53">
        <f t="shared" ca="1" si="115"/>
        <v>1258222595056.6501</v>
      </c>
      <c r="K844" s="54">
        <f t="shared" ca="1" si="116"/>
        <v>27.749492898099529</v>
      </c>
    </row>
    <row r="845" spans="2:11" ht="15" customHeight="1" x14ac:dyDescent="0.35">
      <c r="B845" s="5">
        <v>824</v>
      </c>
      <c r="C845" s="52">
        <f t="shared" ca="1" si="108"/>
        <v>2.8695348570053207</v>
      </c>
      <c r="D845" s="53">
        <f t="shared" ca="1" si="109"/>
        <v>4134174240.8819623</v>
      </c>
      <c r="E845" s="53">
        <f t="shared" ca="1" si="110"/>
        <v>45878000122936.836</v>
      </c>
      <c r="F845" s="53">
        <f t="shared" ca="1" si="111"/>
        <v>1915933712534.9404</v>
      </c>
      <c r="G845" s="53">
        <f t="shared" ca="1" si="112"/>
        <v>4275308465310.124</v>
      </c>
      <c r="H845" s="53">
        <f t="shared" ca="1" si="113"/>
        <v>45878000122936.836</v>
      </c>
      <c r="I845" s="53">
        <f t="shared" ca="1" si="114"/>
        <v>8198895518543.708</v>
      </c>
      <c r="J845" s="53">
        <f t="shared" ca="1" si="115"/>
        <v>984073443767.36768</v>
      </c>
      <c r="K845" s="54">
        <f t="shared" ca="1" si="116"/>
        <v>8.3315890398947747</v>
      </c>
    </row>
    <row r="846" spans="2:11" ht="15" customHeight="1" x14ac:dyDescent="0.35">
      <c r="B846" s="5">
        <v>825</v>
      </c>
      <c r="C846" s="52">
        <f t="shared" ca="1" si="108"/>
        <v>2.7124203211916207</v>
      </c>
      <c r="D846" s="53">
        <f t="shared" ca="1" si="109"/>
        <v>2386266312.0968766</v>
      </c>
      <c r="E846" s="53">
        <f t="shared" ca="1" si="110"/>
        <v>9286679031727.3809</v>
      </c>
      <c r="F846" s="53">
        <f t="shared" ca="1" si="111"/>
        <v>745927332710.03113</v>
      </c>
      <c r="G846" s="53">
        <f t="shared" ca="1" si="112"/>
        <v>50370956508999.867</v>
      </c>
      <c r="H846" s="53">
        <f t="shared" ca="1" si="113"/>
        <v>9286679031727.3809</v>
      </c>
      <c r="I846" s="53">
        <f t="shared" ca="1" si="114"/>
        <v>19547209291502.957</v>
      </c>
      <c r="J846" s="53">
        <f t="shared" ca="1" si="115"/>
        <v>1045541571445.8165</v>
      </c>
      <c r="K846" s="54">
        <f t="shared" ca="1" si="116"/>
        <v>18.695774348285642</v>
      </c>
    </row>
    <row r="847" spans="2:11" ht="15" customHeight="1" x14ac:dyDescent="0.35">
      <c r="B847" s="5">
        <v>826</v>
      </c>
      <c r="C847" s="52">
        <f t="shared" ca="1" si="108"/>
        <v>3.2880106224258485</v>
      </c>
      <c r="D847" s="53">
        <f t="shared" ca="1" si="109"/>
        <v>8929028146.8794289</v>
      </c>
      <c r="E847" s="53">
        <f t="shared" ca="1" si="110"/>
        <v>65522837530082.133</v>
      </c>
      <c r="F847" s="53">
        <f t="shared" ca="1" si="111"/>
        <v>3573648553795.7798</v>
      </c>
      <c r="G847" s="53">
        <f t="shared" ca="1" si="112"/>
        <v>53758963459250.555</v>
      </c>
      <c r="H847" s="53">
        <f t="shared" ca="1" si="113"/>
        <v>65522837530082.133</v>
      </c>
      <c r="I847" s="53">
        <f t="shared" ca="1" si="114"/>
        <v>1399992404505.0886</v>
      </c>
      <c r="J847" s="53">
        <f t="shared" ca="1" si="115"/>
        <v>1231942960931.0979</v>
      </c>
      <c r="K847" s="54">
        <f t="shared" ca="1" si="116"/>
        <v>1.1364100846414023</v>
      </c>
    </row>
    <row r="848" spans="2:11" ht="15" customHeight="1" x14ac:dyDescent="0.35">
      <c r="B848" s="5">
        <v>827</v>
      </c>
      <c r="C848" s="52">
        <f t="shared" ca="1" si="108"/>
        <v>2.7773593297650949</v>
      </c>
      <c r="D848" s="53">
        <f t="shared" ca="1" si="109"/>
        <v>3313049350.2947044</v>
      </c>
      <c r="E848" s="53">
        <f t="shared" ca="1" si="110"/>
        <v>19838011855889.016</v>
      </c>
      <c r="F848" s="53">
        <f t="shared" ca="1" si="111"/>
        <v>5600562562428.7617</v>
      </c>
      <c r="G848" s="53">
        <f t="shared" ca="1" si="112"/>
        <v>7097843528067.9521</v>
      </c>
      <c r="H848" s="53">
        <f t="shared" ca="1" si="113"/>
        <v>7097843528067.9521</v>
      </c>
      <c r="I848" s="53">
        <f t="shared" ca="1" si="114"/>
        <v>66781573084810.328</v>
      </c>
      <c r="J848" s="53">
        <f t="shared" ca="1" si="115"/>
        <v>487019374798.05188</v>
      </c>
      <c r="K848" s="54">
        <f t="shared" ca="1" si="116"/>
        <v>137.1230315272407</v>
      </c>
    </row>
    <row r="849" spans="2:11" ht="15" customHeight="1" x14ac:dyDescent="0.35">
      <c r="B849" s="5">
        <v>828</v>
      </c>
      <c r="C849" s="52">
        <f t="shared" ca="1" si="108"/>
        <v>2.9963896665152809</v>
      </c>
      <c r="D849" s="53">
        <f t="shared" ca="1" si="109"/>
        <v>4014731791.5780864</v>
      </c>
      <c r="E849" s="53">
        <f t="shared" ca="1" si="110"/>
        <v>4082517359009.6021</v>
      </c>
      <c r="F849" s="53">
        <f t="shared" ca="1" si="111"/>
        <v>2042726607941.3066</v>
      </c>
      <c r="G849" s="53">
        <f t="shared" ca="1" si="112"/>
        <v>239567624036.6864</v>
      </c>
      <c r="H849" s="53">
        <f t="shared" ca="1" si="113"/>
        <v>2042726607941.3066</v>
      </c>
      <c r="I849" s="53">
        <f t="shared" ca="1" si="114"/>
        <v>12554410146947.764</v>
      </c>
      <c r="J849" s="53">
        <f t="shared" ca="1" si="115"/>
        <v>502650297806.5166</v>
      </c>
      <c r="K849" s="54">
        <f t="shared" ca="1" si="116"/>
        <v>24.976430336822933</v>
      </c>
    </row>
    <row r="850" spans="2:11" ht="15" customHeight="1" x14ac:dyDescent="0.35">
      <c r="B850" s="5">
        <v>829</v>
      </c>
      <c r="C850" s="52">
        <f t="shared" ca="1" si="108"/>
        <v>2.4042482771900127</v>
      </c>
      <c r="D850" s="53">
        <f t="shared" ca="1" si="109"/>
        <v>1497199996.4234309</v>
      </c>
      <c r="E850" s="53">
        <f t="shared" ca="1" si="110"/>
        <v>13810636096581.676</v>
      </c>
      <c r="F850" s="53">
        <f t="shared" ca="1" si="111"/>
        <v>749229601074.5155</v>
      </c>
      <c r="G850" s="53">
        <f t="shared" ca="1" si="112"/>
        <v>14580317181855.568</v>
      </c>
      <c r="H850" s="53">
        <f t="shared" ca="1" si="113"/>
        <v>14580317181855.568</v>
      </c>
      <c r="I850" s="53">
        <f t="shared" ca="1" si="114"/>
        <v>23154596474733.332</v>
      </c>
      <c r="J850" s="53">
        <f t="shared" ca="1" si="115"/>
        <v>1127651656135.644</v>
      </c>
      <c r="K850" s="54">
        <f t="shared" ca="1" si="116"/>
        <v>20.533465586422274</v>
      </c>
    </row>
    <row r="851" spans="2:11" ht="15" customHeight="1" x14ac:dyDescent="0.35">
      <c r="B851" s="5">
        <v>830</v>
      </c>
      <c r="C851" s="52">
        <f t="shared" ca="1" si="108"/>
        <v>3.0593401229626052</v>
      </c>
      <c r="D851" s="53">
        <f t="shared" ca="1" si="109"/>
        <v>5486903481.3142157</v>
      </c>
      <c r="E851" s="53">
        <f t="shared" ca="1" si="110"/>
        <v>29066932099341.746</v>
      </c>
      <c r="F851" s="53">
        <f t="shared" ca="1" si="111"/>
        <v>10751789924885.561</v>
      </c>
      <c r="G851" s="53">
        <f t="shared" ca="1" si="112"/>
        <v>21589100604664.785</v>
      </c>
      <c r="H851" s="53">
        <f t="shared" ca="1" si="113"/>
        <v>21589100604664.785</v>
      </c>
      <c r="I851" s="53">
        <f t="shared" ca="1" si="114"/>
        <v>348952089216.43774</v>
      </c>
      <c r="J851" s="53">
        <f t="shared" ca="1" si="115"/>
        <v>776567379485.05383</v>
      </c>
      <c r="K851" s="54">
        <f t="shared" ca="1" si="116"/>
        <v>0.44935197953824668</v>
      </c>
    </row>
    <row r="852" spans="2:11" ht="15" customHeight="1" x14ac:dyDescent="0.35">
      <c r="B852" s="5">
        <v>831</v>
      </c>
      <c r="C852" s="52">
        <f t="shared" ca="1" si="108"/>
        <v>3.1077574392207725</v>
      </c>
      <c r="D852" s="53">
        <f t="shared" ca="1" si="109"/>
        <v>5838128810.5004425</v>
      </c>
      <c r="E852" s="53">
        <f t="shared" ca="1" si="110"/>
        <v>89211029800727.563</v>
      </c>
      <c r="F852" s="53">
        <f t="shared" ca="1" si="111"/>
        <v>8145459119741.5801</v>
      </c>
      <c r="G852" s="53">
        <f t="shared" ca="1" si="112"/>
        <v>3053467337127.688</v>
      </c>
      <c r="H852" s="53">
        <f t="shared" ca="1" si="113"/>
        <v>3053467337127.688</v>
      </c>
      <c r="I852" s="53">
        <f t="shared" ca="1" si="114"/>
        <v>1721282846609.2754</v>
      </c>
      <c r="J852" s="53">
        <f t="shared" ca="1" si="115"/>
        <v>1113834991071.9417</v>
      </c>
      <c r="K852" s="54">
        <f t="shared" ca="1" si="116"/>
        <v>1.5453661093486866</v>
      </c>
    </row>
    <row r="853" spans="2:11" ht="15" customHeight="1" x14ac:dyDescent="0.35">
      <c r="B853" s="5">
        <v>832</v>
      </c>
      <c r="C853" s="52">
        <f t="shared" ca="1" si="108"/>
        <v>2.5750167122523751</v>
      </c>
      <c r="D853" s="53">
        <f t="shared" ca="1" si="109"/>
        <v>1865255185.4302852</v>
      </c>
      <c r="E853" s="53">
        <f t="shared" ca="1" si="110"/>
        <v>6450333325553.1309</v>
      </c>
      <c r="F853" s="53">
        <f t="shared" ca="1" si="111"/>
        <v>3142290088203.9438</v>
      </c>
      <c r="G853" s="53">
        <f t="shared" ca="1" si="112"/>
        <v>2084221745765.1279</v>
      </c>
      <c r="H853" s="53">
        <f t="shared" ca="1" si="113"/>
        <v>2084221745765.1279</v>
      </c>
      <c r="I853" s="53">
        <f t="shared" ca="1" si="114"/>
        <v>62944628764050.516</v>
      </c>
      <c r="J853" s="53">
        <f t="shared" ca="1" si="115"/>
        <v>991581045894.34338</v>
      </c>
      <c r="K853" s="54">
        <f t="shared" ca="1" si="116"/>
        <v>63.479056023381773</v>
      </c>
    </row>
    <row r="854" spans="2:11" ht="15" customHeight="1" x14ac:dyDescent="0.35">
      <c r="B854" s="5">
        <v>833</v>
      </c>
      <c r="C854" s="52">
        <f t="shared" ref="C854:C917" ca="1" si="117">MEDIAN(1.8,NORMINV(RAND(),$C$7,$D$7),4.5)</f>
        <v>3.238724874799626</v>
      </c>
      <c r="D854" s="53">
        <f t="shared" ref="D854:D917" ca="1" si="118">($C$8+RAND()*($D$8-$C$8))*C854^5</f>
        <v>6201683194.5381918</v>
      </c>
      <c r="E854" s="53">
        <f t="shared" ref="E854:E917" ca="1" si="119">D854*($C$10+RAND()*($D$10-$C$10))*EXP(NORMINV(RAND(),$C$9,$D$9))*($C$11+RAND()*($D$11-$C$11))</f>
        <v>23180834065454.363</v>
      </c>
      <c r="F854" s="53">
        <f t="shared" ref="F854:F917" ca="1" si="120">EXP(NORMINV(RAND(),$C$12,$D$12))*EXP(NORMINV(RAND(),$C$13,$D$13))</f>
        <v>1398472441605.5127</v>
      </c>
      <c r="G854" s="53">
        <f t="shared" ref="G854:G917" ca="1" si="121">EXP(NORMINV(RAND(),$C$14,$D$14))*($C$15+RAND()*($D$15-$C$15))*EXP(NORMINV(RAND(),$C$16,$D$16))/1000000*31536000</f>
        <v>1037805147939.4465</v>
      </c>
      <c r="H854" s="53">
        <f t="shared" ref="H854:H917" ca="1" si="122">CHOOSE(RANDBETWEEN(1,3),E854,F854,G854)</f>
        <v>1037805147939.4465</v>
      </c>
      <c r="I854" s="53">
        <f t="shared" ref="I854:I917" ca="1" si="123">EXP(NORMINV(RAND(),$C$14,$D$14))*($C$15+RAND()*($D$15-$C$15))*60</f>
        <v>900294293039.0177</v>
      </c>
      <c r="J854" s="53">
        <f t="shared" ref="J854:J917" ca="1" si="124">($C$17+RAND()*($D$17-$C$17))*($C$18+RAND()*($D$18-$C$18))</f>
        <v>681645152555.99878</v>
      </c>
      <c r="K854" s="54">
        <f t="shared" ref="K854:K917" ca="1" si="125">I854/J854</f>
        <v>1.3207668090400693</v>
      </c>
    </row>
    <row r="855" spans="2:11" ht="15" customHeight="1" x14ac:dyDescent="0.35">
      <c r="B855" s="5">
        <v>834</v>
      </c>
      <c r="C855" s="52">
        <f t="shared" ca="1" si="117"/>
        <v>2.6962004698437219</v>
      </c>
      <c r="D855" s="53">
        <f t="shared" ca="1" si="118"/>
        <v>2403037750.4679942</v>
      </c>
      <c r="E855" s="53">
        <f t="shared" ca="1" si="119"/>
        <v>3536938016100.2285</v>
      </c>
      <c r="F855" s="53">
        <f t="shared" ca="1" si="120"/>
        <v>1006944087539.0929</v>
      </c>
      <c r="G855" s="53">
        <f t="shared" ca="1" si="121"/>
        <v>1369286233469.1411</v>
      </c>
      <c r="H855" s="53">
        <f t="shared" ca="1" si="122"/>
        <v>3536938016100.2285</v>
      </c>
      <c r="I855" s="53">
        <f t="shared" ca="1" si="123"/>
        <v>41788657549390.727</v>
      </c>
      <c r="J855" s="53">
        <f t="shared" ca="1" si="124"/>
        <v>1163759150739.0652</v>
      </c>
      <c r="K855" s="54">
        <f t="shared" ca="1" si="125"/>
        <v>35.908338527651637</v>
      </c>
    </row>
    <row r="856" spans="2:11" ht="15" customHeight="1" x14ac:dyDescent="0.35">
      <c r="B856" s="5">
        <v>835</v>
      </c>
      <c r="C856" s="52">
        <f t="shared" ca="1" si="117"/>
        <v>2.9687193737300177</v>
      </c>
      <c r="D856" s="53">
        <f t="shared" ca="1" si="118"/>
        <v>4347281372.1219234</v>
      </c>
      <c r="E856" s="53">
        <f t="shared" ca="1" si="119"/>
        <v>12722962812172.543</v>
      </c>
      <c r="F856" s="53">
        <f t="shared" ca="1" si="120"/>
        <v>2813136195454.0742</v>
      </c>
      <c r="G856" s="53">
        <f t="shared" ca="1" si="121"/>
        <v>7195491670556.8643</v>
      </c>
      <c r="H856" s="53">
        <f t="shared" ca="1" si="122"/>
        <v>7195491670556.8643</v>
      </c>
      <c r="I856" s="53">
        <f t="shared" ca="1" si="123"/>
        <v>77580863232237.406</v>
      </c>
      <c r="J856" s="53">
        <f t="shared" ca="1" si="124"/>
        <v>1476306816366.1174</v>
      </c>
      <c r="K856" s="54">
        <f t="shared" ca="1" si="125"/>
        <v>52.550636745822423</v>
      </c>
    </row>
    <row r="857" spans="2:11" ht="15" customHeight="1" x14ac:dyDescent="0.35">
      <c r="B857" s="5">
        <v>836</v>
      </c>
      <c r="C857" s="52">
        <f t="shared" ca="1" si="117"/>
        <v>2.3872677313027895</v>
      </c>
      <c r="D857" s="53">
        <f t="shared" ca="1" si="118"/>
        <v>1631842778.9053109</v>
      </c>
      <c r="E857" s="53">
        <f t="shared" ca="1" si="119"/>
        <v>8804097782051.6719</v>
      </c>
      <c r="F857" s="53">
        <f t="shared" ca="1" si="120"/>
        <v>533949085276.4939</v>
      </c>
      <c r="G857" s="53">
        <f t="shared" ca="1" si="121"/>
        <v>8617394026513.374</v>
      </c>
      <c r="H857" s="53">
        <f t="shared" ca="1" si="122"/>
        <v>8804097782051.6719</v>
      </c>
      <c r="I857" s="53">
        <f t="shared" ca="1" si="123"/>
        <v>6255313959523.2021</v>
      </c>
      <c r="J857" s="53">
        <f t="shared" ca="1" si="124"/>
        <v>878718041338.08752</v>
      </c>
      <c r="K857" s="54">
        <f t="shared" ca="1" si="125"/>
        <v>7.1186816080363879</v>
      </c>
    </row>
    <row r="858" spans="2:11" ht="15" customHeight="1" x14ac:dyDescent="0.35">
      <c r="B858" s="5">
        <v>837</v>
      </c>
      <c r="C858" s="52">
        <f t="shared" ca="1" si="117"/>
        <v>2.7681420131159693</v>
      </c>
      <c r="D858" s="53">
        <f t="shared" ca="1" si="118"/>
        <v>2825926339.3792796</v>
      </c>
      <c r="E858" s="53">
        <f t="shared" ca="1" si="119"/>
        <v>11106139904439.725</v>
      </c>
      <c r="F858" s="53">
        <f t="shared" ca="1" si="120"/>
        <v>1143768548882.3696</v>
      </c>
      <c r="G858" s="53">
        <f t="shared" ca="1" si="121"/>
        <v>164626311613.0929</v>
      </c>
      <c r="H858" s="53">
        <f t="shared" ca="1" si="122"/>
        <v>1143768548882.3696</v>
      </c>
      <c r="I858" s="53">
        <f t="shared" ca="1" si="123"/>
        <v>1972363419063.8506</v>
      </c>
      <c r="J858" s="53">
        <f t="shared" ca="1" si="124"/>
        <v>528760998690.60144</v>
      </c>
      <c r="K858" s="54">
        <f t="shared" ca="1" si="125"/>
        <v>3.7301605525901445</v>
      </c>
    </row>
    <row r="859" spans="2:11" ht="15" customHeight="1" x14ac:dyDescent="0.35">
      <c r="B859" s="5">
        <v>838</v>
      </c>
      <c r="C859" s="52">
        <f t="shared" ca="1" si="117"/>
        <v>3.5999118185100709</v>
      </c>
      <c r="D859" s="53">
        <f t="shared" ca="1" si="118"/>
        <v>11731900576.759127</v>
      </c>
      <c r="E859" s="53">
        <f t="shared" ca="1" si="119"/>
        <v>19052550314974.672</v>
      </c>
      <c r="F859" s="53">
        <f t="shared" ca="1" si="120"/>
        <v>1558580337891.7217</v>
      </c>
      <c r="G859" s="53">
        <f t="shared" ca="1" si="121"/>
        <v>42054922575194.961</v>
      </c>
      <c r="H859" s="53">
        <f t="shared" ca="1" si="122"/>
        <v>42054922575194.961</v>
      </c>
      <c r="I859" s="53">
        <f t="shared" ca="1" si="123"/>
        <v>19074547290987.605</v>
      </c>
      <c r="J859" s="53">
        <f t="shared" ca="1" si="124"/>
        <v>835622452273.29907</v>
      </c>
      <c r="K859" s="54">
        <f t="shared" ca="1" si="125"/>
        <v>22.826752966121923</v>
      </c>
    </row>
    <row r="860" spans="2:11" ht="15" customHeight="1" x14ac:dyDescent="0.35">
      <c r="B860" s="5">
        <v>839</v>
      </c>
      <c r="C860" s="52">
        <f t="shared" ca="1" si="117"/>
        <v>2.0279700959952058</v>
      </c>
      <c r="D860" s="53">
        <f t="shared" ca="1" si="118"/>
        <v>550410302.87823904</v>
      </c>
      <c r="E860" s="53">
        <f t="shared" ca="1" si="119"/>
        <v>1555258676809.4463</v>
      </c>
      <c r="F860" s="53">
        <f t="shared" ca="1" si="120"/>
        <v>2469951554815.667</v>
      </c>
      <c r="G860" s="53">
        <f t="shared" ca="1" si="121"/>
        <v>15393686817806.721</v>
      </c>
      <c r="H860" s="53">
        <f t="shared" ca="1" si="122"/>
        <v>1555258676809.4463</v>
      </c>
      <c r="I860" s="53">
        <f t="shared" ca="1" si="123"/>
        <v>74263540362154.375</v>
      </c>
      <c r="J860" s="53">
        <f t="shared" ca="1" si="124"/>
        <v>510208013905.42255</v>
      </c>
      <c r="K860" s="54">
        <f t="shared" ca="1" si="125"/>
        <v>145.55541727715911</v>
      </c>
    </row>
    <row r="861" spans="2:11" ht="15" customHeight="1" x14ac:dyDescent="0.35">
      <c r="B861" s="5">
        <v>840</v>
      </c>
      <c r="C861" s="52">
        <f t="shared" ca="1" si="117"/>
        <v>3.0320023791210837</v>
      </c>
      <c r="D861" s="53">
        <f t="shared" ca="1" si="118"/>
        <v>4524211350.4097414</v>
      </c>
      <c r="E861" s="53">
        <f t="shared" ca="1" si="119"/>
        <v>51491436700474.961</v>
      </c>
      <c r="F861" s="53">
        <f t="shared" ca="1" si="120"/>
        <v>2140856226681.2236</v>
      </c>
      <c r="G861" s="53">
        <f t="shared" ca="1" si="121"/>
        <v>51862195900068.789</v>
      </c>
      <c r="H861" s="53">
        <f t="shared" ca="1" si="122"/>
        <v>2140856226681.2236</v>
      </c>
      <c r="I861" s="53">
        <f t="shared" ca="1" si="123"/>
        <v>21387125356122.313</v>
      </c>
      <c r="J861" s="53">
        <f t="shared" ca="1" si="124"/>
        <v>1146193177528.4065</v>
      </c>
      <c r="K861" s="54">
        <f t="shared" ca="1" si="125"/>
        <v>18.659267718065149</v>
      </c>
    </row>
    <row r="862" spans="2:11" ht="15" customHeight="1" x14ac:dyDescent="0.35">
      <c r="B862" s="5">
        <v>841</v>
      </c>
      <c r="C862" s="52">
        <f t="shared" ca="1" si="117"/>
        <v>2.7804492443802618</v>
      </c>
      <c r="D862" s="53">
        <f t="shared" ca="1" si="118"/>
        <v>3017322772.6618466</v>
      </c>
      <c r="E862" s="53">
        <f t="shared" ca="1" si="119"/>
        <v>29580175698071.645</v>
      </c>
      <c r="F862" s="53">
        <f t="shared" ca="1" si="120"/>
        <v>13084310353317.389</v>
      </c>
      <c r="G862" s="53">
        <f t="shared" ca="1" si="121"/>
        <v>1593401603088.3279</v>
      </c>
      <c r="H862" s="53">
        <f t="shared" ca="1" si="122"/>
        <v>29580175698071.645</v>
      </c>
      <c r="I862" s="53">
        <f t="shared" ca="1" si="123"/>
        <v>6585951501452.4736</v>
      </c>
      <c r="J862" s="53">
        <f t="shared" ca="1" si="124"/>
        <v>722292562664.64172</v>
      </c>
      <c r="K862" s="54">
        <f t="shared" ca="1" si="125"/>
        <v>9.1181217167126096</v>
      </c>
    </row>
    <row r="863" spans="2:11" ht="15" customHeight="1" x14ac:dyDescent="0.35">
      <c r="B863" s="5">
        <v>842</v>
      </c>
      <c r="C863" s="52">
        <f t="shared" ca="1" si="117"/>
        <v>2.7106027257911096</v>
      </c>
      <c r="D863" s="53">
        <f t="shared" ca="1" si="118"/>
        <v>3102643733.9677591</v>
      </c>
      <c r="E863" s="53">
        <f t="shared" ca="1" si="119"/>
        <v>10901083107484.98</v>
      </c>
      <c r="F863" s="53">
        <f t="shared" ca="1" si="120"/>
        <v>973881170593.93372</v>
      </c>
      <c r="G863" s="53">
        <f t="shared" ca="1" si="121"/>
        <v>645076882196.83435</v>
      </c>
      <c r="H863" s="53">
        <f t="shared" ca="1" si="122"/>
        <v>10901083107484.98</v>
      </c>
      <c r="I863" s="53">
        <f t="shared" ca="1" si="123"/>
        <v>6619187950868.374</v>
      </c>
      <c r="J863" s="53">
        <f t="shared" ca="1" si="124"/>
        <v>821400438254.5011</v>
      </c>
      <c r="K863" s="54">
        <f t="shared" ca="1" si="125"/>
        <v>8.0584178466404683</v>
      </c>
    </row>
    <row r="864" spans="2:11" ht="15" customHeight="1" x14ac:dyDescent="0.35">
      <c r="B864" s="5">
        <v>843</v>
      </c>
      <c r="C864" s="52">
        <f t="shared" ca="1" si="117"/>
        <v>3.3293272123157642</v>
      </c>
      <c r="D864" s="53">
        <f t="shared" ca="1" si="118"/>
        <v>7624328611.8174219</v>
      </c>
      <c r="E864" s="53">
        <f t="shared" ca="1" si="119"/>
        <v>21344777916220.508</v>
      </c>
      <c r="F864" s="53">
        <f t="shared" ca="1" si="120"/>
        <v>1887493454872.9741</v>
      </c>
      <c r="G864" s="53">
        <f t="shared" ca="1" si="121"/>
        <v>8112635640397.4473</v>
      </c>
      <c r="H864" s="53">
        <f t="shared" ca="1" si="122"/>
        <v>21344777916220.508</v>
      </c>
      <c r="I864" s="53">
        <f t="shared" ca="1" si="123"/>
        <v>13364345250445.158</v>
      </c>
      <c r="J864" s="53">
        <f t="shared" ca="1" si="124"/>
        <v>609432833297.24915</v>
      </c>
      <c r="K864" s="54">
        <f t="shared" ca="1" si="125"/>
        <v>21.929152025071048</v>
      </c>
    </row>
    <row r="865" spans="2:11" ht="15" customHeight="1" x14ac:dyDescent="0.35">
      <c r="B865" s="5">
        <v>844</v>
      </c>
      <c r="C865" s="52">
        <f t="shared" ca="1" si="117"/>
        <v>3.3258343261638217</v>
      </c>
      <c r="D865" s="53">
        <f t="shared" ca="1" si="118"/>
        <v>7839910220.5426311</v>
      </c>
      <c r="E865" s="53">
        <f t="shared" ca="1" si="119"/>
        <v>6672161204692.4668</v>
      </c>
      <c r="F865" s="53">
        <f t="shared" ca="1" si="120"/>
        <v>2096055628001.821</v>
      </c>
      <c r="G865" s="53">
        <f t="shared" ca="1" si="121"/>
        <v>69433996096599.938</v>
      </c>
      <c r="H865" s="53">
        <f t="shared" ca="1" si="122"/>
        <v>6672161204692.4668</v>
      </c>
      <c r="I865" s="53">
        <f t="shared" ca="1" si="123"/>
        <v>9093129810122.1641</v>
      </c>
      <c r="J865" s="53">
        <f t="shared" ca="1" si="124"/>
        <v>1236069507534.5281</v>
      </c>
      <c r="K865" s="54">
        <f t="shared" ca="1" si="125"/>
        <v>7.3564874424087829</v>
      </c>
    </row>
    <row r="866" spans="2:11" ht="15" customHeight="1" x14ac:dyDescent="0.35">
      <c r="B866" s="5">
        <v>845</v>
      </c>
      <c r="C866" s="52">
        <f t="shared" ca="1" si="117"/>
        <v>3.8528227445181478</v>
      </c>
      <c r="D866" s="53">
        <f t="shared" ca="1" si="118"/>
        <v>18102186607.725807</v>
      </c>
      <c r="E866" s="53">
        <f t="shared" ca="1" si="119"/>
        <v>77117694487414.063</v>
      </c>
      <c r="F866" s="53">
        <f t="shared" ca="1" si="120"/>
        <v>3152974975335.0469</v>
      </c>
      <c r="G866" s="53">
        <f t="shared" ca="1" si="121"/>
        <v>9499029434824.3926</v>
      </c>
      <c r="H866" s="53">
        <f t="shared" ca="1" si="122"/>
        <v>3152974975335.0469</v>
      </c>
      <c r="I866" s="53">
        <f t="shared" ca="1" si="123"/>
        <v>45709341187619.383</v>
      </c>
      <c r="J866" s="53">
        <f t="shared" ca="1" si="124"/>
        <v>832549890595.84241</v>
      </c>
      <c r="K866" s="54">
        <f t="shared" ca="1" si="125"/>
        <v>54.902825288831579</v>
      </c>
    </row>
    <row r="867" spans="2:11" ht="15" customHeight="1" x14ac:dyDescent="0.35">
      <c r="B867" s="5">
        <v>846</v>
      </c>
      <c r="C867" s="52">
        <f t="shared" ca="1" si="117"/>
        <v>3.184725989243399</v>
      </c>
      <c r="D867" s="53">
        <f t="shared" ca="1" si="118"/>
        <v>6566543860.076457</v>
      </c>
      <c r="E867" s="53">
        <f t="shared" ca="1" si="119"/>
        <v>115790727920466.11</v>
      </c>
      <c r="F867" s="53">
        <f t="shared" ca="1" si="120"/>
        <v>1602520549696.2739</v>
      </c>
      <c r="G867" s="53">
        <f t="shared" ca="1" si="121"/>
        <v>180874908871.22849</v>
      </c>
      <c r="H867" s="53">
        <f t="shared" ca="1" si="122"/>
        <v>115790727920466.11</v>
      </c>
      <c r="I867" s="53">
        <f t="shared" ca="1" si="123"/>
        <v>3179322974559.0747</v>
      </c>
      <c r="J867" s="53">
        <f t="shared" ca="1" si="124"/>
        <v>952940966434.91907</v>
      </c>
      <c r="K867" s="54">
        <f t="shared" ca="1" si="125"/>
        <v>3.3363273135935709</v>
      </c>
    </row>
    <row r="868" spans="2:11" ht="15" customHeight="1" x14ac:dyDescent="0.35">
      <c r="B868" s="5">
        <v>847</v>
      </c>
      <c r="C868" s="52">
        <f t="shared" ca="1" si="117"/>
        <v>3.127275171895243</v>
      </c>
      <c r="D868" s="53">
        <f t="shared" ca="1" si="118"/>
        <v>5496319764.941103</v>
      </c>
      <c r="E868" s="53">
        <f t="shared" ca="1" si="119"/>
        <v>23060233893342.305</v>
      </c>
      <c r="F868" s="53">
        <f t="shared" ca="1" si="120"/>
        <v>1047421107005.9413</v>
      </c>
      <c r="G868" s="53">
        <f t="shared" ca="1" si="121"/>
        <v>2119247616444.4146</v>
      </c>
      <c r="H868" s="53">
        <f t="shared" ca="1" si="122"/>
        <v>23060233893342.305</v>
      </c>
      <c r="I868" s="53">
        <f t="shared" ca="1" si="123"/>
        <v>4774497862513.8955</v>
      </c>
      <c r="J868" s="53">
        <f t="shared" ca="1" si="124"/>
        <v>914498025894.17749</v>
      </c>
      <c r="K868" s="54">
        <f t="shared" ca="1" si="125"/>
        <v>5.2208946627801511</v>
      </c>
    </row>
    <row r="869" spans="2:11" ht="15" customHeight="1" x14ac:dyDescent="0.35">
      <c r="B869" s="5">
        <v>848</v>
      </c>
      <c r="C869" s="52">
        <f t="shared" ca="1" si="117"/>
        <v>2.7328935124700173</v>
      </c>
      <c r="D869" s="53">
        <f t="shared" ca="1" si="118"/>
        <v>2733532998.5081191</v>
      </c>
      <c r="E869" s="53">
        <f t="shared" ca="1" si="119"/>
        <v>23487253801033.59</v>
      </c>
      <c r="F869" s="53">
        <f t="shared" ca="1" si="120"/>
        <v>1633836069260.3406</v>
      </c>
      <c r="G869" s="53">
        <f t="shared" ca="1" si="121"/>
        <v>102970726475281.92</v>
      </c>
      <c r="H869" s="53">
        <f t="shared" ca="1" si="122"/>
        <v>1633836069260.3406</v>
      </c>
      <c r="I869" s="53">
        <f t="shared" ca="1" si="123"/>
        <v>19846223035660.301</v>
      </c>
      <c r="J869" s="53">
        <f t="shared" ca="1" si="124"/>
        <v>1141249380220.4692</v>
      </c>
      <c r="K869" s="54">
        <f t="shared" ca="1" si="125"/>
        <v>17.389909146611199</v>
      </c>
    </row>
    <row r="870" spans="2:11" ht="15" customHeight="1" x14ac:dyDescent="0.35">
      <c r="B870" s="5">
        <v>849</v>
      </c>
      <c r="C870" s="52">
        <f t="shared" ca="1" si="117"/>
        <v>2.0290444324519648</v>
      </c>
      <c r="D870" s="53">
        <f t="shared" ca="1" si="118"/>
        <v>683255335.07390749</v>
      </c>
      <c r="E870" s="53">
        <f t="shared" ca="1" si="119"/>
        <v>11450410944370.428</v>
      </c>
      <c r="F870" s="53">
        <f t="shared" ca="1" si="120"/>
        <v>1652672671434.6001</v>
      </c>
      <c r="G870" s="53">
        <f t="shared" ca="1" si="121"/>
        <v>5689398434073.5156</v>
      </c>
      <c r="H870" s="53">
        <f t="shared" ca="1" si="122"/>
        <v>11450410944370.428</v>
      </c>
      <c r="I870" s="53">
        <f t="shared" ca="1" si="123"/>
        <v>8189659948158.958</v>
      </c>
      <c r="J870" s="53">
        <f t="shared" ca="1" si="124"/>
        <v>1188944725095.5022</v>
      </c>
      <c r="K870" s="54">
        <f t="shared" ca="1" si="125"/>
        <v>6.8881755184212805</v>
      </c>
    </row>
    <row r="871" spans="2:11" ht="15" customHeight="1" x14ac:dyDescent="0.35">
      <c r="B871" s="5">
        <v>850</v>
      </c>
      <c r="C871" s="52">
        <f t="shared" ca="1" si="117"/>
        <v>2.5901313562547728</v>
      </c>
      <c r="D871" s="53">
        <f t="shared" ca="1" si="118"/>
        <v>2741222243.1635156</v>
      </c>
      <c r="E871" s="53">
        <f t="shared" ca="1" si="119"/>
        <v>10616189257212.424</v>
      </c>
      <c r="F871" s="53">
        <f t="shared" ca="1" si="120"/>
        <v>1867405139767.4063</v>
      </c>
      <c r="G871" s="53">
        <f t="shared" ca="1" si="121"/>
        <v>28461356120969.77</v>
      </c>
      <c r="H871" s="53">
        <f t="shared" ca="1" si="122"/>
        <v>28461356120969.77</v>
      </c>
      <c r="I871" s="53">
        <f t="shared" ca="1" si="123"/>
        <v>2852180553377.3438</v>
      </c>
      <c r="J871" s="53">
        <f t="shared" ca="1" si="124"/>
        <v>1335932468157.697</v>
      </c>
      <c r="K871" s="54">
        <f t="shared" ca="1" si="125"/>
        <v>2.1349736018547496</v>
      </c>
    </row>
    <row r="872" spans="2:11" ht="15" customHeight="1" x14ac:dyDescent="0.35">
      <c r="B872" s="5">
        <v>851</v>
      </c>
      <c r="C872" s="52">
        <f t="shared" ca="1" si="117"/>
        <v>3.1865614499641444</v>
      </c>
      <c r="D872" s="53">
        <f t="shared" ca="1" si="118"/>
        <v>7334447164.4713745</v>
      </c>
      <c r="E872" s="53">
        <f t="shared" ca="1" si="119"/>
        <v>28069740894603.18</v>
      </c>
      <c r="F872" s="53">
        <f t="shared" ca="1" si="120"/>
        <v>5101090996960.5645</v>
      </c>
      <c r="G872" s="53">
        <f t="shared" ca="1" si="121"/>
        <v>12859085498092.059</v>
      </c>
      <c r="H872" s="53">
        <f t="shared" ca="1" si="122"/>
        <v>5101090996960.5645</v>
      </c>
      <c r="I872" s="53">
        <f t="shared" ca="1" si="123"/>
        <v>65520714305394.383</v>
      </c>
      <c r="J872" s="53">
        <f t="shared" ca="1" si="124"/>
        <v>758133393148.13159</v>
      </c>
      <c r="K872" s="54">
        <f t="shared" ca="1" si="125"/>
        <v>86.42372819553708</v>
      </c>
    </row>
    <row r="873" spans="2:11" ht="15" customHeight="1" x14ac:dyDescent="0.35">
      <c r="B873" s="5">
        <v>852</v>
      </c>
      <c r="C873" s="52">
        <f t="shared" ca="1" si="117"/>
        <v>2.5216206618744321</v>
      </c>
      <c r="D873" s="53">
        <f t="shared" ca="1" si="118"/>
        <v>2272220419.4034972</v>
      </c>
      <c r="E873" s="53">
        <f t="shared" ca="1" si="119"/>
        <v>9542921588800.9941</v>
      </c>
      <c r="F873" s="53">
        <f t="shared" ca="1" si="120"/>
        <v>712138950981.8905</v>
      </c>
      <c r="G873" s="53">
        <f t="shared" ca="1" si="121"/>
        <v>23777580504671.719</v>
      </c>
      <c r="H873" s="53">
        <f t="shared" ca="1" si="122"/>
        <v>712138950981.8905</v>
      </c>
      <c r="I873" s="53">
        <f t="shared" ca="1" si="123"/>
        <v>5193594230483.4229</v>
      </c>
      <c r="J873" s="53">
        <f t="shared" ca="1" si="124"/>
        <v>1784581918846.3088</v>
      </c>
      <c r="K873" s="54">
        <f t="shared" ca="1" si="125"/>
        <v>2.910258237873979</v>
      </c>
    </row>
    <row r="874" spans="2:11" ht="15" customHeight="1" x14ac:dyDescent="0.35">
      <c r="B874" s="5">
        <v>853</v>
      </c>
      <c r="C874" s="52">
        <f t="shared" ca="1" si="117"/>
        <v>3.640208035877353</v>
      </c>
      <c r="D874" s="53">
        <f t="shared" ca="1" si="118"/>
        <v>15336386349.767157</v>
      </c>
      <c r="E874" s="53">
        <f t="shared" ca="1" si="119"/>
        <v>149586987030297.78</v>
      </c>
      <c r="F874" s="53">
        <f t="shared" ca="1" si="120"/>
        <v>2694500315437.9678</v>
      </c>
      <c r="G874" s="53">
        <f t="shared" ca="1" si="121"/>
        <v>7275072371906.499</v>
      </c>
      <c r="H874" s="53">
        <f t="shared" ca="1" si="122"/>
        <v>149586987030297.78</v>
      </c>
      <c r="I874" s="53">
        <f t="shared" ca="1" si="123"/>
        <v>265661379831.83063</v>
      </c>
      <c r="J874" s="53">
        <f t="shared" ca="1" si="124"/>
        <v>737761049193.37402</v>
      </c>
      <c r="K874" s="54">
        <f t="shared" ca="1" si="125"/>
        <v>0.36009136036971545</v>
      </c>
    </row>
    <row r="875" spans="2:11" ht="15" customHeight="1" x14ac:dyDescent="0.35">
      <c r="B875" s="5">
        <v>854</v>
      </c>
      <c r="C875" s="52">
        <f t="shared" ca="1" si="117"/>
        <v>2.1937467941178883</v>
      </c>
      <c r="D875" s="53">
        <f t="shared" ca="1" si="118"/>
        <v>853002020.61642432</v>
      </c>
      <c r="E875" s="53">
        <f t="shared" ca="1" si="119"/>
        <v>1168767954399.0977</v>
      </c>
      <c r="F875" s="53">
        <f t="shared" ca="1" si="120"/>
        <v>1297115638722.4895</v>
      </c>
      <c r="G875" s="53">
        <f t="shared" ca="1" si="121"/>
        <v>1267388576443.3989</v>
      </c>
      <c r="H875" s="53">
        <f t="shared" ca="1" si="122"/>
        <v>1297115638722.4895</v>
      </c>
      <c r="I875" s="53">
        <f t="shared" ca="1" si="123"/>
        <v>17571516085847.563</v>
      </c>
      <c r="J875" s="53">
        <f t="shared" ca="1" si="124"/>
        <v>1004928119303.9297</v>
      </c>
      <c r="K875" s="54">
        <f t="shared" ca="1" si="125"/>
        <v>17.485346213636248</v>
      </c>
    </row>
    <row r="876" spans="2:11" ht="15" customHeight="1" x14ac:dyDescent="0.35">
      <c r="B876" s="5">
        <v>855</v>
      </c>
      <c r="C876" s="52">
        <f t="shared" ca="1" si="117"/>
        <v>2.8073506062286615</v>
      </c>
      <c r="D876" s="53">
        <f t="shared" ca="1" si="118"/>
        <v>3642875059.4013257</v>
      </c>
      <c r="E876" s="53">
        <f t="shared" ca="1" si="119"/>
        <v>8485959164968.2637</v>
      </c>
      <c r="F876" s="53">
        <f t="shared" ca="1" si="120"/>
        <v>1233433021720.5032</v>
      </c>
      <c r="G876" s="53">
        <f t="shared" ca="1" si="121"/>
        <v>796046953805.67993</v>
      </c>
      <c r="H876" s="53">
        <f t="shared" ca="1" si="122"/>
        <v>1233433021720.5032</v>
      </c>
      <c r="I876" s="53">
        <f t="shared" ca="1" si="123"/>
        <v>53058243043267.102</v>
      </c>
      <c r="J876" s="53">
        <f t="shared" ca="1" si="124"/>
        <v>1646349919235.0823</v>
      </c>
      <c r="K876" s="54">
        <f t="shared" ca="1" si="125"/>
        <v>32.227804322375597</v>
      </c>
    </row>
    <row r="877" spans="2:11" ht="15" customHeight="1" x14ac:dyDescent="0.35">
      <c r="B877" s="5">
        <v>856</v>
      </c>
      <c r="C877" s="52">
        <f t="shared" ca="1" si="117"/>
        <v>3.20642035041966</v>
      </c>
      <c r="D877" s="53">
        <f t="shared" ca="1" si="118"/>
        <v>6341430036.5881748</v>
      </c>
      <c r="E877" s="53">
        <f t="shared" ca="1" si="119"/>
        <v>9691425816337.5625</v>
      </c>
      <c r="F877" s="53">
        <f t="shared" ca="1" si="120"/>
        <v>1084663459562.6959</v>
      </c>
      <c r="G877" s="53">
        <f t="shared" ca="1" si="121"/>
        <v>5270887566851.2754</v>
      </c>
      <c r="H877" s="53">
        <f t="shared" ca="1" si="122"/>
        <v>9691425816337.5625</v>
      </c>
      <c r="I877" s="53">
        <f t="shared" ca="1" si="123"/>
        <v>6240584419771.0723</v>
      </c>
      <c r="J877" s="53">
        <f t="shared" ca="1" si="124"/>
        <v>706618054477.33337</v>
      </c>
      <c r="K877" s="54">
        <f t="shared" ca="1" si="125"/>
        <v>8.8316232230820475</v>
      </c>
    </row>
    <row r="878" spans="2:11" ht="15" customHeight="1" x14ac:dyDescent="0.35">
      <c r="B878" s="5">
        <v>857</v>
      </c>
      <c r="C878" s="52">
        <f t="shared" ca="1" si="117"/>
        <v>3.5158994175681895</v>
      </c>
      <c r="D878" s="53">
        <f t="shared" ca="1" si="118"/>
        <v>9325977607.4071007</v>
      </c>
      <c r="E878" s="53">
        <f t="shared" ca="1" si="119"/>
        <v>23848565038789.293</v>
      </c>
      <c r="F878" s="53">
        <f t="shared" ca="1" si="120"/>
        <v>1790521768509.7717</v>
      </c>
      <c r="G878" s="53">
        <f t="shared" ca="1" si="121"/>
        <v>35302776692744.867</v>
      </c>
      <c r="H878" s="53">
        <f t="shared" ca="1" si="122"/>
        <v>35302776692744.867</v>
      </c>
      <c r="I878" s="53">
        <f t="shared" ca="1" si="123"/>
        <v>16442483033037.25</v>
      </c>
      <c r="J878" s="53">
        <f t="shared" ca="1" si="124"/>
        <v>635773977407.80701</v>
      </c>
      <c r="K878" s="54">
        <f t="shared" ca="1" si="125"/>
        <v>25.862151672323769</v>
      </c>
    </row>
    <row r="879" spans="2:11" ht="15" customHeight="1" x14ac:dyDescent="0.35">
      <c r="B879" s="5">
        <v>858</v>
      </c>
      <c r="C879" s="52">
        <f t="shared" ca="1" si="117"/>
        <v>3.192011750730928</v>
      </c>
      <c r="D879" s="53">
        <f t="shared" ca="1" si="118"/>
        <v>7787519462.9100971</v>
      </c>
      <c r="E879" s="53">
        <f t="shared" ca="1" si="119"/>
        <v>44175405936655.398</v>
      </c>
      <c r="F879" s="53">
        <f t="shared" ca="1" si="120"/>
        <v>2289385677087.4189</v>
      </c>
      <c r="G879" s="53">
        <f t="shared" ca="1" si="121"/>
        <v>7253129784199.6719</v>
      </c>
      <c r="H879" s="53">
        <f t="shared" ca="1" si="122"/>
        <v>44175405936655.398</v>
      </c>
      <c r="I879" s="53">
        <f t="shared" ca="1" si="123"/>
        <v>2362435370639.5073</v>
      </c>
      <c r="J879" s="53">
        <f t="shared" ca="1" si="124"/>
        <v>691761499480.71472</v>
      </c>
      <c r="K879" s="54">
        <f t="shared" ca="1" si="125"/>
        <v>3.4151009739815223</v>
      </c>
    </row>
    <row r="880" spans="2:11" ht="15" customHeight="1" x14ac:dyDescent="0.35">
      <c r="B880" s="5">
        <v>859</v>
      </c>
      <c r="C880" s="52">
        <f t="shared" ca="1" si="117"/>
        <v>1.9441162918898238</v>
      </c>
      <c r="D880" s="53">
        <f t="shared" ca="1" si="118"/>
        <v>511866544.40046674</v>
      </c>
      <c r="E880" s="53">
        <f t="shared" ca="1" si="119"/>
        <v>1172040776661.8967</v>
      </c>
      <c r="F880" s="53">
        <f t="shared" ca="1" si="120"/>
        <v>3493281945564.6943</v>
      </c>
      <c r="G880" s="53">
        <f t="shared" ca="1" si="121"/>
        <v>3930563689264.8804</v>
      </c>
      <c r="H880" s="53">
        <f t="shared" ca="1" si="122"/>
        <v>3930563689264.8804</v>
      </c>
      <c r="I880" s="53">
        <f t="shared" ca="1" si="123"/>
        <v>5145021773758.3438</v>
      </c>
      <c r="J880" s="53">
        <f t="shared" ca="1" si="124"/>
        <v>945725231632.3446</v>
      </c>
      <c r="K880" s="54">
        <f t="shared" ca="1" si="125"/>
        <v>5.4402923826806564</v>
      </c>
    </row>
    <row r="881" spans="2:11" ht="15" customHeight="1" x14ac:dyDescent="0.35">
      <c r="B881" s="5">
        <v>860</v>
      </c>
      <c r="C881" s="52">
        <f t="shared" ca="1" si="117"/>
        <v>2.3330089401245901</v>
      </c>
      <c r="D881" s="53">
        <f t="shared" ca="1" si="118"/>
        <v>1628218816.2328496</v>
      </c>
      <c r="E881" s="53">
        <f t="shared" ca="1" si="119"/>
        <v>13550157182582.07</v>
      </c>
      <c r="F881" s="53">
        <f t="shared" ca="1" si="120"/>
        <v>2803883720842.7188</v>
      </c>
      <c r="G881" s="53">
        <f t="shared" ca="1" si="121"/>
        <v>4899798523816.8418</v>
      </c>
      <c r="H881" s="53">
        <f t="shared" ca="1" si="122"/>
        <v>2803883720842.7188</v>
      </c>
      <c r="I881" s="53">
        <f t="shared" ca="1" si="123"/>
        <v>47757911984948.82</v>
      </c>
      <c r="J881" s="53">
        <f t="shared" ca="1" si="124"/>
        <v>1329446845004.8254</v>
      </c>
      <c r="K881" s="54">
        <f t="shared" ca="1" si="125"/>
        <v>35.923145151978964</v>
      </c>
    </row>
    <row r="882" spans="2:11" ht="15" customHeight="1" x14ac:dyDescent="0.35">
      <c r="B882" s="5">
        <v>861</v>
      </c>
      <c r="C882" s="52">
        <f t="shared" ca="1" si="117"/>
        <v>3.3966277106573752</v>
      </c>
      <c r="D882" s="53">
        <f t="shared" ca="1" si="118"/>
        <v>8619197765.7305717</v>
      </c>
      <c r="E882" s="53">
        <f t="shared" ca="1" si="119"/>
        <v>20463021733599.91</v>
      </c>
      <c r="F882" s="53">
        <f t="shared" ca="1" si="120"/>
        <v>2577369191361.6685</v>
      </c>
      <c r="G882" s="53">
        <f t="shared" ca="1" si="121"/>
        <v>21824673971568.184</v>
      </c>
      <c r="H882" s="53">
        <f t="shared" ca="1" si="122"/>
        <v>2577369191361.6685</v>
      </c>
      <c r="I882" s="53">
        <f t="shared" ca="1" si="123"/>
        <v>49208840081747.078</v>
      </c>
      <c r="J882" s="53">
        <f t="shared" ca="1" si="124"/>
        <v>1271514589609.2151</v>
      </c>
      <c r="K882" s="54">
        <f t="shared" ca="1" si="125"/>
        <v>38.700963782783518</v>
      </c>
    </row>
    <row r="883" spans="2:11" ht="15" customHeight="1" x14ac:dyDescent="0.35">
      <c r="B883" s="5">
        <v>862</v>
      </c>
      <c r="C883" s="52">
        <f t="shared" ca="1" si="117"/>
        <v>2.7874452124746041</v>
      </c>
      <c r="D883" s="53">
        <f t="shared" ca="1" si="118"/>
        <v>3494890205.9618483</v>
      </c>
      <c r="E883" s="53">
        <f t="shared" ca="1" si="119"/>
        <v>73843185397712.578</v>
      </c>
      <c r="F883" s="53">
        <f t="shared" ca="1" si="120"/>
        <v>6720970386028.8242</v>
      </c>
      <c r="G883" s="53">
        <f t="shared" ca="1" si="121"/>
        <v>3032146534810.8726</v>
      </c>
      <c r="H883" s="53">
        <f t="shared" ca="1" si="122"/>
        <v>6720970386028.8242</v>
      </c>
      <c r="I883" s="53">
        <f t="shared" ca="1" si="123"/>
        <v>41234676996314.703</v>
      </c>
      <c r="J883" s="53">
        <f t="shared" ca="1" si="124"/>
        <v>1527639089203.9548</v>
      </c>
      <c r="K883" s="54">
        <f t="shared" ca="1" si="125"/>
        <v>26.992420714896664</v>
      </c>
    </row>
    <row r="884" spans="2:11" ht="15" customHeight="1" x14ac:dyDescent="0.35">
      <c r="B884" s="5">
        <v>863</v>
      </c>
      <c r="C884" s="52">
        <f t="shared" ca="1" si="117"/>
        <v>3.8073261510576071</v>
      </c>
      <c r="D884" s="53">
        <f t="shared" ca="1" si="118"/>
        <v>18826107861.738636</v>
      </c>
      <c r="E884" s="53">
        <f t="shared" ca="1" si="119"/>
        <v>303774383089537.19</v>
      </c>
      <c r="F884" s="53">
        <f t="shared" ca="1" si="120"/>
        <v>1165913897308.4475</v>
      </c>
      <c r="G884" s="53">
        <f t="shared" ca="1" si="121"/>
        <v>96068520811323.125</v>
      </c>
      <c r="H884" s="53">
        <f t="shared" ca="1" si="122"/>
        <v>96068520811323.125</v>
      </c>
      <c r="I884" s="53">
        <f t="shared" ca="1" si="123"/>
        <v>38637767914873.203</v>
      </c>
      <c r="J884" s="53">
        <f t="shared" ca="1" si="124"/>
        <v>1338298699989.8953</v>
      </c>
      <c r="K884" s="54">
        <f t="shared" ca="1" si="125"/>
        <v>28.870810316983</v>
      </c>
    </row>
    <row r="885" spans="2:11" ht="15" customHeight="1" x14ac:dyDescent="0.35">
      <c r="B885" s="5">
        <v>864</v>
      </c>
      <c r="C885" s="52">
        <f t="shared" ca="1" si="117"/>
        <v>3.4188186765532658</v>
      </c>
      <c r="D885" s="53">
        <f t="shared" ca="1" si="118"/>
        <v>8428699206.1587238</v>
      </c>
      <c r="E885" s="53">
        <f t="shared" ca="1" si="119"/>
        <v>13951830566102.941</v>
      </c>
      <c r="F885" s="53">
        <f t="shared" ca="1" si="120"/>
        <v>463415299568.19733</v>
      </c>
      <c r="G885" s="53">
        <f t="shared" ca="1" si="121"/>
        <v>1720851435094.8311</v>
      </c>
      <c r="H885" s="53">
        <f t="shared" ca="1" si="122"/>
        <v>1720851435094.8311</v>
      </c>
      <c r="I885" s="53">
        <f t="shared" ca="1" si="123"/>
        <v>138325624827155.02</v>
      </c>
      <c r="J885" s="53">
        <f t="shared" ca="1" si="124"/>
        <v>1076901276091.4155</v>
      </c>
      <c r="K885" s="54">
        <f t="shared" ca="1" si="125"/>
        <v>128.44782330391899</v>
      </c>
    </row>
    <row r="886" spans="2:11" ht="15" customHeight="1" x14ac:dyDescent="0.35">
      <c r="B886" s="5">
        <v>865</v>
      </c>
      <c r="C886" s="52">
        <f t="shared" ca="1" si="117"/>
        <v>2.222477906873999</v>
      </c>
      <c r="D886" s="53">
        <f t="shared" ca="1" si="118"/>
        <v>1208787367.0033846</v>
      </c>
      <c r="E886" s="53">
        <f t="shared" ca="1" si="119"/>
        <v>1528010906585.8462</v>
      </c>
      <c r="F886" s="53">
        <f t="shared" ca="1" si="120"/>
        <v>5188707400636.0938</v>
      </c>
      <c r="G886" s="53">
        <f t="shared" ca="1" si="121"/>
        <v>47088529058449.406</v>
      </c>
      <c r="H886" s="53">
        <f t="shared" ca="1" si="122"/>
        <v>5188707400636.0938</v>
      </c>
      <c r="I886" s="53">
        <f t="shared" ca="1" si="123"/>
        <v>45524170177140.039</v>
      </c>
      <c r="J886" s="53">
        <f t="shared" ca="1" si="124"/>
        <v>957861423005.90173</v>
      </c>
      <c r="K886" s="54">
        <f t="shared" ca="1" si="125"/>
        <v>47.52688550111862</v>
      </c>
    </row>
    <row r="887" spans="2:11" ht="15" customHeight="1" x14ac:dyDescent="0.35">
      <c r="B887" s="5">
        <v>866</v>
      </c>
      <c r="C887" s="52">
        <f t="shared" ca="1" si="117"/>
        <v>2.7875561550805403</v>
      </c>
      <c r="D887" s="53">
        <f t="shared" ca="1" si="118"/>
        <v>3908623142.894773</v>
      </c>
      <c r="E887" s="53">
        <f t="shared" ca="1" si="119"/>
        <v>7629000727308.4111</v>
      </c>
      <c r="F887" s="53">
        <f t="shared" ca="1" si="120"/>
        <v>14001989521751.359</v>
      </c>
      <c r="G887" s="53">
        <f t="shared" ca="1" si="121"/>
        <v>3972166971502.5635</v>
      </c>
      <c r="H887" s="53">
        <f t="shared" ca="1" si="122"/>
        <v>14001989521751.359</v>
      </c>
      <c r="I887" s="53">
        <f t="shared" ca="1" si="123"/>
        <v>4842934840883.0059</v>
      </c>
      <c r="J887" s="53">
        <f t="shared" ca="1" si="124"/>
        <v>1157437920804.3936</v>
      </c>
      <c r="K887" s="54">
        <f t="shared" ca="1" si="125"/>
        <v>4.1841853924375263</v>
      </c>
    </row>
    <row r="888" spans="2:11" ht="15" customHeight="1" x14ac:dyDescent="0.35">
      <c r="B888" s="5">
        <v>867</v>
      </c>
      <c r="C888" s="52">
        <f t="shared" ca="1" si="117"/>
        <v>3.656165058616283</v>
      </c>
      <c r="D888" s="53">
        <f t="shared" ca="1" si="118"/>
        <v>12762789815.358946</v>
      </c>
      <c r="E888" s="53">
        <f t="shared" ca="1" si="119"/>
        <v>46508820251284.938</v>
      </c>
      <c r="F888" s="53">
        <f t="shared" ca="1" si="120"/>
        <v>11774247488548.889</v>
      </c>
      <c r="G888" s="53">
        <f t="shared" ca="1" si="121"/>
        <v>2720802887841.8184</v>
      </c>
      <c r="H888" s="53">
        <f t="shared" ca="1" si="122"/>
        <v>11774247488548.889</v>
      </c>
      <c r="I888" s="53">
        <f t="shared" ca="1" si="123"/>
        <v>20597031785693.332</v>
      </c>
      <c r="J888" s="53">
        <f t="shared" ca="1" si="124"/>
        <v>947027287045.02527</v>
      </c>
      <c r="K888" s="54">
        <f t="shared" ca="1" si="125"/>
        <v>21.749142888967327</v>
      </c>
    </row>
    <row r="889" spans="2:11" ht="15" customHeight="1" x14ac:dyDescent="0.35">
      <c r="B889" s="5">
        <v>868</v>
      </c>
      <c r="C889" s="52">
        <f t="shared" ca="1" si="117"/>
        <v>3.0683082425030124</v>
      </c>
      <c r="D889" s="53">
        <f t="shared" ca="1" si="118"/>
        <v>5462727132.2371635</v>
      </c>
      <c r="E889" s="53">
        <f t="shared" ca="1" si="119"/>
        <v>40198675520610.25</v>
      </c>
      <c r="F889" s="53">
        <f t="shared" ca="1" si="120"/>
        <v>4783696486006.9131</v>
      </c>
      <c r="G889" s="53">
        <f t="shared" ca="1" si="121"/>
        <v>4419932478381.6787</v>
      </c>
      <c r="H889" s="53">
        <f t="shared" ca="1" si="122"/>
        <v>40198675520610.25</v>
      </c>
      <c r="I889" s="53">
        <f t="shared" ca="1" si="123"/>
        <v>19654545072565.25</v>
      </c>
      <c r="J889" s="53">
        <f t="shared" ca="1" si="124"/>
        <v>639662125707.5813</v>
      </c>
      <c r="K889" s="54">
        <f t="shared" ca="1" si="125"/>
        <v>30.726448046027095</v>
      </c>
    </row>
    <row r="890" spans="2:11" ht="15" customHeight="1" x14ac:dyDescent="0.35">
      <c r="B890" s="5">
        <v>869</v>
      </c>
      <c r="C890" s="52">
        <f t="shared" ca="1" si="117"/>
        <v>2.8963545582963359</v>
      </c>
      <c r="D890" s="53">
        <f t="shared" ca="1" si="118"/>
        <v>3970983491.2089868</v>
      </c>
      <c r="E890" s="53">
        <f t="shared" ca="1" si="119"/>
        <v>6582033508471.834</v>
      </c>
      <c r="F890" s="53">
        <f t="shared" ca="1" si="120"/>
        <v>5053561733717.5537</v>
      </c>
      <c r="G890" s="53">
        <f t="shared" ca="1" si="121"/>
        <v>2359285081563.8271</v>
      </c>
      <c r="H890" s="53">
        <f t="shared" ca="1" si="122"/>
        <v>5053561733717.5537</v>
      </c>
      <c r="I890" s="53">
        <f t="shared" ca="1" si="123"/>
        <v>1360405402696.8989</v>
      </c>
      <c r="J890" s="53">
        <f t="shared" ca="1" si="124"/>
        <v>1150607115322.5696</v>
      </c>
      <c r="K890" s="54">
        <f t="shared" ca="1" si="125"/>
        <v>1.1823370328415821</v>
      </c>
    </row>
    <row r="891" spans="2:11" ht="15" customHeight="1" x14ac:dyDescent="0.35">
      <c r="B891" s="5">
        <v>870</v>
      </c>
      <c r="C891" s="52">
        <f t="shared" ca="1" si="117"/>
        <v>2.2064516582391187</v>
      </c>
      <c r="D891" s="53">
        <f t="shared" ca="1" si="118"/>
        <v>1035465087.263258</v>
      </c>
      <c r="E891" s="53">
        <f t="shared" ca="1" si="119"/>
        <v>7510780779155.1094</v>
      </c>
      <c r="F891" s="53">
        <f t="shared" ca="1" si="120"/>
        <v>218225384718.13507</v>
      </c>
      <c r="G891" s="53">
        <f t="shared" ca="1" si="121"/>
        <v>32090894254029.117</v>
      </c>
      <c r="H891" s="53">
        <f t="shared" ca="1" si="122"/>
        <v>218225384718.13507</v>
      </c>
      <c r="I891" s="53">
        <f t="shared" ca="1" si="123"/>
        <v>20812372843206.387</v>
      </c>
      <c r="J891" s="53">
        <f t="shared" ca="1" si="124"/>
        <v>765859442750.2666</v>
      </c>
      <c r="K891" s="54">
        <f t="shared" ca="1" si="125"/>
        <v>27.175186047804516</v>
      </c>
    </row>
    <row r="892" spans="2:11" ht="15" customHeight="1" x14ac:dyDescent="0.35">
      <c r="B892" s="5">
        <v>871</v>
      </c>
      <c r="C892" s="52">
        <f t="shared" ca="1" si="117"/>
        <v>2.9955769536001222</v>
      </c>
      <c r="D892" s="53">
        <f t="shared" ca="1" si="118"/>
        <v>3898930914.9183154</v>
      </c>
      <c r="E892" s="53">
        <f t="shared" ca="1" si="119"/>
        <v>34654058955176.168</v>
      </c>
      <c r="F892" s="53">
        <f t="shared" ca="1" si="120"/>
        <v>2777446701632.479</v>
      </c>
      <c r="G892" s="53">
        <f t="shared" ca="1" si="121"/>
        <v>734120945841.63464</v>
      </c>
      <c r="H892" s="53">
        <f t="shared" ca="1" si="122"/>
        <v>34654058955176.168</v>
      </c>
      <c r="I892" s="53">
        <f t="shared" ca="1" si="123"/>
        <v>3041595696419.6675</v>
      </c>
      <c r="J892" s="53">
        <f t="shared" ca="1" si="124"/>
        <v>1693814506812.8684</v>
      </c>
      <c r="K892" s="54">
        <f t="shared" ca="1" si="125"/>
        <v>1.7957076670354088</v>
      </c>
    </row>
    <row r="893" spans="2:11" ht="15" customHeight="1" x14ac:dyDescent="0.35">
      <c r="B893" s="5">
        <v>872</v>
      </c>
      <c r="C893" s="52">
        <f t="shared" ca="1" si="117"/>
        <v>3.0836780261239958</v>
      </c>
      <c r="D893" s="53">
        <f t="shared" ca="1" si="118"/>
        <v>5495570173.5392056</v>
      </c>
      <c r="E893" s="53">
        <f t="shared" ca="1" si="119"/>
        <v>5440822160089.9277</v>
      </c>
      <c r="F893" s="53">
        <f t="shared" ca="1" si="120"/>
        <v>4555621180180.3311</v>
      </c>
      <c r="G893" s="53">
        <f t="shared" ca="1" si="121"/>
        <v>1887035386323.8718</v>
      </c>
      <c r="H893" s="53">
        <f t="shared" ca="1" si="122"/>
        <v>4555621180180.3311</v>
      </c>
      <c r="I893" s="53">
        <f t="shared" ca="1" si="123"/>
        <v>3533901211931.4634</v>
      </c>
      <c r="J893" s="53">
        <f t="shared" ca="1" si="124"/>
        <v>624253586636.44043</v>
      </c>
      <c r="K893" s="54">
        <f t="shared" ca="1" si="125"/>
        <v>5.6610026559440101</v>
      </c>
    </row>
    <row r="894" spans="2:11" ht="15" customHeight="1" x14ac:dyDescent="0.35">
      <c r="B894" s="5">
        <v>873</v>
      </c>
      <c r="C894" s="52">
        <f t="shared" ca="1" si="117"/>
        <v>3.5702835579772438</v>
      </c>
      <c r="D894" s="53">
        <f t="shared" ca="1" si="118"/>
        <v>13111997740.960142</v>
      </c>
      <c r="E894" s="53">
        <f t="shared" ca="1" si="119"/>
        <v>33904438135244.508</v>
      </c>
      <c r="F894" s="53">
        <f t="shared" ca="1" si="120"/>
        <v>4192663176351.7822</v>
      </c>
      <c r="G894" s="53">
        <f t="shared" ca="1" si="121"/>
        <v>13640563013015.625</v>
      </c>
      <c r="H894" s="53">
        <f t="shared" ca="1" si="122"/>
        <v>4192663176351.7822</v>
      </c>
      <c r="I894" s="53">
        <f t="shared" ca="1" si="123"/>
        <v>43469535152293.188</v>
      </c>
      <c r="J894" s="53">
        <f t="shared" ca="1" si="124"/>
        <v>1240136366238.478</v>
      </c>
      <c r="K894" s="54">
        <f t="shared" ca="1" si="125"/>
        <v>35.052221945674319</v>
      </c>
    </row>
    <row r="895" spans="2:11" ht="15" customHeight="1" x14ac:dyDescent="0.35">
      <c r="B895" s="5">
        <v>874</v>
      </c>
      <c r="C895" s="52">
        <f t="shared" ca="1" si="117"/>
        <v>2.8421789994032229</v>
      </c>
      <c r="D895" s="53">
        <f t="shared" ca="1" si="118"/>
        <v>4305854859.263401</v>
      </c>
      <c r="E895" s="53">
        <f t="shared" ca="1" si="119"/>
        <v>15850860455917.465</v>
      </c>
      <c r="F895" s="53">
        <f t="shared" ca="1" si="120"/>
        <v>2802929511815.458</v>
      </c>
      <c r="G895" s="53">
        <f t="shared" ca="1" si="121"/>
        <v>10895803428862.426</v>
      </c>
      <c r="H895" s="53">
        <f t="shared" ca="1" si="122"/>
        <v>15850860455917.465</v>
      </c>
      <c r="I895" s="53">
        <f t="shared" ca="1" si="123"/>
        <v>4824642674804.2295</v>
      </c>
      <c r="J895" s="53">
        <f t="shared" ca="1" si="124"/>
        <v>883942533010.13904</v>
      </c>
      <c r="K895" s="54">
        <f t="shared" ca="1" si="125"/>
        <v>5.4580954017164478</v>
      </c>
    </row>
    <row r="896" spans="2:11" ht="15" customHeight="1" x14ac:dyDescent="0.35">
      <c r="B896" s="5">
        <v>875</v>
      </c>
      <c r="C896" s="52">
        <f t="shared" ca="1" si="117"/>
        <v>2.110483014216058</v>
      </c>
      <c r="D896" s="53">
        <f t="shared" ca="1" si="118"/>
        <v>770871122.95049679</v>
      </c>
      <c r="E896" s="53">
        <f t="shared" ca="1" si="119"/>
        <v>590767009256.5144</v>
      </c>
      <c r="F896" s="53">
        <f t="shared" ca="1" si="120"/>
        <v>3249461958756.3599</v>
      </c>
      <c r="G896" s="53">
        <f t="shared" ca="1" si="121"/>
        <v>515523974384.69458</v>
      </c>
      <c r="H896" s="53">
        <f t="shared" ca="1" si="122"/>
        <v>515523974384.69458</v>
      </c>
      <c r="I896" s="53">
        <f t="shared" ca="1" si="123"/>
        <v>1789522151768.6531</v>
      </c>
      <c r="J896" s="53">
        <f t="shared" ca="1" si="124"/>
        <v>774086973414.40027</v>
      </c>
      <c r="K896" s="54">
        <f t="shared" ca="1" si="125"/>
        <v>2.3117843514085967</v>
      </c>
    </row>
    <row r="897" spans="2:11" ht="15" customHeight="1" x14ac:dyDescent="0.35">
      <c r="B897" s="5">
        <v>876</v>
      </c>
      <c r="C897" s="52">
        <f t="shared" ca="1" si="117"/>
        <v>2.7224194140029185</v>
      </c>
      <c r="D897" s="53">
        <f t="shared" ca="1" si="118"/>
        <v>3288502094.8402267</v>
      </c>
      <c r="E897" s="53">
        <f t="shared" ca="1" si="119"/>
        <v>11544756532845.684</v>
      </c>
      <c r="F897" s="53">
        <f t="shared" ca="1" si="120"/>
        <v>1634714703807.1748</v>
      </c>
      <c r="G897" s="53">
        <f t="shared" ca="1" si="121"/>
        <v>1557085027140.9021</v>
      </c>
      <c r="H897" s="53">
        <f t="shared" ca="1" si="122"/>
        <v>11544756532845.684</v>
      </c>
      <c r="I897" s="53">
        <f t="shared" ca="1" si="123"/>
        <v>84633647748658.203</v>
      </c>
      <c r="J897" s="53">
        <f t="shared" ca="1" si="124"/>
        <v>1253440282969.5483</v>
      </c>
      <c r="K897" s="54">
        <f t="shared" ca="1" si="125"/>
        <v>67.521084888185555</v>
      </c>
    </row>
    <row r="898" spans="2:11" ht="15" customHeight="1" x14ac:dyDescent="0.35">
      <c r="B898" s="5">
        <v>877</v>
      </c>
      <c r="C898" s="52">
        <f t="shared" ca="1" si="117"/>
        <v>2.1311721381683064</v>
      </c>
      <c r="D898" s="53">
        <f t="shared" ca="1" si="118"/>
        <v>1012320025.4063799</v>
      </c>
      <c r="E898" s="53">
        <f t="shared" ca="1" si="119"/>
        <v>6744284010542.7627</v>
      </c>
      <c r="F898" s="53">
        <f t="shared" ca="1" si="120"/>
        <v>1758555483656.0906</v>
      </c>
      <c r="G898" s="53">
        <f t="shared" ca="1" si="121"/>
        <v>7513591392797.5459</v>
      </c>
      <c r="H898" s="53">
        <f t="shared" ca="1" si="122"/>
        <v>1758555483656.0906</v>
      </c>
      <c r="I898" s="53">
        <f t="shared" ca="1" si="123"/>
        <v>23923479578498.078</v>
      </c>
      <c r="J898" s="53">
        <f t="shared" ca="1" si="124"/>
        <v>753866936443.44189</v>
      </c>
      <c r="K898" s="54">
        <f t="shared" ca="1" si="125"/>
        <v>31.734353135797612</v>
      </c>
    </row>
    <row r="899" spans="2:11" ht="15" customHeight="1" x14ac:dyDescent="0.35">
      <c r="B899" s="5">
        <v>878</v>
      </c>
      <c r="C899" s="52">
        <f t="shared" ca="1" si="117"/>
        <v>2.5660929402364765</v>
      </c>
      <c r="D899" s="53">
        <f t="shared" ca="1" si="118"/>
        <v>2248860344.0016818</v>
      </c>
      <c r="E899" s="53">
        <f t="shared" ca="1" si="119"/>
        <v>3059285700541.2114</v>
      </c>
      <c r="F899" s="53">
        <f t="shared" ca="1" si="120"/>
        <v>784673966339.08948</v>
      </c>
      <c r="G899" s="53">
        <f t="shared" ca="1" si="121"/>
        <v>14432518531649.229</v>
      </c>
      <c r="H899" s="53">
        <f t="shared" ca="1" si="122"/>
        <v>784673966339.08948</v>
      </c>
      <c r="I899" s="53">
        <f t="shared" ca="1" si="123"/>
        <v>18818459945903.867</v>
      </c>
      <c r="J899" s="53">
        <f t="shared" ca="1" si="124"/>
        <v>661491548163.85986</v>
      </c>
      <c r="K899" s="54">
        <f t="shared" ca="1" si="125"/>
        <v>28.448526663929947</v>
      </c>
    </row>
    <row r="900" spans="2:11" ht="15" customHeight="1" x14ac:dyDescent="0.35">
      <c r="B900" s="5">
        <v>879</v>
      </c>
      <c r="C900" s="52">
        <f t="shared" ca="1" si="117"/>
        <v>3.2988259749355544</v>
      </c>
      <c r="D900" s="53">
        <f t="shared" ca="1" si="118"/>
        <v>8202310843.6766653</v>
      </c>
      <c r="E900" s="53">
        <f t="shared" ca="1" si="119"/>
        <v>5175218604855.4824</v>
      </c>
      <c r="F900" s="53">
        <f t="shared" ca="1" si="120"/>
        <v>1668013434540.406</v>
      </c>
      <c r="G900" s="53">
        <f t="shared" ca="1" si="121"/>
        <v>1075620313172.2177</v>
      </c>
      <c r="H900" s="53">
        <f t="shared" ca="1" si="122"/>
        <v>1668013434540.406</v>
      </c>
      <c r="I900" s="53">
        <f t="shared" ca="1" si="123"/>
        <v>4895824899502.3545</v>
      </c>
      <c r="J900" s="53">
        <f t="shared" ca="1" si="124"/>
        <v>1008915547978.7104</v>
      </c>
      <c r="K900" s="54">
        <f t="shared" ca="1" si="125"/>
        <v>4.8525616532630371</v>
      </c>
    </row>
    <row r="901" spans="2:11" ht="15" customHeight="1" x14ac:dyDescent="0.35">
      <c r="B901" s="5">
        <v>880</v>
      </c>
      <c r="C901" s="52">
        <f t="shared" ca="1" si="117"/>
        <v>3.5048649443482178</v>
      </c>
      <c r="D901" s="53">
        <f t="shared" ca="1" si="118"/>
        <v>9654915159.2306976</v>
      </c>
      <c r="E901" s="53">
        <f t="shared" ca="1" si="119"/>
        <v>92056755920607.078</v>
      </c>
      <c r="F901" s="53">
        <f t="shared" ca="1" si="120"/>
        <v>3310423712151.3164</v>
      </c>
      <c r="G901" s="53">
        <f t="shared" ca="1" si="121"/>
        <v>32948879079418.496</v>
      </c>
      <c r="H901" s="53">
        <f t="shared" ca="1" si="122"/>
        <v>3310423712151.3164</v>
      </c>
      <c r="I901" s="53">
        <f t="shared" ca="1" si="123"/>
        <v>26623858710596.922</v>
      </c>
      <c r="J901" s="53">
        <f t="shared" ca="1" si="124"/>
        <v>976328516165.63025</v>
      </c>
      <c r="K901" s="54">
        <f t="shared" ca="1" si="125"/>
        <v>27.269365044419423</v>
      </c>
    </row>
    <row r="902" spans="2:11" ht="15" customHeight="1" x14ac:dyDescent="0.35">
      <c r="B902" s="5">
        <v>881</v>
      </c>
      <c r="C902" s="52">
        <f t="shared" ca="1" si="117"/>
        <v>2.8988101870302314</v>
      </c>
      <c r="D902" s="53">
        <f t="shared" ca="1" si="118"/>
        <v>3290218720.9716749</v>
      </c>
      <c r="E902" s="53">
        <f t="shared" ca="1" si="119"/>
        <v>18070041112745.762</v>
      </c>
      <c r="F902" s="53">
        <f t="shared" ca="1" si="120"/>
        <v>3615777551104.3291</v>
      </c>
      <c r="G902" s="53">
        <f t="shared" ca="1" si="121"/>
        <v>4587778141599.54</v>
      </c>
      <c r="H902" s="53">
        <f t="shared" ca="1" si="122"/>
        <v>3615777551104.3291</v>
      </c>
      <c r="I902" s="53">
        <f t="shared" ca="1" si="123"/>
        <v>22219579412903.805</v>
      </c>
      <c r="J902" s="53">
        <f t="shared" ca="1" si="124"/>
        <v>1185084140663.0774</v>
      </c>
      <c r="K902" s="54">
        <f t="shared" ca="1" si="125"/>
        <v>18.749368631725609</v>
      </c>
    </row>
    <row r="903" spans="2:11" ht="15" customHeight="1" x14ac:dyDescent="0.35">
      <c r="B903" s="5">
        <v>882</v>
      </c>
      <c r="C903" s="52">
        <f t="shared" ca="1" si="117"/>
        <v>2.8948789486499775</v>
      </c>
      <c r="D903" s="53">
        <f t="shared" ca="1" si="118"/>
        <v>4835354594.814311</v>
      </c>
      <c r="E903" s="53">
        <f t="shared" ca="1" si="119"/>
        <v>120200962618019.67</v>
      </c>
      <c r="F903" s="53">
        <f t="shared" ca="1" si="120"/>
        <v>851552106472.66467</v>
      </c>
      <c r="G903" s="53">
        <f t="shared" ca="1" si="121"/>
        <v>54572692293718.383</v>
      </c>
      <c r="H903" s="53">
        <f t="shared" ca="1" si="122"/>
        <v>54572692293718.383</v>
      </c>
      <c r="I903" s="53">
        <f t="shared" ca="1" si="123"/>
        <v>1988562139716.7432</v>
      </c>
      <c r="J903" s="53">
        <f t="shared" ca="1" si="124"/>
        <v>788291363908.10242</v>
      </c>
      <c r="K903" s="54">
        <f t="shared" ca="1" si="125"/>
        <v>2.5226232720070318</v>
      </c>
    </row>
    <row r="904" spans="2:11" ht="15" customHeight="1" x14ac:dyDescent="0.35">
      <c r="B904" s="5">
        <v>883</v>
      </c>
      <c r="C904" s="52">
        <f t="shared" ca="1" si="117"/>
        <v>2.6971086944127802</v>
      </c>
      <c r="D904" s="53">
        <f t="shared" ca="1" si="118"/>
        <v>3399537637.2448583</v>
      </c>
      <c r="E904" s="53">
        <f t="shared" ca="1" si="119"/>
        <v>15587577324882.268</v>
      </c>
      <c r="F904" s="53">
        <f t="shared" ca="1" si="120"/>
        <v>11380306122463.545</v>
      </c>
      <c r="G904" s="53">
        <f t="shared" ca="1" si="121"/>
        <v>50853585810521.078</v>
      </c>
      <c r="H904" s="53">
        <f t="shared" ca="1" si="122"/>
        <v>15587577324882.268</v>
      </c>
      <c r="I904" s="53">
        <f t="shared" ca="1" si="123"/>
        <v>366828878247.43304</v>
      </c>
      <c r="J904" s="53">
        <f t="shared" ca="1" si="124"/>
        <v>809986354816.55334</v>
      </c>
      <c r="K904" s="54">
        <f t="shared" ca="1" si="125"/>
        <v>0.45288278755080125</v>
      </c>
    </row>
    <row r="905" spans="2:11" ht="15" customHeight="1" x14ac:dyDescent="0.35">
      <c r="B905" s="5">
        <v>884</v>
      </c>
      <c r="C905" s="52">
        <f t="shared" ca="1" si="117"/>
        <v>3.0819685262301553</v>
      </c>
      <c r="D905" s="53">
        <f t="shared" ca="1" si="118"/>
        <v>6306416375.1565304</v>
      </c>
      <c r="E905" s="53">
        <f t="shared" ca="1" si="119"/>
        <v>47259251485510.609</v>
      </c>
      <c r="F905" s="53">
        <f t="shared" ca="1" si="120"/>
        <v>5237189167918.1943</v>
      </c>
      <c r="G905" s="53">
        <f t="shared" ca="1" si="121"/>
        <v>17966981778210.813</v>
      </c>
      <c r="H905" s="53">
        <f t="shared" ca="1" si="122"/>
        <v>17966981778210.813</v>
      </c>
      <c r="I905" s="53">
        <f t="shared" ca="1" si="123"/>
        <v>19155380245945.855</v>
      </c>
      <c r="J905" s="53">
        <f t="shared" ca="1" si="124"/>
        <v>1648918395698.8135</v>
      </c>
      <c r="K905" s="54">
        <f t="shared" ca="1" si="125"/>
        <v>11.616936469331936</v>
      </c>
    </row>
    <row r="906" spans="2:11" ht="15" customHeight="1" x14ac:dyDescent="0.35">
      <c r="B906" s="5">
        <v>885</v>
      </c>
      <c r="C906" s="52">
        <f t="shared" ca="1" si="117"/>
        <v>2.9941695396611969</v>
      </c>
      <c r="D906" s="53">
        <f t="shared" ca="1" si="118"/>
        <v>4705901278.3353405</v>
      </c>
      <c r="E906" s="53">
        <f t="shared" ca="1" si="119"/>
        <v>8719868999227.292</v>
      </c>
      <c r="F906" s="53">
        <f t="shared" ca="1" si="120"/>
        <v>1639823210569.1367</v>
      </c>
      <c r="G906" s="53">
        <f t="shared" ca="1" si="121"/>
        <v>2515594879498.1787</v>
      </c>
      <c r="H906" s="53">
        <f t="shared" ca="1" si="122"/>
        <v>2515594879498.1787</v>
      </c>
      <c r="I906" s="53">
        <f t="shared" ca="1" si="123"/>
        <v>5361825758787.7012</v>
      </c>
      <c r="J906" s="53">
        <f t="shared" ca="1" si="124"/>
        <v>1234926615401.1841</v>
      </c>
      <c r="K906" s="54">
        <f t="shared" ca="1" si="125"/>
        <v>4.3418173128010791</v>
      </c>
    </row>
    <row r="907" spans="2:11" ht="15" customHeight="1" x14ac:dyDescent="0.35">
      <c r="B907" s="5">
        <v>886</v>
      </c>
      <c r="C907" s="52">
        <f t="shared" ca="1" si="117"/>
        <v>3.1627352177656891</v>
      </c>
      <c r="D907" s="53">
        <f t="shared" ca="1" si="118"/>
        <v>5140031757.5635033</v>
      </c>
      <c r="E907" s="53">
        <f t="shared" ca="1" si="119"/>
        <v>15048626925642.201</v>
      </c>
      <c r="F907" s="53">
        <f t="shared" ca="1" si="120"/>
        <v>6576469917758.9131</v>
      </c>
      <c r="G907" s="53">
        <f t="shared" ca="1" si="121"/>
        <v>16300210899504.057</v>
      </c>
      <c r="H907" s="53">
        <f t="shared" ca="1" si="122"/>
        <v>15048626925642.201</v>
      </c>
      <c r="I907" s="53">
        <f t="shared" ca="1" si="123"/>
        <v>9844955496138.3262</v>
      </c>
      <c r="J907" s="53">
        <f t="shared" ca="1" si="124"/>
        <v>1343804076076.8218</v>
      </c>
      <c r="K907" s="54">
        <f t="shared" ca="1" si="125"/>
        <v>7.3261836836216858</v>
      </c>
    </row>
    <row r="908" spans="2:11" ht="15" customHeight="1" x14ac:dyDescent="0.35">
      <c r="B908" s="5">
        <v>887</v>
      </c>
      <c r="C908" s="52">
        <f t="shared" ca="1" si="117"/>
        <v>2.5319207110268396</v>
      </c>
      <c r="D908" s="53">
        <f t="shared" ca="1" si="118"/>
        <v>1890638413.8465266</v>
      </c>
      <c r="E908" s="53">
        <f t="shared" ca="1" si="119"/>
        <v>3229239801248.2114</v>
      </c>
      <c r="F908" s="53">
        <f t="shared" ca="1" si="120"/>
        <v>6795195241215.4678</v>
      </c>
      <c r="G908" s="53">
        <f t="shared" ca="1" si="121"/>
        <v>8581426026555.4668</v>
      </c>
      <c r="H908" s="53">
        <f t="shared" ca="1" si="122"/>
        <v>3229239801248.2114</v>
      </c>
      <c r="I908" s="53">
        <f t="shared" ca="1" si="123"/>
        <v>1023663599466.5966</v>
      </c>
      <c r="J908" s="53">
        <f t="shared" ca="1" si="124"/>
        <v>850582066700.45288</v>
      </c>
      <c r="K908" s="54">
        <f t="shared" ca="1" si="125"/>
        <v>1.2034859886448761</v>
      </c>
    </row>
    <row r="909" spans="2:11" ht="15" customHeight="1" x14ac:dyDescent="0.35">
      <c r="B909" s="5">
        <v>888</v>
      </c>
      <c r="C909" s="52">
        <f t="shared" ca="1" si="117"/>
        <v>3.1651916471776849</v>
      </c>
      <c r="D909" s="53">
        <f t="shared" ca="1" si="118"/>
        <v>7055429371.3755112</v>
      </c>
      <c r="E909" s="53">
        <f t="shared" ca="1" si="119"/>
        <v>28732142408804.551</v>
      </c>
      <c r="F909" s="53">
        <f t="shared" ca="1" si="120"/>
        <v>6429060048447.1631</v>
      </c>
      <c r="G909" s="53">
        <f t="shared" ca="1" si="121"/>
        <v>253761560896.13412</v>
      </c>
      <c r="H909" s="53">
        <f t="shared" ca="1" si="122"/>
        <v>28732142408804.551</v>
      </c>
      <c r="I909" s="53">
        <f t="shared" ca="1" si="123"/>
        <v>89311893506221.156</v>
      </c>
      <c r="J909" s="53">
        <f t="shared" ca="1" si="124"/>
        <v>1040139086608.3204</v>
      </c>
      <c r="K909" s="54">
        <f t="shared" ca="1" si="125"/>
        <v>85.865337295850367</v>
      </c>
    </row>
    <row r="910" spans="2:11" ht="15" customHeight="1" x14ac:dyDescent="0.35">
      <c r="B910" s="5">
        <v>889</v>
      </c>
      <c r="C910" s="52">
        <f t="shared" ca="1" si="117"/>
        <v>3.1224991295275388</v>
      </c>
      <c r="D910" s="53">
        <f t="shared" ca="1" si="118"/>
        <v>6811115848.4124002</v>
      </c>
      <c r="E910" s="53">
        <f t="shared" ca="1" si="119"/>
        <v>3702953539663.8716</v>
      </c>
      <c r="F910" s="53">
        <f t="shared" ca="1" si="120"/>
        <v>1731655360512.1484</v>
      </c>
      <c r="G910" s="53">
        <f t="shared" ca="1" si="121"/>
        <v>10382218384780.357</v>
      </c>
      <c r="H910" s="53">
        <f t="shared" ca="1" si="122"/>
        <v>3702953539663.8716</v>
      </c>
      <c r="I910" s="53">
        <f t="shared" ca="1" si="123"/>
        <v>718648785485.85645</v>
      </c>
      <c r="J910" s="53">
        <f t="shared" ca="1" si="124"/>
        <v>1451033572429.3979</v>
      </c>
      <c r="K910" s="54">
        <f t="shared" ca="1" si="125"/>
        <v>0.49526682162333174</v>
      </c>
    </row>
    <row r="911" spans="2:11" ht="15" customHeight="1" x14ac:dyDescent="0.35">
      <c r="B911" s="5">
        <v>890</v>
      </c>
      <c r="C911" s="52">
        <f t="shared" ca="1" si="117"/>
        <v>3.419115591284982</v>
      </c>
      <c r="D911" s="53">
        <f t="shared" ca="1" si="118"/>
        <v>9583868978.999258</v>
      </c>
      <c r="E911" s="53">
        <f t="shared" ca="1" si="119"/>
        <v>36595075976663.656</v>
      </c>
      <c r="F911" s="53">
        <f t="shared" ca="1" si="120"/>
        <v>3234344187739.2935</v>
      </c>
      <c r="G911" s="53">
        <f t="shared" ca="1" si="121"/>
        <v>125373238523.07236</v>
      </c>
      <c r="H911" s="53">
        <f t="shared" ca="1" si="122"/>
        <v>3234344187739.2935</v>
      </c>
      <c r="I911" s="53">
        <f t="shared" ca="1" si="123"/>
        <v>5025792270153.9463</v>
      </c>
      <c r="J911" s="53">
        <f t="shared" ca="1" si="124"/>
        <v>1195196968838.8284</v>
      </c>
      <c r="K911" s="54">
        <f t="shared" ca="1" si="125"/>
        <v>4.2049908100391704</v>
      </c>
    </row>
    <row r="912" spans="2:11" ht="15" customHeight="1" x14ac:dyDescent="0.35">
      <c r="B912" s="5">
        <v>891</v>
      </c>
      <c r="C912" s="52">
        <f t="shared" ca="1" si="117"/>
        <v>2.7062754165924932</v>
      </c>
      <c r="D912" s="53">
        <f t="shared" ca="1" si="118"/>
        <v>3387921157.4749455</v>
      </c>
      <c r="E912" s="53">
        <f t="shared" ca="1" si="119"/>
        <v>21186791366517.09</v>
      </c>
      <c r="F912" s="53">
        <f t="shared" ca="1" si="120"/>
        <v>573205696296.56055</v>
      </c>
      <c r="G912" s="53">
        <f t="shared" ca="1" si="121"/>
        <v>1345008370564.2957</v>
      </c>
      <c r="H912" s="53">
        <f t="shared" ca="1" si="122"/>
        <v>1345008370564.2957</v>
      </c>
      <c r="I912" s="53">
        <f t="shared" ca="1" si="123"/>
        <v>4059366024175.3657</v>
      </c>
      <c r="J912" s="53">
        <f t="shared" ca="1" si="124"/>
        <v>600008880558.05701</v>
      </c>
      <c r="K912" s="54">
        <f t="shared" ca="1" si="125"/>
        <v>6.7655099044531237</v>
      </c>
    </row>
    <row r="913" spans="2:11" ht="15" customHeight="1" x14ac:dyDescent="0.35">
      <c r="B913" s="5">
        <v>892</v>
      </c>
      <c r="C913" s="52">
        <f t="shared" ca="1" si="117"/>
        <v>2.0067094485947852</v>
      </c>
      <c r="D913" s="53">
        <f t="shared" ca="1" si="118"/>
        <v>630909921.90075862</v>
      </c>
      <c r="E913" s="53">
        <f t="shared" ca="1" si="119"/>
        <v>490856633531.08319</v>
      </c>
      <c r="F913" s="53">
        <f t="shared" ca="1" si="120"/>
        <v>917469090333.92505</v>
      </c>
      <c r="G913" s="53">
        <f t="shared" ca="1" si="121"/>
        <v>1917286487381.8948</v>
      </c>
      <c r="H913" s="53">
        <f t="shared" ca="1" si="122"/>
        <v>1917286487381.8948</v>
      </c>
      <c r="I913" s="53">
        <f t="shared" ca="1" si="123"/>
        <v>69877083806035.914</v>
      </c>
      <c r="J913" s="53">
        <f t="shared" ca="1" si="124"/>
        <v>1790717517532.1924</v>
      </c>
      <c r="K913" s="54">
        <f t="shared" ca="1" si="125"/>
        <v>39.021835170481992</v>
      </c>
    </row>
    <row r="914" spans="2:11" ht="15" customHeight="1" x14ac:dyDescent="0.35">
      <c r="B914" s="5">
        <v>893</v>
      </c>
      <c r="C914" s="52">
        <f t="shared" ca="1" si="117"/>
        <v>2.5189370575176779</v>
      </c>
      <c r="D914" s="53">
        <f t="shared" ca="1" si="118"/>
        <v>2340080506.9366775</v>
      </c>
      <c r="E914" s="53">
        <f t="shared" ca="1" si="119"/>
        <v>2523265479133.354</v>
      </c>
      <c r="F914" s="53">
        <f t="shared" ca="1" si="120"/>
        <v>1460999131889.1636</v>
      </c>
      <c r="G914" s="53">
        <f t="shared" ca="1" si="121"/>
        <v>5244639119130.0723</v>
      </c>
      <c r="H914" s="53">
        <f t="shared" ca="1" si="122"/>
        <v>5244639119130.0723</v>
      </c>
      <c r="I914" s="53">
        <f t="shared" ca="1" si="123"/>
        <v>47471078287502.234</v>
      </c>
      <c r="J914" s="53">
        <f t="shared" ca="1" si="124"/>
        <v>985776005819.72986</v>
      </c>
      <c r="K914" s="54">
        <f t="shared" ca="1" si="125"/>
        <v>48.156049657576403</v>
      </c>
    </row>
    <row r="915" spans="2:11" ht="15" customHeight="1" x14ac:dyDescent="0.35">
      <c r="B915" s="5">
        <v>894</v>
      </c>
      <c r="C915" s="52">
        <f t="shared" ca="1" si="117"/>
        <v>2.7762100426390544</v>
      </c>
      <c r="D915" s="53">
        <f t="shared" ca="1" si="118"/>
        <v>2957653737.8897676</v>
      </c>
      <c r="E915" s="53">
        <f t="shared" ca="1" si="119"/>
        <v>3784698476760.5068</v>
      </c>
      <c r="F915" s="53">
        <f t="shared" ca="1" si="120"/>
        <v>1038544760177.4739</v>
      </c>
      <c r="G915" s="53">
        <f t="shared" ca="1" si="121"/>
        <v>11546351593322.525</v>
      </c>
      <c r="H915" s="53">
        <f t="shared" ca="1" si="122"/>
        <v>11546351593322.525</v>
      </c>
      <c r="I915" s="53">
        <f t="shared" ca="1" si="123"/>
        <v>4551550881968.1689</v>
      </c>
      <c r="J915" s="53">
        <f t="shared" ca="1" si="124"/>
        <v>1417908621185.6323</v>
      </c>
      <c r="K915" s="54">
        <f t="shared" ca="1" si="125"/>
        <v>3.2100452835685811</v>
      </c>
    </row>
    <row r="916" spans="2:11" ht="15" customHeight="1" x14ac:dyDescent="0.35">
      <c r="B916" s="5">
        <v>895</v>
      </c>
      <c r="C916" s="52">
        <f t="shared" ca="1" si="117"/>
        <v>3.6204665800909326</v>
      </c>
      <c r="D916" s="53">
        <f t="shared" ca="1" si="118"/>
        <v>11286857250.964144</v>
      </c>
      <c r="E916" s="53">
        <f t="shared" ca="1" si="119"/>
        <v>21953982674959.742</v>
      </c>
      <c r="F916" s="53">
        <f t="shared" ca="1" si="120"/>
        <v>2988330719718.3018</v>
      </c>
      <c r="G916" s="53">
        <f t="shared" ca="1" si="121"/>
        <v>3571371698477.9106</v>
      </c>
      <c r="H916" s="53">
        <f t="shared" ca="1" si="122"/>
        <v>3571371698477.9106</v>
      </c>
      <c r="I916" s="53">
        <f t="shared" ca="1" si="123"/>
        <v>42112331717300.578</v>
      </c>
      <c r="J916" s="53">
        <f t="shared" ca="1" si="124"/>
        <v>895435217812.78906</v>
      </c>
      <c r="K916" s="54">
        <f t="shared" ca="1" si="125"/>
        <v>47.030014991106938</v>
      </c>
    </row>
    <row r="917" spans="2:11" ht="15" customHeight="1" x14ac:dyDescent="0.35">
      <c r="B917" s="5">
        <v>896</v>
      </c>
      <c r="C917" s="52">
        <f t="shared" ca="1" si="117"/>
        <v>2.5107682412853505</v>
      </c>
      <c r="D917" s="53">
        <f t="shared" ca="1" si="118"/>
        <v>1778501683.6090336</v>
      </c>
      <c r="E917" s="53">
        <f t="shared" ca="1" si="119"/>
        <v>10616083276136.475</v>
      </c>
      <c r="F917" s="53">
        <f t="shared" ca="1" si="120"/>
        <v>484310314504.91144</v>
      </c>
      <c r="G917" s="53">
        <f t="shared" ca="1" si="121"/>
        <v>33434233685223.027</v>
      </c>
      <c r="H917" s="53">
        <f t="shared" ca="1" si="122"/>
        <v>10616083276136.475</v>
      </c>
      <c r="I917" s="53">
        <f t="shared" ca="1" si="123"/>
        <v>1964717853456.3318</v>
      </c>
      <c r="J917" s="53">
        <f t="shared" ca="1" si="124"/>
        <v>573606551185.58362</v>
      </c>
      <c r="K917" s="54">
        <f t="shared" ca="1" si="125"/>
        <v>3.4252012104733973</v>
      </c>
    </row>
    <row r="918" spans="2:11" ht="15" customHeight="1" x14ac:dyDescent="0.35">
      <c r="B918" s="5">
        <v>897</v>
      </c>
      <c r="C918" s="52">
        <f t="shared" ref="C918:C981" ca="1" si="126">MEDIAN(1.8,NORMINV(RAND(),$C$7,$D$7),4.5)</f>
        <v>3.2746285975225851</v>
      </c>
      <c r="D918" s="53">
        <f t="shared" ref="D918:D981" ca="1" si="127">($C$8+RAND()*($D$8-$C$8))*C918^5</f>
        <v>8093539613.7004786</v>
      </c>
      <c r="E918" s="53">
        <f t="shared" ref="E918:E981" ca="1" si="128">D918*($C$10+RAND()*($D$10-$C$10))*EXP(NORMINV(RAND(),$C$9,$D$9))*($C$11+RAND()*($D$11-$C$11))</f>
        <v>49874123634864.023</v>
      </c>
      <c r="F918" s="53">
        <f t="shared" ref="F918:F981" ca="1" si="129">EXP(NORMINV(RAND(),$C$12,$D$12))*EXP(NORMINV(RAND(),$C$13,$D$13))</f>
        <v>729137533385.15234</v>
      </c>
      <c r="G918" s="53">
        <f t="shared" ref="G918:G981" ca="1" si="130">EXP(NORMINV(RAND(),$C$14,$D$14))*($C$15+RAND()*($D$15-$C$15))*EXP(NORMINV(RAND(),$C$16,$D$16))/1000000*31536000</f>
        <v>2903133462451.1978</v>
      </c>
      <c r="H918" s="53">
        <f t="shared" ref="H918:H981" ca="1" si="131">CHOOSE(RANDBETWEEN(1,3),E918,F918,G918)</f>
        <v>2903133462451.1978</v>
      </c>
      <c r="I918" s="53">
        <f t="shared" ref="I918:I981" ca="1" si="132">EXP(NORMINV(RAND(),$C$14,$D$14))*($C$15+RAND()*($D$15-$C$15))*60</f>
        <v>12732981095654.277</v>
      </c>
      <c r="J918" s="53">
        <f t="shared" ref="J918:J981" ca="1" si="133">($C$17+RAND()*($D$17-$C$17))*($C$18+RAND()*($D$18-$C$18))</f>
        <v>1176206984410.9436</v>
      </c>
      <c r="K918" s="54">
        <f t="shared" ref="K918:K981" ca="1" si="134">I918/J918</f>
        <v>10.825459518956253</v>
      </c>
    </row>
    <row r="919" spans="2:11" ht="15" customHeight="1" x14ac:dyDescent="0.35">
      <c r="B919" s="5">
        <v>898</v>
      </c>
      <c r="C919" s="52">
        <f t="shared" ca="1" si="126"/>
        <v>3.3839100277559808</v>
      </c>
      <c r="D919" s="53">
        <f t="shared" ca="1" si="127"/>
        <v>7348380224.4911613</v>
      </c>
      <c r="E919" s="53">
        <f t="shared" ca="1" si="128"/>
        <v>35086466096761.754</v>
      </c>
      <c r="F919" s="53">
        <f t="shared" ca="1" si="129"/>
        <v>884751861855.74341</v>
      </c>
      <c r="G919" s="53">
        <f t="shared" ca="1" si="130"/>
        <v>77331852225090.266</v>
      </c>
      <c r="H919" s="53">
        <f t="shared" ca="1" si="131"/>
        <v>35086466096761.754</v>
      </c>
      <c r="I919" s="53">
        <f t="shared" ca="1" si="132"/>
        <v>7103081393295.123</v>
      </c>
      <c r="J919" s="53">
        <f t="shared" ca="1" si="133"/>
        <v>633339464920.32214</v>
      </c>
      <c r="K919" s="54">
        <f t="shared" ca="1" si="134"/>
        <v>11.215283093386155</v>
      </c>
    </row>
    <row r="920" spans="2:11" ht="15" customHeight="1" x14ac:dyDescent="0.35">
      <c r="B920" s="5">
        <v>899</v>
      </c>
      <c r="C920" s="52">
        <f t="shared" ca="1" si="126"/>
        <v>3.1686406248093917</v>
      </c>
      <c r="D920" s="53">
        <f t="shared" ca="1" si="127"/>
        <v>5961531827.7828588</v>
      </c>
      <c r="E920" s="53">
        <f t="shared" ca="1" si="128"/>
        <v>23296837541484.742</v>
      </c>
      <c r="F920" s="53">
        <f t="shared" ca="1" si="129"/>
        <v>1044080351757.1129</v>
      </c>
      <c r="G920" s="53">
        <f t="shared" ca="1" si="130"/>
        <v>35670971458666.109</v>
      </c>
      <c r="H920" s="53">
        <f t="shared" ca="1" si="131"/>
        <v>23296837541484.742</v>
      </c>
      <c r="I920" s="53">
        <f t="shared" ca="1" si="132"/>
        <v>27640599698044.719</v>
      </c>
      <c r="J920" s="53">
        <f t="shared" ca="1" si="133"/>
        <v>460406911534.16876</v>
      </c>
      <c r="K920" s="54">
        <f t="shared" ca="1" si="134"/>
        <v>60.035153699019553</v>
      </c>
    </row>
    <row r="921" spans="2:11" ht="15" customHeight="1" x14ac:dyDescent="0.35">
      <c r="B921" s="5">
        <v>900</v>
      </c>
      <c r="C921" s="52">
        <f t="shared" ca="1" si="126"/>
        <v>3.255717813543038</v>
      </c>
      <c r="D921" s="53">
        <f t="shared" ca="1" si="127"/>
        <v>8274332767.4867592</v>
      </c>
      <c r="E921" s="53">
        <f t="shared" ca="1" si="128"/>
        <v>32179007398721.277</v>
      </c>
      <c r="F921" s="53">
        <f t="shared" ca="1" si="129"/>
        <v>3161628307056.6738</v>
      </c>
      <c r="G921" s="53">
        <f t="shared" ca="1" si="130"/>
        <v>2755729405531.5581</v>
      </c>
      <c r="H921" s="53">
        <f t="shared" ca="1" si="131"/>
        <v>32179007398721.277</v>
      </c>
      <c r="I921" s="53">
        <f t="shared" ca="1" si="132"/>
        <v>9480361931984.9492</v>
      </c>
      <c r="J921" s="53">
        <f t="shared" ca="1" si="133"/>
        <v>1046321868154.1284</v>
      </c>
      <c r="K921" s="54">
        <f t="shared" ca="1" si="134"/>
        <v>9.0606554450685</v>
      </c>
    </row>
    <row r="922" spans="2:11" ht="15" customHeight="1" x14ac:dyDescent="0.35">
      <c r="B922" s="5">
        <v>901</v>
      </c>
      <c r="C922" s="52">
        <f t="shared" ca="1" si="126"/>
        <v>2.938146348447193</v>
      </c>
      <c r="D922" s="53">
        <f t="shared" ca="1" si="127"/>
        <v>4110510413.8289571</v>
      </c>
      <c r="E922" s="53">
        <f t="shared" ca="1" si="128"/>
        <v>21602444125361.352</v>
      </c>
      <c r="F922" s="53">
        <f t="shared" ca="1" si="129"/>
        <v>6786038984839.5703</v>
      </c>
      <c r="G922" s="53">
        <f t="shared" ca="1" si="130"/>
        <v>15764718501103.096</v>
      </c>
      <c r="H922" s="53">
        <f t="shared" ca="1" si="131"/>
        <v>15764718501103.096</v>
      </c>
      <c r="I922" s="53">
        <f t="shared" ca="1" si="132"/>
        <v>42482565586590.836</v>
      </c>
      <c r="J922" s="53">
        <f t="shared" ca="1" si="133"/>
        <v>711053930408.94165</v>
      </c>
      <c r="K922" s="54">
        <f t="shared" ca="1" si="134"/>
        <v>59.745912046584486</v>
      </c>
    </row>
    <row r="923" spans="2:11" ht="15" customHeight="1" x14ac:dyDescent="0.35">
      <c r="B923" s="5">
        <v>902</v>
      </c>
      <c r="C923" s="52">
        <f t="shared" ca="1" si="126"/>
        <v>3.4884457818796113</v>
      </c>
      <c r="D923" s="53">
        <f t="shared" ca="1" si="127"/>
        <v>10229038118.763735</v>
      </c>
      <c r="E923" s="53">
        <f t="shared" ca="1" si="128"/>
        <v>32665435209592.215</v>
      </c>
      <c r="F923" s="53">
        <f t="shared" ca="1" si="129"/>
        <v>713998041230.55554</v>
      </c>
      <c r="G923" s="53">
        <f t="shared" ca="1" si="130"/>
        <v>20585723946531.887</v>
      </c>
      <c r="H923" s="53">
        <f t="shared" ca="1" si="131"/>
        <v>32665435209592.215</v>
      </c>
      <c r="I923" s="53">
        <f t="shared" ca="1" si="132"/>
        <v>2973077898264.165</v>
      </c>
      <c r="J923" s="53">
        <f t="shared" ca="1" si="133"/>
        <v>867445611522.73792</v>
      </c>
      <c r="K923" s="54">
        <f t="shared" ca="1" si="134"/>
        <v>3.4273940161448766</v>
      </c>
    </row>
    <row r="924" spans="2:11" ht="15" customHeight="1" x14ac:dyDescent="0.35">
      <c r="B924" s="5">
        <v>903</v>
      </c>
      <c r="C924" s="52">
        <f t="shared" ca="1" si="126"/>
        <v>2.9191195712111582</v>
      </c>
      <c r="D924" s="53">
        <f t="shared" ca="1" si="127"/>
        <v>5006067615.2681713</v>
      </c>
      <c r="E924" s="53">
        <f t="shared" ca="1" si="128"/>
        <v>35378704284792.148</v>
      </c>
      <c r="F924" s="53">
        <f t="shared" ca="1" si="129"/>
        <v>7822227473589.6514</v>
      </c>
      <c r="G924" s="53">
        <f t="shared" ca="1" si="130"/>
        <v>7248465836790.2705</v>
      </c>
      <c r="H924" s="53">
        <f t="shared" ca="1" si="131"/>
        <v>35378704284792.148</v>
      </c>
      <c r="I924" s="53">
        <f t="shared" ca="1" si="132"/>
        <v>7063565771406.4961</v>
      </c>
      <c r="J924" s="53">
        <f t="shared" ca="1" si="133"/>
        <v>1748373137096.6123</v>
      </c>
      <c r="K924" s="54">
        <f t="shared" ca="1" si="134"/>
        <v>4.0400791006983852</v>
      </c>
    </row>
    <row r="925" spans="2:11" ht="15" customHeight="1" x14ac:dyDescent="0.35">
      <c r="B925" s="5">
        <v>904</v>
      </c>
      <c r="C925" s="52">
        <f t="shared" ca="1" si="126"/>
        <v>2.7309963311482086</v>
      </c>
      <c r="D925" s="53">
        <f t="shared" ca="1" si="127"/>
        <v>3032678232.7099438</v>
      </c>
      <c r="E925" s="53">
        <f t="shared" ca="1" si="128"/>
        <v>14014084798772.182</v>
      </c>
      <c r="F925" s="53">
        <f t="shared" ca="1" si="129"/>
        <v>1834250496241.5796</v>
      </c>
      <c r="G925" s="53">
        <f t="shared" ca="1" si="130"/>
        <v>24095252832585.758</v>
      </c>
      <c r="H925" s="53">
        <f t="shared" ca="1" si="131"/>
        <v>1834250496241.5796</v>
      </c>
      <c r="I925" s="53">
        <f t="shared" ca="1" si="132"/>
        <v>5228273358642.9297</v>
      </c>
      <c r="J925" s="53">
        <f t="shared" ca="1" si="133"/>
        <v>1342793086989.8889</v>
      </c>
      <c r="K925" s="54">
        <f t="shared" ca="1" si="134"/>
        <v>3.8935807826975339</v>
      </c>
    </row>
    <row r="926" spans="2:11" ht="15" customHeight="1" x14ac:dyDescent="0.35">
      <c r="B926" s="5">
        <v>905</v>
      </c>
      <c r="C926" s="52">
        <f t="shared" ca="1" si="126"/>
        <v>2.8533588856989907</v>
      </c>
      <c r="D926" s="53">
        <f t="shared" ca="1" si="127"/>
        <v>3797826736.0256147</v>
      </c>
      <c r="E926" s="53">
        <f t="shared" ca="1" si="128"/>
        <v>13749799741256.553</v>
      </c>
      <c r="F926" s="53">
        <f t="shared" ca="1" si="129"/>
        <v>13211184979430.199</v>
      </c>
      <c r="G926" s="53">
        <f t="shared" ca="1" si="130"/>
        <v>36226320156709.883</v>
      </c>
      <c r="H926" s="53">
        <f t="shared" ca="1" si="131"/>
        <v>36226320156709.883</v>
      </c>
      <c r="I926" s="53">
        <f t="shared" ca="1" si="132"/>
        <v>1718365379154.698</v>
      </c>
      <c r="J926" s="53">
        <f t="shared" ca="1" si="133"/>
        <v>816948010862.76025</v>
      </c>
      <c r="K926" s="54">
        <f t="shared" ca="1" si="134"/>
        <v>2.1033962459128475</v>
      </c>
    </row>
    <row r="927" spans="2:11" ht="15" customHeight="1" x14ac:dyDescent="0.35">
      <c r="B927" s="5">
        <v>906</v>
      </c>
      <c r="C927" s="52">
        <f t="shared" ca="1" si="126"/>
        <v>2.9844218096765514</v>
      </c>
      <c r="D927" s="53">
        <f t="shared" ca="1" si="127"/>
        <v>4203091092.9871726</v>
      </c>
      <c r="E927" s="53">
        <f t="shared" ca="1" si="128"/>
        <v>36967136159573.516</v>
      </c>
      <c r="F927" s="53">
        <f t="shared" ca="1" si="129"/>
        <v>4529031129697.4941</v>
      </c>
      <c r="G927" s="53">
        <f t="shared" ca="1" si="130"/>
        <v>11980952673000.809</v>
      </c>
      <c r="H927" s="53">
        <f t="shared" ca="1" si="131"/>
        <v>36967136159573.516</v>
      </c>
      <c r="I927" s="53">
        <f t="shared" ca="1" si="132"/>
        <v>23334515535578.469</v>
      </c>
      <c r="J927" s="53">
        <f t="shared" ca="1" si="133"/>
        <v>892321260311.55371</v>
      </c>
      <c r="K927" s="54">
        <f t="shared" ca="1" si="134"/>
        <v>26.150352539433197</v>
      </c>
    </row>
    <row r="928" spans="2:11" ht="15" customHeight="1" x14ac:dyDescent="0.35">
      <c r="B928" s="5">
        <v>907</v>
      </c>
      <c r="C928" s="52">
        <f t="shared" ca="1" si="126"/>
        <v>2.7393549898748093</v>
      </c>
      <c r="D928" s="53">
        <f t="shared" ca="1" si="127"/>
        <v>2637199623.3724084</v>
      </c>
      <c r="E928" s="53">
        <f t="shared" ca="1" si="128"/>
        <v>31866586066465.621</v>
      </c>
      <c r="F928" s="53">
        <f t="shared" ca="1" si="129"/>
        <v>11976458896832.77</v>
      </c>
      <c r="G928" s="53">
        <f t="shared" ca="1" si="130"/>
        <v>10903607700709.904</v>
      </c>
      <c r="H928" s="53">
        <f t="shared" ca="1" si="131"/>
        <v>10903607700709.904</v>
      </c>
      <c r="I928" s="53">
        <f t="shared" ca="1" si="132"/>
        <v>28934195819298.895</v>
      </c>
      <c r="J928" s="53">
        <f t="shared" ca="1" si="133"/>
        <v>917479498581.15735</v>
      </c>
      <c r="K928" s="54">
        <f t="shared" ca="1" si="134"/>
        <v>31.536612931454474</v>
      </c>
    </row>
    <row r="929" spans="2:11" ht="15" customHeight="1" x14ac:dyDescent="0.35">
      <c r="B929" s="5">
        <v>908</v>
      </c>
      <c r="C929" s="52">
        <f t="shared" ca="1" si="126"/>
        <v>2.594138270315558</v>
      </c>
      <c r="D929" s="53">
        <f t="shared" ca="1" si="127"/>
        <v>1975586652.5587201</v>
      </c>
      <c r="E929" s="53">
        <f t="shared" ca="1" si="128"/>
        <v>8405501084004.7441</v>
      </c>
      <c r="F929" s="53">
        <f t="shared" ca="1" si="129"/>
        <v>971400065279.66956</v>
      </c>
      <c r="G929" s="53">
        <f t="shared" ca="1" si="130"/>
        <v>13135700158253.283</v>
      </c>
      <c r="H929" s="53">
        <f t="shared" ca="1" si="131"/>
        <v>8405501084004.7441</v>
      </c>
      <c r="I929" s="53">
        <f t="shared" ca="1" si="132"/>
        <v>3987254356979.2773</v>
      </c>
      <c r="J929" s="53">
        <f t="shared" ca="1" si="133"/>
        <v>640884012134.42004</v>
      </c>
      <c r="K929" s="54">
        <f t="shared" ca="1" si="134"/>
        <v>6.2214913798520284</v>
      </c>
    </row>
    <row r="930" spans="2:11" ht="15" customHeight="1" x14ac:dyDescent="0.35">
      <c r="B930" s="5">
        <v>909</v>
      </c>
      <c r="C930" s="52">
        <f t="shared" ca="1" si="126"/>
        <v>3.5956273401192735</v>
      </c>
      <c r="D930" s="53">
        <f t="shared" ca="1" si="127"/>
        <v>11510882726.941494</v>
      </c>
      <c r="E930" s="53">
        <f t="shared" ca="1" si="128"/>
        <v>27975532002718.922</v>
      </c>
      <c r="F930" s="53">
        <f t="shared" ca="1" si="129"/>
        <v>18710709418447.59</v>
      </c>
      <c r="G930" s="53">
        <f t="shared" ca="1" si="130"/>
        <v>2320271001468.563</v>
      </c>
      <c r="H930" s="53">
        <f t="shared" ca="1" si="131"/>
        <v>2320271001468.563</v>
      </c>
      <c r="I930" s="53">
        <f t="shared" ca="1" si="132"/>
        <v>6655391423499.4121</v>
      </c>
      <c r="J930" s="53">
        <f t="shared" ca="1" si="133"/>
        <v>1457620706868.0183</v>
      </c>
      <c r="K930" s="54">
        <f t="shared" ca="1" si="134"/>
        <v>4.5659281541079473</v>
      </c>
    </row>
    <row r="931" spans="2:11" ht="15" customHeight="1" x14ac:dyDescent="0.35">
      <c r="B931" s="5">
        <v>910</v>
      </c>
      <c r="C931" s="52">
        <f t="shared" ca="1" si="126"/>
        <v>1.8</v>
      </c>
      <c r="D931" s="53">
        <f t="shared" ca="1" si="127"/>
        <v>345388354.1198386</v>
      </c>
      <c r="E931" s="53">
        <f t="shared" ca="1" si="128"/>
        <v>936036427082.16211</v>
      </c>
      <c r="F931" s="53">
        <f t="shared" ca="1" si="129"/>
        <v>8908919322350.918</v>
      </c>
      <c r="G931" s="53">
        <f t="shared" ca="1" si="130"/>
        <v>33457626793763.285</v>
      </c>
      <c r="H931" s="53">
        <f t="shared" ca="1" si="131"/>
        <v>8908919322350.918</v>
      </c>
      <c r="I931" s="53">
        <f t="shared" ca="1" si="132"/>
        <v>15254947597356.646</v>
      </c>
      <c r="J931" s="53">
        <f t="shared" ca="1" si="133"/>
        <v>1123872662446.1782</v>
      </c>
      <c r="K931" s="54">
        <f t="shared" ca="1" si="134"/>
        <v>13.573555178531802</v>
      </c>
    </row>
    <row r="932" spans="2:11" ht="15" customHeight="1" x14ac:dyDescent="0.35">
      <c r="B932" s="5">
        <v>911</v>
      </c>
      <c r="C932" s="52">
        <f t="shared" ca="1" si="126"/>
        <v>3.5987571217466665</v>
      </c>
      <c r="D932" s="53">
        <f t="shared" ca="1" si="127"/>
        <v>10335663277.824646</v>
      </c>
      <c r="E932" s="53">
        <f t="shared" ca="1" si="128"/>
        <v>43969221741039.156</v>
      </c>
      <c r="F932" s="53">
        <f t="shared" ca="1" si="129"/>
        <v>4086048035286.4204</v>
      </c>
      <c r="G932" s="53">
        <f t="shared" ca="1" si="130"/>
        <v>1664486006899.6045</v>
      </c>
      <c r="H932" s="53">
        <f t="shared" ca="1" si="131"/>
        <v>4086048035286.4204</v>
      </c>
      <c r="I932" s="53">
        <f t="shared" ca="1" si="132"/>
        <v>10685251434248.879</v>
      </c>
      <c r="J932" s="53">
        <f t="shared" ca="1" si="133"/>
        <v>777640209176.49353</v>
      </c>
      <c r="K932" s="54">
        <f t="shared" ca="1" si="134"/>
        <v>13.740610771097293</v>
      </c>
    </row>
    <row r="933" spans="2:11" ht="15" customHeight="1" x14ac:dyDescent="0.35">
      <c r="B933" s="5">
        <v>912</v>
      </c>
      <c r="C933" s="52">
        <f t="shared" ca="1" si="126"/>
        <v>2.9867688788472715</v>
      </c>
      <c r="D933" s="53">
        <f t="shared" ca="1" si="127"/>
        <v>4153821047.287261</v>
      </c>
      <c r="E933" s="53">
        <f t="shared" ca="1" si="128"/>
        <v>14313892125613.068</v>
      </c>
      <c r="F933" s="53">
        <f t="shared" ca="1" si="129"/>
        <v>1055336281438.7991</v>
      </c>
      <c r="G933" s="53">
        <f t="shared" ca="1" si="130"/>
        <v>22985101770424.348</v>
      </c>
      <c r="H933" s="53">
        <f t="shared" ca="1" si="131"/>
        <v>14313892125613.068</v>
      </c>
      <c r="I933" s="53">
        <f t="shared" ca="1" si="132"/>
        <v>9543494442974.4883</v>
      </c>
      <c r="J933" s="53">
        <f t="shared" ca="1" si="133"/>
        <v>1589082105810.4998</v>
      </c>
      <c r="K933" s="54">
        <f t="shared" ca="1" si="134"/>
        <v>6.0056647847701354</v>
      </c>
    </row>
    <row r="934" spans="2:11" ht="15" customHeight="1" x14ac:dyDescent="0.35">
      <c r="B934" s="5">
        <v>913</v>
      </c>
      <c r="C934" s="52">
        <f t="shared" ca="1" si="126"/>
        <v>3.1188938739088323</v>
      </c>
      <c r="D934" s="53">
        <f t="shared" ca="1" si="127"/>
        <v>4803157377.5509233</v>
      </c>
      <c r="E934" s="53">
        <f t="shared" ca="1" si="128"/>
        <v>64836654593372.328</v>
      </c>
      <c r="F934" s="53">
        <f t="shared" ca="1" si="129"/>
        <v>1476330639007.9568</v>
      </c>
      <c r="G934" s="53">
        <f t="shared" ca="1" si="130"/>
        <v>432892697387.43311</v>
      </c>
      <c r="H934" s="53">
        <f t="shared" ca="1" si="131"/>
        <v>432892697387.43311</v>
      </c>
      <c r="I934" s="53">
        <f t="shared" ca="1" si="132"/>
        <v>81114316237094.469</v>
      </c>
      <c r="J934" s="53">
        <f t="shared" ca="1" si="133"/>
        <v>1551475734781.4897</v>
      </c>
      <c r="K934" s="54">
        <f t="shared" ca="1" si="134"/>
        <v>52.282039878966351</v>
      </c>
    </row>
    <row r="935" spans="2:11" ht="15" customHeight="1" x14ac:dyDescent="0.35">
      <c r="B935" s="5">
        <v>914</v>
      </c>
      <c r="C935" s="52">
        <f t="shared" ca="1" si="126"/>
        <v>2.2105806777630415</v>
      </c>
      <c r="D935" s="53">
        <f t="shared" ca="1" si="127"/>
        <v>1181736126.5626607</v>
      </c>
      <c r="E935" s="53">
        <f t="shared" ca="1" si="128"/>
        <v>12895211262475.76</v>
      </c>
      <c r="F935" s="53">
        <f t="shared" ca="1" si="129"/>
        <v>2185228580050.9546</v>
      </c>
      <c r="G935" s="53">
        <f t="shared" ca="1" si="130"/>
        <v>11250485582964.18</v>
      </c>
      <c r="H935" s="53">
        <f t="shared" ca="1" si="131"/>
        <v>12895211262475.76</v>
      </c>
      <c r="I935" s="53">
        <f t="shared" ca="1" si="132"/>
        <v>7706313540050.5469</v>
      </c>
      <c r="J935" s="53">
        <f t="shared" ca="1" si="133"/>
        <v>806686692645.14465</v>
      </c>
      <c r="K935" s="54">
        <f t="shared" ca="1" si="134"/>
        <v>9.5530440880106298</v>
      </c>
    </row>
    <row r="936" spans="2:11" ht="15" customHeight="1" x14ac:dyDescent="0.35">
      <c r="B936" s="5">
        <v>915</v>
      </c>
      <c r="C936" s="52">
        <f t="shared" ca="1" si="126"/>
        <v>2.4916422407199441</v>
      </c>
      <c r="D936" s="53">
        <f t="shared" ca="1" si="127"/>
        <v>1830719466.5538189</v>
      </c>
      <c r="E936" s="53">
        <f t="shared" ca="1" si="128"/>
        <v>2554522595125.9956</v>
      </c>
      <c r="F936" s="53">
        <f t="shared" ca="1" si="129"/>
        <v>1117894928674.8152</v>
      </c>
      <c r="G936" s="53">
        <f t="shared" ca="1" si="130"/>
        <v>4933182164169.4551</v>
      </c>
      <c r="H936" s="53">
        <f t="shared" ca="1" si="131"/>
        <v>4933182164169.4551</v>
      </c>
      <c r="I936" s="53">
        <f t="shared" ca="1" si="132"/>
        <v>14903359676436.857</v>
      </c>
      <c r="J936" s="53">
        <f t="shared" ca="1" si="133"/>
        <v>671570171572.74512</v>
      </c>
      <c r="K936" s="54">
        <f t="shared" ca="1" si="134"/>
        <v>22.191813018637788</v>
      </c>
    </row>
    <row r="937" spans="2:11" ht="15" customHeight="1" x14ac:dyDescent="0.35">
      <c r="B937" s="5">
        <v>916</v>
      </c>
      <c r="C937" s="52">
        <f t="shared" ca="1" si="126"/>
        <v>2.2248142361908978</v>
      </c>
      <c r="D937" s="53">
        <f t="shared" ca="1" si="127"/>
        <v>1001998934.3055594</v>
      </c>
      <c r="E937" s="53">
        <f t="shared" ca="1" si="128"/>
        <v>10488376458068.084</v>
      </c>
      <c r="F937" s="53">
        <f t="shared" ca="1" si="129"/>
        <v>1618279993850.8599</v>
      </c>
      <c r="G937" s="53">
        <f t="shared" ca="1" si="130"/>
        <v>1585004793977.8337</v>
      </c>
      <c r="H937" s="53">
        <f t="shared" ca="1" si="131"/>
        <v>1618279993850.8599</v>
      </c>
      <c r="I937" s="53">
        <f t="shared" ca="1" si="132"/>
        <v>853017395870.03052</v>
      </c>
      <c r="J937" s="53">
        <f t="shared" ca="1" si="133"/>
        <v>1038889252102.1414</v>
      </c>
      <c r="K937" s="54">
        <f t="shared" ca="1" si="134"/>
        <v>0.82108597633866331</v>
      </c>
    </row>
    <row r="938" spans="2:11" ht="15" customHeight="1" x14ac:dyDescent="0.35">
      <c r="B938" s="5">
        <v>917</v>
      </c>
      <c r="C938" s="52">
        <f t="shared" ca="1" si="126"/>
        <v>3.5973056520526816</v>
      </c>
      <c r="D938" s="53">
        <f t="shared" ca="1" si="127"/>
        <v>12956641583.775057</v>
      </c>
      <c r="E938" s="53">
        <f t="shared" ca="1" si="128"/>
        <v>111026035486700.83</v>
      </c>
      <c r="F938" s="53">
        <f t="shared" ca="1" si="129"/>
        <v>686802323285.00159</v>
      </c>
      <c r="G938" s="53">
        <f t="shared" ca="1" si="130"/>
        <v>36493887276849.867</v>
      </c>
      <c r="H938" s="53">
        <f t="shared" ca="1" si="131"/>
        <v>111026035486700.83</v>
      </c>
      <c r="I938" s="53">
        <f t="shared" ca="1" si="132"/>
        <v>6572678218737.1748</v>
      </c>
      <c r="J938" s="53">
        <f t="shared" ca="1" si="133"/>
        <v>960136686680.87292</v>
      </c>
      <c r="K938" s="54">
        <f t="shared" ca="1" si="134"/>
        <v>6.8455651262097641</v>
      </c>
    </row>
    <row r="939" spans="2:11" ht="15" customHeight="1" x14ac:dyDescent="0.35">
      <c r="B939" s="5">
        <v>918</v>
      </c>
      <c r="C939" s="52">
        <f t="shared" ca="1" si="126"/>
        <v>3.0849656984001808</v>
      </c>
      <c r="D939" s="53">
        <f t="shared" ca="1" si="127"/>
        <v>6142919231.3583698</v>
      </c>
      <c r="E939" s="53">
        <f t="shared" ca="1" si="128"/>
        <v>3106979725584.6885</v>
      </c>
      <c r="F939" s="53">
        <f t="shared" ca="1" si="129"/>
        <v>5028557941391.5947</v>
      </c>
      <c r="G939" s="53">
        <f t="shared" ca="1" si="130"/>
        <v>37870875967148.391</v>
      </c>
      <c r="H939" s="53">
        <f t="shared" ca="1" si="131"/>
        <v>37870875967148.391</v>
      </c>
      <c r="I939" s="53">
        <f t="shared" ca="1" si="132"/>
        <v>5096974248211.0557</v>
      </c>
      <c r="J939" s="53">
        <f t="shared" ca="1" si="133"/>
        <v>1194038736534.4707</v>
      </c>
      <c r="K939" s="54">
        <f t="shared" ca="1" si="134"/>
        <v>4.2686841659796615</v>
      </c>
    </row>
    <row r="940" spans="2:11" ht="15" customHeight="1" x14ac:dyDescent="0.35">
      <c r="B940" s="5">
        <v>919</v>
      </c>
      <c r="C940" s="52">
        <f t="shared" ca="1" si="126"/>
        <v>3.6369873665722632</v>
      </c>
      <c r="D940" s="53">
        <f t="shared" ca="1" si="127"/>
        <v>11267852390.125931</v>
      </c>
      <c r="E940" s="53">
        <f t="shared" ca="1" si="128"/>
        <v>16561231354769.469</v>
      </c>
      <c r="F940" s="53">
        <f t="shared" ca="1" si="129"/>
        <v>709408798546.64429</v>
      </c>
      <c r="G940" s="53">
        <f t="shared" ca="1" si="130"/>
        <v>20101827031235.602</v>
      </c>
      <c r="H940" s="53">
        <f t="shared" ca="1" si="131"/>
        <v>709408798546.64429</v>
      </c>
      <c r="I940" s="53">
        <f t="shared" ca="1" si="132"/>
        <v>1096018264802.8862</v>
      </c>
      <c r="J940" s="53">
        <f t="shared" ca="1" si="133"/>
        <v>1727957805292.8044</v>
      </c>
      <c r="K940" s="54">
        <f t="shared" ca="1" si="134"/>
        <v>0.63428531729521298</v>
      </c>
    </row>
    <row r="941" spans="2:11" ht="15" customHeight="1" x14ac:dyDescent="0.35">
      <c r="B941" s="5">
        <v>920</v>
      </c>
      <c r="C941" s="52">
        <f t="shared" ca="1" si="126"/>
        <v>2.9981366184973148</v>
      </c>
      <c r="D941" s="53">
        <f t="shared" ca="1" si="127"/>
        <v>5357890390.312541</v>
      </c>
      <c r="E941" s="53">
        <f t="shared" ca="1" si="128"/>
        <v>34389613033393.434</v>
      </c>
      <c r="F941" s="53">
        <f t="shared" ca="1" si="129"/>
        <v>12943683205400.506</v>
      </c>
      <c r="G941" s="53">
        <f t="shared" ca="1" si="130"/>
        <v>35111302987378.648</v>
      </c>
      <c r="H941" s="53">
        <f t="shared" ca="1" si="131"/>
        <v>12943683205400.506</v>
      </c>
      <c r="I941" s="53">
        <f t="shared" ca="1" si="132"/>
        <v>11776736660561.426</v>
      </c>
      <c r="J941" s="53">
        <f t="shared" ca="1" si="133"/>
        <v>625965842575.70654</v>
      </c>
      <c r="K941" s="54">
        <f t="shared" ca="1" si="134"/>
        <v>18.813704933328058</v>
      </c>
    </row>
    <row r="942" spans="2:11" ht="15" customHeight="1" x14ac:dyDescent="0.35">
      <c r="B942" s="5">
        <v>921</v>
      </c>
      <c r="C942" s="52">
        <f t="shared" ca="1" si="126"/>
        <v>3.0212776872974003</v>
      </c>
      <c r="D942" s="53">
        <f t="shared" ca="1" si="127"/>
        <v>4883249433.0180521</v>
      </c>
      <c r="E942" s="53">
        <f t="shared" ca="1" si="128"/>
        <v>27975903784290.672</v>
      </c>
      <c r="F942" s="53">
        <f t="shared" ca="1" si="129"/>
        <v>1502923172995.4773</v>
      </c>
      <c r="G942" s="53">
        <f t="shared" ca="1" si="130"/>
        <v>2242475781796.0742</v>
      </c>
      <c r="H942" s="53">
        <f t="shared" ca="1" si="131"/>
        <v>27975903784290.672</v>
      </c>
      <c r="I942" s="53">
        <f t="shared" ca="1" si="132"/>
        <v>20578870274773.973</v>
      </c>
      <c r="J942" s="53">
        <f t="shared" ca="1" si="133"/>
        <v>614306169582.50854</v>
      </c>
      <c r="K942" s="54">
        <f t="shared" ca="1" si="134"/>
        <v>33.499370987531634</v>
      </c>
    </row>
    <row r="943" spans="2:11" ht="15" customHeight="1" x14ac:dyDescent="0.35">
      <c r="B943" s="5">
        <v>922</v>
      </c>
      <c r="C943" s="52">
        <f t="shared" ca="1" si="126"/>
        <v>2.8442474499944446</v>
      </c>
      <c r="D943" s="53">
        <f t="shared" ca="1" si="127"/>
        <v>4310610778.7282143</v>
      </c>
      <c r="E943" s="53">
        <f t="shared" ca="1" si="128"/>
        <v>13030620451783.697</v>
      </c>
      <c r="F943" s="53">
        <f t="shared" ca="1" si="129"/>
        <v>5368638151215.0908</v>
      </c>
      <c r="G943" s="53">
        <f t="shared" ca="1" si="130"/>
        <v>7227165200244.543</v>
      </c>
      <c r="H943" s="53">
        <f t="shared" ca="1" si="131"/>
        <v>13030620451783.697</v>
      </c>
      <c r="I943" s="53">
        <f t="shared" ca="1" si="132"/>
        <v>17506922320397.629</v>
      </c>
      <c r="J943" s="53">
        <f t="shared" ca="1" si="133"/>
        <v>1053543460363.3953</v>
      </c>
      <c r="K943" s="54">
        <f t="shared" ca="1" si="134"/>
        <v>16.617180950806741</v>
      </c>
    </row>
    <row r="944" spans="2:11" ht="15" customHeight="1" x14ac:dyDescent="0.35">
      <c r="B944" s="5">
        <v>923</v>
      </c>
      <c r="C944" s="52">
        <f t="shared" ca="1" si="126"/>
        <v>3.8672270230995909</v>
      </c>
      <c r="D944" s="53">
        <f t="shared" ca="1" si="127"/>
        <v>15123427965.680389</v>
      </c>
      <c r="E944" s="53">
        <f t="shared" ca="1" si="128"/>
        <v>13079789564493.369</v>
      </c>
      <c r="F944" s="53">
        <f t="shared" ca="1" si="129"/>
        <v>505185677897.0274</v>
      </c>
      <c r="G944" s="53">
        <f t="shared" ca="1" si="130"/>
        <v>874767395837.44287</v>
      </c>
      <c r="H944" s="53">
        <f t="shared" ca="1" si="131"/>
        <v>13079789564493.369</v>
      </c>
      <c r="I944" s="53">
        <f t="shared" ca="1" si="132"/>
        <v>31235155755826.043</v>
      </c>
      <c r="J944" s="53">
        <f t="shared" ca="1" si="133"/>
        <v>917527996996.28577</v>
      </c>
      <c r="K944" s="54">
        <f t="shared" ca="1" si="134"/>
        <v>34.042727696681375</v>
      </c>
    </row>
    <row r="945" spans="2:11" ht="15" customHeight="1" x14ac:dyDescent="0.35">
      <c r="B945" s="5">
        <v>924</v>
      </c>
      <c r="C945" s="52">
        <f t="shared" ca="1" si="126"/>
        <v>2.1771641187309752</v>
      </c>
      <c r="D945" s="53">
        <f t="shared" ca="1" si="127"/>
        <v>1002547716.249464</v>
      </c>
      <c r="E945" s="53">
        <f t="shared" ca="1" si="128"/>
        <v>3375539828513.2881</v>
      </c>
      <c r="F945" s="53">
        <f t="shared" ca="1" si="129"/>
        <v>6235346617163.5166</v>
      </c>
      <c r="G945" s="53">
        <f t="shared" ca="1" si="130"/>
        <v>35291775621748.977</v>
      </c>
      <c r="H945" s="53">
        <f t="shared" ca="1" si="131"/>
        <v>3375539828513.2881</v>
      </c>
      <c r="I945" s="53">
        <f t="shared" ca="1" si="132"/>
        <v>14627082791329.311</v>
      </c>
      <c r="J945" s="53">
        <f t="shared" ca="1" si="133"/>
        <v>1540706202707.2629</v>
      </c>
      <c r="K945" s="54">
        <f t="shared" ca="1" si="134"/>
        <v>9.4937521284896675</v>
      </c>
    </row>
    <row r="946" spans="2:11" ht="15" customHeight="1" x14ac:dyDescent="0.35">
      <c r="B946" s="5">
        <v>925</v>
      </c>
      <c r="C946" s="52">
        <f t="shared" ca="1" si="126"/>
        <v>2.9440515099817426</v>
      </c>
      <c r="D946" s="53">
        <f t="shared" ca="1" si="127"/>
        <v>4392889434.7429867</v>
      </c>
      <c r="E946" s="53">
        <f t="shared" ca="1" si="128"/>
        <v>3888461935544.0771</v>
      </c>
      <c r="F946" s="53">
        <f t="shared" ca="1" si="129"/>
        <v>603350091867.07361</v>
      </c>
      <c r="G946" s="53">
        <f t="shared" ca="1" si="130"/>
        <v>27310553114201.512</v>
      </c>
      <c r="H946" s="53">
        <f t="shared" ca="1" si="131"/>
        <v>603350091867.07361</v>
      </c>
      <c r="I946" s="53">
        <f t="shared" ca="1" si="132"/>
        <v>2592466920937.7769</v>
      </c>
      <c r="J946" s="53">
        <f t="shared" ca="1" si="133"/>
        <v>956320049763.75647</v>
      </c>
      <c r="K946" s="54">
        <f t="shared" ca="1" si="134"/>
        <v>2.710877934200171</v>
      </c>
    </row>
    <row r="947" spans="2:11" ht="15" customHeight="1" x14ac:dyDescent="0.35">
      <c r="B947" s="5">
        <v>926</v>
      </c>
      <c r="C947" s="52">
        <f t="shared" ca="1" si="126"/>
        <v>2.680179374270498</v>
      </c>
      <c r="D947" s="53">
        <f t="shared" ca="1" si="127"/>
        <v>2974459528.6667695</v>
      </c>
      <c r="E947" s="53">
        <f t="shared" ca="1" si="128"/>
        <v>21104738175451.738</v>
      </c>
      <c r="F947" s="53">
        <f t="shared" ca="1" si="129"/>
        <v>4313369954688.8096</v>
      </c>
      <c r="G947" s="53">
        <f t="shared" ca="1" si="130"/>
        <v>7286181630280.7773</v>
      </c>
      <c r="H947" s="53">
        <f t="shared" ca="1" si="131"/>
        <v>4313369954688.8096</v>
      </c>
      <c r="I947" s="53">
        <f t="shared" ca="1" si="132"/>
        <v>11917966030979.336</v>
      </c>
      <c r="J947" s="53">
        <f t="shared" ca="1" si="133"/>
        <v>562362928555.53076</v>
      </c>
      <c r="K947" s="54">
        <f t="shared" ca="1" si="134"/>
        <v>21.192659447861331</v>
      </c>
    </row>
    <row r="948" spans="2:11" ht="15" customHeight="1" x14ac:dyDescent="0.35">
      <c r="B948" s="5">
        <v>927</v>
      </c>
      <c r="C948" s="52">
        <f t="shared" ca="1" si="126"/>
        <v>2.4121503195259959</v>
      </c>
      <c r="D948" s="53">
        <f t="shared" ca="1" si="127"/>
        <v>1881025978.3244922</v>
      </c>
      <c r="E948" s="53">
        <f t="shared" ca="1" si="128"/>
        <v>18993604576431.594</v>
      </c>
      <c r="F948" s="53">
        <f t="shared" ca="1" si="129"/>
        <v>687198918683.63196</v>
      </c>
      <c r="G948" s="53">
        <f t="shared" ca="1" si="130"/>
        <v>675907222377.9032</v>
      </c>
      <c r="H948" s="53">
        <f t="shared" ca="1" si="131"/>
        <v>687198918683.63196</v>
      </c>
      <c r="I948" s="53">
        <f t="shared" ca="1" si="132"/>
        <v>4052440142582.7388</v>
      </c>
      <c r="J948" s="53">
        <f t="shared" ca="1" si="133"/>
        <v>583007032297.21997</v>
      </c>
      <c r="K948" s="54">
        <f t="shared" ca="1" si="134"/>
        <v>6.9509284075269679</v>
      </c>
    </row>
    <row r="949" spans="2:11" ht="15" customHeight="1" x14ac:dyDescent="0.35">
      <c r="B949" s="5">
        <v>928</v>
      </c>
      <c r="C949" s="52">
        <f t="shared" ca="1" si="126"/>
        <v>2.6397082712183173</v>
      </c>
      <c r="D949" s="53">
        <f t="shared" ca="1" si="127"/>
        <v>2321673326.5029712</v>
      </c>
      <c r="E949" s="53">
        <f t="shared" ca="1" si="128"/>
        <v>13726683925595.404</v>
      </c>
      <c r="F949" s="53">
        <f t="shared" ca="1" si="129"/>
        <v>1253209344017.5229</v>
      </c>
      <c r="G949" s="53">
        <f t="shared" ca="1" si="130"/>
        <v>38529692397350.25</v>
      </c>
      <c r="H949" s="53">
        <f t="shared" ca="1" si="131"/>
        <v>1253209344017.5229</v>
      </c>
      <c r="I949" s="53">
        <f t="shared" ca="1" si="132"/>
        <v>74539008017654.672</v>
      </c>
      <c r="J949" s="53">
        <f t="shared" ca="1" si="133"/>
        <v>644701160759.12952</v>
      </c>
      <c r="K949" s="54">
        <f t="shared" ca="1" si="134"/>
        <v>115.61792122397561</v>
      </c>
    </row>
    <row r="950" spans="2:11" ht="15" customHeight="1" x14ac:dyDescent="0.35">
      <c r="B950" s="5">
        <v>929</v>
      </c>
      <c r="C950" s="52">
        <f t="shared" ca="1" si="126"/>
        <v>2.8263129809868004</v>
      </c>
      <c r="D950" s="53">
        <f t="shared" ca="1" si="127"/>
        <v>3570890171.8668203</v>
      </c>
      <c r="E950" s="53">
        <f t="shared" ca="1" si="128"/>
        <v>8062188666894.1699</v>
      </c>
      <c r="F950" s="53">
        <f t="shared" ca="1" si="129"/>
        <v>41805014004510.297</v>
      </c>
      <c r="G950" s="53">
        <f t="shared" ca="1" si="130"/>
        <v>32549921253428.41</v>
      </c>
      <c r="H950" s="53">
        <f t="shared" ca="1" si="131"/>
        <v>8062188666894.1699</v>
      </c>
      <c r="I950" s="53">
        <f t="shared" ca="1" si="132"/>
        <v>144253861964596.5</v>
      </c>
      <c r="J950" s="53">
        <f t="shared" ca="1" si="133"/>
        <v>706963604317.68567</v>
      </c>
      <c r="K950" s="54">
        <f t="shared" ca="1" si="134"/>
        <v>204.04708401335702</v>
      </c>
    </row>
    <row r="951" spans="2:11" ht="15" customHeight="1" x14ac:dyDescent="0.35">
      <c r="B951" s="5">
        <v>930</v>
      </c>
      <c r="C951" s="52">
        <f t="shared" ca="1" si="126"/>
        <v>3.3447372134310482</v>
      </c>
      <c r="D951" s="53">
        <f t="shared" ca="1" si="127"/>
        <v>7402443599.2159119</v>
      </c>
      <c r="E951" s="53">
        <f t="shared" ca="1" si="128"/>
        <v>16962951622755.775</v>
      </c>
      <c r="F951" s="53">
        <f t="shared" ca="1" si="129"/>
        <v>5429642889740.0869</v>
      </c>
      <c r="G951" s="53">
        <f t="shared" ca="1" si="130"/>
        <v>16611965927980.273</v>
      </c>
      <c r="H951" s="53">
        <f t="shared" ca="1" si="131"/>
        <v>16962951622755.775</v>
      </c>
      <c r="I951" s="53">
        <f t="shared" ca="1" si="132"/>
        <v>202472822468208.66</v>
      </c>
      <c r="J951" s="53">
        <f t="shared" ca="1" si="133"/>
        <v>885441010245.47107</v>
      </c>
      <c r="K951" s="54">
        <f t="shared" ca="1" si="134"/>
        <v>228.66890072335485</v>
      </c>
    </row>
    <row r="952" spans="2:11" ht="15" customHeight="1" x14ac:dyDescent="0.35">
      <c r="B952" s="5">
        <v>931</v>
      </c>
      <c r="C952" s="52">
        <f t="shared" ca="1" si="126"/>
        <v>2.8705540189623191</v>
      </c>
      <c r="D952" s="53">
        <f t="shared" ca="1" si="127"/>
        <v>4006603493.9810424</v>
      </c>
      <c r="E952" s="53">
        <f t="shared" ca="1" si="128"/>
        <v>11731065389321.672</v>
      </c>
      <c r="F952" s="53">
        <f t="shared" ca="1" si="129"/>
        <v>1141807356616.2971</v>
      </c>
      <c r="G952" s="53">
        <f t="shared" ca="1" si="130"/>
        <v>6746645199531.9756</v>
      </c>
      <c r="H952" s="53">
        <f t="shared" ca="1" si="131"/>
        <v>11731065389321.672</v>
      </c>
      <c r="I952" s="53">
        <f t="shared" ca="1" si="132"/>
        <v>5334952157431.3945</v>
      </c>
      <c r="J952" s="53">
        <f t="shared" ca="1" si="133"/>
        <v>1381834613756.4907</v>
      </c>
      <c r="K952" s="54">
        <f t="shared" ca="1" si="134"/>
        <v>3.8607747297112716</v>
      </c>
    </row>
    <row r="953" spans="2:11" ht="15" customHeight="1" x14ac:dyDescent="0.35">
      <c r="B953" s="5">
        <v>932</v>
      </c>
      <c r="C953" s="52">
        <f t="shared" ca="1" si="126"/>
        <v>3.4443743176019956</v>
      </c>
      <c r="D953" s="53">
        <f t="shared" ca="1" si="127"/>
        <v>7933362533.6853685</v>
      </c>
      <c r="E953" s="53">
        <f t="shared" ca="1" si="128"/>
        <v>78992550018861.203</v>
      </c>
      <c r="F953" s="53">
        <f t="shared" ca="1" si="129"/>
        <v>513683404199.69672</v>
      </c>
      <c r="G953" s="53">
        <f t="shared" ca="1" si="130"/>
        <v>1802278644687.77</v>
      </c>
      <c r="H953" s="53">
        <f t="shared" ca="1" si="131"/>
        <v>78992550018861.203</v>
      </c>
      <c r="I953" s="53">
        <f t="shared" ca="1" si="132"/>
        <v>2566162376807.104</v>
      </c>
      <c r="J953" s="53">
        <f t="shared" ca="1" si="133"/>
        <v>990388173923.62146</v>
      </c>
      <c r="K953" s="54">
        <f t="shared" ca="1" si="134"/>
        <v>2.591067264707672</v>
      </c>
    </row>
    <row r="954" spans="2:11" ht="15" customHeight="1" x14ac:dyDescent="0.35">
      <c r="B954" s="5">
        <v>933</v>
      </c>
      <c r="C954" s="52">
        <f t="shared" ca="1" si="126"/>
        <v>2.7269582462377517</v>
      </c>
      <c r="D954" s="53">
        <f t="shared" ca="1" si="127"/>
        <v>3082436512.3385649</v>
      </c>
      <c r="E954" s="53">
        <f t="shared" ca="1" si="128"/>
        <v>6911796706933.3867</v>
      </c>
      <c r="F954" s="53">
        <f t="shared" ca="1" si="129"/>
        <v>2368335903904.2393</v>
      </c>
      <c r="G954" s="53">
        <f t="shared" ca="1" si="130"/>
        <v>14248802217868.107</v>
      </c>
      <c r="H954" s="53">
        <f t="shared" ca="1" si="131"/>
        <v>2368335903904.2393</v>
      </c>
      <c r="I954" s="53">
        <f t="shared" ca="1" si="132"/>
        <v>2964400231312.7378</v>
      </c>
      <c r="J954" s="53">
        <f t="shared" ca="1" si="133"/>
        <v>1116836339361.9607</v>
      </c>
      <c r="K954" s="54">
        <f t="shared" ca="1" si="134"/>
        <v>2.6542834673576925</v>
      </c>
    </row>
    <row r="955" spans="2:11" ht="15" customHeight="1" x14ac:dyDescent="0.35">
      <c r="B955" s="5">
        <v>934</v>
      </c>
      <c r="C955" s="52">
        <f t="shared" ca="1" si="126"/>
        <v>3.7999116502716732</v>
      </c>
      <c r="D955" s="53">
        <f t="shared" ca="1" si="127"/>
        <v>14367468924.521212</v>
      </c>
      <c r="E955" s="53">
        <f t="shared" ca="1" si="128"/>
        <v>50714370507593.656</v>
      </c>
      <c r="F955" s="53">
        <f t="shared" ca="1" si="129"/>
        <v>3100324963983.8394</v>
      </c>
      <c r="G955" s="53">
        <f t="shared" ca="1" si="130"/>
        <v>5004395474437.0342</v>
      </c>
      <c r="H955" s="53">
        <f t="shared" ca="1" si="131"/>
        <v>5004395474437.0342</v>
      </c>
      <c r="I955" s="53">
        <f t="shared" ca="1" si="132"/>
        <v>16804426657461.664</v>
      </c>
      <c r="J955" s="53">
        <f t="shared" ca="1" si="133"/>
        <v>733668205824.6958</v>
      </c>
      <c r="K955" s="54">
        <f t="shared" ca="1" si="134"/>
        <v>22.904667973954631</v>
      </c>
    </row>
    <row r="956" spans="2:11" ht="15" customHeight="1" x14ac:dyDescent="0.35">
      <c r="B956" s="5">
        <v>935</v>
      </c>
      <c r="C956" s="52">
        <f t="shared" ca="1" si="126"/>
        <v>3.1295542643795393</v>
      </c>
      <c r="D956" s="53">
        <f t="shared" ca="1" si="127"/>
        <v>5330680983.0303631</v>
      </c>
      <c r="E956" s="53">
        <f t="shared" ca="1" si="128"/>
        <v>5350106413591.0615</v>
      </c>
      <c r="F956" s="53">
        <f t="shared" ca="1" si="129"/>
        <v>34541479896453.34</v>
      </c>
      <c r="G956" s="53">
        <f t="shared" ca="1" si="130"/>
        <v>673397065175.00171</v>
      </c>
      <c r="H956" s="53">
        <f t="shared" ca="1" si="131"/>
        <v>673397065175.00171</v>
      </c>
      <c r="I956" s="53">
        <f t="shared" ca="1" si="132"/>
        <v>27405912556391.102</v>
      </c>
      <c r="J956" s="53">
        <f t="shared" ca="1" si="133"/>
        <v>1351655726826.1501</v>
      </c>
      <c r="K956" s="54">
        <f t="shared" ca="1" si="134"/>
        <v>20.275808412208242</v>
      </c>
    </row>
    <row r="957" spans="2:11" ht="15" customHeight="1" x14ac:dyDescent="0.35">
      <c r="B957" s="5">
        <v>936</v>
      </c>
      <c r="C957" s="52">
        <f t="shared" ca="1" si="126"/>
        <v>1.9526251279682301</v>
      </c>
      <c r="D957" s="53">
        <f t="shared" ca="1" si="127"/>
        <v>635348435.69381595</v>
      </c>
      <c r="E957" s="53">
        <f t="shared" ca="1" si="128"/>
        <v>13919841065431.289</v>
      </c>
      <c r="F957" s="53">
        <f t="shared" ca="1" si="129"/>
        <v>6499170648882.3633</v>
      </c>
      <c r="G957" s="53">
        <f t="shared" ca="1" si="130"/>
        <v>2253686001122.9854</v>
      </c>
      <c r="H957" s="53">
        <f t="shared" ca="1" si="131"/>
        <v>2253686001122.9854</v>
      </c>
      <c r="I957" s="53">
        <f t="shared" ca="1" si="132"/>
        <v>4059779737161.2402</v>
      </c>
      <c r="J957" s="53">
        <f t="shared" ca="1" si="133"/>
        <v>1227840791079.5857</v>
      </c>
      <c r="K957" s="54">
        <f t="shared" ca="1" si="134"/>
        <v>3.3064382342206247</v>
      </c>
    </row>
    <row r="958" spans="2:11" ht="15" customHeight="1" x14ac:dyDescent="0.35">
      <c r="B958" s="5">
        <v>937</v>
      </c>
      <c r="C958" s="52">
        <f t="shared" ca="1" si="126"/>
        <v>3.2866350127294881</v>
      </c>
      <c r="D958" s="53">
        <f t="shared" ca="1" si="127"/>
        <v>8610244593.245451</v>
      </c>
      <c r="E958" s="53">
        <f t="shared" ca="1" si="128"/>
        <v>19414100076480.613</v>
      </c>
      <c r="F958" s="53">
        <f t="shared" ca="1" si="129"/>
        <v>4969710484038.0635</v>
      </c>
      <c r="G958" s="53">
        <f t="shared" ca="1" si="130"/>
        <v>441098161425.11432</v>
      </c>
      <c r="H958" s="53">
        <f t="shared" ca="1" si="131"/>
        <v>441098161425.11432</v>
      </c>
      <c r="I958" s="53">
        <f t="shared" ca="1" si="132"/>
        <v>3904320737156.7686</v>
      </c>
      <c r="J958" s="53">
        <f t="shared" ca="1" si="133"/>
        <v>736457691837.12</v>
      </c>
      <c r="K958" s="54">
        <f t="shared" ca="1" si="134"/>
        <v>5.3014868069573708</v>
      </c>
    </row>
    <row r="959" spans="2:11" ht="15" customHeight="1" x14ac:dyDescent="0.35">
      <c r="B959" s="5">
        <v>938</v>
      </c>
      <c r="C959" s="52">
        <f t="shared" ca="1" si="126"/>
        <v>2.9602935733033067</v>
      </c>
      <c r="D959" s="53">
        <f t="shared" ca="1" si="127"/>
        <v>5256774778.7027025</v>
      </c>
      <c r="E959" s="53">
        <f t="shared" ca="1" si="128"/>
        <v>19297970251452.465</v>
      </c>
      <c r="F959" s="53">
        <f t="shared" ca="1" si="129"/>
        <v>6670206959790.6934</v>
      </c>
      <c r="G959" s="53">
        <f t="shared" ca="1" si="130"/>
        <v>6464670896924.1084</v>
      </c>
      <c r="H959" s="53">
        <f t="shared" ca="1" si="131"/>
        <v>6670206959790.6934</v>
      </c>
      <c r="I959" s="53">
        <f t="shared" ca="1" si="132"/>
        <v>46289183676103.578</v>
      </c>
      <c r="J959" s="53">
        <f t="shared" ca="1" si="133"/>
        <v>994369284017.81812</v>
      </c>
      <c r="K959" s="54">
        <f t="shared" ca="1" si="134"/>
        <v>46.551300829676592</v>
      </c>
    </row>
    <row r="960" spans="2:11" ht="15" customHeight="1" x14ac:dyDescent="0.35">
      <c r="B960" s="5">
        <v>939</v>
      </c>
      <c r="C960" s="52">
        <f t="shared" ca="1" si="126"/>
        <v>2.7801046688430913</v>
      </c>
      <c r="D960" s="53">
        <f t="shared" ca="1" si="127"/>
        <v>3259721154.5293703</v>
      </c>
      <c r="E960" s="53">
        <f t="shared" ca="1" si="128"/>
        <v>12395361490531.949</v>
      </c>
      <c r="F960" s="53">
        <f t="shared" ca="1" si="129"/>
        <v>3654310489678.668</v>
      </c>
      <c r="G960" s="53">
        <f t="shared" ca="1" si="130"/>
        <v>14258932975530.432</v>
      </c>
      <c r="H960" s="53">
        <f t="shared" ca="1" si="131"/>
        <v>3654310489678.668</v>
      </c>
      <c r="I960" s="53">
        <f t="shared" ca="1" si="132"/>
        <v>27431835268575.457</v>
      </c>
      <c r="J960" s="53">
        <f t="shared" ca="1" si="133"/>
        <v>979529161786.3739</v>
      </c>
      <c r="K960" s="54">
        <f t="shared" ca="1" si="134"/>
        <v>28.005123623423152</v>
      </c>
    </row>
    <row r="961" spans="2:11" ht="15" customHeight="1" x14ac:dyDescent="0.35">
      <c r="B961" s="5">
        <v>940</v>
      </c>
      <c r="C961" s="52">
        <f t="shared" ca="1" si="126"/>
        <v>3.1478840796879304</v>
      </c>
      <c r="D961" s="53">
        <f t="shared" ca="1" si="127"/>
        <v>7233837087.0829687</v>
      </c>
      <c r="E961" s="53">
        <f t="shared" ca="1" si="128"/>
        <v>24319121175761.457</v>
      </c>
      <c r="F961" s="53">
        <f t="shared" ca="1" si="129"/>
        <v>681729418370.18665</v>
      </c>
      <c r="G961" s="53">
        <f t="shared" ca="1" si="130"/>
        <v>16467718711663.16</v>
      </c>
      <c r="H961" s="53">
        <f t="shared" ca="1" si="131"/>
        <v>681729418370.18665</v>
      </c>
      <c r="I961" s="53">
        <f t="shared" ca="1" si="132"/>
        <v>10355607901267.494</v>
      </c>
      <c r="J961" s="53">
        <f t="shared" ca="1" si="133"/>
        <v>1664470717220.468</v>
      </c>
      <c r="K961" s="54">
        <f t="shared" ca="1" si="134"/>
        <v>6.2215620822458959</v>
      </c>
    </row>
    <row r="962" spans="2:11" ht="15" customHeight="1" x14ac:dyDescent="0.35">
      <c r="B962" s="5">
        <v>941</v>
      </c>
      <c r="C962" s="52">
        <f t="shared" ca="1" si="126"/>
        <v>2.1905137290986443</v>
      </c>
      <c r="D962" s="53">
        <f t="shared" ca="1" si="127"/>
        <v>1203984123.6217523</v>
      </c>
      <c r="E962" s="53">
        <f t="shared" ca="1" si="128"/>
        <v>11707509514550.584</v>
      </c>
      <c r="F962" s="53">
        <f t="shared" ca="1" si="129"/>
        <v>9506908055729.9668</v>
      </c>
      <c r="G962" s="53">
        <f t="shared" ca="1" si="130"/>
        <v>1193378120792.1958</v>
      </c>
      <c r="H962" s="53">
        <f t="shared" ca="1" si="131"/>
        <v>9506908055729.9668</v>
      </c>
      <c r="I962" s="53">
        <f t="shared" ca="1" si="132"/>
        <v>2128141374346.4219</v>
      </c>
      <c r="J962" s="53">
        <f t="shared" ca="1" si="133"/>
        <v>963221437338.68042</v>
      </c>
      <c r="K962" s="54">
        <f t="shared" ca="1" si="134"/>
        <v>2.2093999280438994</v>
      </c>
    </row>
    <row r="963" spans="2:11" ht="15" customHeight="1" x14ac:dyDescent="0.35">
      <c r="B963" s="5">
        <v>942</v>
      </c>
      <c r="C963" s="52">
        <f t="shared" ca="1" si="126"/>
        <v>2.5963560848696976</v>
      </c>
      <c r="D963" s="53">
        <f t="shared" ca="1" si="127"/>
        <v>2717704039.6794944</v>
      </c>
      <c r="E963" s="53">
        <f t="shared" ca="1" si="128"/>
        <v>12902315411906.334</v>
      </c>
      <c r="F963" s="53">
        <f t="shared" ca="1" si="129"/>
        <v>761764223464.75159</v>
      </c>
      <c r="G963" s="53">
        <f t="shared" ca="1" si="130"/>
        <v>11382161292116.92</v>
      </c>
      <c r="H963" s="53">
        <f t="shared" ca="1" si="131"/>
        <v>11382161292116.92</v>
      </c>
      <c r="I963" s="53">
        <f t="shared" ca="1" si="132"/>
        <v>121177347633957.14</v>
      </c>
      <c r="J963" s="53">
        <f t="shared" ca="1" si="133"/>
        <v>934501257871.54016</v>
      </c>
      <c r="K963" s="54">
        <f t="shared" ca="1" si="134"/>
        <v>129.67060944353977</v>
      </c>
    </row>
    <row r="964" spans="2:11" ht="15" customHeight="1" x14ac:dyDescent="0.35">
      <c r="B964" s="5">
        <v>943</v>
      </c>
      <c r="C964" s="52">
        <f t="shared" ca="1" si="126"/>
        <v>2.1763844896206512</v>
      </c>
      <c r="D964" s="53">
        <f t="shared" ca="1" si="127"/>
        <v>850683448.28322875</v>
      </c>
      <c r="E964" s="53">
        <f t="shared" ca="1" si="128"/>
        <v>2596103871114.0796</v>
      </c>
      <c r="F964" s="53">
        <f t="shared" ca="1" si="129"/>
        <v>2921340819677.8511</v>
      </c>
      <c r="G964" s="53">
        <f t="shared" ca="1" si="130"/>
        <v>12655755247450.959</v>
      </c>
      <c r="H964" s="53">
        <f t="shared" ca="1" si="131"/>
        <v>2596103871114.0796</v>
      </c>
      <c r="I964" s="53">
        <f t="shared" ca="1" si="132"/>
        <v>22762456691304.566</v>
      </c>
      <c r="J964" s="53">
        <f t="shared" ca="1" si="133"/>
        <v>756272545384.66003</v>
      </c>
      <c r="K964" s="54">
        <f t="shared" ca="1" si="134"/>
        <v>30.098218995543444</v>
      </c>
    </row>
    <row r="965" spans="2:11" ht="15" customHeight="1" x14ac:dyDescent="0.35">
      <c r="B965" s="5">
        <v>944</v>
      </c>
      <c r="C965" s="52">
        <f t="shared" ca="1" si="126"/>
        <v>2.3525092968429391</v>
      </c>
      <c r="D965" s="53">
        <f t="shared" ca="1" si="127"/>
        <v>1527789009.9150221</v>
      </c>
      <c r="E965" s="53">
        <f t="shared" ca="1" si="128"/>
        <v>21559594197896.172</v>
      </c>
      <c r="F965" s="53">
        <f t="shared" ca="1" si="129"/>
        <v>15635424756605.988</v>
      </c>
      <c r="G965" s="53">
        <f t="shared" ca="1" si="130"/>
        <v>17502692575706.693</v>
      </c>
      <c r="H965" s="53">
        <f t="shared" ca="1" si="131"/>
        <v>21559594197896.172</v>
      </c>
      <c r="I965" s="53">
        <f t="shared" ca="1" si="132"/>
        <v>115074694016508.97</v>
      </c>
      <c r="J965" s="53">
        <f t="shared" ca="1" si="133"/>
        <v>1004486733984.0477</v>
      </c>
      <c r="K965" s="54">
        <f t="shared" ca="1" si="134"/>
        <v>114.56069067243298</v>
      </c>
    </row>
    <row r="966" spans="2:11" ht="15" customHeight="1" x14ac:dyDescent="0.35">
      <c r="B966" s="5">
        <v>945</v>
      </c>
      <c r="C966" s="52">
        <f t="shared" ca="1" si="126"/>
        <v>2.1843844114295456</v>
      </c>
      <c r="D966" s="53">
        <f t="shared" ca="1" si="127"/>
        <v>836384535.77737069</v>
      </c>
      <c r="E966" s="53">
        <f t="shared" ca="1" si="128"/>
        <v>2257767221100.8896</v>
      </c>
      <c r="F966" s="53">
        <f t="shared" ca="1" si="129"/>
        <v>6836005422817.2012</v>
      </c>
      <c r="G966" s="53">
        <f t="shared" ca="1" si="130"/>
        <v>18968414638374.934</v>
      </c>
      <c r="H966" s="53">
        <f t="shared" ca="1" si="131"/>
        <v>2257767221100.8896</v>
      </c>
      <c r="I966" s="53">
        <f t="shared" ca="1" si="132"/>
        <v>24505241707080.098</v>
      </c>
      <c r="J966" s="53">
        <f t="shared" ca="1" si="133"/>
        <v>594329311513.93909</v>
      </c>
      <c r="K966" s="54">
        <f t="shared" ca="1" si="134"/>
        <v>41.231756927245819</v>
      </c>
    </row>
    <row r="967" spans="2:11" ht="15" customHeight="1" x14ac:dyDescent="0.35">
      <c r="B967" s="5">
        <v>946</v>
      </c>
      <c r="C967" s="52">
        <f t="shared" ca="1" si="126"/>
        <v>4.1514867702382388</v>
      </c>
      <c r="D967" s="53">
        <f t="shared" ca="1" si="127"/>
        <v>21564022481.699291</v>
      </c>
      <c r="E967" s="53">
        <f t="shared" ca="1" si="128"/>
        <v>407970797626296</v>
      </c>
      <c r="F967" s="53">
        <f t="shared" ca="1" si="129"/>
        <v>5523119736837.0215</v>
      </c>
      <c r="G967" s="53">
        <f t="shared" ca="1" si="130"/>
        <v>7060909848373.3574</v>
      </c>
      <c r="H967" s="53">
        <f t="shared" ca="1" si="131"/>
        <v>7060909848373.3574</v>
      </c>
      <c r="I967" s="53">
        <f t="shared" ca="1" si="132"/>
        <v>6430941142427.7344</v>
      </c>
      <c r="J967" s="53">
        <f t="shared" ca="1" si="133"/>
        <v>501148607542.17426</v>
      </c>
      <c r="K967" s="54">
        <f t="shared" ca="1" si="134"/>
        <v>12.83240349398065</v>
      </c>
    </row>
    <row r="968" spans="2:11" ht="15" customHeight="1" x14ac:dyDescent="0.35">
      <c r="B968" s="5">
        <v>947</v>
      </c>
      <c r="C968" s="52">
        <f t="shared" ca="1" si="126"/>
        <v>3.4913068182653726</v>
      </c>
      <c r="D968" s="53">
        <f t="shared" ca="1" si="127"/>
        <v>10255503596.657476</v>
      </c>
      <c r="E968" s="53">
        <f t="shared" ca="1" si="128"/>
        <v>15587868450578.059</v>
      </c>
      <c r="F968" s="53">
        <f t="shared" ca="1" si="129"/>
        <v>2033598941225.2693</v>
      </c>
      <c r="G968" s="53">
        <f t="shared" ca="1" si="130"/>
        <v>39630354142620.297</v>
      </c>
      <c r="H968" s="53">
        <f t="shared" ca="1" si="131"/>
        <v>15587868450578.059</v>
      </c>
      <c r="I968" s="53">
        <f t="shared" ca="1" si="132"/>
        <v>1407233716460.4377</v>
      </c>
      <c r="J968" s="53">
        <f t="shared" ca="1" si="133"/>
        <v>854996948857.03137</v>
      </c>
      <c r="K968" s="54">
        <f t="shared" ca="1" si="134"/>
        <v>1.6458932611884078</v>
      </c>
    </row>
    <row r="969" spans="2:11" ht="15" customHeight="1" x14ac:dyDescent="0.35">
      <c r="B969" s="5">
        <v>948</v>
      </c>
      <c r="C969" s="52">
        <f t="shared" ca="1" si="126"/>
        <v>2.231804955109757</v>
      </c>
      <c r="D969" s="53">
        <f t="shared" ca="1" si="127"/>
        <v>1013535476.3513786</v>
      </c>
      <c r="E969" s="53">
        <f t="shared" ca="1" si="128"/>
        <v>13993324443559.234</v>
      </c>
      <c r="F969" s="53">
        <f t="shared" ca="1" si="129"/>
        <v>1867969198233.6028</v>
      </c>
      <c r="G969" s="53">
        <f t="shared" ca="1" si="130"/>
        <v>12208184906671.713</v>
      </c>
      <c r="H969" s="53">
        <f t="shared" ca="1" si="131"/>
        <v>1867969198233.6028</v>
      </c>
      <c r="I969" s="53">
        <f t="shared" ca="1" si="132"/>
        <v>18679788010632.242</v>
      </c>
      <c r="J969" s="53">
        <f t="shared" ca="1" si="133"/>
        <v>1054532511133.2422</v>
      </c>
      <c r="K969" s="54">
        <f t="shared" ca="1" si="134"/>
        <v>17.713809497023668</v>
      </c>
    </row>
    <row r="970" spans="2:11" ht="15" customHeight="1" x14ac:dyDescent="0.35">
      <c r="B970" s="5">
        <v>949</v>
      </c>
      <c r="C970" s="52">
        <f t="shared" ca="1" si="126"/>
        <v>3.2920754507111742</v>
      </c>
      <c r="D970" s="53">
        <f t="shared" ca="1" si="127"/>
        <v>7553464566.1900015</v>
      </c>
      <c r="E970" s="53">
        <f t="shared" ca="1" si="128"/>
        <v>16981133292431.049</v>
      </c>
      <c r="F970" s="53">
        <f t="shared" ca="1" si="129"/>
        <v>3676858697611.8452</v>
      </c>
      <c r="G970" s="53">
        <f t="shared" ca="1" si="130"/>
        <v>36815011602694.695</v>
      </c>
      <c r="H970" s="53">
        <f t="shared" ca="1" si="131"/>
        <v>16981133292431.049</v>
      </c>
      <c r="I970" s="53">
        <f t="shared" ca="1" si="132"/>
        <v>7081787004405.8125</v>
      </c>
      <c r="J970" s="53">
        <f t="shared" ca="1" si="133"/>
        <v>1155976860247.4312</v>
      </c>
      <c r="K970" s="54">
        <f t="shared" ca="1" si="134"/>
        <v>6.1262359550086414</v>
      </c>
    </row>
    <row r="971" spans="2:11" ht="15" customHeight="1" x14ac:dyDescent="0.35">
      <c r="B971" s="5">
        <v>950</v>
      </c>
      <c r="C971" s="52">
        <f t="shared" ca="1" si="126"/>
        <v>2.7702129787467906</v>
      </c>
      <c r="D971" s="53">
        <f t="shared" ca="1" si="127"/>
        <v>3352314594.0415969</v>
      </c>
      <c r="E971" s="53">
        <f t="shared" ca="1" si="128"/>
        <v>49010232165497.813</v>
      </c>
      <c r="F971" s="53">
        <f t="shared" ca="1" si="129"/>
        <v>1094217450951.1862</v>
      </c>
      <c r="G971" s="53">
        <f t="shared" ca="1" si="130"/>
        <v>966203417812.55542</v>
      </c>
      <c r="H971" s="53">
        <f t="shared" ca="1" si="131"/>
        <v>49010232165497.813</v>
      </c>
      <c r="I971" s="53">
        <f t="shared" ca="1" si="132"/>
        <v>6843743112713.4463</v>
      </c>
      <c r="J971" s="53">
        <f t="shared" ca="1" si="133"/>
        <v>994622096032.13416</v>
      </c>
      <c r="K971" s="54">
        <f t="shared" ca="1" si="134"/>
        <v>6.880747109897646</v>
      </c>
    </row>
    <row r="972" spans="2:11" ht="15" customHeight="1" x14ac:dyDescent="0.35">
      <c r="B972" s="5">
        <v>951</v>
      </c>
      <c r="C972" s="52">
        <f t="shared" ca="1" si="126"/>
        <v>3.9487639570596391</v>
      </c>
      <c r="D972" s="53">
        <f t="shared" ca="1" si="127"/>
        <v>19488207172.79509</v>
      </c>
      <c r="E972" s="53">
        <f t="shared" ca="1" si="128"/>
        <v>43797195758289.602</v>
      </c>
      <c r="F972" s="53">
        <f t="shared" ca="1" si="129"/>
        <v>1108553655756.1392</v>
      </c>
      <c r="G972" s="53">
        <f t="shared" ca="1" si="130"/>
        <v>1909252596976.2339</v>
      </c>
      <c r="H972" s="53">
        <f t="shared" ca="1" si="131"/>
        <v>1909252596976.2339</v>
      </c>
      <c r="I972" s="53">
        <f t="shared" ca="1" si="132"/>
        <v>2092140587153.6257</v>
      </c>
      <c r="J972" s="53">
        <f t="shared" ca="1" si="133"/>
        <v>1277721358344.2927</v>
      </c>
      <c r="K972" s="54">
        <f t="shared" ca="1" si="134"/>
        <v>1.6373997143357455</v>
      </c>
    </row>
    <row r="973" spans="2:11" ht="15" customHeight="1" x14ac:dyDescent="0.35">
      <c r="B973" s="5">
        <v>952</v>
      </c>
      <c r="C973" s="52">
        <f t="shared" ca="1" si="126"/>
        <v>2.9607010071870876</v>
      </c>
      <c r="D973" s="53">
        <f t="shared" ca="1" si="127"/>
        <v>4046803580.2174826</v>
      </c>
      <c r="E973" s="53">
        <f t="shared" ca="1" si="128"/>
        <v>42036377936806.625</v>
      </c>
      <c r="F973" s="53">
        <f t="shared" ca="1" si="129"/>
        <v>1638247273573.2854</v>
      </c>
      <c r="G973" s="53">
        <f t="shared" ca="1" si="130"/>
        <v>544144027785.96881</v>
      </c>
      <c r="H973" s="53">
        <f t="shared" ca="1" si="131"/>
        <v>42036377936806.625</v>
      </c>
      <c r="I973" s="53">
        <f t="shared" ca="1" si="132"/>
        <v>7698884495387.333</v>
      </c>
      <c r="J973" s="53">
        <f t="shared" ca="1" si="133"/>
        <v>807997507594.52527</v>
      </c>
      <c r="K973" s="54">
        <f t="shared" ca="1" si="134"/>
        <v>9.5283517870092727</v>
      </c>
    </row>
    <row r="974" spans="2:11" ht="15" customHeight="1" x14ac:dyDescent="0.35">
      <c r="B974" s="5">
        <v>953</v>
      </c>
      <c r="C974" s="52">
        <f t="shared" ca="1" si="126"/>
        <v>3.0302255822225157</v>
      </c>
      <c r="D974" s="53">
        <f t="shared" ca="1" si="127"/>
        <v>5737365934.6847754</v>
      </c>
      <c r="E974" s="53">
        <f t="shared" ca="1" si="128"/>
        <v>5883299659972.5977</v>
      </c>
      <c r="F974" s="53">
        <f t="shared" ca="1" si="129"/>
        <v>1262834238450.0183</v>
      </c>
      <c r="G974" s="53">
        <f t="shared" ca="1" si="130"/>
        <v>1746985428345.8928</v>
      </c>
      <c r="H974" s="53">
        <f t="shared" ca="1" si="131"/>
        <v>5883299659972.5977</v>
      </c>
      <c r="I974" s="53">
        <f t="shared" ca="1" si="132"/>
        <v>4628929195721.0762</v>
      </c>
      <c r="J974" s="53">
        <f t="shared" ca="1" si="133"/>
        <v>716872396036.12939</v>
      </c>
      <c r="K974" s="54">
        <f t="shared" ca="1" si="134"/>
        <v>6.4571173633079662</v>
      </c>
    </row>
    <row r="975" spans="2:11" ht="15" customHeight="1" x14ac:dyDescent="0.35">
      <c r="B975" s="5">
        <v>954</v>
      </c>
      <c r="C975" s="52">
        <f t="shared" ca="1" si="126"/>
        <v>3.0801104457191717</v>
      </c>
      <c r="D975" s="53">
        <f t="shared" ca="1" si="127"/>
        <v>4654127439.2209902</v>
      </c>
      <c r="E975" s="53">
        <f t="shared" ca="1" si="128"/>
        <v>5490897747183.2168</v>
      </c>
      <c r="F975" s="53">
        <f t="shared" ca="1" si="129"/>
        <v>1313500908717.1353</v>
      </c>
      <c r="G975" s="53">
        <f t="shared" ca="1" si="130"/>
        <v>21729290738795.367</v>
      </c>
      <c r="H975" s="53">
        <f t="shared" ca="1" si="131"/>
        <v>5490897747183.2168</v>
      </c>
      <c r="I975" s="53">
        <f t="shared" ca="1" si="132"/>
        <v>8806884629543.5781</v>
      </c>
      <c r="J975" s="53">
        <f t="shared" ca="1" si="133"/>
        <v>1438004186320.3916</v>
      </c>
      <c r="K975" s="54">
        <f t="shared" ca="1" si="134"/>
        <v>6.1243803831189805</v>
      </c>
    </row>
    <row r="976" spans="2:11" ht="15" customHeight="1" x14ac:dyDescent="0.35">
      <c r="B976" s="5">
        <v>955</v>
      </c>
      <c r="C976" s="52">
        <f t="shared" ca="1" si="126"/>
        <v>3.1690517816249315</v>
      </c>
      <c r="D976" s="53">
        <f t="shared" ca="1" si="127"/>
        <v>5761560326.7572975</v>
      </c>
      <c r="E976" s="53">
        <f t="shared" ca="1" si="128"/>
        <v>10181000651096.697</v>
      </c>
      <c r="F976" s="53">
        <f t="shared" ca="1" si="129"/>
        <v>5191124838382.0225</v>
      </c>
      <c r="G976" s="53">
        <f t="shared" ca="1" si="130"/>
        <v>38869891333772.797</v>
      </c>
      <c r="H976" s="53">
        <f t="shared" ca="1" si="131"/>
        <v>10181000651096.697</v>
      </c>
      <c r="I976" s="53">
        <f t="shared" ca="1" si="132"/>
        <v>12221154720318.492</v>
      </c>
      <c r="J976" s="53">
        <f t="shared" ca="1" si="133"/>
        <v>940398842967.71704</v>
      </c>
      <c r="K976" s="54">
        <f t="shared" ca="1" si="134"/>
        <v>12.995714330901226</v>
      </c>
    </row>
    <row r="977" spans="2:11" ht="15" customHeight="1" x14ac:dyDescent="0.35">
      <c r="B977" s="5">
        <v>956</v>
      </c>
      <c r="C977" s="52">
        <f t="shared" ca="1" si="126"/>
        <v>3.4071807636328115</v>
      </c>
      <c r="D977" s="53">
        <f t="shared" ca="1" si="127"/>
        <v>8244524939.8714809</v>
      </c>
      <c r="E977" s="53">
        <f t="shared" ca="1" si="128"/>
        <v>11378312838627.08</v>
      </c>
      <c r="F977" s="53">
        <f t="shared" ca="1" si="129"/>
        <v>7930001614270.5898</v>
      </c>
      <c r="G977" s="53">
        <f t="shared" ca="1" si="130"/>
        <v>23669587870696.84</v>
      </c>
      <c r="H977" s="53">
        <f t="shared" ca="1" si="131"/>
        <v>11378312838627.08</v>
      </c>
      <c r="I977" s="53">
        <f t="shared" ca="1" si="132"/>
        <v>46975379147599.43</v>
      </c>
      <c r="J977" s="53">
        <f t="shared" ca="1" si="133"/>
        <v>580533412439.49548</v>
      </c>
      <c r="K977" s="54">
        <f t="shared" ca="1" si="134"/>
        <v>80.917614974478852</v>
      </c>
    </row>
    <row r="978" spans="2:11" ht="15" customHeight="1" x14ac:dyDescent="0.35">
      <c r="B978" s="5">
        <v>957</v>
      </c>
      <c r="C978" s="52">
        <f t="shared" ca="1" si="126"/>
        <v>2.766064428581124</v>
      </c>
      <c r="D978" s="53">
        <f t="shared" ca="1" si="127"/>
        <v>3152198387.4105144</v>
      </c>
      <c r="E978" s="53">
        <f t="shared" ca="1" si="128"/>
        <v>14007638587728.271</v>
      </c>
      <c r="F978" s="53">
        <f t="shared" ca="1" si="129"/>
        <v>2920300495355.7622</v>
      </c>
      <c r="G978" s="53">
        <f t="shared" ca="1" si="130"/>
        <v>4725726760386.2783</v>
      </c>
      <c r="H978" s="53">
        <f t="shared" ca="1" si="131"/>
        <v>4725726760386.2783</v>
      </c>
      <c r="I978" s="53">
        <f t="shared" ca="1" si="132"/>
        <v>26394094693895.723</v>
      </c>
      <c r="J978" s="53">
        <f t="shared" ca="1" si="133"/>
        <v>909383173669.1344</v>
      </c>
      <c r="K978" s="54">
        <f t="shared" ca="1" si="134"/>
        <v>29.024173151788293</v>
      </c>
    </row>
    <row r="979" spans="2:11" ht="15" customHeight="1" x14ac:dyDescent="0.35">
      <c r="B979" s="5">
        <v>958</v>
      </c>
      <c r="C979" s="52">
        <f t="shared" ca="1" si="126"/>
        <v>2.86705843725453</v>
      </c>
      <c r="D979" s="53">
        <f t="shared" ca="1" si="127"/>
        <v>4499274175.9749575</v>
      </c>
      <c r="E979" s="53">
        <f t="shared" ca="1" si="128"/>
        <v>63105460320557.789</v>
      </c>
      <c r="F979" s="53">
        <f t="shared" ca="1" si="129"/>
        <v>16539798913785.84</v>
      </c>
      <c r="G979" s="53">
        <f t="shared" ca="1" si="130"/>
        <v>5189823880646.3496</v>
      </c>
      <c r="H979" s="53">
        <f t="shared" ca="1" si="131"/>
        <v>16539798913785.84</v>
      </c>
      <c r="I979" s="53">
        <f t="shared" ca="1" si="132"/>
        <v>17797900152087.531</v>
      </c>
      <c r="J979" s="53">
        <f t="shared" ca="1" si="133"/>
        <v>1273187457232.0107</v>
      </c>
      <c r="K979" s="54">
        <f t="shared" ca="1" si="134"/>
        <v>13.979009965100724</v>
      </c>
    </row>
    <row r="980" spans="2:11" ht="15" customHeight="1" x14ac:dyDescent="0.35">
      <c r="B980" s="5">
        <v>959</v>
      </c>
      <c r="C980" s="52">
        <f t="shared" ca="1" si="126"/>
        <v>2.7668242234854561</v>
      </c>
      <c r="D980" s="53">
        <f t="shared" ca="1" si="127"/>
        <v>3325093156.4977207</v>
      </c>
      <c r="E980" s="53">
        <f t="shared" ca="1" si="128"/>
        <v>9122547199894.5078</v>
      </c>
      <c r="F980" s="53">
        <f t="shared" ca="1" si="129"/>
        <v>4166011066986.2783</v>
      </c>
      <c r="G980" s="53">
        <f t="shared" ca="1" si="130"/>
        <v>16396773901461.609</v>
      </c>
      <c r="H980" s="53">
        <f t="shared" ca="1" si="131"/>
        <v>9122547199894.5078</v>
      </c>
      <c r="I980" s="53">
        <f t="shared" ca="1" si="132"/>
        <v>2610166263576.5815</v>
      </c>
      <c r="J980" s="53">
        <f t="shared" ca="1" si="133"/>
        <v>734705379836.36963</v>
      </c>
      <c r="K980" s="54">
        <f t="shared" ca="1" si="134"/>
        <v>3.5526706829857519</v>
      </c>
    </row>
    <row r="981" spans="2:11" ht="15" customHeight="1" x14ac:dyDescent="0.35">
      <c r="B981" s="5">
        <v>960</v>
      </c>
      <c r="C981" s="52">
        <f t="shared" ca="1" si="126"/>
        <v>2.8188193195055713</v>
      </c>
      <c r="D981" s="53">
        <f t="shared" ca="1" si="127"/>
        <v>3399142003.9034648</v>
      </c>
      <c r="E981" s="53">
        <f t="shared" ca="1" si="128"/>
        <v>6753444971318.5869</v>
      </c>
      <c r="F981" s="53">
        <f t="shared" ca="1" si="129"/>
        <v>1910302186553.9458</v>
      </c>
      <c r="G981" s="53">
        <f t="shared" ca="1" si="130"/>
        <v>13989823441016.416</v>
      </c>
      <c r="H981" s="53">
        <f t="shared" ca="1" si="131"/>
        <v>1910302186553.9458</v>
      </c>
      <c r="I981" s="53">
        <f t="shared" ca="1" si="132"/>
        <v>4367777402970.6694</v>
      </c>
      <c r="J981" s="53">
        <f t="shared" ca="1" si="133"/>
        <v>1364078158325.832</v>
      </c>
      <c r="K981" s="54">
        <f t="shared" ca="1" si="134"/>
        <v>3.2019993695459168</v>
      </c>
    </row>
    <row r="982" spans="2:11" ht="15" customHeight="1" x14ac:dyDescent="0.35">
      <c r="B982" s="5">
        <v>961</v>
      </c>
      <c r="C982" s="52">
        <f t="shared" ref="C982:C1045" ca="1" si="135">MEDIAN(1.8,NORMINV(RAND(),$C$7,$D$7),4.5)</f>
        <v>3.1056919876245539</v>
      </c>
      <c r="D982" s="53">
        <f t="shared" ref="D982:D1045" ca="1" si="136">($C$8+RAND()*($D$8-$C$8))*C982^5</f>
        <v>5631263722.3461905</v>
      </c>
      <c r="E982" s="53">
        <f t="shared" ref="E982:E1045" ca="1" si="137">D982*($C$10+RAND()*($D$10-$C$10))*EXP(NORMINV(RAND(),$C$9,$D$9))*($C$11+RAND()*($D$11-$C$11))</f>
        <v>35296447441645.969</v>
      </c>
      <c r="F982" s="53">
        <f t="shared" ref="F982:F1045" ca="1" si="138">EXP(NORMINV(RAND(),$C$12,$D$12))*EXP(NORMINV(RAND(),$C$13,$D$13))</f>
        <v>5934574656713.7715</v>
      </c>
      <c r="G982" s="53">
        <f t="shared" ref="G982:G1045" ca="1" si="139">EXP(NORMINV(RAND(),$C$14,$D$14))*($C$15+RAND()*($D$15-$C$15))*EXP(NORMINV(RAND(),$C$16,$D$16))/1000000*31536000</f>
        <v>38776356698875.305</v>
      </c>
      <c r="H982" s="53">
        <f t="shared" ref="H982:H1045" ca="1" si="140">CHOOSE(RANDBETWEEN(1,3),E982,F982,G982)</f>
        <v>5934574656713.7715</v>
      </c>
      <c r="I982" s="53">
        <f t="shared" ref="I982:I1045" ca="1" si="141">EXP(NORMINV(RAND(),$C$14,$D$14))*($C$15+RAND()*($D$15-$C$15))*60</f>
        <v>4878180174621.5928</v>
      </c>
      <c r="J982" s="53">
        <f t="shared" ref="J982:J1045" ca="1" si="142">($C$17+RAND()*($D$17-$C$17))*($C$18+RAND()*($D$18-$C$18))</f>
        <v>903889720452.69006</v>
      </c>
      <c r="K982" s="54">
        <f t="shared" ref="K982:K1045" ca="1" si="143">I982/J982</f>
        <v>5.3968753756580847</v>
      </c>
    </row>
    <row r="983" spans="2:11" ht="15" customHeight="1" x14ac:dyDescent="0.35">
      <c r="B983" s="5">
        <v>962</v>
      </c>
      <c r="C983" s="52">
        <f t="shared" ca="1" si="135"/>
        <v>3.0164893582325165</v>
      </c>
      <c r="D983" s="53">
        <f t="shared" ca="1" si="136"/>
        <v>4968793435.4631805</v>
      </c>
      <c r="E983" s="53">
        <f t="shared" ca="1" si="137"/>
        <v>8133010352137.3799</v>
      </c>
      <c r="F983" s="53">
        <f t="shared" ca="1" si="138"/>
        <v>12027156779261.584</v>
      </c>
      <c r="G983" s="53">
        <f t="shared" ca="1" si="139"/>
        <v>4265015898844.5566</v>
      </c>
      <c r="H983" s="53">
        <f t="shared" ca="1" si="140"/>
        <v>4265015898844.5566</v>
      </c>
      <c r="I983" s="53">
        <f t="shared" ca="1" si="141"/>
        <v>24826390807345.418</v>
      </c>
      <c r="J983" s="53">
        <f t="shared" ca="1" si="142"/>
        <v>1248285955277.293</v>
      </c>
      <c r="K983" s="54">
        <f t="shared" ca="1" si="143"/>
        <v>19.888384310012132</v>
      </c>
    </row>
    <row r="984" spans="2:11" ht="15" customHeight="1" x14ac:dyDescent="0.35">
      <c r="B984" s="5">
        <v>963</v>
      </c>
      <c r="C984" s="52">
        <f t="shared" ca="1" si="135"/>
        <v>3.4054880916634769</v>
      </c>
      <c r="D984" s="53">
        <f t="shared" ca="1" si="136"/>
        <v>9715281616.7842884</v>
      </c>
      <c r="E984" s="53">
        <f t="shared" ca="1" si="137"/>
        <v>33278612908202.703</v>
      </c>
      <c r="F984" s="53">
        <f t="shared" ca="1" si="138"/>
        <v>919854892425.21692</v>
      </c>
      <c r="G984" s="53">
        <f t="shared" ca="1" si="139"/>
        <v>4917807607780.9648</v>
      </c>
      <c r="H984" s="53">
        <f t="shared" ca="1" si="140"/>
        <v>919854892425.21692</v>
      </c>
      <c r="I984" s="53">
        <f t="shared" ca="1" si="141"/>
        <v>15175818520436.477</v>
      </c>
      <c r="J984" s="53">
        <f t="shared" ca="1" si="142"/>
        <v>993079848911.98193</v>
      </c>
      <c r="K984" s="54">
        <f t="shared" ca="1" si="143"/>
        <v>15.281569288776829</v>
      </c>
    </row>
    <row r="985" spans="2:11" ht="15" customHeight="1" x14ac:dyDescent="0.35">
      <c r="B985" s="5">
        <v>964</v>
      </c>
      <c r="C985" s="52">
        <f t="shared" ca="1" si="135"/>
        <v>2.1115734421694254</v>
      </c>
      <c r="D985" s="53">
        <f t="shared" ca="1" si="136"/>
        <v>873156049.11903942</v>
      </c>
      <c r="E985" s="53">
        <f t="shared" ca="1" si="137"/>
        <v>6785793517482.6533</v>
      </c>
      <c r="F985" s="53">
        <f t="shared" ca="1" si="138"/>
        <v>746627250681.71497</v>
      </c>
      <c r="G985" s="53">
        <f t="shared" ca="1" si="139"/>
        <v>2297444749394.4893</v>
      </c>
      <c r="H985" s="53">
        <f t="shared" ca="1" si="140"/>
        <v>6785793517482.6533</v>
      </c>
      <c r="I985" s="53">
        <f t="shared" ca="1" si="141"/>
        <v>12747344459283.252</v>
      </c>
      <c r="J985" s="53">
        <f t="shared" ca="1" si="142"/>
        <v>735171380787.02527</v>
      </c>
      <c r="K985" s="54">
        <f t="shared" ca="1" si="143"/>
        <v>17.33928277463249</v>
      </c>
    </row>
    <row r="986" spans="2:11" ht="15" customHeight="1" x14ac:dyDescent="0.35">
      <c r="B986" s="5">
        <v>965</v>
      </c>
      <c r="C986" s="52">
        <f t="shared" ca="1" si="135"/>
        <v>3.5372063262289091</v>
      </c>
      <c r="D986" s="53">
        <f t="shared" ca="1" si="136"/>
        <v>11630717505.066074</v>
      </c>
      <c r="E986" s="53">
        <f t="shared" ca="1" si="137"/>
        <v>74760031354847.031</v>
      </c>
      <c r="F986" s="53">
        <f t="shared" ca="1" si="138"/>
        <v>14788391481910.824</v>
      </c>
      <c r="G986" s="53">
        <f t="shared" ca="1" si="139"/>
        <v>1397730947514.0308</v>
      </c>
      <c r="H986" s="53">
        <f t="shared" ca="1" si="140"/>
        <v>74760031354847.031</v>
      </c>
      <c r="I986" s="53">
        <f t="shared" ca="1" si="141"/>
        <v>5084424370822.1445</v>
      </c>
      <c r="J986" s="53">
        <f t="shared" ca="1" si="142"/>
        <v>1283169713052.0876</v>
      </c>
      <c r="K986" s="54">
        <f t="shared" ca="1" si="143"/>
        <v>3.9623943108262507</v>
      </c>
    </row>
    <row r="987" spans="2:11" ht="15" customHeight="1" x14ac:dyDescent="0.35">
      <c r="B987" s="5">
        <v>966</v>
      </c>
      <c r="C987" s="52">
        <f t="shared" ca="1" si="135"/>
        <v>2.9970612687423897</v>
      </c>
      <c r="D987" s="53">
        <f t="shared" ca="1" si="136"/>
        <v>5110637192.0706339</v>
      </c>
      <c r="E987" s="53">
        <f t="shared" ca="1" si="137"/>
        <v>48549676158865.602</v>
      </c>
      <c r="F987" s="53">
        <f t="shared" ca="1" si="138"/>
        <v>1207732865538.8789</v>
      </c>
      <c r="G987" s="53">
        <f t="shared" ca="1" si="139"/>
        <v>3940954447143.3325</v>
      </c>
      <c r="H987" s="53">
        <f t="shared" ca="1" si="140"/>
        <v>1207732865538.8789</v>
      </c>
      <c r="I987" s="53">
        <f t="shared" ca="1" si="141"/>
        <v>11363473922360.734</v>
      </c>
      <c r="J987" s="53">
        <f t="shared" ca="1" si="142"/>
        <v>949082219076.0835</v>
      </c>
      <c r="K987" s="54">
        <f t="shared" ca="1" si="143"/>
        <v>11.973118549647781</v>
      </c>
    </row>
    <row r="988" spans="2:11" ht="15" customHeight="1" x14ac:dyDescent="0.35">
      <c r="B988" s="5">
        <v>967</v>
      </c>
      <c r="C988" s="52">
        <f t="shared" ca="1" si="135"/>
        <v>3.089588482145238</v>
      </c>
      <c r="D988" s="53">
        <f t="shared" ca="1" si="136"/>
        <v>6738795462.5526838</v>
      </c>
      <c r="E988" s="53">
        <f t="shared" ca="1" si="137"/>
        <v>10063715243336.18</v>
      </c>
      <c r="F988" s="53">
        <f t="shared" ca="1" si="138"/>
        <v>751654180318.81213</v>
      </c>
      <c r="G988" s="53">
        <f t="shared" ca="1" si="139"/>
        <v>6482895075606.5781</v>
      </c>
      <c r="H988" s="53">
        <f t="shared" ca="1" si="140"/>
        <v>10063715243336.18</v>
      </c>
      <c r="I988" s="53">
        <f t="shared" ca="1" si="141"/>
        <v>74234441922289.625</v>
      </c>
      <c r="J988" s="53">
        <f t="shared" ca="1" si="142"/>
        <v>869675316933.68494</v>
      </c>
      <c r="K988" s="54">
        <f t="shared" ca="1" si="143"/>
        <v>85.358800551022426</v>
      </c>
    </row>
    <row r="989" spans="2:11" ht="15" customHeight="1" x14ac:dyDescent="0.35">
      <c r="B989" s="5">
        <v>968</v>
      </c>
      <c r="C989" s="52">
        <f t="shared" ca="1" si="135"/>
        <v>2.7218522149792808</v>
      </c>
      <c r="D989" s="53">
        <f t="shared" ca="1" si="136"/>
        <v>2520862212.4061875</v>
      </c>
      <c r="E989" s="53">
        <f t="shared" ca="1" si="137"/>
        <v>12325575557003.865</v>
      </c>
      <c r="F989" s="53">
        <f t="shared" ca="1" si="138"/>
        <v>3684731078166.5859</v>
      </c>
      <c r="G989" s="53">
        <f t="shared" ca="1" si="139"/>
        <v>6313616699248.7422</v>
      </c>
      <c r="H989" s="53">
        <f t="shared" ca="1" si="140"/>
        <v>6313616699248.7422</v>
      </c>
      <c r="I989" s="53">
        <f t="shared" ca="1" si="141"/>
        <v>61762443022479.453</v>
      </c>
      <c r="J989" s="53">
        <f t="shared" ca="1" si="142"/>
        <v>593074822577.65479</v>
      </c>
      <c r="K989" s="54">
        <f t="shared" ca="1" si="143"/>
        <v>104.13937781753083</v>
      </c>
    </row>
    <row r="990" spans="2:11" ht="15" customHeight="1" x14ac:dyDescent="0.35">
      <c r="B990" s="5">
        <v>969</v>
      </c>
      <c r="C990" s="52">
        <f t="shared" ca="1" si="135"/>
        <v>2.9894998892270532</v>
      </c>
      <c r="D990" s="53">
        <f t="shared" ca="1" si="136"/>
        <v>4399279084.6117239</v>
      </c>
      <c r="E990" s="53">
        <f t="shared" ca="1" si="137"/>
        <v>7353797810547.5068</v>
      </c>
      <c r="F990" s="53">
        <f t="shared" ca="1" si="138"/>
        <v>9430069243027.084</v>
      </c>
      <c r="G990" s="53">
        <f t="shared" ca="1" si="139"/>
        <v>60320872872772.133</v>
      </c>
      <c r="H990" s="53">
        <f t="shared" ca="1" si="140"/>
        <v>9430069243027.084</v>
      </c>
      <c r="I990" s="53">
        <f t="shared" ca="1" si="141"/>
        <v>1766940950234.6125</v>
      </c>
      <c r="J990" s="53">
        <f t="shared" ca="1" si="142"/>
        <v>1043944177715.429</v>
      </c>
      <c r="K990" s="54">
        <f t="shared" ca="1" si="143"/>
        <v>1.692562675239391</v>
      </c>
    </row>
    <row r="991" spans="2:11" ht="15" customHeight="1" x14ac:dyDescent="0.35">
      <c r="B991" s="5">
        <v>970</v>
      </c>
      <c r="C991" s="52">
        <f t="shared" ca="1" si="135"/>
        <v>3.2819688255561714</v>
      </c>
      <c r="D991" s="53">
        <f t="shared" ca="1" si="136"/>
        <v>8078999934.6205664</v>
      </c>
      <c r="E991" s="53">
        <f t="shared" ca="1" si="137"/>
        <v>23449085629536.41</v>
      </c>
      <c r="F991" s="53">
        <f t="shared" ca="1" si="138"/>
        <v>3038805063178.2231</v>
      </c>
      <c r="G991" s="53">
        <f t="shared" ca="1" si="139"/>
        <v>2897867343299.2354</v>
      </c>
      <c r="H991" s="53">
        <f t="shared" ca="1" si="140"/>
        <v>2897867343299.2354</v>
      </c>
      <c r="I991" s="53">
        <f t="shared" ca="1" si="141"/>
        <v>35720229716667.008</v>
      </c>
      <c r="J991" s="53">
        <f t="shared" ca="1" si="142"/>
        <v>1541845298109.9077</v>
      </c>
      <c r="K991" s="54">
        <f t="shared" ca="1" si="143"/>
        <v>23.167194374464898</v>
      </c>
    </row>
    <row r="992" spans="2:11" ht="15" customHeight="1" x14ac:dyDescent="0.35">
      <c r="B992" s="5">
        <v>971</v>
      </c>
      <c r="C992" s="52">
        <f t="shared" ca="1" si="135"/>
        <v>2.9927458311969644</v>
      </c>
      <c r="D992" s="53">
        <f t="shared" ca="1" si="136"/>
        <v>5521037542.9592047</v>
      </c>
      <c r="E992" s="53">
        <f t="shared" ca="1" si="137"/>
        <v>60680828563953.086</v>
      </c>
      <c r="F992" s="53">
        <f t="shared" ca="1" si="138"/>
        <v>5126500692761.2969</v>
      </c>
      <c r="G992" s="53">
        <f t="shared" ca="1" si="139"/>
        <v>62140556432507.859</v>
      </c>
      <c r="H992" s="53">
        <f t="shared" ca="1" si="140"/>
        <v>60680828563953.086</v>
      </c>
      <c r="I992" s="53">
        <f t="shared" ca="1" si="141"/>
        <v>70249803299538.781</v>
      </c>
      <c r="J992" s="53">
        <f t="shared" ca="1" si="142"/>
        <v>672914287523.57117</v>
      </c>
      <c r="K992" s="54">
        <f t="shared" ca="1" si="143"/>
        <v>104.39636161994559</v>
      </c>
    </row>
    <row r="993" spans="2:11" ht="15" customHeight="1" x14ac:dyDescent="0.35">
      <c r="B993" s="5">
        <v>972</v>
      </c>
      <c r="C993" s="52">
        <f t="shared" ca="1" si="135"/>
        <v>2.9170801796552577</v>
      </c>
      <c r="D993" s="53">
        <f t="shared" ca="1" si="136"/>
        <v>4835797250.3628902</v>
      </c>
      <c r="E993" s="53">
        <f t="shared" ca="1" si="137"/>
        <v>48681172014091.281</v>
      </c>
      <c r="F993" s="53">
        <f t="shared" ca="1" si="138"/>
        <v>7315609010250.5127</v>
      </c>
      <c r="G993" s="53">
        <f t="shared" ca="1" si="139"/>
        <v>2199364119421.0908</v>
      </c>
      <c r="H993" s="53">
        <f t="shared" ca="1" si="140"/>
        <v>48681172014091.281</v>
      </c>
      <c r="I993" s="53">
        <f t="shared" ca="1" si="141"/>
        <v>16367479019625.512</v>
      </c>
      <c r="J993" s="53">
        <f t="shared" ca="1" si="142"/>
        <v>1228217628606.2708</v>
      </c>
      <c r="K993" s="54">
        <f t="shared" ca="1" si="143"/>
        <v>13.326204280424335</v>
      </c>
    </row>
    <row r="994" spans="2:11" ht="15" customHeight="1" x14ac:dyDescent="0.35">
      <c r="B994" s="5">
        <v>973</v>
      </c>
      <c r="C994" s="52">
        <f t="shared" ca="1" si="135"/>
        <v>3.2176061539579424</v>
      </c>
      <c r="D994" s="53">
        <f t="shared" ca="1" si="136"/>
        <v>7720444186.0578518</v>
      </c>
      <c r="E994" s="53">
        <f t="shared" ca="1" si="137"/>
        <v>21661801923585.348</v>
      </c>
      <c r="F994" s="53">
        <f t="shared" ca="1" si="138"/>
        <v>3444267609642.4312</v>
      </c>
      <c r="G994" s="53">
        <f t="shared" ca="1" si="139"/>
        <v>4847642068663.0234</v>
      </c>
      <c r="H994" s="53">
        <f t="shared" ca="1" si="140"/>
        <v>21661801923585.348</v>
      </c>
      <c r="I994" s="53">
        <f t="shared" ca="1" si="141"/>
        <v>8006805143744.042</v>
      </c>
      <c r="J994" s="53">
        <f t="shared" ca="1" si="142"/>
        <v>1287588883405.5947</v>
      </c>
      <c r="K994" s="54">
        <f t="shared" ca="1" si="143"/>
        <v>6.2184484868854462</v>
      </c>
    </row>
    <row r="995" spans="2:11" ht="15" customHeight="1" x14ac:dyDescent="0.35">
      <c r="B995" s="5">
        <v>974</v>
      </c>
      <c r="C995" s="52">
        <f t="shared" ca="1" si="135"/>
        <v>4.0181207474853951</v>
      </c>
      <c r="D995" s="53">
        <f t="shared" ca="1" si="136"/>
        <v>18306996781.322239</v>
      </c>
      <c r="E995" s="53">
        <f t="shared" ca="1" si="137"/>
        <v>282745541376885.88</v>
      </c>
      <c r="F995" s="53">
        <f t="shared" ca="1" si="138"/>
        <v>7064159811327.8994</v>
      </c>
      <c r="G995" s="53">
        <f t="shared" ca="1" si="139"/>
        <v>22548520370905.637</v>
      </c>
      <c r="H995" s="53">
        <f t="shared" ca="1" si="140"/>
        <v>22548520370905.637</v>
      </c>
      <c r="I995" s="53">
        <f t="shared" ca="1" si="141"/>
        <v>18308270332593.012</v>
      </c>
      <c r="J995" s="53">
        <f t="shared" ca="1" si="142"/>
        <v>1319991855255.946</v>
      </c>
      <c r="K995" s="54">
        <f t="shared" ca="1" si="143"/>
        <v>13.869987348553028</v>
      </c>
    </row>
    <row r="996" spans="2:11" ht="15" customHeight="1" x14ac:dyDescent="0.35">
      <c r="B996" s="5">
        <v>975</v>
      </c>
      <c r="C996" s="52">
        <f t="shared" ca="1" si="135"/>
        <v>3.5914602655651069</v>
      </c>
      <c r="D996" s="53">
        <f t="shared" ca="1" si="136"/>
        <v>11115250978.081104</v>
      </c>
      <c r="E996" s="53">
        <f t="shared" ca="1" si="137"/>
        <v>31131158677878.344</v>
      </c>
      <c r="F996" s="53">
        <f t="shared" ca="1" si="138"/>
        <v>1874915220535.0901</v>
      </c>
      <c r="G996" s="53">
        <f t="shared" ca="1" si="139"/>
        <v>4582544516839.8213</v>
      </c>
      <c r="H996" s="53">
        <f t="shared" ca="1" si="140"/>
        <v>1874915220535.0901</v>
      </c>
      <c r="I996" s="53">
        <f t="shared" ca="1" si="141"/>
        <v>830199072334.38098</v>
      </c>
      <c r="J996" s="53">
        <f t="shared" ca="1" si="142"/>
        <v>1249147143742.4766</v>
      </c>
      <c r="K996" s="54">
        <f t="shared" ca="1" si="143"/>
        <v>0.66461271315650094</v>
      </c>
    </row>
    <row r="997" spans="2:11" ht="15" customHeight="1" x14ac:dyDescent="0.35">
      <c r="B997" s="5">
        <v>976</v>
      </c>
      <c r="C997" s="52">
        <f t="shared" ca="1" si="135"/>
        <v>2.7922459832548676</v>
      </c>
      <c r="D997" s="53">
        <f t="shared" ca="1" si="136"/>
        <v>3621317197.4129467</v>
      </c>
      <c r="E997" s="53">
        <f t="shared" ca="1" si="137"/>
        <v>28035223219199.324</v>
      </c>
      <c r="F997" s="53">
        <f t="shared" ca="1" si="138"/>
        <v>16404437151473.469</v>
      </c>
      <c r="G997" s="53">
        <f t="shared" ca="1" si="139"/>
        <v>731147356769.3783</v>
      </c>
      <c r="H997" s="53">
        <f t="shared" ca="1" si="140"/>
        <v>16404437151473.469</v>
      </c>
      <c r="I997" s="53">
        <f t="shared" ca="1" si="141"/>
        <v>11446856960027.439</v>
      </c>
      <c r="J997" s="53">
        <f t="shared" ca="1" si="142"/>
        <v>598933250915.08716</v>
      </c>
      <c r="K997" s="54">
        <f t="shared" ca="1" si="143"/>
        <v>19.112074580161021</v>
      </c>
    </row>
    <row r="998" spans="2:11" ht="15" customHeight="1" x14ac:dyDescent="0.35">
      <c r="B998" s="5">
        <v>977</v>
      </c>
      <c r="C998" s="52">
        <f t="shared" ca="1" si="135"/>
        <v>4.0716999867076566</v>
      </c>
      <c r="D998" s="53">
        <f t="shared" ca="1" si="136"/>
        <v>22673178450.240189</v>
      </c>
      <c r="E998" s="53">
        <f t="shared" ca="1" si="137"/>
        <v>69650725420862.531</v>
      </c>
      <c r="F998" s="53">
        <f t="shared" ca="1" si="138"/>
        <v>1190938209959.8867</v>
      </c>
      <c r="G998" s="53">
        <f t="shared" ca="1" si="139"/>
        <v>7881226355669.4375</v>
      </c>
      <c r="H998" s="53">
        <f t="shared" ca="1" si="140"/>
        <v>1190938209959.8867</v>
      </c>
      <c r="I998" s="53">
        <f t="shared" ca="1" si="141"/>
        <v>9924695469482.4023</v>
      </c>
      <c r="J998" s="53">
        <f t="shared" ca="1" si="142"/>
        <v>1488531052996.4854</v>
      </c>
      <c r="K998" s="54">
        <f t="shared" ca="1" si="143"/>
        <v>6.6674426774661555</v>
      </c>
    </row>
    <row r="999" spans="2:11" ht="15" customHeight="1" x14ac:dyDescent="0.35">
      <c r="B999" s="5">
        <v>978</v>
      </c>
      <c r="C999" s="52">
        <f t="shared" ca="1" si="135"/>
        <v>2.5710229040992134</v>
      </c>
      <c r="D999" s="53">
        <f t="shared" ca="1" si="136"/>
        <v>2407836855.6034827</v>
      </c>
      <c r="E999" s="53">
        <f t="shared" ca="1" si="137"/>
        <v>12767340731036.232</v>
      </c>
      <c r="F999" s="53">
        <f t="shared" ca="1" si="138"/>
        <v>381548225794.1073</v>
      </c>
      <c r="G999" s="53">
        <f t="shared" ca="1" si="139"/>
        <v>2232112188750.3818</v>
      </c>
      <c r="H999" s="53">
        <f t="shared" ca="1" si="140"/>
        <v>2232112188750.3818</v>
      </c>
      <c r="I999" s="53">
        <f t="shared" ca="1" si="141"/>
        <v>9306531161180.9023</v>
      </c>
      <c r="J999" s="53">
        <f t="shared" ca="1" si="142"/>
        <v>586263660079.03699</v>
      </c>
      <c r="K999" s="54">
        <f t="shared" ca="1" si="143"/>
        <v>15.874310135351465</v>
      </c>
    </row>
    <row r="1000" spans="2:11" ht="15" customHeight="1" x14ac:dyDescent="0.35">
      <c r="B1000" s="5">
        <v>979</v>
      </c>
      <c r="C1000" s="52">
        <f t="shared" ca="1" si="135"/>
        <v>3.6409377016775051</v>
      </c>
      <c r="D1000" s="53">
        <f t="shared" ca="1" si="136"/>
        <v>11392665257.655409</v>
      </c>
      <c r="E1000" s="53">
        <f t="shared" ca="1" si="137"/>
        <v>54480598512199.078</v>
      </c>
      <c r="F1000" s="53">
        <f t="shared" ca="1" si="138"/>
        <v>1710023335501.0022</v>
      </c>
      <c r="G1000" s="53">
        <f t="shared" ca="1" si="139"/>
        <v>7091994709260.752</v>
      </c>
      <c r="H1000" s="53">
        <f t="shared" ca="1" si="140"/>
        <v>7091994709260.752</v>
      </c>
      <c r="I1000" s="53">
        <f t="shared" ca="1" si="141"/>
        <v>5453028053700.8447</v>
      </c>
      <c r="J1000" s="53">
        <f t="shared" ca="1" si="142"/>
        <v>1435631378720.1331</v>
      </c>
      <c r="K1000" s="54">
        <f t="shared" ca="1" si="143"/>
        <v>3.7983483326773095</v>
      </c>
    </row>
    <row r="1001" spans="2:11" ht="15" customHeight="1" x14ac:dyDescent="0.35">
      <c r="B1001" s="5">
        <v>980</v>
      </c>
      <c r="C1001" s="52">
        <f t="shared" ca="1" si="135"/>
        <v>3.3072935983407947</v>
      </c>
      <c r="D1001" s="53">
        <f t="shared" ca="1" si="136"/>
        <v>7727692650.8757677</v>
      </c>
      <c r="E1001" s="53">
        <f t="shared" ca="1" si="137"/>
        <v>22630616512420.395</v>
      </c>
      <c r="F1001" s="53">
        <f t="shared" ca="1" si="138"/>
        <v>18331173997302.277</v>
      </c>
      <c r="G1001" s="53">
        <f t="shared" ca="1" si="139"/>
        <v>25983687046307.48</v>
      </c>
      <c r="H1001" s="53">
        <f t="shared" ca="1" si="140"/>
        <v>22630616512420.395</v>
      </c>
      <c r="I1001" s="53">
        <f t="shared" ca="1" si="141"/>
        <v>26641349600686.465</v>
      </c>
      <c r="J1001" s="53">
        <f t="shared" ca="1" si="142"/>
        <v>1442918940913.9102</v>
      </c>
      <c r="K1001" s="54">
        <f t="shared" ca="1" si="143"/>
        <v>18.463510905063366</v>
      </c>
    </row>
    <row r="1002" spans="2:11" ht="15" customHeight="1" x14ac:dyDescent="0.35">
      <c r="B1002" s="5">
        <v>981</v>
      </c>
      <c r="C1002" s="52">
        <f t="shared" ca="1" si="135"/>
        <v>3.6831583934418406</v>
      </c>
      <c r="D1002" s="53">
        <f t="shared" ca="1" si="136"/>
        <v>14791739905.014091</v>
      </c>
      <c r="E1002" s="53">
        <f t="shared" ca="1" si="137"/>
        <v>21153042404620.703</v>
      </c>
      <c r="F1002" s="53">
        <f t="shared" ca="1" si="138"/>
        <v>1366424324776.9119</v>
      </c>
      <c r="G1002" s="53">
        <f t="shared" ca="1" si="139"/>
        <v>28365991095829.309</v>
      </c>
      <c r="H1002" s="53">
        <f t="shared" ca="1" si="140"/>
        <v>21153042404620.703</v>
      </c>
      <c r="I1002" s="53">
        <f t="shared" ca="1" si="141"/>
        <v>40902832540780.422</v>
      </c>
      <c r="J1002" s="53">
        <f t="shared" ca="1" si="142"/>
        <v>624507691182.38831</v>
      </c>
      <c r="K1002" s="54">
        <f t="shared" ca="1" si="143"/>
        <v>65.496122975424967</v>
      </c>
    </row>
    <row r="1003" spans="2:11" ht="15" customHeight="1" x14ac:dyDescent="0.35">
      <c r="B1003" s="5">
        <v>982</v>
      </c>
      <c r="C1003" s="52">
        <f t="shared" ca="1" si="135"/>
        <v>3.5999880982833248</v>
      </c>
      <c r="D1003" s="53">
        <f t="shared" ca="1" si="136"/>
        <v>13262486468.332342</v>
      </c>
      <c r="E1003" s="53">
        <f t="shared" ca="1" si="137"/>
        <v>19913032202109.184</v>
      </c>
      <c r="F1003" s="53">
        <f t="shared" ca="1" si="138"/>
        <v>3966161484906.894</v>
      </c>
      <c r="G1003" s="53">
        <f t="shared" ca="1" si="139"/>
        <v>1836612131106.7354</v>
      </c>
      <c r="H1003" s="53">
        <f t="shared" ca="1" si="140"/>
        <v>1836612131106.7354</v>
      </c>
      <c r="I1003" s="53">
        <f t="shared" ca="1" si="141"/>
        <v>19604941949420.656</v>
      </c>
      <c r="J1003" s="53">
        <f t="shared" ca="1" si="142"/>
        <v>549005295327.76471</v>
      </c>
      <c r="K1003" s="54">
        <f t="shared" ca="1" si="143"/>
        <v>35.709932338113788</v>
      </c>
    </row>
    <row r="1004" spans="2:11" ht="15" customHeight="1" x14ac:dyDescent="0.35">
      <c r="B1004" s="5">
        <v>983</v>
      </c>
      <c r="C1004" s="52">
        <f t="shared" ca="1" si="135"/>
        <v>2.3256723317690207</v>
      </c>
      <c r="D1004" s="53">
        <f t="shared" ca="1" si="136"/>
        <v>1249545559.6977005</v>
      </c>
      <c r="E1004" s="53">
        <f t="shared" ca="1" si="137"/>
        <v>3457288148797.5986</v>
      </c>
      <c r="F1004" s="53">
        <f t="shared" ca="1" si="138"/>
        <v>5446497306033.6592</v>
      </c>
      <c r="G1004" s="53">
        <f t="shared" ca="1" si="139"/>
        <v>2171681132844.9573</v>
      </c>
      <c r="H1004" s="53">
        <f t="shared" ca="1" si="140"/>
        <v>5446497306033.6592</v>
      </c>
      <c r="I1004" s="53">
        <f t="shared" ca="1" si="141"/>
        <v>979190048055.43311</v>
      </c>
      <c r="J1004" s="53">
        <f t="shared" ca="1" si="142"/>
        <v>1026724886716.4507</v>
      </c>
      <c r="K1004" s="54">
        <f t="shared" ca="1" si="143"/>
        <v>0.95370245790667663</v>
      </c>
    </row>
    <row r="1005" spans="2:11" ht="15" customHeight="1" x14ac:dyDescent="0.35">
      <c r="B1005" s="5">
        <v>984</v>
      </c>
      <c r="C1005" s="52">
        <f t="shared" ca="1" si="135"/>
        <v>3.4000965506372989</v>
      </c>
      <c r="D1005" s="53">
        <f t="shared" ca="1" si="136"/>
        <v>10000254617.920673</v>
      </c>
      <c r="E1005" s="53">
        <f t="shared" ca="1" si="137"/>
        <v>4871684913262.5635</v>
      </c>
      <c r="F1005" s="53">
        <f t="shared" ca="1" si="138"/>
        <v>15380959622542.395</v>
      </c>
      <c r="G1005" s="53">
        <f t="shared" ca="1" si="139"/>
        <v>5822574567997.2285</v>
      </c>
      <c r="H1005" s="53">
        <f t="shared" ca="1" si="140"/>
        <v>15380959622542.395</v>
      </c>
      <c r="I1005" s="53">
        <f t="shared" ca="1" si="141"/>
        <v>5757197755669.2158</v>
      </c>
      <c r="J1005" s="53">
        <f t="shared" ca="1" si="142"/>
        <v>620660860824.49219</v>
      </c>
      <c r="K1005" s="54">
        <f t="shared" ca="1" si="143"/>
        <v>9.275915591038391</v>
      </c>
    </row>
    <row r="1006" spans="2:11" ht="15" customHeight="1" x14ac:dyDescent="0.35">
      <c r="B1006" s="5">
        <v>985</v>
      </c>
      <c r="C1006" s="52">
        <f t="shared" ca="1" si="135"/>
        <v>3.3476912743196783</v>
      </c>
      <c r="D1006" s="53">
        <f t="shared" ca="1" si="136"/>
        <v>7741670785.7328892</v>
      </c>
      <c r="E1006" s="53">
        <f t="shared" ca="1" si="137"/>
        <v>15245990814600.639</v>
      </c>
      <c r="F1006" s="53">
        <f t="shared" ca="1" si="138"/>
        <v>9024612820069.1094</v>
      </c>
      <c r="G1006" s="53">
        <f t="shared" ca="1" si="139"/>
        <v>10792519138488.738</v>
      </c>
      <c r="H1006" s="53">
        <f t="shared" ca="1" si="140"/>
        <v>9024612820069.1094</v>
      </c>
      <c r="I1006" s="53">
        <f t="shared" ca="1" si="141"/>
        <v>6551290280265.6191</v>
      </c>
      <c r="J1006" s="53">
        <f t="shared" ca="1" si="142"/>
        <v>833700345843.75952</v>
      </c>
      <c r="K1006" s="54">
        <f t="shared" ca="1" si="143"/>
        <v>7.8580875166068003</v>
      </c>
    </row>
    <row r="1007" spans="2:11" ht="15" customHeight="1" x14ac:dyDescent="0.35">
      <c r="B1007" s="5">
        <v>986</v>
      </c>
      <c r="C1007" s="52">
        <f t="shared" ca="1" si="135"/>
        <v>2.8456380745539729</v>
      </c>
      <c r="D1007" s="53">
        <f t="shared" ca="1" si="136"/>
        <v>4103968903.710938</v>
      </c>
      <c r="E1007" s="53">
        <f t="shared" ca="1" si="137"/>
        <v>6734603439364.2754</v>
      </c>
      <c r="F1007" s="53">
        <f t="shared" ca="1" si="138"/>
        <v>5548240924834.9033</v>
      </c>
      <c r="G1007" s="53">
        <f t="shared" ca="1" si="139"/>
        <v>35227998213775.43</v>
      </c>
      <c r="H1007" s="53">
        <f t="shared" ca="1" si="140"/>
        <v>35227998213775.43</v>
      </c>
      <c r="I1007" s="53">
        <f t="shared" ca="1" si="141"/>
        <v>20003716498817.82</v>
      </c>
      <c r="J1007" s="53">
        <f t="shared" ca="1" si="142"/>
        <v>1024143762673.2742</v>
      </c>
      <c r="K1007" s="54">
        <f t="shared" ca="1" si="143"/>
        <v>19.532137213434822</v>
      </c>
    </row>
    <row r="1008" spans="2:11" ht="15" customHeight="1" x14ac:dyDescent="0.35">
      <c r="B1008" s="5">
        <v>987</v>
      </c>
      <c r="C1008" s="52">
        <f t="shared" ca="1" si="135"/>
        <v>3.1918902155278817</v>
      </c>
      <c r="D1008" s="53">
        <f t="shared" ca="1" si="136"/>
        <v>7532310341.3434229</v>
      </c>
      <c r="E1008" s="53">
        <f t="shared" ca="1" si="137"/>
        <v>10737452761918.998</v>
      </c>
      <c r="F1008" s="53">
        <f t="shared" ca="1" si="138"/>
        <v>6897068968806.4355</v>
      </c>
      <c r="G1008" s="53">
        <f t="shared" ca="1" si="139"/>
        <v>2659565990402.4116</v>
      </c>
      <c r="H1008" s="53">
        <f t="shared" ca="1" si="140"/>
        <v>10737452761918.998</v>
      </c>
      <c r="I1008" s="53">
        <f t="shared" ca="1" si="141"/>
        <v>4851548211612.1143</v>
      </c>
      <c r="J1008" s="53">
        <f t="shared" ca="1" si="142"/>
        <v>1161971869702.4204</v>
      </c>
      <c r="K1008" s="54">
        <f t="shared" ca="1" si="143"/>
        <v>4.1752716551172533</v>
      </c>
    </row>
    <row r="1009" spans="2:11" ht="15" customHeight="1" x14ac:dyDescent="0.35">
      <c r="B1009" s="5">
        <v>988</v>
      </c>
      <c r="C1009" s="52">
        <f t="shared" ca="1" si="135"/>
        <v>2.5014312671442283</v>
      </c>
      <c r="D1009" s="53">
        <f t="shared" ca="1" si="136"/>
        <v>1849399136.9331541</v>
      </c>
      <c r="E1009" s="53">
        <f t="shared" ca="1" si="137"/>
        <v>2157090797186.5793</v>
      </c>
      <c r="F1009" s="53">
        <f t="shared" ca="1" si="138"/>
        <v>2065698716799.5083</v>
      </c>
      <c r="G1009" s="53">
        <f t="shared" ca="1" si="139"/>
        <v>18664828032348.18</v>
      </c>
      <c r="H1009" s="53">
        <f t="shared" ca="1" si="140"/>
        <v>2065698716799.5083</v>
      </c>
      <c r="I1009" s="53">
        <f t="shared" ca="1" si="141"/>
        <v>3891200397957.813</v>
      </c>
      <c r="J1009" s="53">
        <f t="shared" ca="1" si="142"/>
        <v>1063039862692.0004</v>
      </c>
      <c r="K1009" s="54">
        <f t="shared" ca="1" si="143"/>
        <v>3.6604463619114811</v>
      </c>
    </row>
    <row r="1010" spans="2:11" ht="15" customHeight="1" x14ac:dyDescent="0.35">
      <c r="B1010" s="5">
        <v>989</v>
      </c>
      <c r="C1010" s="52">
        <f t="shared" ca="1" si="135"/>
        <v>3.8607131331791189</v>
      </c>
      <c r="D1010" s="53">
        <f t="shared" ca="1" si="136"/>
        <v>19565773995.491653</v>
      </c>
      <c r="E1010" s="53">
        <f t="shared" ca="1" si="137"/>
        <v>83689499377963.297</v>
      </c>
      <c r="F1010" s="53">
        <f t="shared" ca="1" si="138"/>
        <v>2460246439529.8457</v>
      </c>
      <c r="G1010" s="53">
        <f t="shared" ca="1" si="139"/>
        <v>996366927332.73706</v>
      </c>
      <c r="H1010" s="53">
        <f t="shared" ca="1" si="140"/>
        <v>2460246439529.8457</v>
      </c>
      <c r="I1010" s="53">
        <f t="shared" ca="1" si="141"/>
        <v>3072916882123.2988</v>
      </c>
      <c r="J1010" s="53">
        <f t="shared" ca="1" si="142"/>
        <v>993878777021.15308</v>
      </c>
      <c r="K1010" s="54">
        <f t="shared" ca="1" si="143"/>
        <v>3.091842740956221</v>
      </c>
    </row>
    <row r="1011" spans="2:11" ht="15" customHeight="1" x14ac:dyDescent="0.35">
      <c r="B1011" s="5">
        <v>990</v>
      </c>
      <c r="C1011" s="52">
        <f t="shared" ca="1" si="135"/>
        <v>3.1859020084672922</v>
      </c>
      <c r="D1011" s="53">
        <f t="shared" ca="1" si="136"/>
        <v>5530675842.2593794</v>
      </c>
      <c r="E1011" s="53">
        <f t="shared" ca="1" si="137"/>
        <v>6358589426934.8711</v>
      </c>
      <c r="F1011" s="53">
        <f t="shared" ca="1" si="138"/>
        <v>2818483432343.2891</v>
      </c>
      <c r="G1011" s="53">
        <f t="shared" ca="1" si="139"/>
        <v>4743081169382.1816</v>
      </c>
      <c r="H1011" s="53">
        <f t="shared" ca="1" si="140"/>
        <v>2818483432343.2891</v>
      </c>
      <c r="I1011" s="53">
        <f t="shared" ca="1" si="141"/>
        <v>3503657424851.6255</v>
      </c>
      <c r="J1011" s="53">
        <f t="shared" ca="1" si="142"/>
        <v>720159654361.24744</v>
      </c>
      <c r="K1011" s="54">
        <f t="shared" ca="1" si="143"/>
        <v>4.86511206735016</v>
      </c>
    </row>
    <row r="1012" spans="2:11" ht="15" customHeight="1" x14ac:dyDescent="0.35">
      <c r="B1012" s="5">
        <v>991</v>
      </c>
      <c r="C1012" s="52">
        <f t="shared" ca="1" si="135"/>
        <v>2.9324136237024727</v>
      </c>
      <c r="D1012" s="53">
        <f t="shared" ca="1" si="136"/>
        <v>4024109105.22579</v>
      </c>
      <c r="E1012" s="53">
        <f t="shared" ca="1" si="137"/>
        <v>8668415232373.2354</v>
      </c>
      <c r="F1012" s="53">
        <f t="shared" ca="1" si="138"/>
        <v>3163021228283.6211</v>
      </c>
      <c r="G1012" s="53">
        <f t="shared" ca="1" si="139"/>
        <v>2523682032893.2773</v>
      </c>
      <c r="H1012" s="53">
        <f t="shared" ca="1" si="140"/>
        <v>2523682032893.2773</v>
      </c>
      <c r="I1012" s="53">
        <f t="shared" ca="1" si="141"/>
        <v>24897318546126.332</v>
      </c>
      <c r="J1012" s="53">
        <f t="shared" ca="1" si="142"/>
        <v>1568699322181.6887</v>
      </c>
      <c r="K1012" s="54">
        <f t="shared" ca="1" si="143"/>
        <v>15.871313383051678</v>
      </c>
    </row>
    <row r="1013" spans="2:11" ht="15" customHeight="1" x14ac:dyDescent="0.35">
      <c r="B1013" s="5">
        <v>992</v>
      </c>
      <c r="C1013" s="52">
        <f t="shared" ca="1" si="135"/>
        <v>2.5952204152379785</v>
      </c>
      <c r="D1013" s="53">
        <f t="shared" ca="1" si="136"/>
        <v>2067051792.1015553</v>
      </c>
      <c r="E1013" s="53">
        <f t="shared" ca="1" si="137"/>
        <v>5328138745671.459</v>
      </c>
      <c r="F1013" s="53">
        <f t="shared" ca="1" si="138"/>
        <v>10425318293636.016</v>
      </c>
      <c r="G1013" s="53">
        <f t="shared" ca="1" si="139"/>
        <v>130807901705883.59</v>
      </c>
      <c r="H1013" s="53">
        <f t="shared" ca="1" si="140"/>
        <v>130807901705883.59</v>
      </c>
      <c r="I1013" s="53">
        <f t="shared" ca="1" si="141"/>
        <v>91065278033083.109</v>
      </c>
      <c r="J1013" s="53">
        <f t="shared" ca="1" si="142"/>
        <v>890627240185.84839</v>
      </c>
      <c r="K1013" s="54">
        <f t="shared" ca="1" si="143"/>
        <v>102.2484760449056</v>
      </c>
    </row>
    <row r="1014" spans="2:11" ht="15" customHeight="1" x14ac:dyDescent="0.35">
      <c r="B1014" s="5">
        <v>993</v>
      </c>
      <c r="C1014" s="52">
        <f t="shared" ca="1" si="135"/>
        <v>2.7974255057837341</v>
      </c>
      <c r="D1014" s="53">
        <f t="shared" ca="1" si="136"/>
        <v>3008273695.2406974</v>
      </c>
      <c r="E1014" s="53">
        <f t="shared" ca="1" si="137"/>
        <v>14969238071037.756</v>
      </c>
      <c r="F1014" s="53">
        <f t="shared" ca="1" si="138"/>
        <v>10724280595303.145</v>
      </c>
      <c r="G1014" s="53">
        <f t="shared" ca="1" si="139"/>
        <v>18610312116112.742</v>
      </c>
      <c r="H1014" s="53">
        <f t="shared" ca="1" si="140"/>
        <v>10724280595303.145</v>
      </c>
      <c r="I1014" s="53">
        <f t="shared" ca="1" si="141"/>
        <v>2157499271462.2683</v>
      </c>
      <c r="J1014" s="53">
        <f t="shared" ca="1" si="142"/>
        <v>1490142503384.8335</v>
      </c>
      <c r="K1014" s="54">
        <f t="shared" ca="1" si="143"/>
        <v>1.4478476162927674</v>
      </c>
    </row>
    <row r="1015" spans="2:11" ht="15" customHeight="1" x14ac:dyDescent="0.35">
      <c r="B1015" s="5">
        <v>994</v>
      </c>
      <c r="C1015" s="52">
        <f t="shared" ca="1" si="135"/>
        <v>3.4313519945611848</v>
      </c>
      <c r="D1015" s="53">
        <f t="shared" ca="1" si="136"/>
        <v>8018017918.585659</v>
      </c>
      <c r="E1015" s="53">
        <f t="shared" ca="1" si="137"/>
        <v>17791739333463.637</v>
      </c>
      <c r="F1015" s="53">
        <f t="shared" ca="1" si="138"/>
        <v>29512795843359.297</v>
      </c>
      <c r="G1015" s="53">
        <f t="shared" ca="1" si="139"/>
        <v>81792584335392.25</v>
      </c>
      <c r="H1015" s="53">
        <f t="shared" ca="1" si="140"/>
        <v>81792584335392.25</v>
      </c>
      <c r="I1015" s="53">
        <f t="shared" ca="1" si="141"/>
        <v>6037912758404.4824</v>
      </c>
      <c r="J1015" s="53">
        <f t="shared" ca="1" si="142"/>
        <v>936186586953.13782</v>
      </c>
      <c r="K1015" s="54">
        <f t="shared" ca="1" si="143"/>
        <v>6.4494758230356046</v>
      </c>
    </row>
    <row r="1016" spans="2:11" ht="15" customHeight="1" x14ac:dyDescent="0.35">
      <c r="B1016" s="5">
        <v>995</v>
      </c>
      <c r="C1016" s="52">
        <f t="shared" ca="1" si="135"/>
        <v>2.9449572897078031</v>
      </c>
      <c r="D1016" s="53">
        <f t="shared" ca="1" si="136"/>
        <v>3544861244.7269669</v>
      </c>
      <c r="E1016" s="53">
        <f t="shared" ca="1" si="137"/>
        <v>15608491312190.623</v>
      </c>
      <c r="F1016" s="53">
        <f t="shared" ca="1" si="138"/>
        <v>2902623208912.0996</v>
      </c>
      <c r="G1016" s="53">
        <f t="shared" ca="1" si="139"/>
        <v>14624156803460.572</v>
      </c>
      <c r="H1016" s="53">
        <f t="shared" ca="1" si="140"/>
        <v>2902623208912.0996</v>
      </c>
      <c r="I1016" s="53">
        <f t="shared" ca="1" si="141"/>
        <v>9245116525810.5391</v>
      </c>
      <c r="J1016" s="53">
        <f t="shared" ca="1" si="142"/>
        <v>868565972904.56934</v>
      </c>
      <c r="K1016" s="54">
        <f t="shared" ca="1" si="143"/>
        <v>10.644115489458985</v>
      </c>
    </row>
    <row r="1017" spans="2:11" ht="15" customHeight="1" x14ac:dyDescent="0.35">
      <c r="B1017" s="5">
        <v>996</v>
      </c>
      <c r="C1017" s="52">
        <f t="shared" ca="1" si="135"/>
        <v>3.1195630490440696</v>
      </c>
      <c r="D1017" s="53">
        <f t="shared" ca="1" si="136"/>
        <v>5956621057.8557148</v>
      </c>
      <c r="E1017" s="53">
        <f t="shared" ca="1" si="137"/>
        <v>31527623919259.398</v>
      </c>
      <c r="F1017" s="53">
        <f t="shared" ca="1" si="138"/>
        <v>4082142806199.6685</v>
      </c>
      <c r="G1017" s="53">
        <f t="shared" ca="1" si="139"/>
        <v>1795198786576.3557</v>
      </c>
      <c r="H1017" s="53">
        <f t="shared" ca="1" si="140"/>
        <v>4082142806199.6685</v>
      </c>
      <c r="I1017" s="53">
        <f t="shared" ca="1" si="141"/>
        <v>6323229865584.3066</v>
      </c>
      <c r="J1017" s="53">
        <f t="shared" ca="1" si="142"/>
        <v>994469242402.4574</v>
      </c>
      <c r="K1017" s="54">
        <f t="shared" ca="1" si="143"/>
        <v>6.3583966159763063</v>
      </c>
    </row>
    <row r="1018" spans="2:11" ht="15" customHeight="1" x14ac:dyDescent="0.35">
      <c r="B1018" s="5">
        <v>997</v>
      </c>
      <c r="C1018" s="52">
        <f t="shared" ca="1" si="135"/>
        <v>3.0088241927791937</v>
      </c>
      <c r="D1018" s="53">
        <f t="shared" ca="1" si="136"/>
        <v>4251648928.0140214</v>
      </c>
      <c r="E1018" s="53">
        <f t="shared" ca="1" si="137"/>
        <v>7385803172458.5557</v>
      </c>
      <c r="F1018" s="53">
        <f t="shared" ca="1" si="138"/>
        <v>1853505259791.7764</v>
      </c>
      <c r="G1018" s="53">
        <f t="shared" ca="1" si="139"/>
        <v>3668268735522.5195</v>
      </c>
      <c r="H1018" s="53">
        <f t="shared" ca="1" si="140"/>
        <v>1853505259791.7764</v>
      </c>
      <c r="I1018" s="53">
        <f t="shared" ca="1" si="141"/>
        <v>9293312996782.3379</v>
      </c>
      <c r="J1018" s="53">
        <f t="shared" ca="1" si="142"/>
        <v>1233692880303.9067</v>
      </c>
      <c r="K1018" s="54">
        <f t="shared" ca="1" si="143"/>
        <v>7.532922614008303</v>
      </c>
    </row>
    <row r="1019" spans="2:11" ht="15" customHeight="1" x14ac:dyDescent="0.35">
      <c r="B1019" s="5">
        <v>998</v>
      </c>
      <c r="C1019" s="52">
        <f t="shared" ca="1" si="135"/>
        <v>2.9417878367762378</v>
      </c>
      <c r="D1019" s="53">
        <f t="shared" ca="1" si="136"/>
        <v>3924402791.466939</v>
      </c>
      <c r="E1019" s="53">
        <f t="shared" ca="1" si="137"/>
        <v>4311929938062.9893</v>
      </c>
      <c r="F1019" s="53">
        <f t="shared" ca="1" si="138"/>
        <v>13004347719515.365</v>
      </c>
      <c r="G1019" s="53">
        <f t="shared" ca="1" si="139"/>
        <v>15378000955714.916</v>
      </c>
      <c r="H1019" s="53">
        <f t="shared" ca="1" si="140"/>
        <v>13004347719515.365</v>
      </c>
      <c r="I1019" s="53">
        <f t="shared" ca="1" si="141"/>
        <v>3271340883944.459</v>
      </c>
      <c r="J1019" s="53">
        <f t="shared" ca="1" si="142"/>
        <v>973017798212.03967</v>
      </c>
      <c r="K1019" s="54">
        <f t="shared" ca="1" si="143"/>
        <v>3.3620565728146832</v>
      </c>
    </row>
    <row r="1020" spans="2:11" ht="15" customHeight="1" x14ac:dyDescent="0.35">
      <c r="B1020" s="5">
        <v>999</v>
      </c>
      <c r="C1020" s="52">
        <f t="shared" ca="1" si="135"/>
        <v>2.8868928553003448</v>
      </c>
      <c r="D1020" s="53">
        <f t="shared" ca="1" si="136"/>
        <v>3858587159.1541343</v>
      </c>
      <c r="E1020" s="53">
        <f t="shared" ca="1" si="137"/>
        <v>2873195643159.7832</v>
      </c>
      <c r="F1020" s="53">
        <f t="shared" ca="1" si="138"/>
        <v>4098300448039.8179</v>
      </c>
      <c r="G1020" s="53">
        <f t="shared" ca="1" si="139"/>
        <v>522505972772.41699</v>
      </c>
      <c r="H1020" s="53">
        <f t="shared" ca="1" si="140"/>
        <v>522505972772.41699</v>
      </c>
      <c r="I1020" s="53">
        <f t="shared" ca="1" si="141"/>
        <v>57879098609361.547</v>
      </c>
      <c r="J1020" s="53">
        <f t="shared" ca="1" si="142"/>
        <v>977711685956.99377</v>
      </c>
      <c r="K1020" s="54">
        <f t="shared" ca="1" si="143"/>
        <v>59.198534128912371</v>
      </c>
    </row>
    <row r="1021" spans="2:11" ht="15" customHeight="1" x14ac:dyDescent="0.35">
      <c r="B1021" s="5">
        <v>1000</v>
      </c>
      <c r="C1021" s="52">
        <f t="shared" ca="1" si="135"/>
        <v>3.461622361109185</v>
      </c>
      <c r="D1021" s="53">
        <f t="shared" ca="1" si="136"/>
        <v>8450022441.1346378</v>
      </c>
      <c r="E1021" s="53">
        <f t="shared" ca="1" si="137"/>
        <v>183408316954864.97</v>
      </c>
      <c r="F1021" s="53">
        <f t="shared" ca="1" si="138"/>
        <v>2754242719103.584</v>
      </c>
      <c r="G1021" s="53">
        <f t="shared" ca="1" si="139"/>
        <v>6764696213258.0771</v>
      </c>
      <c r="H1021" s="53">
        <f t="shared" ca="1" si="140"/>
        <v>183408316954864.97</v>
      </c>
      <c r="I1021" s="53">
        <f t="shared" ca="1" si="141"/>
        <v>745800709154.26733</v>
      </c>
      <c r="J1021" s="53">
        <f t="shared" ca="1" si="142"/>
        <v>1886212575236.2368</v>
      </c>
      <c r="K1021" s="54">
        <f t="shared" ca="1" si="143"/>
        <v>0.39539589489846355</v>
      </c>
    </row>
    <row r="1022" spans="2:11" ht="15" customHeight="1" x14ac:dyDescent="0.35">
      <c r="B1022" s="5">
        <v>1001</v>
      </c>
      <c r="C1022" s="52">
        <f t="shared" ca="1" si="135"/>
        <v>2.8198317244351232</v>
      </c>
      <c r="D1022" s="53">
        <f t="shared" ca="1" si="136"/>
        <v>3206028401.5837731</v>
      </c>
      <c r="E1022" s="53">
        <f t="shared" ca="1" si="137"/>
        <v>16374517206702.326</v>
      </c>
      <c r="F1022" s="53">
        <f t="shared" ca="1" si="138"/>
        <v>6201436403542.9854</v>
      </c>
      <c r="G1022" s="53">
        <f t="shared" ca="1" si="139"/>
        <v>17668591575888.816</v>
      </c>
      <c r="H1022" s="53">
        <f t="shared" ca="1" si="140"/>
        <v>6201436403542.9854</v>
      </c>
      <c r="I1022" s="53">
        <f t="shared" ca="1" si="141"/>
        <v>16461745104437.707</v>
      </c>
      <c r="J1022" s="53">
        <f t="shared" ca="1" si="142"/>
        <v>675273514618.86218</v>
      </c>
      <c r="K1022" s="54">
        <f t="shared" ca="1" si="143"/>
        <v>24.377892436265686</v>
      </c>
    </row>
    <row r="1023" spans="2:11" ht="15" customHeight="1" x14ac:dyDescent="0.35">
      <c r="B1023" s="5">
        <v>1002</v>
      </c>
      <c r="C1023" s="52">
        <f t="shared" ca="1" si="135"/>
        <v>2.901236135514202</v>
      </c>
      <c r="D1023" s="53">
        <f t="shared" ca="1" si="136"/>
        <v>4690098480.1909771</v>
      </c>
      <c r="E1023" s="53">
        <f t="shared" ca="1" si="137"/>
        <v>20201019933253.469</v>
      </c>
      <c r="F1023" s="53">
        <f t="shared" ca="1" si="138"/>
        <v>497761812730.86993</v>
      </c>
      <c r="G1023" s="53">
        <f t="shared" ca="1" si="139"/>
        <v>8678874019814.292</v>
      </c>
      <c r="H1023" s="53">
        <f t="shared" ca="1" si="140"/>
        <v>8678874019814.292</v>
      </c>
      <c r="I1023" s="53">
        <f t="shared" ca="1" si="141"/>
        <v>4365335964173.0669</v>
      </c>
      <c r="J1023" s="53">
        <f t="shared" ca="1" si="142"/>
        <v>1288088032258.2366</v>
      </c>
      <c r="K1023" s="54">
        <f t="shared" ca="1" si="143"/>
        <v>3.3890043652683377</v>
      </c>
    </row>
    <row r="1024" spans="2:11" ht="15" customHeight="1" x14ac:dyDescent="0.35">
      <c r="B1024" s="5">
        <v>1003</v>
      </c>
      <c r="C1024" s="52">
        <f t="shared" ca="1" si="135"/>
        <v>2.9144181061197201</v>
      </c>
      <c r="D1024" s="53">
        <f t="shared" ca="1" si="136"/>
        <v>4057800277.7273574</v>
      </c>
      <c r="E1024" s="53">
        <f t="shared" ca="1" si="137"/>
        <v>90866270512487.016</v>
      </c>
      <c r="F1024" s="53">
        <f t="shared" ca="1" si="138"/>
        <v>1216953911514.533</v>
      </c>
      <c r="G1024" s="53">
        <f t="shared" ca="1" si="139"/>
        <v>67996023882144.258</v>
      </c>
      <c r="H1024" s="53">
        <f t="shared" ca="1" si="140"/>
        <v>90866270512487.016</v>
      </c>
      <c r="I1024" s="53">
        <f t="shared" ca="1" si="141"/>
        <v>17115037602009.246</v>
      </c>
      <c r="J1024" s="53">
        <f t="shared" ca="1" si="142"/>
        <v>1028230899788.4048</v>
      </c>
      <c r="K1024" s="54">
        <f t="shared" ca="1" si="143"/>
        <v>16.645130588403127</v>
      </c>
    </row>
    <row r="1025" spans="2:11" ht="15" customHeight="1" x14ac:dyDescent="0.35">
      <c r="B1025" s="5">
        <v>1004</v>
      </c>
      <c r="C1025" s="52">
        <f t="shared" ca="1" si="135"/>
        <v>2.2713857844973968</v>
      </c>
      <c r="D1025" s="53">
        <f t="shared" ca="1" si="136"/>
        <v>1401070553.3543692</v>
      </c>
      <c r="E1025" s="53">
        <f t="shared" ca="1" si="137"/>
        <v>14695810086257.223</v>
      </c>
      <c r="F1025" s="53">
        <f t="shared" ca="1" si="138"/>
        <v>2011955030067.0537</v>
      </c>
      <c r="G1025" s="53">
        <f t="shared" ca="1" si="139"/>
        <v>325731909063.30334</v>
      </c>
      <c r="H1025" s="53">
        <f t="shared" ca="1" si="140"/>
        <v>14695810086257.223</v>
      </c>
      <c r="I1025" s="53">
        <f t="shared" ca="1" si="141"/>
        <v>8845399282135.8223</v>
      </c>
      <c r="J1025" s="53">
        <f t="shared" ca="1" si="142"/>
        <v>1706224093634.2834</v>
      </c>
      <c r="K1025" s="54">
        <f t="shared" ca="1" si="143"/>
        <v>5.1841955081615252</v>
      </c>
    </row>
    <row r="1026" spans="2:11" ht="15" customHeight="1" x14ac:dyDescent="0.35">
      <c r="B1026" s="5">
        <v>1005</v>
      </c>
      <c r="C1026" s="52">
        <f t="shared" ca="1" si="135"/>
        <v>2.9682464266711235</v>
      </c>
      <c r="D1026" s="53">
        <f t="shared" ca="1" si="136"/>
        <v>3869958821.7578468</v>
      </c>
      <c r="E1026" s="53">
        <f t="shared" ca="1" si="137"/>
        <v>8386189405783.9092</v>
      </c>
      <c r="F1026" s="53">
        <f t="shared" ca="1" si="138"/>
        <v>1613341249727.9875</v>
      </c>
      <c r="G1026" s="53">
        <f t="shared" ca="1" si="139"/>
        <v>8342907115803.8594</v>
      </c>
      <c r="H1026" s="53">
        <f t="shared" ca="1" si="140"/>
        <v>8386189405783.9092</v>
      </c>
      <c r="I1026" s="53">
        <f t="shared" ca="1" si="141"/>
        <v>39827967741519.656</v>
      </c>
      <c r="J1026" s="53">
        <f t="shared" ca="1" si="142"/>
        <v>761384280682.85632</v>
      </c>
      <c r="K1026" s="54">
        <f t="shared" ca="1" si="143"/>
        <v>52.309942235475994</v>
      </c>
    </row>
    <row r="1027" spans="2:11" ht="15" customHeight="1" x14ac:dyDescent="0.35">
      <c r="B1027" s="5">
        <v>1006</v>
      </c>
      <c r="C1027" s="52">
        <f t="shared" ca="1" si="135"/>
        <v>2.568683953088402</v>
      </c>
      <c r="D1027" s="53">
        <f t="shared" ca="1" si="136"/>
        <v>2275147047.5581217</v>
      </c>
      <c r="E1027" s="53">
        <f t="shared" ca="1" si="137"/>
        <v>21883560580151.496</v>
      </c>
      <c r="F1027" s="53">
        <f t="shared" ca="1" si="138"/>
        <v>8482681387306.1426</v>
      </c>
      <c r="G1027" s="53">
        <f t="shared" ca="1" si="139"/>
        <v>32725560266699.691</v>
      </c>
      <c r="H1027" s="53">
        <f t="shared" ca="1" si="140"/>
        <v>21883560580151.496</v>
      </c>
      <c r="I1027" s="53">
        <f t="shared" ca="1" si="141"/>
        <v>15708882211029.238</v>
      </c>
      <c r="J1027" s="53">
        <f t="shared" ca="1" si="142"/>
        <v>1652795204624.5378</v>
      </c>
      <c r="K1027" s="54">
        <f t="shared" ca="1" si="143"/>
        <v>9.504433560235185</v>
      </c>
    </row>
    <row r="1028" spans="2:11" ht="15" customHeight="1" x14ac:dyDescent="0.35">
      <c r="B1028" s="5">
        <v>1007</v>
      </c>
      <c r="C1028" s="52">
        <f t="shared" ca="1" si="135"/>
        <v>2.1970171450308653</v>
      </c>
      <c r="D1028" s="53">
        <f t="shared" ca="1" si="136"/>
        <v>869317769.53242159</v>
      </c>
      <c r="E1028" s="53">
        <f t="shared" ca="1" si="137"/>
        <v>2431575430242.999</v>
      </c>
      <c r="F1028" s="53">
        <f t="shared" ca="1" si="138"/>
        <v>1268432728761.0537</v>
      </c>
      <c r="G1028" s="53">
        <f t="shared" ca="1" si="139"/>
        <v>37901948821458.688</v>
      </c>
      <c r="H1028" s="53">
        <f t="shared" ca="1" si="140"/>
        <v>2431575430242.999</v>
      </c>
      <c r="I1028" s="53">
        <f t="shared" ca="1" si="141"/>
        <v>1738231104376.3933</v>
      </c>
      <c r="J1028" s="53">
        <f t="shared" ca="1" si="142"/>
        <v>1415575454633.4431</v>
      </c>
      <c r="K1028" s="54">
        <f t="shared" ca="1" si="143"/>
        <v>1.2279324981842812</v>
      </c>
    </row>
    <row r="1029" spans="2:11" ht="15" customHeight="1" x14ac:dyDescent="0.35">
      <c r="B1029" s="5">
        <v>1008</v>
      </c>
      <c r="C1029" s="52">
        <f t="shared" ca="1" si="135"/>
        <v>3.2155821159974294</v>
      </c>
      <c r="D1029" s="53">
        <f t="shared" ca="1" si="136"/>
        <v>6738685622.5897694</v>
      </c>
      <c r="E1029" s="53">
        <f t="shared" ca="1" si="137"/>
        <v>44520860637977.156</v>
      </c>
      <c r="F1029" s="53">
        <f t="shared" ca="1" si="138"/>
        <v>7674138466833.9043</v>
      </c>
      <c r="G1029" s="53">
        <f t="shared" ca="1" si="139"/>
        <v>9638461791903.7695</v>
      </c>
      <c r="H1029" s="53">
        <f t="shared" ca="1" si="140"/>
        <v>9638461791903.7695</v>
      </c>
      <c r="I1029" s="53">
        <f t="shared" ca="1" si="141"/>
        <v>9133729634158.6855</v>
      </c>
      <c r="J1029" s="53">
        <f t="shared" ca="1" si="142"/>
        <v>1238913216755.9001</v>
      </c>
      <c r="K1029" s="54">
        <f t="shared" ca="1" si="143"/>
        <v>7.3723724233690859</v>
      </c>
    </row>
    <row r="1030" spans="2:11" ht="15" customHeight="1" x14ac:dyDescent="0.35">
      <c r="B1030" s="5">
        <v>1009</v>
      </c>
      <c r="C1030" s="52">
        <f t="shared" ca="1" si="135"/>
        <v>3.420638987130423</v>
      </c>
      <c r="D1030" s="53">
        <f t="shared" ca="1" si="136"/>
        <v>10526933761.399509</v>
      </c>
      <c r="E1030" s="53">
        <f t="shared" ca="1" si="137"/>
        <v>16149056442905.055</v>
      </c>
      <c r="F1030" s="53">
        <f t="shared" ca="1" si="138"/>
        <v>5853610862907.4102</v>
      </c>
      <c r="G1030" s="53">
        <f t="shared" ca="1" si="139"/>
        <v>7338318685641.1982</v>
      </c>
      <c r="H1030" s="53">
        <f t="shared" ca="1" si="140"/>
        <v>7338318685641.1982</v>
      </c>
      <c r="I1030" s="53">
        <f t="shared" ca="1" si="141"/>
        <v>3330978242380.3418</v>
      </c>
      <c r="J1030" s="53">
        <f t="shared" ca="1" si="142"/>
        <v>524532142420.58044</v>
      </c>
      <c r="K1030" s="54">
        <f t="shared" ca="1" si="143"/>
        <v>6.3503796488213995</v>
      </c>
    </row>
    <row r="1031" spans="2:11" ht="15" customHeight="1" x14ac:dyDescent="0.35">
      <c r="B1031" s="5">
        <v>1010</v>
      </c>
      <c r="C1031" s="52">
        <f t="shared" ca="1" si="135"/>
        <v>3.4811155180711091</v>
      </c>
      <c r="D1031" s="53">
        <f t="shared" ca="1" si="136"/>
        <v>9472306692.9613419</v>
      </c>
      <c r="E1031" s="53">
        <f t="shared" ca="1" si="137"/>
        <v>55919046759666.359</v>
      </c>
      <c r="F1031" s="53">
        <f t="shared" ca="1" si="138"/>
        <v>1376306050153.2766</v>
      </c>
      <c r="G1031" s="53">
        <f t="shared" ca="1" si="139"/>
        <v>7193651116972.1348</v>
      </c>
      <c r="H1031" s="53">
        <f t="shared" ca="1" si="140"/>
        <v>1376306050153.2766</v>
      </c>
      <c r="I1031" s="53">
        <f t="shared" ca="1" si="141"/>
        <v>2555171007519.0889</v>
      </c>
      <c r="J1031" s="53">
        <f t="shared" ca="1" si="142"/>
        <v>1673083452633.1084</v>
      </c>
      <c r="K1031" s="54">
        <f t="shared" ca="1" si="143"/>
        <v>1.5272226878448567</v>
      </c>
    </row>
    <row r="1032" spans="2:11" ht="15" customHeight="1" x14ac:dyDescent="0.35">
      <c r="B1032" s="5">
        <v>1011</v>
      </c>
      <c r="C1032" s="52">
        <f t="shared" ca="1" si="135"/>
        <v>2.6195734543295561</v>
      </c>
      <c r="D1032" s="53">
        <f t="shared" ca="1" si="136"/>
        <v>2700784361.0295568</v>
      </c>
      <c r="E1032" s="53">
        <f t="shared" ca="1" si="137"/>
        <v>3951637713694.2451</v>
      </c>
      <c r="F1032" s="53">
        <f t="shared" ca="1" si="138"/>
        <v>1058171519838.7155</v>
      </c>
      <c r="G1032" s="53">
        <f t="shared" ca="1" si="139"/>
        <v>10092019762408.697</v>
      </c>
      <c r="H1032" s="53">
        <f t="shared" ca="1" si="140"/>
        <v>3951637713694.2451</v>
      </c>
      <c r="I1032" s="53">
        <f t="shared" ca="1" si="141"/>
        <v>15424110519314.598</v>
      </c>
      <c r="J1032" s="53">
        <f t="shared" ca="1" si="142"/>
        <v>596343806084.00232</v>
      </c>
      <c r="K1032" s="54">
        <f t="shared" ca="1" si="143"/>
        <v>25.864460001018141</v>
      </c>
    </row>
    <row r="1033" spans="2:11" ht="15" customHeight="1" x14ac:dyDescent="0.35">
      <c r="B1033" s="5">
        <v>1012</v>
      </c>
      <c r="C1033" s="52">
        <f t="shared" ca="1" si="135"/>
        <v>3.2726170199486395</v>
      </c>
      <c r="D1033" s="53">
        <f t="shared" ca="1" si="136"/>
        <v>6261959589.4579229</v>
      </c>
      <c r="E1033" s="53">
        <f t="shared" ca="1" si="137"/>
        <v>5150033342639.375</v>
      </c>
      <c r="F1033" s="53">
        <f t="shared" ca="1" si="138"/>
        <v>4979627714200.8271</v>
      </c>
      <c r="G1033" s="53">
        <f t="shared" ca="1" si="139"/>
        <v>6175514092107.4463</v>
      </c>
      <c r="H1033" s="53">
        <f t="shared" ca="1" si="140"/>
        <v>5150033342639.375</v>
      </c>
      <c r="I1033" s="53">
        <f t="shared" ca="1" si="141"/>
        <v>1476014844348.2178</v>
      </c>
      <c r="J1033" s="53">
        <f t="shared" ca="1" si="142"/>
        <v>808212307639.56128</v>
      </c>
      <c r="K1033" s="54">
        <f t="shared" ca="1" si="143"/>
        <v>1.8262711794862652</v>
      </c>
    </row>
    <row r="1034" spans="2:11" ht="15" customHeight="1" x14ac:dyDescent="0.35">
      <c r="B1034" s="5">
        <v>1013</v>
      </c>
      <c r="C1034" s="52">
        <f t="shared" ca="1" si="135"/>
        <v>2.770736381431862</v>
      </c>
      <c r="D1034" s="53">
        <f t="shared" ca="1" si="136"/>
        <v>3420393860.8355613</v>
      </c>
      <c r="E1034" s="53">
        <f t="shared" ca="1" si="137"/>
        <v>28732538748332.457</v>
      </c>
      <c r="F1034" s="53">
        <f t="shared" ca="1" si="138"/>
        <v>2670526662199.0254</v>
      </c>
      <c r="G1034" s="53">
        <f t="shared" ca="1" si="139"/>
        <v>9047290077872.7656</v>
      </c>
      <c r="H1034" s="53">
        <f t="shared" ca="1" si="140"/>
        <v>9047290077872.7656</v>
      </c>
      <c r="I1034" s="53">
        <f t="shared" ca="1" si="141"/>
        <v>3096295667275.5293</v>
      </c>
      <c r="J1034" s="53">
        <f t="shared" ca="1" si="142"/>
        <v>1390344958101.2087</v>
      </c>
      <c r="K1034" s="54">
        <f t="shared" ca="1" si="143"/>
        <v>2.2269981627466997</v>
      </c>
    </row>
    <row r="1035" spans="2:11" ht="15" customHeight="1" x14ac:dyDescent="0.35">
      <c r="B1035" s="5">
        <v>1014</v>
      </c>
      <c r="C1035" s="52">
        <f t="shared" ca="1" si="135"/>
        <v>2.84690572013238</v>
      </c>
      <c r="D1035" s="53">
        <f t="shared" ca="1" si="136"/>
        <v>3084293182.7513895</v>
      </c>
      <c r="E1035" s="53">
        <f t="shared" ca="1" si="137"/>
        <v>25687727204236.82</v>
      </c>
      <c r="F1035" s="53">
        <f t="shared" ca="1" si="138"/>
        <v>4906264121394.6309</v>
      </c>
      <c r="G1035" s="53">
        <f t="shared" ca="1" si="139"/>
        <v>8319236744639.0371</v>
      </c>
      <c r="H1035" s="53">
        <f t="shared" ca="1" si="140"/>
        <v>25687727204236.82</v>
      </c>
      <c r="I1035" s="53">
        <f t="shared" ca="1" si="141"/>
        <v>11708104453313.721</v>
      </c>
      <c r="J1035" s="53">
        <f t="shared" ca="1" si="142"/>
        <v>1098343633678.439</v>
      </c>
      <c r="K1035" s="54">
        <f t="shared" ca="1" si="143"/>
        <v>10.659782689414206</v>
      </c>
    </row>
    <row r="1036" spans="2:11" ht="15" customHeight="1" x14ac:dyDescent="0.35">
      <c r="B1036" s="5">
        <v>1015</v>
      </c>
      <c r="C1036" s="52">
        <f t="shared" ca="1" si="135"/>
        <v>3.492354468028525</v>
      </c>
      <c r="D1036" s="53">
        <f t="shared" ca="1" si="136"/>
        <v>11673976489.160748</v>
      </c>
      <c r="E1036" s="53">
        <f t="shared" ca="1" si="137"/>
        <v>54854891759284.664</v>
      </c>
      <c r="F1036" s="53">
        <f t="shared" ca="1" si="138"/>
        <v>1463535309476.2803</v>
      </c>
      <c r="G1036" s="53">
        <f t="shared" ca="1" si="139"/>
        <v>49679114800971.383</v>
      </c>
      <c r="H1036" s="53">
        <f t="shared" ca="1" si="140"/>
        <v>1463535309476.2803</v>
      </c>
      <c r="I1036" s="53">
        <f t="shared" ca="1" si="141"/>
        <v>5439204495353.9463</v>
      </c>
      <c r="J1036" s="53">
        <f t="shared" ca="1" si="142"/>
        <v>834183188705.15747</v>
      </c>
      <c r="K1036" s="54">
        <f t="shared" ca="1" si="143"/>
        <v>6.520395722427387</v>
      </c>
    </row>
    <row r="1037" spans="2:11" ht="15" customHeight="1" x14ac:dyDescent="0.35">
      <c r="B1037" s="5">
        <v>1016</v>
      </c>
      <c r="C1037" s="52">
        <f t="shared" ca="1" si="135"/>
        <v>2.8046764760116369</v>
      </c>
      <c r="D1037" s="53">
        <f t="shared" ca="1" si="136"/>
        <v>3137096302.4743547</v>
      </c>
      <c r="E1037" s="53">
        <f t="shared" ca="1" si="137"/>
        <v>12248988426882.793</v>
      </c>
      <c r="F1037" s="53">
        <f t="shared" ca="1" si="138"/>
        <v>4246971124375.7173</v>
      </c>
      <c r="G1037" s="53">
        <f t="shared" ca="1" si="139"/>
        <v>5297166791335.8877</v>
      </c>
      <c r="H1037" s="53">
        <f t="shared" ca="1" si="140"/>
        <v>12248988426882.793</v>
      </c>
      <c r="I1037" s="53">
        <f t="shared" ca="1" si="141"/>
        <v>4784789322122.9082</v>
      </c>
      <c r="J1037" s="53">
        <f t="shared" ca="1" si="142"/>
        <v>1317756672372.9185</v>
      </c>
      <c r="K1037" s="54">
        <f t="shared" ca="1" si="143"/>
        <v>3.6310112651577886</v>
      </c>
    </row>
    <row r="1038" spans="2:11" ht="15" customHeight="1" x14ac:dyDescent="0.35">
      <c r="B1038" s="5">
        <v>1017</v>
      </c>
      <c r="C1038" s="52">
        <f t="shared" ca="1" si="135"/>
        <v>3.2924605211559457</v>
      </c>
      <c r="D1038" s="53">
        <f t="shared" ca="1" si="136"/>
        <v>7823592190.9055824</v>
      </c>
      <c r="E1038" s="53">
        <f t="shared" ca="1" si="137"/>
        <v>12154774274840.871</v>
      </c>
      <c r="F1038" s="53">
        <f t="shared" ca="1" si="138"/>
        <v>1563603351850.4849</v>
      </c>
      <c r="G1038" s="53">
        <f t="shared" ca="1" si="139"/>
        <v>395080493618.83942</v>
      </c>
      <c r="H1038" s="53">
        <f t="shared" ca="1" si="140"/>
        <v>395080493618.83942</v>
      </c>
      <c r="I1038" s="53">
        <f t="shared" ca="1" si="141"/>
        <v>1829321592446.6511</v>
      </c>
      <c r="J1038" s="53">
        <f t="shared" ca="1" si="142"/>
        <v>1072132965453.2675</v>
      </c>
      <c r="K1038" s="54">
        <f t="shared" ca="1" si="143"/>
        <v>1.7062450753701672</v>
      </c>
    </row>
    <row r="1039" spans="2:11" ht="15" customHeight="1" x14ac:dyDescent="0.35">
      <c r="B1039" s="5">
        <v>1018</v>
      </c>
      <c r="C1039" s="52">
        <f t="shared" ca="1" si="135"/>
        <v>2.7090756260582554</v>
      </c>
      <c r="D1039" s="53">
        <f t="shared" ca="1" si="136"/>
        <v>3028045811.3303738</v>
      </c>
      <c r="E1039" s="53">
        <f t="shared" ca="1" si="137"/>
        <v>35289363115806.859</v>
      </c>
      <c r="F1039" s="53">
        <f t="shared" ca="1" si="138"/>
        <v>5901322073339.7949</v>
      </c>
      <c r="G1039" s="53">
        <f t="shared" ca="1" si="139"/>
        <v>63585954745272.914</v>
      </c>
      <c r="H1039" s="53">
        <f t="shared" ca="1" si="140"/>
        <v>35289363115806.859</v>
      </c>
      <c r="I1039" s="53">
        <f t="shared" ca="1" si="141"/>
        <v>1738378391224.2422</v>
      </c>
      <c r="J1039" s="53">
        <f t="shared" ca="1" si="142"/>
        <v>525267750701.31219</v>
      </c>
      <c r="K1039" s="54">
        <f t="shared" ca="1" si="143"/>
        <v>3.3095090816126502</v>
      </c>
    </row>
    <row r="1040" spans="2:11" ht="15" customHeight="1" x14ac:dyDescent="0.35">
      <c r="B1040" s="5">
        <v>1019</v>
      </c>
      <c r="C1040" s="52">
        <f t="shared" ca="1" si="135"/>
        <v>2.0949304451898918</v>
      </c>
      <c r="D1040" s="53">
        <f t="shared" ca="1" si="136"/>
        <v>688612501.69379342</v>
      </c>
      <c r="E1040" s="53">
        <f t="shared" ca="1" si="137"/>
        <v>1050491253071.7772</v>
      </c>
      <c r="F1040" s="53">
        <f t="shared" ca="1" si="138"/>
        <v>2229875738793.0903</v>
      </c>
      <c r="G1040" s="53">
        <f t="shared" ca="1" si="139"/>
        <v>7710287288330.9922</v>
      </c>
      <c r="H1040" s="53">
        <f t="shared" ca="1" si="140"/>
        <v>2229875738793.0903</v>
      </c>
      <c r="I1040" s="53">
        <f t="shared" ca="1" si="141"/>
        <v>13733133408017.297</v>
      </c>
      <c r="J1040" s="53">
        <f t="shared" ca="1" si="142"/>
        <v>1033882825135.6211</v>
      </c>
      <c r="K1040" s="54">
        <f t="shared" ca="1" si="143"/>
        <v>13.283065618403935</v>
      </c>
    </row>
    <row r="1041" spans="2:11" ht="15" customHeight="1" x14ac:dyDescent="0.35">
      <c r="B1041" s="5">
        <v>1020</v>
      </c>
      <c r="C1041" s="52">
        <f t="shared" ca="1" si="135"/>
        <v>3.2440722429365128</v>
      </c>
      <c r="D1041" s="53">
        <f t="shared" ca="1" si="136"/>
        <v>6556369271.6289968</v>
      </c>
      <c r="E1041" s="53">
        <f t="shared" ca="1" si="137"/>
        <v>25413423174508.191</v>
      </c>
      <c r="F1041" s="53">
        <f t="shared" ca="1" si="138"/>
        <v>2758462105664.3359</v>
      </c>
      <c r="G1041" s="53">
        <f t="shared" ca="1" si="139"/>
        <v>2141101352529.5649</v>
      </c>
      <c r="H1041" s="53">
        <f t="shared" ca="1" si="140"/>
        <v>2758462105664.3359</v>
      </c>
      <c r="I1041" s="53">
        <f t="shared" ca="1" si="141"/>
        <v>319207058266053.19</v>
      </c>
      <c r="J1041" s="53">
        <f t="shared" ca="1" si="142"/>
        <v>1480557047382.5537</v>
      </c>
      <c r="K1041" s="54">
        <f t="shared" ca="1" si="143"/>
        <v>215.59929678520174</v>
      </c>
    </row>
    <row r="1042" spans="2:11" ht="15" customHeight="1" x14ac:dyDescent="0.35">
      <c r="B1042" s="5">
        <v>1021</v>
      </c>
      <c r="C1042" s="52">
        <f t="shared" ca="1" si="135"/>
        <v>2.732839136886775</v>
      </c>
      <c r="D1042" s="53">
        <f t="shared" ca="1" si="136"/>
        <v>2915374762.4023805</v>
      </c>
      <c r="E1042" s="53">
        <f t="shared" ca="1" si="137"/>
        <v>18768204922900.453</v>
      </c>
      <c r="F1042" s="53">
        <f t="shared" ca="1" si="138"/>
        <v>2483852389659.875</v>
      </c>
      <c r="G1042" s="53">
        <f t="shared" ca="1" si="139"/>
        <v>6862793577836.457</v>
      </c>
      <c r="H1042" s="53">
        <f t="shared" ca="1" si="140"/>
        <v>6862793577836.457</v>
      </c>
      <c r="I1042" s="53">
        <f t="shared" ca="1" si="141"/>
        <v>26017704079944.266</v>
      </c>
      <c r="J1042" s="53">
        <f t="shared" ca="1" si="142"/>
        <v>1191213681739.4187</v>
      </c>
      <c r="K1042" s="54">
        <f t="shared" ca="1" si="143"/>
        <v>21.841340876771184</v>
      </c>
    </row>
    <row r="1043" spans="2:11" ht="15" customHeight="1" x14ac:dyDescent="0.35">
      <c r="B1043" s="5">
        <v>1022</v>
      </c>
      <c r="C1043" s="52">
        <f t="shared" ca="1" si="135"/>
        <v>2.8137495517728048</v>
      </c>
      <c r="D1043" s="53">
        <f t="shared" ca="1" si="136"/>
        <v>2954856580.2347698</v>
      </c>
      <c r="E1043" s="53">
        <f t="shared" ca="1" si="137"/>
        <v>9442791015361.3125</v>
      </c>
      <c r="F1043" s="53">
        <f t="shared" ca="1" si="138"/>
        <v>2102875152435.2385</v>
      </c>
      <c r="G1043" s="53">
        <f t="shared" ca="1" si="139"/>
        <v>35584711897022.719</v>
      </c>
      <c r="H1043" s="53">
        <f t="shared" ca="1" si="140"/>
        <v>9442791015361.3125</v>
      </c>
      <c r="I1043" s="53">
        <f t="shared" ca="1" si="141"/>
        <v>378708813020.58459</v>
      </c>
      <c r="J1043" s="53">
        <f t="shared" ca="1" si="142"/>
        <v>1334536199715.1287</v>
      </c>
      <c r="K1043" s="54">
        <f t="shared" ca="1" si="143"/>
        <v>0.2837756016670242</v>
      </c>
    </row>
    <row r="1044" spans="2:11" ht="15" customHeight="1" x14ac:dyDescent="0.35">
      <c r="B1044" s="5">
        <v>1023</v>
      </c>
      <c r="C1044" s="52">
        <f t="shared" ca="1" si="135"/>
        <v>3.6372340601355431</v>
      </c>
      <c r="D1044" s="53">
        <f t="shared" ca="1" si="136"/>
        <v>12184204545.545443</v>
      </c>
      <c r="E1044" s="53">
        <f t="shared" ca="1" si="137"/>
        <v>91860133671761.234</v>
      </c>
      <c r="F1044" s="53">
        <f t="shared" ca="1" si="138"/>
        <v>4016438495341.9873</v>
      </c>
      <c r="G1044" s="53">
        <f t="shared" ca="1" si="139"/>
        <v>7624493231872.9326</v>
      </c>
      <c r="H1044" s="53">
        <f t="shared" ca="1" si="140"/>
        <v>91860133671761.234</v>
      </c>
      <c r="I1044" s="53">
        <f t="shared" ca="1" si="141"/>
        <v>34052642044537.273</v>
      </c>
      <c r="J1044" s="53">
        <f t="shared" ca="1" si="142"/>
        <v>754559344358.52942</v>
      </c>
      <c r="K1044" s="54">
        <f t="shared" ca="1" si="143"/>
        <v>45.129176782624448</v>
      </c>
    </row>
    <row r="1045" spans="2:11" ht="15" customHeight="1" x14ac:dyDescent="0.35">
      <c r="B1045" s="5">
        <v>1024</v>
      </c>
      <c r="C1045" s="52">
        <f t="shared" ca="1" si="135"/>
        <v>3.0971951866471255</v>
      </c>
      <c r="D1045" s="53">
        <f t="shared" ca="1" si="136"/>
        <v>4827664240.4709959</v>
      </c>
      <c r="E1045" s="53">
        <f t="shared" ca="1" si="137"/>
        <v>2446315025638.9956</v>
      </c>
      <c r="F1045" s="53">
        <f t="shared" ca="1" si="138"/>
        <v>624974013226.45288</v>
      </c>
      <c r="G1045" s="53">
        <f t="shared" ca="1" si="139"/>
        <v>117231815377596.95</v>
      </c>
      <c r="H1045" s="53">
        <f t="shared" ca="1" si="140"/>
        <v>117231815377596.95</v>
      </c>
      <c r="I1045" s="53">
        <f t="shared" ca="1" si="141"/>
        <v>3417703935396.2666</v>
      </c>
      <c r="J1045" s="53">
        <f t="shared" ca="1" si="142"/>
        <v>1074437346084.936</v>
      </c>
      <c r="K1045" s="54">
        <f t="shared" ca="1" si="143"/>
        <v>3.1809243673907921</v>
      </c>
    </row>
    <row r="1046" spans="2:11" ht="15" customHeight="1" x14ac:dyDescent="0.35">
      <c r="B1046" s="5">
        <v>1025</v>
      </c>
      <c r="C1046" s="52">
        <f t="shared" ref="C1046:C1109" ca="1" si="144">MEDIAN(1.8,NORMINV(RAND(),$C$7,$D$7),4.5)</f>
        <v>3.085643036800898</v>
      </c>
      <c r="D1046" s="53">
        <f t="shared" ref="D1046:D1109" ca="1" si="145">($C$8+RAND()*($D$8-$C$8))*C1046^5</f>
        <v>6464128867.9724846</v>
      </c>
      <c r="E1046" s="53">
        <f t="shared" ref="E1046:E1109" ca="1" si="146">D1046*($C$10+RAND()*($D$10-$C$10))*EXP(NORMINV(RAND(),$C$9,$D$9))*($C$11+RAND()*($D$11-$C$11))</f>
        <v>36990239156893.461</v>
      </c>
      <c r="F1046" s="53">
        <f t="shared" ref="F1046:F1109" ca="1" si="147">EXP(NORMINV(RAND(),$C$12,$D$12))*EXP(NORMINV(RAND(),$C$13,$D$13))</f>
        <v>2746252010664.4438</v>
      </c>
      <c r="G1046" s="53">
        <f t="shared" ref="G1046:G1109" ca="1" si="148">EXP(NORMINV(RAND(),$C$14,$D$14))*($C$15+RAND()*($D$15-$C$15))*EXP(NORMINV(RAND(),$C$16,$D$16))/1000000*31536000</f>
        <v>1494865424760.1184</v>
      </c>
      <c r="H1046" s="53">
        <f t="shared" ref="H1046:H1109" ca="1" si="149">CHOOSE(RANDBETWEEN(1,3),E1046,F1046,G1046)</f>
        <v>36990239156893.461</v>
      </c>
      <c r="I1046" s="53">
        <f t="shared" ref="I1046:I1109" ca="1" si="150">EXP(NORMINV(RAND(),$C$14,$D$14))*($C$15+RAND()*($D$15-$C$15))*60</f>
        <v>12578528910827.809</v>
      </c>
      <c r="J1046" s="53">
        <f t="shared" ref="J1046:J1109" ca="1" si="151">($C$17+RAND()*($D$17-$C$17))*($C$18+RAND()*($D$18-$C$18))</f>
        <v>834555825359.44055</v>
      </c>
      <c r="K1046" s="54">
        <f t="shared" ref="K1046:K1109" ca="1" si="152">I1046/J1046</f>
        <v>15.072124031259714</v>
      </c>
    </row>
    <row r="1047" spans="2:11" ht="15" customHeight="1" x14ac:dyDescent="0.35">
      <c r="B1047" s="5">
        <v>1026</v>
      </c>
      <c r="C1047" s="52">
        <f t="shared" ca="1" si="144"/>
        <v>2.7810110404755459</v>
      </c>
      <c r="D1047" s="53">
        <f t="shared" ca="1" si="145"/>
        <v>2736197276.3867073</v>
      </c>
      <c r="E1047" s="53">
        <f t="shared" ca="1" si="146"/>
        <v>4088836068776.6016</v>
      </c>
      <c r="F1047" s="53">
        <f t="shared" ca="1" si="147"/>
        <v>3293557005860.7788</v>
      </c>
      <c r="G1047" s="53">
        <f t="shared" ca="1" si="148"/>
        <v>9304467302445.0273</v>
      </c>
      <c r="H1047" s="53">
        <f t="shared" ca="1" si="149"/>
        <v>4088836068776.6016</v>
      </c>
      <c r="I1047" s="53">
        <f t="shared" ca="1" si="150"/>
        <v>53591652899382.984</v>
      </c>
      <c r="J1047" s="53">
        <f t="shared" ca="1" si="151"/>
        <v>1163438949985.5474</v>
      </c>
      <c r="K1047" s="54">
        <f t="shared" ca="1" si="152"/>
        <v>46.063141430883604</v>
      </c>
    </row>
    <row r="1048" spans="2:11" ht="15" customHeight="1" x14ac:dyDescent="0.35">
      <c r="B1048" s="5">
        <v>1027</v>
      </c>
      <c r="C1048" s="52">
        <f t="shared" ca="1" si="144"/>
        <v>3.5651631413720888</v>
      </c>
      <c r="D1048" s="53">
        <f t="shared" ca="1" si="145"/>
        <v>9777112095.48312</v>
      </c>
      <c r="E1048" s="53">
        <f t="shared" ca="1" si="146"/>
        <v>30147818033210.117</v>
      </c>
      <c r="F1048" s="53">
        <f t="shared" ca="1" si="147"/>
        <v>3312370639859.8564</v>
      </c>
      <c r="G1048" s="53">
        <f t="shared" ca="1" si="148"/>
        <v>19080268558141.508</v>
      </c>
      <c r="H1048" s="53">
        <f t="shared" ca="1" si="149"/>
        <v>30147818033210.117</v>
      </c>
      <c r="I1048" s="53">
        <f t="shared" ca="1" si="150"/>
        <v>6698687631195.8252</v>
      </c>
      <c r="J1048" s="53">
        <f t="shared" ca="1" si="151"/>
        <v>1143828158704.9749</v>
      </c>
      <c r="K1048" s="54">
        <f t="shared" ca="1" si="152"/>
        <v>5.8563758727359705</v>
      </c>
    </row>
    <row r="1049" spans="2:11" ht="15" customHeight="1" x14ac:dyDescent="0.35">
      <c r="B1049" s="5">
        <v>1028</v>
      </c>
      <c r="C1049" s="52">
        <f t="shared" ca="1" si="144"/>
        <v>2.9087830844650107</v>
      </c>
      <c r="D1049" s="53">
        <f t="shared" ca="1" si="145"/>
        <v>3555711622.1522603</v>
      </c>
      <c r="E1049" s="53">
        <f t="shared" ca="1" si="146"/>
        <v>20564928863814.582</v>
      </c>
      <c r="F1049" s="53">
        <f t="shared" ca="1" si="147"/>
        <v>311493215572.58197</v>
      </c>
      <c r="G1049" s="53">
        <f t="shared" ca="1" si="148"/>
        <v>3735678174615.5488</v>
      </c>
      <c r="H1049" s="53">
        <f t="shared" ca="1" si="149"/>
        <v>3735678174615.5488</v>
      </c>
      <c r="I1049" s="53">
        <f t="shared" ca="1" si="150"/>
        <v>94572134245892.234</v>
      </c>
      <c r="J1049" s="53">
        <f t="shared" ca="1" si="151"/>
        <v>1031499054523.2412</v>
      </c>
      <c r="K1049" s="54">
        <f t="shared" ca="1" si="152"/>
        <v>91.684169589087475</v>
      </c>
    </row>
    <row r="1050" spans="2:11" ht="15" customHeight="1" x14ac:dyDescent="0.35">
      <c r="B1050" s="5">
        <v>1029</v>
      </c>
      <c r="C1050" s="52">
        <f t="shared" ca="1" si="144"/>
        <v>3.2217459917203364</v>
      </c>
      <c r="D1050" s="53">
        <f t="shared" ca="1" si="145"/>
        <v>5683745639.3147249</v>
      </c>
      <c r="E1050" s="53">
        <f t="shared" ca="1" si="146"/>
        <v>58617010991249.594</v>
      </c>
      <c r="F1050" s="53">
        <f t="shared" ca="1" si="147"/>
        <v>1149843516037.8533</v>
      </c>
      <c r="G1050" s="53">
        <f t="shared" ca="1" si="148"/>
        <v>1751241943754.2173</v>
      </c>
      <c r="H1050" s="53">
        <f t="shared" ca="1" si="149"/>
        <v>1751241943754.2173</v>
      </c>
      <c r="I1050" s="53">
        <f t="shared" ca="1" si="150"/>
        <v>2323470113211.1543</v>
      </c>
      <c r="J1050" s="53">
        <f t="shared" ca="1" si="151"/>
        <v>1427105173884.8418</v>
      </c>
      <c r="K1050" s="54">
        <f t="shared" ca="1" si="152"/>
        <v>1.6281001258556458</v>
      </c>
    </row>
    <row r="1051" spans="2:11" ht="15" customHeight="1" x14ac:dyDescent="0.35">
      <c r="B1051" s="5">
        <v>1030</v>
      </c>
      <c r="C1051" s="52">
        <f t="shared" ca="1" si="144"/>
        <v>3.1607711665602465</v>
      </c>
      <c r="D1051" s="53">
        <f t="shared" ca="1" si="145"/>
        <v>7229613632.9379435</v>
      </c>
      <c r="E1051" s="53">
        <f t="shared" ca="1" si="146"/>
        <v>7243867850630.8379</v>
      </c>
      <c r="F1051" s="53">
        <f t="shared" ca="1" si="147"/>
        <v>4626212893151.8262</v>
      </c>
      <c r="G1051" s="53">
        <f t="shared" ca="1" si="148"/>
        <v>1242832819919.8164</v>
      </c>
      <c r="H1051" s="53">
        <f t="shared" ca="1" si="149"/>
        <v>1242832819919.8164</v>
      </c>
      <c r="I1051" s="53">
        <f t="shared" ca="1" si="150"/>
        <v>2258511789156.25</v>
      </c>
      <c r="J1051" s="53">
        <f t="shared" ca="1" si="151"/>
        <v>997177213130.39526</v>
      </c>
      <c r="K1051" s="54">
        <f t="shared" ca="1" si="152"/>
        <v>2.2649051336283565</v>
      </c>
    </row>
    <row r="1052" spans="2:11" ht="15" customHeight="1" x14ac:dyDescent="0.35">
      <c r="B1052" s="5">
        <v>1031</v>
      </c>
      <c r="C1052" s="52">
        <f t="shared" ca="1" si="144"/>
        <v>3.4177374789739625</v>
      </c>
      <c r="D1052" s="53">
        <f t="shared" ca="1" si="145"/>
        <v>9305903264.8537846</v>
      </c>
      <c r="E1052" s="53">
        <f t="shared" ca="1" si="146"/>
        <v>95516006132819.984</v>
      </c>
      <c r="F1052" s="53">
        <f t="shared" ca="1" si="147"/>
        <v>3380802538308.46</v>
      </c>
      <c r="G1052" s="53">
        <f t="shared" ca="1" si="148"/>
        <v>15623779868274.824</v>
      </c>
      <c r="H1052" s="53">
        <f t="shared" ca="1" si="149"/>
        <v>95516006132819.984</v>
      </c>
      <c r="I1052" s="53">
        <f t="shared" ca="1" si="150"/>
        <v>7618091972269.8604</v>
      </c>
      <c r="J1052" s="53">
        <f t="shared" ca="1" si="151"/>
        <v>1319062616275.4558</v>
      </c>
      <c r="K1052" s="54">
        <f t="shared" ca="1" si="152"/>
        <v>5.7753831230397008</v>
      </c>
    </row>
    <row r="1053" spans="2:11" ht="15" customHeight="1" x14ac:dyDescent="0.35">
      <c r="B1053" s="5">
        <v>1032</v>
      </c>
      <c r="C1053" s="52">
        <f t="shared" ca="1" si="144"/>
        <v>2.882335860686676</v>
      </c>
      <c r="D1053" s="53">
        <f t="shared" ca="1" si="145"/>
        <v>3370696432.6334748</v>
      </c>
      <c r="E1053" s="53">
        <f t="shared" ca="1" si="146"/>
        <v>17939708654405.055</v>
      </c>
      <c r="F1053" s="53">
        <f t="shared" ca="1" si="147"/>
        <v>4352154616321.4126</v>
      </c>
      <c r="G1053" s="53">
        <f t="shared" ca="1" si="148"/>
        <v>3688678661301.9521</v>
      </c>
      <c r="H1053" s="53">
        <f t="shared" ca="1" si="149"/>
        <v>3688678661301.9521</v>
      </c>
      <c r="I1053" s="53">
        <f t="shared" ca="1" si="150"/>
        <v>1271962301527.3218</v>
      </c>
      <c r="J1053" s="53">
        <f t="shared" ca="1" si="151"/>
        <v>933593419609.72327</v>
      </c>
      <c r="K1053" s="54">
        <f t="shared" ca="1" si="152"/>
        <v>1.3624370896477069</v>
      </c>
    </row>
    <row r="1054" spans="2:11" ht="15" customHeight="1" x14ac:dyDescent="0.35">
      <c r="B1054" s="5">
        <v>1033</v>
      </c>
      <c r="C1054" s="52">
        <f t="shared" ca="1" si="144"/>
        <v>3.1696784912108025</v>
      </c>
      <c r="D1054" s="53">
        <f t="shared" ca="1" si="145"/>
        <v>6592717537.2308674</v>
      </c>
      <c r="E1054" s="53">
        <f t="shared" ca="1" si="146"/>
        <v>81296956404649.266</v>
      </c>
      <c r="F1054" s="53">
        <f t="shared" ca="1" si="147"/>
        <v>3383885483550.1836</v>
      </c>
      <c r="G1054" s="53">
        <f t="shared" ca="1" si="148"/>
        <v>22693852402212.918</v>
      </c>
      <c r="H1054" s="53">
        <f t="shared" ca="1" si="149"/>
        <v>3383885483550.1836</v>
      </c>
      <c r="I1054" s="53">
        <f t="shared" ca="1" si="150"/>
        <v>16907220925320.121</v>
      </c>
      <c r="J1054" s="53">
        <f t="shared" ca="1" si="151"/>
        <v>1445510812401.9543</v>
      </c>
      <c r="K1054" s="54">
        <f t="shared" ca="1" si="152"/>
        <v>11.696364205831147</v>
      </c>
    </row>
    <row r="1055" spans="2:11" ht="15" customHeight="1" x14ac:dyDescent="0.35">
      <c r="B1055" s="5">
        <v>1034</v>
      </c>
      <c r="C1055" s="52">
        <f t="shared" ca="1" si="144"/>
        <v>3.0077009880855847</v>
      </c>
      <c r="D1055" s="53">
        <f t="shared" ca="1" si="145"/>
        <v>5893841716.7874384</v>
      </c>
      <c r="E1055" s="53">
        <f t="shared" ca="1" si="146"/>
        <v>65499264434940.211</v>
      </c>
      <c r="F1055" s="53">
        <f t="shared" ca="1" si="147"/>
        <v>4082581539802.812</v>
      </c>
      <c r="G1055" s="53">
        <f t="shared" ca="1" si="148"/>
        <v>318622084464.2926</v>
      </c>
      <c r="H1055" s="53">
        <f t="shared" ca="1" si="149"/>
        <v>318622084464.2926</v>
      </c>
      <c r="I1055" s="53">
        <f t="shared" ca="1" si="150"/>
        <v>20711456614911.148</v>
      </c>
      <c r="J1055" s="53">
        <f t="shared" ca="1" si="151"/>
        <v>1296407829292.5588</v>
      </c>
      <c r="K1055" s="54">
        <f t="shared" ca="1" si="152"/>
        <v>15.976034814764466</v>
      </c>
    </row>
    <row r="1056" spans="2:11" ht="15" customHeight="1" x14ac:dyDescent="0.35">
      <c r="B1056" s="5">
        <v>1035</v>
      </c>
      <c r="C1056" s="52">
        <f t="shared" ca="1" si="144"/>
        <v>3.6355368036351798</v>
      </c>
      <c r="D1056" s="53">
        <f t="shared" ca="1" si="145"/>
        <v>11172901839.121244</v>
      </c>
      <c r="E1056" s="53">
        <f t="shared" ca="1" si="146"/>
        <v>43466292261703.469</v>
      </c>
      <c r="F1056" s="53">
        <f t="shared" ca="1" si="147"/>
        <v>3798566825416.5933</v>
      </c>
      <c r="G1056" s="53">
        <f t="shared" ca="1" si="148"/>
        <v>86019659466130.063</v>
      </c>
      <c r="H1056" s="53">
        <f t="shared" ca="1" si="149"/>
        <v>43466292261703.469</v>
      </c>
      <c r="I1056" s="53">
        <f t="shared" ca="1" si="150"/>
        <v>254419497369.86792</v>
      </c>
      <c r="J1056" s="53">
        <f t="shared" ca="1" si="151"/>
        <v>912596515376.8501</v>
      </c>
      <c r="K1056" s="54">
        <f t="shared" ca="1" si="152"/>
        <v>0.27878640021412665</v>
      </c>
    </row>
    <row r="1057" spans="2:11" ht="15" customHeight="1" x14ac:dyDescent="0.35">
      <c r="B1057" s="5">
        <v>1036</v>
      </c>
      <c r="C1057" s="52">
        <f t="shared" ca="1" si="144"/>
        <v>2.4269286380441293</v>
      </c>
      <c r="D1057" s="53">
        <f t="shared" ca="1" si="145"/>
        <v>1528875474.4097307</v>
      </c>
      <c r="E1057" s="53">
        <f t="shared" ca="1" si="146"/>
        <v>3847213804307.1182</v>
      </c>
      <c r="F1057" s="53">
        <f t="shared" ca="1" si="147"/>
        <v>3074645874411.2515</v>
      </c>
      <c r="G1057" s="53">
        <f t="shared" ca="1" si="148"/>
        <v>4820196209007.2324</v>
      </c>
      <c r="H1057" s="53">
        <f t="shared" ca="1" si="149"/>
        <v>3847213804307.1182</v>
      </c>
      <c r="I1057" s="53">
        <f t="shared" ca="1" si="150"/>
        <v>331531960753903.31</v>
      </c>
      <c r="J1057" s="53">
        <f t="shared" ca="1" si="151"/>
        <v>1562452161116.0557</v>
      </c>
      <c r="K1057" s="54">
        <f t="shared" ca="1" si="152"/>
        <v>212.18695138614092</v>
      </c>
    </row>
    <row r="1058" spans="2:11" ht="15" customHeight="1" x14ac:dyDescent="0.35">
      <c r="B1058" s="5">
        <v>1037</v>
      </c>
      <c r="C1058" s="52">
        <f t="shared" ca="1" si="144"/>
        <v>3.5336378169448492</v>
      </c>
      <c r="D1058" s="53">
        <f t="shared" ca="1" si="145"/>
        <v>13183827905.912479</v>
      </c>
      <c r="E1058" s="53">
        <f t="shared" ca="1" si="146"/>
        <v>22684534943622.352</v>
      </c>
      <c r="F1058" s="53">
        <f t="shared" ca="1" si="147"/>
        <v>1879180754891.9146</v>
      </c>
      <c r="G1058" s="53">
        <f t="shared" ca="1" si="148"/>
        <v>45940239288078.109</v>
      </c>
      <c r="H1058" s="53">
        <f t="shared" ca="1" si="149"/>
        <v>22684534943622.352</v>
      </c>
      <c r="I1058" s="53">
        <f t="shared" ca="1" si="150"/>
        <v>10088492669968.051</v>
      </c>
      <c r="J1058" s="53">
        <f t="shared" ca="1" si="151"/>
        <v>1435846074718.3669</v>
      </c>
      <c r="K1058" s="54">
        <f t="shared" ca="1" si="152"/>
        <v>7.0261658596983327</v>
      </c>
    </row>
    <row r="1059" spans="2:11" ht="15" customHeight="1" x14ac:dyDescent="0.35">
      <c r="B1059" s="5">
        <v>1038</v>
      </c>
      <c r="C1059" s="52">
        <f t="shared" ca="1" si="144"/>
        <v>3.8489105533478192</v>
      </c>
      <c r="D1059" s="53">
        <f t="shared" ca="1" si="145"/>
        <v>16982090007.452633</v>
      </c>
      <c r="E1059" s="53">
        <f t="shared" ca="1" si="146"/>
        <v>47683698708424.633</v>
      </c>
      <c r="F1059" s="53">
        <f t="shared" ca="1" si="147"/>
        <v>767730723881.77161</v>
      </c>
      <c r="G1059" s="53">
        <f t="shared" ca="1" si="148"/>
        <v>108452819796404.08</v>
      </c>
      <c r="H1059" s="53">
        <f t="shared" ca="1" si="149"/>
        <v>47683698708424.633</v>
      </c>
      <c r="I1059" s="53">
        <f t="shared" ca="1" si="150"/>
        <v>1080957323220.3282</v>
      </c>
      <c r="J1059" s="53">
        <f t="shared" ca="1" si="151"/>
        <v>757014589165.27185</v>
      </c>
      <c r="K1059" s="54">
        <f t="shared" ca="1" si="152"/>
        <v>1.4279213884269448</v>
      </c>
    </row>
    <row r="1060" spans="2:11" ht="15" customHeight="1" x14ac:dyDescent="0.35">
      <c r="B1060" s="5">
        <v>1039</v>
      </c>
      <c r="C1060" s="52">
        <f t="shared" ca="1" si="144"/>
        <v>2.5439263986295342</v>
      </c>
      <c r="D1060" s="53">
        <f t="shared" ca="1" si="145"/>
        <v>2437065831.2004333</v>
      </c>
      <c r="E1060" s="53">
        <f t="shared" ca="1" si="146"/>
        <v>4660505297588.04</v>
      </c>
      <c r="F1060" s="53">
        <f t="shared" ca="1" si="147"/>
        <v>1608515564982.5762</v>
      </c>
      <c r="G1060" s="53">
        <f t="shared" ca="1" si="148"/>
        <v>847458791677.94287</v>
      </c>
      <c r="H1060" s="53">
        <f t="shared" ca="1" si="149"/>
        <v>847458791677.94287</v>
      </c>
      <c r="I1060" s="53">
        <f t="shared" ca="1" si="150"/>
        <v>30526026636445.168</v>
      </c>
      <c r="J1060" s="53">
        <f t="shared" ca="1" si="151"/>
        <v>1618049837067.8845</v>
      </c>
      <c r="K1060" s="54">
        <f t="shared" ca="1" si="152"/>
        <v>18.865937214741344</v>
      </c>
    </row>
    <row r="1061" spans="2:11" ht="15" customHeight="1" x14ac:dyDescent="0.35">
      <c r="B1061" s="5">
        <v>1040</v>
      </c>
      <c r="C1061" s="52">
        <f t="shared" ca="1" si="144"/>
        <v>3.5688096624073653</v>
      </c>
      <c r="D1061" s="53">
        <f t="shared" ca="1" si="145"/>
        <v>12798198567.689051</v>
      </c>
      <c r="E1061" s="53">
        <f t="shared" ca="1" si="146"/>
        <v>36548279419712.781</v>
      </c>
      <c r="F1061" s="53">
        <f t="shared" ca="1" si="147"/>
        <v>1295621711939.4771</v>
      </c>
      <c r="G1061" s="53">
        <f t="shared" ca="1" si="148"/>
        <v>7877893660676.9541</v>
      </c>
      <c r="H1061" s="53">
        <f t="shared" ca="1" si="149"/>
        <v>36548279419712.781</v>
      </c>
      <c r="I1061" s="53">
        <f t="shared" ca="1" si="150"/>
        <v>152033273062867.06</v>
      </c>
      <c r="J1061" s="53">
        <f t="shared" ca="1" si="151"/>
        <v>1217538860168.5601</v>
      </c>
      <c r="K1061" s="54">
        <f t="shared" ca="1" si="152"/>
        <v>124.86933931769461</v>
      </c>
    </row>
    <row r="1062" spans="2:11" ht="15" customHeight="1" x14ac:dyDescent="0.35">
      <c r="B1062" s="5">
        <v>1041</v>
      </c>
      <c r="C1062" s="52">
        <f t="shared" ca="1" si="144"/>
        <v>3.1242595238958408</v>
      </c>
      <c r="D1062" s="53">
        <f t="shared" ca="1" si="145"/>
        <v>6190601459.1673708</v>
      </c>
      <c r="E1062" s="53">
        <f t="shared" ca="1" si="146"/>
        <v>26652193281736.691</v>
      </c>
      <c r="F1062" s="53">
        <f t="shared" ca="1" si="147"/>
        <v>3850610415672.8838</v>
      </c>
      <c r="G1062" s="53">
        <f t="shared" ca="1" si="148"/>
        <v>1126767426622.1047</v>
      </c>
      <c r="H1062" s="53">
        <f t="shared" ca="1" si="149"/>
        <v>1126767426622.1047</v>
      </c>
      <c r="I1062" s="53">
        <f t="shared" ca="1" si="150"/>
        <v>9080310436264.166</v>
      </c>
      <c r="J1062" s="53">
        <f t="shared" ca="1" si="151"/>
        <v>805622603775.30505</v>
      </c>
      <c r="K1062" s="54">
        <f t="shared" ca="1" si="152"/>
        <v>11.271171381875403</v>
      </c>
    </row>
    <row r="1063" spans="2:11" ht="15" customHeight="1" x14ac:dyDescent="0.35">
      <c r="B1063" s="5">
        <v>1042</v>
      </c>
      <c r="C1063" s="52">
        <f t="shared" ca="1" si="144"/>
        <v>2.6383320954246141</v>
      </c>
      <c r="D1063" s="53">
        <f t="shared" ca="1" si="145"/>
        <v>2425688974.4995608</v>
      </c>
      <c r="E1063" s="53">
        <f t="shared" ca="1" si="146"/>
        <v>5230954370459.4023</v>
      </c>
      <c r="F1063" s="53">
        <f t="shared" ca="1" si="147"/>
        <v>10018428112796.244</v>
      </c>
      <c r="G1063" s="53">
        <f t="shared" ca="1" si="148"/>
        <v>5069200107420.1416</v>
      </c>
      <c r="H1063" s="53">
        <f t="shared" ca="1" si="149"/>
        <v>5230954370459.4023</v>
      </c>
      <c r="I1063" s="53">
        <f t="shared" ca="1" si="150"/>
        <v>8633210618236.0762</v>
      </c>
      <c r="J1063" s="53">
        <f t="shared" ca="1" si="151"/>
        <v>699953318760.42932</v>
      </c>
      <c r="K1063" s="54">
        <f t="shared" ca="1" si="152"/>
        <v>12.33398054819558</v>
      </c>
    </row>
    <row r="1064" spans="2:11" ht="15" customHeight="1" x14ac:dyDescent="0.35">
      <c r="B1064" s="5">
        <v>1043</v>
      </c>
      <c r="C1064" s="52">
        <f t="shared" ca="1" si="144"/>
        <v>2.4681630002329542</v>
      </c>
      <c r="D1064" s="53">
        <f t="shared" ca="1" si="145"/>
        <v>1638146347.2401345</v>
      </c>
      <c r="E1064" s="53">
        <f t="shared" ca="1" si="146"/>
        <v>7503024397749.9678</v>
      </c>
      <c r="F1064" s="53">
        <f t="shared" ca="1" si="147"/>
        <v>5577514092461.415</v>
      </c>
      <c r="G1064" s="53">
        <f t="shared" ca="1" si="148"/>
        <v>21959914401936.395</v>
      </c>
      <c r="H1064" s="53">
        <f t="shared" ca="1" si="149"/>
        <v>21959914401936.395</v>
      </c>
      <c r="I1064" s="53">
        <f t="shared" ca="1" si="150"/>
        <v>1033719099686.8984</v>
      </c>
      <c r="J1064" s="53">
        <f t="shared" ca="1" si="151"/>
        <v>541700485342.2923</v>
      </c>
      <c r="K1064" s="54">
        <f t="shared" ca="1" si="152"/>
        <v>1.9082853489298741</v>
      </c>
    </row>
    <row r="1065" spans="2:11" ht="15" customHeight="1" x14ac:dyDescent="0.35">
      <c r="B1065" s="5">
        <v>1044</v>
      </c>
      <c r="C1065" s="52">
        <f t="shared" ca="1" si="144"/>
        <v>2.9110199538091321</v>
      </c>
      <c r="D1065" s="53">
        <f t="shared" ca="1" si="145"/>
        <v>3706423745.3252244</v>
      </c>
      <c r="E1065" s="53">
        <f t="shared" ca="1" si="146"/>
        <v>8349427432766.3691</v>
      </c>
      <c r="F1065" s="53">
        <f t="shared" ca="1" si="147"/>
        <v>4281702261378.3789</v>
      </c>
      <c r="G1065" s="53">
        <f t="shared" ca="1" si="148"/>
        <v>1631396105358.5723</v>
      </c>
      <c r="H1065" s="53">
        <f t="shared" ca="1" si="149"/>
        <v>8349427432766.3691</v>
      </c>
      <c r="I1065" s="53">
        <f t="shared" ca="1" si="150"/>
        <v>4913172660673.2021</v>
      </c>
      <c r="J1065" s="53">
        <f t="shared" ca="1" si="151"/>
        <v>555396474502.64636</v>
      </c>
      <c r="K1065" s="54">
        <f t="shared" ca="1" si="152"/>
        <v>8.8462438748335845</v>
      </c>
    </row>
    <row r="1066" spans="2:11" ht="15" customHeight="1" x14ac:dyDescent="0.35">
      <c r="B1066" s="5">
        <v>1045</v>
      </c>
      <c r="C1066" s="52">
        <f t="shared" ca="1" si="144"/>
        <v>2.170713825693471</v>
      </c>
      <c r="D1066" s="53">
        <f t="shared" ca="1" si="145"/>
        <v>1055356121.4271016</v>
      </c>
      <c r="E1066" s="53">
        <f t="shared" ca="1" si="146"/>
        <v>8902871347864.8711</v>
      </c>
      <c r="F1066" s="53">
        <f t="shared" ca="1" si="147"/>
        <v>4675578656524.8799</v>
      </c>
      <c r="G1066" s="53">
        <f t="shared" ca="1" si="148"/>
        <v>415389191172.23358</v>
      </c>
      <c r="H1066" s="53">
        <f t="shared" ca="1" si="149"/>
        <v>4675578656524.8799</v>
      </c>
      <c r="I1066" s="53">
        <f t="shared" ca="1" si="150"/>
        <v>19838357619708.113</v>
      </c>
      <c r="J1066" s="53">
        <f t="shared" ca="1" si="151"/>
        <v>940374879242.02222</v>
      </c>
      <c r="K1066" s="54">
        <f t="shared" ca="1" si="152"/>
        <v>21.096222429610819</v>
      </c>
    </row>
    <row r="1067" spans="2:11" ht="15" customHeight="1" x14ac:dyDescent="0.35">
      <c r="B1067" s="5">
        <v>1046</v>
      </c>
      <c r="C1067" s="52">
        <f t="shared" ca="1" si="144"/>
        <v>2.8724305191772781</v>
      </c>
      <c r="D1067" s="53">
        <f t="shared" ca="1" si="145"/>
        <v>3309404650.500761</v>
      </c>
      <c r="E1067" s="53">
        <f t="shared" ca="1" si="146"/>
        <v>32673380990028.078</v>
      </c>
      <c r="F1067" s="53">
        <f t="shared" ca="1" si="147"/>
        <v>371571527888.05615</v>
      </c>
      <c r="G1067" s="53">
        <f t="shared" ca="1" si="148"/>
        <v>21559365260679.188</v>
      </c>
      <c r="H1067" s="53">
        <f t="shared" ca="1" si="149"/>
        <v>21559365260679.188</v>
      </c>
      <c r="I1067" s="53">
        <f t="shared" ca="1" si="150"/>
        <v>249921733945474.38</v>
      </c>
      <c r="J1067" s="53">
        <f t="shared" ca="1" si="151"/>
        <v>788277891482.64001</v>
      </c>
      <c r="K1067" s="54">
        <f t="shared" ca="1" si="152"/>
        <v>317.04775263379099</v>
      </c>
    </row>
    <row r="1068" spans="2:11" ht="15" customHeight="1" x14ac:dyDescent="0.35">
      <c r="B1068" s="5">
        <v>1047</v>
      </c>
      <c r="C1068" s="52">
        <f t="shared" ca="1" si="144"/>
        <v>2.8747918709040032</v>
      </c>
      <c r="D1068" s="53">
        <f t="shared" ca="1" si="145"/>
        <v>4042394936.5451779</v>
      </c>
      <c r="E1068" s="53">
        <f t="shared" ca="1" si="146"/>
        <v>8183447863961.4619</v>
      </c>
      <c r="F1068" s="53">
        <f t="shared" ca="1" si="147"/>
        <v>192692908335.69269</v>
      </c>
      <c r="G1068" s="53">
        <f t="shared" ca="1" si="148"/>
        <v>10332933608852.918</v>
      </c>
      <c r="H1068" s="53">
        <f t="shared" ca="1" si="149"/>
        <v>192692908335.69269</v>
      </c>
      <c r="I1068" s="53">
        <f t="shared" ca="1" si="150"/>
        <v>1059991576838.5961</v>
      </c>
      <c r="J1068" s="53">
        <f t="shared" ca="1" si="151"/>
        <v>1041589377494.9808</v>
      </c>
      <c r="K1068" s="54">
        <f t="shared" ca="1" si="152"/>
        <v>1.0176674222502848</v>
      </c>
    </row>
    <row r="1069" spans="2:11" ht="15" customHeight="1" x14ac:dyDescent="0.35">
      <c r="B1069" s="5">
        <v>1048</v>
      </c>
      <c r="C1069" s="52">
        <f t="shared" ca="1" si="144"/>
        <v>2.577246821167837</v>
      </c>
      <c r="D1069" s="53">
        <f t="shared" ca="1" si="145"/>
        <v>2325118988.5960364</v>
      </c>
      <c r="E1069" s="53">
        <f t="shared" ca="1" si="146"/>
        <v>5126392082833.4063</v>
      </c>
      <c r="F1069" s="53">
        <f t="shared" ca="1" si="147"/>
        <v>4373020246468.2734</v>
      </c>
      <c r="G1069" s="53">
        <f t="shared" ca="1" si="148"/>
        <v>8588506014267.1729</v>
      </c>
      <c r="H1069" s="53">
        <f t="shared" ca="1" si="149"/>
        <v>8588506014267.1729</v>
      </c>
      <c r="I1069" s="53">
        <f t="shared" ca="1" si="150"/>
        <v>8573005099422.9639</v>
      </c>
      <c r="J1069" s="53">
        <f t="shared" ca="1" si="151"/>
        <v>624436307843.60217</v>
      </c>
      <c r="K1069" s="54">
        <f t="shared" ca="1" si="152"/>
        <v>13.729190618381178</v>
      </c>
    </row>
    <row r="1070" spans="2:11" ht="15" customHeight="1" x14ac:dyDescent="0.35">
      <c r="B1070" s="5">
        <v>1049</v>
      </c>
      <c r="C1070" s="52">
        <f t="shared" ca="1" si="144"/>
        <v>2.8695643965273701</v>
      </c>
      <c r="D1070" s="53">
        <f t="shared" ca="1" si="145"/>
        <v>3170194692.330225</v>
      </c>
      <c r="E1070" s="53">
        <f t="shared" ca="1" si="146"/>
        <v>7519402766600.334</v>
      </c>
      <c r="F1070" s="53">
        <f t="shared" ca="1" si="147"/>
        <v>4524453077776.0674</v>
      </c>
      <c r="G1070" s="53">
        <f t="shared" ca="1" si="148"/>
        <v>14500064856440.242</v>
      </c>
      <c r="H1070" s="53">
        <f t="shared" ca="1" si="149"/>
        <v>14500064856440.242</v>
      </c>
      <c r="I1070" s="53">
        <f t="shared" ca="1" si="150"/>
        <v>25778989771787.238</v>
      </c>
      <c r="J1070" s="53">
        <f t="shared" ca="1" si="151"/>
        <v>694423792051.73425</v>
      </c>
      <c r="K1070" s="54">
        <f t="shared" ca="1" si="152"/>
        <v>37.122849284326819</v>
      </c>
    </row>
    <row r="1071" spans="2:11" ht="15" customHeight="1" x14ac:dyDescent="0.35">
      <c r="B1071" s="5">
        <v>1050</v>
      </c>
      <c r="C1071" s="52">
        <f t="shared" ca="1" si="144"/>
        <v>2.273230345687955</v>
      </c>
      <c r="D1071" s="53">
        <f t="shared" ca="1" si="145"/>
        <v>1429150861.1992445</v>
      </c>
      <c r="E1071" s="53">
        <f t="shared" ca="1" si="146"/>
        <v>20558356687889.246</v>
      </c>
      <c r="F1071" s="53">
        <f t="shared" ca="1" si="147"/>
        <v>1268440038605.1394</v>
      </c>
      <c r="G1071" s="53">
        <f t="shared" ca="1" si="148"/>
        <v>354526798922.28613</v>
      </c>
      <c r="H1071" s="53">
        <f t="shared" ca="1" si="149"/>
        <v>354526798922.28613</v>
      </c>
      <c r="I1071" s="53">
        <f t="shared" ca="1" si="150"/>
        <v>1303481463418.3938</v>
      </c>
      <c r="J1071" s="53">
        <f t="shared" ca="1" si="151"/>
        <v>966488575417.90405</v>
      </c>
      <c r="K1071" s="54">
        <f t="shared" ca="1" si="152"/>
        <v>1.3486775700941689</v>
      </c>
    </row>
    <row r="1072" spans="2:11" ht="15" customHeight="1" x14ac:dyDescent="0.35">
      <c r="B1072" s="5">
        <v>1051</v>
      </c>
      <c r="C1072" s="52">
        <f t="shared" ca="1" si="144"/>
        <v>3.1753591916488051</v>
      </c>
      <c r="D1072" s="53">
        <f t="shared" ca="1" si="145"/>
        <v>6483597758.4872227</v>
      </c>
      <c r="E1072" s="53">
        <f t="shared" ca="1" si="146"/>
        <v>31527604775319.086</v>
      </c>
      <c r="F1072" s="53">
        <f t="shared" ca="1" si="147"/>
        <v>596094837913.72192</v>
      </c>
      <c r="G1072" s="53">
        <f t="shared" ca="1" si="148"/>
        <v>20416070084233.602</v>
      </c>
      <c r="H1072" s="53">
        <f t="shared" ca="1" si="149"/>
        <v>596094837913.72192</v>
      </c>
      <c r="I1072" s="53">
        <f t="shared" ca="1" si="150"/>
        <v>4375805891042.8022</v>
      </c>
      <c r="J1072" s="53">
        <f t="shared" ca="1" si="151"/>
        <v>1451211504961.2009</v>
      </c>
      <c r="K1072" s="54">
        <f t="shared" ca="1" si="152"/>
        <v>3.0152778392973065</v>
      </c>
    </row>
    <row r="1073" spans="2:11" ht="15" customHeight="1" x14ac:dyDescent="0.35">
      <c r="B1073" s="5">
        <v>1052</v>
      </c>
      <c r="C1073" s="52">
        <f t="shared" ca="1" si="144"/>
        <v>2.6687210288050514</v>
      </c>
      <c r="D1073" s="53">
        <f t="shared" ca="1" si="145"/>
        <v>3191433836.2935114</v>
      </c>
      <c r="E1073" s="53">
        <f t="shared" ca="1" si="146"/>
        <v>21264823747613.621</v>
      </c>
      <c r="F1073" s="53">
        <f t="shared" ca="1" si="147"/>
        <v>745940578236.5166</v>
      </c>
      <c r="G1073" s="53">
        <f t="shared" ca="1" si="148"/>
        <v>1047294856809.0535</v>
      </c>
      <c r="H1073" s="53">
        <f t="shared" ca="1" si="149"/>
        <v>1047294856809.0535</v>
      </c>
      <c r="I1073" s="53">
        <f t="shared" ca="1" si="150"/>
        <v>2540613210677.1797</v>
      </c>
      <c r="J1073" s="53">
        <f t="shared" ca="1" si="151"/>
        <v>1636226139064.5081</v>
      </c>
      <c r="K1073" s="54">
        <f t="shared" ca="1" si="152"/>
        <v>1.5527274317532562</v>
      </c>
    </row>
    <row r="1074" spans="2:11" ht="15" customHeight="1" x14ac:dyDescent="0.35">
      <c r="B1074" s="5">
        <v>1053</v>
      </c>
      <c r="C1074" s="52">
        <f t="shared" ca="1" si="144"/>
        <v>2.5146320590420537</v>
      </c>
      <c r="D1074" s="53">
        <f t="shared" ca="1" si="145"/>
        <v>1889326272.8890109</v>
      </c>
      <c r="E1074" s="53">
        <f t="shared" ca="1" si="146"/>
        <v>15398581516418.111</v>
      </c>
      <c r="F1074" s="53">
        <f t="shared" ca="1" si="147"/>
        <v>5737410727501.7393</v>
      </c>
      <c r="G1074" s="53">
        <f t="shared" ca="1" si="148"/>
        <v>248655086046.74985</v>
      </c>
      <c r="H1074" s="53">
        <f t="shared" ca="1" si="149"/>
        <v>5737410727501.7393</v>
      </c>
      <c r="I1074" s="53">
        <f t="shared" ca="1" si="150"/>
        <v>4803288014646.9121</v>
      </c>
      <c r="J1074" s="53">
        <f t="shared" ca="1" si="151"/>
        <v>935439513375.53687</v>
      </c>
      <c r="K1074" s="54">
        <f t="shared" ca="1" si="152"/>
        <v>5.1347927321502915</v>
      </c>
    </row>
    <row r="1075" spans="2:11" ht="15" customHeight="1" x14ac:dyDescent="0.35">
      <c r="B1075" s="5">
        <v>1054</v>
      </c>
      <c r="C1075" s="52">
        <f t="shared" ca="1" si="144"/>
        <v>2.5882292573883405</v>
      </c>
      <c r="D1075" s="53">
        <f t="shared" ca="1" si="145"/>
        <v>2657651289.6157174</v>
      </c>
      <c r="E1075" s="53">
        <f t="shared" ca="1" si="146"/>
        <v>13812190134417.68</v>
      </c>
      <c r="F1075" s="53">
        <f t="shared" ca="1" si="147"/>
        <v>11975640589828.258</v>
      </c>
      <c r="G1075" s="53">
        <f t="shared" ca="1" si="148"/>
        <v>29900882670723.688</v>
      </c>
      <c r="H1075" s="53">
        <f t="shared" ca="1" si="149"/>
        <v>29900882670723.688</v>
      </c>
      <c r="I1075" s="53">
        <f t="shared" ca="1" si="150"/>
        <v>5757753654085.4648</v>
      </c>
      <c r="J1075" s="53">
        <f t="shared" ca="1" si="151"/>
        <v>1323055736525.2336</v>
      </c>
      <c r="K1075" s="54">
        <f t="shared" ca="1" si="152"/>
        <v>4.351860239242197</v>
      </c>
    </row>
    <row r="1076" spans="2:11" ht="15" customHeight="1" x14ac:dyDescent="0.35">
      <c r="B1076" s="5">
        <v>1055</v>
      </c>
      <c r="C1076" s="52">
        <f t="shared" ca="1" si="144"/>
        <v>3.2670165054945421</v>
      </c>
      <c r="D1076" s="53">
        <f t="shared" ca="1" si="145"/>
        <v>7519412607.7600031</v>
      </c>
      <c r="E1076" s="53">
        <f t="shared" ca="1" si="146"/>
        <v>35893438884977.852</v>
      </c>
      <c r="F1076" s="53">
        <f t="shared" ca="1" si="147"/>
        <v>1934794902261.1953</v>
      </c>
      <c r="G1076" s="53">
        <f t="shared" ca="1" si="148"/>
        <v>966442657320.14807</v>
      </c>
      <c r="H1076" s="53">
        <f t="shared" ca="1" si="149"/>
        <v>966442657320.14807</v>
      </c>
      <c r="I1076" s="53">
        <f t="shared" ca="1" si="150"/>
        <v>16407533457401.471</v>
      </c>
      <c r="J1076" s="53">
        <f t="shared" ca="1" si="151"/>
        <v>1121890306764.5889</v>
      </c>
      <c r="K1076" s="54">
        <f t="shared" ca="1" si="152"/>
        <v>14.624899919778285</v>
      </c>
    </row>
    <row r="1077" spans="2:11" ht="15" customHeight="1" x14ac:dyDescent="0.35">
      <c r="B1077" s="5">
        <v>1056</v>
      </c>
      <c r="C1077" s="52">
        <f t="shared" ca="1" si="144"/>
        <v>2.3788544351404735</v>
      </c>
      <c r="D1077" s="53">
        <f t="shared" ca="1" si="145"/>
        <v>1727622267.6981068</v>
      </c>
      <c r="E1077" s="53">
        <f t="shared" ca="1" si="146"/>
        <v>1792884162260.1455</v>
      </c>
      <c r="F1077" s="53">
        <f t="shared" ca="1" si="147"/>
        <v>1738576643202.6577</v>
      </c>
      <c r="G1077" s="53">
        <f t="shared" ca="1" si="148"/>
        <v>40263826514620.633</v>
      </c>
      <c r="H1077" s="53">
        <f t="shared" ca="1" si="149"/>
        <v>1738576643202.6577</v>
      </c>
      <c r="I1077" s="53">
        <f t="shared" ca="1" si="150"/>
        <v>11116043228477.826</v>
      </c>
      <c r="J1077" s="53">
        <f t="shared" ca="1" si="151"/>
        <v>981799973841.86865</v>
      </c>
      <c r="K1077" s="54">
        <f t="shared" ca="1" si="152"/>
        <v>11.322105851133589</v>
      </c>
    </row>
    <row r="1078" spans="2:11" ht="15" customHeight="1" x14ac:dyDescent="0.35">
      <c r="B1078" s="5">
        <v>1057</v>
      </c>
      <c r="C1078" s="52">
        <f t="shared" ca="1" si="144"/>
        <v>3.2955474713410711</v>
      </c>
      <c r="D1078" s="53">
        <f t="shared" ca="1" si="145"/>
        <v>7721744858.5621176</v>
      </c>
      <c r="E1078" s="53">
        <f t="shared" ca="1" si="146"/>
        <v>12331772455561.564</v>
      </c>
      <c r="F1078" s="53">
        <f t="shared" ca="1" si="147"/>
        <v>542029623938.39746</v>
      </c>
      <c r="G1078" s="53">
        <f t="shared" ca="1" si="148"/>
        <v>5103987316801.0078</v>
      </c>
      <c r="H1078" s="53">
        <f t="shared" ca="1" si="149"/>
        <v>12331772455561.564</v>
      </c>
      <c r="I1078" s="53">
        <f t="shared" ca="1" si="150"/>
        <v>8037627341063.2021</v>
      </c>
      <c r="J1078" s="53">
        <f t="shared" ca="1" si="151"/>
        <v>1610450407089.3662</v>
      </c>
      <c r="K1078" s="54">
        <f t="shared" ca="1" si="152"/>
        <v>4.990918879389735</v>
      </c>
    </row>
    <row r="1079" spans="2:11" ht="15" customHeight="1" x14ac:dyDescent="0.35">
      <c r="B1079" s="5">
        <v>1058</v>
      </c>
      <c r="C1079" s="52">
        <f t="shared" ca="1" si="144"/>
        <v>2.6159646030352652</v>
      </c>
      <c r="D1079" s="53">
        <f t="shared" ca="1" si="145"/>
        <v>2058103389.967176</v>
      </c>
      <c r="E1079" s="53">
        <f t="shared" ca="1" si="146"/>
        <v>5698039292856.0303</v>
      </c>
      <c r="F1079" s="53">
        <f t="shared" ca="1" si="147"/>
        <v>1589455689300.3452</v>
      </c>
      <c r="G1079" s="53">
        <f t="shared" ca="1" si="148"/>
        <v>2563701332373.3848</v>
      </c>
      <c r="H1079" s="53">
        <f t="shared" ca="1" si="149"/>
        <v>1589455689300.3452</v>
      </c>
      <c r="I1079" s="53">
        <f t="shared" ca="1" si="150"/>
        <v>4882017632019.2607</v>
      </c>
      <c r="J1079" s="53">
        <f t="shared" ca="1" si="151"/>
        <v>819031937309.77124</v>
      </c>
      <c r="K1079" s="54">
        <f t="shared" ca="1" si="152"/>
        <v>5.9607170485377567</v>
      </c>
    </row>
    <row r="1080" spans="2:11" ht="15" customHeight="1" x14ac:dyDescent="0.35">
      <c r="B1080" s="5">
        <v>1059</v>
      </c>
      <c r="C1080" s="52">
        <f t="shared" ca="1" si="144"/>
        <v>3.4223967613396664</v>
      </c>
      <c r="D1080" s="53">
        <f t="shared" ca="1" si="145"/>
        <v>8529547559.1089563</v>
      </c>
      <c r="E1080" s="53">
        <f t="shared" ca="1" si="146"/>
        <v>40631319731782.43</v>
      </c>
      <c r="F1080" s="53">
        <f t="shared" ca="1" si="147"/>
        <v>591108389204.20959</v>
      </c>
      <c r="G1080" s="53">
        <f t="shared" ca="1" si="148"/>
        <v>2165278391743.1284</v>
      </c>
      <c r="H1080" s="53">
        <f t="shared" ca="1" si="149"/>
        <v>2165278391743.1284</v>
      </c>
      <c r="I1080" s="53">
        <f t="shared" ca="1" si="150"/>
        <v>642799224227.65112</v>
      </c>
      <c r="J1080" s="53">
        <f t="shared" ca="1" si="151"/>
        <v>997533068675.91687</v>
      </c>
      <c r="K1080" s="54">
        <f t="shared" ca="1" si="152"/>
        <v>0.64438888735876754</v>
      </c>
    </row>
    <row r="1081" spans="2:11" ht="15" customHeight="1" x14ac:dyDescent="0.35">
      <c r="B1081" s="5">
        <v>1060</v>
      </c>
      <c r="C1081" s="52">
        <f t="shared" ca="1" si="144"/>
        <v>2.7977985186533791</v>
      </c>
      <c r="D1081" s="53">
        <f t="shared" ca="1" si="145"/>
        <v>3559649339.3233585</v>
      </c>
      <c r="E1081" s="53">
        <f t="shared" ca="1" si="146"/>
        <v>64877154555735.711</v>
      </c>
      <c r="F1081" s="53">
        <f t="shared" ca="1" si="147"/>
        <v>7908299576158.2637</v>
      </c>
      <c r="G1081" s="53">
        <f t="shared" ca="1" si="148"/>
        <v>2852850296577.8086</v>
      </c>
      <c r="H1081" s="53">
        <f t="shared" ca="1" si="149"/>
        <v>64877154555735.711</v>
      </c>
      <c r="I1081" s="53">
        <f t="shared" ca="1" si="150"/>
        <v>4572792755243.3691</v>
      </c>
      <c r="J1081" s="53">
        <f t="shared" ca="1" si="151"/>
        <v>1260514559229.5964</v>
      </c>
      <c r="K1081" s="54">
        <f t="shared" ca="1" si="152"/>
        <v>3.6277191102323934</v>
      </c>
    </row>
    <row r="1082" spans="2:11" ht="15" customHeight="1" x14ac:dyDescent="0.35">
      <c r="B1082" s="5">
        <v>1061</v>
      </c>
      <c r="C1082" s="52">
        <f t="shared" ca="1" si="144"/>
        <v>1.9837513091682095</v>
      </c>
      <c r="D1082" s="53">
        <f t="shared" ca="1" si="145"/>
        <v>642525122.34141004</v>
      </c>
      <c r="E1082" s="53">
        <f t="shared" ca="1" si="146"/>
        <v>1979715974396.0745</v>
      </c>
      <c r="F1082" s="53">
        <f t="shared" ca="1" si="147"/>
        <v>12249969097543.807</v>
      </c>
      <c r="G1082" s="53">
        <f t="shared" ca="1" si="148"/>
        <v>1747086567847.9863</v>
      </c>
      <c r="H1082" s="53">
        <f t="shared" ca="1" si="149"/>
        <v>1979715974396.0745</v>
      </c>
      <c r="I1082" s="53">
        <f t="shared" ca="1" si="150"/>
        <v>2752619860619.3203</v>
      </c>
      <c r="J1082" s="53">
        <f t="shared" ca="1" si="151"/>
        <v>465438293446.91528</v>
      </c>
      <c r="K1082" s="54">
        <f t="shared" ca="1" si="152"/>
        <v>5.9140382288576463</v>
      </c>
    </row>
    <row r="1083" spans="2:11" ht="15" customHeight="1" x14ac:dyDescent="0.35">
      <c r="B1083" s="5">
        <v>1062</v>
      </c>
      <c r="C1083" s="52">
        <f t="shared" ca="1" si="144"/>
        <v>3.3594866609316654</v>
      </c>
      <c r="D1083" s="53">
        <f t="shared" ca="1" si="145"/>
        <v>7873411811.7074776</v>
      </c>
      <c r="E1083" s="53">
        <f t="shared" ca="1" si="146"/>
        <v>22121187822529.887</v>
      </c>
      <c r="F1083" s="53">
        <f t="shared" ca="1" si="147"/>
        <v>915168014006.08276</v>
      </c>
      <c r="G1083" s="53">
        <f t="shared" ca="1" si="148"/>
        <v>356990372207.14227</v>
      </c>
      <c r="H1083" s="53">
        <f t="shared" ca="1" si="149"/>
        <v>356990372207.14227</v>
      </c>
      <c r="I1083" s="53">
        <f t="shared" ca="1" si="150"/>
        <v>4685012356965.5498</v>
      </c>
      <c r="J1083" s="53">
        <f t="shared" ca="1" si="151"/>
        <v>1559394278605.3574</v>
      </c>
      <c r="K1083" s="54">
        <f t="shared" ca="1" si="152"/>
        <v>3.004379598696223</v>
      </c>
    </row>
    <row r="1084" spans="2:11" ht="15" customHeight="1" x14ac:dyDescent="0.35">
      <c r="B1084" s="5">
        <v>1063</v>
      </c>
      <c r="C1084" s="52">
        <f t="shared" ca="1" si="144"/>
        <v>3.1158160311558674</v>
      </c>
      <c r="D1084" s="53">
        <f t="shared" ca="1" si="145"/>
        <v>5402881249.861495</v>
      </c>
      <c r="E1084" s="53">
        <f t="shared" ca="1" si="146"/>
        <v>11493205429706.678</v>
      </c>
      <c r="F1084" s="53">
        <f t="shared" ca="1" si="147"/>
        <v>4240072289629.5767</v>
      </c>
      <c r="G1084" s="53">
        <f t="shared" ca="1" si="148"/>
        <v>31516177278618.504</v>
      </c>
      <c r="H1084" s="53">
        <f t="shared" ca="1" si="149"/>
        <v>4240072289629.5767</v>
      </c>
      <c r="I1084" s="53">
        <f t="shared" ca="1" si="150"/>
        <v>12998344076641.391</v>
      </c>
      <c r="J1084" s="53">
        <f t="shared" ca="1" si="151"/>
        <v>1394269010669.9185</v>
      </c>
      <c r="K1084" s="54">
        <f t="shared" ca="1" si="152"/>
        <v>9.3226945282215983</v>
      </c>
    </row>
    <row r="1085" spans="2:11" ht="15" customHeight="1" x14ac:dyDescent="0.35">
      <c r="B1085" s="5">
        <v>1064</v>
      </c>
      <c r="C1085" s="52">
        <f t="shared" ca="1" si="144"/>
        <v>3.0325652149427325</v>
      </c>
      <c r="D1085" s="53">
        <f t="shared" ca="1" si="145"/>
        <v>5655636883.4950924</v>
      </c>
      <c r="E1085" s="53">
        <f t="shared" ca="1" si="146"/>
        <v>41387152301084.094</v>
      </c>
      <c r="F1085" s="53">
        <f t="shared" ca="1" si="147"/>
        <v>1662907778065.7124</v>
      </c>
      <c r="G1085" s="53">
        <f t="shared" ca="1" si="148"/>
        <v>781351030300.83496</v>
      </c>
      <c r="H1085" s="53">
        <f t="shared" ca="1" si="149"/>
        <v>1662907778065.7124</v>
      </c>
      <c r="I1085" s="53">
        <f t="shared" ca="1" si="150"/>
        <v>1806002754547.9109</v>
      </c>
      <c r="J1085" s="53">
        <f t="shared" ca="1" si="151"/>
        <v>1438737306574.0557</v>
      </c>
      <c r="K1085" s="54">
        <f t="shared" ca="1" si="152"/>
        <v>1.2552692880734382</v>
      </c>
    </row>
    <row r="1086" spans="2:11" ht="15" customHeight="1" x14ac:dyDescent="0.35">
      <c r="B1086" s="5">
        <v>1065</v>
      </c>
      <c r="C1086" s="52">
        <f t="shared" ca="1" si="144"/>
        <v>3.5069959985824894</v>
      </c>
      <c r="D1086" s="53">
        <f t="shared" ca="1" si="145"/>
        <v>9077270498.9738312</v>
      </c>
      <c r="E1086" s="53">
        <f t="shared" ca="1" si="146"/>
        <v>24490381789655.402</v>
      </c>
      <c r="F1086" s="53">
        <f t="shared" ca="1" si="147"/>
        <v>5329886816173.0088</v>
      </c>
      <c r="G1086" s="53">
        <f t="shared" ca="1" si="148"/>
        <v>1331621110843.8401</v>
      </c>
      <c r="H1086" s="53">
        <f t="shared" ca="1" si="149"/>
        <v>5329886816173.0088</v>
      </c>
      <c r="I1086" s="53">
        <f t="shared" ca="1" si="150"/>
        <v>2463056904631.6831</v>
      </c>
      <c r="J1086" s="53">
        <f t="shared" ca="1" si="151"/>
        <v>631894783140.5354</v>
      </c>
      <c r="K1086" s="54">
        <f t="shared" ca="1" si="152"/>
        <v>3.8978908678280564</v>
      </c>
    </row>
    <row r="1087" spans="2:11" ht="15" customHeight="1" x14ac:dyDescent="0.35">
      <c r="B1087" s="5">
        <v>1066</v>
      </c>
      <c r="C1087" s="52">
        <f t="shared" ca="1" si="144"/>
        <v>3.1020465205950165</v>
      </c>
      <c r="D1087" s="53">
        <f t="shared" ca="1" si="145"/>
        <v>5622125555.3017769</v>
      </c>
      <c r="E1087" s="53">
        <f t="shared" ca="1" si="146"/>
        <v>9308872582574.2051</v>
      </c>
      <c r="F1087" s="53">
        <f t="shared" ca="1" si="147"/>
        <v>1938097853874.915</v>
      </c>
      <c r="G1087" s="53">
        <f t="shared" ca="1" si="148"/>
        <v>5863146094844.0225</v>
      </c>
      <c r="H1087" s="53">
        <f t="shared" ca="1" si="149"/>
        <v>1938097853874.915</v>
      </c>
      <c r="I1087" s="53">
        <f t="shared" ca="1" si="150"/>
        <v>1335753086573.8394</v>
      </c>
      <c r="J1087" s="53">
        <f t="shared" ca="1" si="151"/>
        <v>1647876779100.9514</v>
      </c>
      <c r="K1087" s="54">
        <f t="shared" ca="1" si="152"/>
        <v>0.81059039335610972</v>
      </c>
    </row>
    <row r="1088" spans="2:11" ht="15" customHeight="1" x14ac:dyDescent="0.35">
      <c r="B1088" s="5">
        <v>1067</v>
      </c>
      <c r="C1088" s="52">
        <f t="shared" ca="1" si="144"/>
        <v>2.7444960265797067</v>
      </c>
      <c r="D1088" s="53">
        <f t="shared" ca="1" si="145"/>
        <v>2997085590.3682151</v>
      </c>
      <c r="E1088" s="53">
        <f t="shared" ca="1" si="146"/>
        <v>19294347366195.02</v>
      </c>
      <c r="F1088" s="53">
        <f t="shared" ca="1" si="147"/>
        <v>1327283372303.8354</v>
      </c>
      <c r="G1088" s="53">
        <f t="shared" ca="1" si="148"/>
        <v>7832060681455.0205</v>
      </c>
      <c r="H1088" s="53">
        <f t="shared" ca="1" si="149"/>
        <v>7832060681455.0205</v>
      </c>
      <c r="I1088" s="53">
        <f t="shared" ca="1" si="150"/>
        <v>17460449076438.648</v>
      </c>
      <c r="J1088" s="53">
        <f t="shared" ca="1" si="151"/>
        <v>585362157622.24707</v>
      </c>
      <c r="K1088" s="54">
        <f t="shared" ca="1" si="152"/>
        <v>29.828455510966656</v>
      </c>
    </row>
    <row r="1089" spans="2:11" ht="15" customHeight="1" x14ac:dyDescent="0.35">
      <c r="B1089" s="5">
        <v>1068</v>
      </c>
      <c r="C1089" s="52">
        <f t="shared" ca="1" si="144"/>
        <v>2.8566806825848077</v>
      </c>
      <c r="D1089" s="53">
        <f t="shared" ca="1" si="145"/>
        <v>4424507159.0133286</v>
      </c>
      <c r="E1089" s="53">
        <f t="shared" ca="1" si="146"/>
        <v>21650252406222.859</v>
      </c>
      <c r="F1089" s="53">
        <f t="shared" ca="1" si="147"/>
        <v>403003232885.33374</v>
      </c>
      <c r="G1089" s="53">
        <f t="shared" ca="1" si="148"/>
        <v>3708475864905.7036</v>
      </c>
      <c r="H1089" s="53">
        <f t="shared" ca="1" si="149"/>
        <v>21650252406222.859</v>
      </c>
      <c r="I1089" s="53">
        <f t="shared" ca="1" si="150"/>
        <v>2926127425472.6265</v>
      </c>
      <c r="J1089" s="53">
        <f t="shared" ca="1" si="151"/>
        <v>1261607310946.2156</v>
      </c>
      <c r="K1089" s="54">
        <f t="shared" ca="1" si="152"/>
        <v>2.3193646708324853</v>
      </c>
    </row>
    <row r="1090" spans="2:11" ht="15" customHeight="1" x14ac:dyDescent="0.35">
      <c r="B1090" s="5">
        <v>1069</v>
      </c>
      <c r="C1090" s="52">
        <f t="shared" ca="1" si="144"/>
        <v>4.1039835231234107</v>
      </c>
      <c r="D1090" s="53">
        <f t="shared" ca="1" si="145"/>
        <v>18686986221.660431</v>
      </c>
      <c r="E1090" s="53">
        <f t="shared" ca="1" si="146"/>
        <v>38361184463601.82</v>
      </c>
      <c r="F1090" s="53">
        <f t="shared" ca="1" si="147"/>
        <v>12179940233406.891</v>
      </c>
      <c r="G1090" s="53">
        <f t="shared" ca="1" si="148"/>
        <v>10680136375228.914</v>
      </c>
      <c r="H1090" s="53">
        <f t="shared" ca="1" si="149"/>
        <v>12179940233406.891</v>
      </c>
      <c r="I1090" s="53">
        <f t="shared" ca="1" si="150"/>
        <v>2936719827207.1768</v>
      </c>
      <c r="J1090" s="53">
        <f t="shared" ca="1" si="151"/>
        <v>1826029640876.4268</v>
      </c>
      <c r="K1090" s="54">
        <f t="shared" ca="1" si="152"/>
        <v>1.6082541933972438</v>
      </c>
    </row>
    <row r="1091" spans="2:11" ht="15" customHeight="1" x14ac:dyDescent="0.35">
      <c r="B1091" s="5">
        <v>1070</v>
      </c>
      <c r="C1091" s="52">
        <f t="shared" ca="1" si="144"/>
        <v>2.7166146549244443</v>
      </c>
      <c r="D1091" s="53">
        <f t="shared" ca="1" si="145"/>
        <v>3350343586.956924</v>
      </c>
      <c r="E1091" s="53">
        <f t="shared" ca="1" si="146"/>
        <v>22572643393582.664</v>
      </c>
      <c r="F1091" s="53">
        <f t="shared" ca="1" si="147"/>
        <v>6051942182021.4004</v>
      </c>
      <c r="G1091" s="53">
        <f t="shared" ca="1" si="148"/>
        <v>36480321110075.563</v>
      </c>
      <c r="H1091" s="53">
        <f t="shared" ca="1" si="149"/>
        <v>36480321110075.563</v>
      </c>
      <c r="I1091" s="53">
        <f t="shared" ca="1" si="150"/>
        <v>11238945712931.371</v>
      </c>
      <c r="J1091" s="53">
        <f t="shared" ca="1" si="151"/>
        <v>498984157823.01129</v>
      </c>
      <c r="K1091" s="54">
        <f t="shared" ca="1" si="152"/>
        <v>22.523652377993539</v>
      </c>
    </row>
    <row r="1092" spans="2:11" ht="15" customHeight="1" x14ac:dyDescent="0.35">
      <c r="B1092" s="5">
        <v>1071</v>
      </c>
      <c r="C1092" s="52">
        <f t="shared" ca="1" si="144"/>
        <v>2.8065596132758546</v>
      </c>
      <c r="D1092" s="53">
        <f t="shared" ca="1" si="145"/>
        <v>3410077811.1815505</v>
      </c>
      <c r="E1092" s="53">
        <f t="shared" ca="1" si="146"/>
        <v>10893938432040.172</v>
      </c>
      <c r="F1092" s="53">
        <f t="shared" ca="1" si="147"/>
        <v>542584191809.30603</v>
      </c>
      <c r="G1092" s="53">
        <f t="shared" ca="1" si="148"/>
        <v>8154343656984.9248</v>
      </c>
      <c r="H1092" s="53">
        <f t="shared" ca="1" si="149"/>
        <v>10893938432040.172</v>
      </c>
      <c r="I1092" s="53">
        <f t="shared" ca="1" si="150"/>
        <v>3051910220956.4438</v>
      </c>
      <c r="J1092" s="53">
        <f t="shared" ca="1" si="151"/>
        <v>1153268459540.1289</v>
      </c>
      <c r="K1092" s="54">
        <f t="shared" ca="1" si="152"/>
        <v>2.6463137838464839</v>
      </c>
    </row>
    <row r="1093" spans="2:11" ht="15" customHeight="1" x14ac:dyDescent="0.35">
      <c r="B1093" s="5">
        <v>1072</v>
      </c>
      <c r="C1093" s="52">
        <f t="shared" ca="1" si="144"/>
        <v>2.9136313692876943</v>
      </c>
      <c r="D1093" s="53">
        <f t="shared" ca="1" si="145"/>
        <v>4697376604.5787477</v>
      </c>
      <c r="E1093" s="53">
        <f t="shared" ca="1" si="146"/>
        <v>36981133041876.875</v>
      </c>
      <c r="F1093" s="53">
        <f t="shared" ca="1" si="147"/>
        <v>1402292536632.1526</v>
      </c>
      <c r="G1093" s="53">
        <f t="shared" ca="1" si="148"/>
        <v>383524326362.80054</v>
      </c>
      <c r="H1093" s="53">
        <f t="shared" ca="1" si="149"/>
        <v>1402292536632.1526</v>
      </c>
      <c r="I1093" s="53">
        <f t="shared" ca="1" si="150"/>
        <v>20557729274789.531</v>
      </c>
      <c r="J1093" s="53">
        <f t="shared" ca="1" si="151"/>
        <v>1341675616907.241</v>
      </c>
      <c r="K1093" s="54">
        <f t="shared" ca="1" si="152"/>
        <v>15.322428920768576</v>
      </c>
    </row>
    <row r="1094" spans="2:11" ht="15" customHeight="1" x14ac:dyDescent="0.35">
      <c r="B1094" s="5">
        <v>1073</v>
      </c>
      <c r="C1094" s="52">
        <f t="shared" ca="1" si="144"/>
        <v>3.0404738214612177</v>
      </c>
      <c r="D1094" s="53">
        <f t="shared" ca="1" si="145"/>
        <v>4856076926.9353323</v>
      </c>
      <c r="E1094" s="53">
        <f t="shared" ca="1" si="146"/>
        <v>16652270928133.354</v>
      </c>
      <c r="F1094" s="53">
        <f t="shared" ca="1" si="147"/>
        <v>8880681489268.5293</v>
      </c>
      <c r="G1094" s="53">
        <f t="shared" ca="1" si="148"/>
        <v>41900084921804.828</v>
      </c>
      <c r="H1094" s="53">
        <f t="shared" ca="1" si="149"/>
        <v>41900084921804.828</v>
      </c>
      <c r="I1094" s="53">
        <f t="shared" ca="1" si="150"/>
        <v>2453176201909.1357</v>
      </c>
      <c r="J1094" s="53">
        <f t="shared" ca="1" si="151"/>
        <v>1114590533053.0835</v>
      </c>
      <c r="K1094" s="54">
        <f t="shared" ca="1" si="152"/>
        <v>2.2009663003232243</v>
      </c>
    </row>
    <row r="1095" spans="2:11" ht="15" customHeight="1" x14ac:dyDescent="0.35">
      <c r="B1095" s="5">
        <v>1074</v>
      </c>
      <c r="C1095" s="52">
        <f t="shared" ca="1" si="144"/>
        <v>3.2095407570692545</v>
      </c>
      <c r="D1095" s="53">
        <f t="shared" ca="1" si="145"/>
        <v>7882585702.6245365</v>
      </c>
      <c r="E1095" s="53">
        <f t="shared" ca="1" si="146"/>
        <v>23472545467382.109</v>
      </c>
      <c r="F1095" s="53">
        <f t="shared" ca="1" si="147"/>
        <v>5620172861602.8232</v>
      </c>
      <c r="G1095" s="53">
        <f t="shared" ca="1" si="148"/>
        <v>291063930190.2793</v>
      </c>
      <c r="H1095" s="53">
        <f t="shared" ca="1" si="149"/>
        <v>5620172861602.8232</v>
      </c>
      <c r="I1095" s="53">
        <f t="shared" ca="1" si="150"/>
        <v>8844812338764.625</v>
      </c>
      <c r="J1095" s="53">
        <f t="shared" ca="1" si="151"/>
        <v>559715694183.63782</v>
      </c>
      <c r="K1095" s="54">
        <f t="shared" ca="1" si="152"/>
        <v>15.802330416453749</v>
      </c>
    </row>
    <row r="1096" spans="2:11" ht="15" customHeight="1" x14ac:dyDescent="0.35">
      <c r="B1096" s="5">
        <v>1075</v>
      </c>
      <c r="C1096" s="52">
        <f t="shared" ca="1" si="144"/>
        <v>3.1876977481324653</v>
      </c>
      <c r="D1096" s="53">
        <f t="shared" ca="1" si="145"/>
        <v>7596782227.8940344</v>
      </c>
      <c r="E1096" s="53">
        <f t="shared" ca="1" si="146"/>
        <v>40053603729176.07</v>
      </c>
      <c r="F1096" s="53">
        <f t="shared" ca="1" si="147"/>
        <v>2850259352948.9736</v>
      </c>
      <c r="G1096" s="53">
        <f t="shared" ca="1" si="148"/>
        <v>5521824462237.1055</v>
      </c>
      <c r="H1096" s="53">
        <f t="shared" ca="1" si="149"/>
        <v>40053603729176.07</v>
      </c>
      <c r="I1096" s="53">
        <f t="shared" ca="1" si="150"/>
        <v>74623760136611.766</v>
      </c>
      <c r="J1096" s="53">
        <f t="shared" ca="1" si="151"/>
        <v>892451729551.53784</v>
      </c>
      <c r="K1096" s="54">
        <f t="shared" ca="1" si="152"/>
        <v>83.616578539335279</v>
      </c>
    </row>
    <row r="1097" spans="2:11" ht="15" customHeight="1" x14ac:dyDescent="0.35">
      <c r="B1097" s="5">
        <v>1076</v>
      </c>
      <c r="C1097" s="52">
        <f t="shared" ca="1" si="144"/>
        <v>2.9651603915544453</v>
      </c>
      <c r="D1097" s="53">
        <f t="shared" ca="1" si="145"/>
        <v>5296559373.1360683</v>
      </c>
      <c r="E1097" s="53">
        <f t="shared" ca="1" si="146"/>
        <v>28820550913785.559</v>
      </c>
      <c r="F1097" s="53">
        <f t="shared" ca="1" si="147"/>
        <v>1583626319660.8264</v>
      </c>
      <c r="G1097" s="53">
        <f t="shared" ca="1" si="148"/>
        <v>2060389594444.637</v>
      </c>
      <c r="H1097" s="53">
        <f t="shared" ca="1" si="149"/>
        <v>1583626319660.8264</v>
      </c>
      <c r="I1097" s="53">
        <f t="shared" ca="1" si="150"/>
        <v>495846340987.55444</v>
      </c>
      <c r="J1097" s="53">
        <f t="shared" ca="1" si="151"/>
        <v>1175278977998.2715</v>
      </c>
      <c r="K1097" s="54">
        <f t="shared" ca="1" si="152"/>
        <v>0.4218967158181261</v>
      </c>
    </row>
    <row r="1098" spans="2:11" ht="15" customHeight="1" x14ac:dyDescent="0.35">
      <c r="B1098" s="5">
        <v>1077</v>
      </c>
      <c r="C1098" s="52">
        <f t="shared" ca="1" si="144"/>
        <v>2.6632655258733391</v>
      </c>
      <c r="D1098" s="53">
        <f t="shared" ca="1" si="145"/>
        <v>2866436559.4728026</v>
      </c>
      <c r="E1098" s="53">
        <f t="shared" ca="1" si="146"/>
        <v>31263811175156.75</v>
      </c>
      <c r="F1098" s="53">
        <f t="shared" ca="1" si="147"/>
        <v>3539820689845.6313</v>
      </c>
      <c r="G1098" s="53">
        <f t="shared" ca="1" si="148"/>
        <v>17314684950085.99</v>
      </c>
      <c r="H1098" s="53">
        <f t="shared" ca="1" si="149"/>
        <v>17314684950085.99</v>
      </c>
      <c r="I1098" s="53">
        <f t="shared" ca="1" si="150"/>
        <v>7954250380184.3594</v>
      </c>
      <c r="J1098" s="53">
        <f t="shared" ca="1" si="151"/>
        <v>1191976240394.6233</v>
      </c>
      <c r="K1098" s="54">
        <f t="shared" ca="1" si="152"/>
        <v>6.6731618556012275</v>
      </c>
    </row>
    <row r="1099" spans="2:11" ht="15" customHeight="1" x14ac:dyDescent="0.35">
      <c r="B1099" s="5">
        <v>1078</v>
      </c>
      <c r="C1099" s="52">
        <f t="shared" ca="1" si="144"/>
        <v>3.0913362276969378</v>
      </c>
      <c r="D1099" s="53">
        <f t="shared" ca="1" si="145"/>
        <v>6197186266.2310801</v>
      </c>
      <c r="E1099" s="53">
        <f t="shared" ca="1" si="146"/>
        <v>14509239612422.854</v>
      </c>
      <c r="F1099" s="53">
        <f t="shared" ca="1" si="147"/>
        <v>7701552928350.3867</v>
      </c>
      <c r="G1099" s="53">
        <f t="shared" ca="1" si="148"/>
        <v>1298597192784.3545</v>
      </c>
      <c r="H1099" s="53">
        <f t="shared" ca="1" si="149"/>
        <v>14509239612422.854</v>
      </c>
      <c r="I1099" s="53">
        <f t="shared" ca="1" si="150"/>
        <v>17274119523615.201</v>
      </c>
      <c r="J1099" s="53">
        <f t="shared" ca="1" si="151"/>
        <v>470020572930.16986</v>
      </c>
      <c r="K1099" s="54">
        <f t="shared" ca="1" si="152"/>
        <v>36.751837086462146</v>
      </c>
    </row>
    <row r="1100" spans="2:11" ht="15" customHeight="1" x14ac:dyDescent="0.35">
      <c r="B1100" s="5">
        <v>1079</v>
      </c>
      <c r="C1100" s="52">
        <f t="shared" ca="1" si="144"/>
        <v>2.194610025467318</v>
      </c>
      <c r="D1100" s="53">
        <f t="shared" ca="1" si="145"/>
        <v>1136672854.1081204</v>
      </c>
      <c r="E1100" s="53">
        <f t="shared" ca="1" si="146"/>
        <v>8123031163375.252</v>
      </c>
      <c r="F1100" s="53">
        <f t="shared" ca="1" si="147"/>
        <v>4911563131313.3486</v>
      </c>
      <c r="G1100" s="53">
        <f t="shared" ca="1" si="148"/>
        <v>685730592199.49756</v>
      </c>
      <c r="H1100" s="53">
        <f t="shared" ca="1" si="149"/>
        <v>8123031163375.252</v>
      </c>
      <c r="I1100" s="53">
        <f t="shared" ca="1" si="150"/>
        <v>4761963601086.5029</v>
      </c>
      <c r="J1100" s="53">
        <f t="shared" ca="1" si="151"/>
        <v>1362843522803.5061</v>
      </c>
      <c r="K1100" s="54">
        <f t="shared" ca="1" si="152"/>
        <v>3.4941381907811877</v>
      </c>
    </row>
    <row r="1101" spans="2:11" ht="15" customHeight="1" x14ac:dyDescent="0.35">
      <c r="B1101" s="5">
        <v>1080</v>
      </c>
      <c r="C1101" s="52">
        <f t="shared" ca="1" si="144"/>
        <v>3.3047515564018575</v>
      </c>
      <c r="D1101" s="53">
        <f t="shared" ca="1" si="145"/>
        <v>6664456797.4725122</v>
      </c>
      <c r="E1101" s="53">
        <f t="shared" ca="1" si="146"/>
        <v>21025933180963.137</v>
      </c>
      <c r="F1101" s="53">
        <f t="shared" ca="1" si="147"/>
        <v>715234065050.88586</v>
      </c>
      <c r="G1101" s="53">
        <f t="shared" ca="1" si="148"/>
        <v>8813059702596.6191</v>
      </c>
      <c r="H1101" s="53">
        <f t="shared" ca="1" si="149"/>
        <v>21025933180963.137</v>
      </c>
      <c r="I1101" s="53">
        <f t="shared" ca="1" si="150"/>
        <v>3225589784222.4482</v>
      </c>
      <c r="J1101" s="53">
        <f t="shared" ca="1" si="151"/>
        <v>679433771864.75317</v>
      </c>
      <c r="K1101" s="54">
        <f t="shared" ca="1" si="152"/>
        <v>4.7474675498828871</v>
      </c>
    </row>
    <row r="1102" spans="2:11" ht="15" customHeight="1" x14ac:dyDescent="0.35">
      <c r="B1102" s="5">
        <v>1081</v>
      </c>
      <c r="C1102" s="52">
        <f t="shared" ca="1" si="144"/>
        <v>3.2621180180490579</v>
      </c>
      <c r="D1102" s="53">
        <f t="shared" ca="1" si="145"/>
        <v>6152652092.1496267</v>
      </c>
      <c r="E1102" s="53">
        <f t="shared" ca="1" si="146"/>
        <v>55089746411104.555</v>
      </c>
      <c r="F1102" s="53">
        <f t="shared" ca="1" si="147"/>
        <v>1061899905601.3557</v>
      </c>
      <c r="G1102" s="53">
        <f t="shared" ca="1" si="148"/>
        <v>9958342826088.1484</v>
      </c>
      <c r="H1102" s="53">
        <f t="shared" ca="1" si="149"/>
        <v>9958342826088.1484</v>
      </c>
      <c r="I1102" s="53">
        <f t="shared" ca="1" si="150"/>
        <v>639049476621.93054</v>
      </c>
      <c r="J1102" s="53">
        <f t="shared" ca="1" si="151"/>
        <v>1466731876568.3264</v>
      </c>
      <c r="K1102" s="54">
        <f t="shared" ca="1" si="152"/>
        <v>0.43569618062511711</v>
      </c>
    </row>
    <row r="1103" spans="2:11" ht="15" customHeight="1" x14ac:dyDescent="0.35">
      <c r="B1103" s="5">
        <v>1082</v>
      </c>
      <c r="C1103" s="52">
        <f t="shared" ca="1" si="144"/>
        <v>3.7917919064773922</v>
      </c>
      <c r="D1103" s="53">
        <f t="shared" ca="1" si="145"/>
        <v>16316078702.695959</v>
      </c>
      <c r="E1103" s="53">
        <f t="shared" ca="1" si="146"/>
        <v>88106954393166.453</v>
      </c>
      <c r="F1103" s="53">
        <f t="shared" ca="1" si="147"/>
        <v>3164394072695.6606</v>
      </c>
      <c r="G1103" s="53">
        <f t="shared" ca="1" si="148"/>
        <v>862967284636.23193</v>
      </c>
      <c r="H1103" s="53">
        <f t="shared" ca="1" si="149"/>
        <v>88106954393166.453</v>
      </c>
      <c r="I1103" s="53">
        <f t="shared" ca="1" si="150"/>
        <v>78165313999262.422</v>
      </c>
      <c r="J1103" s="53">
        <f t="shared" ca="1" si="151"/>
        <v>964320925548.94946</v>
      </c>
      <c r="K1103" s="54">
        <f t="shared" ca="1" si="152"/>
        <v>81.057365788019197</v>
      </c>
    </row>
    <row r="1104" spans="2:11" ht="15" customHeight="1" x14ac:dyDescent="0.35">
      <c r="B1104" s="5">
        <v>1083</v>
      </c>
      <c r="C1104" s="52">
        <f t="shared" ca="1" si="144"/>
        <v>2.5395487632308291</v>
      </c>
      <c r="D1104" s="53">
        <f t="shared" ca="1" si="145"/>
        <v>2145521356.4767365</v>
      </c>
      <c r="E1104" s="53">
        <f t="shared" ca="1" si="146"/>
        <v>15019015593288.113</v>
      </c>
      <c r="F1104" s="53">
        <f t="shared" ca="1" si="147"/>
        <v>565663462567.77307</v>
      </c>
      <c r="G1104" s="53">
        <f t="shared" ca="1" si="148"/>
        <v>19159417721465.551</v>
      </c>
      <c r="H1104" s="53">
        <f t="shared" ca="1" si="149"/>
        <v>15019015593288.113</v>
      </c>
      <c r="I1104" s="53">
        <f t="shared" ca="1" si="150"/>
        <v>113891735485485.91</v>
      </c>
      <c r="J1104" s="53">
        <f t="shared" ca="1" si="151"/>
        <v>1590047518743.8484</v>
      </c>
      <c r="K1104" s="54">
        <f t="shared" ca="1" si="152"/>
        <v>71.627881646871401</v>
      </c>
    </row>
    <row r="1105" spans="2:11" ht="15" customHeight="1" x14ac:dyDescent="0.35">
      <c r="B1105" s="5">
        <v>1084</v>
      </c>
      <c r="C1105" s="52">
        <f t="shared" ca="1" si="144"/>
        <v>2.6133300986305059</v>
      </c>
      <c r="D1105" s="53">
        <f t="shared" ca="1" si="145"/>
        <v>2647777547.6518841</v>
      </c>
      <c r="E1105" s="53">
        <f t="shared" ca="1" si="146"/>
        <v>37436484291396.57</v>
      </c>
      <c r="F1105" s="53">
        <f t="shared" ca="1" si="147"/>
        <v>1125487957763.5735</v>
      </c>
      <c r="G1105" s="53">
        <f t="shared" ca="1" si="148"/>
        <v>3304156670402.0854</v>
      </c>
      <c r="H1105" s="53">
        <f t="shared" ca="1" si="149"/>
        <v>37436484291396.57</v>
      </c>
      <c r="I1105" s="53">
        <f t="shared" ca="1" si="150"/>
        <v>11110322235642.16</v>
      </c>
      <c r="J1105" s="53">
        <f t="shared" ca="1" si="151"/>
        <v>870061847963.00317</v>
      </c>
      <c r="K1105" s="54">
        <f t="shared" ca="1" si="152"/>
        <v>12.769577544003049</v>
      </c>
    </row>
    <row r="1106" spans="2:11" ht="15" customHeight="1" x14ac:dyDescent="0.35">
      <c r="B1106" s="5">
        <v>1085</v>
      </c>
      <c r="C1106" s="52">
        <f t="shared" ca="1" si="144"/>
        <v>3.4892562448626085</v>
      </c>
      <c r="D1106" s="53">
        <f t="shared" ca="1" si="145"/>
        <v>8989694065.3896751</v>
      </c>
      <c r="E1106" s="53">
        <f t="shared" ca="1" si="146"/>
        <v>11962996466865.945</v>
      </c>
      <c r="F1106" s="53">
        <f t="shared" ca="1" si="147"/>
        <v>4229034222141.0669</v>
      </c>
      <c r="G1106" s="53">
        <f t="shared" ca="1" si="148"/>
        <v>4358699374649.5688</v>
      </c>
      <c r="H1106" s="53">
        <f t="shared" ca="1" si="149"/>
        <v>4229034222141.0669</v>
      </c>
      <c r="I1106" s="53">
        <f t="shared" ca="1" si="150"/>
        <v>2285836386781.2344</v>
      </c>
      <c r="J1106" s="53">
        <f t="shared" ca="1" si="151"/>
        <v>576618476032.87109</v>
      </c>
      <c r="K1106" s="54">
        <f t="shared" ca="1" si="152"/>
        <v>3.9642094067255078</v>
      </c>
    </row>
    <row r="1107" spans="2:11" ht="15" customHeight="1" x14ac:dyDescent="0.35">
      <c r="B1107" s="5">
        <v>1086</v>
      </c>
      <c r="C1107" s="52">
        <f t="shared" ca="1" si="144"/>
        <v>2.5032389521476466</v>
      </c>
      <c r="D1107" s="53">
        <f t="shared" ca="1" si="145"/>
        <v>1832746431.7641068</v>
      </c>
      <c r="E1107" s="53">
        <f t="shared" ca="1" si="146"/>
        <v>7587726319515.0439</v>
      </c>
      <c r="F1107" s="53">
        <f t="shared" ca="1" si="147"/>
        <v>3330273683215.4902</v>
      </c>
      <c r="G1107" s="53">
        <f t="shared" ca="1" si="148"/>
        <v>4255730300234.1045</v>
      </c>
      <c r="H1107" s="53">
        <f t="shared" ca="1" si="149"/>
        <v>7587726319515.0439</v>
      </c>
      <c r="I1107" s="53">
        <f t="shared" ca="1" si="150"/>
        <v>105459606483470.38</v>
      </c>
      <c r="J1107" s="53">
        <f t="shared" ca="1" si="151"/>
        <v>842652832843.68201</v>
      </c>
      <c r="K1107" s="54">
        <f t="shared" ca="1" si="152"/>
        <v>125.15190404994921</v>
      </c>
    </row>
    <row r="1108" spans="2:11" ht="15" customHeight="1" x14ac:dyDescent="0.35">
      <c r="B1108" s="5">
        <v>1087</v>
      </c>
      <c r="C1108" s="52">
        <f t="shared" ca="1" si="144"/>
        <v>3.1265522294241879</v>
      </c>
      <c r="D1108" s="53">
        <f t="shared" ca="1" si="145"/>
        <v>5363774941.0804605</v>
      </c>
      <c r="E1108" s="53">
        <f t="shared" ca="1" si="146"/>
        <v>18014950105595.488</v>
      </c>
      <c r="F1108" s="53">
        <f t="shared" ca="1" si="147"/>
        <v>28982857054228.762</v>
      </c>
      <c r="G1108" s="53">
        <f t="shared" ca="1" si="148"/>
        <v>20650695665252.34</v>
      </c>
      <c r="H1108" s="53">
        <f t="shared" ca="1" si="149"/>
        <v>28982857054228.762</v>
      </c>
      <c r="I1108" s="53">
        <f t="shared" ca="1" si="150"/>
        <v>13045270911031.939</v>
      </c>
      <c r="J1108" s="53">
        <f t="shared" ca="1" si="151"/>
        <v>929225994668.16455</v>
      </c>
      <c r="K1108" s="54">
        <f t="shared" ca="1" si="152"/>
        <v>14.03885705510265</v>
      </c>
    </row>
    <row r="1109" spans="2:11" ht="15" customHeight="1" x14ac:dyDescent="0.35">
      <c r="B1109" s="5">
        <v>1088</v>
      </c>
      <c r="C1109" s="52">
        <f t="shared" ca="1" si="144"/>
        <v>3.0146431119223056</v>
      </c>
      <c r="D1109" s="53">
        <f t="shared" ca="1" si="145"/>
        <v>5553024955.0321293</v>
      </c>
      <c r="E1109" s="53">
        <f t="shared" ca="1" si="146"/>
        <v>22726477198429.848</v>
      </c>
      <c r="F1109" s="53">
        <f t="shared" ca="1" si="147"/>
        <v>3910290160737.1948</v>
      </c>
      <c r="G1109" s="53">
        <f t="shared" ca="1" si="148"/>
        <v>9440139955988.5215</v>
      </c>
      <c r="H1109" s="53">
        <f t="shared" ca="1" si="149"/>
        <v>3910290160737.1948</v>
      </c>
      <c r="I1109" s="53">
        <f t="shared" ca="1" si="150"/>
        <v>4170671950490.2031</v>
      </c>
      <c r="J1109" s="53">
        <f t="shared" ca="1" si="151"/>
        <v>1301079292802.1489</v>
      </c>
      <c r="K1109" s="54">
        <f t="shared" ca="1" si="152"/>
        <v>3.2055478659627119</v>
      </c>
    </row>
    <row r="1110" spans="2:11" ht="15" customHeight="1" x14ac:dyDescent="0.35">
      <c r="B1110" s="5">
        <v>1089</v>
      </c>
      <c r="C1110" s="52">
        <f t="shared" ref="C1110:C1173" ca="1" si="153">MEDIAN(1.8,NORMINV(RAND(),$C$7,$D$7),4.5)</f>
        <v>3.2067624050599894</v>
      </c>
      <c r="D1110" s="53">
        <f t="shared" ref="D1110:D1173" ca="1" si="154">($C$8+RAND()*($D$8-$C$8))*C1110^5</f>
        <v>6422695468.0914469</v>
      </c>
      <c r="E1110" s="53">
        <f t="shared" ref="E1110:E1173" ca="1" si="155">D1110*($C$10+RAND()*($D$10-$C$10))*EXP(NORMINV(RAND(),$C$9,$D$9))*($C$11+RAND()*($D$11-$C$11))</f>
        <v>7020510694880.5322</v>
      </c>
      <c r="F1110" s="53">
        <f t="shared" ref="F1110:F1173" ca="1" si="156">EXP(NORMINV(RAND(),$C$12,$D$12))*EXP(NORMINV(RAND(),$C$13,$D$13))</f>
        <v>6965537207309.6465</v>
      </c>
      <c r="G1110" s="53">
        <f t="shared" ref="G1110:G1173" ca="1" si="157">EXP(NORMINV(RAND(),$C$14,$D$14))*($C$15+RAND()*($D$15-$C$15))*EXP(NORMINV(RAND(),$C$16,$D$16))/1000000*31536000</f>
        <v>4013258382501.0791</v>
      </c>
      <c r="H1110" s="53">
        <f t="shared" ref="H1110:H1173" ca="1" si="158">CHOOSE(RANDBETWEEN(1,3),E1110,F1110,G1110)</f>
        <v>7020510694880.5322</v>
      </c>
      <c r="I1110" s="53">
        <f t="shared" ref="I1110:I1173" ca="1" si="159">EXP(NORMINV(RAND(),$C$14,$D$14))*($C$15+RAND()*($D$15-$C$15))*60</f>
        <v>99609418624751.375</v>
      </c>
      <c r="J1110" s="53">
        <f t="shared" ref="J1110:J1173" ca="1" si="160">($C$17+RAND()*($D$17-$C$17))*($C$18+RAND()*($D$18-$C$18))</f>
        <v>725012059626.5907</v>
      </c>
      <c r="K1110" s="54">
        <f t="shared" ref="K1110:K1173" ca="1" si="161">I1110/J1110</f>
        <v>137.39001621028771</v>
      </c>
    </row>
    <row r="1111" spans="2:11" ht="15" customHeight="1" x14ac:dyDescent="0.35">
      <c r="B1111" s="5">
        <v>1090</v>
      </c>
      <c r="C1111" s="52">
        <f t="shared" ca="1" si="153"/>
        <v>2.5400428218378739</v>
      </c>
      <c r="D1111" s="53">
        <f t="shared" ca="1" si="154"/>
        <v>2108123159.0358765</v>
      </c>
      <c r="E1111" s="53">
        <f t="shared" ca="1" si="155"/>
        <v>3546548856329.9697</v>
      </c>
      <c r="F1111" s="53">
        <f t="shared" ca="1" si="156"/>
        <v>5504234656342.1807</v>
      </c>
      <c r="G1111" s="53">
        <f t="shared" ca="1" si="157"/>
        <v>22312133861447.309</v>
      </c>
      <c r="H1111" s="53">
        <f t="shared" ca="1" si="158"/>
        <v>3546548856329.9697</v>
      </c>
      <c r="I1111" s="53">
        <f t="shared" ca="1" si="159"/>
        <v>5984594313270.3184</v>
      </c>
      <c r="J1111" s="53">
        <f t="shared" ca="1" si="160"/>
        <v>1410072096099.9785</v>
      </c>
      <c r="K1111" s="54">
        <f t="shared" ca="1" si="161"/>
        <v>4.2441761168260097</v>
      </c>
    </row>
    <row r="1112" spans="2:11" ht="15" customHeight="1" x14ac:dyDescent="0.35">
      <c r="B1112" s="5">
        <v>1091</v>
      </c>
      <c r="C1112" s="52">
        <f t="shared" ca="1" si="153"/>
        <v>2.3994364804170702</v>
      </c>
      <c r="D1112" s="53">
        <f t="shared" ca="1" si="154"/>
        <v>1849850012.3640699</v>
      </c>
      <c r="E1112" s="53">
        <f t="shared" ca="1" si="155"/>
        <v>9303060907209.498</v>
      </c>
      <c r="F1112" s="53">
        <f t="shared" ca="1" si="156"/>
        <v>4560008078294.8379</v>
      </c>
      <c r="G1112" s="53">
        <f t="shared" ca="1" si="157"/>
        <v>4446349403974.3115</v>
      </c>
      <c r="H1112" s="53">
        <f t="shared" ca="1" si="158"/>
        <v>9303060907209.498</v>
      </c>
      <c r="I1112" s="53">
        <f t="shared" ca="1" si="159"/>
        <v>1945401308068.5247</v>
      </c>
      <c r="J1112" s="53">
        <f t="shared" ca="1" si="160"/>
        <v>641743873127.03271</v>
      </c>
      <c r="K1112" s="54">
        <f t="shared" ca="1" si="161"/>
        <v>3.0314294994187407</v>
      </c>
    </row>
    <row r="1113" spans="2:11" ht="15" customHeight="1" x14ac:dyDescent="0.35">
      <c r="B1113" s="5">
        <v>1092</v>
      </c>
      <c r="C1113" s="52">
        <f t="shared" ca="1" si="153"/>
        <v>2.5367729198415212</v>
      </c>
      <c r="D1113" s="53">
        <f t="shared" ca="1" si="154"/>
        <v>2177206942.7855263</v>
      </c>
      <c r="E1113" s="53">
        <f t="shared" ca="1" si="155"/>
        <v>3491614659494.3555</v>
      </c>
      <c r="F1113" s="53">
        <f t="shared" ca="1" si="156"/>
        <v>7040907379195.8896</v>
      </c>
      <c r="G1113" s="53">
        <f t="shared" ca="1" si="157"/>
        <v>1645503350014.5771</v>
      </c>
      <c r="H1113" s="53">
        <f t="shared" ca="1" si="158"/>
        <v>7040907379195.8896</v>
      </c>
      <c r="I1113" s="53">
        <f t="shared" ca="1" si="159"/>
        <v>8184077228475.7773</v>
      </c>
      <c r="J1113" s="53">
        <f t="shared" ca="1" si="160"/>
        <v>993685721237.71948</v>
      </c>
      <c r="K1113" s="54">
        <f t="shared" ca="1" si="161"/>
        <v>8.2360821470613654</v>
      </c>
    </row>
    <row r="1114" spans="2:11" ht="15" customHeight="1" x14ac:dyDescent="0.35">
      <c r="B1114" s="5">
        <v>1093</v>
      </c>
      <c r="C1114" s="52">
        <f t="shared" ca="1" si="153"/>
        <v>2.197956802562417</v>
      </c>
      <c r="D1114" s="53">
        <f t="shared" ca="1" si="154"/>
        <v>894449959.54616094</v>
      </c>
      <c r="E1114" s="53">
        <f t="shared" ca="1" si="155"/>
        <v>7764781009266.9639</v>
      </c>
      <c r="F1114" s="53">
        <f t="shared" ca="1" si="156"/>
        <v>688715741607.67664</v>
      </c>
      <c r="G1114" s="53">
        <f t="shared" ca="1" si="157"/>
        <v>9971284210104.1836</v>
      </c>
      <c r="H1114" s="53">
        <f t="shared" ca="1" si="158"/>
        <v>688715741607.67664</v>
      </c>
      <c r="I1114" s="53">
        <f t="shared" ca="1" si="159"/>
        <v>5059295196294.1035</v>
      </c>
      <c r="J1114" s="53">
        <f t="shared" ca="1" si="160"/>
        <v>1082655338215.9602</v>
      </c>
      <c r="K1114" s="54">
        <f t="shared" ca="1" si="161"/>
        <v>4.6730432278023022</v>
      </c>
    </row>
    <row r="1115" spans="2:11" ht="15" customHeight="1" x14ac:dyDescent="0.35">
      <c r="B1115" s="5">
        <v>1094</v>
      </c>
      <c r="C1115" s="52">
        <f t="shared" ca="1" si="153"/>
        <v>2.7576366762960705</v>
      </c>
      <c r="D1115" s="53">
        <f t="shared" ca="1" si="154"/>
        <v>3154845445.3975625</v>
      </c>
      <c r="E1115" s="53">
        <f t="shared" ca="1" si="155"/>
        <v>19013985074828.699</v>
      </c>
      <c r="F1115" s="53">
        <f t="shared" ca="1" si="156"/>
        <v>1661364484149.4934</v>
      </c>
      <c r="G1115" s="53">
        <f t="shared" ca="1" si="157"/>
        <v>5253979741303.8447</v>
      </c>
      <c r="H1115" s="53">
        <f t="shared" ca="1" si="158"/>
        <v>19013985074828.699</v>
      </c>
      <c r="I1115" s="53">
        <f t="shared" ca="1" si="159"/>
        <v>18686413005359.254</v>
      </c>
      <c r="J1115" s="53">
        <f t="shared" ca="1" si="160"/>
        <v>960767955771.49902</v>
      </c>
      <c r="K1115" s="54">
        <f t="shared" ca="1" si="161"/>
        <v>19.449454879408439</v>
      </c>
    </row>
    <row r="1116" spans="2:11" ht="15" customHeight="1" x14ac:dyDescent="0.35">
      <c r="B1116" s="5">
        <v>1095</v>
      </c>
      <c r="C1116" s="52">
        <f t="shared" ca="1" si="153"/>
        <v>2.9571430861587391</v>
      </c>
      <c r="D1116" s="53">
        <f t="shared" ca="1" si="154"/>
        <v>5425220662.6660233</v>
      </c>
      <c r="E1116" s="53">
        <f t="shared" ca="1" si="155"/>
        <v>16650009322404.467</v>
      </c>
      <c r="F1116" s="53">
        <f t="shared" ca="1" si="156"/>
        <v>1985962596190.7664</v>
      </c>
      <c r="G1116" s="53">
        <f t="shared" ca="1" si="157"/>
        <v>3359366071399.8301</v>
      </c>
      <c r="H1116" s="53">
        <f t="shared" ca="1" si="158"/>
        <v>16650009322404.467</v>
      </c>
      <c r="I1116" s="53">
        <f t="shared" ca="1" si="159"/>
        <v>6665005198148.1074</v>
      </c>
      <c r="J1116" s="53">
        <f t="shared" ca="1" si="160"/>
        <v>867426141680.13171</v>
      </c>
      <c r="K1116" s="54">
        <f t="shared" ca="1" si="161"/>
        <v>7.6836572912577328</v>
      </c>
    </row>
    <row r="1117" spans="2:11" ht="15" customHeight="1" x14ac:dyDescent="0.35">
      <c r="B1117" s="5">
        <v>1096</v>
      </c>
      <c r="C1117" s="52">
        <f t="shared" ca="1" si="153"/>
        <v>3.3096606618112605</v>
      </c>
      <c r="D1117" s="53">
        <f t="shared" ca="1" si="154"/>
        <v>7471893459.1118937</v>
      </c>
      <c r="E1117" s="53">
        <f t="shared" ca="1" si="155"/>
        <v>33076570434852.406</v>
      </c>
      <c r="F1117" s="53">
        <f t="shared" ca="1" si="156"/>
        <v>2786237874557.7393</v>
      </c>
      <c r="G1117" s="53">
        <f t="shared" ca="1" si="157"/>
        <v>505382645504.28546</v>
      </c>
      <c r="H1117" s="53">
        <f t="shared" ca="1" si="158"/>
        <v>33076570434852.406</v>
      </c>
      <c r="I1117" s="53">
        <f t="shared" ca="1" si="159"/>
        <v>904552119789.87183</v>
      </c>
      <c r="J1117" s="53">
        <f t="shared" ca="1" si="160"/>
        <v>1353212945003.5144</v>
      </c>
      <c r="K1117" s="54">
        <f t="shared" ca="1" si="161"/>
        <v>0.66844772888831816</v>
      </c>
    </row>
    <row r="1118" spans="2:11" ht="15" customHeight="1" x14ac:dyDescent="0.35">
      <c r="B1118" s="5">
        <v>1097</v>
      </c>
      <c r="C1118" s="52">
        <f t="shared" ca="1" si="153"/>
        <v>3.1596481646113439</v>
      </c>
      <c r="D1118" s="53">
        <f t="shared" ca="1" si="154"/>
        <v>6467327916.7159252</v>
      </c>
      <c r="E1118" s="53">
        <f t="shared" ca="1" si="155"/>
        <v>271052918152116.81</v>
      </c>
      <c r="F1118" s="53">
        <f t="shared" ca="1" si="156"/>
        <v>2095123970648.717</v>
      </c>
      <c r="G1118" s="53">
        <f t="shared" ca="1" si="157"/>
        <v>824029157594.79431</v>
      </c>
      <c r="H1118" s="53">
        <f t="shared" ca="1" si="158"/>
        <v>824029157594.79431</v>
      </c>
      <c r="I1118" s="53">
        <f t="shared" ca="1" si="159"/>
        <v>31937948967109.926</v>
      </c>
      <c r="J1118" s="53">
        <f t="shared" ca="1" si="160"/>
        <v>1511990020136.8311</v>
      </c>
      <c r="K1118" s="54">
        <f t="shared" ca="1" si="161"/>
        <v>21.123121542971312</v>
      </c>
    </row>
    <row r="1119" spans="2:11" ht="15" customHeight="1" x14ac:dyDescent="0.35">
      <c r="B1119" s="5">
        <v>1098</v>
      </c>
      <c r="C1119" s="52">
        <f t="shared" ca="1" si="153"/>
        <v>3.0359611621523195</v>
      </c>
      <c r="D1119" s="53">
        <f t="shared" ca="1" si="154"/>
        <v>5797360989.5694885</v>
      </c>
      <c r="E1119" s="53">
        <f t="shared" ca="1" si="155"/>
        <v>8467136982353.0361</v>
      </c>
      <c r="F1119" s="53">
        <f t="shared" ca="1" si="156"/>
        <v>7538376151129.0215</v>
      </c>
      <c r="G1119" s="53">
        <f t="shared" ca="1" si="157"/>
        <v>6668607817990.5449</v>
      </c>
      <c r="H1119" s="53">
        <f t="shared" ca="1" si="158"/>
        <v>7538376151129.0215</v>
      </c>
      <c r="I1119" s="53">
        <f t="shared" ca="1" si="159"/>
        <v>3163377270158.3999</v>
      </c>
      <c r="J1119" s="53">
        <f t="shared" ca="1" si="160"/>
        <v>827106534179.26001</v>
      </c>
      <c r="K1119" s="54">
        <f t="shared" ca="1" si="161"/>
        <v>3.8246309748930076</v>
      </c>
    </row>
    <row r="1120" spans="2:11" ht="15" customHeight="1" x14ac:dyDescent="0.35">
      <c r="B1120" s="5">
        <v>1099</v>
      </c>
      <c r="C1120" s="52">
        <f t="shared" ca="1" si="153"/>
        <v>2.7444049117986324</v>
      </c>
      <c r="D1120" s="53">
        <f t="shared" ca="1" si="154"/>
        <v>2805277323.9458966</v>
      </c>
      <c r="E1120" s="53">
        <f t="shared" ca="1" si="155"/>
        <v>24480146495053.855</v>
      </c>
      <c r="F1120" s="53">
        <f t="shared" ca="1" si="156"/>
        <v>3478446016505.8457</v>
      </c>
      <c r="G1120" s="53">
        <f t="shared" ca="1" si="157"/>
        <v>17687083000255.504</v>
      </c>
      <c r="H1120" s="53">
        <f t="shared" ca="1" si="158"/>
        <v>3478446016505.8457</v>
      </c>
      <c r="I1120" s="53">
        <f t="shared" ca="1" si="159"/>
        <v>1589144835196.7485</v>
      </c>
      <c r="J1120" s="53">
        <f t="shared" ca="1" si="160"/>
        <v>1085323516325.9097</v>
      </c>
      <c r="K1120" s="54">
        <f t="shared" ca="1" si="161"/>
        <v>1.4642130307619239</v>
      </c>
    </row>
    <row r="1121" spans="2:11" ht="15" customHeight="1" x14ac:dyDescent="0.35">
      <c r="B1121" s="5">
        <v>1100</v>
      </c>
      <c r="C1121" s="52">
        <f t="shared" ca="1" si="153"/>
        <v>2.3770312936204281</v>
      </c>
      <c r="D1121" s="53">
        <f t="shared" ca="1" si="154"/>
        <v>1691744532.3199697</v>
      </c>
      <c r="E1121" s="53">
        <f t="shared" ca="1" si="155"/>
        <v>23650829360281.625</v>
      </c>
      <c r="F1121" s="53">
        <f t="shared" ca="1" si="156"/>
        <v>2781797640458.2803</v>
      </c>
      <c r="G1121" s="53">
        <f t="shared" ca="1" si="157"/>
        <v>1119799961966.2002</v>
      </c>
      <c r="H1121" s="53">
        <f t="shared" ca="1" si="158"/>
        <v>23650829360281.625</v>
      </c>
      <c r="I1121" s="53">
        <f t="shared" ca="1" si="159"/>
        <v>24248442263140.766</v>
      </c>
      <c r="J1121" s="53">
        <f t="shared" ca="1" si="160"/>
        <v>1252574377928.1042</v>
      </c>
      <c r="K1121" s="54">
        <f t="shared" ca="1" si="161"/>
        <v>19.358884143271681</v>
      </c>
    </row>
    <row r="1122" spans="2:11" ht="15" customHeight="1" x14ac:dyDescent="0.35">
      <c r="B1122" s="5">
        <v>1101</v>
      </c>
      <c r="C1122" s="52">
        <f t="shared" ca="1" si="153"/>
        <v>2.756618319579315</v>
      </c>
      <c r="D1122" s="53">
        <f t="shared" ca="1" si="154"/>
        <v>3507600628.7482777</v>
      </c>
      <c r="E1122" s="53">
        <f t="shared" ca="1" si="155"/>
        <v>30914357382105.367</v>
      </c>
      <c r="F1122" s="53">
        <f t="shared" ca="1" si="156"/>
        <v>1570749144392.668</v>
      </c>
      <c r="G1122" s="53">
        <f t="shared" ca="1" si="157"/>
        <v>2449147864062.9141</v>
      </c>
      <c r="H1122" s="53">
        <f t="shared" ca="1" si="158"/>
        <v>1570749144392.668</v>
      </c>
      <c r="I1122" s="53">
        <f t="shared" ca="1" si="159"/>
        <v>46271906193248.969</v>
      </c>
      <c r="J1122" s="53">
        <f t="shared" ca="1" si="160"/>
        <v>1206575818406.9583</v>
      </c>
      <c r="K1122" s="54">
        <f t="shared" ca="1" si="161"/>
        <v>38.349770886625059</v>
      </c>
    </row>
    <row r="1123" spans="2:11" ht="15" customHeight="1" x14ac:dyDescent="0.35">
      <c r="B1123" s="5">
        <v>1102</v>
      </c>
      <c r="C1123" s="52">
        <f t="shared" ca="1" si="153"/>
        <v>2.7437088105050971</v>
      </c>
      <c r="D1123" s="53">
        <f t="shared" ca="1" si="154"/>
        <v>3307625440.8507366</v>
      </c>
      <c r="E1123" s="53">
        <f t="shared" ca="1" si="155"/>
        <v>14596346914138.885</v>
      </c>
      <c r="F1123" s="53">
        <f t="shared" ca="1" si="156"/>
        <v>14184894205684.453</v>
      </c>
      <c r="G1123" s="53">
        <f t="shared" ca="1" si="157"/>
        <v>16249594155117.951</v>
      </c>
      <c r="H1123" s="53">
        <f t="shared" ca="1" si="158"/>
        <v>14184894205684.453</v>
      </c>
      <c r="I1123" s="53">
        <f t="shared" ca="1" si="159"/>
        <v>4574909377300.4375</v>
      </c>
      <c r="J1123" s="53">
        <f t="shared" ca="1" si="160"/>
        <v>1290989536086.7563</v>
      </c>
      <c r="K1123" s="54">
        <f t="shared" ca="1" si="161"/>
        <v>3.5437230507443842</v>
      </c>
    </row>
    <row r="1124" spans="2:11" ht="15" customHeight="1" x14ac:dyDescent="0.35">
      <c r="B1124" s="5">
        <v>1103</v>
      </c>
      <c r="C1124" s="52">
        <f t="shared" ca="1" si="153"/>
        <v>3.2952006684318844</v>
      </c>
      <c r="D1124" s="53">
        <f t="shared" ca="1" si="154"/>
        <v>9178975698.6731548</v>
      </c>
      <c r="E1124" s="53">
        <f t="shared" ca="1" si="155"/>
        <v>13362503049881.609</v>
      </c>
      <c r="F1124" s="53">
        <f t="shared" ca="1" si="156"/>
        <v>26623067598990.535</v>
      </c>
      <c r="G1124" s="53">
        <f t="shared" ca="1" si="157"/>
        <v>7373095042610.0703</v>
      </c>
      <c r="H1124" s="53">
        <f t="shared" ca="1" si="158"/>
        <v>7373095042610.0703</v>
      </c>
      <c r="I1124" s="53">
        <f t="shared" ca="1" si="159"/>
        <v>5584697357435.7188</v>
      </c>
      <c r="J1124" s="53">
        <f t="shared" ca="1" si="160"/>
        <v>529808815810.2146</v>
      </c>
      <c r="K1124" s="54">
        <f t="shared" ca="1" si="161"/>
        <v>10.540967214551296</v>
      </c>
    </row>
    <row r="1125" spans="2:11" ht="15" customHeight="1" x14ac:dyDescent="0.35">
      <c r="B1125" s="5">
        <v>1104</v>
      </c>
      <c r="C1125" s="52">
        <f t="shared" ca="1" si="153"/>
        <v>3.0273201144093429</v>
      </c>
      <c r="D1125" s="53">
        <f t="shared" ca="1" si="154"/>
        <v>5632488709.6332264</v>
      </c>
      <c r="E1125" s="53">
        <f t="shared" ca="1" si="155"/>
        <v>11165710564800.424</v>
      </c>
      <c r="F1125" s="53">
        <f t="shared" ca="1" si="156"/>
        <v>1828873885396.8516</v>
      </c>
      <c r="G1125" s="53">
        <f t="shared" ca="1" si="157"/>
        <v>2699129654982.0801</v>
      </c>
      <c r="H1125" s="53">
        <f t="shared" ca="1" si="158"/>
        <v>2699129654982.0801</v>
      </c>
      <c r="I1125" s="53">
        <f t="shared" ca="1" si="159"/>
        <v>10788190798850.547</v>
      </c>
      <c r="J1125" s="53">
        <f t="shared" ca="1" si="160"/>
        <v>1374112080425.3357</v>
      </c>
      <c r="K1125" s="54">
        <f t="shared" ca="1" si="161"/>
        <v>7.8510268212700849</v>
      </c>
    </row>
    <row r="1126" spans="2:11" ht="15" customHeight="1" x14ac:dyDescent="0.35">
      <c r="B1126" s="5">
        <v>1105</v>
      </c>
      <c r="C1126" s="52">
        <f t="shared" ca="1" si="153"/>
        <v>2.5986028702249828</v>
      </c>
      <c r="D1126" s="53">
        <f t="shared" ca="1" si="154"/>
        <v>2584690514.5652919</v>
      </c>
      <c r="E1126" s="53">
        <f t="shared" ca="1" si="155"/>
        <v>4037319742997.3398</v>
      </c>
      <c r="F1126" s="53">
        <f t="shared" ca="1" si="156"/>
        <v>4793696604182.8086</v>
      </c>
      <c r="G1126" s="53">
        <f t="shared" ca="1" si="157"/>
        <v>44068138893468.289</v>
      </c>
      <c r="H1126" s="53">
        <f t="shared" ca="1" si="158"/>
        <v>4037319742997.3398</v>
      </c>
      <c r="I1126" s="53">
        <f t="shared" ca="1" si="159"/>
        <v>4189759562215.5215</v>
      </c>
      <c r="J1126" s="53">
        <f t="shared" ca="1" si="160"/>
        <v>1432093604334.2837</v>
      </c>
      <c r="K1126" s="54">
        <f t="shared" ca="1" si="161"/>
        <v>2.925618513716604</v>
      </c>
    </row>
    <row r="1127" spans="2:11" ht="15" customHeight="1" x14ac:dyDescent="0.35">
      <c r="B1127" s="5">
        <v>1106</v>
      </c>
      <c r="C1127" s="52">
        <f t="shared" ca="1" si="153"/>
        <v>2.5899418054988352</v>
      </c>
      <c r="D1127" s="53">
        <f t="shared" ca="1" si="154"/>
        <v>2640878784.922626</v>
      </c>
      <c r="E1127" s="53">
        <f t="shared" ca="1" si="155"/>
        <v>15054339123864.9</v>
      </c>
      <c r="F1127" s="53">
        <f t="shared" ca="1" si="156"/>
        <v>3826397494578.7334</v>
      </c>
      <c r="G1127" s="53">
        <f t="shared" ca="1" si="157"/>
        <v>2313531580197.1333</v>
      </c>
      <c r="H1127" s="53">
        <f t="shared" ca="1" si="158"/>
        <v>15054339123864.9</v>
      </c>
      <c r="I1127" s="53">
        <f t="shared" ca="1" si="159"/>
        <v>7759408458070.5176</v>
      </c>
      <c r="J1127" s="53">
        <f t="shared" ca="1" si="160"/>
        <v>1418653804128.5505</v>
      </c>
      <c r="K1127" s="54">
        <f t="shared" ca="1" si="161"/>
        <v>5.4695574321861846</v>
      </c>
    </row>
    <row r="1128" spans="2:11" ht="15" customHeight="1" x14ac:dyDescent="0.35">
      <c r="B1128" s="5">
        <v>1107</v>
      </c>
      <c r="C1128" s="52">
        <f t="shared" ca="1" si="153"/>
        <v>2.2497013118020228</v>
      </c>
      <c r="D1128" s="53">
        <f t="shared" ca="1" si="154"/>
        <v>1282237776.1276131</v>
      </c>
      <c r="E1128" s="53">
        <f t="shared" ca="1" si="155"/>
        <v>3090664010419.6045</v>
      </c>
      <c r="F1128" s="53">
        <f t="shared" ca="1" si="156"/>
        <v>6687982931352.7168</v>
      </c>
      <c r="G1128" s="53">
        <f t="shared" ca="1" si="157"/>
        <v>10134432906899.33</v>
      </c>
      <c r="H1128" s="53">
        <f t="shared" ca="1" si="158"/>
        <v>3090664010419.6045</v>
      </c>
      <c r="I1128" s="53">
        <f t="shared" ca="1" si="159"/>
        <v>9112882027638.8125</v>
      </c>
      <c r="J1128" s="53">
        <f t="shared" ca="1" si="160"/>
        <v>1071905510177.2209</v>
      </c>
      <c r="K1128" s="54">
        <f t="shared" ca="1" si="161"/>
        <v>8.5015721452277599</v>
      </c>
    </row>
    <row r="1129" spans="2:11" ht="15" customHeight="1" x14ac:dyDescent="0.35">
      <c r="B1129" s="5">
        <v>1108</v>
      </c>
      <c r="C1129" s="52">
        <f t="shared" ca="1" si="153"/>
        <v>3.0252282376789732</v>
      </c>
      <c r="D1129" s="53">
        <f t="shared" ca="1" si="154"/>
        <v>5056082302.3864088</v>
      </c>
      <c r="E1129" s="53">
        <f t="shared" ca="1" si="155"/>
        <v>25218115914509.32</v>
      </c>
      <c r="F1129" s="53">
        <f t="shared" ca="1" si="156"/>
        <v>9974016621589.8066</v>
      </c>
      <c r="G1129" s="53">
        <f t="shared" ca="1" si="157"/>
        <v>1357412746583.1563</v>
      </c>
      <c r="H1129" s="53">
        <f t="shared" ca="1" si="158"/>
        <v>25218115914509.32</v>
      </c>
      <c r="I1129" s="53">
        <f t="shared" ca="1" si="159"/>
        <v>3128433830401.0313</v>
      </c>
      <c r="J1129" s="53">
        <f t="shared" ca="1" si="160"/>
        <v>1116311883596.1704</v>
      </c>
      <c r="K1129" s="54">
        <f t="shared" ca="1" si="161"/>
        <v>2.8024729256870948</v>
      </c>
    </row>
    <row r="1130" spans="2:11" ht="15" customHeight="1" x14ac:dyDescent="0.35">
      <c r="B1130" s="5">
        <v>1109</v>
      </c>
      <c r="C1130" s="52">
        <f t="shared" ca="1" si="153"/>
        <v>2.9904963163217206</v>
      </c>
      <c r="D1130" s="53">
        <f t="shared" ca="1" si="154"/>
        <v>5703303174.526392</v>
      </c>
      <c r="E1130" s="53">
        <f t="shared" ca="1" si="155"/>
        <v>12811886755898.371</v>
      </c>
      <c r="F1130" s="53">
        <f t="shared" ca="1" si="156"/>
        <v>4422280231129.1172</v>
      </c>
      <c r="G1130" s="53">
        <f t="shared" ca="1" si="157"/>
        <v>4655296528801.5928</v>
      </c>
      <c r="H1130" s="53">
        <f t="shared" ca="1" si="158"/>
        <v>4422280231129.1172</v>
      </c>
      <c r="I1130" s="53">
        <f t="shared" ca="1" si="159"/>
        <v>1740872185683.4536</v>
      </c>
      <c r="J1130" s="53">
        <f t="shared" ca="1" si="160"/>
        <v>1258443738564.3259</v>
      </c>
      <c r="K1130" s="54">
        <f t="shared" ca="1" si="161"/>
        <v>1.38335321026707</v>
      </c>
    </row>
    <row r="1131" spans="2:11" ht="15" customHeight="1" x14ac:dyDescent="0.35">
      <c r="B1131" s="5">
        <v>1110</v>
      </c>
      <c r="C1131" s="52">
        <f t="shared" ca="1" si="153"/>
        <v>2.8697116884956899</v>
      </c>
      <c r="D1131" s="53">
        <f t="shared" ca="1" si="154"/>
        <v>3485033427.5130739</v>
      </c>
      <c r="E1131" s="53">
        <f t="shared" ca="1" si="155"/>
        <v>48159635583225.391</v>
      </c>
      <c r="F1131" s="53">
        <f t="shared" ca="1" si="156"/>
        <v>2209860705086.4639</v>
      </c>
      <c r="G1131" s="53">
        <f t="shared" ca="1" si="157"/>
        <v>16715677391676.787</v>
      </c>
      <c r="H1131" s="53">
        <f t="shared" ca="1" si="158"/>
        <v>2209860705086.4639</v>
      </c>
      <c r="I1131" s="53">
        <f t="shared" ca="1" si="159"/>
        <v>4887933789778.8779</v>
      </c>
      <c r="J1131" s="53">
        <f t="shared" ca="1" si="160"/>
        <v>1212859176224.9648</v>
      </c>
      <c r="K1131" s="54">
        <f t="shared" ca="1" si="161"/>
        <v>4.0300917745394118</v>
      </c>
    </row>
    <row r="1132" spans="2:11" ht="15" customHeight="1" x14ac:dyDescent="0.35">
      <c r="B1132" s="5">
        <v>1111</v>
      </c>
      <c r="C1132" s="52">
        <f t="shared" ca="1" si="153"/>
        <v>3.117190227340247</v>
      </c>
      <c r="D1132" s="53">
        <f t="shared" ca="1" si="154"/>
        <v>6390950788.2319021</v>
      </c>
      <c r="E1132" s="53">
        <f t="shared" ca="1" si="155"/>
        <v>38962377614143.195</v>
      </c>
      <c r="F1132" s="53">
        <f t="shared" ca="1" si="156"/>
        <v>3431437507239.2944</v>
      </c>
      <c r="G1132" s="53">
        <f t="shared" ca="1" si="157"/>
        <v>406786558187.37891</v>
      </c>
      <c r="H1132" s="53">
        <f t="shared" ca="1" si="158"/>
        <v>38962377614143.195</v>
      </c>
      <c r="I1132" s="53">
        <f t="shared" ca="1" si="159"/>
        <v>48305812461895.398</v>
      </c>
      <c r="J1132" s="53">
        <f t="shared" ca="1" si="160"/>
        <v>617562172700.89612</v>
      </c>
      <c r="K1132" s="54">
        <f t="shared" ca="1" si="161"/>
        <v>78.220160814952237</v>
      </c>
    </row>
    <row r="1133" spans="2:11" ht="15" customHeight="1" x14ac:dyDescent="0.35">
      <c r="B1133" s="5">
        <v>1112</v>
      </c>
      <c r="C1133" s="52">
        <f t="shared" ca="1" si="153"/>
        <v>4.242034304641626</v>
      </c>
      <c r="D1133" s="53">
        <f t="shared" ca="1" si="154"/>
        <v>25156298547.111294</v>
      </c>
      <c r="E1133" s="53">
        <f t="shared" ca="1" si="155"/>
        <v>76010998618735.406</v>
      </c>
      <c r="F1133" s="53">
        <f t="shared" ca="1" si="156"/>
        <v>1817274784008.1362</v>
      </c>
      <c r="G1133" s="53">
        <f t="shared" ca="1" si="157"/>
        <v>15684571835955.107</v>
      </c>
      <c r="H1133" s="53">
        <f t="shared" ca="1" si="158"/>
        <v>15684571835955.107</v>
      </c>
      <c r="I1133" s="53">
        <f t="shared" ca="1" si="159"/>
        <v>3390813367527.3643</v>
      </c>
      <c r="J1133" s="53">
        <f t="shared" ca="1" si="160"/>
        <v>1163655981302.4172</v>
      </c>
      <c r="K1133" s="54">
        <f t="shared" ca="1" si="161"/>
        <v>2.9139311119530449</v>
      </c>
    </row>
    <row r="1134" spans="2:11" ht="15" customHeight="1" x14ac:dyDescent="0.35">
      <c r="B1134" s="5">
        <v>1113</v>
      </c>
      <c r="C1134" s="52">
        <f t="shared" ca="1" si="153"/>
        <v>2.5389846789723585</v>
      </c>
      <c r="D1134" s="53">
        <f t="shared" ca="1" si="154"/>
        <v>2446277085.431766</v>
      </c>
      <c r="E1134" s="53">
        <f t="shared" ca="1" si="155"/>
        <v>7483903604952.876</v>
      </c>
      <c r="F1134" s="53">
        <f t="shared" ca="1" si="156"/>
        <v>541427259599.77393</v>
      </c>
      <c r="G1134" s="53">
        <f t="shared" ca="1" si="157"/>
        <v>35571703502377.664</v>
      </c>
      <c r="H1134" s="53">
        <f t="shared" ca="1" si="158"/>
        <v>7483903604952.876</v>
      </c>
      <c r="I1134" s="53">
        <f t="shared" ca="1" si="159"/>
        <v>1947866310987.7131</v>
      </c>
      <c r="J1134" s="53">
        <f t="shared" ca="1" si="160"/>
        <v>1233377021478.7029</v>
      </c>
      <c r="K1134" s="54">
        <f t="shared" ca="1" si="161"/>
        <v>1.5792951198753524</v>
      </c>
    </row>
    <row r="1135" spans="2:11" ht="15" customHeight="1" x14ac:dyDescent="0.35">
      <c r="B1135" s="5">
        <v>1114</v>
      </c>
      <c r="C1135" s="52">
        <f t="shared" ca="1" si="153"/>
        <v>2.4515869703897071</v>
      </c>
      <c r="D1135" s="53">
        <f t="shared" ca="1" si="154"/>
        <v>1924239416.3878226</v>
      </c>
      <c r="E1135" s="53">
        <f t="shared" ca="1" si="155"/>
        <v>9529214654829.9199</v>
      </c>
      <c r="F1135" s="53">
        <f t="shared" ca="1" si="156"/>
        <v>11048962605578.18</v>
      </c>
      <c r="G1135" s="53">
        <f t="shared" ca="1" si="157"/>
        <v>46396548152695.422</v>
      </c>
      <c r="H1135" s="53">
        <f t="shared" ca="1" si="158"/>
        <v>9529214654829.9199</v>
      </c>
      <c r="I1135" s="53">
        <f t="shared" ca="1" si="159"/>
        <v>2561503924186.2539</v>
      </c>
      <c r="J1135" s="53">
        <f t="shared" ca="1" si="160"/>
        <v>1591676357857.2554</v>
      </c>
      <c r="K1135" s="54">
        <f t="shared" ca="1" si="161"/>
        <v>1.6093120385570083</v>
      </c>
    </row>
    <row r="1136" spans="2:11" ht="15" customHeight="1" x14ac:dyDescent="0.35">
      <c r="B1136" s="5">
        <v>1115</v>
      </c>
      <c r="C1136" s="52">
        <f t="shared" ca="1" si="153"/>
        <v>3.4461830676848888</v>
      </c>
      <c r="D1136" s="53">
        <f t="shared" ca="1" si="154"/>
        <v>8760537846.6509705</v>
      </c>
      <c r="E1136" s="53">
        <f t="shared" ca="1" si="155"/>
        <v>47757500765081</v>
      </c>
      <c r="F1136" s="53">
        <f t="shared" ca="1" si="156"/>
        <v>1986045218390.1836</v>
      </c>
      <c r="G1136" s="53">
        <f t="shared" ca="1" si="157"/>
        <v>2838603324471.7041</v>
      </c>
      <c r="H1136" s="53">
        <f t="shared" ca="1" si="158"/>
        <v>47757500765081</v>
      </c>
      <c r="I1136" s="53">
        <f t="shared" ca="1" si="159"/>
        <v>5832580102821.7285</v>
      </c>
      <c r="J1136" s="53">
        <f t="shared" ca="1" si="160"/>
        <v>621968611643.59705</v>
      </c>
      <c r="K1136" s="54">
        <f t="shared" ca="1" si="161"/>
        <v>9.377611656975283</v>
      </c>
    </row>
    <row r="1137" spans="2:11" ht="15" customHeight="1" x14ac:dyDescent="0.35">
      <c r="B1137" s="5">
        <v>1116</v>
      </c>
      <c r="C1137" s="52">
        <f t="shared" ca="1" si="153"/>
        <v>3.2496366352026831</v>
      </c>
      <c r="D1137" s="53">
        <f t="shared" ca="1" si="154"/>
        <v>7656944233.974515</v>
      </c>
      <c r="E1137" s="53">
        <f t="shared" ca="1" si="155"/>
        <v>73433470810513.688</v>
      </c>
      <c r="F1137" s="53">
        <f t="shared" ca="1" si="156"/>
        <v>9047379852709.3789</v>
      </c>
      <c r="G1137" s="53">
        <f t="shared" ca="1" si="157"/>
        <v>1084667722480.2678</v>
      </c>
      <c r="H1137" s="53">
        <f t="shared" ca="1" si="158"/>
        <v>73433470810513.688</v>
      </c>
      <c r="I1137" s="53">
        <f t="shared" ca="1" si="159"/>
        <v>1043641475147.6042</v>
      </c>
      <c r="J1137" s="53">
        <f t="shared" ca="1" si="160"/>
        <v>1389243123051.1333</v>
      </c>
      <c r="K1137" s="54">
        <f t="shared" ca="1" si="161"/>
        <v>0.7512302618820963</v>
      </c>
    </row>
    <row r="1138" spans="2:11" ht="15" customHeight="1" x14ac:dyDescent="0.35">
      <c r="B1138" s="5">
        <v>1117</v>
      </c>
      <c r="C1138" s="52">
        <f t="shared" ca="1" si="153"/>
        <v>2.7975419052819097</v>
      </c>
      <c r="D1138" s="53">
        <f t="shared" ca="1" si="154"/>
        <v>3312542263.1154456</v>
      </c>
      <c r="E1138" s="53">
        <f t="shared" ca="1" si="155"/>
        <v>993638637970.24854</v>
      </c>
      <c r="F1138" s="53">
        <f t="shared" ca="1" si="156"/>
        <v>4577705411653.2949</v>
      </c>
      <c r="G1138" s="53">
        <f t="shared" ca="1" si="157"/>
        <v>2297368156036.9644</v>
      </c>
      <c r="H1138" s="53">
        <f t="shared" ca="1" si="158"/>
        <v>993638637970.24854</v>
      </c>
      <c r="I1138" s="53">
        <f t="shared" ca="1" si="159"/>
        <v>1358800176522.3669</v>
      </c>
      <c r="J1138" s="53">
        <f t="shared" ca="1" si="160"/>
        <v>1882501982756.886</v>
      </c>
      <c r="K1138" s="54">
        <f t="shared" ca="1" si="161"/>
        <v>0.72180544242106537</v>
      </c>
    </row>
    <row r="1139" spans="2:11" ht="15" customHeight="1" x14ac:dyDescent="0.35">
      <c r="B1139" s="5">
        <v>1118</v>
      </c>
      <c r="C1139" s="52">
        <f t="shared" ca="1" si="153"/>
        <v>3.3528122323200926</v>
      </c>
      <c r="D1139" s="53">
        <f t="shared" ca="1" si="154"/>
        <v>9414959407.169014</v>
      </c>
      <c r="E1139" s="53">
        <f t="shared" ca="1" si="155"/>
        <v>11894632659799.49</v>
      </c>
      <c r="F1139" s="53">
        <f t="shared" ca="1" si="156"/>
        <v>3582969892406.2393</v>
      </c>
      <c r="G1139" s="53">
        <f t="shared" ca="1" si="157"/>
        <v>13757567974752.748</v>
      </c>
      <c r="H1139" s="53">
        <f t="shared" ca="1" si="158"/>
        <v>3582969892406.2393</v>
      </c>
      <c r="I1139" s="53">
        <f t="shared" ca="1" si="159"/>
        <v>182485075473069.31</v>
      </c>
      <c r="J1139" s="53">
        <f t="shared" ca="1" si="160"/>
        <v>578768685660.27771</v>
      </c>
      <c r="K1139" s="54">
        <f t="shared" ca="1" si="161"/>
        <v>315.29880588630073</v>
      </c>
    </row>
    <row r="1140" spans="2:11" ht="15" customHeight="1" x14ac:dyDescent="0.35">
      <c r="B1140" s="5">
        <v>1119</v>
      </c>
      <c r="C1140" s="52">
        <f t="shared" ca="1" si="153"/>
        <v>2.5721067857179398</v>
      </c>
      <c r="D1140" s="53">
        <f t="shared" ca="1" si="154"/>
        <v>1967940177.2549887</v>
      </c>
      <c r="E1140" s="53">
        <f t="shared" ca="1" si="155"/>
        <v>4646483826607.9287</v>
      </c>
      <c r="F1140" s="53">
        <f t="shared" ca="1" si="156"/>
        <v>1098933200432.2509</v>
      </c>
      <c r="G1140" s="53">
        <f t="shared" ca="1" si="157"/>
        <v>96109764086324.375</v>
      </c>
      <c r="H1140" s="53">
        <f t="shared" ca="1" si="158"/>
        <v>1098933200432.2509</v>
      </c>
      <c r="I1140" s="53">
        <f t="shared" ca="1" si="159"/>
        <v>6669332683152.8779</v>
      </c>
      <c r="J1140" s="53">
        <f t="shared" ca="1" si="160"/>
        <v>816353271295.22278</v>
      </c>
      <c r="K1140" s="54">
        <f t="shared" ca="1" si="161"/>
        <v>8.1696649203981782</v>
      </c>
    </row>
    <row r="1141" spans="2:11" ht="15" customHeight="1" x14ac:dyDescent="0.35">
      <c r="B1141" s="5">
        <v>1120</v>
      </c>
      <c r="C1141" s="52">
        <f t="shared" ca="1" si="153"/>
        <v>2.9421774252048358</v>
      </c>
      <c r="D1141" s="53">
        <f t="shared" ca="1" si="154"/>
        <v>3817812024.1683826</v>
      </c>
      <c r="E1141" s="53">
        <f t="shared" ca="1" si="155"/>
        <v>46853235148072.164</v>
      </c>
      <c r="F1141" s="53">
        <f t="shared" ca="1" si="156"/>
        <v>2492856055897.8706</v>
      </c>
      <c r="G1141" s="53">
        <f t="shared" ca="1" si="157"/>
        <v>2038366274859.7463</v>
      </c>
      <c r="H1141" s="53">
        <f t="shared" ca="1" si="158"/>
        <v>46853235148072.164</v>
      </c>
      <c r="I1141" s="53">
        <f t="shared" ca="1" si="159"/>
        <v>4608693243493.0586</v>
      </c>
      <c r="J1141" s="53">
        <f t="shared" ca="1" si="160"/>
        <v>664631828087.77014</v>
      </c>
      <c r="K1141" s="54">
        <f t="shared" ca="1" si="161"/>
        <v>6.9342048465431638</v>
      </c>
    </row>
    <row r="1142" spans="2:11" ht="15" customHeight="1" x14ac:dyDescent="0.35">
      <c r="B1142" s="5">
        <v>1121</v>
      </c>
      <c r="C1142" s="52">
        <f t="shared" ca="1" si="153"/>
        <v>2.8434703515183473</v>
      </c>
      <c r="D1142" s="53">
        <f t="shared" ca="1" si="154"/>
        <v>3447074755.6419778</v>
      </c>
      <c r="E1142" s="53">
        <f t="shared" ca="1" si="155"/>
        <v>12981518308913.922</v>
      </c>
      <c r="F1142" s="53">
        <f t="shared" ca="1" si="156"/>
        <v>3491173436833.3701</v>
      </c>
      <c r="G1142" s="53">
        <f t="shared" ca="1" si="157"/>
        <v>618755256011.44482</v>
      </c>
      <c r="H1142" s="53">
        <f t="shared" ca="1" si="158"/>
        <v>618755256011.44482</v>
      </c>
      <c r="I1142" s="53">
        <f t="shared" ca="1" si="159"/>
        <v>40821258616206.547</v>
      </c>
      <c r="J1142" s="53">
        <f t="shared" ca="1" si="160"/>
        <v>977764742163.38501</v>
      </c>
      <c r="K1142" s="54">
        <f t="shared" ca="1" si="161"/>
        <v>41.749571094050857</v>
      </c>
    </row>
    <row r="1143" spans="2:11" ht="15" customHeight="1" x14ac:dyDescent="0.35">
      <c r="B1143" s="5">
        <v>1122</v>
      </c>
      <c r="C1143" s="52">
        <f t="shared" ca="1" si="153"/>
        <v>2.875709911112085</v>
      </c>
      <c r="D1143" s="53">
        <f t="shared" ca="1" si="154"/>
        <v>3421453819.9829826</v>
      </c>
      <c r="E1143" s="53">
        <f t="shared" ca="1" si="155"/>
        <v>11876713866482.928</v>
      </c>
      <c r="F1143" s="53">
        <f t="shared" ca="1" si="156"/>
        <v>1688596765675.4629</v>
      </c>
      <c r="G1143" s="53">
        <f t="shared" ca="1" si="157"/>
        <v>14543038386327.418</v>
      </c>
      <c r="H1143" s="53">
        <f t="shared" ca="1" si="158"/>
        <v>1688596765675.4629</v>
      </c>
      <c r="I1143" s="53">
        <f t="shared" ca="1" si="159"/>
        <v>9445036846383.7168</v>
      </c>
      <c r="J1143" s="53">
        <f t="shared" ca="1" si="160"/>
        <v>1302772348727.686</v>
      </c>
      <c r="K1143" s="54">
        <f t="shared" ca="1" si="161"/>
        <v>7.24995188576725</v>
      </c>
    </row>
    <row r="1144" spans="2:11" ht="15" customHeight="1" x14ac:dyDescent="0.35">
      <c r="B1144" s="5">
        <v>1123</v>
      </c>
      <c r="C1144" s="52">
        <f t="shared" ca="1" si="153"/>
        <v>3.2713063719235023</v>
      </c>
      <c r="D1144" s="53">
        <f t="shared" ca="1" si="154"/>
        <v>7962648660.050209</v>
      </c>
      <c r="E1144" s="53">
        <f t="shared" ca="1" si="155"/>
        <v>30736097082005.754</v>
      </c>
      <c r="F1144" s="53">
        <f t="shared" ca="1" si="156"/>
        <v>1675345438144.9116</v>
      </c>
      <c r="G1144" s="53">
        <f t="shared" ca="1" si="157"/>
        <v>4251785857096.4951</v>
      </c>
      <c r="H1144" s="53">
        <f t="shared" ca="1" si="158"/>
        <v>30736097082005.754</v>
      </c>
      <c r="I1144" s="53">
        <f t="shared" ca="1" si="159"/>
        <v>14223713949706.58</v>
      </c>
      <c r="J1144" s="53">
        <f t="shared" ca="1" si="160"/>
        <v>616201254248.81287</v>
      </c>
      <c r="K1144" s="54">
        <f t="shared" ca="1" si="161"/>
        <v>23.08290327491488</v>
      </c>
    </row>
    <row r="1145" spans="2:11" ht="15" customHeight="1" x14ac:dyDescent="0.35">
      <c r="B1145" s="5">
        <v>1124</v>
      </c>
      <c r="C1145" s="52">
        <f t="shared" ca="1" si="153"/>
        <v>3.0233275899562839</v>
      </c>
      <c r="D1145" s="53">
        <f t="shared" ca="1" si="154"/>
        <v>5337289190.6889191</v>
      </c>
      <c r="E1145" s="53">
        <f t="shared" ca="1" si="155"/>
        <v>15302922879773.688</v>
      </c>
      <c r="F1145" s="53">
        <f t="shared" ca="1" si="156"/>
        <v>7463313763882.8496</v>
      </c>
      <c r="G1145" s="53">
        <f t="shared" ca="1" si="157"/>
        <v>896382927071.80786</v>
      </c>
      <c r="H1145" s="53">
        <f t="shared" ca="1" si="158"/>
        <v>896382927071.80786</v>
      </c>
      <c r="I1145" s="53">
        <f t="shared" ca="1" si="159"/>
        <v>247015140404477.44</v>
      </c>
      <c r="J1145" s="53">
        <f t="shared" ca="1" si="160"/>
        <v>1059626400768.8187</v>
      </c>
      <c r="K1145" s="54">
        <f t="shared" ca="1" si="161"/>
        <v>233.11531330783569</v>
      </c>
    </row>
    <row r="1146" spans="2:11" ht="15" customHeight="1" x14ac:dyDescent="0.35">
      <c r="B1146" s="5">
        <v>1125</v>
      </c>
      <c r="C1146" s="52">
        <f t="shared" ca="1" si="153"/>
        <v>3.5108988065932025</v>
      </c>
      <c r="D1146" s="53">
        <f t="shared" ca="1" si="154"/>
        <v>10654738699.422825</v>
      </c>
      <c r="E1146" s="53">
        <f t="shared" ca="1" si="155"/>
        <v>51810375543461.352</v>
      </c>
      <c r="F1146" s="53">
        <f t="shared" ca="1" si="156"/>
        <v>5350885228395.6563</v>
      </c>
      <c r="G1146" s="53">
        <f t="shared" ca="1" si="157"/>
        <v>3644875006666.1631</v>
      </c>
      <c r="H1146" s="53">
        <f t="shared" ca="1" si="158"/>
        <v>3644875006666.1631</v>
      </c>
      <c r="I1146" s="53">
        <f t="shared" ca="1" si="159"/>
        <v>426374072913.98834</v>
      </c>
      <c r="J1146" s="53">
        <f t="shared" ca="1" si="160"/>
        <v>609801026661.22485</v>
      </c>
      <c r="K1146" s="54">
        <f t="shared" ca="1" si="161"/>
        <v>0.69920195977443078</v>
      </c>
    </row>
    <row r="1147" spans="2:11" ht="15" customHeight="1" x14ac:dyDescent="0.35">
      <c r="B1147" s="5">
        <v>1126</v>
      </c>
      <c r="C1147" s="52">
        <f t="shared" ca="1" si="153"/>
        <v>3.4753541015334375</v>
      </c>
      <c r="D1147" s="53">
        <f t="shared" ca="1" si="154"/>
        <v>11590107080.154259</v>
      </c>
      <c r="E1147" s="53">
        <f t="shared" ca="1" si="155"/>
        <v>44920202735420.336</v>
      </c>
      <c r="F1147" s="53">
        <f t="shared" ca="1" si="156"/>
        <v>1333493605114.3589</v>
      </c>
      <c r="G1147" s="53">
        <f t="shared" ca="1" si="157"/>
        <v>15141884570382.613</v>
      </c>
      <c r="H1147" s="53">
        <f t="shared" ca="1" si="158"/>
        <v>15141884570382.613</v>
      </c>
      <c r="I1147" s="53">
        <f t="shared" ca="1" si="159"/>
        <v>46865980323288.047</v>
      </c>
      <c r="J1147" s="53">
        <f t="shared" ca="1" si="160"/>
        <v>1134959775028.7666</v>
      </c>
      <c r="K1147" s="54">
        <f t="shared" ca="1" si="161"/>
        <v>41.293076067035223</v>
      </c>
    </row>
    <row r="1148" spans="2:11" ht="15" customHeight="1" x14ac:dyDescent="0.35">
      <c r="B1148" s="5">
        <v>1127</v>
      </c>
      <c r="C1148" s="52">
        <f t="shared" ca="1" si="153"/>
        <v>3.6738796735270283</v>
      </c>
      <c r="D1148" s="53">
        <f t="shared" ca="1" si="154"/>
        <v>15876891202.540421</v>
      </c>
      <c r="E1148" s="53">
        <f t="shared" ca="1" si="155"/>
        <v>56434876277334.32</v>
      </c>
      <c r="F1148" s="53">
        <f t="shared" ca="1" si="156"/>
        <v>2534516858463.3535</v>
      </c>
      <c r="G1148" s="53">
        <f t="shared" ca="1" si="157"/>
        <v>17332206442321.551</v>
      </c>
      <c r="H1148" s="53">
        <f t="shared" ca="1" si="158"/>
        <v>2534516858463.3535</v>
      </c>
      <c r="I1148" s="53">
        <f t="shared" ca="1" si="159"/>
        <v>111381943135650.52</v>
      </c>
      <c r="J1148" s="53">
        <f t="shared" ca="1" si="160"/>
        <v>922692374057.5957</v>
      </c>
      <c r="K1148" s="54">
        <f t="shared" ca="1" si="161"/>
        <v>120.71406057670301</v>
      </c>
    </row>
    <row r="1149" spans="2:11" ht="15" customHeight="1" x14ac:dyDescent="0.35">
      <c r="B1149" s="5">
        <v>1128</v>
      </c>
      <c r="C1149" s="52">
        <f t="shared" ca="1" si="153"/>
        <v>2.2767376152937588</v>
      </c>
      <c r="D1149" s="53">
        <f t="shared" ca="1" si="154"/>
        <v>1121258317.3657169</v>
      </c>
      <c r="E1149" s="53">
        <f t="shared" ca="1" si="155"/>
        <v>13593486405902.686</v>
      </c>
      <c r="F1149" s="53">
        <f t="shared" ca="1" si="156"/>
        <v>6001574955548.2637</v>
      </c>
      <c r="G1149" s="53">
        <f t="shared" ca="1" si="157"/>
        <v>7839047307860.9121</v>
      </c>
      <c r="H1149" s="53">
        <f t="shared" ca="1" si="158"/>
        <v>7839047307860.9121</v>
      </c>
      <c r="I1149" s="53">
        <f t="shared" ca="1" si="159"/>
        <v>19444720429652.48</v>
      </c>
      <c r="J1149" s="53">
        <f t="shared" ca="1" si="160"/>
        <v>1545411425129.4536</v>
      </c>
      <c r="K1149" s="54">
        <f t="shared" ca="1" si="161"/>
        <v>12.582228986707319</v>
      </c>
    </row>
    <row r="1150" spans="2:11" ht="15" customHeight="1" x14ac:dyDescent="0.35">
      <c r="B1150" s="5">
        <v>1129</v>
      </c>
      <c r="C1150" s="52">
        <f t="shared" ca="1" si="153"/>
        <v>1.9514439298355737</v>
      </c>
      <c r="D1150" s="53">
        <f t="shared" ca="1" si="154"/>
        <v>510541065.54134202</v>
      </c>
      <c r="E1150" s="53">
        <f t="shared" ca="1" si="155"/>
        <v>2189151209338.3323</v>
      </c>
      <c r="F1150" s="53">
        <f t="shared" ca="1" si="156"/>
        <v>4369208153601.8545</v>
      </c>
      <c r="G1150" s="53">
        <f t="shared" ca="1" si="157"/>
        <v>3764761567324.7739</v>
      </c>
      <c r="H1150" s="53">
        <f t="shared" ca="1" si="158"/>
        <v>4369208153601.8545</v>
      </c>
      <c r="I1150" s="53">
        <f t="shared" ca="1" si="159"/>
        <v>7866258576237.5439</v>
      </c>
      <c r="J1150" s="53">
        <f t="shared" ca="1" si="160"/>
        <v>1122865010956.2261</v>
      </c>
      <c r="K1150" s="54">
        <f t="shared" ca="1" si="161"/>
        <v>7.0055247064281385</v>
      </c>
    </row>
    <row r="1151" spans="2:11" ht="15" customHeight="1" x14ac:dyDescent="0.35">
      <c r="B1151" s="5">
        <v>1130</v>
      </c>
      <c r="C1151" s="52">
        <f t="shared" ca="1" si="153"/>
        <v>3.1137680838164821</v>
      </c>
      <c r="D1151" s="53">
        <f t="shared" ca="1" si="154"/>
        <v>4722919458.6799297</v>
      </c>
      <c r="E1151" s="53">
        <f t="shared" ca="1" si="155"/>
        <v>5438442258771.4463</v>
      </c>
      <c r="F1151" s="53">
        <f t="shared" ca="1" si="156"/>
        <v>3283008871737.312</v>
      </c>
      <c r="G1151" s="53">
        <f t="shared" ca="1" si="157"/>
        <v>1729385477965.9978</v>
      </c>
      <c r="H1151" s="53">
        <f t="shared" ca="1" si="158"/>
        <v>3283008871737.312</v>
      </c>
      <c r="I1151" s="53">
        <f t="shared" ca="1" si="159"/>
        <v>69226956286602.828</v>
      </c>
      <c r="J1151" s="53">
        <f t="shared" ca="1" si="160"/>
        <v>609966393038.8761</v>
      </c>
      <c r="K1151" s="54">
        <f t="shared" ca="1" si="161"/>
        <v>113.4930663010981</v>
      </c>
    </row>
    <row r="1152" spans="2:11" ht="15" customHeight="1" x14ac:dyDescent="0.35">
      <c r="B1152" s="5">
        <v>1131</v>
      </c>
      <c r="C1152" s="52">
        <f t="shared" ca="1" si="153"/>
        <v>2.6449173690962988</v>
      </c>
      <c r="D1152" s="53">
        <f t="shared" ca="1" si="154"/>
        <v>2680039446.3047485</v>
      </c>
      <c r="E1152" s="53">
        <f t="shared" ca="1" si="155"/>
        <v>5249424253900.96</v>
      </c>
      <c r="F1152" s="53">
        <f t="shared" ca="1" si="156"/>
        <v>2113857120274.0989</v>
      </c>
      <c r="G1152" s="53">
        <f t="shared" ca="1" si="157"/>
        <v>18825390044976.344</v>
      </c>
      <c r="H1152" s="53">
        <f t="shared" ca="1" si="158"/>
        <v>5249424253900.96</v>
      </c>
      <c r="I1152" s="53">
        <f t="shared" ca="1" si="159"/>
        <v>6664392740402.9629</v>
      </c>
      <c r="J1152" s="53">
        <f t="shared" ca="1" si="160"/>
        <v>818480595903.19067</v>
      </c>
      <c r="K1152" s="54">
        <f t="shared" ca="1" si="161"/>
        <v>8.1423955238044794</v>
      </c>
    </row>
    <row r="1153" spans="2:11" ht="15" customHeight="1" x14ac:dyDescent="0.35">
      <c r="B1153" s="5">
        <v>1132</v>
      </c>
      <c r="C1153" s="52">
        <f t="shared" ca="1" si="153"/>
        <v>3.0519881812992367</v>
      </c>
      <c r="D1153" s="53">
        <f t="shared" ca="1" si="154"/>
        <v>4803220344.6757336</v>
      </c>
      <c r="E1153" s="53">
        <f t="shared" ca="1" si="155"/>
        <v>21188271387845.695</v>
      </c>
      <c r="F1153" s="53">
        <f t="shared" ca="1" si="156"/>
        <v>3319530998204.7612</v>
      </c>
      <c r="G1153" s="53">
        <f t="shared" ca="1" si="157"/>
        <v>8280192441288.3633</v>
      </c>
      <c r="H1153" s="53">
        <f t="shared" ca="1" si="158"/>
        <v>3319530998204.7612</v>
      </c>
      <c r="I1153" s="53">
        <f t="shared" ca="1" si="159"/>
        <v>2451436497394.7744</v>
      </c>
      <c r="J1153" s="53">
        <f t="shared" ca="1" si="160"/>
        <v>1004850330555.2172</v>
      </c>
      <c r="K1153" s="54">
        <f t="shared" ca="1" si="161"/>
        <v>2.4396036134458599</v>
      </c>
    </row>
    <row r="1154" spans="2:11" ht="15" customHeight="1" x14ac:dyDescent="0.35">
      <c r="B1154" s="5">
        <v>1133</v>
      </c>
      <c r="C1154" s="52">
        <f t="shared" ca="1" si="153"/>
        <v>3.3179335569396997</v>
      </c>
      <c r="D1154" s="53">
        <f t="shared" ca="1" si="154"/>
        <v>8407581792.0849075</v>
      </c>
      <c r="E1154" s="53">
        <f t="shared" ca="1" si="155"/>
        <v>68623385502748.914</v>
      </c>
      <c r="F1154" s="53">
        <f t="shared" ca="1" si="156"/>
        <v>20783168982724.918</v>
      </c>
      <c r="G1154" s="53">
        <f t="shared" ca="1" si="157"/>
        <v>4090000869224.2173</v>
      </c>
      <c r="H1154" s="53">
        <f t="shared" ca="1" si="158"/>
        <v>4090000869224.2173</v>
      </c>
      <c r="I1154" s="53">
        <f t="shared" ca="1" si="159"/>
        <v>2548430450077.1162</v>
      </c>
      <c r="J1154" s="53">
        <f t="shared" ca="1" si="160"/>
        <v>1023370782950.9059</v>
      </c>
      <c r="K1154" s="54">
        <f t="shared" ca="1" si="161"/>
        <v>2.4902317835659491</v>
      </c>
    </row>
    <row r="1155" spans="2:11" ht="15" customHeight="1" x14ac:dyDescent="0.35">
      <c r="B1155" s="5">
        <v>1134</v>
      </c>
      <c r="C1155" s="52">
        <f t="shared" ca="1" si="153"/>
        <v>3.0036918521380067</v>
      </c>
      <c r="D1155" s="53">
        <f t="shared" ca="1" si="154"/>
        <v>4542884849.9949436</v>
      </c>
      <c r="E1155" s="53">
        <f t="shared" ca="1" si="155"/>
        <v>6476749837272.3896</v>
      </c>
      <c r="F1155" s="53">
        <f t="shared" ca="1" si="156"/>
        <v>19925593027066.32</v>
      </c>
      <c r="G1155" s="53">
        <f t="shared" ca="1" si="157"/>
        <v>2411477560157.8799</v>
      </c>
      <c r="H1155" s="53">
        <f t="shared" ca="1" si="158"/>
        <v>19925593027066.32</v>
      </c>
      <c r="I1155" s="53">
        <f t="shared" ca="1" si="159"/>
        <v>15280804503313.424</v>
      </c>
      <c r="J1155" s="53">
        <f t="shared" ca="1" si="160"/>
        <v>885397243630.63477</v>
      </c>
      <c r="K1155" s="54">
        <f t="shared" ca="1" si="161"/>
        <v>17.258698977482005</v>
      </c>
    </row>
    <row r="1156" spans="2:11" ht="15" customHeight="1" x14ac:dyDescent="0.35">
      <c r="B1156" s="5">
        <v>1135</v>
      </c>
      <c r="C1156" s="52">
        <f t="shared" ca="1" si="153"/>
        <v>3.6888601152760989</v>
      </c>
      <c r="D1156" s="53">
        <f t="shared" ca="1" si="154"/>
        <v>15078609015.579418</v>
      </c>
      <c r="E1156" s="53">
        <f t="shared" ca="1" si="155"/>
        <v>19626083178626.457</v>
      </c>
      <c r="F1156" s="53">
        <f t="shared" ca="1" si="156"/>
        <v>1836652990620.731</v>
      </c>
      <c r="G1156" s="53">
        <f t="shared" ca="1" si="157"/>
        <v>15399183382643.141</v>
      </c>
      <c r="H1156" s="53">
        <f t="shared" ca="1" si="158"/>
        <v>15399183382643.141</v>
      </c>
      <c r="I1156" s="53">
        <f t="shared" ca="1" si="159"/>
        <v>1848488151610.9895</v>
      </c>
      <c r="J1156" s="53">
        <f t="shared" ca="1" si="160"/>
        <v>851108953898.05725</v>
      </c>
      <c r="K1156" s="54">
        <f t="shared" ca="1" si="161"/>
        <v>2.1718584244061363</v>
      </c>
    </row>
    <row r="1157" spans="2:11" ht="15" customHeight="1" x14ac:dyDescent="0.35">
      <c r="B1157" s="5">
        <v>1136</v>
      </c>
      <c r="C1157" s="52">
        <f t="shared" ca="1" si="153"/>
        <v>3.187293327910568</v>
      </c>
      <c r="D1157" s="53">
        <f t="shared" ca="1" si="154"/>
        <v>6574389870.6874409</v>
      </c>
      <c r="E1157" s="53">
        <f t="shared" ca="1" si="155"/>
        <v>13112884532768.479</v>
      </c>
      <c r="F1157" s="53">
        <f t="shared" ca="1" si="156"/>
        <v>6419613412692.2314</v>
      </c>
      <c r="G1157" s="53">
        <f t="shared" ca="1" si="157"/>
        <v>2362237127453.9683</v>
      </c>
      <c r="H1157" s="53">
        <f t="shared" ca="1" si="158"/>
        <v>6419613412692.2314</v>
      </c>
      <c r="I1157" s="53">
        <f t="shared" ca="1" si="159"/>
        <v>11002250081824.063</v>
      </c>
      <c r="J1157" s="53">
        <f t="shared" ca="1" si="160"/>
        <v>803788430529.66907</v>
      </c>
      <c r="K1157" s="54">
        <f t="shared" ca="1" si="161"/>
        <v>13.687992591003029</v>
      </c>
    </row>
    <row r="1158" spans="2:11" ht="15" customHeight="1" x14ac:dyDescent="0.35">
      <c r="B1158" s="5">
        <v>1137</v>
      </c>
      <c r="C1158" s="52">
        <f t="shared" ca="1" si="153"/>
        <v>3.7079854036221409</v>
      </c>
      <c r="D1158" s="53">
        <f t="shared" ca="1" si="154"/>
        <v>16492157815.017775</v>
      </c>
      <c r="E1158" s="53">
        <f t="shared" ca="1" si="155"/>
        <v>28222762645739.703</v>
      </c>
      <c r="F1158" s="53">
        <f t="shared" ca="1" si="156"/>
        <v>1726175875238.635</v>
      </c>
      <c r="G1158" s="53">
        <f t="shared" ca="1" si="157"/>
        <v>3255035887241.3599</v>
      </c>
      <c r="H1158" s="53">
        <f t="shared" ca="1" si="158"/>
        <v>3255035887241.3599</v>
      </c>
      <c r="I1158" s="53">
        <f t="shared" ca="1" si="159"/>
        <v>8068116925163.1953</v>
      </c>
      <c r="J1158" s="53">
        <f t="shared" ca="1" si="160"/>
        <v>1324584534625.9482</v>
      </c>
      <c r="K1158" s="54">
        <f t="shared" ca="1" si="161"/>
        <v>6.0910547528335481</v>
      </c>
    </row>
    <row r="1159" spans="2:11" ht="15" customHeight="1" x14ac:dyDescent="0.35">
      <c r="B1159" s="5">
        <v>1138</v>
      </c>
      <c r="C1159" s="52">
        <f t="shared" ca="1" si="153"/>
        <v>2.5711094029119508</v>
      </c>
      <c r="D1159" s="53">
        <f t="shared" ca="1" si="154"/>
        <v>2319925325.4785085</v>
      </c>
      <c r="E1159" s="53">
        <f t="shared" ca="1" si="155"/>
        <v>20316936756034.465</v>
      </c>
      <c r="F1159" s="53">
        <f t="shared" ca="1" si="156"/>
        <v>2693726774011.022</v>
      </c>
      <c r="G1159" s="53">
        <f t="shared" ca="1" si="157"/>
        <v>7971024120804.334</v>
      </c>
      <c r="H1159" s="53">
        <f t="shared" ca="1" si="158"/>
        <v>7971024120804.334</v>
      </c>
      <c r="I1159" s="53">
        <f t="shared" ca="1" si="159"/>
        <v>367580969877.3186</v>
      </c>
      <c r="J1159" s="53">
        <f t="shared" ca="1" si="160"/>
        <v>1313274135758.0881</v>
      </c>
      <c r="K1159" s="54">
        <f t="shared" ca="1" si="161"/>
        <v>0.27989660335854577</v>
      </c>
    </row>
    <row r="1160" spans="2:11" ht="15" customHeight="1" x14ac:dyDescent="0.35">
      <c r="B1160" s="5">
        <v>1139</v>
      </c>
      <c r="C1160" s="52">
        <f t="shared" ca="1" si="153"/>
        <v>3.4175323256890016</v>
      </c>
      <c r="D1160" s="53">
        <f t="shared" ca="1" si="154"/>
        <v>8166867705.4864101</v>
      </c>
      <c r="E1160" s="53">
        <f t="shared" ca="1" si="155"/>
        <v>59161686871984.039</v>
      </c>
      <c r="F1160" s="53">
        <f t="shared" ca="1" si="156"/>
        <v>5413486389633.957</v>
      </c>
      <c r="G1160" s="53">
        <f t="shared" ca="1" si="157"/>
        <v>5561936694429.2041</v>
      </c>
      <c r="H1160" s="53">
        <f t="shared" ca="1" si="158"/>
        <v>59161686871984.039</v>
      </c>
      <c r="I1160" s="53">
        <f t="shared" ca="1" si="159"/>
        <v>1858229383865.8906</v>
      </c>
      <c r="J1160" s="53">
        <f t="shared" ca="1" si="160"/>
        <v>1355432496138.314</v>
      </c>
      <c r="K1160" s="54">
        <f t="shared" ca="1" si="161"/>
        <v>1.3709494122061163</v>
      </c>
    </row>
    <row r="1161" spans="2:11" ht="15" customHeight="1" x14ac:dyDescent="0.35">
      <c r="B1161" s="5">
        <v>1140</v>
      </c>
      <c r="C1161" s="52">
        <f t="shared" ca="1" si="153"/>
        <v>3.0914512834279155</v>
      </c>
      <c r="D1161" s="53">
        <f t="shared" ca="1" si="154"/>
        <v>4789190599.7516003</v>
      </c>
      <c r="E1161" s="53">
        <f t="shared" ca="1" si="155"/>
        <v>89520376794995.422</v>
      </c>
      <c r="F1161" s="53">
        <f t="shared" ca="1" si="156"/>
        <v>342014341259.93622</v>
      </c>
      <c r="G1161" s="53">
        <f t="shared" ca="1" si="157"/>
        <v>1707562430236.7253</v>
      </c>
      <c r="H1161" s="53">
        <f t="shared" ca="1" si="158"/>
        <v>89520376794995.422</v>
      </c>
      <c r="I1161" s="53">
        <f t="shared" ca="1" si="159"/>
        <v>1222365623792.4148</v>
      </c>
      <c r="J1161" s="53">
        <f t="shared" ca="1" si="160"/>
        <v>557247481588.80566</v>
      </c>
      <c r="K1161" s="54">
        <f t="shared" ca="1" si="161"/>
        <v>2.1935776547742236</v>
      </c>
    </row>
    <row r="1162" spans="2:11" ht="15" customHeight="1" x14ac:dyDescent="0.35">
      <c r="B1162" s="5">
        <v>1141</v>
      </c>
      <c r="C1162" s="52">
        <f t="shared" ca="1" si="153"/>
        <v>3.4515764670502835</v>
      </c>
      <c r="D1162" s="53">
        <f t="shared" ca="1" si="154"/>
        <v>11111410811.246399</v>
      </c>
      <c r="E1162" s="53">
        <f t="shared" ca="1" si="155"/>
        <v>35567403392260.461</v>
      </c>
      <c r="F1162" s="53">
        <f t="shared" ca="1" si="156"/>
        <v>8932964246838.5762</v>
      </c>
      <c r="G1162" s="53">
        <f t="shared" ca="1" si="157"/>
        <v>25070420588549.57</v>
      </c>
      <c r="H1162" s="53">
        <f t="shared" ca="1" si="158"/>
        <v>8932964246838.5762</v>
      </c>
      <c r="I1162" s="53">
        <f t="shared" ca="1" si="159"/>
        <v>37294576999084.32</v>
      </c>
      <c r="J1162" s="53">
        <f t="shared" ca="1" si="160"/>
        <v>1257891555096.3</v>
      </c>
      <c r="K1162" s="54">
        <f t="shared" ca="1" si="161"/>
        <v>29.648483486503071</v>
      </c>
    </row>
    <row r="1163" spans="2:11" ht="15" customHeight="1" x14ac:dyDescent="0.35">
      <c r="B1163" s="5">
        <v>1142</v>
      </c>
      <c r="C1163" s="52">
        <f t="shared" ca="1" si="153"/>
        <v>3.1741631274729292</v>
      </c>
      <c r="D1163" s="53">
        <f t="shared" ca="1" si="154"/>
        <v>6177150662.0208797</v>
      </c>
      <c r="E1163" s="53">
        <f t="shared" ca="1" si="155"/>
        <v>28414828635609.84</v>
      </c>
      <c r="F1163" s="53">
        <f t="shared" ca="1" si="156"/>
        <v>935971360823.70593</v>
      </c>
      <c r="G1163" s="53">
        <f t="shared" ca="1" si="157"/>
        <v>985219076584.29309</v>
      </c>
      <c r="H1163" s="53">
        <f t="shared" ca="1" si="158"/>
        <v>935971360823.70593</v>
      </c>
      <c r="I1163" s="53">
        <f t="shared" ca="1" si="159"/>
        <v>7276622963912.8975</v>
      </c>
      <c r="J1163" s="53">
        <f t="shared" ca="1" si="160"/>
        <v>1139220646022.146</v>
      </c>
      <c r="K1163" s="54">
        <f t="shared" ca="1" si="161"/>
        <v>6.3873692855909168</v>
      </c>
    </row>
    <row r="1164" spans="2:11" ht="15" customHeight="1" x14ac:dyDescent="0.35">
      <c r="B1164" s="5">
        <v>1143</v>
      </c>
      <c r="C1164" s="52">
        <f t="shared" ca="1" si="153"/>
        <v>2.613965506709099</v>
      </c>
      <c r="D1164" s="53">
        <f t="shared" ca="1" si="154"/>
        <v>2603322851.2197261</v>
      </c>
      <c r="E1164" s="53">
        <f t="shared" ca="1" si="155"/>
        <v>9187791246531.7012</v>
      </c>
      <c r="F1164" s="53">
        <f t="shared" ca="1" si="156"/>
        <v>795567586187.76318</v>
      </c>
      <c r="G1164" s="53">
        <f t="shared" ca="1" si="157"/>
        <v>735993605070.26123</v>
      </c>
      <c r="H1164" s="53">
        <f t="shared" ca="1" si="158"/>
        <v>795567586187.76318</v>
      </c>
      <c r="I1164" s="53">
        <f t="shared" ca="1" si="159"/>
        <v>7932256470384.5586</v>
      </c>
      <c r="J1164" s="53">
        <f t="shared" ca="1" si="160"/>
        <v>795752052224.3158</v>
      </c>
      <c r="K1164" s="54">
        <f t="shared" ca="1" si="161"/>
        <v>9.9682513519280533</v>
      </c>
    </row>
    <row r="1165" spans="2:11" ht="15" customHeight="1" x14ac:dyDescent="0.35">
      <c r="B1165" s="5">
        <v>1144</v>
      </c>
      <c r="C1165" s="52">
        <f t="shared" ca="1" si="153"/>
        <v>3.4397467659059782</v>
      </c>
      <c r="D1165" s="53">
        <f t="shared" ca="1" si="154"/>
        <v>10192357883.473576</v>
      </c>
      <c r="E1165" s="53">
        <f t="shared" ca="1" si="155"/>
        <v>28838207714834.664</v>
      </c>
      <c r="F1165" s="53">
        <f t="shared" ca="1" si="156"/>
        <v>8164465909218.8535</v>
      </c>
      <c r="G1165" s="53">
        <f t="shared" ca="1" si="157"/>
        <v>60925292899385.203</v>
      </c>
      <c r="H1165" s="53">
        <f t="shared" ca="1" si="158"/>
        <v>8164465909218.8535</v>
      </c>
      <c r="I1165" s="53">
        <f t="shared" ca="1" si="159"/>
        <v>2193849234505.355</v>
      </c>
      <c r="J1165" s="53">
        <f t="shared" ca="1" si="160"/>
        <v>1054798104548.6165</v>
      </c>
      <c r="K1165" s="54">
        <f t="shared" ca="1" si="161"/>
        <v>2.0798759734633547</v>
      </c>
    </row>
    <row r="1166" spans="2:11" ht="15" customHeight="1" x14ac:dyDescent="0.35">
      <c r="B1166" s="5">
        <v>1145</v>
      </c>
      <c r="C1166" s="52">
        <f t="shared" ca="1" si="153"/>
        <v>2.7477859414013688</v>
      </c>
      <c r="D1166" s="53">
        <f t="shared" ca="1" si="154"/>
        <v>2665389595.9836936</v>
      </c>
      <c r="E1166" s="53">
        <f t="shared" ca="1" si="155"/>
        <v>3485087915994.4438</v>
      </c>
      <c r="F1166" s="53">
        <f t="shared" ca="1" si="156"/>
        <v>26431333018330.527</v>
      </c>
      <c r="G1166" s="53">
        <f t="shared" ca="1" si="157"/>
        <v>4106046728062.4624</v>
      </c>
      <c r="H1166" s="53">
        <f t="shared" ca="1" si="158"/>
        <v>4106046728062.4624</v>
      </c>
      <c r="I1166" s="53">
        <f t="shared" ca="1" si="159"/>
        <v>1774979022815.8601</v>
      </c>
      <c r="J1166" s="53">
        <f t="shared" ca="1" si="160"/>
        <v>744407969932.61133</v>
      </c>
      <c r="K1166" s="54">
        <f t="shared" ca="1" si="161"/>
        <v>2.3844170058745378</v>
      </c>
    </row>
    <row r="1167" spans="2:11" ht="15" customHeight="1" x14ac:dyDescent="0.35">
      <c r="B1167" s="5">
        <v>1146</v>
      </c>
      <c r="C1167" s="52">
        <f t="shared" ca="1" si="153"/>
        <v>2.8839927307064133</v>
      </c>
      <c r="D1167" s="53">
        <f t="shared" ca="1" si="154"/>
        <v>4043349813.0114865</v>
      </c>
      <c r="E1167" s="53">
        <f t="shared" ca="1" si="155"/>
        <v>33289876730302.867</v>
      </c>
      <c r="F1167" s="53">
        <f t="shared" ca="1" si="156"/>
        <v>8552558050229.9531</v>
      </c>
      <c r="G1167" s="53">
        <f t="shared" ca="1" si="157"/>
        <v>31201890361426.34</v>
      </c>
      <c r="H1167" s="53">
        <f t="shared" ca="1" si="158"/>
        <v>33289876730302.867</v>
      </c>
      <c r="I1167" s="53">
        <f t="shared" ca="1" si="159"/>
        <v>2357523275299.9009</v>
      </c>
      <c r="J1167" s="53">
        <f t="shared" ca="1" si="160"/>
        <v>870647383584.52368</v>
      </c>
      <c r="K1167" s="54">
        <f t="shared" ca="1" si="161"/>
        <v>2.7077819559897973</v>
      </c>
    </row>
    <row r="1168" spans="2:11" ht="15" customHeight="1" x14ac:dyDescent="0.35">
      <c r="B1168" s="5">
        <v>1147</v>
      </c>
      <c r="C1168" s="52">
        <f t="shared" ca="1" si="153"/>
        <v>3.8396918487543243</v>
      </c>
      <c r="D1168" s="53">
        <f t="shared" ca="1" si="154"/>
        <v>15775558184.637403</v>
      </c>
      <c r="E1168" s="53">
        <f t="shared" ca="1" si="155"/>
        <v>22460893576619.121</v>
      </c>
      <c r="F1168" s="53">
        <f t="shared" ca="1" si="156"/>
        <v>1015473033958.1296</v>
      </c>
      <c r="G1168" s="53">
        <f t="shared" ca="1" si="157"/>
        <v>2693982997012.8462</v>
      </c>
      <c r="H1168" s="53">
        <f t="shared" ca="1" si="158"/>
        <v>22460893576619.121</v>
      </c>
      <c r="I1168" s="53">
        <f t="shared" ca="1" si="159"/>
        <v>15478220776035.648</v>
      </c>
      <c r="J1168" s="53">
        <f t="shared" ca="1" si="160"/>
        <v>924370670743.0354</v>
      </c>
      <c r="K1168" s="54">
        <f t="shared" ca="1" si="161"/>
        <v>16.744603940747943</v>
      </c>
    </row>
    <row r="1169" spans="2:11" ht="15" customHeight="1" x14ac:dyDescent="0.35">
      <c r="B1169" s="5">
        <v>1148</v>
      </c>
      <c r="C1169" s="52">
        <f t="shared" ca="1" si="153"/>
        <v>2.8192272306071167</v>
      </c>
      <c r="D1169" s="53">
        <f t="shared" ca="1" si="154"/>
        <v>3774703770.6592412</v>
      </c>
      <c r="E1169" s="53">
        <f t="shared" ca="1" si="155"/>
        <v>18944093085775.211</v>
      </c>
      <c r="F1169" s="53">
        <f t="shared" ca="1" si="156"/>
        <v>6331964483852.4023</v>
      </c>
      <c r="G1169" s="53">
        <f t="shared" ca="1" si="157"/>
        <v>8697348608989.6729</v>
      </c>
      <c r="H1169" s="53">
        <f t="shared" ca="1" si="158"/>
        <v>18944093085775.211</v>
      </c>
      <c r="I1169" s="53">
        <f t="shared" ca="1" si="159"/>
        <v>36934002317783.555</v>
      </c>
      <c r="J1169" s="53">
        <f t="shared" ca="1" si="160"/>
        <v>549185968991.05475</v>
      </c>
      <c r="K1169" s="54">
        <f t="shared" ca="1" si="161"/>
        <v>67.25226863613689</v>
      </c>
    </row>
    <row r="1170" spans="2:11" ht="15" customHeight="1" x14ac:dyDescent="0.35">
      <c r="B1170" s="5">
        <v>1149</v>
      </c>
      <c r="C1170" s="52">
        <f t="shared" ca="1" si="153"/>
        <v>2.660732340705267</v>
      </c>
      <c r="D1170" s="53">
        <f t="shared" ca="1" si="154"/>
        <v>2900360197.6491637</v>
      </c>
      <c r="E1170" s="53">
        <f t="shared" ca="1" si="155"/>
        <v>14266220324556.504</v>
      </c>
      <c r="F1170" s="53">
        <f t="shared" ca="1" si="156"/>
        <v>9243195689218.2168</v>
      </c>
      <c r="G1170" s="53">
        <f t="shared" ca="1" si="157"/>
        <v>18768562214058.848</v>
      </c>
      <c r="H1170" s="53">
        <f t="shared" ca="1" si="158"/>
        <v>9243195689218.2168</v>
      </c>
      <c r="I1170" s="53">
        <f t="shared" ca="1" si="159"/>
        <v>57631809145191.992</v>
      </c>
      <c r="J1170" s="53">
        <f t="shared" ca="1" si="160"/>
        <v>779339206176.56726</v>
      </c>
      <c r="K1170" s="54">
        <f t="shared" ca="1" si="161"/>
        <v>73.949582785566818</v>
      </c>
    </row>
    <row r="1171" spans="2:11" ht="15" customHeight="1" x14ac:dyDescent="0.35">
      <c r="B1171" s="5">
        <v>1150</v>
      </c>
      <c r="C1171" s="52">
        <f t="shared" ca="1" si="153"/>
        <v>2.8399438332423803</v>
      </c>
      <c r="D1171" s="53">
        <f t="shared" ca="1" si="154"/>
        <v>3953652402.5841308</v>
      </c>
      <c r="E1171" s="53">
        <f t="shared" ca="1" si="155"/>
        <v>49052553083410.648</v>
      </c>
      <c r="F1171" s="53">
        <f t="shared" ca="1" si="156"/>
        <v>1217835546342.9961</v>
      </c>
      <c r="G1171" s="53">
        <f t="shared" ca="1" si="157"/>
        <v>28355953737408.285</v>
      </c>
      <c r="H1171" s="53">
        <f t="shared" ca="1" si="158"/>
        <v>28355953737408.285</v>
      </c>
      <c r="I1171" s="53">
        <f t="shared" ca="1" si="159"/>
        <v>1331318530270.7549</v>
      </c>
      <c r="J1171" s="53">
        <f t="shared" ca="1" si="160"/>
        <v>1278686944086.613</v>
      </c>
      <c r="K1171" s="54">
        <f t="shared" ca="1" si="161"/>
        <v>1.041160650327698</v>
      </c>
    </row>
    <row r="1172" spans="2:11" ht="15" customHeight="1" x14ac:dyDescent="0.35">
      <c r="B1172" s="5">
        <v>1151</v>
      </c>
      <c r="C1172" s="52">
        <f t="shared" ca="1" si="153"/>
        <v>3.165501524916932</v>
      </c>
      <c r="D1172" s="53">
        <f t="shared" ca="1" si="154"/>
        <v>6220612557.0372047</v>
      </c>
      <c r="E1172" s="53">
        <f t="shared" ca="1" si="155"/>
        <v>37226116536940.008</v>
      </c>
      <c r="F1172" s="53">
        <f t="shared" ca="1" si="156"/>
        <v>1275144702272.2361</v>
      </c>
      <c r="G1172" s="53">
        <f t="shared" ca="1" si="157"/>
        <v>491983749215.88495</v>
      </c>
      <c r="H1172" s="53">
        <f t="shared" ca="1" si="158"/>
        <v>1275144702272.2361</v>
      </c>
      <c r="I1172" s="53">
        <f t="shared" ca="1" si="159"/>
        <v>627759219571.54871</v>
      </c>
      <c r="J1172" s="53">
        <f t="shared" ca="1" si="160"/>
        <v>565217786806.25903</v>
      </c>
      <c r="K1172" s="54">
        <f t="shared" ca="1" si="161"/>
        <v>1.1106501497744392</v>
      </c>
    </row>
    <row r="1173" spans="2:11" ht="15" customHeight="1" x14ac:dyDescent="0.35">
      <c r="B1173" s="5">
        <v>1152</v>
      </c>
      <c r="C1173" s="52">
        <f t="shared" ca="1" si="153"/>
        <v>3.5869945576110887</v>
      </c>
      <c r="D1173" s="53">
        <f t="shared" ca="1" si="154"/>
        <v>9696722875.8325119</v>
      </c>
      <c r="E1173" s="53">
        <f t="shared" ca="1" si="155"/>
        <v>29274531031422.238</v>
      </c>
      <c r="F1173" s="53">
        <f t="shared" ca="1" si="156"/>
        <v>2605116196630.0239</v>
      </c>
      <c r="G1173" s="53">
        <f t="shared" ca="1" si="157"/>
        <v>26855323586083.504</v>
      </c>
      <c r="H1173" s="53">
        <f t="shared" ca="1" si="158"/>
        <v>29274531031422.238</v>
      </c>
      <c r="I1173" s="53">
        <f t="shared" ca="1" si="159"/>
        <v>10002071400548.027</v>
      </c>
      <c r="J1173" s="53">
        <f t="shared" ca="1" si="160"/>
        <v>955157696464.24719</v>
      </c>
      <c r="K1173" s="54">
        <f t="shared" ca="1" si="161"/>
        <v>10.471644041160085</v>
      </c>
    </row>
    <row r="1174" spans="2:11" ht="15" customHeight="1" x14ac:dyDescent="0.35">
      <c r="B1174" s="5">
        <v>1153</v>
      </c>
      <c r="C1174" s="52">
        <f t="shared" ref="C1174:C1237" ca="1" si="162">MEDIAN(1.8,NORMINV(RAND(),$C$7,$D$7),4.5)</f>
        <v>2.7399077144763018</v>
      </c>
      <c r="D1174" s="53">
        <f t="shared" ref="D1174:D1237" ca="1" si="163">($C$8+RAND()*($D$8-$C$8))*C1174^5</f>
        <v>3458580302.0476637</v>
      </c>
      <c r="E1174" s="53">
        <f t="shared" ref="E1174:E1237" ca="1" si="164">D1174*($C$10+RAND()*($D$10-$C$10))*EXP(NORMINV(RAND(),$C$9,$D$9))*($C$11+RAND()*($D$11-$C$11))</f>
        <v>11307800200308.164</v>
      </c>
      <c r="F1174" s="53">
        <f t="shared" ref="F1174:F1237" ca="1" si="165">EXP(NORMINV(RAND(),$C$12,$D$12))*EXP(NORMINV(RAND(),$C$13,$D$13))</f>
        <v>6965014383446.6621</v>
      </c>
      <c r="G1174" s="53">
        <f t="shared" ref="G1174:G1237" ca="1" si="166">EXP(NORMINV(RAND(),$C$14,$D$14))*($C$15+RAND()*($D$15-$C$15))*EXP(NORMINV(RAND(),$C$16,$D$16))/1000000*31536000</f>
        <v>1574794031996.8552</v>
      </c>
      <c r="H1174" s="53">
        <f t="shared" ref="H1174:H1237" ca="1" si="167">CHOOSE(RANDBETWEEN(1,3),E1174,F1174,G1174)</f>
        <v>11307800200308.164</v>
      </c>
      <c r="I1174" s="53">
        <f t="shared" ref="I1174:I1237" ca="1" si="168">EXP(NORMINV(RAND(),$C$14,$D$14))*($C$15+RAND()*($D$15-$C$15))*60</f>
        <v>12194982109141.285</v>
      </c>
      <c r="J1174" s="53">
        <f t="shared" ref="J1174:J1237" ca="1" si="169">($C$17+RAND()*($D$17-$C$17))*($C$18+RAND()*($D$18-$C$18))</f>
        <v>815365654735.88953</v>
      </c>
      <c r="K1174" s="54">
        <f t="shared" ref="K1174:K1237" ca="1" si="170">I1174/J1174</f>
        <v>14.956457925728357</v>
      </c>
    </row>
    <row r="1175" spans="2:11" ht="15" customHeight="1" x14ac:dyDescent="0.35">
      <c r="B1175" s="5">
        <v>1154</v>
      </c>
      <c r="C1175" s="52">
        <f t="shared" ca="1" si="162"/>
        <v>2.8749587315669891</v>
      </c>
      <c r="D1175" s="53">
        <f t="shared" ca="1" si="163"/>
        <v>4473973318.7243595</v>
      </c>
      <c r="E1175" s="53">
        <f t="shared" ca="1" si="164"/>
        <v>13588133552450.355</v>
      </c>
      <c r="F1175" s="53">
        <f t="shared" ca="1" si="165"/>
        <v>417776606970.21515</v>
      </c>
      <c r="G1175" s="53">
        <f t="shared" ca="1" si="166"/>
        <v>1296872758655.4387</v>
      </c>
      <c r="H1175" s="53">
        <f t="shared" ca="1" si="167"/>
        <v>1296872758655.4387</v>
      </c>
      <c r="I1175" s="53">
        <f t="shared" ca="1" si="168"/>
        <v>2031330339865.8767</v>
      </c>
      <c r="J1175" s="53">
        <f t="shared" ca="1" si="169"/>
        <v>1239553921695.0193</v>
      </c>
      <c r="K1175" s="54">
        <f t="shared" ca="1" si="170"/>
        <v>1.6387591570749487</v>
      </c>
    </row>
    <row r="1176" spans="2:11" ht="15" customHeight="1" x14ac:dyDescent="0.35">
      <c r="B1176" s="5">
        <v>1155</v>
      </c>
      <c r="C1176" s="52">
        <f t="shared" ca="1" si="162"/>
        <v>3.8982159688464448</v>
      </c>
      <c r="D1176" s="53">
        <f t="shared" ca="1" si="163"/>
        <v>17111305287.149134</v>
      </c>
      <c r="E1176" s="53">
        <f t="shared" ca="1" si="164"/>
        <v>84115788249554.531</v>
      </c>
      <c r="F1176" s="53">
        <f t="shared" ca="1" si="165"/>
        <v>4974886206452.9102</v>
      </c>
      <c r="G1176" s="53">
        <f t="shared" ca="1" si="166"/>
        <v>8944588041613.2656</v>
      </c>
      <c r="H1176" s="53">
        <f t="shared" ca="1" si="167"/>
        <v>8944588041613.2656</v>
      </c>
      <c r="I1176" s="53">
        <f t="shared" ca="1" si="168"/>
        <v>34713099524311.91</v>
      </c>
      <c r="J1176" s="53">
        <f t="shared" ca="1" si="169"/>
        <v>1598135038839.2241</v>
      </c>
      <c r="K1176" s="54">
        <f t="shared" ca="1" si="170"/>
        <v>21.721005222140132</v>
      </c>
    </row>
    <row r="1177" spans="2:11" ht="15" customHeight="1" x14ac:dyDescent="0.35">
      <c r="B1177" s="5">
        <v>1156</v>
      </c>
      <c r="C1177" s="52">
        <f t="shared" ca="1" si="162"/>
        <v>3.0668881979243312</v>
      </c>
      <c r="D1177" s="53">
        <f t="shared" ca="1" si="163"/>
        <v>5288461023.980154</v>
      </c>
      <c r="E1177" s="53">
        <f t="shared" ca="1" si="164"/>
        <v>39584787888619.531</v>
      </c>
      <c r="F1177" s="53">
        <f t="shared" ca="1" si="165"/>
        <v>1494959509146.1143</v>
      </c>
      <c r="G1177" s="53">
        <f t="shared" ca="1" si="166"/>
        <v>1081774002218.8665</v>
      </c>
      <c r="H1177" s="53">
        <f t="shared" ca="1" si="167"/>
        <v>39584787888619.531</v>
      </c>
      <c r="I1177" s="53">
        <f t="shared" ca="1" si="168"/>
        <v>7808250135969.7832</v>
      </c>
      <c r="J1177" s="53">
        <f t="shared" ca="1" si="169"/>
        <v>527164527189.9812</v>
      </c>
      <c r="K1177" s="54">
        <f t="shared" ca="1" si="170"/>
        <v>14.811789741603425</v>
      </c>
    </row>
    <row r="1178" spans="2:11" ht="15" customHeight="1" x14ac:dyDescent="0.35">
      <c r="B1178" s="5">
        <v>1157</v>
      </c>
      <c r="C1178" s="52">
        <f t="shared" ca="1" si="162"/>
        <v>3.0740753108979648</v>
      </c>
      <c r="D1178" s="53">
        <f t="shared" ca="1" si="163"/>
        <v>5811203192.7827072</v>
      </c>
      <c r="E1178" s="53">
        <f t="shared" ca="1" si="164"/>
        <v>58762344570610.695</v>
      </c>
      <c r="F1178" s="53">
        <f t="shared" ca="1" si="165"/>
        <v>3413483214448.6953</v>
      </c>
      <c r="G1178" s="53">
        <f t="shared" ca="1" si="166"/>
        <v>20103465198337.785</v>
      </c>
      <c r="H1178" s="53">
        <f t="shared" ca="1" si="167"/>
        <v>3413483214448.6953</v>
      </c>
      <c r="I1178" s="53">
        <f t="shared" ca="1" si="168"/>
        <v>3665086237189.4771</v>
      </c>
      <c r="J1178" s="53">
        <f t="shared" ca="1" si="169"/>
        <v>649627693694.47192</v>
      </c>
      <c r="K1178" s="54">
        <f t="shared" ca="1" si="170"/>
        <v>5.6418257299745189</v>
      </c>
    </row>
    <row r="1179" spans="2:11" ht="15" customHeight="1" x14ac:dyDescent="0.35">
      <c r="B1179" s="5">
        <v>1158</v>
      </c>
      <c r="C1179" s="52">
        <f t="shared" ca="1" si="162"/>
        <v>3.0039075212862287</v>
      </c>
      <c r="D1179" s="53">
        <f t="shared" ca="1" si="163"/>
        <v>4615049500.4859695</v>
      </c>
      <c r="E1179" s="53">
        <f t="shared" ca="1" si="164"/>
        <v>44523347380588.508</v>
      </c>
      <c r="F1179" s="53">
        <f t="shared" ca="1" si="165"/>
        <v>1732306659744.384</v>
      </c>
      <c r="G1179" s="53">
        <f t="shared" ca="1" si="166"/>
        <v>6167880933540.7295</v>
      </c>
      <c r="H1179" s="53">
        <f t="shared" ca="1" si="167"/>
        <v>1732306659744.384</v>
      </c>
      <c r="I1179" s="53">
        <f t="shared" ca="1" si="168"/>
        <v>663801722702.10437</v>
      </c>
      <c r="J1179" s="53">
        <f t="shared" ca="1" si="169"/>
        <v>1095597181512.6604</v>
      </c>
      <c r="K1179" s="54">
        <f t="shared" ca="1" si="170"/>
        <v>0.60588118872815266</v>
      </c>
    </row>
    <row r="1180" spans="2:11" ht="15" customHeight="1" x14ac:dyDescent="0.35">
      <c r="B1180" s="5">
        <v>1159</v>
      </c>
      <c r="C1180" s="52">
        <f t="shared" ca="1" si="162"/>
        <v>3.2185308865860969</v>
      </c>
      <c r="D1180" s="53">
        <f t="shared" ca="1" si="163"/>
        <v>6775004868.1450377</v>
      </c>
      <c r="E1180" s="53">
        <f t="shared" ca="1" si="164"/>
        <v>13632343926079.621</v>
      </c>
      <c r="F1180" s="53">
        <f t="shared" ca="1" si="165"/>
        <v>1299105086071.4114</v>
      </c>
      <c r="G1180" s="53">
        <f t="shared" ca="1" si="166"/>
        <v>2998888670385.8042</v>
      </c>
      <c r="H1180" s="53">
        <f t="shared" ca="1" si="167"/>
        <v>13632343926079.621</v>
      </c>
      <c r="I1180" s="53">
        <f t="shared" ca="1" si="168"/>
        <v>456567773190.20642</v>
      </c>
      <c r="J1180" s="53">
        <f t="shared" ca="1" si="169"/>
        <v>1037358515324.8727</v>
      </c>
      <c r="K1180" s="54">
        <f t="shared" ca="1" si="170"/>
        <v>0.44012534378938578</v>
      </c>
    </row>
    <row r="1181" spans="2:11" ht="15" customHeight="1" x14ac:dyDescent="0.35">
      <c r="B1181" s="5">
        <v>1160</v>
      </c>
      <c r="C1181" s="52">
        <f t="shared" ca="1" si="162"/>
        <v>2.7763958721462525</v>
      </c>
      <c r="D1181" s="53">
        <f t="shared" ca="1" si="163"/>
        <v>3504981632.0202408</v>
      </c>
      <c r="E1181" s="53">
        <f t="shared" ca="1" si="164"/>
        <v>13637257938591.9</v>
      </c>
      <c r="F1181" s="53">
        <f t="shared" ca="1" si="165"/>
        <v>19639889482977.113</v>
      </c>
      <c r="G1181" s="53">
        <f t="shared" ca="1" si="166"/>
        <v>5947100016932.9297</v>
      </c>
      <c r="H1181" s="53">
        <f t="shared" ca="1" si="167"/>
        <v>13637257938591.9</v>
      </c>
      <c r="I1181" s="53">
        <f t="shared" ca="1" si="168"/>
        <v>9737623848825.0859</v>
      </c>
      <c r="J1181" s="53">
        <f t="shared" ca="1" si="169"/>
        <v>812593394637.43762</v>
      </c>
      <c r="K1181" s="54">
        <f t="shared" ca="1" si="170"/>
        <v>11.983390356218454</v>
      </c>
    </row>
    <row r="1182" spans="2:11" ht="15" customHeight="1" x14ac:dyDescent="0.35">
      <c r="B1182" s="5">
        <v>1161</v>
      </c>
      <c r="C1182" s="52">
        <f t="shared" ca="1" si="162"/>
        <v>3.2724748278275269</v>
      </c>
      <c r="D1182" s="53">
        <f t="shared" ca="1" si="163"/>
        <v>6024119708.7232208</v>
      </c>
      <c r="E1182" s="53">
        <f t="shared" ca="1" si="164"/>
        <v>4783023669924.2422</v>
      </c>
      <c r="F1182" s="53">
        <f t="shared" ca="1" si="165"/>
        <v>10645200307676.992</v>
      </c>
      <c r="G1182" s="53">
        <f t="shared" ca="1" si="166"/>
        <v>1691106412962.032</v>
      </c>
      <c r="H1182" s="53">
        <f t="shared" ca="1" si="167"/>
        <v>1691106412962.032</v>
      </c>
      <c r="I1182" s="53">
        <f t="shared" ca="1" si="168"/>
        <v>17967206316650.559</v>
      </c>
      <c r="J1182" s="53">
        <f t="shared" ca="1" si="169"/>
        <v>1078772331641.5187</v>
      </c>
      <c r="K1182" s="54">
        <f t="shared" ca="1" si="170"/>
        <v>16.655234649289419</v>
      </c>
    </row>
    <row r="1183" spans="2:11" ht="15" customHeight="1" x14ac:dyDescent="0.35">
      <c r="B1183" s="5">
        <v>1162</v>
      </c>
      <c r="C1183" s="52">
        <f t="shared" ca="1" si="162"/>
        <v>3.2919028203281453</v>
      </c>
      <c r="D1183" s="53">
        <f t="shared" ca="1" si="163"/>
        <v>9226435513.113102</v>
      </c>
      <c r="E1183" s="53">
        <f t="shared" ca="1" si="164"/>
        <v>69215117109286.031</v>
      </c>
      <c r="F1183" s="53">
        <f t="shared" ca="1" si="165"/>
        <v>811486726260.7251</v>
      </c>
      <c r="G1183" s="53">
        <f t="shared" ca="1" si="166"/>
        <v>18715205486781.645</v>
      </c>
      <c r="H1183" s="53">
        <f t="shared" ca="1" si="167"/>
        <v>18715205486781.645</v>
      </c>
      <c r="I1183" s="53">
        <f t="shared" ca="1" si="168"/>
        <v>1206328235084.5146</v>
      </c>
      <c r="J1183" s="53">
        <f t="shared" ca="1" si="169"/>
        <v>1331281311186.5911</v>
      </c>
      <c r="K1183" s="54">
        <f t="shared" ca="1" si="170"/>
        <v>0.90614074196632122</v>
      </c>
    </row>
    <row r="1184" spans="2:11" ht="15" customHeight="1" x14ac:dyDescent="0.35">
      <c r="B1184" s="5">
        <v>1163</v>
      </c>
      <c r="C1184" s="52">
        <f t="shared" ca="1" si="162"/>
        <v>2.9055885968980428</v>
      </c>
      <c r="D1184" s="53">
        <f t="shared" ca="1" si="163"/>
        <v>3519537792.4011979</v>
      </c>
      <c r="E1184" s="53">
        <f t="shared" ca="1" si="164"/>
        <v>50863180681453.172</v>
      </c>
      <c r="F1184" s="53">
        <f t="shared" ca="1" si="165"/>
        <v>253509195777.05847</v>
      </c>
      <c r="G1184" s="53">
        <f t="shared" ca="1" si="166"/>
        <v>2213518136391.2856</v>
      </c>
      <c r="H1184" s="53">
        <f t="shared" ca="1" si="167"/>
        <v>50863180681453.172</v>
      </c>
      <c r="I1184" s="53">
        <f t="shared" ca="1" si="168"/>
        <v>43754121243889.43</v>
      </c>
      <c r="J1184" s="53">
        <f t="shared" ca="1" si="169"/>
        <v>1120034710102.5105</v>
      </c>
      <c r="K1184" s="54">
        <f t="shared" ca="1" si="170"/>
        <v>39.064969013223582</v>
      </c>
    </row>
    <row r="1185" spans="2:11" ht="15" customHeight="1" x14ac:dyDescent="0.35">
      <c r="B1185" s="5">
        <v>1164</v>
      </c>
      <c r="C1185" s="52">
        <f t="shared" ca="1" si="162"/>
        <v>3.1519352293388594</v>
      </c>
      <c r="D1185" s="53">
        <f t="shared" ca="1" si="163"/>
        <v>5019497966.4495897</v>
      </c>
      <c r="E1185" s="53">
        <f t="shared" ca="1" si="164"/>
        <v>8086537078092.5967</v>
      </c>
      <c r="F1185" s="53">
        <f t="shared" ca="1" si="165"/>
        <v>2768145259772.7661</v>
      </c>
      <c r="G1185" s="53">
        <f t="shared" ca="1" si="166"/>
        <v>26520002027558.445</v>
      </c>
      <c r="H1185" s="53">
        <f t="shared" ca="1" si="167"/>
        <v>8086537078092.5967</v>
      </c>
      <c r="I1185" s="53">
        <f t="shared" ca="1" si="168"/>
        <v>12959189053738.273</v>
      </c>
      <c r="J1185" s="53">
        <f t="shared" ca="1" si="169"/>
        <v>971110983700.53845</v>
      </c>
      <c r="K1185" s="54">
        <f t="shared" ca="1" si="170"/>
        <v>13.344704437751988</v>
      </c>
    </row>
    <row r="1186" spans="2:11" ht="15" customHeight="1" x14ac:dyDescent="0.35">
      <c r="B1186" s="5">
        <v>1165</v>
      </c>
      <c r="C1186" s="52">
        <f t="shared" ca="1" si="162"/>
        <v>3.4790268987954671</v>
      </c>
      <c r="D1186" s="53">
        <f t="shared" ca="1" si="163"/>
        <v>8434481051.5217447</v>
      </c>
      <c r="E1186" s="53">
        <f t="shared" ca="1" si="164"/>
        <v>17301151025777.582</v>
      </c>
      <c r="F1186" s="53">
        <f t="shared" ca="1" si="165"/>
        <v>7538875248730.3809</v>
      </c>
      <c r="G1186" s="53">
        <f t="shared" ca="1" si="166"/>
        <v>8244624292599.6289</v>
      </c>
      <c r="H1186" s="53">
        <f t="shared" ca="1" si="167"/>
        <v>17301151025777.582</v>
      </c>
      <c r="I1186" s="53">
        <f t="shared" ca="1" si="168"/>
        <v>2510856865191.4551</v>
      </c>
      <c r="J1186" s="53">
        <f t="shared" ca="1" si="169"/>
        <v>1428827895158.0156</v>
      </c>
      <c r="K1186" s="54">
        <f t="shared" ca="1" si="170"/>
        <v>1.757284326335032</v>
      </c>
    </row>
    <row r="1187" spans="2:11" ht="15" customHeight="1" x14ac:dyDescent="0.35">
      <c r="B1187" s="5">
        <v>1166</v>
      </c>
      <c r="C1187" s="52">
        <f t="shared" ca="1" si="162"/>
        <v>3.2181202033990255</v>
      </c>
      <c r="D1187" s="53">
        <f t="shared" ca="1" si="163"/>
        <v>7802900272.9381371</v>
      </c>
      <c r="E1187" s="53">
        <f t="shared" ca="1" si="164"/>
        <v>28965570605523.703</v>
      </c>
      <c r="F1187" s="53">
        <f t="shared" ca="1" si="165"/>
        <v>896557777774.91211</v>
      </c>
      <c r="G1187" s="53">
        <f t="shared" ca="1" si="166"/>
        <v>10070279720353.918</v>
      </c>
      <c r="H1187" s="53">
        <f t="shared" ca="1" si="167"/>
        <v>28965570605523.703</v>
      </c>
      <c r="I1187" s="53">
        <f t="shared" ca="1" si="168"/>
        <v>1150543786163.7949</v>
      </c>
      <c r="J1187" s="53">
        <f t="shared" ca="1" si="169"/>
        <v>778428122638.45898</v>
      </c>
      <c r="K1187" s="54">
        <f t="shared" ca="1" si="170"/>
        <v>1.4780347121376614</v>
      </c>
    </row>
    <row r="1188" spans="2:11" ht="15" customHeight="1" x14ac:dyDescent="0.35">
      <c r="B1188" s="5">
        <v>1167</v>
      </c>
      <c r="C1188" s="52">
        <f t="shared" ca="1" si="162"/>
        <v>2.2780089856305654</v>
      </c>
      <c r="D1188" s="53">
        <f t="shared" ca="1" si="163"/>
        <v>1303135751.5801437</v>
      </c>
      <c r="E1188" s="53">
        <f t="shared" ca="1" si="164"/>
        <v>3909356905696.5986</v>
      </c>
      <c r="F1188" s="53">
        <f t="shared" ca="1" si="165"/>
        <v>3066280672421.4614</v>
      </c>
      <c r="G1188" s="53">
        <f t="shared" ca="1" si="166"/>
        <v>16153216172894.855</v>
      </c>
      <c r="H1188" s="53">
        <f t="shared" ca="1" si="167"/>
        <v>3066280672421.4614</v>
      </c>
      <c r="I1188" s="53">
        <f t="shared" ca="1" si="168"/>
        <v>12115729524159.191</v>
      </c>
      <c r="J1188" s="53">
        <f t="shared" ca="1" si="169"/>
        <v>1147526315448.5327</v>
      </c>
      <c r="K1188" s="54">
        <f t="shared" ca="1" si="170"/>
        <v>10.558127827703476</v>
      </c>
    </row>
    <row r="1189" spans="2:11" ht="15" customHeight="1" x14ac:dyDescent="0.35">
      <c r="B1189" s="5">
        <v>1168</v>
      </c>
      <c r="C1189" s="52">
        <f t="shared" ca="1" si="162"/>
        <v>3.3542814321339964</v>
      </c>
      <c r="D1189" s="53">
        <f t="shared" ca="1" si="163"/>
        <v>6930305626.2875729</v>
      </c>
      <c r="E1189" s="53">
        <f t="shared" ca="1" si="164"/>
        <v>22248178379156.281</v>
      </c>
      <c r="F1189" s="53">
        <f t="shared" ca="1" si="165"/>
        <v>12565086556527.922</v>
      </c>
      <c r="G1189" s="53">
        <f t="shared" ca="1" si="166"/>
        <v>7696566461005.2607</v>
      </c>
      <c r="H1189" s="53">
        <f t="shared" ca="1" si="167"/>
        <v>12565086556527.922</v>
      </c>
      <c r="I1189" s="53">
        <f t="shared" ca="1" si="168"/>
        <v>28307102308176.363</v>
      </c>
      <c r="J1189" s="53">
        <f t="shared" ca="1" si="169"/>
        <v>1735024333243.5237</v>
      </c>
      <c r="K1189" s="54">
        <f t="shared" ca="1" si="170"/>
        <v>16.315103924368564</v>
      </c>
    </row>
    <row r="1190" spans="2:11" ht="15" customHeight="1" x14ac:dyDescent="0.35">
      <c r="B1190" s="5">
        <v>1169</v>
      </c>
      <c r="C1190" s="52">
        <f t="shared" ca="1" si="162"/>
        <v>2.633216574680378</v>
      </c>
      <c r="D1190" s="53">
        <f t="shared" ca="1" si="163"/>
        <v>2892008200.1742911</v>
      </c>
      <c r="E1190" s="53">
        <f t="shared" ca="1" si="164"/>
        <v>70809684295588.703</v>
      </c>
      <c r="F1190" s="53">
        <f t="shared" ca="1" si="165"/>
        <v>5645679943532.0059</v>
      </c>
      <c r="G1190" s="53">
        <f t="shared" ca="1" si="166"/>
        <v>8900791359946.6934</v>
      </c>
      <c r="H1190" s="53">
        <f t="shared" ca="1" si="167"/>
        <v>70809684295588.703</v>
      </c>
      <c r="I1190" s="53">
        <f t="shared" ca="1" si="168"/>
        <v>41521055715066.023</v>
      </c>
      <c r="J1190" s="53">
        <f t="shared" ca="1" si="169"/>
        <v>1159869695409.3655</v>
      </c>
      <c r="K1190" s="54">
        <f t="shared" ca="1" si="170"/>
        <v>35.798034795978992</v>
      </c>
    </row>
    <row r="1191" spans="2:11" ht="15" customHeight="1" x14ac:dyDescent="0.35">
      <c r="B1191" s="5">
        <v>1170</v>
      </c>
      <c r="C1191" s="52">
        <f t="shared" ca="1" si="162"/>
        <v>2.5408232394600097</v>
      </c>
      <c r="D1191" s="53">
        <f t="shared" ca="1" si="163"/>
        <v>2411167428.3648734</v>
      </c>
      <c r="E1191" s="53">
        <f t="shared" ca="1" si="164"/>
        <v>1142195631603.9304</v>
      </c>
      <c r="F1191" s="53">
        <f t="shared" ca="1" si="165"/>
        <v>1655431076585.865</v>
      </c>
      <c r="G1191" s="53">
        <f t="shared" ca="1" si="166"/>
        <v>70778433977341.813</v>
      </c>
      <c r="H1191" s="53">
        <f t="shared" ca="1" si="167"/>
        <v>1655431076585.865</v>
      </c>
      <c r="I1191" s="53">
        <f t="shared" ca="1" si="168"/>
        <v>2403201291479.7031</v>
      </c>
      <c r="J1191" s="53">
        <f t="shared" ca="1" si="169"/>
        <v>957171480643.49512</v>
      </c>
      <c r="K1191" s="54">
        <f t="shared" ca="1" si="170"/>
        <v>2.5107322356324899</v>
      </c>
    </row>
    <row r="1192" spans="2:11" ht="15" customHeight="1" x14ac:dyDescent="0.35">
      <c r="B1192" s="5">
        <v>1171</v>
      </c>
      <c r="C1192" s="52">
        <f t="shared" ca="1" si="162"/>
        <v>3.1393929690584819</v>
      </c>
      <c r="D1192" s="53">
        <f t="shared" ca="1" si="163"/>
        <v>5795089547.073699</v>
      </c>
      <c r="E1192" s="53">
        <f t="shared" ca="1" si="164"/>
        <v>30899042363867.359</v>
      </c>
      <c r="F1192" s="53">
        <f t="shared" ca="1" si="165"/>
        <v>2657652094483.2983</v>
      </c>
      <c r="G1192" s="53">
        <f t="shared" ca="1" si="166"/>
        <v>1794824109512.5369</v>
      </c>
      <c r="H1192" s="53">
        <f t="shared" ca="1" si="167"/>
        <v>1794824109512.5369</v>
      </c>
      <c r="I1192" s="53">
        <f t="shared" ca="1" si="168"/>
        <v>1786897301953.3345</v>
      </c>
      <c r="J1192" s="53">
        <f t="shared" ca="1" si="169"/>
        <v>586161248543.95044</v>
      </c>
      <c r="K1192" s="54">
        <f t="shared" ca="1" si="170"/>
        <v>3.0484739589866501</v>
      </c>
    </row>
    <row r="1193" spans="2:11" ht="15" customHeight="1" x14ac:dyDescent="0.35">
      <c r="B1193" s="5">
        <v>1172</v>
      </c>
      <c r="C1193" s="52">
        <f t="shared" ca="1" si="162"/>
        <v>2.7039323928651302</v>
      </c>
      <c r="D1193" s="53">
        <f t="shared" ca="1" si="163"/>
        <v>3084593363.5129633</v>
      </c>
      <c r="E1193" s="53">
        <f t="shared" ca="1" si="164"/>
        <v>41088571445171.313</v>
      </c>
      <c r="F1193" s="53">
        <f t="shared" ca="1" si="165"/>
        <v>456363723322.32605</v>
      </c>
      <c r="G1193" s="53">
        <f t="shared" ca="1" si="166"/>
        <v>100821583780632.67</v>
      </c>
      <c r="H1193" s="53">
        <f t="shared" ca="1" si="167"/>
        <v>456363723322.32605</v>
      </c>
      <c r="I1193" s="53">
        <f t="shared" ca="1" si="168"/>
        <v>129285132881806.7</v>
      </c>
      <c r="J1193" s="53">
        <f t="shared" ca="1" si="169"/>
        <v>1007366786198.2001</v>
      </c>
      <c r="K1193" s="54">
        <f t="shared" ca="1" si="170"/>
        <v>128.3396818846177</v>
      </c>
    </row>
    <row r="1194" spans="2:11" ht="15" customHeight="1" x14ac:dyDescent="0.35">
      <c r="B1194" s="5">
        <v>1173</v>
      </c>
      <c r="C1194" s="52">
        <f t="shared" ca="1" si="162"/>
        <v>2.6945026520419679</v>
      </c>
      <c r="D1194" s="53">
        <f t="shared" ca="1" si="163"/>
        <v>3038432448.4254408</v>
      </c>
      <c r="E1194" s="53">
        <f t="shared" ca="1" si="164"/>
        <v>9182434252306.4219</v>
      </c>
      <c r="F1194" s="53">
        <f t="shared" ca="1" si="165"/>
        <v>12579379809001.236</v>
      </c>
      <c r="G1194" s="53">
        <f t="shared" ca="1" si="166"/>
        <v>5362297663917.9814</v>
      </c>
      <c r="H1194" s="53">
        <f t="shared" ca="1" si="167"/>
        <v>9182434252306.4219</v>
      </c>
      <c r="I1194" s="53">
        <f t="shared" ca="1" si="168"/>
        <v>4486782698976.6582</v>
      </c>
      <c r="J1194" s="53">
        <f t="shared" ca="1" si="169"/>
        <v>934917741386.7041</v>
      </c>
      <c r="K1194" s="54">
        <f t="shared" ca="1" si="170"/>
        <v>4.7991202865844631</v>
      </c>
    </row>
    <row r="1195" spans="2:11" ht="15" customHeight="1" x14ac:dyDescent="0.35">
      <c r="B1195" s="5">
        <v>1174</v>
      </c>
      <c r="C1195" s="52">
        <f t="shared" ca="1" si="162"/>
        <v>2.3687108384586408</v>
      </c>
      <c r="D1195" s="53">
        <f t="shared" ca="1" si="163"/>
        <v>1652043050.3488226</v>
      </c>
      <c r="E1195" s="53">
        <f t="shared" ca="1" si="164"/>
        <v>2341652040089.021</v>
      </c>
      <c r="F1195" s="53">
        <f t="shared" ca="1" si="165"/>
        <v>451701983516.84772</v>
      </c>
      <c r="G1195" s="53">
        <f t="shared" ca="1" si="166"/>
        <v>1609721188916.9641</v>
      </c>
      <c r="H1195" s="53">
        <f t="shared" ca="1" si="167"/>
        <v>451701983516.84772</v>
      </c>
      <c r="I1195" s="53">
        <f t="shared" ca="1" si="168"/>
        <v>14102505560963.662</v>
      </c>
      <c r="J1195" s="53">
        <f t="shared" ca="1" si="169"/>
        <v>1620280485033.571</v>
      </c>
      <c r="K1195" s="54">
        <f t="shared" ca="1" si="170"/>
        <v>8.7037433896338445</v>
      </c>
    </row>
    <row r="1196" spans="2:11" ht="15" customHeight="1" x14ac:dyDescent="0.35">
      <c r="B1196" s="5">
        <v>1175</v>
      </c>
      <c r="C1196" s="52">
        <f t="shared" ca="1" si="162"/>
        <v>2.842456579218775</v>
      </c>
      <c r="D1196" s="53">
        <f t="shared" ca="1" si="163"/>
        <v>3329392875.8356743</v>
      </c>
      <c r="E1196" s="53">
        <f t="shared" ca="1" si="164"/>
        <v>16871923328585.678</v>
      </c>
      <c r="F1196" s="53">
        <f t="shared" ca="1" si="165"/>
        <v>2549844857430.5581</v>
      </c>
      <c r="G1196" s="53">
        <f t="shared" ca="1" si="166"/>
        <v>15263842749065.779</v>
      </c>
      <c r="H1196" s="53">
        <f t="shared" ca="1" si="167"/>
        <v>15263842749065.779</v>
      </c>
      <c r="I1196" s="53">
        <f t="shared" ca="1" si="168"/>
        <v>860157876961.92029</v>
      </c>
      <c r="J1196" s="53">
        <f t="shared" ca="1" si="169"/>
        <v>676725369872.71838</v>
      </c>
      <c r="K1196" s="54">
        <f t="shared" ca="1" si="170"/>
        <v>1.2710590074725627</v>
      </c>
    </row>
    <row r="1197" spans="2:11" ht="15" customHeight="1" x14ac:dyDescent="0.35">
      <c r="B1197" s="5">
        <v>1176</v>
      </c>
      <c r="C1197" s="52">
        <f t="shared" ca="1" si="162"/>
        <v>2.803317798538659</v>
      </c>
      <c r="D1197" s="53">
        <f t="shared" ca="1" si="163"/>
        <v>3746909504.6219873</v>
      </c>
      <c r="E1197" s="53">
        <f t="shared" ca="1" si="164"/>
        <v>4400632614442.2383</v>
      </c>
      <c r="F1197" s="53">
        <f t="shared" ca="1" si="165"/>
        <v>834191217789.32764</v>
      </c>
      <c r="G1197" s="53">
        <f t="shared" ca="1" si="166"/>
        <v>32757163410042.031</v>
      </c>
      <c r="H1197" s="53">
        <f t="shared" ca="1" si="167"/>
        <v>32757163410042.031</v>
      </c>
      <c r="I1197" s="53">
        <f t="shared" ca="1" si="168"/>
        <v>3100199988362.9219</v>
      </c>
      <c r="J1197" s="53">
        <f t="shared" ca="1" si="169"/>
        <v>528833796263.58032</v>
      </c>
      <c r="K1197" s="54">
        <f t="shared" ca="1" si="170"/>
        <v>5.8623333271569624</v>
      </c>
    </row>
    <row r="1198" spans="2:11" ht="15" customHeight="1" x14ac:dyDescent="0.35">
      <c r="B1198" s="5">
        <v>1177</v>
      </c>
      <c r="C1198" s="52">
        <f t="shared" ca="1" si="162"/>
        <v>2.4080747291285682</v>
      </c>
      <c r="D1198" s="53">
        <f t="shared" ca="1" si="163"/>
        <v>1901431307.8552797</v>
      </c>
      <c r="E1198" s="53">
        <f t="shared" ca="1" si="164"/>
        <v>16639539437862.592</v>
      </c>
      <c r="F1198" s="53">
        <f t="shared" ca="1" si="165"/>
        <v>858232951956.74878</v>
      </c>
      <c r="G1198" s="53">
        <f t="shared" ca="1" si="166"/>
        <v>15427318397557.904</v>
      </c>
      <c r="H1198" s="53">
        <f t="shared" ca="1" si="167"/>
        <v>16639539437862.592</v>
      </c>
      <c r="I1198" s="53">
        <f t="shared" ca="1" si="168"/>
        <v>4581783910801.8398</v>
      </c>
      <c r="J1198" s="53">
        <f t="shared" ca="1" si="169"/>
        <v>665992810275.60168</v>
      </c>
      <c r="K1198" s="54">
        <f t="shared" ca="1" si="170"/>
        <v>6.8796296898547631</v>
      </c>
    </row>
    <row r="1199" spans="2:11" ht="15" customHeight="1" x14ac:dyDescent="0.35">
      <c r="B1199" s="5">
        <v>1178</v>
      </c>
      <c r="C1199" s="52">
        <f t="shared" ca="1" si="162"/>
        <v>3.404132500053997</v>
      </c>
      <c r="D1199" s="53">
        <f t="shared" ca="1" si="163"/>
        <v>8131541087.2936859</v>
      </c>
      <c r="E1199" s="53">
        <f t="shared" ca="1" si="164"/>
        <v>19057060543753.781</v>
      </c>
      <c r="F1199" s="53">
        <f t="shared" ca="1" si="165"/>
        <v>6641433495062.5537</v>
      </c>
      <c r="G1199" s="53">
        <f t="shared" ca="1" si="166"/>
        <v>23584289129218.852</v>
      </c>
      <c r="H1199" s="53">
        <f t="shared" ca="1" si="167"/>
        <v>6641433495062.5537</v>
      </c>
      <c r="I1199" s="53">
        <f t="shared" ca="1" si="168"/>
        <v>26793277078934.109</v>
      </c>
      <c r="J1199" s="53">
        <f t="shared" ca="1" si="169"/>
        <v>1155967375643.5876</v>
      </c>
      <c r="K1199" s="54">
        <f t="shared" ca="1" si="170"/>
        <v>23.178229458263807</v>
      </c>
    </row>
    <row r="1200" spans="2:11" ht="15" customHeight="1" x14ac:dyDescent="0.35">
      <c r="B1200" s="5">
        <v>1179</v>
      </c>
      <c r="C1200" s="52">
        <f t="shared" ca="1" si="162"/>
        <v>2.9909559991856463</v>
      </c>
      <c r="D1200" s="53">
        <f t="shared" ca="1" si="163"/>
        <v>4703995481.4264278</v>
      </c>
      <c r="E1200" s="53">
        <f t="shared" ca="1" si="164"/>
        <v>37856165192453.68</v>
      </c>
      <c r="F1200" s="53">
        <f t="shared" ca="1" si="165"/>
        <v>1097067154740.74</v>
      </c>
      <c r="G1200" s="53">
        <f t="shared" ca="1" si="166"/>
        <v>1744307313638.7148</v>
      </c>
      <c r="H1200" s="53">
        <f t="shared" ca="1" si="167"/>
        <v>1744307313638.7148</v>
      </c>
      <c r="I1200" s="53">
        <f t="shared" ca="1" si="168"/>
        <v>19153620071827.629</v>
      </c>
      <c r="J1200" s="53">
        <f t="shared" ca="1" si="169"/>
        <v>1682319977737.8191</v>
      </c>
      <c r="K1200" s="54">
        <f t="shared" ca="1" si="170"/>
        <v>11.385242002287285</v>
      </c>
    </row>
    <row r="1201" spans="2:11" ht="15" customHeight="1" x14ac:dyDescent="0.35">
      <c r="B1201" s="5">
        <v>1180</v>
      </c>
      <c r="C1201" s="52">
        <f t="shared" ca="1" si="162"/>
        <v>2.2859111824939014</v>
      </c>
      <c r="D1201" s="53">
        <f t="shared" ca="1" si="163"/>
        <v>1056690648.0104007</v>
      </c>
      <c r="E1201" s="53">
        <f t="shared" ca="1" si="164"/>
        <v>4338195592774.3086</v>
      </c>
      <c r="F1201" s="53">
        <f t="shared" ca="1" si="165"/>
        <v>1420260986267.0889</v>
      </c>
      <c r="G1201" s="53">
        <f t="shared" ca="1" si="166"/>
        <v>3626583272340.4512</v>
      </c>
      <c r="H1201" s="53">
        <f t="shared" ca="1" si="167"/>
        <v>3626583272340.4512</v>
      </c>
      <c r="I1201" s="53">
        <f t="shared" ca="1" si="168"/>
        <v>13765199944128.91</v>
      </c>
      <c r="J1201" s="53">
        <f t="shared" ca="1" si="169"/>
        <v>1419792900247.6877</v>
      </c>
      <c r="K1201" s="54">
        <f t="shared" ca="1" si="170"/>
        <v>9.695216775437828</v>
      </c>
    </row>
    <row r="1202" spans="2:11" ht="15" customHeight="1" x14ac:dyDescent="0.35">
      <c r="B1202" s="5">
        <v>1181</v>
      </c>
      <c r="C1202" s="52">
        <f t="shared" ca="1" si="162"/>
        <v>3.9733522843063538</v>
      </c>
      <c r="D1202" s="53">
        <f t="shared" ca="1" si="163"/>
        <v>16836621551.588808</v>
      </c>
      <c r="E1202" s="53">
        <f t="shared" ca="1" si="164"/>
        <v>43284336872506.367</v>
      </c>
      <c r="F1202" s="53">
        <f t="shared" ca="1" si="165"/>
        <v>7241441284771.4092</v>
      </c>
      <c r="G1202" s="53">
        <f t="shared" ca="1" si="166"/>
        <v>9470266452997.0508</v>
      </c>
      <c r="H1202" s="53">
        <f t="shared" ca="1" si="167"/>
        <v>43284336872506.367</v>
      </c>
      <c r="I1202" s="53">
        <f t="shared" ca="1" si="168"/>
        <v>45654484596442.391</v>
      </c>
      <c r="J1202" s="53">
        <f t="shared" ca="1" si="169"/>
        <v>539004209580.28815</v>
      </c>
      <c r="K1202" s="54">
        <f t="shared" ca="1" si="170"/>
        <v>84.701536249582588</v>
      </c>
    </row>
    <row r="1203" spans="2:11" ht="15" customHeight="1" x14ac:dyDescent="0.35">
      <c r="B1203" s="5">
        <v>1182</v>
      </c>
      <c r="C1203" s="52">
        <f t="shared" ca="1" si="162"/>
        <v>2.7318279661439595</v>
      </c>
      <c r="D1203" s="53">
        <f t="shared" ca="1" si="163"/>
        <v>3464200031.3095403</v>
      </c>
      <c r="E1203" s="53">
        <f t="shared" ca="1" si="164"/>
        <v>21774283262118.477</v>
      </c>
      <c r="F1203" s="53">
        <f t="shared" ca="1" si="165"/>
        <v>3711691425120.6577</v>
      </c>
      <c r="G1203" s="53">
        <f t="shared" ca="1" si="166"/>
        <v>572091411146.20398</v>
      </c>
      <c r="H1203" s="53">
        <f t="shared" ca="1" si="167"/>
        <v>3711691425120.6577</v>
      </c>
      <c r="I1203" s="53">
        <f t="shared" ca="1" si="168"/>
        <v>24847305114996.664</v>
      </c>
      <c r="J1203" s="53">
        <f t="shared" ca="1" si="169"/>
        <v>1119028358201.0208</v>
      </c>
      <c r="K1203" s="54">
        <f t="shared" ca="1" si="170"/>
        <v>22.204356961017361</v>
      </c>
    </row>
    <row r="1204" spans="2:11" ht="15" customHeight="1" x14ac:dyDescent="0.35">
      <c r="B1204" s="5">
        <v>1183</v>
      </c>
      <c r="C1204" s="52">
        <f t="shared" ca="1" si="162"/>
        <v>2.8546991387206759</v>
      </c>
      <c r="D1204" s="53">
        <f t="shared" ca="1" si="163"/>
        <v>3110714891.4143915</v>
      </c>
      <c r="E1204" s="53">
        <f t="shared" ca="1" si="164"/>
        <v>8486005631437.7979</v>
      </c>
      <c r="F1204" s="53">
        <f t="shared" ca="1" si="165"/>
        <v>3313028353628.6655</v>
      </c>
      <c r="G1204" s="53">
        <f t="shared" ca="1" si="166"/>
        <v>1575506090078.7385</v>
      </c>
      <c r="H1204" s="53">
        <f t="shared" ca="1" si="167"/>
        <v>8486005631437.7979</v>
      </c>
      <c r="I1204" s="53">
        <f t="shared" ca="1" si="168"/>
        <v>7592476556267.8506</v>
      </c>
      <c r="J1204" s="53">
        <f t="shared" ca="1" si="169"/>
        <v>675066927893.5625</v>
      </c>
      <c r="K1204" s="54">
        <f t="shared" ca="1" si="170"/>
        <v>11.246998249431282</v>
      </c>
    </row>
    <row r="1205" spans="2:11" ht="15" customHeight="1" x14ac:dyDescent="0.35">
      <c r="B1205" s="5">
        <v>1184</v>
      </c>
      <c r="C1205" s="52">
        <f t="shared" ca="1" si="162"/>
        <v>2.7727161609347468</v>
      </c>
      <c r="D1205" s="53">
        <f t="shared" ca="1" si="163"/>
        <v>3778133016.8465166</v>
      </c>
      <c r="E1205" s="53">
        <f t="shared" ca="1" si="164"/>
        <v>8722520135187.4111</v>
      </c>
      <c r="F1205" s="53">
        <f t="shared" ca="1" si="165"/>
        <v>3548482467140.3867</v>
      </c>
      <c r="G1205" s="53">
        <f t="shared" ca="1" si="166"/>
        <v>987302054820.17419</v>
      </c>
      <c r="H1205" s="53">
        <f t="shared" ca="1" si="167"/>
        <v>987302054820.17419</v>
      </c>
      <c r="I1205" s="53">
        <f t="shared" ca="1" si="168"/>
        <v>6508667658380.4863</v>
      </c>
      <c r="J1205" s="53">
        <f t="shared" ca="1" si="169"/>
        <v>474520075803.97253</v>
      </c>
      <c r="K1205" s="54">
        <f t="shared" ca="1" si="170"/>
        <v>13.716316738239039</v>
      </c>
    </row>
    <row r="1206" spans="2:11" ht="15" customHeight="1" x14ac:dyDescent="0.35">
      <c r="B1206" s="5">
        <v>1185</v>
      </c>
      <c r="C1206" s="52">
        <f t="shared" ca="1" si="162"/>
        <v>2.4512952027437276</v>
      </c>
      <c r="D1206" s="53">
        <f t="shared" ca="1" si="163"/>
        <v>1435196150.2847986</v>
      </c>
      <c r="E1206" s="53">
        <f t="shared" ca="1" si="164"/>
        <v>2390706155010.7788</v>
      </c>
      <c r="F1206" s="53">
        <f t="shared" ca="1" si="165"/>
        <v>689254694642.64758</v>
      </c>
      <c r="G1206" s="53">
        <f t="shared" ca="1" si="166"/>
        <v>2530399449939.4126</v>
      </c>
      <c r="H1206" s="53">
        <f t="shared" ca="1" si="167"/>
        <v>2390706155010.7788</v>
      </c>
      <c r="I1206" s="53">
        <f t="shared" ca="1" si="168"/>
        <v>6912049435550.9111</v>
      </c>
      <c r="J1206" s="53">
        <f t="shared" ca="1" si="169"/>
        <v>1158860804763.8638</v>
      </c>
      <c r="K1206" s="54">
        <f t="shared" ca="1" si="170"/>
        <v>5.9645208528381897</v>
      </c>
    </row>
    <row r="1207" spans="2:11" ht="15" customHeight="1" x14ac:dyDescent="0.35">
      <c r="B1207" s="5">
        <v>1186</v>
      </c>
      <c r="C1207" s="52">
        <f t="shared" ca="1" si="162"/>
        <v>2.2392258485523593</v>
      </c>
      <c r="D1207" s="53">
        <f t="shared" ca="1" si="163"/>
        <v>1335512722.0804117</v>
      </c>
      <c r="E1207" s="53">
        <f t="shared" ca="1" si="164"/>
        <v>2685817634824.3359</v>
      </c>
      <c r="F1207" s="53">
        <f t="shared" ca="1" si="165"/>
        <v>960750093028.05737</v>
      </c>
      <c r="G1207" s="53">
        <f t="shared" ca="1" si="166"/>
        <v>1079513125996.4857</v>
      </c>
      <c r="H1207" s="53">
        <f t="shared" ca="1" si="167"/>
        <v>960750093028.05737</v>
      </c>
      <c r="I1207" s="53">
        <f t="shared" ca="1" si="168"/>
        <v>8868566918208.793</v>
      </c>
      <c r="J1207" s="53">
        <f t="shared" ca="1" si="169"/>
        <v>1500135202067.8701</v>
      </c>
      <c r="K1207" s="54">
        <f t="shared" ca="1" si="170"/>
        <v>5.9118450830190943</v>
      </c>
    </row>
    <row r="1208" spans="2:11" ht="15" customHeight="1" x14ac:dyDescent="0.35">
      <c r="B1208" s="5">
        <v>1187</v>
      </c>
      <c r="C1208" s="52">
        <f t="shared" ca="1" si="162"/>
        <v>3.2733785935421387</v>
      </c>
      <c r="D1208" s="53">
        <f t="shared" ca="1" si="163"/>
        <v>7851054167.9823389</v>
      </c>
      <c r="E1208" s="53">
        <f t="shared" ca="1" si="164"/>
        <v>20437687733548.133</v>
      </c>
      <c r="F1208" s="53">
        <f t="shared" ca="1" si="165"/>
        <v>1287781467419.6531</v>
      </c>
      <c r="G1208" s="53">
        <f t="shared" ca="1" si="166"/>
        <v>76033683566234.672</v>
      </c>
      <c r="H1208" s="53">
        <f t="shared" ca="1" si="167"/>
        <v>20437687733548.133</v>
      </c>
      <c r="I1208" s="53">
        <f t="shared" ca="1" si="168"/>
        <v>9234022942588.4395</v>
      </c>
      <c r="J1208" s="53">
        <f t="shared" ca="1" si="169"/>
        <v>1035275539026.4574</v>
      </c>
      <c r="K1208" s="54">
        <f t="shared" ca="1" si="170"/>
        <v>8.919386766610792</v>
      </c>
    </row>
    <row r="1209" spans="2:11" ht="15" customHeight="1" x14ac:dyDescent="0.35">
      <c r="B1209" s="5">
        <v>1188</v>
      </c>
      <c r="C1209" s="52">
        <f t="shared" ca="1" si="162"/>
        <v>3.6549542327889122</v>
      </c>
      <c r="D1209" s="53">
        <f t="shared" ca="1" si="163"/>
        <v>11929109376.768045</v>
      </c>
      <c r="E1209" s="53">
        <f t="shared" ca="1" si="164"/>
        <v>81478903660276.047</v>
      </c>
      <c r="F1209" s="53">
        <f t="shared" ca="1" si="165"/>
        <v>2083032534102.1072</v>
      </c>
      <c r="G1209" s="53">
        <f t="shared" ca="1" si="166"/>
        <v>7782987408628.7354</v>
      </c>
      <c r="H1209" s="53">
        <f t="shared" ca="1" si="167"/>
        <v>7782987408628.7354</v>
      </c>
      <c r="I1209" s="53">
        <f t="shared" ca="1" si="168"/>
        <v>18138584230994.824</v>
      </c>
      <c r="J1209" s="53">
        <f t="shared" ca="1" si="169"/>
        <v>1745508524584.2178</v>
      </c>
      <c r="K1209" s="54">
        <f t="shared" ca="1" si="170"/>
        <v>10.391575850547884</v>
      </c>
    </row>
    <row r="1210" spans="2:11" ht="15" customHeight="1" x14ac:dyDescent="0.35">
      <c r="B1210" s="5">
        <v>1189</v>
      </c>
      <c r="C1210" s="52">
        <f t="shared" ca="1" si="162"/>
        <v>3.760236589847163</v>
      </c>
      <c r="D1210" s="53">
        <f t="shared" ca="1" si="163"/>
        <v>17417975032.17548</v>
      </c>
      <c r="E1210" s="53">
        <f t="shared" ca="1" si="164"/>
        <v>33119301805716.41</v>
      </c>
      <c r="F1210" s="53">
        <f t="shared" ca="1" si="165"/>
        <v>908508977065.14514</v>
      </c>
      <c r="G1210" s="53">
        <f t="shared" ca="1" si="166"/>
        <v>3412836338034.7852</v>
      </c>
      <c r="H1210" s="53">
        <f t="shared" ca="1" si="167"/>
        <v>3412836338034.7852</v>
      </c>
      <c r="I1210" s="53">
        <f t="shared" ca="1" si="168"/>
        <v>10527159656749.498</v>
      </c>
      <c r="J1210" s="53">
        <f t="shared" ca="1" si="169"/>
        <v>1449903839378.0027</v>
      </c>
      <c r="K1210" s="54">
        <f t="shared" ca="1" si="170"/>
        <v>7.2605916136242294</v>
      </c>
    </row>
    <row r="1211" spans="2:11" ht="15" customHeight="1" x14ac:dyDescent="0.35">
      <c r="B1211" s="5">
        <v>1190</v>
      </c>
      <c r="C1211" s="52">
        <f t="shared" ca="1" si="162"/>
        <v>3.0406968516523039</v>
      </c>
      <c r="D1211" s="53">
        <f t="shared" ca="1" si="163"/>
        <v>4350729419.1661043</v>
      </c>
      <c r="E1211" s="53">
        <f t="shared" ca="1" si="164"/>
        <v>10072518135935.238</v>
      </c>
      <c r="F1211" s="53">
        <f t="shared" ca="1" si="165"/>
        <v>5425370557916.9053</v>
      </c>
      <c r="G1211" s="53">
        <f t="shared" ca="1" si="166"/>
        <v>4592657001174.0635</v>
      </c>
      <c r="H1211" s="53">
        <f t="shared" ca="1" si="167"/>
        <v>10072518135935.238</v>
      </c>
      <c r="I1211" s="53">
        <f t="shared" ca="1" si="168"/>
        <v>23784452072102.805</v>
      </c>
      <c r="J1211" s="53">
        <f t="shared" ca="1" si="169"/>
        <v>1243922271570.8062</v>
      </c>
      <c r="K1211" s="54">
        <f t="shared" ca="1" si="170"/>
        <v>19.120529164630327</v>
      </c>
    </row>
    <row r="1212" spans="2:11" ht="15" customHeight="1" x14ac:dyDescent="0.35">
      <c r="B1212" s="5">
        <v>1191</v>
      </c>
      <c r="C1212" s="52">
        <f t="shared" ca="1" si="162"/>
        <v>2.5162990998043657</v>
      </c>
      <c r="D1212" s="53">
        <f t="shared" ca="1" si="163"/>
        <v>2117020260.7470431</v>
      </c>
      <c r="E1212" s="53">
        <f t="shared" ca="1" si="164"/>
        <v>64989719338132.992</v>
      </c>
      <c r="F1212" s="53">
        <f t="shared" ca="1" si="165"/>
        <v>14163372740398.738</v>
      </c>
      <c r="G1212" s="53">
        <f t="shared" ca="1" si="166"/>
        <v>340187109040.09607</v>
      </c>
      <c r="H1212" s="53">
        <f t="shared" ca="1" si="167"/>
        <v>340187109040.09607</v>
      </c>
      <c r="I1212" s="53">
        <f t="shared" ca="1" si="168"/>
        <v>85490085021262.844</v>
      </c>
      <c r="J1212" s="53">
        <f t="shared" ca="1" si="169"/>
        <v>530236883689.3905</v>
      </c>
      <c r="K1212" s="54">
        <f t="shared" ca="1" si="170"/>
        <v>161.22998541033672</v>
      </c>
    </row>
    <row r="1213" spans="2:11" ht="15" customHeight="1" x14ac:dyDescent="0.35">
      <c r="B1213" s="5">
        <v>1192</v>
      </c>
      <c r="C1213" s="52">
        <f t="shared" ca="1" si="162"/>
        <v>2.2282748124930238</v>
      </c>
      <c r="D1213" s="53">
        <f t="shared" ca="1" si="163"/>
        <v>1190785283.0204051</v>
      </c>
      <c r="E1213" s="53">
        <f t="shared" ca="1" si="164"/>
        <v>3289468705609.2617</v>
      </c>
      <c r="F1213" s="53">
        <f t="shared" ca="1" si="165"/>
        <v>3495041539114.7817</v>
      </c>
      <c r="G1213" s="53">
        <f t="shared" ca="1" si="166"/>
        <v>22016727744914.605</v>
      </c>
      <c r="H1213" s="53">
        <f t="shared" ca="1" si="167"/>
        <v>3289468705609.2617</v>
      </c>
      <c r="I1213" s="53">
        <f t="shared" ca="1" si="168"/>
        <v>36229083582099.766</v>
      </c>
      <c r="J1213" s="53">
        <f t="shared" ca="1" si="169"/>
        <v>1269999751848.2195</v>
      </c>
      <c r="K1213" s="54">
        <f t="shared" ca="1" si="170"/>
        <v>28.526843040225714</v>
      </c>
    </row>
    <row r="1214" spans="2:11" ht="15" customHeight="1" x14ac:dyDescent="0.35">
      <c r="B1214" s="5">
        <v>1193</v>
      </c>
      <c r="C1214" s="52">
        <f t="shared" ca="1" si="162"/>
        <v>2.5046752615428161</v>
      </c>
      <c r="D1214" s="53">
        <f t="shared" ca="1" si="163"/>
        <v>1949107538.9206605</v>
      </c>
      <c r="E1214" s="53">
        <f t="shared" ca="1" si="164"/>
        <v>9994358302200.6719</v>
      </c>
      <c r="F1214" s="53">
        <f t="shared" ca="1" si="165"/>
        <v>6586610995621.5732</v>
      </c>
      <c r="G1214" s="53">
        <f t="shared" ca="1" si="166"/>
        <v>2208023840929.061</v>
      </c>
      <c r="H1214" s="53">
        <f t="shared" ca="1" si="167"/>
        <v>2208023840929.061</v>
      </c>
      <c r="I1214" s="53">
        <f t="shared" ca="1" si="168"/>
        <v>57340650605557.734</v>
      </c>
      <c r="J1214" s="53">
        <f t="shared" ca="1" si="169"/>
        <v>564254193887.1792</v>
      </c>
      <c r="K1214" s="54">
        <f t="shared" ca="1" si="170"/>
        <v>101.62201934297508</v>
      </c>
    </row>
    <row r="1215" spans="2:11" ht="15" customHeight="1" x14ac:dyDescent="0.35">
      <c r="B1215" s="5">
        <v>1194</v>
      </c>
      <c r="C1215" s="52">
        <f t="shared" ca="1" si="162"/>
        <v>3.395217577031616</v>
      </c>
      <c r="D1215" s="53">
        <f t="shared" ca="1" si="163"/>
        <v>9095342669.3679276</v>
      </c>
      <c r="E1215" s="53">
        <f t="shared" ca="1" si="164"/>
        <v>14769693895331.313</v>
      </c>
      <c r="F1215" s="53">
        <f t="shared" ca="1" si="165"/>
        <v>2249559466371.2148</v>
      </c>
      <c r="G1215" s="53">
        <f t="shared" ca="1" si="166"/>
        <v>5005808227342.4307</v>
      </c>
      <c r="H1215" s="53">
        <f t="shared" ca="1" si="167"/>
        <v>2249559466371.2148</v>
      </c>
      <c r="I1215" s="53">
        <f t="shared" ca="1" si="168"/>
        <v>16085657407824.463</v>
      </c>
      <c r="J1215" s="53">
        <f t="shared" ca="1" si="169"/>
        <v>895242697609.66675</v>
      </c>
      <c r="K1215" s="54">
        <f t="shared" ca="1" si="170"/>
        <v>17.967929200398732</v>
      </c>
    </row>
    <row r="1216" spans="2:11" ht="15" customHeight="1" x14ac:dyDescent="0.35">
      <c r="B1216" s="5">
        <v>1195</v>
      </c>
      <c r="C1216" s="52">
        <f t="shared" ca="1" si="162"/>
        <v>2.6522496927382218</v>
      </c>
      <c r="D1216" s="53">
        <f t="shared" ca="1" si="163"/>
        <v>2715833059.8684549</v>
      </c>
      <c r="E1216" s="53">
        <f t="shared" ca="1" si="164"/>
        <v>21318323662328.184</v>
      </c>
      <c r="F1216" s="53">
        <f t="shared" ca="1" si="165"/>
        <v>1860690470180.0483</v>
      </c>
      <c r="G1216" s="53">
        <f t="shared" ca="1" si="166"/>
        <v>36900459329017.523</v>
      </c>
      <c r="H1216" s="53">
        <f t="shared" ca="1" si="167"/>
        <v>36900459329017.523</v>
      </c>
      <c r="I1216" s="53">
        <f t="shared" ca="1" si="168"/>
        <v>3065627692443.2061</v>
      </c>
      <c r="J1216" s="53">
        <f t="shared" ca="1" si="169"/>
        <v>1492337597728.3196</v>
      </c>
      <c r="K1216" s="54">
        <f t="shared" ca="1" si="170"/>
        <v>2.0542454315362657</v>
      </c>
    </row>
    <row r="1217" spans="2:11" ht="15" customHeight="1" x14ac:dyDescent="0.35">
      <c r="B1217" s="5">
        <v>1196</v>
      </c>
      <c r="C1217" s="52">
        <f t="shared" ca="1" si="162"/>
        <v>2.8600680629056967</v>
      </c>
      <c r="D1217" s="53">
        <f t="shared" ca="1" si="163"/>
        <v>3143458734.4037619</v>
      </c>
      <c r="E1217" s="53">
        <f t="shared" ca="1" si="164"/>
        <v>5013862976301.7383</v>
      </c>
      <c r="F1217" s="53">
        <f t="shared" ca="1" si="165"/>
        <v>3830832326395.0161</v>
      </c>
      <c r="G1217" s="53">
        <f t="shared" ca="1" si="166"/>
        <v>11983055686119.418</v>
      </c>
      <c r="H1217" s="53">
        <f t="shared" ca="1" si="167"/>
        <v>11983055686119.418</v>
      </c>
      <c r="I1217" s="53">
        <f t="shared" ca="1" si="168"/>
        <v>6005561378187.9404</v>
      </c>
      <c r="J1217" s="53">
        <f t="shared" ca="1" si="169"/>
        <v>515967696102.69775</v>
      </c>
      <c r="K1217" s="54">
        <f t="shared" ca="1" si="170"/>
        <v>11.639413520556138</v>
      </c>
    </row>
    <row r="1218" spans="2:11" ht="15" customHeight="1" x14ac:dyDescent="0.35">
      <c r="B1218" s="5">
        <v>1197</v>
      </c>
      <c r="C1218" s="52">
        <f t="shared" ca="1" si="162"/>
        <v>2.575457849747341</v>
      </c>
      <c r="D1218" s="53">
        <f t="shared" ca="1" si="163"/>
        <v>2103469644.6055546</v>
      </c>
      <c r="E1218" s="53">
        <f t="shared" ca="1" si="164"/>
        <v>14893257151929.678</v>
      </c>
      <c r="F1218" s="53">
        <f t="shared" ca="1" si="165"/>
        <v>429468488497.55859</v>
      </c>
      <c r="G1218" s="53">
        <f t="shared" ca="1" si="166"/>
        <v>2873235277855.3208</v>
      </c>
      <c r="H1218" s="53">
        <f t="shared" ca="1" si="167"/>
        <v>14893257151929.678</v>
      </c>
      <c r="I1218" s="53">
        <f t="shared" ca="1" si="168"/>
        <v>2716943116154.3535</v>
      </c>
      <c r="J1218" s="53">
        <f t="shared" ca="1" si="169"/>
        <v>629463120152.98132</v>
      </c>
      <c r="K1218" s="54">
        <f t="shared" ca="1" si="170"/>
        <v>4.3162864180097511</v>
      </c>
    </row>
    <row r="1219" spans="2:11" ht="15" customHeight="1" x14ac:dyDescent="0.35">
      <c r="B1219" s="5">
        <v>1198</v>
      </c>
      <c r="C1219" s="52">
        <f t="shared" ca="1" si="162"/>
        <v>2.7597373410962587</v>
      </c>
      <c r="D1219" s="53">
        <f t="shared" ca="1" si="163"/>
        <v>3616118914.1200781</v>
      </c>
      <c r="E1219" s="53">
        <f t="shared" ca="1" si="164"/>
        <v>55492187093332.602</v>
      </c>
      <c r="F1219" s="53">
        <f t="shared" ca="1" si="165"/>
        <v>6609086702768.7949</v>
      </c>
      <c r="G1219" s="53">
        <f t="shared" ca="1" si="166"/>
        <v>469940336429.68567</v>
      </c>
      <c r="H1219" s="53">
        <f t="shared" ca="1" si="167"/>
        <v>6609086702768.7949</v>
      </c>
      <c r="I1219" s="53">
        <f t="shared" ca="1" si="168"/>
        <v>51463542658690.484</v>
      </c>
      <c r="J1219" s="53">
        <f t="shared" ca="1" si="169"/>
        <v>888370421668.58337</v>
      </c>
      <c r="K1219" s="54">
        <f t="shared" ca="1" si="170"/>
        <v>57.930274808147026</v>
      </c>
    </row>
    <row r="1220" spans="2:11" ht="15" customHeight="1" x14ac:dyDescent="0.35">
      <c r="B1220" s="5">
        <v>1199</v>
      </c>
      <c r="C1220" s="52">
        <f t="shared" ca="1" si="162"/>
        <v>3.4338925787626717</v>
      </c>
      <c r="D1220" s="53">
        <f t="shared" ca="1" si="163"/>
        <v>11413469253.070415</v>
      </c>
      <c r="E1220" s="53">
        <f t="shared" ca="1" si="164"/>
        <v>55324289705023.016</v>
      </c>
      <c r="F1220" s="53">
        <f t="shared" ca="1" si="165"/>
        <v>5973434768693.1553</v>
      </c>
      <c r="G1220" s="53">
        <f t="shared" ca="1" si="166"/>
        <v>930648633341.03711</v>
      </c>
      <c r="H1220" s="53">
        <f t="shared" ca="1" si="167"/>
        <v>930648633341.03711</v>
      </c>
      <c r="I1220" s="53">
        <f t="shared" ca="1" si="168"/>
        <v>2514509397864.4233</v>
      </c>
      <c r="J1220" s="53">
        <f t="shared" ca="1" si="169"/>
        <v>611441683737.98987</v>
      </c>
      <c r="K1220" s="54">
        <f t="shared" ca="1" si="170"/>
        <v>4.1124271778335624</v>
      </c>
    </row>
    <row r="1221" spans="2:11" ht="15" customHeight="1" x14ac:dyDescent="0.35">
      <c r="B1221" s="5">
        <v>1200</v>
      </c>
      <c r="C1221" s="52">
        <f t="shared" ca="1" si="162"/>
        <v>4.1145777515291755</v>
      </c>
      <c r="D1221" s="53">
        <f t="shared" ca="1" si="163"/>
        <v>27111568135.356274</v>
      </c>
      <c r="E1221" s="53">
        <f t="shared" ca="1" si="164"/>
        <v>51211851171213.625</v>
      </c>
      <c r="F1221" s="53">
        <f t="shared" ca="1" si="165"/>
        <v>5012296490318.9346</v>
      </c>
      <c r="G1221" s="53">
        <f t="shared" ca="1" si="166"/>
        <v>60789441023373.445</v>
      </c>
      <c r="H1221" s="53">
        <f t="shared" ca="1" si="167"/>
        <v>60789441023373.445</v>
      </c>
      <c r="I1221" s="53">
        <f t="shared" ca="1" si="168"/>
        <v>2173810897290.915</v>
      </c>
      <c r="J1221" s="53">
        <f t="shared" ca="1" si="169"/>
        <v>1482737767620.7485</v>
      </c>
      <c r="K1221" s="54">
        <f t="shared" ca="1" si="170"/>
        <v>1.4660791306200327</v>
      </c>
    </row>
    <row r="1222" spans="2:11" ht="15" customHeight="1" x14ac:dyDescent="0.35">
      <c r="B1222" s="5">
        <v>1201</v>
      </c>
      <c r="C1222" s="52">
        <f t="shared" ca="1" si="162"/>
        <v>3.3648002433816404</v>
      </c>
      <c r="D1222" s="53">
        <f t="shared" ca="1" si="163"/>
        <v>9041674471.8143139</v>
      </c>
      <c r="E1222" s="53">
        <f t="shared" ca="1" si="164"/>
        <v>43148084002017.023</v>
      </c>
      <c r="F1222" s="53">
        <f t="shared" ca="1" si="165"/>
        <v>2225601823993.7095</v>
      </c>
      <c r="G1222" s="53">
        <f t="shared" ca="1" si="166"/>
        <v>674433077360.63965</v>
      </c>
      <c r="H1222" s="53">
        <f t="shared" ca="1" si="167"/>
        <v>2225601823993.7095</v>
      </c>
      <c r="I1222" s="53">
        <f t="shared" ca="1" si="168"/>
        <v>6336913697484.207</v>
      </c>
      <c r="J1222" s="53">
        <f t="shared" ca="1" si="169"/>
        <v>1272390954439.8484</v>
      </c>
      <c r="K1222" s="54">
        <f t="shared" ca="1" si="170"/>
        <v>4.9803196693377476</v>
      </c>
    </row>
    <row r="1223" spans="2:11" ht="15" customHeight="1" x14ac:dyDescent="0.35">
      <c r="B1223" s="5">
        <v>1202</v>
      </c>
      <c r="C1223" s="52">
        <f t="shared" ca="1" si="162"/>
        <v>3.2422591817571442</v>
      </c>
      <c r="D1223" s="53">
        <f t="shared" ca="1" si="163"/>
        <v>7523983818.7578554</v>
      </c>
      <c r="E1223" s="53">
        <f t="shared" ca="1" si="164"/>
        <v>10639703370945.795</v>
      </c>
      <c r="F1223" s="53">
        <f t="shared" ca="1" si="165"/>
        <v>3314881514965.4893</v>
      </c>
      <c r="G1223" s="53">
        <f t="shared" ca="1" si="166"/>
        <v>13374000162377.563</v>
      </c>
      <c r="H1223" s="53">
        <f t="shared" ca="1" si="167"/>
        <v>3314881514965.4893</v>
      </c>
      <c r="I1223" s="53">
        <f t="shared" ca="1" si="168"/>
        <v>231020715100933.78</v>
      </c>
      <c r="J1223" s="53">
        <f t="shared" ca="1" si="169"/>
        <v>1144187092677.0203</v>
      </c>
      <c r="K1223" s="54">
        <f t="shared" ca="1" si="170"/>
        <v>201.90816395282133</v>
      </c>
    </row>
    <row r="1224" spans="2:11" ht="15" customHeight="1" x14ac:dyDescent="0.35">
      <c r="B1224" s="5">
        <v>1203</v>
      </c>
      <c r="C1224" s="52">
        <f t="shared" ca="1" si="162"/>
        <v>1.8</v>
      </c>
      <c r="D1224" s="53">
        <f t="shared" ca="1" si="163"/>
        <v>409947840.92180949</v>
      </c>
      <c r="E1224" s="53">
        <f t="shared" ca="1" si="164"/>
        <v>2522713975225.27</v>
      </c>
      <c r="F1224" s="53">
        <f t="shared" ca="1" si="165"/>
        <v>1140118155238.4226</v>
      </c>
      <c r="G1224" s="53">
        <f t="shared" ca="1" si="166"/>
        <v>5658764676378.1123</v>
      </c>
      <c r="H1224" s="53">
        <f t="shared" ca="1" si="167"/>
        <v>1140118155238.4226</v>
      </c>
      <c r="I1224" s="53">
        <f t="shared" ca="1" si="168"/>
        <v>25578042414689.949</v>
      </c>
      <c r="J1224" s="53">
        <f t="shared" ca="1" si="169"/>
        <v>1189012221568.0652</v>
      </c>
      <c r="K1224" s="54">
        <f t="shared" ca="1" si="170"/>
        <v>21.512009675525213</v>
      </c>
    </row>
    <row r="1225" spans="2:11" ht="15" customHeight="1" x14ac:dyDescent="0.35">
      <c r="B1225" s="5">
        <v>1204</v>
      </c>
      <c r="C1225" s="52">
        <f t="shared" ca="1" si="162"/>
        <v>3.2324718954683438</v>
      </c>
      <c r="D1225" s="53">
        <f t="shared" ca="1" si="163"/>
        <v>7889147304.4246902</v>
      </c>
      <c r="E1225" s="53">
        <f t="shared" ca="1" si="164"/>
        <v>50408544539788.305</v>
      </c>
      <c r="F1225" s="53">
        <f t="shared" ca="1" si="165"/>
        <v>778017884062.65247</v>
      </c>
      <c r="G1225" s="53">
        <f t="shared" ca="1" si="166"/>
        <v>4385828291801.3267</v>
      </c>
      <c r="H1225" s="53">
        <f t="shared" ca="1" si="167"/>
        <v>778017884062.65247</v>
      </c>
      <c r="I1225" s="53">
        <f t="shared" ca="1" si="168"/>
        <v>3412096544940.5049</v>
      </c>
      <c r="J1225" s="53">
        <f t="shared" ca="1" si="169"/>
        <v>689369632113.11292</v>
      </c>
      <c r="K1225" s="54">
        <f t="shared" ca="1" si="170"/>
        <v>4.9495892856223795</v>
      </c>
    </row>
    <row r="1226" spans="2:11" ht="15" customHeight="1" x14ac:dyDescent="0.35">
      <c r="B1226" s="5">
        <v>1205</v>
      </c>
      <c r="C1226" s="52">
        <f t="shared" ca="1" si="162"/>
        <v>1.8849423876588218</v>
      </c>
      <c r="D1226" s="53">
        <f t="shared" ca="1" si="163"/>
        <v>509982151.71557409</v>
      </c>
      <c r="E1226" s="53">
        <f t="shared" ca="1" si="164"/>
        <v>1030416515833.5323</v>
      </c>
      <c r="F1226" s="53">
        <f t="shared" ca="1" si="165"/>
        <v>2124243326825.1768</v>
      </c>
      <c r="G1226" s="53">
        <f t="shared" ca="1" si="166"/>
        <v>2633909935659.9634</v>
      </c>
      <c r="H1226" s="53">
        <f t="shared" ca="1" si="167"/>
        <v>2124243326825.1768</v>
      </c>
      <c r="I1226" s="53">
        <f t="shared" ca="1" si="168"/>
        <v>1398430295367.3066</v>
      </c>
      <c r="J1226" s="53">
        <f t="shared" ca="1" si="169"/>
        <v>1399758652572.5913</v>
      </c>
      <c r="K1226" s="54">
        <f t="shared" ca="1" si="170"/>
        <v>0.99905100982741324</v>
      </c>
    </row>
    <row r="1227" spans="2:11" ht="15" customHeight="1" x14ac:dyDescent="0.35">
      <c r="B1227" s="5">
        <v>1206</v>
      </c>
      <c r="C1227" s="52">
        <f t="shared" ca="1" si="162"/>
        <v>2.6282689296854089</v>
      </c>
      <c r="D1227" s="53">
        <f t="shared" ca="1" si="163"/>
        <v>2960302684.5835056</v>
      </c>
      <c r="E1227" s="53">
        <f t="shared" ca="1" si="164"/>
        <v>6336655638513.9434</v>
      </c>
      <c r="F1227" s="53">
        <f t="shared" ca="1" si="165"/>
        <v>9356831483727.4336</v>
      </c>
      <c r="G1227" s="53">
        <f t="shared" ca="1" si="166"/>
        <v>1010915746725.3455</v>
      </c>
      <c r="H1227" s="53">
        <f t="shared" ca="1" si="167"/>
        <v>1010915746725.3455</v>
      </c>
      <c r="I1227" s="53">
        <f t="shared" ca="1" si="168"/>
        <v>4378426754274.8374</v>
      </c>
      <c r="J1227" s="53">
        <f t="shared" ca="1" si="169"/>
        <v>1177819790756.5725</v>
      </c>
      <c r="K1227" s="54">
        <f t="shared" ca="1" si="170"/>
        <v>3.7173995450206818</v>
      </c>
    </row>
    <row r="1228" spans="2:11" ht="15" customHeight="1" x14ac:dyDescent="0.35">
      <c r="B1228" s="5">
        <v>1207</v>
      </c>
      <c r="C1228" s="52">
        <f t="shared" ca="1" si="162"/>
        <v>2.6685637604980532</v>
      </c>
      <c r="D1228" s="53">
        <f t="shared" ca="1" si="163"/>
        <v>2567914712.4309344</v>
      </c>
      <c r="E1228" s="53">
        <f t="shared" ca="1" si="164"/>
        <v>8012040482136.6758</v>
      </c>
      <c r="F1228" s="53">
        <f t="shared" ca="1" si="165"/>
        <v>1156437654636.1575</v>
      </c>
      <c r="G1228" s="53">
        <f t="shared" ca="1" si="166"/>
        <v>1507847334732.3989</v>
      </c>
      <c r="H1228" s="53">
        <f t="shared" ca="1" si="167"/>
        <v>1507847334732.3989</v>
      </c>
      <c r="I1228" s="53">
        <f t="shared" ca="1" si="168"/>
        <v>61904027738449.984</v>
      </c>
      <c r="J1228" s="53">
        <f t="shared" ca="1" si="169"/>
        <v>1066045189495.6708</v>
      </c>
      <c r="K1228" s="54">
        <f t="shared" ca="1" si="170"/>
        <v>58.068858945591046</v>
      </c>
    </row>
    <row r="1229" spans="2:11" ht="15" customHeight="1" x14ac:dyDescent="0.35">
      <c r="B1229" s="5">
        <v>1208</v>
      </c>
      <c r="C1229" s="52">
        <f t="shared" ca="1" si="162"/>
        <v>2.1327326020161057</v>
      </c>
      <c r="D1229" s="53">
        <f t="shared" ca="1" si="163"/>
        <v>885124428.32308495</v>
      </c>
      <c r="E1229" s="53">
        <f t="shared" ca="1" si="164"/>
        <v>970953100939.50452</v>
      </c>
      <c r="F1229" s="53">
        <f t="shared" ca="1" si="165"/>
        <v>3739076295470.2407</v>
      </c>
      <c r="G1229" s="53">
        <f t="shared" ca="1" si="166"/>
        <v>31820284009537.168</v>
      </c>
      <c r="H1229" s="53">
        <f t="shared" ca="1" si="167"/>
        <v>3739076295470.2407</v>
      </c>
      <c r="I1229" s="53">
        <f t="shared" ca="1" si="168"/>
        <v>2518223932180.5137</v>
      </c>
      <c r="J1229" s="53">
        <f t="shared" ca="1" si="169"/>
        <v>846272396031.52002</v>
      </c>
      <c r="K1229" s="54">
        <f t="shared" ca="1" si="170"/>
        <v>2.9756659250489372</v>
      </c>
    </row>
    <row r="1230" spans="2:11" ht="15" customHeight="1" x14ac:dyDescent="0.35">
      <c r="B1230" s="5">
        <v>1209</v>
      </c>
      <c r="C1230" s="52">
        <f t="shared" ca="1" si="162"/>
        <v>2.3805883646047357</v>
      </c>
      <c r="D1230" s="53">
        <f t="shared" ca="1" si="163"/>
        <v>1422209480.6668034</v>
      </c>
      <c r="E1230" s="53">
        <f t="shared" ca="1" si="164"/>
        <v>5865001533425.1396</v>
      </c>
      <c r="F1230" s="53">
        <f t="shared" ca="1" si="165"/>
        <v>4853075757901.2744</v>
      </c>
      <c r="G1230" s="53">
        <f t="shared" ca="1" si="166"/>
        <v>34848771064039.465</v>
      </c>
      <c r="H1230" s="53">
        <f t="shared" ca="1" si="167"/>
        <v>34848771064039.465</v>
      </c>
      <c r="I1230" s="53">
        <f t="shared" ca="1" si="168"/>
        <v>33329939025615.672</v>
      </c>
      <c r="J1230" s="53">
        <f t="shared" ca="1" si="169"/>
        <v>1035285124305.7571</v>
      </c>
      <c r="K1230" s="54">
        <f t="shared" ca="1" si="170"/>
        <v>32.193970765267302</v>
      </c>
    </row>
    <row r="1231" spans="2:11" ht="15" customHeight="1" x14ac:dyDescent="0.35">
      <c r="B1231" s="5">
        <v>1210</v>
      </c>
      <c r="C1231" s="52">
        <f t="shared" ca="1" si="162"/>
        <v>2.4138323925916128</v>
      </c>
      <c r="D1231" s="53">
        <f t="shared" ca="1" si="163"/>
        <v>1878218385.907944</v>
      </c>
      <c r="E1231" s="53">
        <f t="shared" ca="1" si="164"/>
        <v>12299952891782.844</v>
      </c>
      <c r="F1231" s="53">
        <f t="shared" ca="1" si="165"/>
        <v>5600176910549.4697</v>
      </c>
      <c r="G1231" s="53">
        <f t="shared" ca="1" si="166"/>
        <v>19582265171051.277</v>
      </c>
      <c r="H1231" s="53">
        <f t="shared" ca="1" si="167"/>
        <v>5600176910549.4697</v>
      </c>
      <c r="I1231" s="53">
        <f t="shared" ca="1" si="168"/>
        <v>16811556446576.41</v>
      </c>
      <c r="J1231" s="53">
        <f t="shared" ca="1" si="169"/>
        <v>1187309386190.5693</v>
      </c>
      <c r="K1231" s="54">
        <f t="shared" ca="1" si="170"/>
        <v>14.159372984084257</v>
      </c>
    </row>
    <row r="1232" spans="2:11" ht="15" customHeight="1" x14ac:dyDescent="0.35">
      <c r="B1232" s="5">
        <v>1211</v>
      </c>
      <c r="C1232" s="52">
        <f t="shared" ca="1" si="162"/>
        <v>2.9346464473299574</v>
      </c>
      <c r="D1232" s="53">
        <f t="shared" ca="1" si="163"/>
        <v>3881594620.0361791</v>
      </c>
      <c r="E1232" s="53">
        <f t="shared" ca="1" si="164"/>
        <v>18838402933406.844</v>
      </c>
      <c r="F1232" s="53">
        <f t="shared" ca="1" si="165"/>
        <v>5198646981156.748</v>
      </c>
      <c r="G1232" s="53">
        <f t="shared" ca="1" si="166"/>
        <v>260343057947.14975</v>
      </c>
      <c r="H1232" s="53">
        <f t="shared" ca="1" si="167"/>
        <v>260343057947.14975</v>
      </c>
      <c r="I1232" s="53">
        <f t="shared" ca="1" si="168"/>
        <v>43640770663680.156</v>
      </c>
      <c r="J1232" s="53">
        <f t="shared" ca="1" si="169"/>
        <v>967698226105.7926</v>
      </c>
      <c r="K1232" s="54">
        <f t="shared" ca="1" si="170"/>
        <v>45.097499908932534</v>
      </c>
    </row>
    <row r="1233" spans="2:11" ht="15" customHeight="1" x14ac:dyDescent="0.35">
      <c r="B1233" s="5">
        <v>1212</v>
      </c>
      <c r="C1233" s="52">
        <f t="shared" ca="1" si="162"/>
        <v>3.4137972092651503</v>
      </c>
      <c r="D1233" s="53">
        <f t="shared" ca="1" si="163"/>
        <v>10818518362.281332</v>
      </c>
      <c r="E1233" s="53">
        <f t="shared" ca="1" si="164"/>
        <v>81306756217710.063</v>
      </c>
      <c r="F1233" s="53">
        <f t="shared" ca="1" si="165"/>
        <v>2161667014239.446</v>
      </c>
      <c r="G1233" s="53">
        <f t="shared" ca="1" si="166"/>
        <v>15228250549150.143</v>
      </c>
      <c r="H1233" s="53">
        <f t="shared" ca="1" si="167"/>
        <v>2161667014239.446</v>
      </c>
      <c r="I1233" s="53">
        <f t="shared" ca="1" si="168"/>
        <v>34215950236814.039</v>
      </c>
      <c r="J1233" s="53">
        <f t="shared" ca="1" si="169"/>
        <v>1462308946723.9375</v>
      </c>
      <c r="K1233" s="54">
        <f t="shared" ca="1" si="170"/>
        <v>23.398578196125548</v>
      </c>
    </row>
    <row r="1234" spans="2:11" ht="15" customHeight="1" x14ac:dyDescent="0.35">
      <c r="B1234" s="5">
        <v>1213</v>
      </c>
      <c r="C1234" s="52">
        <f t="shared" ca="1" si="162"/>
        <v>3.101332361977176</v>
      </c>
      <c r="D1234" s="53">
        <f t="shared" ca="1" si="163"/>
        <v>6317975277.3290396</v>
      </c>
      <c r="E1234" s="53">
        <f t="shared" ca="1" si="164"/>
        <v>16057394200993.957</v>
      </c>
      <c r="F1234" s="53">
        <f t="shared" ca="1" si="165"/>
        <v>2682319008501.6367</v>
      </c>
      <c r="G1234" s="53">
        <f t="shared" ca="1" si="166"/>
        <v>4021688462468.0337</v>
      </c>
      <c r="H1234" s="53">
        <f t="shared" ca="1" si="167"/>
        <v>2682319008501.6367</v>
      </c>
      <c r="I1234" s="53">
        <f t="shared" ca="1" si="168"/>
        <v>28482825645114.203</v>
      </c>
      <c r="J1234" s="53">
        <f t="shared" ca="1" si="169"/>
        <v>684596582571.91895</v>
      </c>
      <c r="K1234" s="54">
        <f t="shared" ca="1" si="170"/>
        <v>41.605269979743134</v>
      </c>
    </row>
    <row r="1235" spans="2:11" ht="15" customHeight="1" x14ac:dyDescent="0.35">
      <c r="B1235" s="5">
        <v>1214</v>
      </c>
      <c r="C1235" s="52">
        <f t="shared" ca="1" si="162"/>
        <v>3.6163303668046654</v>
      </c>
      <c r="D1235" s="53">
        <f t="shared" ca="1" si="163"/>
        <v>13221073717.298338</v>
      </c>
      <c r="E1235" s="53">
        <f t="shared" ca="1" si="164"/>
        <v>96225350531527.875</v>
      </c>
      <c r="F1235" s="53">
        <f t="shared" ca="1" si="165"/>
        <v>2459278493295.4897</v>
      </c>
      <c r="G1235" s="53">
        <f t="shared" ca="1" si="166"/>
        <v>34659779932863.492</v>
      </c>
      <c r="H1235" s="53">
        <f t="shared" ca="1" si="167"/>
        <v>96225350531527.875</v>
      </c>
      <c r="I1235" s="53">
        <f t="shared" ca="1" si="168"/>
        <v>3836371726190.7334</v>
      </c>
      <c r="J1235" s="53">
        <f t="shared" ca="1" si="169"/>
        <v>681839804038.9165</v>
      </c>
      <c r="K1235" s="54">
        <f t="shared" ca="1" si="170"/>
        <v>5.6265001008532636</v>
      </c>
    </row>
    <row r="1236" spans="2:11" ht="15" customHeight="1" x14ac:dyDescent="0.35">
      <c r="B1236" s="5">
        <v>1215</v>
      </c>
      <c r="C1236" s="52">
        <f t="shared" ca="1" si="162"/>
        <v>3.5932972805136587</v>
      </c>
      <c r="D1236" s="53">
        <f t="shared" ca="1" si="163"/>
        <v>12745748533.992579</v>
      </c>
      <c r="E1236" s="53">
        <f t="shared" ca="1" si="164"/>
        <v>12413743308044.422</v>
      </c>
      <c r="F1236" s="53">
        <f t="shared" ca="1" si="165"/>
        <v>18125866836747.898</v>
      </c>
      <c r="G1236" s="53">
        <f t="shared" ca="1" si="166"/>
        <v>20516308245341.543</v>
      </c>
      <c r="H1236" s="53">
        <f t="shared" ca="1" si="167"/>
        <v>18125866836747.898</v>
      </c>
      <c r="I1236" s="53">
        <f t="shared" ca="1" si="168"/>
        <v>9219415045399.2676</v>
      </c>
      <c r="J1236" s="53">
        <f t="shared" ca="1" si="169"/>
        <v>1211617965881.7083</v>
      </c>
      <c r="K1236" s="54">
        <f t="shared" ca="1" si="170"/>
        <v>7.6091765762900305</v>
      </c>
    </row>
    <row r="1237" spans="2:11" ht="15" customHeight="1" x14ac:dyDescent="0.35">
      <c r="B1237" s="5">
        <v>1216</v>
      </c>
      <c r="C1237" s="52">
        <f t="shared" ca="1" si="162"/>
        <v>3.2462213639978712</v>
      </c>
      <c r="D1237" s="53">
        <f t="shared" ca="1" si="163"/>
        <v>7282364588.3419533</v>
      </c>
      <c r="E1237" s="53">
        <f t="shared" ca="1" si="164"/>
        <v>109961440146294.89</v>
      </c>
      <c r="F1237" s="53">
        <f t="shared" ca="1" si="165"/>
        <v>14432849894277.18</v>
      </c>
      <c r="G1237" s="53">
        <f t="shared" ca="1" si="166"/>
        <v>1194438511653.4048</v>
      </c>
      <c r="H1237" s="53">
        <f t="shared" ca="1" si="167"/>
        <v>14432849894277.18</v>
      </c>
      <c r="I1237" s="53">
        <f t="shared" ca="1" si="168"/>
        <v>18254271914072.949</v>
      </c>
      <c r="J1237" s="53">
        <f t="shared" ca="1" si="169"/>
        <v>1064770197794.8832</v>
      </c>
      <c r="K1237" s="54">
        <f t="shared" ca="1" si="170"/>
        <v>17.14386066766065</v>
      </c>
    </row>
    <row r="1238" spans="2:11" ht="15" customHeight="1" x14ac:dyDescent="0.35">
      <c r="B1238" s="5">
        <v>1217</v>
      </c>
      <c r="C1238" s="52">
        <f t="shared" ref="C1238:C1301" ca="1" si="171">MEDIAN(1.8,NORMINV(RAND(),$C$7,$D$7),4.5)</f>
        <v>2.3444761145727395</v>
      </c>
      <c r="D1238" s="53">
        <f t="shared" ref="D1238:D1301" ca="1" si="172">($C$8+RAND()*($D$8-$C$8))*C1238^5</f>
        <v>1587018540.3016815</v>
      </c>
      <c r="E1238" s="53">
        <f t="shared" ref="E1238:E1301" ca="1" si="173">D1238*($C$10+RAND()*($D$10-$C$10))*EXP(NORMINV(RAND(),$C$9,$D$9))*($C$11+RAND()*($D$11-$C$11))</f>
        <v>2689432433392.1514</v>
      </c>
      <c r="F1238" s="53">
        <f t="shared" ref="F1238:F1301" ca="1" si="174">EXP(NORMINV(RAND(),$C$12,$D$12))*EXP(NORMINV(RAND(),$C$13,$D$13))</f>
        <v>1158062935005.7988</v>
      </c>
      <c r="G1238" s="53">
        <f t="shared" ref="G1238:G1301" ca="1" si="175">EXP(NORMINV(RAND(),$C$14,$D$14))*($C$15+RAND()*($D$15-$C$15))*EXP(NORMINV(RAND(),$C$16,$D$16))/1000000*31536000</f>
        <v>23688244173915.746</v>
      </c>
      <c r="H1238" s="53">
        <f t="shared" ref="H1238:H1301" ca="1" si="176">CHOOSE(RANDBETWEEN(1,3),E1238,F1238,G1238)</f>
        <v>23688244173915.746</v>
      </c>
      <c r="I1238" s="53">
        <f t="shared" ref="I1238:I1301" ca="1" si="177">EXP(NORMINV(RAND(),$C$14,$D$14))*($C$15+RAND()*($D$15-$C$15))*60</f>
        <v>17422780405619.506</v>
      </c>
      <c r="J1238" s="53">
        <f t="shared" ref="J1238:J1301" ca="1" si="178">($C$17+RAND()*($D$17-$C$17))*($C$18+RAND()*($D$18-$C$18))</f>
        <v>1744813466358.509</v>
      </c>
      <c r="K1238" s="54">
        <f t="shared" ref="K1238:K1301" ca="1" si="179">I1238/J1238</f>
        <v>9.9854687859450681</v>
      </c>
    </row>
    <row r="1239" spans="2:11" ht="15" customHeight="1" x14ac:dyDescent="0.35">
      <c r="B1239" s="5">
        <v>1218</v>
      </c>
      <c r="C1239" s="52">
        <f t="shared" ca="1" si="171"/>
        <v>2.6728023699246242</v>
      </c>
      <c r="D1239" s="53">
        <f t="shared" ca="1" si="172"/>
        <v>2984991076.3023567</v>
      </c>
      <c r="E1239" s="53">
        <f t="shared" ca="1" si="173"/>
        <v>6991295358644.6357</v>
      </c>
      <c r="F1239" s="53">
        <f t="shared" ca="1" si="174"/>
        <v>27680266295905.77</v>
      </c>
      <c r="G1239" s="53">
        <f t="shared" ca="1" si="175"/>
        <v>7767631506657.0059</v>
      </c>
      <c r="H1239" s="53">
        <f t="shared" ca="1" si="176"/>
        <v>27680266295905.77</v>
      </c>
      <c r="I1239" s="53">
        <f t="shared" ca="1" si="177"/>
        <v>11206017028603.408</v>
      </c>
      <c r="J1239" s="53">
        <f t="shared" ca="1" si="178"/>
        <v>714156910905.60559</v>
      </c>
      <c r="K1239" s="54">
        <f t="shared" ca="1" si="179"/>
        <v>15.691253361104245</v>
      </c>
    </row>
    <row r="1240" spans="2:11" ht="15" customHeight="1" x14ac:dyDescent="0.35">
      <c r="B1240" s="5">
        <v>1219</v>
      </c>
      <c r="C1240" s="52">
        <f t="shared" ca="1" si="171"/>
        <v>3.3587593654219843</v>
      </c>
      <c r="D1240" s="53">
        <f t="shared" ca="1" si="172"/>
        <v>6992814704.1109257</v>
      </c>
      <c r="E1240" s="53">
        <f t="shared" ca="1" si="173"/>
        <v>47673155504798.82</v>
      </c>
      <c r="F1240" s="53">
        <f t="shared" ca="1" si="174"/>
        <v>48326713415273.625</v>
      </c>
      <c r="G1240" s="53">
        <f t="shared" ca="1" si="175"/>
        <v>1015571893842.674</v>
      </c>
      <c r="H1240" s="53">
        <f t="shared" ca="1" si="176"/>
        <v>48326713415273.625</v>
      </c>
      <c r="I1240" s="53">
        <f t="shared" ca="1" si="177"/>
        <v>17679335881064.777</v>
      </c>
      <c r="J1240" s="53">
        <f t="shared" ca="1" si="178"/>
        <v>1496315141368.3975</v>
      </c>
      <c r="K1240" s="54">
        <f t="shared" ca="1" si="179"/>
        <v>11.815248935392594</v>
      </c>
    </row>
    <row r="1241" spans="2:11" ht="15" customHeight="1" x14ac:dyDescent="0.35">
      <c r="B1241" s="5">
        <v>1220</v>
      </c>
      <c r="C1241" s="52">
        <f t="shared" ca="1" si="171"/>
        <v>2.9716679544173146</v>
      </c>
      <c r="D1241" s="53">
        <f t="shared" ca="1" si="172"/>
        <v>5102007068.3340731</v>
      </c>
      <c r="E1241" s="53">
        <f t="shared" ca="1" si="173"/>
        <v>56474202307424.234</v>
      </c>
      <c r="F1241" s="53">
        <f t="shared" ca="1" si="174"/>
        <v>230804043833.18076</v>
      </c>
      <c r="G1241" s="53">
        <f t="shared" ca="1" si="175"/>
        <v>2499793369348.6377</v>
      </c>
      <c r="H1241" s="53">
        <f t="shared" ca="1" si="176"/>
        <v>230804043833.18076</v>
      </c>
      <c r="I1241" s="53">
        <f t="shared" ca="1" si="177"/>
        <v>16572785094640.359</v>
      </c>
      <c r="J1241" s="53">
        <f t="shared" ca="1" si="178"/>
        <v>1423853068664.8562</v>
      </c>
      <c r="K1241" s="54">
        <f t="shared" ca="1" si="179"/>
        <v>11.639392757133727</v>
      </c>
    </row>
    <row r="1242" spans="2:11" ht="15" customHeight="1" x14ac:dyDescent="0.35">
      <c r="B1242" s="5">
        <v>1221</v>
      </c>
      <c r="C1242" s="52">
        <f t="shared" ca="1" si="171"/>
        <v>2.6416592422714147</v>
      </c>
      <c r="D1242" s="53">
        <f t="shared" ca="1" si="172"/>
        <v>2740741805.8233628</v>
      </c>
      <c r="E1242" s="53">
        <f t="shared" ca="1" si="173"/>
        <v>29003064574653.734</v>
      </c>
      <c r="F1242" s="53">
        <f t="shared" ca="1" si="174"/>
        <v>11141153687646.426</v>
      </c>
      <c r="G1242" s="53">
        <f t="shared" ca="1" si="175"/>
        <v>7025545694580.916</v>
      </c>
      <c r="H1242" s="53">
        <f t="shared" ca="1" si="176"/>
        <v>29003064574653.734</v>
      </c>
      <c r="I1242" s="53">
        <f t="shared" ca="1" si="177"/>
        <v>1322984708417.0894</v>
      </c>
      <c r="J1242" s="53">
        <f t="shared" ca="1" si="178"/>
        <v>1066152018963.3538</v>
      </c>
      <c r="K1242" s="54">
        <f t="shared" ca="1" si="179"/>
        <v>1.2408968748222795</v>
      </c>
    </row>
    <row r="1243" spans="2:11" ht="15" customHeight="1" x14ac:dyDescent="0.35">
      <c r="B1243" s="5">
        <v>1222</v>
      </c>
      <c r="C1243" s="52">
        <f t="shared" ca="1" si="171"/>
        <v>3.4784425754516337</v>
      </c>
      <c r="D1243" s="53">
        <f t="shared" ca="1" si="172"/>
        <v>11487548260.729847</v>
      </c>
      <c r="E1243" s="53">
        <f t="shared" ca="1" si="173"/>
        <v>20930564568942.66</v>
      </c>
      <c r="F1243" s="53">
        <f t="shared" ca="1" si="174"/>
        <v>4609180785916.8232</v>
      </c>
      <c r="G1243" s="53">
        <f t="shared" ca="1" si="175"/>
        <v>2408898534558.918</v>
      </c>
      <c r="H1243" s="53">
        <f t="shared" ca="1" si="176"/>
        <v>20930564568942.66</v>
      </c>
      <c r="I1243" s="53">
        <f t="shared" ca="1" si="177"/>
        <v>20721830739248.059</v>
      </c>
      <c r="J1243" s="53">
        <f t="shared" ca="1" si="178"/>
        <v>1553697969706.4456</v>
      </c>
      <c r="K1243" s="54">
        <f t="shared" ca="1" si="179"/>
        <v>13.337103570498471</v>
      </c>
    </row>
    <row r="1244" spans="2:11" ht="15" customHeight="1" x14ac:dyDescent="0.35">
      <c r="B1244" s="5">
        <v>1223</v>
      </c>
      <c r="C1244" s="52">
        <f t="shared" ca="1" si="171"/>
        <v>3.1320027746601733</v>
      </c>
      <c r="D1244" s="53">
        <f t="shared" ca="1" si="172"/>
        <v>6105410912.1089277</v>
      </c>
      <c r="E1244" s="53">
        <f t="shared" ca="1" si="173"/>
        <v>57282635537183.906</v>
      </c>
      <c r="F1244" s="53">
        <f t="shared" ca="1" si="174"/>
        <v>4991761652196.4434</v>
      </c>
      <c r="G1244" s="53">
        <f t="shared" ca="1" si="175"/>
        <v>7885461623096.1523</v>
      </c>
      <c r="H1244" s="53">
        <f t="shared" ca="1" si="176"/>
        <v>57282635537183.906</v>
      </c>
      <c r="I1244" s="53">
        <f t="shared" ca="1" si="177"/>
        <v>2344478493744.9346</v>
      </c>
      <c r="J1244" s="53">
        <f t="shared" ca="1" si="178"/>
        <v>1150434081414.644</v>
      </c>
      <c r="K1244" s="54">
        <f t="shared" ca="1" si="179"/>
        <v>2.0379077181562812</v>
      </c>
    </row>
    <row r="1245" spans="2:11" ht="15" customHeight="1" x14ac:dyDescent="0.35">
      <c r="B1245" s="5">
        <v>1224</v>
      </c>
      <c r="C1245" s="52">
        <f t="shared" ca="1" si="171"/>
        <v>2.9515014709101215</v>
      </c>
      <c r="D1245" s="53">
        <f t="shared" ca="1" si="172"/>
        <v>4008440651.9505215</v>
      </c>
      <c r="E1245" s="53">
        <f t="shared" ca="1" si="173"/>
        <v>12839752363276.219</v>
      </c>
      <c r="F1245" s="53">
        <f t="shared" ca="1" si="174"/>
        <v>3276527734365.4102</v>
      </c>
      <c r="G1245" s="53">
        <f t="shared" ca="1" si="175"/>
        <v>37935421264573.82</v>
      </c>
      <c r="H1245" s="53">
        <f t="shared" ca="1" si="176"/>
        <v>12839752363276.219</v>
      </c>
      <c r="I1245" s="53">
        <f t="shared" ca="1" si="177"/>
        <v>685755001987.50562</v>
      </c>
      <c r="J1245" s="53">
        <f t="shared" ca="1" si="178"/>
        <v>1142214899505.6245</v>
      </c>
      <c r="K1245" s="54">
        <f t="shared" ca="1" si="179"/>
        <v>0.60037301411872257</v>
      </c>
    </row>
    <row r="1246" spans="2:11" ht="15" customHeight="1" x14ac:dyDescent="0.35">
      <c r="B1246" s="5">
        <v>1225</v>
      </c>
      <c r="C1246" s="52">
        <f t="shared" ca="1" si="171"/>
        <v>2.6179806357591722</v>
      </c>
      <c r="D1246" s="53">
        <f t="shared" ca="1" si="172"/>
        <v>2077967220.6196725</v>
      </c>
      <c r="E1246" s="53">
        <f t="shared" ca="1" si="173"/>
        <v>26709377174688.07</v>
      </c>
      <c r="F1246" s="53">
        <f t="shared" ca="1" si="174"/>
        <v>638352425794.89465</v>
      </c>
      <c r="G1246" s="53">
        <f t="shared" ca="1" si="175"/>
        <v>6240631146646.4629</v>
      </c>
      <c r="H1246" s="53">
        <f t="shared" ca="1" si="176"/>
        <v>6240631146646.4629</v>
      </c>
      <c r="I1246" s="53">
        <f t="shared" ca="1" si="177"/>
        <v>11357306905861.719</v>
      </c>
      <c r="J1246" s="53">
        <f t="shared" ca="1" si="178"/>
        <v>462683345120.79883</v>
      </c>
      <c r="K1246" s="54">
        <f t="shared" ca="1" si="179"/>
        <v>24.546608443181626</v>
      </c>
    </row>
    <row r="1247" spans="2:11" ht="15" customHeight="1" x14ac:dyDescent="0.35">
      <c r="B1247" s="5">
        <v>1226</v>
      </c>
      <c r="C1247" s="52">
        <f t="shared" ca="1" si="171"/>
        <v>2.8152759263625775</v>
      </c>
      <c r="D1247" s="53">
        <f t="shared" ca="1" si="172"/>
        <v>3779963916.7247334</v>
      </c>
      <c r="E1247" s="53">
        <f t="shared" ca="1" si="173"/>
        <v>2091763350114.134</v>
      </c>
      <c r="F1247" s="53">
        <f t="shared" ca="1" si="174"/>
        <v>2097154658293.7095</v>
      </c>
      <c r="G1247" s="53">
        <f t="shared" ca="1" si="175"/>
        <v>184331357127.11169</v>
      </c>
      <c r="H1247" s="53">
        <f t="shared" ca="1" si="176"/>
        <v>184331357127.11169</v>
      </c>
      <c r="I1247" s="53">
        <f t="shared" ca="1" si="177"/>
        <v>18892108205379.195</v>
      </c>
      <c r="J1247" s="53">
        <f t="shared" ca="1" si="178"/>
        <v>1406912055647.2219</v>
      </c>
      <c r="K1247" s="54">
        <f t="shared" ca="1" si="179"/>
        <v>13.428066189032872</v>
      </c>
    </row>
    <row r="1248" spans="2:11" ht="15" customHeight="1" x14ac:dyDescent="0.35">
      <c r="B1248" s="5">
        <v>1227</v>
      </c>
      <c r="C1248" s="52">
        <f t="shared" ca="1" si="171"/>
        <v>2.6510472894327117</v>
      </c>
      <c r="D1248" s="53">
        <f t="shared" ca="1" si="172"/>
        <v>3035111879.0829091</v>
      </c>
      <c r="E1248" s="53">
        <f t="shared" ca="1" si="173"/>
        <v>3862219004279.9517</v>
      </c>
      <c r="F1248" s="53">
        <f t="shared" ca="1" si="174"/>
        <v>904452995278.32141</v>
      </c>
      <c r="G1248" s="53">
        <f t="shared" ca="1" si="175"/>
        <v>3580951502693.0405</v>
      </c>
      <c r="H1248" s="53">
        <f t="shared" ca="1" si="176"/>
        <v>3580951502693.0405</v>
      </c>
      <c r="I1248" s="53">
        <f t="shared" ca="1" si="177"/>
        <v>3594211485070.8032</v>
      </c>
      <c r="J1248" s="53">
        <f t="shared" ca="1" si="178"/>
        <v>1409708729604.1121</v>
      </c>
      <c r="K1248" s="54">
        <f t="shared" ca="1" si="179"/>
        <v>2.5496128452578741</v>
      </c>
    </row>
    <row r="1249" spans="2:11" ht="15" customHeight="1" x14ac:dyDescent="0.35">
      <c r="B1249" s="5">
        <v>1228</v>
      </c>
      <c r="C1249" s="52">
        <f t="shared" ca="1" si="171"/>
        <v>2.8155736855129527</v>
      </c>
      <c r="D1249" s="53">
        <f t="shared" ca="1" si="172"/>
        <v>3490691236.2040524</v>
      </c>
      <c r="E1249" s="53">
        <f t="shared" ca="1" si="173"/>
        <v>10398162731744.229</v>
      </c>
      <c r="F1249" s="53">
        <f t="shared" ca="1" si="174"/>
        <v>1685672666764.7498</v>
      </c>
      <c r="G1249" s="53">
        <f t="shared" ca="1" si="175"/>
        <v>2059717063670.918</v>
      </c>
      <c r="H1249" s="53">
        <f t="shared" ca="1" si="176"/>
        <v>10398162731744.229</v>
      </c>
      <c r="I1249" s="53">
        <f t="shared" ca="1" si="177"/>
        <v>9597346651817.416</v>
      </c>
      <c r="J1249" s="53">
        <f t="shared" ca="1" si="178"/>
        <v>877327826305.08533</v>
      </c>
      <c r="K1249" s="54">
        <f t="shared" ca="1" si="179"/>
        <v>10.939293573118697</v>
      </c>
    </row>
    <row r="1250" spans="2:11" ht="15" customHeight="1" x14ac:dyDescent="0.35">
      <c r="B1250" s="5">
        <v>1229</v>
      </c>
      <c r="C1250" s="52">
        <f t="shared" ca="1" si="171"/>
        <v>2.5425992630515317</v>
      </c>
      <c r="D1250" s="53">
        <f t="shared" ca="1" si="172"/>
        <v>2347386996.7667584</v>
      </c>
      <c r="E1250" s="53">
        <f t="shared" ca="1" si="173"/>
        <v>11864325399484.143</v>
      </c>
      <c r="F1250" s="53">
        <f t="shared" ca="1" si="174"/>
        <v>7571804631326.1738</v>
      </c>
      <c r="G1250" s="53">
        <f t="shared" ca="1" si="175"/>
        <v>1072618360183.2693</v>
      </c>
      <c r="H1250" s="53">
        <f t="shared" ca="1" si="176"/>
        <v>11864325399484.143</v>
      </c>
      <c r="I1250" s="53">
        <f t="shared" ca="1" si="177"/>
        <v>1445499515542.1543</v>
      </c>
      <c r="J1250" s="53">
        <f t="shared" ca="1" si="178"/>
        <v>727269846586.63696</v>
      </c>
      <c r="K1250" s="54">
        <f t="shared" ca="1" si="179"/>
        <v>1.9875697065215219</v>
      </c>
    </row>
    <row r="1251" spans="2:11" ht="15" customHeight="1" x14ac:dyDescent="0.35">
      <c r="B1251" s="5">
        <v>1230</v>
      </c>
      <c r="C1251" s="52">
        <f t="shared" ca="1" si="171"/>
        <v>2.361244981972483</v>
      </c>
      <c r="D1251" s="53">
        <f t="shared" ca="1" si="172"/>
        <v>1567469041.0518818</v>
      </c>
      <c r="E1251" s="53">
        <f t="shared" ca="1" si="173"/>
        <v>9369000345729.6289</v>
      </c>
      <c r="F1251" s="53">
        <f t="shared" ca="1" si="174"/>
        <v>568153548374.55322</v>
      </c>
      <c r="G1251" s="53">
        <f t="shared" ca="1" si="175"/>
        <v>1117963199110.7961</v>
      </c>
      <c r="H1251" s="53">
        <f t="shared" ca="1" si="176"/>
        <v>1117963199110.7961</v>
      </c>
      <c r="I1251" s="53">
        <f t="shared" ca="1" si="177"/>
        <v>277824737684487.38</v>
      </c>
      <c r="J1251" s="53">
        <f t="shared" ca="1" si="178"/>
        <v>941691137173.71497</v>
      </c>
      <c r="K1251" s="54">
        <f t="shared" ca="1" si="179"/>
        <v>295.02745296968499</v>
      </c>
    </row>
    <row r="1252" spans="2:11" ht="15" customHeight="1" x14ac:dyDescent="0.35">
      <c r="B1252" s="5">
        <v>1231</v>
      </c>
      <c r="C1252" s="52">
        <f t="shared" ca="1" si="171"/>
        <v>2.3135661284353337</v>
      </c>
      <c r="D1252" s="53">
        <f t="shared" ca="1" si="172"/>
        <v>1559483850.8796949</v>
      </c>
      <c r="E1252" s="53">
        <f t="shared" ca="1" si="173"/>
        <v>19322357131121.863</v>
      </c>
      <c r="F1252" s="53">
        <f t="shared" ca="1" si="174"/>
        <v>3378517924550.3545</v>
      </c>
      <c r="G1252" s="53">
        <f t="shared" ca="1" si="175"/>
        <v>9927940752506.5898</v>
      </c>
      <c r="H1252" s="53">
        <f t="shared" ca="1" si="176"/>
        <v>19322357131121.863</v>
      </c>
      <c r="I1252" s="53">
        <f t="shared" ca="1" si="177"/>
        <v>5755143935962.5693</v>
      </c>
      <c r="J1252" s="53">
        <f t="shared" ca="1" si="178"/>
        <v>1436779671467.751</v>
      </c>
      <c r="K1252" s="54">
        <f t="shared" ca="1" si="179"/>
        <v>4.0055855815967716</v>
      </c>
    </row>
    <row r="1253" spans="2:11" ht="15" customHeight="1" x14ac:dyDescent="0.35">
      <c r="B1253" s="5">
        <v>1232</v>
      </c>
      <c r="C1253" s="52">
        <f t="shared" ca="1" si="171"/>
        <v>2.7990159899615019</v>
      </c>
      <c r="D1253" s="53">
        <f t="shared" ca="1" si="172"/>
        <v>3777409157.0798512</v>
      </c>
      <c r="E1253" s="53">
        <f t="shared" ca="1" si="173"/>
        <v>12362341634664.547</v>
      </c>
      <c r="F1253" s="53">
        <f t="shared" ca="1" si="174"/>
        <v>1193024442334.303</v>
      </c>
      <c r="G1253" s="53">
        <f t="shared" ca="1" si="175"/>
        <v>58323103235150.18</v>
      </c>
      <c r="H1253" s="53">
        <f t="shared" ca="1" si="176"/>
        <v>58323103235150.18</v>
      </c>
      <c r="I1253" s="53">
        <f t="shared" ca="1" si="177"/>
        <v>11412239366271.074</v>
      </c>
      <c r="J1253" s="53">
        <f t="shared" ca="1" si="178"/>
        <v>751947383624.04407</v>
      </c>
      <c r="K1253" s="54">
        <f t="shared" ca="1" si="179"/>
        <v>15.176912128172155</v>
      </c>
    </row>
    <row r="1254" spans="2:11" ht="15" customHeight="1" x14ac:dyDescent="0.35">
      <c r="B1254" s="5">
        <v>1233</v>
      </c>
      <c r="C1254" s="52">
        <f t="shared" ca="1" si="171"/>
        <v>3.2103768654912845</v>
      </c>
      <c r="D1254" s="53">
        <f t="shared" ca="1" si="172"/>
        <v>8021683567.4397173</v>
      </c>
      <c r="E1254" s="53">
        <f t="shared" ca="1" si="173"/>
        <v>44514931873184.633</v>
      </c>
      <c r="F1254" s="53">
        <f t="shared" ca="1" si="174"/>
        <v>4392956552511.5806</v>
      </c>
      <c r="G1254" s="53">
        <f t="shared" ca="1" si="175"/>
        <v>3796941435192.2222</v>
      </c>
      <c r="H1254" s="53">
        <f t="shared" ca="1" si="176"/>
        <v>4392956552511.5806</v>
      </c>
      <c r="I1254" s="53">
        <f t="shared" ca="1" si="177"/>
        <v>23501174465857.246</v>
      </c>
      <c r="J1254" s="53">
        <f t="shared" ca="1" si="178"/>
        <v>1065728659110.4924</v>
      </c>
      <c r="K1254" s="54">
        <f t="shared" ca="1" si="179"/>
        <v>22.051742969427544</v>
      </c>
    </row>
    <row r="1255" spans="2:11" ht="15" customHeight="1" x14ac:dyDescent="0.35">
      <c r="B1255" s="5">
        <v>1234</v>
      </c>
      <c r="C1255" s="52">
        <f t="shared" ca="1" si="171"/>
        <v>3.8742374971356455</v>
      </c>
      <c r="D1255" s="53">
        <f t="shared" ca="1" si="172"/>
        <v>16125220163.73679</v>
      </c>
      <c r="E1255" s="53">
        <f t="shared" ca="1" si="173"/>
        <v>41413204249954.727</v>
      </c>
      <c r="F1255" s="53">
        <f t="shared" ca="1" si="174"/>
        <v>498160132254.77179</v>
      </c>
      <c r="G1255" s="53">
        <f t="shared" ca="1" si="175"/>
        <v>3392613423587.6152</v>
      </c>
      <c r="H1255" s="53">
        <f t="shared" ca="1" si="176"/>
        <v>41413204249954.727</v>
      </c>
      <c r="I1255" s="53">
        <f t="shared" ca="1" si="177"/>
        <v>8508157303483.1816</v>
      </c>
      <c r="J1255" s="53">
        <f t="shared" ca="1" si="178"/>
        <v>652212427839.45728</v>
      </c>
      <c r="K1255" s="54">
        <f t="shared" ca="1" si="179"/>
        <v>13.045070808705093</v>
      </c>
    </row>
    <row r="1256" spans="2:11" ht="15" customHeight="1" x14ac:dyDescent="0.35">
      <c r="B1256" s="5">
        <v>1235</v>
      </c>
      <c r="C1256" s="52">
        <f t="shared" ca="1" si="171"/>
        <v>2.9285637224593328</v>
      </c>
      <c r="D1256" s="53">
        <f t="shared" ca="1" si="172"/>
        <v>4909657921.1136436</v>
      </c>
      <c r="E1256" s="53">
        <f t="shared" ca="1" si="173"/>
        <v>33737955469911.801</v>
      </c>
      <c r="F1256" s="53">
        <f t="shared" ca="1" si="174"/>
        <v>924763207954.83228</v>
      </c>
      <c r="G1256" s="53">
        <f t="shared" ca="1" si="175"/>
        <v>3959008367464.8237</v>
      </c>
      <c r="H1256" s="53">
        <f t="shared" ca="1" si="176"/>
        <v>924763207954.83228</v>
      </c>
      <c r="I1256" s="53">
        <f t="shared" ca="1" si="177"/>
        <v>10656706477902.809</v>
      </c>
      <c r="J1256" s="53">
        <f t="shared" ca="1" si="178"/>
        <v>802414820890.56641</v>
      </c>
      <c r="K1256" s="54">
        <f t="shared" ca="1" si="179"/>
        <v>13.280794671857356</v>
      </c>
    </row>
    <row r="1257" spans="2:11" ht="15" customHeight="1" x14ac:dyDescent="0.35">
      <c r="B1257" s="5">
        <v>1236</v>
      </c>
      <c r="C1257" s="52">
        <f t="shared" ca="1" si="171"/>
        <v>2.7490582333702966</v>
      </c>
      <c r="D1257" s="53">
        <f t="shared" ca="1" si="172"/>
        <v>3487077616.8130293</v>
      </c>
      <c r="E1257" s="53">
        <f t="shared" ca="1" si="173"/>
        <v>8526674932512.8115</v>
      </c>
      <c r="F1257" s="53">
        <f t="shared" ca="1" si="174"/>
        <v>824041467996.4967</v>
      </c>
      <c r="G1257" s="53">
        <f t="shared" ca="1" si="175"/>
        <v>3232113892588.0435</v>
      </c>
      <c r="H1257" s="53">
        <f t="shared" ca="1" si="176"/>
        <v>824041467996.4967</v>
      </c>
      <c r="I1257" s="53">
        <f t="shared" ca="1" si="177"/>
        <v>22863129940874.094</v>
      </c>
      <c r="J1257" s="53">
        <f t="shared" ca="1" si="178"/>
        <v>1221899347815.7231</v>
      </c>
      <c r="K1257" s="54">
        <f t="shared" ca="1" si="179"/>
        <v>18.711140145662903</v>
      </c>
    </row>
    <row r="1258" spans="2:11" ht="15" customHeight="1" x14ac:dyDescent="0.35">
      <c r="B1258" s="5">
        <v>1237</v>
      </c>
      <c r="C1258" s="52">
        <f t="shared" ca="1" si="171"/>
        <v>3.9036033093772016</v>
      </c>
      <c r="D1258" s="53">
        <f t="shared" ca="1" si="172"/>
        <v>17290582184.34523</v>
      </c>
      <c r="E1258" s="53">
        <f t="shared" ca="1" si="173"/>
        <v>75117589426688.219</v>
      </c>
      <c r="F1258" s="53">
        <f t="shared" ca="1" si="174"/>
        <v>2763945590661.457</v>
      </c>
      <c r="G1258" s="53">
        <f t="shared" ca="1" si="175"/>
        <v>46025986707349.93</v>
      </c>
      <c r="H1258" s="53">
        <f t="shared" ca="1" si="176"/>
        <v>2763945590661.457</v>
      </c>
      <c r="I1258" s="53">
        <f t="shared" ca="1" si="177"/>
        <v>28828333474803.852</v>
      </c>
      <c r="J1258" s="53">
        <f t="shared" ca="1" si="178"/>
        <v>1137316667592.792</v>
      </c>
      <c r="K1258" s="54">
        <f t="shared" ca="1" si="179"/>
        <v>25.347675186912522</v>
      </c>
    </row>
    <row r="1259" spans="2:11" ht="15" customHeight="1" x14ac:dyDescent="0.35">
      <c r="B1259" s="5">
        <v>1238</v>
      </c>
      <c r="C1259" s="52">
        <f t="shared" ca="1" si="171"/>
        <v>3.4209109765969785</v>
      </c>
      <c r="D1259" s="53">
        <f t="shared" ca="1" si="172"/>
        <v>9181656200.8521748</v>
      </c>
      <c r="E1259" s="53">
        <f t="shared" ca="1" si="173"/>
        <v>221058142982923.34</v>
      </c>
      <c r="F1259" s="53">
        <f t="shared" ca="1" si="174"/>
        <v>1681242688013.272</v>
      </c>
      <c r="G1259" s="53">
        <f t="shared" ca="1" si="175"/>
        <v>1575082656778.1711</v>
      </c>
      <c r="H1259" s="53">
        <f t="shared" ca="1" si="176"/>
        <v>1681242688013.272</v>
      </c>
      <c r="I1259" s="53">
        <f t="shared" ca="1" si="177"/>
        <v>4901198247665.6006</v>
      </c>
      <c r="J1259" s="53">
        <f t="shared" ca="1" si="178"/>
        <v>748308548889.76318</v>
      </c>
      <c r="K1259" s="54">
        <f t="shared" ca="1" si="179"/>
        <v>6.5497023319288834</v>
      </c>
    </row>
    <row r="1260" spans="2:11" ht="15" customHeight="1" x14ac:dyDescent="0.35">
      <c r="B1260" s="5">
        <v>1239</v>
      </c>
      <c r="C1260" s="52">
        <f t="shared" ca="1" si="171"/>
        <v>3.1231764548659</v>
      </c>
      <c r="D1260" s="53">
        <f t="shared" ca="1" si="172"/>
        <v>5386653514.6080685</v>
      </c>
      <c r="E1260" s="53">
        <f t="shared" ca="1" si="173"/>
        <v>40562033660425.313</v>
      </c>
      <c r="F1260" s="53">
        <f t="shared" ca="1" si="174"/>
        <v>911957207302.30103</v>
      </c>
      <c r="G1260" s="53">
        <f t="shared" ca="1" si="175"/>
        <v>638025964494.59631</v>
      </c>
      <c r="H1260" s="53">
        <f t="shared" ca="1" si="176"/>
        <v>911957207302.30103</v>
      </c>
      <c r="I1260" s="53">
        <f t="shared" ca="1" si="177"/>
        <v>21003717535154.215</v>
      </c>
      <c r="J1260" s="53">
        <f t="shared" ca="1" si="178"/>
        <v>1193886276740.5586</v>
      </c>
      <c r="K1260" s="54">
        <f t="shared" ca="1" si="179"/>
        <v>17.592728842228325</v>
      </c>
    </row>
    <row r="1261" spans="2:11" ht="15" customHeight="1" x14ac:dyDescent="0.35">
      <c r="B1261" s="5">
        <v>1240</v>
      </c>
      <c r="C1261" s="52">
        <f t="shared" ca="1" si="171"/>
        <v>3.0577242797883519</v>
      </c>
      <c r="D1261" s="53">
        <f t="shared" ca="1" si="172"/>
        <v>6270298416.2804279</v>
      </c>
      <c r="E1261" s="53">
        <f t="shared" ca="1" si="173"/>
        <v>19543315932806.215</v>
      </c>
      <c r="F1261" s="53">
        <f t="shared" ca="1" si="174"/>
        <v>1287264322182.3411</v>
      </c>
      <c r="G1261" s="53">
        <f t="shared" ca="1" si="175"/>
        <v>3990648442792.9761</v>
      </c>
      <c r="H1261" s="53">
        <f t="shared" ca="1" si="176"/>
        <v>1287264322182.3411</v>
      </c>
      <c r="I1261" s="53">
        <f t="shared" ca="1" si="177"/>
        <v>9049784240799.9297</v>
      </c>
      <c r="J1261" s="53">
        <f t="shared" ca="1" si="178"/>
        <v>692241542098.5321</v>
      </c>
      <c r="K1261" s="54">
        <f t="shared" ca="1" si="179"/>
        <v>13.073159714404721</v>
      </c>
    </row>
    <row r="1262" spans="2:11" ht="15" customHeight="1" x14ac:dyDescent="0.35">
      <c r="B1262" s="5">
        <v>1241</v>
      </c>
      <c r="C1262" s="52">
        <f t="shared" ca="1" si="171"/>
        <v>2.7855136579070781</v>
      </c>
      <c r="D1262" s="53">
        <f t="shared" ca="1" si="172"/>
        <v>3409786758.85391</v>
      </c>
      <c r="E1262" s="53">
        <f t="shared" ca="1" si="173"/>
        <v>3022791187716.0562</v>
      </c>
      <c r="F1262" s="53">
        <f t="shared" ca="1" si="174"/>
        <v>387229677953.38171</v>
      </c>
      <c r="G1262" s="53">
        <f t="shared" ca="1" si="175"/>
        <v>8858771037719.4043</v>
      </c>
      <c r="H1262" s="53">
        <f t="shared" ca="1" si="176"/>
        <v>8858771037719.4043</v>
      </c>
      <c r="I1262" s="53">
        <f t="shared" ca="1" si="177"/>
        <v>630110518154.27649</v>
      </c>
      <c r="J1262" s="53">
        <f t="shared" ca="1" si="178"/>
        <v>1128729984168.9033</v>
      </c>
      <c r="K1262" s="54">
        <f t="shared" ca="1" si="179"/>
        <v>0.55824734612524185</v>
      </c>
    </row>
    <row r="1263" spans="2:11" ht="15" customHeight="1" x14ac:dyDescent="0.35">
      <c r="B1263" s="5">
        <v>1242</v>
      </c>
      <c r="C1263" s="52">
        <f t="shared" ca="1" si="171"/>
        <v>2.3211596255961346</v>
      </c>
      <c r="D1263" s="53">
        <f t="shared" ca="1" si="172"/>
        <v>1129487980.2406528</v>
      </c>
      <c r="E1263" s="53">
        <f t="shared" ca="1" si="173"/>
        <v>10062796572693.867</v>
      </c>
      <c r="F1263" s="53">
        <f t="shared" ca="1" si="174"/>
        <v>5352699372201.457</v>
      </c>
      <c r="G1263" s="53">
        <f t="shared" ca="1" si="175"/>
        <v>1195376907356.6426</v>
      </c>
      <c r="H1263" s="53">
        <f t="shared" ca="1" si="176"/>
        <v>10062796572693.867</v>
      </c>
      <c r="I1263" s="53">
        <f t="shared" ca="1" si="177"/>
        <v>1979345142703.3042</v>
      </c>
      <c r="J1263" s="53">
        <f t="shared" ca="1" si="178"/>
        <v>635156965835.13965</v>
      </c>
      <c r="K1263" s="54">
        <f t="shared" ca="1" si="179"/>
        <v>3.1163086436448846</v>
      </c>
    </row>
    <row r="1264" spans="2:11" ht="15" customHeight="1" x14ac:dyDescent="0.35">
      <c r="B1264" s="5">
        <v>1243</v>
      </c>
      <c r="C1264" s="52">
        <f t="shared" ca="1" si="171"/>
        <v>2.9845698846649258</v>
      </c>
      <c r="D1264" s="53">
        <f t="shared" ca="1" si="172"/>
        <v>4456872851.5848627</v>
      </c>
      <c r="E1264" s="53">
        <f t="shared" ca="1" si="173"/>
        <v>13078415868083.059</v>
      </c>
      <c r="F1264" s="53">
        <f t="shared" ca="1" si="174"/>
        <v>525829983661.79401</v>
      </c>
      <c r="G1264" s="53">
        <f t="shared" ca="1" si="175"/>
        <v>70415179941551.203</v>
      </c>
      <c r="H1264" s="53">
        <f t="shared" ca="1" si="176"/>
        <v>70415179941551.203</v>
      </c>
      <c r="I1264" s="53">
        <f t="shared" ca="1" si="177"/>
        <v>10741004527621.891</v>
      </c>
      <c r="J1264" s="53">
        <f t="shared" ca="1" si="178"/>
        <v>1046378013773.021</v>
      </c>
      <c r="K1264" s="54">
        <f t="shared" ca="1" si="179"/>
        <v>10.264937131937689</v>
      </c>
    </row>
    <row r="1265" spans="2:11" ht="15" customHeight="1" x14ac:dyDescent="0.35">
      <c r="B1265" s="5">
        <v>1244</v>
      </c>
      <c r="C1265" s="52">
        <f t="shared" ca="1" si="171"/>
        <v>3.3832508989900045</v>
      </c>
      <c r="D1265" s="53">
        <f t="shared" ca="1" si="172"/>
        <v>7403427048.9828882</v>
      </c>
      <c r="E1265" s="53">
        <f t="shared" ca="1" si="173"/>
        <v>7244076496398.043</v>
      </c>
      <c r="F1265" s="53">
        <f t="shared" ca="1" si="174"/>
        <v>7177509493420.8867</v>
      </c>
      <c r="G1265" s="53">
        <f t="shared" ca="1" si="175"/>
        <v>33939461191581.016</v>
      </c>
      <c r="H1265" s="53">
        <f t="shared" ca="1" si="176"/>
        <v>7244076496398.043</v>
      </c>
      <c r="I1265" s="53">
        <f t="shared" ca="1" si="177"/>
        <v>60686096630772.961</v>
      </c>
      <c r="J1265" s="53">
        <f t="shared" ca="1" si="178"/>
        <v>1371987864598.3</v>
      </c>
      <c r="K1265" s="54">
        <f t="shared" ca="1" si="179"/>
        <v>44.232240092401291</v>
      </c>
    </row>
    <row r="1266" spans="2:11" ht="15" customHeight="1" x14ac:dyDescent="0.35">
      <c r="B1266" s="5">
        <v>1245</v>
      </c>
      <c r="C1266" s="52">
        <f t="shared" ca="1" si="171"/>
        <v>3.5477021053652331</v>
      </c>
      <c r="D1266" s="53">
        <f t="shared" ca="1" si="172"/>
        <v>11088328185.993633</v>
      </c>
      <c r="E1266" s="53">
        <f t="shared" ca="1" si="173"/>
        <v>39176001087243.117</v>
      </c>
      <c r="F1266" s="53">
        <f t="shared" ca="1" si="174"/>
        <v>2412865340484.1758</v>
      </c>
      <c r="G1266" s="53">
        <f t="shared" ca="1" si="175"/>
        <v>2865785935297.8052</v>
      </c>
      <c r="H1266" s="53">
        <f t="shared" ca="1" si="176"/>
        <v>2412865340484.1758</v>
      </c>
      <c r="I1266" s="53">
        <f t="shared" ca="1" si="177"/>
        <v>4329243464702.9341</v>
      </c>
      <c r="J1266" s="53">
        <f t="shared" ca="1" si="178"/>
        <v>1569499641915.3416</v>
      </c>
      <c r="K1266" s="54">
        <f t="shared" ca="1" si="179"/>
        <v>2.7583590012290378</v>
      </c>
    </row>
    <row r="1267" spans="2:11" ht="15" customHeight="1" x14ac:dyDescent="0.35">
      <c r="B1267" s="5">
        <v>1246</v>
      </c>
      <c r="C1267" s="52">
        <f t="shared" ca="1" si="171"/>
        <v>2.3090173383762744</v>
      </c>
      <c r="D1267" s="53">
        <f t="shared" ca="1" si="172"/>
        <v>1254852609.0567141</v>
      </c>
      <c r="E1267" s="53">
        <f t="shared" ca="1" si="173"/>
        <v>7415111830649.9395</v>
      </c>
      <c r="F1267" s="53">
        <f t="shared" ca="1" si="174"/>
        <v>1550469937623.7932</v>
      </c>
      <c r="G1267" s="53">
        <f t="shared" ca="1" si="175"/>
        <v>2707229402384.2505</v>
      </c>
      <c r="H1267" s="53">
        <f t="shared" ca="1" si="176"/>
        <v>1550469937623.7932</v>
      </c>
      <c r="I1267" s="53">
        <f t="shared" ca="1" si="177"/>
        <v>24795881023632</v>
      </c>
      <c r="J1267" s="53">
        <f t="shared" ca="1" si="178"/>
        <v>1298263561088.4084</v>
      </c>
      <c r="K1267" s="54">
        <f t="shared" ca="1" si="179"/>
        <v>19.099265947851297</v>
      </c>
    </row>
    <row r="1268" spans="2:11" ht="15" customHeight="1" x14ac:dyDescent="0.35">
      <c r="B1268" s="5">
        <v>1247</v>
      </c>
      <c r="C1268" s="52">
        <f t="shared" ca="1" si="171"/>
        <v>2.8729990627800128</v>
      </c>
      <c r="D1268" s="53">
        <f t="shared" ca="1" si="172"/>
        <v>3347057703.8748918</v>
      </c>
      <c r="E1268" s="53">
        <f t="shared" ca="1" si="173"/>
        <v>4316939431206.3975</v>
      </c>
      <c r="F1268" s="53">
        <f t="shared" ca="1" si="174"/>
        <v>897826864441.78613</v>
      </c>
      <c r="G1268" s="53">
        <f t="shared" ca="1" si="175"/>
        <v>2443932403726.6001</v>
      </c>
      <c r="H1268" s="53">
        <f t="shared" ca="1" si="176"/>
        <v>897826864441.78613</v>
      </c>
      <c r="I1268" s="53">
        <f t="shared" ca="1" si="177"/>
        <v>55990936660852.836</v>
      </c>
      <c r="J1268" s="53">
        <f t="shared" ca="1" si="178"/>
        <v>1144072061272.665</v>
      </c>
      <c r="K1268" s="54">
        <f t="shared" ca="1" si="179"/>
        <v>48.940043687954898</v>
      </c>
    </row>
    <row r="1269" spans="2:11" ht="15" customHeight="1" x14ac:dyDescent="0.35">
      <c r="B1269" s="5">
        <v>1248</v>
      </c>
      <c r="C1269" s="52">
        <f t="shared" ca="1" si="171"/>
        <v>2.6310460617978029</v>
      </c>
      <c r="D1269" s="53">
        <f t="shared" ca="1" si="172"/>
        <v>2940778810.1241837</v>
      </c>
      <c r="E1269" s="53">
        <f t="shared" ca="1" si="173"/>
        <v>5356869086194.7275</v>
      </c>
      <c r="F1269" s="53">
        <f t="shared" ca="1" si="174"/>
        <v>17392473489054.43</v>
      </c>
      <c r="G1269" s="53">
        <f t="shared" ca="1" si="175"/>
        <v>574725800443.43994</v>
      </c>
      <c r="H1269" s="53">
        <f t="shared" ca="1" si="176"/>
        <v>17392473489054.43</v>
      </c>
      <c r="I1269" s="53">
        <f t="shared" ca="1" si="177"/>
        <v>36448991189881.602</v>
      </c>
      <c r="J1269" s="53">
        <f t="shared" ca="1" si="178"/>
        <v>1150599385695.0881</v>
      </c>
      <c r="K1269" s="54">
        <f t="shared" ca="1" si="179"/>
        <v>31.678264079606141</v>
      </c>
    </row>
    <row r="1270" spans="2:11" ht="15" customHeight="1" x14ac:dyDescent="0.35">
      <c r="B1270" s="5">
        <v>1249</v>
      </c>
      <c r="C1270" s="52">
        <f t="shared" ca="1" si="171"/>
        <v>3.5797277064623914</v>
      </c>
      <c r="D1270" s="53">
        <f t="shared" ca="1" si="172"/>
        <v>11237597325.858185</v>
      </c>
      <c r="E1270" s="53">
        <f t="shared" ca="1" si="173"/>
        <v>99003485167628.547</v>
      </c>
      <c r="F1270" s="53">
        <f t="shared" ca="1" si="174"/>
        <v>3560840995069.4634</v>
      </c>
      <c r="G1270" s="53">
        <f t="shared" ca="1" si="175"/>
        <v>997873344768.73975</v>
      </c>
      <c r="H1270" s="53">
        <f t="shared" ca="1" si="176"/>
        <v>997873344768.73975</v>
      </c>
      <c r="I1270" s="53">
        <f t="shared" ca="1" si="177"/>
        <v>2334598255581.3267</v>
      </c>
      <c r="J1270" s="53">
        <f t="shared" ca="1" si="178"/>
        <v>1133873419663.4534</v>
      </c>
      <c r="K1270" s="54">
        <f t="shared" ca="1" si="179"/>
        <v>2.0589584472967557</v>
      </c>
    </row>
    <row r="1271" spans="2:11" ht="15" customHeight="1" x14ac:dyDescent="0.35">
      <c r="B1271" s="5">
        <v>1250</v>
      </c>
      <c r="C1271" s="52">
        <f t="shared" ca="1" si="171"/>
        <v>2.4368041573656982</v>
      </c>
      <c r="D1271" s="53">
        <f t="shared" ca="1" si="172"/>
        <v>1392841211.2449372</v>
      </c>
      <c r="E1271" s="53">
        <f t="shared" ca="1" si="173"/>
        <v>12235163417713.137</v>
      </c>
      <c r="F1271" s="53">
        <f t="shared" ca="1" si="174"/>
        <v>2164845333048.7896</v>
      </c>
      <c r="G1271" s="53">
        <f t="shared" ca="1" si="175"/>
        <v>4116736192000.0566</v>
      </c>
      <c r="H1271" s="53">
        <f t="shared" ca="1" si="176"/>
        <v>2164845333048.7896</v>
      </c>
      <c r="I1271" s="53">
        <f t="shared" ca="1" si="177"/>
        <v>11255265879481.689</v>
      </c>
      <c r="J1271" s="53">
        <f t="shared" ca="1" si="178"/>
        <v>619432148199.56946</v>
      </c>
      <c r="K1271" s="54">
        <f t="shared" ca="1" si="179"/>
        <v>18.170296637325084</v>
      </c>
    </row>
    <row r="1272" spans="2:11" ht="15" customHeight="1" x14ac:dyDescent="0.35">
      <c r="B1272" s="5">
        <v>1251</v>
      </c>
      <c r="C1272" s="52">
        <f t="shared" ca="1" si="171"/>
        <v>3.2699489492504212</v>
      </c>
      <c r="D1272" s="53">
        <f t="shared" ca="1" si="172"/>
        <v>7019534032.0719776</v>
      </c>
      <c r="E1272" s="53">
        <f t="shared" ca="1" si="173"/>
        <v>37186929154793.5</v>
      </c>
      <c r="F1272" s="53">
        <f t="shared" ca="1" si="174"/>
        <v>7535287292425.4814</v>
      </c>
      <c r="G1272" s="53">
        <f t="shared" ca="1" si="175"/>
        <v>1620614023852.3879</v>
      </c>
      <c r="H1272" s="53">
        <f t="shared" ca="1" si="176"/>
        <v>37186929154793.5</v>
      </c>
      <c r="I1272" s="53">
        <f t="shared" ca="1" si="177"/>
        <v>9333944324319.793</v>
      </c>
      <c r="J1272" s="53">
        <f t="shared" ca="1" si="178"/>
        <v>1373281493605.7986</v>
      </c>
      <c r="K1272" s="54">
        <f t="shared" ca="1" si="179"/>
        <v>6.7968179632362453</v>
      </c>
    </row>
    <row r="1273" spans="2:11" ht="15" customHeight="1" x14ac:dyDescent="0.35">
      <c r="B1273" s="5">
        <v>1252</v>
      </c>
      <c r="C1273" s="52">
        <f t="shared" ca="1" si="171"/>
        <v>2.6966924812850439</v>
      </c>
      <c r="D1273" s="53">
        <f t="shared" ca="1" si="172"/>
        <v>2806637937.1715689</v>
      </c>
      <c r="E1273" s="53">
        <f t="shared" ca="1" si="173"/>
        <v>7471051712524.8125</v>
      </c>
      <c r="F1273" s="53">
        <f t="shared" ca="1" si="174"/>
        <v>7688457514125.9805</v>
      </c>
      <c r="G1273" s="53">
        <f t="shared" ca="1" si="175"/>
        <v>2307792015081.2642</v>
      </c>
      <c r="H1273" s="53">
        <f t="shared" ca="1" si="176"/>
        <v>7688457514125.9805</v>
      </c>
      <c r="I1273" s="53">
        <f t="shared" ca="1" si="177"/>
        <v>7280506770533.1641</v>
      </c>
      <c r="J1273" s="53">
        <f t="shared" ca="1" si="178"/>
        <v>1533302537705.311</v>
      </c>
      <c r="K1273" s="54">
        <f t="shared" ca="1" si="179"/>
        <v>4.74825195387006</v>
      </c>
    </row>
    <row r="1274" spans="2:11" ht="15" customHeight="1" x14ac:dyDescent="0.35">
      <c r="B1274" s="5">
        <v>1253</v>
      </c>
      <c r="C1274" s="52">
        <f t="shared" ca="1" si="171"/>
        <v>2.8805663513026896</v>
      </c>
      <c r="D1274" s="53">
        <f t="shared" ca="1" si="172"/>
        <v>3320386441.6053033</v>
      </c>
      <c r="E1274" s="53">
        <f t="shared" ca="1" si="173"/>
        <v>10374608152542.125</v>
      </c>
      <c r="F1274" s="53">
        <f t="shared" ca="1" si="174"/>
        <v>501300148675.42761</v>
      </c>
      <c r="G1274" s="53">
        <f t="shared" ca="1" si="175"/>
        <v>7245175664260.0254</v>
      </c>
      <c r="H1274" s="53">
        <f t="shared" ca="1" si="176"/>
        <v>501300148675.42761</v>
      </c>
      <c r="I1274" s="53">
        <f t="shared" ca="1" si="177"/>
        <v>14020142366109.074</v>
      </c>
      <c r="J1274" s="53">
        <f t="shared" ca="1" si="178"/>
        <v>1139149721204.6394</v>
      </c>
      <c r="K1274" s="54">
        <f t="shared" ca="1" si="179"/>
        <v>12.307550188646768</v>
      </c>
    </row>
    <row r="1275" spans="2:11" ht="15" customHeight="1" x14ac:dyDescent="0.35">
      <c r="B1275" s="5">
        <v>1254</v>
      </c>
      <c r="C1275" s="52">
        <f t="shared" ca="1" si="171"/>
        <v>4.0868557003614416</v>
      </c>
      <c r="D1275" s="53">
        <f t="shared" ca="1" si="172"/>
        <v>21925018019.225353</v>
      </c>
      <c r="E1275" s="53">
        <f t="shared" ca="1" si="173"/>
        <v>63875617669124.234</v>
      </c>
      <c r="F1275" s="53">
        <f t="shared" ca="1" si="174"/>
        <v>720132121897.14685</v>
      </c>
      <c r="G1275" s="53">
        <f t="shared" ca="1" si="175"/>
        <v>3140383857120.3853</v>
      </c>
      <c r="H1275" s="53">
        <f t="shared" ca="1" si="176"/>
        <v>3140383857120.3853</v>
      </c>
      <c r="I1275" s="53">
        <f t="shared" ca="1" si="177"/>
        <v>959772764215.51794</v>
      </c>
      <c r="J1275" s="53">
        <f t="shared" ca="1" si="178"/>
        <v>1205836664858.8818</v>
      </c>
      <c r="K1275" s="54">
        <f t="shared" ca="1" si="179"/>
        <v>0.79593927783564233</v>
      </c>
    </row>
    <row r="1276" spans="2:11" ht="15" customHeight="1" x14ac:dyDescent="0.35">
      <c r="B1276" s="5">
        <v>1255</v>
      </c>
      <c r="C1276" s="52">
        <f t="shared" ca="1" si="171"/>
        <v>3.3273660419692357</v>
      </c>
      <c r="D1276" s="53">
        <f t="shared" ca="1" si="172"/>
        <v>8463914685.535799</v>
      </c>
      <c r="E1276" s="53">
        <f t="shared" ca="1" si="173"/>
        <v>18757534018701.848</v>
      </c>
      <c r="F1276" s="53">
        <f t="shared" ca="1" si="174"/>
        <v>9410716788381.6328</v>
      </c>
      <c r="G1276" s="53">
        <f t="shared" ca="1" si="175"/>
        <v>848639997730.67834</v>
      </c>
      <c r="H1276" s="53">
        <f t="shared" ca="1" si="176"/>
        <v>9410716788381.6328</v>
      </c>
      <c r="I1276" s="53">
        <f t="shared" ca="1" si="177"/>
        <v>7105151602952.9678</v>
      </c>
      <c r="J1276" s="53">
        <f t="shared" ca="1" si="178"/>
        <v>1002725377239.071</v>
      </c>
      <c r="K1276" s="54">
        <f t="shared" ca="1" si="179"/>
        <v>7.0858400158540604</v>
      </c>
    </row>
    <row r="1277" spans="2:11" ht="15" customHeight="1" x14ac:dyDescent="0.35">
      <c r="B1277" s="5">
        <v>1256</v>
      </c>
      <c r="C1277" s="52">
        <f t="shared" ca="1" si="171"/>
        <v>3.9250527344124633</v>
      </c>
      <c r="D1277" s="53">
        <f t="shared" ca="1" si="172"/>
        <v>16914904804.180279</v>
      </c>
      <c r="E1277" s="53">
        <f t="shared" ca="1" si="173"/>
        <v>109967127273826.41</v>
      </c>
      <c r="F1277" s="53">
        <f t="shared" ca="1" si="174"/>
        <v>782047938298.00464</v>
      </c>
      <c r="G1277" s="53">
        <f t="shared" ca="1" si="175"/>
        <v>2990071947391.5635</v>
      </c>
      <c r="H1277" s="53">
        <f t="shared" ca="1" si="176"/>
        <v>109967127273826.41</v>
      </c>
      <c r="I1277" s="53">
        <f t="shared" ca="1" si="177"/>
        <v>18130180033824.441</v>
      </c>
      <c r="J1277" s="53">
        <f t="shared" ca="1" si="178"/>
        <v>569811962128.56189</v>
      </c>
      <c r="K1277" s="54">
        <f t="shared" ca="1" si="179"/>
        <v>31.817829808448074</v>
      </c>
    </row>
    <row r="1278" spans="2:11" ht="15" customHeight="1" x14ac:dyDescent="0.35">
      <c r="B1278" s="5">
        <v>1257</v>
      </c>
      <c r="C1278" s="52">
        <f t="shared" ca="1" si="171"/>
        <v>3.3219366615784627</v>
      </c>
      <c r="D1278" s="53">
        <f t="shared" ca="1" si="172"/>
        <v>7725797416.0622454</v>
      </c>
      <c r="E1278" s="53">
        <f t="shared" ca="1" si="173"/>
        <v>23151074164107.234</v>
      </c>
      <c r="F1278" s="53">
        <f t="shared" ca="1" si="174"/>
        <v>3252966861562.645</v>
      </c>
      <c r="G1278" s="53">
        <f t="shared" ca="1" si="175"/>
        <v>3475241705215.3452</v>
      </c>
      <c r="H1278" s="53">
        <f t="shared" ca="1" si="176"/>
        <v>23151074164107.234</v>
      </c>
      <c r="I1278" s="53">
        <f t="shared" ca="1" si="177"/>
        <v>429458297177.22736</v>
      </c>
      <c r="J1278" s="53">
        <f t="shared" ca="1" si="178"/>
        <v>1062776773933.6438</v>
      </c>
      <c r="K1278" s="54">
        <f t="shared" ca="1" si="179"/>
        <v>0.40409078153606814</v>
      </c>
    </row>
    <row r="1279" spans="2:11" ht="15" customHeight="1" x14ac:dyDescent="0.35">
      <c r="B1279" s="5">
        <v>1258</v>
      </c>
      <c r="C1279" s="52">
        <f t="shared" ca="1" si="171"/>
        <v>2.9360165661061477</v>
      </c>
      <c r="D1279" s="53">
        <f t="shared" ca="1" si="172"/>
        <v>4125680644.9804029</v>
      </c>
      <c r="E1279" s="53">
        <f t="shared" ca="1" si="173"/>
        <v>42214375752925.055</v>
      </c>
      <c r="F1279" s="53">
        <f t="shared" ca="1" si="174"/>
        <v>2434529788223.9785</v>
      </c>
      <c r="G1279" s="53">
        <f t="shared" ca="1" si="175"/>
        <v>3407913637262.1606</v>
      </c>
      <c r="H1279" s="53">
        <f t="shared" ca="1" si="176"/>
        <v>42214375752925.055</v>
      </c>
      <c r="I1279" s="53">
        <f t="shared" ca="1" si="177"/>
        <v>13893390480705.295</v>
      </c>
      <c r="J1279" s="53">
        <f t="shared" ca="1" si="178"/>
        <v>1068738278452.1642</v>
      </c>
      <c r="K1279" s="54">
        <f t="shared" ca="1" si="179"/>
        <v>12.999806183443583</v>
      </c>
    </row>
    <row r="1280" spans="2:11" ht="15" customHeight="1" x14ac:dyDescent="0.35">
      <c r="B1280" s="5">
        <v>1259</v>
      </c>
      <c r="C1280" s="52">
        <f t="shared" ca="1" si="171"/>
        <v>2.8262314947108136</v>
      </c>
      <c r="D1280" s="53">
        <f t="shared" ca="1" si="172"/>
        <v>3559716428.2314501</v>
      </c>
      <c r="E1280" s="53">
        <f t="shared" ca="1" si="173"/>
        <v>2101759984706.4939</v>
      </c>
      <c r="F1280" s="53">
        <f t="shared" ca="1" si="174"/>
        <v>2024993822089.9001</v>
      </c>
      <c r="G1280" s="53">
        <f t="shared" ca="1" si="175"/>
        <v>1386314307095.1689</v>
      </c>
      <c r="H1280" s="53">
        <f t="shared" ca="1" si="176"/>
        <v>2024993822089.9001</v>
      </c>
      <c r="I1280" s="53">
        <f t="shared" ca="1" si="177"/>
        <v>30043876484661.348</v>
      </c>
      <c r="J1280" s="53">
        <f t="shared" ca="1" si="178"/>
        <v>841188695819.09534</v>
      </c>
      <c r="K1280" s="54">
        <f t="shared" ca="1" si="179"/>
        <v>35.715977442381771</v>
      </c>
    </row>
    <row r="1281" spans="2:11" ht="15" customHeight="1" x14ac:dyDescent="0.35">
      <c r="B1281" s="5">
        <v>1260</v>
      </c>
      <c r="C1281" s="52">
        <f t="shared" ca="1" si="171"/>
        <v>3.5620145054360153</v>
      </c>
      <c r="D1281" s="53">
        <f t="shared" ca="1" si="172"/>
        <v>10615586005.185497</v>
      </c>
      <c r="E1281" s="53">
        <f t="shared" ca="1" si="173"/>
        <v>100325958218040.64</v>
      </c>
      <c r="F1281" s="53">
        <f t="shared" ca="1" si="174"/>
        <v>3027661476744.6987</v>
      </c>
      <c r="G1281" s="53">
        <f t="shared" ca="1" si="175"/>
        <v>10785352041388.172</v>
      </c>
      <c r="H1281" s="53">
        <f t="shared" ca="1" si="176"/>
        <v>3027661476744.6987</v>
      </c>
      <c r="I1281" s="53">
        <f t="shared" ca="1" si="177"/>
        <v>35355003834123.664</v>
      </c>
      <c r="J1281" s="53">
        <f t="shared" ca="1" si="178"/>
        <v>550010390683.41711</v>
      </c>
      <c r="K1281" s="54">
        <f t="shared" ca="1" si="179"/>
        <v>64.280610753904469</v>
      </c>
    </row>
    <row r="1282" spans="2:11" ht="15" customHeight="1" x14ac:dyDescent="0.35">
      <c r="B1282" s="5">
        <v>1261</v>
      </c>
      <c r="C1282" s="52">
        <f t="shared" ca="1" si="171"/>
        <v>3.586512861897706</v>
      </c>
      <c r="D1282" s="53">
        <f t="shared" ca="1" si="172"/>
        <v>12100717844.386414</v>
      </c>
      <c r="E1282" s="53">
        <f t="shared" ca="1" si="173"/>
        <v>60812968515949.93</v>
      </c>
      <c r="F1282" s="53">
        <f t="shared" ca="1" si="174"/>
        <v>8306764487579.4141</v>
      </c>
      <c r="G1282" s="53">
        <f t="shared" ca="1" si="175"/>
        <v>3272727312645.8086</v>
      </c>
      <c r="H1282" s="53">
        <f t="shared" ca="1" si="176"/>
        <v>8306764487579.4141</v>
      </c>
      <c r="I1282" s="53">
        <f t="shared" ca="1" si="177"/>
        <v>19025687285468.512</v>
      </c>
      <c r="J1282" s="53">
        <f t="shared" ca="1" si="178"/>
        <v>1416497980464.7373</v>
      </c>
      <c r="K1282" s="54">
        <f t="shared" ca="1" si="179"/>
        <v>13.431496230743933</v>
      </c>
    </row>
    <row r="1283" spans="2:11" ht="15" customHeight="1" x14ac:dyDescent="0.35">
      <c r="B1283" s="5">
        <v>1262</v>
      </c>
      <c r="C1283" s="52">
        <f t="shared" ca="1" si="171"/>
        <v>2.8537266301809003</v>
      </c>
      <c r="D1283" s="53">
        <f t="shared" ca="1" si="172"/>
        <v>3235299622.3358893</v>
      </c>
      <c r="E1283" s="53">
        <f t="shared" ca="1" si="173"/>
        <v>3601315165437.1284</v>
      </c>
      <c r="F1283" s="53">
        <f t="shared" ca="1" si="174"/>
        <v>2731165661687.5752</v>
      </c>
      <c r="G1283" s="53">
        <f t="shared" ca="1" si="175"/>
        <v>4795051334232.1191</v>
      </c>
      <c r="H1283" s="53">
        <f t="shared" ca="1" si="176"/>
        <v>2731165661687.5752</v>
      </c>
      <c r="I1283" s="53">
        <f t="shared" ca="1" si="177"/>
        <v>6179559875509.3838</v>
      </c>
      <c r="J1283" s="53">
        <f t="shared" ca="1" si="178"/>
        <v>1706855710804.1028</v>
      </c>
      <c r="K1283" s="54">
        <f t="shared" ca="1" si="179"/>
        <v>3.6204348360519485</v>
      </c>
    </row>
    <row r="1284" spans="2:11" ht="15" customHeight="1" x14ac:dyDescent="0.35">
      <c r="B1284" s="5">
        <v>1263</v>
      </c>
      <c r="C1284" s="52">
        <f t="shared" ca="1" si="171"/>
        <v>2.3213549801948896</v>
      </c>
      <c r="D1284" s="53">
        <f t="shared" ca="1" si="172"/>
        <v>1458231020.8141997</v>
      </c>
      <c r="E1284" s="53">
        <f t="shared" ca="1" si="173"/>
        <v>5004851776067.0107</v>
      </c>
      <c r="F1284" s="53">
        <f t="shared" ca="1" si="174"/>
        <v>1580719840274.1213</v>
      </c>
      <c r="G1284" s="53">
        <f t="shared" ca="1" si="175"/>
        <v>414857678434.51276</v>
      </c>
      <c r="H1284" s="53">
        <f t="shared" ca="1" si="176"/>
        <v>414857678434.51276</v>
      </c>
      <c r="I1284" s="53">
        <f t="shared" ca="1" si="177"/>
        <v>13774247209604.084</v>
      </c>
      <c r="J1284" s="53">
        <f t="shared" ca="1" si="178"/>
        <v>1362337291900.2964</v>
      </c>
      <c r="K1284" s="54">
        <f t="shared" ca="1" si="179"/>
        <v>10.110746649525147</v>
      </c>
    </row>
    <row r="1285" spans="2:11" ht="15" customHeight="1" x14ac:dyDescent="0.35">
      <c r="B1285" s="5">
        <v>1264</v>
      </c>
      <c r="C1285" s="52">
        <f t="shared" ca="1" si="171"/>
        <v>2.6929758304061733</v>
      </c>
      <c r="D1285" s="53">
        <f t="shared" ca="1" si="172"/>
        <v>3344313708.5874062</v>
      </c>
      <c r="E1285" s="53">
        <f t="shared" ca="1" si="173"/>
        <v>15950467394765.699</v>
      </c>
      <c r="F1285" s="53">
        <f t="shared" ca="1" si="174"/>
        <v>2762864727236.6372</v>
      </c>
      <c r="G1285" s="53">
        <f t="shared" ca="1" si="175"/>
        <v>24259527647579.875</v>
      </c>
      <c r="H1285" s="53">
        <f t="shared" ca="1" si="176"/>
        <v>24259527647579.875</v>
      </c>
      <c r="I1285" s="53">
        <f t="shared" ca="1" si="177"/>
        <v>9024959998425.9512</v>
      </c>
      <c r="J1285" s="53">
        <f t="shared" ca="1" si="178"/>
        <v>1871467172477.6926</v>
      </c>
      <c r="K1285" s="54">
        <f t="shared" ca="1" si="179"/>
        <v>4.822398239813916</v>
      </c>
    </row>
    <row r="1286" spans="2:11" ht="15" customHeight="1" x14ac:dyDescent="0.35">
      <c r="B1286" s="5">
        <v>1265</v>
      </c>
      <c r="C1286" s="52">
        <f t="shared" ca="1" si="171"/>
        <v>3.4021903824030901</v>
      </c>
      <c r="D1286" s="53">
        <f t="shared" ca="1" si="172"/>
        <v>8673795152.5192719</v>
      </c>
      <c r="E1286" s="53">
        <f t="shared" ca="1" si="173"/>
        <v>13355409145260.125</v>
      </c>
      <c r="F1286" s="53">
        <f t="shared" ca="1" si="174"/>
        <v>1377554148668.1794</v>
      </c>
      <c r="G1286" s="53">
        <f t="shared" ca="1" si="175"/>
        <v>2623171503944.5215</v>
      </c>
      <c r="H1286" s="53">
        <f t="shared" ca="1" si="176"/>
        <v>13355409145260.125</v>
      </c>
      <c r="I1286" s="53">
        <f t="shared" ca="1" si="177"/>
        <v>17096575911565.037</v>
      </c>
      <c r="J1286" s="53">
        <f t="shared" ca="1" si="178"/>
        <v>861593612642.84265</v>
      </c>
      <c r="K1286" s="54">
        <f t="shared" ca="1" si="179"/>
        <v>19.842969656104099</v>
      </c>
    </row>
    <row r="1287" spans="2:11" ht="15" customHeight="1" x14ac:dyDescent="0.35">
      <c r="B1287" s="5">
        <v>1266</v>
      </c>
      <c r="C1287" s="52">
        <f t="shared" ca="1" si="171"/>
        <v>3.1566936008617543</v>
      </c>
      <c r="D1287" s="53">
        <f t="shared" ca="1" si="172"/>
        <v>6527900537.3669071</v>
      </c>
      <c r="E1287" s="53">
        <f t="shared" ca="1" si="173"/>
        <v>123467798256590.3</v>
      </c>
      <c r="F1287" s="53">
        <f t="shared" ca="1" si="174"/>
        <v>29152644047645.953</v>
      </c>
      <c r="G1287" s="53">
        <f t="shared" ca="1" si="175"/>
        <v>5302027876764.2168</v>
      </c>
      <c r="H1287" s="53">
        <f t="shared" ca="1" si="176"/>
        <v>29152644047645.953</v>
      </c>
      <c r="I1287" s="53">
        <f t="shared" ca="1" si="177"/>
        <v>9310722663779.707</v>
      </c>
      <c r="J1287" s="53">
        <f t="shared" ca="1" si="178"/>
        <v>677638871602.16321</v>
      </c>
      <c r="K1287" s="54">
        <f t="shared" ca="1" si="179"/>
        <v>13.739947712512519</v>
      </c>
    </row>
    <row r="1288" spans="2:11" ht="15" customHeight="1" x14ac:dyDescent="0.35">
      <c r="B1288" s="5">
        <v>1267</v>
      </c>
      <c r="C1288" s="52">
        <f t="shared" ca="1" si="171"/>
        <v>3.0866563601168862</v>
      </c>
      <c r="D1288" s="53">
        <f t="shared" ca="1" si="172"/>
        <v>4622396923.4542904</v>
      </c>
      <c r="E1288" s="53">
        <f t="shared" ca="1" si="173"/>
        <v>5209641434658.4805</v>
      </c>
      <c r="F1288" s="53">
        <f t="shared" ca="1" si="174"/>
        <v>3677200336724.9751</v>
      </c>
      <c r="G1288" s="53">
        <f t="shared" ca="1" si="175"/>
        <v>64138987002670.031</v>
      </c>
      <c r="H1288" s="53">
        <f t="shared" ca="1" si="176"/>
        <v>64138987002670.031</v>
      </c>
      <c r="I1288" s="53">
        <f t="shared" ca="1" si="177"/>
        <v>192176432480738.84</v>
      </c>
      <c r="J1288" s="53">
        <f t="shared" ca="1" si="178"/>
        <v>1568974465872.3394</v>
      </c>
      <c r="K1288" s="54">
        <f t="shared" ca="1" si="179"/>
        <v>122.48537924668521</v>
      </c>
    </row>
    <row r="1289" spans="2:11" ht="15" customHeight="1" x14ac:dyDescent="0.35">
      <c r="B1289" s="5">
        <v>1268</v>
      </c>
      <c r="C1289" s="52">
        <f t="shared" ca="1" si="171"/>
        <v>2.855401065631141</v>
      </c>
      <c r="D1289" s="53">
        <f t="shared" ca="1" si="172"/>
        <v>3231293999.5318422</v>
      </c>
      <c r="E1289" s="53">
        <f t="shared" ca="1" si="173"/>
        <v>8437341312638.6211</v>
      </c>
      <c r="F1289" s="53">
        <f t="shared" ca="1" si="174"/>
        <v>5177950103503.3965</v>
      </c>
      <c r="G1289" s="53">
        <f t="shared" ca="1" si="175"/>
        <v>13749880121962.131</v>
      </c>
      <c r="H1289" s="53">
        <f t="shared" ca="1" si="176"/>
        <v>5177950103503.3965</v>
      </c>
      <c r="I1289" s="53">
        <f t="shared" ca="1" si="177"/>
        <v>144651109380123.69</v>
      </c>
      <c r="J1289" s="53">
        <f t="shared" ca="1" si="178"/>
        <v>872124484060.8689</v>
      </c>
      <c r="K1289" s="54">
        <f t="shared" ca="1" si="179"/>
        <v>165.8606219912385</v>
      </c>
    </row>
    <row r="1290" spans="2:11" ht="15" customHeight="1" x14ac:dyDescent="0.35">
      <c r="B1290" s="5">
        <v>1269</v>
      </c>
      <c r="C1290" s="52">
        <f t="shared" ca="1" si="171"/>
        <v>2.5001405492799216</v>
      </c>
      <c r="D1290" s="53">
        <f t="shared" ca="1" si="172"/>
        <v>1610023993.2008569</v>
      </c>
      <c r="E1290" s="53">
        <f t="shared" ca="1" si="173"/>
        <v>2093423131010.7539</v>
      </c>
      <c r="F1290" s="53">
        <f t="shared" ca="1" si="174"/>
        <v>1420484704637.6389</v>
      </c>
      <c r="G1290" s="53">
        <f t="shared" ca="1" si="175"/>
        <v>546280669954.86145</v>
      </c>
      <c r="H1290" s="53">
        <f t="shared" ca="1" si="176"/>
        <v>546280669954.86145</v>
      </c>
      <c r="I1290" s="53">
        <f t="shared" ca="1" si="177"/>
        <v>11327890984776.641</v>
      </c>
      <c r="J1290" s="53">
        <f t="shared" ca="1" si="178"/>
        <v>978565096606.10864</v>
      </c>
      <c r="K1290" s="54">
        <f t="shared" ca="1" si="179"/>
        <v>11.576021895798656</v>
      </c>
    </row>
    <row r="1291" spans="2:11" ht="15" customHeight="1" x14ac:dyDescent="0.35">
      <c r="B1291" s="5">
        <v>1270</v>
      </c>
      <c r="C1291" s="52">
        <f t="shared" ca="1" si="171"/>
        <v>2.9600719149641557</v>
      </c>
      <c r="D1291" s="53">
        <f t="shared" ca="1" si="172"/>
        <v>5235269590.9601059</v>
      </c>
      <c r="E1291" s="53">
        <f t="shared" ca="1" si="173"/>
        <v>54071094804897.203</v>
      </c>
      <c r="F1291" s="53">
        <f t="shared" ca="1" si="174"/>
        <v>4881512976276.9609</v>
      </c>
      <c r="G1291" s="53">
        <f t="shared" ca="1" si="175"/>
        <v>859162564029.81006</v>
      </c>
      <c r="H1291" s="53">
        <f t="shared" ca="1" si="176"/>
        <v>859162564029.81006</v>
      </c>
      <c r="I1291" s="53">
        <f t="shared" ca="1" si="177"/>
        <v>2647242673357.0205</v>
      </c>
      <c r="J1291" s="53">
        <f t="shared" ca="1" si="178"/>
        <v>967566153149.07617</v>
      </c>
      <c r="K1291" s="54">
        <f t="shared" ca="1" si="179"/>
        <v>2.7359810641796507</v>
      </c>
    </row>
    <row r="1292" spans="2:11" ht="15" customHeight="1" x14ac:dyDescent="0.35">
      <c r="B1292" s="5">
        <v>1271</v>
      </c>
      <c r="C1292" s="52">
        <f t="shared" ca="1" si="171"/>
        <v>3.8168274371012112</v>
      </c>
      <c r="D1292" s="53">
        <f t="shared" ca="1" si="172"/>
        <v>16468697943.400953</v>
      </c>
      <c r="E1292" s="53">
        <f t="shared" ca="1" si="173"/>
        <v>13317778306467.721</v>
      </c>
      <c r="F1292" s="53">
        <f t="shared" ca="1" si="174"/>
        <v>1048549475202.7343</v>
      </c>
      <c r="G1292" s="53">
        <f t="shared" ca="1" si="175"/>
        <v>6566345643378.0527</v>
      </c>
      <c r="H1292" s="53">
        <f t="shared" ca="1" si="176"/>
        <v>1048549475202.7343</v>
      </c>
      <c r="I1292" s="53">
        <f t="shared" ca="1" si="177"/>
        <v>34445765260887.906</v>
      </c>
      <c r="J1292" s="53">
        <f t="shared" ca="1" si="178"/>
        <v>1334424596484.8486</v>
      </c>
      <c r="K1292" s="54">
        <f t="shared" ca="1" si="179"/>
        <v>25.81319720246854</v>
      </c>
    </row>
    <row r="1293" spans="2:11" ht="15" customHeight="1" x14ac:dyDescent="0.35">
      <c r="B1293" s="5">
        <v>1272</v>
      </c>
      <c r="C1293" s="52">
        <f t="shared" ca="1" si="171"/>
        <v>2.6698882264485118</v>
      </c>
      <c r="D1293" s="53">
        <f t="shared" ca="1" si="172"/>
        <v>2247953829.8271298</v>
      </c>
      <c r="E1293" s="53">
        <f t="shared" ca="1" si="173"/>
        <v>7913132926000.0459</v>
      </c>
      <c r="F1293" s="53">
        <f t="shared" ca="1" si="174"/>
        <v>1055631100101.2407</v>
      </c>
      <c r="G1293" s="53">
        <f t="shared" ca="1" si="175"/>
        <v>32753704204924.715</v>
      </c>
      <c r="H1293" s="53">
        <f t="shared" ca="1" si="176"/>
        <v>1055631100101.2407</v>
      </c>
      <c r="I1293" s="53">
        <f t="shared" ca="1" si="177"/>
        <v>25291769645896.074</v>
      </c>
      <c r="J1293" s="53">
        <f t="shared" ca="1" si="178"/>
        <v>683464455997.97559</v>
      </c>
      <c r="K1293" s="54">
        <f t="shared" ca="1" si="179"/>
        <v>37.00524500424202</v>
      </c>
    </row>
    <row r="1294" spans="2:11" ht="15" customHeight="1" x14ac:dyDescent="0.35">
      <c r="B1294" s="5">
        <v>1273</v>
      </c>
      <c r="C1294" s="52">
        <f t="shared" ca="1" si="171"/>
        <v>3.2286928408589963</v>
      </c>
      <c r="D1294" s="53">
        <f t="shared" ca="1" si="172"/>
        <v>7684606106.3966112</v>
      </c>
      <c r="E1294" s="53">
        <f t="shared" ca="1" si="173"/>
        <v>36437405486045.461</v>
      </c>
      <c r="F1294" s="53">
        <f t="shared" ca="1" si="174"/>
        <v>6151722295198.4229</v>
      </c>
      <c r="G1294" s="53">
        <f t="shared" ca="1" si="175"/>
        <v>2931910546912.4473</v>
      </c>
      <c r="H1294" s="53">
        <f t="shared" ca="1" si="176"/>
        <v>2931910546912.4473</v>
      </c>
      <c r="I1294" s="53">
        <f t="shared" ca="1" si="177"/>
        <v>969188494135.6676</v>
      </c>
      <c r="J1294" s="53">
        <f t="shared" ca="1" si="178"/>
        <v>569490346362.93127</v>
      </c>
      <c r="K1294" s="54">
        <f t="shared" ca="1" si="179"/>
        <v>1.7018523673411177</v>
      </c>
    </row>
    <row r="1295" spans="2:11" ht="15" customHeight="1" x14ac:dyDescent="0.35">
      <c r="B1295" s="5">
        <v>1274</v>
      </c>
      <c r="C1295" s="52">
        <f t="shared" ca="1" si="171"/>
        <v>2.5636021073978985</v>
      </c>
      <c r="D1295" s="53">
        <f t="shared" ca="1" si="172"/>
        <v>2437241592.5209098</v>
      </c>
      <c r="E1295" s="53">
        <f t="shared" ca="1" si="173"/>
        <v>5011686902661.708</v>
      </c>
      <c r="F1295" s="53">
        <f t="shared" ca="1" si="174"/>
        <v>2599107800624.979</v>
      </c>
      <c r="G1295" s="53">
        <f t="shared" ca="1" si="175"/>
        <v>75020134204097.922</v>
      </c>
      <c r="H1295" s="53">
        <f t="shared" ca="1" si="176"/>
        <v>5011686902661.708</v>
      </c>
      <c r="I1295" s="53">
        <f t="shared" ca="1" si="177"/>
        <v>41037290332103.406</v>
      </c>
      <c r="J1295" s="53">
        <f t="shared" ca="1" si="178"/>
        <v>878804732951.29651</v>
      </c>
      <c r="K1295" s="54">
        <f t="shared" ca="1" si="179"/>
        <v>46.696710649574641</v>
      </c>
    </row>
    <row r="1296" spans="2:11" ht="15" customHeight="1" x14ac:dyDescent="0.35">
      <c r="B1296" s="5">
        <v>1275</v>
      </c>
      <c r="C1296" s="52">
        <f t="shared" ca="1" si="171"/>
        <v>3.9165275206782906</v>
      </c>
      <c r="D1296" s="53">
        <f t="shared" ca="1" si="172"/>
        <v>17437122302.933746</v>
      </c>
      <c r="E1296" s="53">
        <f t="shared" ca="1" si="173"/>
        <v>217132674206654.22</v>
      </c>
      <c r="F1296" s="53">
        <f t="shared" ca="1" si="174"/>
        <v>458316217858.18774</v>
      </c>
      <c r="G1296" s="53">
        <f t="shared" ca="1" si="175"/>
        <v>2320539947351.3623</v>
      </c>
      <c r="H1296" s="53">
        <f t="shared" ca="1" si="176"/>
        <v>2320539947351.3623</v>
      </c>
      <c r="I1296" s="53">
        <f t="shared" ca="1" si="177"/>
        <v>3307494338091.9458</v>
      </c>
      <c r="J1296" s="53">
        <f t="shared" ca="1" si="178"/>
        <v>1804893807064.9814</v>
      </c>
      <c r="K1296" s="54">
        <f t="shared" ca="1" si="179"/>
        <v>1.8325146472026574</v>
      </c>
    </row>
    <row r="1297" spans="2:11" ht="15" customHeight="1" x14ac:dyDescent="0.35">
      <c r="B1297" s="5">
        <v>1276</v>
      </c>
      <c r="C1297" s="52">
        <f t="shared" ca="1" si="171"/>
        <v>3.5587544855236084</v>
      </c>
      <c r="D1297" s="53">
        <f t="shared" ca="1" si="172"/>
        <v>9609645336.196846</v>
      </c>
      <c r="E1297" s="53">
        <f t="shared" ca="1" si="173"/>
        <v>26527119622412.641</v>
      </c>
      <c r="F1297" s="53">
        <f t="shared" ca="1" si="174"/>
        <v>16455955783617.156</v>
      </c>
      <c r="G1297" s="53">
        <f t="shared" ca="1" si="175"/>
        <v>103281565230.66243</v>
      </c>
      <c r="H1297" s="53">
        <f t="shared" ca="1" si="176"/>
        <v>103281565230.66243</v>
      </c>
      <c r="I1297" s="53">
        <f t="shared" ca="1" si="177"/>
        <v>20777779951955.289</v>
      </c>
      <c r="J1297" s="53">
        <f t="shared" ca="1" si="178"/>
        <v>822224083912.53503</v>
      </c>
      <c r="K1297" s="54">
        <f t="shared" ca="1" si="179"/>
        <v>25.270215697264284</v>
      </c>
    </row>
    <row r="1298" spans="2:11" ht="15" customHeight="1" x14ac:dyDescent="0.35">
      <c r="B1298" s="5">
        <v>1277</v>
      </c>
      <c r="C1298" s="52">
        <f t="shared" ca="1" si="171"/>
        <v>3.3925288894492045</v>
      </c>
      <c r="D1298" s="53">
        <f t="shared" ca="1" si="172"/>
        <v>8731680091.9222317</v>
      </c>
      <c r="E1298" s="53">
        <f t="shared" ca="1" si="173"/>
        <v>8617745367367.9922</v>
      </c>
      <c r="F1298" s="53">
        <f t="shared" ca="1" si="174"/>
        <v>4464952450923.5811</v>
      </c>
      <c r="G1298" s="53">
        <f t="shared" ca="1" si="175"/>
        <v>25306108003001.625</v>
      </c>
      <c r="H1298" s="53">
        <f t="shared" ca="1" si="176"/>
        <v>4464952450923.5811</v>
      </c>
      <c r="I1298" s="53">
        <f t="shared" ca="1" si="177"/>
        <v>5330441116052.3096</v>
      </c>
      <c r="J1298" s="53">
        <f t="shared" ca="1" si="178"/>
        <v>1228756121128.5591</v>
      </c>
      <c r="K1298" s="54">
        <f t="shared" ca="1" si="179"/>
        <v>4.3380789925640668</v>
      </c>
    </row>
    <row r="1299" spans="2:11" ht="15" customHeight="1" x14ac:dyDescent="0.35">
      <c r="B1299" s="5">
        <v>1278</v>
      </c>
      <c r="C1299" s="52">
        <f t="shared" ca="1" si="171"/>
        <v>3.7487045731370308</v>
      </c>
      <c r="D1299" s="53">
        <f t="shared" ca="1" si="172"/>
        <v>16456785930.69109</v>
      </c>
      <c r="E1299" s="53">
        <f t="shared" ca="1" si="173"/>
        <v>24764565266998.676</v>
      </c>
      <c r="F1299" s="53">
        <f t="shared" ca="1" si="174"/>
        <v>2218453788421.8662</v>
      </c>
      <c r="G1299" s="53">
        <f t="shared" ca="1" si="175"/>
        <v>9200822810523.1992</v>
      </c>
      <c r="H1299" s="53">
        <f t="shared" ca="1" si="176"/>
        <v>2218453788421.8662</v>
      </c>
      <c r="I1299" s="53">
        <f t="shared" ca="1" si="177"/>
        <v>26871300719982.805</v>
      </c>
      <c r="J1299" s="53">
        <f t="shared" ca="1" si="178"/>
        <v>457826012847.43866</v>
      </c>
      <c r="K1299" s="54">
        <f t="shared" ca="1" si="179"/>
        <v>58.69325893663698</v>
      </c>
    </row>
    <row r="1300" spans="2:11" ht="15" customHeight="1" x14ac:dyDescent="0.35">
      <c r="B1300" s="5">
        <v>1279</v>
      </c>
      <c r="C1300" s="52">
        <f t="shared" ca="1" si="171"/>
        <v>2.4024709079184596</v>
      </c>
      <c r="D1300" s="53">
        <f t="shared" ca="1" si="172"/>
        <v>1741637582.6948495</v>
      </c>
      <c r="E1300" s="53">
        <f t="shared" ca="1" si="173"/>
        <v>3592031807485.2109</v>
      </c>
      <c r="F1300" s="53">
        <f t="shared" ca="1" si="174"/>
        <v>1090648777850.2185</v>
      </c>
      <c r="G1300" s="53">
        <f t="shared" ca="1" si="175"/>
        <v>81218908869041.625</v>
      </c>
      <c r="H1300" s="53">
        <f t="shared" ca="1" si="176"/>
        <v>81218908869041.625</v>
      </c>
      <c r="I1300" s="53">
        <f t="shared" ca="1" si="177"/>
        <v>11346723069170.168</v>
      </c>
      <c r="J1300" s="53">
        <f t="shared" ca="1" si="178"/>
        <v>703650380838.88232</v>
      </c>
      <c r="K1300" s="54">
        <f t="shared" ca="1" si="179"/>
        <v>16.125512581465188</v>
      </c>
    </row>
    <row r="1301" spans="2:11" ht="15" customHeight="1" x14ac:dyDescent="0.35">
      <c r="B1301" s="5">
        <v>1280</v>
      </c>
      <c r="C1301" s="52">
        <f t="shared" ca="1" si="171"/>
        <v>3.4150887479647931</v>
      </c>
      <c r="D1301" s="53">
        <f t="shared" ca="1" si="172"/>
        <v>9819839446.5462475</v>
      </c>
      <c r="E1301" s="53">
        <f t="shared" ca="1" si="173"/>
        <v>23879533645664.574</v>
      </c>
      <c r="F1301" s="53">
        <f t="shared" ca="1" si="174"/>
        <v>1651198289897.1377</v>
      </c>
      <c r="G1301" s="53">
        <f t="shared" ca="1" si="175"/>
        <v>3251568338282.0903</v>
      </c>
      <c r="H1301" s="53">
        <f t="shared" ca="1" si="176"/>
        <v>3251568338282.0903</v>
      </c>
      <c r="I1301" s="53">
        <f t="shared" ca="1" si="177"/>
        <v>22100328483297.473</v>
      </c>
      <c r="J1301" s="53">
        <f t="shared" ca="1" si="178"/>
        <v>1213441534934.8933</v>
      </c>
      <c r="K1301" s="54">
        <f t="shared" ca="1" si="179"/>
        <v>18.212932264992279</v>
      </c>
    </row>
    <row r="1302" spans="2:11" ht="15" customHeight="1" x14ac:dyDescent="0.35">
      <c r="B1302" s="5">
        <v>1281</v>
      </c>
      <c r="C1302" s="52">
        <f t="shared" ref="C1302:C1365" ca="1" si="180">MEDIAN(1.8,NORMINV(RAND(),$C$7,$D$7),4.5)</f>
        <v>3.1631320736289559</v>
      </c>
      <c r="D1302" s="53">
        <f t="shared" ref="D1302:D1365" ca="1" si="181">($C$8+RAND()*($D$8-$C$8))*C1302^5</f>
        <v>6845623782.2088509</v>
      </c>
      <c r="E1302" s="53">
        <f t="shared" ref="E1302:E1365" ca="1" si="182">D1302*($C$10+RAND()*($D$10-$C$10))*EXP(NORMINV(RAND(),$C$9,$D$9))*($C$11+RAND()*($D$11-$C$11))</f>
        <v>34770599056829.734</v>
      </c>
      <c r="F1302" s="53">
        <f t="shared" ref="F1302:F1365" ca="1" si="183">EXP(NORMINV(RAND(),$C$12,$D$12))*EXP(NORMINV(RAND(),$C$13,$D$13))</f>
        <v>2380425681396.4741</v>
      </c>
      <c r="G1302" s="53">
        <f t="shared" ref="G1302:G1365" ca="1" si="184">EXP(NORMINV(RAND(),$C$14,$D$14))*($C$15+RAND()*($D$15-$C$15))*EXP(NORMINV(RAND(),$C$16,$D$16))/1000000*31536000</f>
        <v>1043111807318.7327</v>
      </c>
      <c r="H1302" s="53">
        <f t="shared" ref="H1302:H1365" ca="1" si="185">CHOOSE(RANDBETWEEN(1,3),E1302,F1302,G1302)</f>
        <v>1043111807318.7327</v>
      </c>
      <c r="I1302" s="53">
        <f t="shared" ref="I1302:I1365" ca="1" si="186">EXP(NORMINV(RAND(),$C$14,$D$14))*($C$15+RAND()*($D$15-$C$15))*60</f>
        <v>3801330554788.5317</v>
      </c>
      <c r="J1302" s="53">
        <f t="shared" ref="J1302:J1365" ca="1" si="187">($C$17+RAND()*($D$17-$C$17))*($C$18+RAND()*($D$18-$C$18))</f>
        <v>1118564585150.2832</v>
      </c>
      <c r="K1302" s="54">
        <f t="shared" ref="K1302:K1365" ca="1" si="188">I1302/J1302</f>
        <v>3.3984005977426945</v>
      </c>
    </row>
    <row r="1303" spans="2:11" ht="15" customHeight="1" x14ac:dyDescent="0.35">
      <c r="B1303" s="5">
        <v>1282</v>
      </c>
      <c r="C1303" s="52">
        <f t="shared" ca="1" si="180"/>
        <v>2.6005357108555009</v>
      </c>
      <c r="D1303" s="53">
        <f t="shared" ca="1" si="181"/>
        <v>2089598692.4162507</v>
      </c>
      <c r="E1303" s="53">
        <f t="shared" ca="1" si="182"/>
        <v>11091601557351.023</v>
      </c>
      <c r="F1303" s="53">
        <f t="shared" ca="1" si="183"/>
        <v>1911383114524.3064</v>
      </c>
      <c r="G1303" s="53">
        <f t="shared" ca="1" si="184"/>
        <v>559838487244.12708</v>
      </c>
      <c r="H1303" s="53">
        <f t="shared" ca="1" si="185"/>
        <v>559838487244.12708</v>
      </c>
      <c r="I1303" s="53">
        <f t="shared" ca="1" si="186"/>
        <v>21664018123555.395</v>
      </c>
      <c r="J1303" s="53">
        <f t="shared" ca="1" si="187"/>
        <v>1024202004676.1154</v>
      </c>
      <c r="K1303" s="54">
        <f t="shared" ca="1" si="188"/>
        <v>21.152095020948757</v>
      </c>
    </row>
    <row r="1304" spans="2:11" ht="15" customHeight="1" x14ac:dyDescent="0.35">
      <c r="B1304" s="5">
        <v>1283</v>
      </c>
      <c r="C1304" s="52">
        <f t="shared" ca="1" si="180"/>
        <v>2.852366185653044</v>
      </c>
      <c r="D1304" s="53">
        <f t="shared" ca="1" si="181"/>
        <v>3778565701.2727232</v>
      </c>
      <c r="E1304" s="53">
        <f t="shared" ca="1" si="182"/>
        <v>19257225314679.426</v>
      </c>
      <c r="F1304" s="53">
        <f t="shared" ca="1" si="183"/>
        <v>1131451233038.5845</v>
      </c>
      <c r="G1304" s="53">
        <f t="shared" ca="1" si="184"/>
        <v>18832098359841.473</v>
      </c>
      <c r="H1304" s="53">
        <f t="shared" ca="1" si="185"/>
        <v>18832098359841.473</v>
      </c>
      <c r="I1304" s="53">
        <f t="shared" ca="1" si="186"/>
        <v>1530042438357.03</v>
      </c>
      <c r="J1304" s="53">
        <f t="shared" ca="1" si="187"/>
        <v>815677946787.82666</v>
      </c>
      <c r="K1304" s="54">
        <f t="shared" ca="1" si="188"/>
        <v>1.8757923324792587</v>
      </c>
    </row>
    <row r="1305" spans="2:11" ht="15" customHeight="1" x14ac:dyDescent="0.35">
      <c r="B1305" s="5">
        <v>1284</v>
      </c>
      <c r="C1305" s="52">
        <f t="shared" ca="1" si="180"/>
        <v>3.6545330583817259</v>
      </c>
      <c r="D1305" s="53">
        <f t="shared" ca="1" si="181"/>
        <v>12376391915.044363</v>
      </c>
      <c r="E1305" s="53">
        <f t="shared" ca="1" si="182"/>
        <v>91368031514387.078</v>
      </c>
      <c r="F1305" s="53">
        <f t="shared" ca="1" si="183"/>
        <v>736913859714.38501</v>
      </c>
      <c r="G1305" s="53">
        <f t="shared" ca="1" si="184"/>
        <v>7543989648798.8779</v>
      </c>
      <c r="H1305" s="53">
        <f t="shared" ca="1" si="185"/>
        <v>7543989648798.8779</v>
      </c>
      <c r="I1305" s="53">
        <f t="shared" ca="1" si="186"/>
        <v>2915445557009.73</v>
      </c>
      <c r="J1305" s="53">
        <f t="shared" ca="1" si="187"/>
        <v>1498478909955.2878</v>
      </c>
      <c r="K1305" s="54">
        <f t="shared" ca="1" si="188"/>
        <v>1.9456033299105437</v>
      </c>
    </row>
    <row r="1306" spans="2:11" ht="15" customHeight="1" x14ac:dyDescent="0.35">
      <c r="B1306" s="5">
        <v>1285</v>
      </c>
      <c r="C1306" s="52">
        <f t="shared" ca="1" si="180"/>
        <v>2.9066974576217466</v>
      </c>
      <c r="D1306" s="53">
        <f t="shared" ca="1" si="181"/>
        <v>4272496668.0396171</v>
      </c>
      <c r="E1306" s="53">
        <f t="shared" ca="1" si="182"/>
        <v>31288754339035.457</v>
      </c>
      <c r="F1306" s="53">
        <f t="shared" ca="1" si="183"/>
        <v>7880628225832.8418</v>
      </c>
      <c r="G1306" s="53">
        <f t="shared" ca="1" si="184"/>
        <v>1392951834260.3486</v>
      </c>
      <c r="H1306" s="53">
        <f t="shared" ca="1" si="185"/>
        <v>1392951834260.3486</v>
      </c>
      <c r="I1306" s="53">
        <f t="shared" ca="1" si="186"/>
        <v>24395966220534.551</v>
      </c>
      <c r="J1306" s="53">
        <f t="shared" ca="1" si="187"/>
        <v>1047895217092.7136</v>
      </c>
      <c r="K1306" s="54">
        <f t="shared" ca="1" si="188"/>
        <v>23.280921434319414</v>
      </c>
    </row>
    <row r="1307" spans="2:11" ht="15" customHeight="1" x14ac:dyDescent="0.35">
      <c r="B1307" s="5">
        <v>1286</v>
      </c>
      <c r="C1307" s="52">
        <f t="shared" ca="1" si="180"/>
        <v>2.4621082150523996</v>
      </c>
      <c r="D1307" s="53">
        <f t="shared" ca="1" si="181"/>
        <v>1536461180.1830311</v>
      </c>
      <c r="E1307" s="53">
        <f t="shared" ca="1" si="182"/>
        <v>24885294403001.922</v>
      </c>
      <c r="F1307" s="53">
        <f t="shared" ca="1" si="183"/>
        <v>2110382660156.4055</v>
      </c>
      <c r="G1307" s="53">
        <f t="shared" ca="1" si="184"/>
        <v>285612460347.67847</v>
      </c>
      <c r="H1307" s="53">
        <f t="shared" ca="1" si="185"/>
        <v>24885294403001.922</v>
      </c>
      <c r="I1307" s="53">
        <f t="shared" ca="1" si="186"/>
        <v>2137403317146.9067</v>
      </c>
      <c r="J1307" s="53">
        <f t="shared" ca="1" si="187"/>
        <v>645017655285.6167</v>
      </c>
      <c r="K1307" s="54">
        <f t="shared" ca="1" si="188"/>
        <v>3.3137128877510413</v>
      </c>
    </row>
    <row r="1308" spans="2:11" ht="15" customHeight="1" x14ac:dyDescent="0.35">
      <c r="B1308" s="5">
        <v>1287</v>
      </c>
      <c r="C1308" s="52">
        <f t="shared" ca="1" si="180"/>
        <v>2.2515720275016147</v>
      </c>
      <c r="D1308" s="53">
        <f t="shared" ca="1" si="181"/>
        <v>1060161858.9954857</v>
      </c>
      <c r="E1308" s="53">
        <f t="shared" ca="1" si="182"/>
        <v>5459114645659.3311</v>
      </c>
      <c r="F1308" s="53">
        <f t="shared" ca="1" si="183"/>
        <v>3385429455331.3506</v>
      </c>
      <c r="G1308" s="53">
        <f t="shared" ca="1" si="184"/>
        <v>8521282623094.6748</v>
      </c>
      <c r="H1308" s="53">
        <f t="shared" ca="1" si="185"/>
        <v>5459114645659.3311</v>
      </c>
      <c r="I1308" s="53">
        <f t="shared" ca="1" si="186"/>
        <v>9487632082879.9746</v>
      </c>
      <c r="J1308" s="53">
        <f t="shared" ca="1" si="187"/>
        <v>1534584414924.7842</v>
      </c>
      <c r="K1308" s="54">
        <f t="shared" ca="1" si="188"/>
        <v>6.1825416644447024</v>
      </c>
    </row>
    <row r="1309" spans="2:11" ht="15" customHeight="1" x14ac:dyDescent="0.35">
      <c r="B1309" s="5">
        <v>1288</v>
      </c>
      <c r="C1309" s="52">
        <f t="shared" ca="1" si="180"/>
        <v>2.6274255603668566</v>
      </c>
      <c r="D1309" s="53">
        <f t="shared" ca="1" si="181"/>
        <v>2182370222.2650571</v>
      </c>
      <c r="E1309" s="53">
        <f t="shared" ca="1" si="182"/>
        <v>2212818298187.7173</v>
      </c>
      <c r="F1309" s="53">
        <f t="shared" ca="1" si="183"/>
        <v>1476118004435.0364</v>
      </c>
      <c r="G1309" s="53">
        <f t="shared" ca="1" si="184"/>
        <v>20394890347307.34</v>
      </c>
      <c r="H1309" s="53">
        <f t="shared" ca="1" si="185"/>
        <v>2212818298187.7173</v>
      </c>
      <c r="I1309" s="53">
        <f t="shared" ca="1" si="186"/>
        <v>2811828824143.7256</v>
      </c>
      <c r="J1309" s="53">
        <f t="shared" ca="1" si="187"/>
        <v>1856455835550.9307</v>
      </c>
      <c r="K1309" s="54">
        <f t="shared" ca="1" si="188"/>
        <v>1.5146219857739163</v>
      </c>
    </row>
    <row r="1310" spans="2:11" ht="15" customHeight="1" x14ac:dyDescent="0.35">
      <c r="B1310" s="5">
        <v>1289</v>
      </c>
      <c r="C1310" s="52">
        <f t="shared" ca="1" si="180"/>
        <v>2.4750114697183836</v>
      </c>
      <c r="D1310" s="53">
        <f t="shared" ca="1" si="181"/>
        <v>1763597328.2920682</v>
      </c>
      <c r="E1310" s="53">
        <f t="shared" ca="1" si="182"/>
        <v>3086782528024.8086</v>
      </c>
      <c r="F1310" s="53">
        <f t="shared" ca="1" si="183"/>
        <v>664454169017.09973</v>
      </c>
      <c r="G1310" s="53">
        <f t="shared" ca="1" si="184"/>
        <v>6913507587774.2148</v>
      </c>
      <c r="H1310" s="53">
        <f t="shared" ca="1" si="185"/>
        <v>664454169017.09973</v>
      </c>
      <c r="I1310" s="53">
        <f t="shared" ca="1" si="186"/>
        <v>14153019442537.211</v>
      </c>
      <c r="J1310" s="53">
        <f t="shared" ca="1" si="187"/>
        <v>1604053295890.4695</v>
      </c>
      <c r="K1310" s="54">
        <f t="shared" ca="1" si="188"/>
        <v>8.8232850359752817</v>
      </c>
    </row>
    <row r="1311" spans="2:11" ht="15" customHeight="1" x14ac:dyDescent="0.35">
      <c r="B1311" s="5">
        <v>1290</v>
      </c>
      <c r="C1311" s="52">
        <f t="shared" ca="1" si="180"/>
        <v>2.6894739320411096</v>
      </c>
      <c r="D1311" s="53">
        <f t="shared" ca="1" si="181"/>
        <v>2539248693.3329434</v>
      </c>
      <c r="E1311" s="53">
        <f t="shared" ca="1" si="182"/>
        <v>12759432255736.92</v>
      </c>
      <c r="F1311" s="53">
        <f t="shared" ca="1" si="183"/>
        <v>2570718155194.0205</v>
      </c>
      <c r="G1311" s="53">
        <f t="shared" ca="1" si="184"/>
        <v>9377595593997.7324</v>
      </c>
      <c r="H1311" s="53">
        <f t="shared" ca="1" si="185"/>
        <v>2570718155194.0205</v>
      </c>
      <c r="I1311" s="53">
        <f t="shared" ca="1" si="186"/>
        <v>22760419725082.598</v>
      </c>
      <c r="J1311" s="53">
        <f t="shared" ca="1" si="187"/>
        <v>926292429412.09253</v>
      </c>
      <c r="K1311" s="54">
        <f t="shared" ca="1" si="188"/>
        <v>24.571527308636629</v>
      </c>
    </row>
    <row r="1312" spans="2:11" ht="15" customHeight="1" x14ac:dyDescent="0.35">
      <c r="B1312" s="5">
        <v>1291</v>
      </c>
      <c r="C1312" s="52">
        <f t="shared" ca="1" si="180"/>
        <v>3.0018766482780226</v>
      </c>
      <c r="D1312" s="53">
        <f t="shared" ca="1" si="181"/>
        <v>4621490766.7690182</v>
      </c>
      <c r="E1312" s="53">
        <f t="shared" ca="1" si="182"/>
        <v>2838439135833.1753</v>
      </c>
      <c r="F1312" s="53">
        <f t="shared" ca="1" si="183"/>
        <v>2294652759550.3193</v>
      </c>
      <c r="G1312" s="53">
        <f t="shared" ca="1" si="184"/>
        <v>22551513012624.039</v>
      </c>
      <c r="H1312" s="53">
        <f t="shared" ca="1" si="185"/>
        <v>22551513012624.039</v>
      </c>
      <c r="I1312" s="53">
        <f t="shared" ca="1" si="186"/>
        <v>13587260388060.707</v>
      </c>
      <c r="J1312" s="53">
        <f t="shared" ca="1" si="187"/>
        <v>716726574523.94202</v>
      </c>
      <c r="K1312" s="54">
        <f t="shared" ca="1" si="188"/>
        <v>18.957383290950975</v>
      </c>
    </row>
    <row r="1313" spans="2:11" ht="15" customHeight="1" x14ac:dyDescent="0.35">
      <c r="B1313" s="5">
        <v>1292</v>
      </c>
      <c r="C1313" s="52">
        <f t="shared" ca="1" si="180"/>
        <v>2.4040807447106509</v>
      </c>
      <c r="D1313" s="53">
        <f t="shared" ca="1" si="181"/>
        <v>1517364362.144249</v>
      </c>
      <c r="E1313" s="53">
        <f t="shared" ca="1" si="182"/>
        <v>1332333519866.45</v>
      </c>
      <c r="F1313" s="53">
        <f t="shared" ca="1" si="183"/>
        <v>2050002465207.584</v>
      </c>
      <c r="G1313" s="53">
        <f t="shared" ca="1" si="184"/>
        <v>3817195475340.0659</v>
      </c>
      <c r="H1313" s="53">
        <f t="shared" ca="1" si="185"/>
        <v>2050002465207.584</v>
      </c>
      <c r="I1313" s="53">
        <f t="shared" ca="1" si="186"/>
        <v>8251539809419.8711</v>
      </c>
      <c r="J1313" s="53">
        <f t="shared" ca="1" si="187"/>
        <v>912214072522.8512</v>
      </c>
      <c r="K1313" s="54">
        <f t="shared" ca="1" si="188"/>
        <v>9.0456177535160407</v>
      </c>
    </row>
    <row r="1314" spans="2:11" ht="15" customHeight="1" x14ac:dyDescent="0.35">
      <c r="B1314" s="5">
        <v>1293</v>
      </c>
      <c r="C1314" s="52">
        <f t="shared" ca="1" si="180"/>
        <v>2.025758528111294</v>
      </c>
      <c r="D1314" s="53">
        <f t="shared" ca="1" si="181"/>
        <v>719199562.45766366</v>
      </c>
      <c r="E1314" s="53">
        <f t="shared" ca="1" si="182"/>
        <v>3503006788375.9985</v>
      </c>
      <c r="F1314" s="53">
        <f t="shared" ca="1" si="183"/>
        <v>1725242145893.176</v>
      </c>
      <c r="G1314" s="53">
        <f t="shared" ca="1" si="184"/>
        <v>1213182925838.1746</v>
      </c>
      <c r="H1314" s="53">
        <f t="shared" ca="1" si="185"/>
        <v>3503006788375.9985</v>
      </c>
      <c r="I1314" s="53">
        <f t="shared" ca="1" si="186"/>
        <v>9316241181424.7988</v>
      </c>
      <c r="J1314" s="53">
        <f t="shared" ca="1" si="187"/>
        <v>708302564459.53442</v>
      </c>
      <c r="K1314" s="54">
        <f t="shared" ca="1" si="188"/>
        <v>13.152911833001049</v>
      </c>
    </row>
    <row r="1315" spans="2:11" ht="15" customHeight="1" x14ac:dyDescent="0.35">
      <c r="B1315" s="5">
        <v>1294</v>
      </c>
      <c r="C1315" s="52">
        <f t="shared" ca="1" si="180"/>
        <v>2.9373340769782437</v>
      </c>
      <c r="D1315" s="53">
        <f t="shared" ca="1" si="181"/>
        <v>3989329873.2007809</v>
      </c>
      <c r="E1315" s="53">
        <f t="shared" ca="1" si="182"/>
        <v>12817591844871.234</v>
      </c>
      <c r="F1315" s="53">
        <f t="shared" ca="1" si="183"/>
        <v>4036469157131.9536</v>
      </c>
      <c r="G1315" s="53">
        <f t="shared" ca="1" si="184"/>
        <v>1329303013429.0066</v>
      </c>
      <c r="H1315" s="53">
        <f t="shared" ca="1" si="185"/>
        <v>12817591844871.234</v>
      </c>
      <c r="I1315" s="53">
        <f t="shared" ca="1" si="186"/>
        <v>2701186169295.3887</v>
      </c>
      <c r="J1315" s="53">
        <f t="shared" ca="1" si="187"/>
        <v>1162809768122.2537</v>
      </c>
      <c r="K1315" s="54">
        <f t="shared" ca="1" si="188"/>
        <v>2.3229820073298488</v>
      </c>
    </row>
    <row r="1316" spans="2:11" ht="15" customHeight="1" x14ac:dyDescent="0.35">
      <c r="B1316" s="5">
        <v>1295</v>
      </c>
      <c r="C1316" s="52">
        <f t="shared" ca="1" si="180"/>
        <v>3.646497828081249</v>
      </c>
      <c r="D1316" s="53">
        <f t="shared" ca="1" si="181"/>
        <v>13771976965.02836</v>
      </c>
      <c r="E1316" s="53">
        <f t="shared" ca="1" si="182"/>
        <v>59950467910661.375</v>
      </c>
      <c r="F1316" s="53">
        <f t="shared" ca="1" si="183"/>
        <v>19967062495032.383</v>
      </c>
      <c r="G1316" s="53">
        <f t="shared" ca="1" si="184"/>
        <v>16273970131508.754</v>
      </c>
      <c r="H1316" s="53">
        <f t="shared" ca="1" si="185"/>
        <v>19967062495032.383</v>
      </c>
      <c r="I1316" s="53">
        <f t="shared" ca="1" si="186"/>
        <v>9379628410383.6328</v>
      </c>
      <c r="J1316" s="53">
        <f t="shared" ca="1" si="187"/>
        <v>712299874712.16223</v>
      </c>
      <c r="K1316" s="54">
        <f t="shared" ca="1" si="188"/>
        <v>13.168089372715258</v>
      </c>
    </row>
    <row r="1317" spans="2:11" ht="15" customHeight="1" x14ac:dyDescent="0.35">
      <c r="B1317" s="5">
        <v>1296</v>
      </c>
      <c r="C1317" s="52">
        <f t="shared" ca="1" si="180"/>
        <v>2.5148506338837553</v>
      </c>
      <c r="D1317" s="53">
        <f t="shared" ca="1" si="181"/>
        <v>1936747328.4539533</v>
      </c>
      <c r="E1317" s="53">
        <f t="shared" ca="1" si="182"/>
        <v>30243215190415.598</v>
      </c>
      <c r="F1317" s="53">
        <f t="shared" ca="1" si="183"/>
        <v>628359617043.43933</v>
      </c>
      <c r="G1317" s="53">
        <f t="shared" ca="1" si="184"/>
        <v>16702346075983.193</v>
      </c>
      <c r="H1317" s="53">
        <f t="shared" ca="1" si="185"/>
        <v>628359617043.43933</v>
      </c>
      <c r="I1317" s="53">
        <f t="shared" ca="1" si="186"/>
        <v>4272302169184.7065</v>
      </c>
      <c r="J1317" s="53">
        <f t="shared" ca="1" si="187"/>
        <v>1580568873083.5415</v>
      </c>
      <c r="K1317" s="54">
        <f t="shared" ca="1" si="188"/>
        <v>2.7030155040633224</v>
      </c>
    </row>
    <row r="1318" spans="2:11" ht="15" customHeight="1" x14ac:dyDescent="0.35">
      <c r="B1318" s="5">
        <v>1297</v>
      </c>
      <c r="C1318" s="52">
        <f t="shared" ca="1" si="180"/>
        <v>3.2214478173264589</v>
      </c>
      <c r="D1318" s="53">
        <f t="shared" ca="1" si="181"/>
        <v>7257852695.6886015</v>
      </c>
      <c r="E1318" s="53">
        <f t="shared" ca="1" si="182"/>
        <v>6821788382791.1885</v>
      </c>
      <c r="F1318" s="53">
        <f t="shared" ca="1" si="183"/>
        <v>3033500394546.5483</v>
      </c>
      <c r="G1318" s="53">
        <f t="shared" ca="1" si="184"/>
        <v>17768456771049.238</v>
      </c>
      <c r="H1318" s="53">
        <f t="shared" ca="1" si="185"/>
        <v>17768456771049.238</v>
      </c>
      <c r="I1318" s="53">
        <f t="shared" ca="1" si="186"/>
        <v>5369948702249.3457</v>
      </c>
      <c r="J1318" s="53">
        <f t="shared" ca="1" si="187"/>
        <v>1228641444800.9128</v>
      </c>
      <c r="K1318" s="54">
        <f t="shared" ca="1" si="188"/>
        <v>4.3706393960359069</v>
      </c>
    </row>
    <row r="1319" spans="2:11" ht="15" customHeight="1" x14ac:dyDescent="0.35">
      <c r="B1319" s="5">
        <v>1298</v>
      </c>
      <c r="C1319" s="52">
        <f t="shared" ca="1" si="180"/>
        <v>2.2245377816549414</v>
      </c>
      <c r="D1319" s="53">
        <f t="shared" ca="1" si="181"/>
        <v>928622910.17387426</v>
      </c>
      <c r="E1319" s="53">
        <f t="shared" ca="1" si="182"/>
        <v>5389215573508.0107</v>
      </c>
      <c r="F1319" s="53">
        <f t="shared" ca="1" si="183"/>
        <v>2639807203076.6387</v>
      </c>
      <c r="G1319" s="53">
        <f t="shared" ca="1" si="184"/>
        <v>1355552472315.6211</v>
      </c>
      <c r="H1319" s="53">
        <f t="shared" ca="1" si="185"/>
        <v>2639807203076.6387</v>
      </c>
      <c r="I1319" s="53">
        <f t="shared" ca="1" si="186"/>
        <v>1268778263550.5054</v>
      </c>
      <c r="J1319" s="53">
        <f t="shared" ca="1" si="187"/>
        <v>769854544009.10242</v>
      </c>
      <c r="K1319" s="54">
        <f t="shared" ca="1" si="188"/>
        <v>1.6480753064640012</v>
      </c>
    </row>
    <row r="1320" spans="2:11" ht="15" customHeight="1" x14ac:dyDescent="0.35">
      <c r="B1320" s="5">
        <v>1299</v>
      </c>
      <c r="C1320" s="52">
        <f t="shared" ca="1" si="180"/>
        <v>3.3545974223256287</v>
      </c>
      <c r="D1320" s="53">
        <f t="shared" ca="1" si="181"/>
        <v>9486404659.7052174</v>
      </c>
      <c r="E1320" s="53">
        <f t="shared" ca="1" si="182"/>
        <v>41603405269929.641</v>
      </c>
      <c r="F1320" s="53">
        <f t="shared" ca="1" si="183"/>
        <v>4201526570491.0981</v>
      </c>
      <c r="G1320" s="53">
        <f t="shared" ca="1" si="184"/>
        <v>14522634444974.191</v>
      </c>
      <c r="H1320" s="53">
        <f t="shared" ca="1" si="185"/>
        <v>4201526570491.0981</v>
      </c>
      <c r="I1320" s="53">
        <f t="shared" ca="1" si="186"/>
        <v>34301074386330.594</v>
      </c>
      <c r="J1320" s="53">
        <f t="shared" ca="1" si="187"/>
        <v>1557526477896.929</v>
      </c>
      <c r="K1320" s="54">
        <f t="shared" ca="1" si="188"/>
        <v>22.022787331773699</v>
      </c>
    </row>
    <row r="1321" spans="2:11" ht="15" customHeight="1" x14ac:dyDescent="0.35">
      <c r="B1321" s="5">
        <v>1300</v>
      </c>
      <c r="C1321" s="52">
        <f t="shared" ca="1" si="180"/>
        <v>4.2224209198850682</v>
      </c>
      <c r="D1321" s="53">
        <f t="shared" ca="1" si="181"/>
        <v>31578759745.656261</v>
      </c>
      <c r="E1321" s="53">
        <f t="shared" ca="1" si="182"/>
        <v>30835335805592.191</v>
      </c>
      <c r="F1321" s="53">
        <f t="shared" ca="1" si="183"/>
        <v>14826013499444.078</v>
      </c>
      <c r="G1321" s="53">
        <f t="shared" ca="1" si="184"/>
        <v>2975421061806.0127</v>
      </c>
      <c r="H1321" s="53">
        <f t="shared" ca="1" si="185"/>
        <v>14826013499444.078</v>
      </c>
      <c r="I1321" s="53">
        <f t="shared" ca="1" si="186"/>
        <v>1572670768958.9031</v>
      </c>
      <c r="J1321" s="53">
        <f t="shared" ca="1" si="187"/>
        <v>658833454400.31396</v>
      </c>
      <c r="K1321" s="54">
        <f t="shared" ca="1" si="188"/>
        <v>2.387053599745304</v>
      </c>
    </row>
    <row r="1322" spans="2:11" ht="15" customHeight="1" x14ac:dyDescent="0.35">
      <c r="B1322" s="5">
        <v>1301</v>
      </c>
      <c r="C1322" s="52">
        <f t="shared" ca="1" si="180"/>
        <v>3.5528915414312054</v>
      </c>
      <c r="D1322" s="53">
        <f t="shared" ca="1" si="181"/>
        <v>10513750944.60585</v>
      </c>
      <c r="E1322" s="53">
        <f t="shared" ca="1" si="182"/>
        <v>4446150028597.6309</v>
      </c>
      <c r="F1322" s="53">
        <f t="shared" ca="1" si="183"/>
        <v>3236821720542.334</v>
      </c>
      <c r="G1322" s="53">
        <f t="shared" ca="1" si="184"/>
        <v>7680041374692.4355</v>
      </c>
      <c r="H1322" s="53">
        <f t="shared" ca="1" si="185"/>
        <v>4446150028597.6309</v>
      </c>
      <c r="I1322" s="53">
        <f t="shared" ca="1" si="186"/>
        <v>2671460528369.5273</v>
      </c>
      <c r="J1322" s="53">
        <f t="shared" ca="1" si="187"/>
        <v>618811988845.66382</v>
      </c>
      <c r="K1322" s="54">
        <f t="shared" ca="1" si="188"/>
        <v>4.3170794627830151</v>
      </c>
    </row>
    <row r="1323" spans="2:11" ht="15" customHeight="1" x14ac:dyDescent="0.35">
      <c r="B1323" s="5">
        <v>1302</v>
      </c>
      <c r="C1323" s="52">
        <f t="shared" ca="1" si="180"/>
        <v>2.6729548411117126</v>
      </c>
      <c r="D1323" s="53">
        <f t="shared" ca="1" si="181"/>
        <v>2675674365.4304023</v>
      </c>
      <c r="E1323" s="53">
        <f t="shared" ca="1" si="182"/>
        <v>29738984784005.883</v>
      </c>
      <c r="F1323" s="53">
        <f t="shared" ca="1" si="183"/>
        <v>1094301278968.2505</v>
      </c>
      <c r="G1323" s="53">
        <f t="shared" ca="1" si="184"/>
        <v>1380347366301.3357</v>
      </c>
      <c r="H1323" s="53">
        <f t="shared" ca="1" si="185"/>
        <v>1094301278968.2505</v>
      </c>
      <c r="I1323" s="53">
        <f t="shared" ca="1" si="186"/>
        <v>5415391319775.6699</v>
      </c>
      <c r="J1323" s="53">
        <f t="shared" ca="1" si="187"/>
        <v>851537553158.01538</v>
      </c>
      <c r="K1323" s="54">
        <f t="shared" ca="1" si="188"/>
        <v>6.3595449192958426</v>
      </c>
    </row>
    <row r="1324" spans="2:11" ht="15" customHeight="1" x14ac:dyDescent="0.35">
      <c r="B1324" s="5">
        <v>1303</v>
      </c>
      <c r="C1324" s="52">
        <f t="shared" ca="1" si="180"/>
        <v>3.7829105767612932</v>
      </c>
      <c r="D1324" s="53">
        <f t="shared" ca="1" si="181"/>
        <v>13472308837.900806</v>
      </c>
      <c r="E1324" s="53">
        <f t="shared" ca="1" si="182"/>
        <v>20664648066848.953</v>
      </c>
      <c r="F1324" s="53">
        <f t="shared" ca="1" si="183"/>
        <v>1235765350646.2412</v>
      </c>
      <c r="G1324" s="53">
        <f t="shared" ca="1" si="184"/>
        <v>4684572207438.042</v>
      </c>
      <c r="H1324" s="53">
        <f t="shared" ca="1" si="185"/>
        <v>4684572207438.042</v>
      </c>
      <c r="I1324" s="53">
        <f t="shared" ca="1" si="186"/>
        <v>6153223800132.5439</v>
      </c>
      <c r="J1324" s="53">
        <f t="shared" ca="1" si="187"/>
        <v>875307814950.14929</v>
      </c>
      <c r="K1324" s="54">
        <f t="shared" ca="1" si="188"/>
        <v>7.0297827747407737</v>
      </c>
    </row>
    <row r="1325" spans="2:11" ht="15" customHeight="1" x14ac:dyDescent="0.35">
      <c r="B1325" s="5">
        <v>1304</v>
      </c>
      <c r="C1325" s="52">
        <f t="shared" ca="1" si="180"/>
        <v>2.3723857031438431</v>
      </c>
      <c r="D1325" s="53">
        <f t="shared" ca="1" si="181"/>
        <v>1528398629.2331319</v>
      </c>
      <c r="E1325" s="53">
        <f t="shared" ca="1" si="182"/>
        <v>2295936170627.2485</v>
      </c>
      <c r="F1325" s="53">
        <f t="shared" ca="1" si="183"/>
        <v>8534748394757.915</v>
      </c>
      <c r="G1325" s="53">
        <f t="shared" ca="1" si="184"/>
        <v>6282495154218.7188</v>
      </c>
      <c r="H1325" s="53">
        <f t="shared" ca="1" si="185"/>
        <v>2295936170627.2485</v>
      </c>
      <c r="I1325" s="53">
        <f t="shared" ca="1" si="186"/>
        <v>5660973888805.3105</v>
      </c>
      <c r="J1325" s="53">
        <f t="shared" ca="1" si="187"/>
        <v>573215320787.63892</v>
      </c>
      <c r="K1325" s="54">
        <f t="shared" ca="1" si="188"/>
        <v>9.8758244651010489</v>
      </c>
    </row>
    <row r="1326" spans="2:11" ht="15" customHeight="1" x14ac:dyDescent="0.35">
      <c r="B1326" s="5">
        <v>1305</v>
      </c>
      <c r="C1326" s="52">
        <f t="shared" ca="1" si="180"/>
        <v>3.5165302272525407</v>
      </c>
      <c r="D1326" s="53">
        <f t="shared" ca="1" si="181"/>
        <v>10491342507.761921</v>
      </c>
      <c r="E1326" s="53">
        <f t="shared" ca="1" si="182"/>
        <v>10862780487700.457</v>
      </c>
      <c r="F1326" s="53">
        <f t="shared" ca="1" si="183"/>
        <v>1193768188005.0122</v>
      </c>
      <c r="G1326" s="53">
        <f t="shared" ca="1" si="184"/>
        <v>2007137401662.1504</v>
      </c>
      <c r="H1326" s="53">
        <f t="shared" ca="1" si="185"/>
        <v>2007137401662.1504</v>
      </c>
      <c r="I1326" s="53">
        <f t="shared" ca="1" si="186"/>
        <v>36118452609215.805</v>
      </c>
      <c r="J1326" s="53">
        <f t="shared" ca="1" si="187"/>
        <v>1019115582327.1942</v>
      </c>
      <c r="K1326" s="54">
        <f t="shared" ca="1" si="188"/>
        <v>35.440977682568416</v>
      </c>
    </row>
    <row r="1327" spans="2:11" ht="15" customHeight="1" x14ac:dyDescent="0.35">
      <c r="B1327" s="5">
        <v>1306</v>
      </c>
      <c r="C1327" s="52">
        <f t="shared" ca="1" si="180"/>
        <v>2.8727836051543028</v>
      </c>
      <c r="D1327" s="53">
        <f t="shared" ca="1" si="181"/>
        <v>3363077646.2250772</v>
      </c>
      <c r="E1327" s="53">
        <f t="shared" ca="1" si="182"/>
        <v>53906688996601.57</v>
      </c>
      <c r="F1327" s="53">
        <f t="shared" ca="1" si="183"/>
        <v>11175703539299.736</v>
      </c>
      <c r="G1327" s="53">
        <f t="shared" ca="1" si="184"/>
        <v>39851501545039.164</v>
      </c>
      <c r="H1327" s="53">
        <f t="shared" ca="1" si="185"/>
        <v>11175703539299.736</v>
      </c>
      <c r="I1327" s="53">
        <f t="shared" ca="1" si="186"/>
        <v>1688220188787.3064</v>
      </c>
      <c r="J1327" s="53">
        <f t="shared" ca="1" si="187"/>
        <v>600802536538.06079</v>
      </c>
      <c r="K1327" s="54">
        <f t="shared" ca="1" si="188"/>
        <v>2.8099418463096946</v>
      </c>
    </row>
    <row r="1328" spans="2:11" ht="15" customHeight="1" x14ac:dyDescent="0.35">
      <c r="B1328" s="5">
        <v>1307</v>
      </c>
      <c r="C1328" s="52">
        <f t="shared" ca="1" si="180"/>
        <v>3.5984983926277962</v>
      </c>
      <c r="D1328" s="53">
        <f t="shared" ca="1" si="181"/>
        <v>13408260886.395641</v>
      </c>
      <c r="E1328" s="53">
        <f t="shared" ca="1" si="182"/>
        <v>265807012977914.16</v>
      </c>
      <c r="F1328" s="53">
        <f t="shared" ca="1" si="183"/>
        <v>1472822860655.7214</v>
      </c>
      <c r="G1328" s="53">
        <f t="shared" ca="1" si="184"/>
        <v>7792859867222.2793</v>
      </c>
      <c r="H1328" s="53">
        <f t="shared" ca="1" si="185"/>
        <v>1472822860655.7214</v>
      </c>
      <c r="I1328" s="53">
        <f t="shared" ca="1" si="186"/>
        <v>1408180393730.5166</v>
      </c>
      <c r="J1328" s="53">
        <f t="shared" ca="1" si="187"/>
        <v>1524465562988.8774</v>
      </c>
      <c r="K1328" s="54">
        <f t="shared" ca="1" si="188"/>
        <v>0.92372069787501698</v>
      </c>
    </row>
    <row r="1329" spans="2:11" ht="15" customHeight="1" x14ac:dyDescent="0.35">
      <c r="B1329" s="5">
        <v>1308</v>
      </c>
      <c r="C1329" s="52">
        <f t="shared" ca="1" si="180"/>
        <v>3.0964096976380837</v>
      </c>
      <c r="D1329" s="53">
        <f t="shared" ca="1" si="181"/>
        <v>5968294037.4389887</v>
      </c>
      <c r="E1329" s="53">
        <f t="shared" ca="1" si="182"/>
        <v>11947686727393.055</v>
      </c>
      <c r="F1329" s="53">
        <f t="shared" ca="1" si="183"/>
        <v>415628831366.91663</v>
      </c>
      <c r="G1329" s="53">
        <f t="shared" ca="1" si="184"/>
        <v>9698858152780.1953</v>
      </c>
      <c r="H1329" s="53">
        <f t="shared" ca="1" si="185"/>
        <v>9698858152780.1953</v>
      </c>
      <c r="I1329" s="53">
        <f t="shared" ca="1" si="186"/>
        <v>34505361171145.387</v>
      </c>
      <c r="J1329" s="53">
        <f t="shared" ca="1" si="187"/>
        <v>554080855221.51025</v>
      </c>
      <c r="K1329" s="54">
        <f t="shared" ca="1" si="188"/>
        <v>62.274956526608101</v>
      </c>
    </row>
    <row r="1330" spans="2:11" ht="15" customHeight="1" x14ac:dyDescent="0.35">
      <c r="B1330" s="5">
        <v>1309</v>
      </c>
      <c r="C1330" s="52">
        <f t="shared" ca="1" si="180"/>
        <v>3.0685888486910256</v>
      </c>
      <c r="D1330" s="53">
        <f t="shared" ca="1" si="181"/>
        <v>5502463706.1478662</v>
      </c>
      <c r="E1330" s="53">
        <f t="shared" ca="1" si="182"/>
        <v>117739134244460.73</v>
      </c>
      <c r="F1330" s="53">
        <f t="shared" ca="1" si="183"/>
        <v>1022768279475.5494</v>
      </c>
      <c r="G1330" s="53">
        <f t="shared" ca="1" si="184"/>
        <v>10397536368898.895</v>
      </c>
      <c r="H1330" s="53">
        <f t="shared" ca="1" si="185"/>
        <v>1022768279475.5494</v>
      </c>
      <c r="I1330" s="53">
        <f t="shared" ca="1" si="186"/>
        <v>4167950335207.2134</v>
      </c>
      <c r="J1330" s="53">
        <f t="shared" ca="1" si="187"/>
        <v>1151110859767.4927</v>
      </c>
      <c r="K1330" s="54">
        <f t="shared" ca="1" si="188"/>
        <v>3.6208070663576901</v>
      </c>
    </row>
    <row r="1331" spans="2:11" ht="15" customHeight="1" x14ac:dyDescent="0.35">
      <c r="B1331" s="5">
        <v>1310</v>
      </c>
      <c r="C1331" s="52">
        <f t="shared" ca="1" si="180"/>
        <v>2.3218174412289607</v>
      </c>
      <c r="D1331" s="53">
        <f t="shared" ca="1" si="181"/>
        <v>1112202125.1065464</v>
      </c>
      <c r="E1331" s="53">
        <f t="shared" ca="1" si="182"/>
        <v>9081290634649.791</v>
      </c>
      <c r="F1331" s="53">
        <f t="shared" ca="1" si="183"/>
        <v>1043040984533.7749</v>
      </c>
      <c r="G1331" s="53">
        <f t="shared" ca="1" si="184"/>
        <v>1158028229304.072</v>
      </c>
      <c r="H1331" s="53">
        <f t="shared" ca="1" si="185"/>
        <v>1043040984533.7749</v>
      </c>
      <c r="I1331" s="53">
        <f t="shared" ca="1" si="186"/>
        <v>6480006345883.1025</v>
      </c>
      <c r="J1331" s="53">
        <f t="shared" ca="1" si="187"/>
        <v>464392872184.29938</v>
      </c>
      <c r="K1331" s="54">
        <f t="shared" ca="1" si="188"/>
        <v>13.953716204566209</v>
      </c>
    </row>
    <row r="1332" spans="2:11" ht="15" customHeight="1" x14ac:dyDescent="0.35">
      <c r="B1332" s="5">
        <v>1311</v>
      </c>
      <c r="C1332" s="52">
        <f t="shared" ca="1" si="180"/>
        <v>1.9409067072714832</v>
      </c>
      <c r="D1332" s="53">
        <f t="shared" ca="1" si="181"/>
        <v>503572451.35624486</v>
      </c>
      <c r="E1332" s="53">
        <f t="shared" ca="1" si="182"/>
        <v>633423767483.76758</v>
      </c>
      <c r="F1332" s="53">
        <f t="shared" ca="1" si="183"/>
        <v>265535034411.82834</v>
      </c>
      <c r="G1332" s="53">
        <f t="shared" ca="1" si="184"/>
        <v>551305046047.4364</v>
      </c>
      <c r="H1332" s="53">
        <f t="shared" ca="1" si="185"/>
        <v>551305046047.4364</v>
      </c>
      <c r="I1332" s="53">
        <f t="shared" ca="1" si="186"/>
        <v>1411641155130.9534</v>
      </c>
      <c r="J1332" s="53">
        <f t="shared" ca="1" si="187"/>
        <v>704153158075.72144</v>
      </c>
      <c r="K1332" s="54">
        <f t="shared" ca="1" si="188"/>
        <v>2.0047359568600442</v>
      </c>
    </row>
    <row r="1333" spans="2:11" ht="15" customHeight="1" x14ac:dyDescent="0.35">
      <c r="B1333" s="5">
        <v>1312</v>
      </c>
      <c r="C1333" s="52">
        <f t="shared" ca="1" si="180"/>
        <v>2.1606173201825882</v>
      </c>
      <c r="D1333" s="53">
        <f t="shared" ca="1" si="181"/>
        <v>1041579742.2529355</v>
      </c>
      <c r="E1333" s="53">
        <f t="shared" ca="1" si="182"/>
        <v>3368098717688.8218</v>
      </c>
      <c r="F1333" s="53">
        <f t="shared" ca="1" si="183"/>
        <v>16315843803520.398</v>
      </c>
      <c r="G1333" s="53">
        <f t="shared" ca="1" si="184"/>
        <v>1917304081528.1611</v>
      </c>
      <c r="H1333" s="53">
        <f t="shared" ca="1" si="185"/>
        <v>1917304081528.1611</v>
      </c>
      <c r="I1333" s="53">
        <f t="shared" ca="1" si="186"/>
        <v>2220474161774.6787</v>
      </c>
      <c r="J1333" s="53">
        <f t="shared" ca="1" si="187"/>
        <v>1192103275090.52</v>
      </c>
      <c r="K1333" s="54">
        <f t="shared" ca="1" si="188"/>
        <v>1.8626525135635346</v>
      </c>
    </row>
    <row r="1334" spans="2:11" ht="15" customHeight="1" x14ac:dyDescent="0.35">
      <c r="B1334" s="5">
        <v>1313</v>
      </c>
      <c r="C1334" s="52">
        <f t="shared" ca="1" si="180"/>
        <v>2.8501360691163113</v>
      </c>
      <c r="D1334" s="53">
        <f t="shared" ca="1" si="181"/>
        <v>3463372151.1501131</v>
      </c>
      <c r="E1334" s="53">
        <f t="shared" ca="1" si="182"/>
        <v>6492633875730.4639</v>
      </c>
      <c r="F1334" s="53">
        <f t="shared" ca="1" si="183"/>
        <v>734614057271.93396</v>
      </c>
      <c r="G1334" s="53">
        <f t="shared" ca="1" si="184"/>
        <v>251075153964.84598</v>
      </c>
      <c r="H1334" s="53">
        <f t="shared" ca="1" si="185"/>
        <v>6492633875730.4639</v>
      </c>
      <c r="I1334" s="53">
        <f t="shared" ca="1" si="186"/>
        <v>3727772505199.1201</v>
      </c>
      <c r="J1334" s="53">
        <f t="shared" ca="1" si="187"/>
        <v>610131511566.42151</v>
      </c>
      <c r="K1334" s="54">
        <f t="shared" ca="1" si="188"/>
        <v>6.1097852422482184</v>
      </c>
    </row>
    <row r="1335" spans="2:11" ht="15" customHeight="1" x14ac:dyDescent="0.35">
      <c r="B1335" s="5">
        <v>1314</v>
      </c>
      <c r="C1335" s="52">
        <f t="shared" ca="1" si="180"/>
        <v>2.4573943905115279</v>
      </c>
      <c r="D1335" s="53">
        <f t="shared" ca="1" si="181"/>
        <v>1700411864.863878</v>
      </c>
      <c r="E1335" s="53">
        <f t="shared" ca="1" si="182"/>
        <v>3465590225039.4502</v>
      </c>
      <c r="F1335" s="53">
        <f t="shared" ca="1" si="183"/>
        <v>5347600278202.3008</v>
      </c>
      <c r="G1335" s="53">
        <f t="shared" ca="1" si="184"/>
        <v>561875875831.21582</v>
      </c>
      <c r="H1335" s="53">
        <f t="shared" ca="1" si="185"/>
        <v>3465590225039.4502</v>
      </c>
      <c r="I1335" s="53">
        <f t="shared" ca="1" si="186"/>
        <v>6632228169678.8359</v>
      </c>
      <c r="J1335" s="53">
        <f t="shared" ca="1" si="187"/>
        <v>1722008759406.76</v>
      </c>
      <c r="K1335" s="54">
        <f t="shared" ca="1" si="188"/>
        <v>3.8514485675227745</v>
      </c>
    </row>
    <row r="1336" spans="2:11" ht="15" customHeight="1" x14ac:dyDescent="0.35">
      <c r="B1336" s="5">
        <v>1315</v>
      </c>
      <c r="C1336" s="52">
        <f t="shared" ca="1" si="180"/>
        <v>3.213710239008456</v>
      </c>
      <c r="D1336" s="53">
        <f t="shared" ca="1" si="181"/>
        <v>6336205888.9743013</v>
      </c>
      <c r="E1336" s="53">
        <f t="shared" ca="1" si="182"/>
        <v>28446377536690.887</v>
      </c>
      <c r="F1336" s="53">
        <f t="shared" ca="1" si="183"/>
        <v>17073350464981.857</v>
      </c>
      <c r="G1336" s="53">
        <f t="shared" ca="1" si="184"/>
        <v>7700419809597.2119</v>
      </c>
      <c r="H1336" s="53">
        <f t="shared" ca="1" si="185"/>
        <v>17073350464981.857</v>
      </c>
      <c r="I1336" s="53">
        <f t="shared" ca="1" si="186"/>
        <v>2391697801907.7627</v>
      </c>
      <c r="J1336" s="53">
        <f t="shared" ca="1" si="187"/>
        <v>1656261106497.7527</v>
      </c>
      <c r="K1336" s="54">
        <f t="shared" ca="1" si="188"/>
        <v>1.4440342724494255</v>
      </c>
    </row>
    <row r="1337" spans="2:11" ht="15" customHeight="1" x14ac:dyDescent="0.35">
      <c r="B1337" s="5">
        <v>1316</v>
      </c>
      <c r="C1337" s="52">
        <f t="shared" ca="1" si="180"/>
        <v>2.927284236400455</v>
      </c>
      <c r="D1337" s="53">
        <f t="shared" ca="1" si="181"/>
        <v>5081987553.2604799</v>
      </c>
      <c r="E1337" s="53">
        <f t="shared" ca="1" si="182"/>
        <v>60698551197088.477</v>
      </c>
      <c r="F1337" s="53">
        <f t="shared" ca="1" si="183"/>
        <v>4337500396378.9092</v>
      </c>
      <c r="G1337" s="53">
        <f t="shared" ca="1" si="184"/>
        <v>41721451576605.969</v>
      </c>
      <c r="H1337" s="53">
        <f t="shared" ca="1" si="185"/>
        <v>60698551197088.477</v>
      </c>
      <c r="I1337" s="53">
        <f t="shared" ca="1" si="186"/>
        <v>3670032954777.7095</v>
      </c>
      <c r="J1337" s="53">
        <f t="shared" ca="1" si="187"/>
        <v>457553974687.43848</v>
      </c>
      <c r="K1337" s="54">
        <f t="shared" ca="1" si="188"/>
        <v>8.0209836605282696</v>
      </c>
    </row>
    <row r="1338" spans="2:11" ht="15" customHeight="1" x14ac:dyDescent="0.35">
      <c r="B1338" s="5">
        <v>1317</v>
      </c>
      <c r="C1338" s="52">
        <f t="shared" ca="1" si="180"/>
        <v>2.8081012804723984</v>
      </c>
      <c r="D1338" s="53">
        <f t="shared" ca="1" si="181"/>
        <v>3532361852.1975675</v>
      </c>
      <c r="E1338" s="53">
        <f t="shared" ca="1" si="182"/>
        <v>40132665485074.938</v>
      </c>
      <c r="F1338" s="53">
        <f t="shared" ca="1" si="183"/>
        <v>1300228709080.1321</v>
      </c>
      <c r="G1338" s="53">
        <f t="shared" ca="1" si="184"/>
        <v>59809511208827.102</v>
      </c>
      <c r="H1338" s="53">
        <f t="shared" ca="1" si="185"/>
        <v>1300228709080.1321</v>
      </c>
      <c r="I1338" s="53">
        <f t="shared" ca="1" si="186"/>
        <v>10454197832122.773</v>
      </c>
      <c r="J1338" s="53">
        <f t="shared" ca="1" si="187"/>
        <v>1769455458163.4346</v>
      </c>
      <c r="K1338" s="54">
        <f t="shared" ca="1" si="188"/>
        <v>5.9081441038213338</v>
      </c>
    </row>
    <row r="1339" spans="2:11" ht="15" customHeight="1" x14ac:dyDescent="0.35">
      <c r="B1339" s="5">
        <v>1318</v>
      </c>
      <c r="C1339" s="52">
        <f t="shared" ca="1" si="180"/>
        <v>2.4452700118209765</v>
      </c>
      <c r="D1339" s="53">
        <f t="shared" ca="1" si="181"/>
        <v>2015331079.3003383</v>
      </c>
      <c r="E1339" s="53">
        <f t="shared" ca="1" si="182"/>
        <v>3560011953469.4258</v>
      </c>
      <c r="F1339" s="53">
        <f t="shared" ca="1" si="183"/>
        <v>9853479693160.7773</v>
      </c>
      <c r="G1339" s="53">
        <f t="shared" ca="1" si="184"/>
        <v>1690123126004.8911</v>
      </c>
      <c r="H1339" s="53">
        <f t="shared" ca="1" si="185"/>
        <v>1690123126004.8911</v>
      </c>
      <c r="I1339" s="53">
        <f t="shared" ca="1" si="186"/>
        <v>20065822350847.48</v>
      </c>
      <c r="J1339" s="53">
        <f t="shared" ca="1" si="187"/>
        <v>636827003962.7887</v>
      </c>
      <c r="K1339" s="54">
        <f t="shared" ca="1" si="188"/>
        <v>31.509063255772322</v>
      </c>
    </row>
    <row r="1340" spans="2:11" ht="15" customHeight="1" x14ac:dyDescent="0.35">
      <c r="B1340" s="5">
        <v>1319</v>
      </c>
      <c r="C1340" s="52">
        <f t="shared" ca="1" si="180"/>
        <v>3.5448388078065438</v>
      </c>
      <c r="D1340" s="53">
        <f t="shared" ca="1" si="181"/>
        <v>10849479781.931034</v>
      </c>
      <c r="E1340" s="53">
        <f t="shared" ca="1" si="182"/>
        <v>51986472697945.102</v>
      </c>
      <c r="F1340" s="53">
        <f t="shared" ca="1" si="183"/>
        <v>4411046656897.4053</v>
      </c>
      <c r="G1340" s="53">
        <f t="shared" ca="1" si="184"/>
        <v>67462597095571.32</v>
      </c>
      <c r="H1340" s="53">
        <f t="shared" ca="1" si="185"/>
        <v>4411046656897.4053</v>
      </c>
      <c r="I1340" s="53">
        <f t="shared" ca="1" si="186"/>
        <v>13982773682247.822</v>
      </c>
      <c r="J1340" s="53">
        <f t="shared" ca="1" si="187"/>
        <v>1381631533740.7761</v>
      </c>
      <c r="K1340" s="54">
        <f t="shared" ca="1" si="188"/>
        <v>10.120479549557887</v>
      </c>
    </row>
    <row r="1341" spans="2:11" ht="15" customHeight="1" x14ac:dyDescent="0.35">
      <c r="B1341" s="5">
        <v>1320</v>
      </c>
      <c r="C1341" s="52">
        <f t="shared" ca="1" si="180"/>
        <v>2.8448344474278193</v>
      </c>
      <c r="D1341" s="53">
        <f t="shared" ca="1" si="181"/>
        <v>3714724621.9581089</v>
      </c>
      <c r="E1341" s="53">
        <f t="shared" ca="1" si="182"/>
        <v>4836013691168.7031</v>
      </c>
      <c r="F1341" s="53">
        <f t="shared" ca="1" si="183"/>
        <v>3846233163772.9712</v>
      </c>
      <c r="G1341" s="53">
        <f t="shared" ca="1" si="184"/>
        <v>6349467111136.3711</v>
      </c>
      <c r="H1341" s="53">
        <f t="shared" ca="1" si="185"/>
        <v>3846233163772.9712</v>
      </c>
      <c r="I1341" s="53">
        <f t="shared" ca="1" si="186"/>
        <v>7271508435377.2441</v>
      </c>
      <c r="J1341" s="53">
        <f t="shared" ca="1" si="187"/>
        <v>690444328993.74646</v>
      </c>
      <c r="K1341" s="54">
        <f t="shared" ca="1" si="188"/>
        <v>10.531636121879284</v>
      </c>
    </row>
    <row r="1342" spans="2:11" ht="15" customHeight="1" x14ac:dyDescent="0.35">
      <c r="B1342" s="5">
        <v>1321</v>
      </c>
      <c r="C1342" s="52">
        <f t="shared" ca="1" si="180"/>
        <v>2.3129450315556417</v>
      </c>
      <c r="D1342" s="53">
        <f t="shared" ca="1" si="181"/>
        <v>1334169264.0177784</v>
      </c>
      <c r="E1342" s="53">
        <f t="shared" ca="1" si="182"/>
        <v>8393203463446.4453</v>
      </c>
      <c r="F1342" s="53">
        <f t="shared" ca="1" si="183"/>
        <v>1029443591723.1191</v>
      </c>
      <c r="G1342" s="53">
        <f t="shared" ca="1" si="184"/>
        <v>10226847995691.699</v>
      </c>
      <c r="H1342" s="53">
        <f t="shared" ca="1" si="185"/>
        <v>8393203463446.4453</v>
      </c>
      <c r="I1342" s="53">
        <f t="shared" ca="1" si="186"/>
        <v>8234860143550.3193</v>
      </c>
      <c r="J1342" s="53">
        <f t="shared" ca="1" si="187"/>
        <v>744102693827.1438</v>
      </c>
      <c r="K1342" s="54">
        <f t="shared" ca="1" si="188"/>
        <v>11.066832860389146</v>
      </c>
    </row>
    <row r="1343" spans="2:11" ht="15" customHeight="1" x14ac:dyDescent="0.35">
      <c r="B1343" s="5">
        <v>1322</v>
      </c>
      <c r="C1343" s="52">
        <f t="shared" ca="1" si="180"/>
        <v>2.1756556495377088</v>
      </c>
      <c r="D1343" s="53">
        <f t="shared" ca="1" si="181"/>
        <v>1154815379.96</v>
      </c>
      <c r="E1343" s="53">
        <f t="shared" ca="1" si="182"/>
        <v>27293881260459.391</v>
      </c>
      <c r="F1343" s="53">
        <f t="shared" ca="1" si="183"/>
        <v>1787620889271.3145</v>
      </c>
      <c r="G1343" s="53">
        <f t="shared" ca="1" si="184"/>
        <v>3001584608593.4043</v>
      </c>
      <c r="H1343" s="53">
        <f t="shared" ca="1" si="185"/>
        <v>1787620889271.3145</v>
      </c>
      <c r="I1343" s="53">
        <f t="shared" ca="1" si="186"/>
        <v>44033236696942.797</v>
      </c>
      <c r="J1343" s="53">
        <f t="shared" ca="1" si="187"/>
        <v>1243919895532.8306</v>
      </c>
      <c r="K1343" s="54">
        <f t="shared" ca="1" si="188"/>
        <v>35.398771942691091</v>
      </c>
    </row>
    <row r="1344" spans="2:11" ht="15" customHeight="1" x14ac:dyDescent="0.35">
      <c r="B1344" s="5">
        <v>1323</v>
      </c>
      <c r="C1344" s="52">
        <f t="shared" ca="1" si="180"/>
        <v>3.2073841618566585</v>
      </c>
      <c r="D1344" s="53">
        <f t="shared" ca="1" si="181"/>
        <v>6615876196.5003557</v>
      </c>
      <c r="E1344" s="53">
        <f t="shared" ca="1" si="182"/>
        <v>27060379172967.848</v>
      </c>
      <c r="F1344" s="53">
        <f t="shared" ca="1" si="183"/>
        <v>1076957507207.3611</v>
      </c>
      <c r="G1344" s="53">
        <f t="shared" ca="1" si="184"/>
        <v>24250841592924.199</v>
      </c>
      <c r="H1344" s="53">
        <f t="shared" ca="1" si="185"/>
        <v>27060379172967.848</v>
      </c>
      <c r="I1344" s="53">
        <f t="shared" ca="1" si="186"/>
        <v>6713701850457.249</v>
      </c>
      <c r="J1344" s="53">
        <f t="shared" ca="1" si="187"/>
        <v>1023659256652.4443</v>
      </c>
      <c r="K1344" s="54">
        <f t="shared" ca="1" si="188"/>
        <v>6.5585318618739397</v>
      </c>
    </row>
    <row r="1345" spans="2:11" ht="15" customHeight="1" x14ac:dyDescent="0.35">
      <c r="B1345" s="5">
        <v>1324</v>
      </c>
      <c r="C1345" s="52">
        <f t="shared" ca="1" si="180"/>
        <v>3.717902488233241</v>
      </c>
      <c r="D1345" s="53">
        <f t="shared" ca="1" si="181"/>
        <v>14765490570.641344</v>
      </c>
      <c r="E1345" s="53">
        <f t="shared" ca="1" si="182"/>
        <v>71243348780366.156</v>
      </c>
      <c r="F1345" s="53">
        <f t="shared" ca="1" si="183"/>
        <v>2342710280162.1626</v>
      </c>
      <c r="G1345" s="53">
        <f t="shared" ca="1" si="184"/>
        <v>1165726608408.0962</v>
      </c>
      <c r="H1345" s="53">
        <f t="shared" ca="1" si="185"/>
        <v>2342710280162.1626</v>
      </c>
      <c r="I1345" s="53">
        <f t="shared" ca="1" si="186"/>
        <v>39597811922131.227</v>
      </c>
      <c r="J1345" s="53">
        <f t="shared" ca="1" si="187"/>
        <v>1076086647573.6857</v>
      </c>
      <c r="K1345" s="54">
        <f t="shared" ca="1" si="188"/>
        <v>36.797977199526343</v>
      </c>
    </row>
    <row r="1346" spans="2:11" ht="15" customHeight="1" x14ac:dyDescent="0.35">
      <c r="B1346" s="5">
        <v>1325</v>
      </c>
      <c r="C1346" s="52">
        <f t="shared" ca="1" si="180"/>
        <v>2.8556785512290239</v>
      </c>
      <c r="D1346" s="53">
        <f t="shared" ca="1" si="181"/>
        <v>3306920983.8622017</v>
      </c>
      <c r="E1346" s="53">
        <f t="shared" ca="1" si="182"/>
        <v>6740878668043.0264</v>
      </c>
      <c r="F1346" s="53">
        <f t="shared" ca="1" si="183"/>
        <v>904206683967.90027</v>
      </c>
      <c r="G1346" s="53">
        <f t="shared" ca="1" si="184"/>
        <v>57967721243523.086</v>
      </c>
      <c r="H1346" s="53">
        <f t="shared" ca="1" si="185"/>
        <v>904206683967.90027</v>
      </c>
      <c r="I1346" s="53">
        <f t="shared" ca="1" si="186"/>
        <v>3558826703272.416</v>
      </c>
      <c r="J1346" s="53">
        <f t="shared" ca="1" si="187"/>
        <v>1576547526868.2249</v>
      </c>
      <c r="K1346" s="54">
        <f t="shared" ca="1" si="188"/>
        <v>2.2573545311012242</v>
      </c>
    </row>
    <row r="1347" spans="2:11" ht="15" customHeight="1" x14ac:dyDescent="0.35">
      <c r="B1347" s="5">
        <v>1326</v>
      </c>
      <c r="C1347" s="52">
        <f t="shared" ca="1" si="180"/>
        <v>3.1711036973043667</v>
      </c>
      <c r="D1347" s="53">
        <f t="shared" ca="1" si="181"/>
        <v>5990820998.3362341</v>
      </c>
      <c r="E1347" s="53">
        <f t="shared" ca="1" si="182"/>
        <v>86132898351840.281</v>
      </c>
      <c r="F1347" s="53">
        <f t="shared" ca="1" si="183"/>
        <v>965143180654.8866</v>
      </c>
      <c r="G1347" s="53">
        <f t="shared" ca="1" si="184"/>
        <v>31478670971167.539</v>
      </c>
      <c r="H1347" s="53">
        <f t="shared" ca="1" si="185"/>
        <v>31478670971167.539</v>
      </c>
      <c r="I1347" s="53">
        <f t="shared" ca="1" si="186"/>
        <v>14127425554655.359</v>
      </c>
      <c r="J1347" s="53">
        <f t="shared" ca="1" si="187"/>
        <v>857496720264.68579</v>
      </c>
      <c r="K1347" s="54">
        <f t="shared" ca="1" si="188"/>
        <v>16.475194855899403</v>
      </c>
    </row>
    <row r="1348" spans="2:11" ht="15" customHeight="1" x14ac:dyDescent="0.35">
      <c r="B1348" s="5">
        <v>1327</v>
      </c>
      <c r="C1348" s="52">
        <f t="shared" ca="1" si="180"/>
        <v>3.3667568316527969</v>
      </c>
      <c r="D1348" s="53">
        <f t="shared" ca="1" si="181"/>
        <v>7943422354.057785</v>
      </c>
      <c r="E1348" s="53">
        <f t="shared" ca="1" si="182"/>
        <v>12017302846380.955</v>
      </c>
      <c r="F1348" s="53">
        <f t="shared" ca="1" si="183"/>
        <v>35177642589738.727</v>
      </c>
      <c r="G1348" s="53">
        <f t="shared" ca="1" si="184"/>
        <v>36490093696517.141</v>
      </c>
      <c r="H1348" s="53">
        <f t="shared" ca="1" si="185"/>
        <v>36490093696517.141</v>
      </c>
      <c r="I1348" s="53">
        <f t="shared" ca="1" si="186"/>
        <v>47536664790059.961</v>
      </c>
      <c r="J1348" s="53">
        <f t="shared" ca="1" si="187"/>
        <v>1194382015612.3147</v>
      </c>
      <c r="K1348" s="54">
        <f t="shared" ca="1" si="188"/>
        <v>39.800218161933479</v>
      </c>
    </row>
    <row r="1349" spans="2:11" ht="15" customHeight="1" x14ac:dyDescent="0.35">
      <c r="B1349" s="5">
        <v>1328</v>
      </c>
      <c r="C1349" s="52">
        <f t="shared" ca="1" si="180"/>
        <v>3.620532461916147</v>
      </c>
      <c r="D1349" s="53">
        <f t="shared" ca="1" si="181"/>
        <v>12490711762.517056</v>
      </c>
      <c r="E1349" s="53">
        <f t="shared" ca="1" si="182"/>
        <v>54265617084857.016</v>
      </c>
      <c r="F1349" s="53">
        <f t="shared" ca="1" si="183"/>
        <v>695057374538.47363</v>
      </c>
      <c r="G1349" s="53">
        <f t="shared" ca="1" si="184"/>
        <v>8168525553165.085</v>
      </c>
      <c r="H1349" s="53">
        <f t="shared" ca="1" si="185"/>
        <v>695057374538.47363</v>
      </c>
      <c r="I1349" s="53">
        <f t="shared" ca="1" si="186"/>
        <v>2442835657573.8755</v>
      </c>
      <c r="J1349" s="53">
        <f t="shared" ca="1" si="187"/>
        <v>713598546082.76599</v>
      </c>
      <c r="K1349" s="54">
        <f t="shared" ca="1" si="188"/>
        <v>3.4232632212938192</v>
      </c>
    </row>
    <row r="1350" spans="2:11" ht="15" customHeight="1" x14ac:dyDescent="0.35">
      <c r="B1350" s="5">
        <v>1329</v>
      </c>
      <c r="C1350" s="52">
        <f t="shared" ca="1" si="180"/>
        <v>2.6571358913710021</v>
      </c>
      <c r="D1350" s="53">
        <f t="shared" ca="1" si="181"/>
        <v>2645974329.9219728</v>
      </c>
      <c r="E1350" s="53">
        <f t="shared" ca="1" si="182"/>
        <v>53167669773660.586</v>
      </c>
      <c r="F1350" s="53">
        <f t="shared" ca="1" si="183"/>
        <v>61428634147372.852</v>
      </c>
      <c r="G1350" s="53">
        <f t="shared" ca="1" si="184"/>
        <v>37598344726465.664</v>
      </c>
      <c r="H1350" s="53">
        <f t="shared" ca="1" si="185"/>
        <v>37598344726465.664</v>
      </c>
      <c r="I1350" s="53">
        <f t="shared" ca="1" si="186"/>
        <v>3597897365854.5278</v>
      </c>
      <c r="J1350" s="53">
        <f t="shared" ca="1" si="187"/>
        <v>744798962556.43237</v>
      </c>
      <c r="K1350" s="54">
        <f t="shared" ca="1" si="188"/>
        <v>4.8306959954739739</v>
      </c>
    </row>
    <row r="1351" spans="2:11" ht="15" customHeight="1" x14ac:dyDescent="0.35">
      <c r="B1351" s="5">
        <v>1330</v>
      </c>
      <c r="C1351" s="52">
        <f t="shared" ca="1" si="180"/>
        <v>3.5297571267519361</v>
      </c>
      <c r="D1351" s="53">
        <f t="shared" ca="1" si="181"/>
        <v>11774208600.550978</v>
      </c>
      <c r="E1351" s="53">
        <f t="shared" ca="1" si="182"/>
        <v>6874398848521.1816</v>
      </c>
      <c r="F1351" s="53">
        <f t="shared" ca="1" si="183"/>
        <v>607668417072.52429</v>
      </c>
      <c r="G1351" s="53">
        <f t="shared" ca="1" si="184"/>
        <v>43356423974384.656</v>
      </c>
      <c r="H1351" s="53">
        <f t="shared" ca="1" si="185"/>
        <v>43356423974384.656</v>
      </c>
      <c r="I1351" s="53">
        <f t="shared" ca="1" si="186"/>
        <v>7606644305485.626</v>
      </c>
      <c r="J1351" s="53">
        <f t="shared" ca="1" si="187"/>
        <v>506845967996.94592</v>
      </c>
      <c r="K1351" s="54">
        <f t="shared" ca="1" si="188"/>
        <v>15.007802736494218</v>
      </c>
    </row>
    <row r="1352" spans="2:11" ht="15" customHeight="1" x14ac:dyDescent="0.35">
      <c r="B1352" s="5">
        <v>1331</v>
      </c>
      <c r="C1352" s="52">
        <f t="shared" ca="1" si="180"/>
        <v>3.5708085102184235</v>
      </c>
      <c r="D1352" s="53">
        <f t="shared" ca="1" si="181"/>
        <v>12114703601.357054</v>
      </c>
      <c r="E1352" s="53">
        <f t="shared" ca="1" si="182"/>
        <v>115261737795639.3</v>
      </c>
      <c r="F1352" s="53">
        <f t="shared" ca="1" si="183"/>
        <v>3559375637696.2773</v>
      </c>
      <c r="G1352" s="53">
        <f t="shared" ca="1" si="184"/>
        <v>1385726265175.8926</v>
      </c>
      <c r="H1352" s="53">
        <f t="shared" ca="1" si="185"/>
        <v>115261737795639.3</v>
      </c>
      <c r="I1352" s="53">
        <f t="shared" ca="1" si="186"/>
        <v>6388318368584.6484</v>
      </c>
      <c r="J1352" s="53">
        <f t="shared" ca="1" si="187"/>
        <v>1030021027350.769</v>
      </c>
      <c r="K1352" s="54">
        <f t="shared" ca="1" si="188"/>
        <v>6.202124227517479</v>
      </c>
    </row>
    <row r="1353" spans="2:11" ht="15" customHeight="1" x14ac:dyDescent="0.35">
      <c r="B1353" s="5">
        <v>1332</v>
      </c>
      <c r="C1353" s="52">
        <f t="shared" ca="1" si="180"/>
        <v>3.2224700474148946</v>
      </c>
      <c r="D1353" s="53">
        <f t="shared" ca="1" si="181"/>
        <v>6461178072.7777653</v>
      </c>
      <c r="E1353" s="53">
        <f t="shared" ca="1" si="182"/>
        <v>36395650495022.68</v>
      </c>
      <c r="F1353" s="53">
        <f t="shared" ca="1" si="183"/>
        <v>973320964196.9209</v>
      </c>
      <c r="G1353" s="53">
        <f t="shared" ca="1" si="184"/>
        <v>74354860247476.578</v>
      </c>
      <c r="H1353" s="53">
        <f t="shared" ca="1" si="185"/>
        <v>74354860247476.578</v>
      </c>
      <c r="I1353" s="53">
        <f t="shared" ca="1" si="186"/>
        <v>70504698301076.656</v>
      </c>
      <c r="J1353" s="53">
        <f t="shared" ca="1" si="187"/>
        <v>624761300250.85327</v>
      </c>
      <c r="K1353" s="54">
        <f t="shared" ca="1" si="188"/>
        <v>112.85061714412802</v>
      </c>
    </row>
    <row r="1354" spans="2:11" ht="15" customHeight="1" x14ac:dyDescent="0.35">
      <c r="B1354" s="5">
        <v>1333</v>
      </c>
      <c r="C1354" s="52">
        <f t="shared" ca="1" si="180"/>
        <v>2.8454379684583611</v>
      </c>
      <c r="D1354" s="53">
        <f t="shared" ca="1" si="181"/>
        <v>4426920077.6902065</v>
      </c>
      <c r="E1354" s="53">
        <f t="shared" ca="1" si="182"/>
        <v>8473371686625.5303</v>
      </c>
      <c r="F1354" s="53">
        <f t="shared" ca="1" si="183"/>
        <v>1178938706721.5696</v>
      </c>
      <c r="G1354" s="53">
        <f t="shared" ca="1" si="184"/>
        <v>7110749398204.2236</v>
      </c>
      <c r="H1354" s="53">
        <f t="shared" ca="1" si="185"/>
        <v>1178938706721.5696</v>
      </c>
      <c r="I1354" s="53">
        <f t="shared" ca="1" si="186"/>
        <v>9319307536793.2461</v>
      </c>
      <c r="J1354" s="53">
        <f t="shared" ca="1" si="187"/>
        <v>731215565111.25854</v>
      </c>
      <c r="K1354" s="54">
        <f t="shared" ca="1" si="188"/>
        <v>12.744952352560029</v>
      </c>
    </row>
    <row r="1355" spans="2:11" ht="15" customHeight="1" x14ac:dyDescent="0.35">
      <c r="B1355" s="5">
        <v>1334</v>
      </c>
      <c r="C1355" s="52">
        <f t="shared" ca="1" si="180"/>
        <v>2.9099988579627758</v>
      </c>
      <c r="D1355" s="53">
        <f t="shared" ca="1" si="181"/>
        <v>4218803542.0169692</v>
      </c>
      <c r="E1355" s="53">
        <f t="shared" ca="1" si="182"/>
        <v>28360755846863.273</v>
      </c>
      <c r="F1355" s="53">
        <f t="shared" ca="1" si="183"/>
        <v>8197654246657.4863</v>
      </c>
      <c r="G1355" s="53">
        <f t="shared" ca="1" si="184"/>
        <v>6775854182733.4346</v>
      </c>
      <c r="H1355" s="53">
        <f t="shared" ca="1" si="185"/>
        <v>28360755846863.273</v>
      </c>
      <c r="I1355" s="53">
        <f t="shared" ca="1" si="186"/>
        <v>8862168528517.1504</v>
      </c>
      <c r="J1355" s="53">
        <f t="shared" ca="1" si="187"/>
        <v>1657644441667.2717</v>
      </c>
      <c r="K1355" s="54">
        <f t="shared" ca="1" si="188"/>
        <v>5.3462421166770309</v>
      </c>
    </row>
    <row r="1356" spans="2:11" ht="15" customHeight="1" x14ac:dyDescent="0.35">
      <c r="B1356" s="5">
        <v>1335</v>
      </c>
      <c r="C1356" s="52">
        <f t="shared" ca="1" si="180"/>
        <v>3.4660521069476635</v>
      </c>
      <c r="D1356" s="53">
        <f t="shared" ca="1" si="181"/>
        <v>10961163406.624306</v>
      </c>
      <c r="E1356" s="53">
        <f t="shared" ca="1" si="182"/>
        <v>41759915914441.078</v>
      </c>
      <c r="F1356" s="53">
        <f t="shared" ca="1" si="183"/>
        <v>986852697242.14026</v>
      </c>
      <c r="G1356" s="53">
        <f t="shared" ca="1" si="184"/>
        <v>12182177644267.99</v>
      </c>
      <c r="H1356" s="53">
        <f t="shared" ca="1" si="185"/>
        <v>986852697242.14026</v>
      </c>
      <c r="I1356" s="53">
        <f t="shared" ca="1" si="186"/>
        <v>2569011183291.9473</v>
      </c>
      <c r="J1356" s="53">
        <f t="shared" ca="1" si="187"/>
        <v>874305461320.11121</v>
      </c>
      <c r="K1356" s="54">
        <f t="shared" ca="1" si="188"/>
        <v>2.9383451172923074</v>
      </c>
    </row>
    <row r="1357" spans="2:11" ht="15" customHeight="1" x14ac:dyDescent="0.35">
      <c r="B1357" s="5">
        <v>1336</v>
      </c>
      <c r="C1357" s="52">
        <f t="shared" ca="1" si="180"/>
        <v>2.6966448747184497</v>
      </c>
      <c r="D1357" s="53">
        <f t="shared" ca="1" si="181"/>
        <v>2659163061.3345418</v>
      </c>
      <c r="E1357" s="53">
        <f t="shared" ca="1" si="182"/>
        <v>14189195410013.313</v>
      </c>
      <c r="F1357" s="53">
        <f t="shared" ca="1" si="183"/>
        <v>8866713738742.9707</v>
      </c>
      <c r="G1357" s="53">
        <f t="shared" ca="1" si="184"/>
        <v>47290055984648.133</v>
      </c>
      <c r="H1357" s="53">
        <f t="shared" ca="1" si="185"/>
        <v>14189195410013.313</v>
      </c>
      <c r="I1357" s="53">
        <f t="shared" ca="1" si="186"/>
        <v>20112389166164.707</v>
      </c>
      <c r="J1357" s="53">
        <f t="shared" ca="1" si="187"/>
        <v>438233453277.35046</v>
      </c>
      <c r="K1357" s="54">
        <f t="shared" ca="1" si="188"/>
        <v>45.894235174775488</v>
      </c>
    </row>
    <row r="1358" spans="2:11" ht="15" customHeight="1" x14ac:dyDescent="0.35">
      <c r="B1358" s="5">
        <v>1337</v>
      </c>
      <c r="C1358" s="52">
        <f t="shared" ca="1" si="180"/>
        <v>3.704113826160651</v>
      </c>
      <c r="D1358" s="53">
        <f t="shared" ca="1" si="181"/>
        <v>16698244539.430853</v>
      </c>
      <c r="E1358" s="53">
        <f t="shared" ca="1" si="182"/>
        <v>181360909496982.88</v>
      </c>
      <c r="F1358" s="53">
        <f t="shared" ca="1" si="183"/>
        <v>4118688623681.0449</v>
      </c>
      <c r="G1358" s="53">
        <f t="shared" ca="1" si="184"/>
        <v>9798906061891.9551</v>
      </c>
      <c r="H1358" s="53">
        <f t="shared" ca="1" si="185"/>
        <v>4118688623681.0449</v>
      </c>
      <c r="I1358" s="53">
        <f t="shared" ca="1" si="186"/>
        <v>4766595508942.6191</v>
      </c>
      <c r="J1358" s="53">
        <f t="shared" ca="1" si="187"/>
        <v>1047893156234.7239</v>
      </c>
      <c r="K1358" s="54">
        <f t="shared" ca="1" si="188"/>
        <v>4.5487419023423037</v>
      </c>
    </row>
    <row r="1359" spans="2:11" ht="15" customHeight="1" x14ac:dyDescent="0.35">
      <c r="B1359" s="5">
        <v>1338</v>
      </c>
      <c r="C1359" s="52">
        <f t="shared" ca="1" si="180"/>
        <v>3.2741817301533223</v>
      </c>
      <c r="D1359" s="53">
        <f t="shared" ca="1" si="181"/>
        <v>8180278693.4946327</v>
      </c>
      <c r="E1359" s="53">
        <f t="shared" ca="1" si="182"/>
        <v>30675960599782.16</v>
      </c>
      <c r="F1359" s="53">
        <f t="shared" ca="1" si="183"/>
        <v>727401283911.245</v>
      </c>
      <c r="G1359" s="53">
        <f t="shared" ca="1" si="184"/>
        <v>2447806795921.2021</v>
      </c>
      <c r="H1359" s="53">
        <f t="shared" ca="1" si="185"/>
        <v>727401283911.245</v>
      </c>
      <c r="I1359" s="53">
        <f t="shared" ca="1" si="186"/>
        <v>3410428146027.4175</v>
      </c>
      <c r="J1359" s="53">
        <f t="shared" ca="1" si="187"/>
        <v>1104875844732.2478</v>
      </c>
      <c r="K1359" s="54">
        <f t="shared" ca="1" si="188"/>
        <v>3.0867071284863594</v>
      </c>
    </row>
    <row r="1360" spans="2:11" ht="15" customHeight="1" x14ac:dyDescent="0.35">
      <c r="B1360" s="5">
        <v>1339</v>
      </c>
      <c r="C1360" s="52">
        <f t="shared" ca="1" si="180"/>
        <v>3.5418608179919655</v>
      </c>
      <c r="D1360" s="53">
        <f t="shared" ca="1" si="181"/>
        <v>11397609623.208984</v>
      </c>
      <c r="E1360" s="53">
        <f t="shared" ca="1" si="182"/>
        <v>23347612648070.863</v>
      </c>
      <c r="F1360" s="53">
        <f t="shared" ca="1" si="183"/>
        <v>1571990188227.3069</v>
      </c>
      <c r="G1360" s="53">
        <f t="shared" ca="1" si="184"/>
        <v>27275583791207.926</v>
      </c>
      <c r="H1360" s="53">
        <f t="shared" ca="1" si="185"/>
        <v>23347612648070.863</v>
      </c>
      <c r="I1360" s="53">
        <f t="shared" ca="1" si="186"/>
        <v>5356677542156.3037</v>
      </c>
      <c r="J1360" s="53">
        <f t="shared" ca="1" si="187"/>
        <v>958367835752.12781</v>
      </c>
      <c r="K1360" s="54">
        <f t="shared" ca="1" si="188"/>
        <v>5.5893753341089321</v>
      </c>
    </row>
    <row r="1361" spans="2:11" ht="15" customHeight="1" x14ac:dyDescent="0.35">
      <c r="B1361" s="5">
        <v>1340</v>
      </c>
      <c r="C1361" s="52">
        <f t="shared" ca="1" si="180"/>
        <v>3.1976077817176112</v>
      </c>
      <c r="D1361" s="53">
        <f t="shared" ca="1" si="181"/>
        <v>7515972375.5571728</v>
      </c>
      <c r="E1361" s="53">
        <f t="shared" ca="1" si="182"/>
        <v>145013101427876.66</v>
      </c>
      <c r="F1361" s="53">
        <f t="shared" ca="1" si="183"/>
        <v>191974302603.4335</v>
      </c>
      <c r="G1361" s="53">
        <f t="shared" ca="1" si="184"/>
        <v>1863078221705.7832</v>
      </c>
      <c r="H1361" s="53">
        <f t="shared" ca="1" si="185"/>
        <v>191974302603.4335</v>
      </c>
      <c r="I1361" s="53">
        <f t="shared" ca="1" si="186"/>
        <v>10351608318739.277</v>
      </c>
      <c r="J1361" s="53">
        <f t="shared" ca="1" si="187"/>
        <v>519102845019.14069</v>
      </c>
      <c r="K1361" s="54">
        <f t="shared" ca="1" si="188"/>
        <v>19.941343835935992</v>
      </c>
    </row>
    <row r="1362" spans="2:11" ht="15" customHeight="1" x14ac:dyDescent="0.35">
      <c r="B1362" s="5">
        <v>1341</v>
      </c>
      <c r="C1362" s="52">
        <f t="shared" ca="1" si="180"/>
        <v>2.5842484636495824</v>
      </c>
      <c r="D1362" s="53">
        <f t="shared" ca="1" si="181"/>
        <v>2743084235.2827163</v>
      </c>
      <c r="E1362" s="53">
        <f t="shared" ca="1" si="182"/>
        <v>13991209190084.803</v>
      </c>
      <c r="F1362" s="53">
        <f t="shared" ca="1" si="183"/>
        <v>1460587027847.2732</v>
      </c>
      <c r="G1362" s="53">
        <f t="shared" ca="1" si="184"/>
        <v>7697908929271.1973</v>
      </c>
      <c r="H1362" s="53">
        <f t="shared" ca="1" si="185"/>
        <v>13991209190084.803</v>
      </c>
      <c r="I1362" s="53">
        <f t="shared" ca="1" si="186"/>
        <v>47438818554301.727</v>
      </c>
      <c r="J1362" s="53">
        <f t="shared" ca="1" si="187"/>
        <v>1868458319357.3428</v>
      </c>
      <c r="K1362" s="54">
        <f t="shared" ca="1" si="188"/>
        <v>25.389283808385052</v>
      </c>
    </row>
    <row r="1363" spans="2:11" ht="15" customHeight="1" x14ac:dyDescent="0.35">
      <c r="B1363" s="5">
        <v>1342</v>
      </c>
      <c r="C1363" s="52">
        <f t="shared" ca="1" si="180"/>
        <v>2.8547422416267381</v>
      </c>
      <c r="D1363" s="53">
        <f t="shared" ca="1" si="181"/>
        <v>3343351081.7044158</v>
      </c>
      <c r="E1363" s="53">
        <f t="shared" ca="1" si="182"/>
        <v>11543213853325.814</v>
      </c>
      <c r="F1363" s="53">
        <f t="shared" ca="1" si="183"/>
        <v>486858033785.12933</v>
      </c>
      <c r="G1363" s="53">
        <f t="shared" ca="1" si="184"/>
        <v>15433481052160.949</v>
      </c>
      <c r="H1363" s="53">
        <f t="shared" ca="1" si="185"/>
        <v>486858033785.12933</v>
      </c>
      <c r="I1363" s="53">
        <f t="shared" ca="1" si="186"/>
        <v>3418602486869.4395</v>
      </c>
      <c r="J1363" s="53">
        <f t="shared" ca="1" si="187"/>
        <v>1098009211645.9016</v>
      </c>
      <c r="K1363" s="54">
        <f t="shared" ca="1" si="188"/>
        <v>3.1134551974705191</v>
      </c>
    </row>
    <row r="1364" spans="2:11" ht="15" customHeight="1" x14ac:dyDescent="0.35">
      <c r="B1364" s="5">
        <v>1343</v>
      </c>
      <c r="C1364" s="52">
        <f t="shared" ca="1" si="180"/>
        <v>2.5445050126398496</v>
      </c>
      <c r="D1364" s="53">
        <f t="shared" ca="1" si="181"/>
        <v>1724496021.992805</v>
      </c>
      <c r="E1364" s="53">
        <f t="shared" ca="1" si="182"/>
        <v>3810520902091.1411</v>
      </c>
      <c r="F1364" s="53">
        <f t="shared" ca="1" si="183"/>
        <v>4630428040011.1719</v>
      </c>
      <c r="G1364" s="53">
        <f t="shared" ca="1" si="184"/>
        <v>13476781613288.934</v>
      </c>
      <c r="H1364" s="53">
        <f t="shared" ca="1" si="185"/>
        <v>3810520902091.1411</v>
      </c>
      <c r="I1364" s="53">
        <f t="shared" ca="1" si="186"/>
        <v>15238538926503.924</v>
      </c>
      <c r="J1364" s="53">
        <f t="shared" ca="1" si="187"/>
        <v>1032193727652.2007</v>
      </c>
      <c r="K1364" s="54">
        <f t="shared" ca="1" si="188"/>
        <v>14.763254724638836</v>
      </c>
    </row>
    <row r="1365" spans="2:11" ht="15" customHeight="1" x14ac:dyDescent="0.35">
      <c r="B1365" s="5">
        <v>1344</v>
      </c>
      <c r="C1365" s="52">
        <f t="shared" ca="1" si="180"/>
        <v>3.5074102475830107</v>
      </c>
      <c r="D1365" s="53">
        <f t="shared" ca="1" si="181"/>
        <v>12021628097.918831</v>
      </c>
      <c r="E1365" s="53">
        <f t="shared" ca="1" si="182"/>
        <v>15338090043049.582</v>
      </c>
      <c r="F1365" s="53">
        <f t="shared" ca="1" si="183"/>
        <v>277668569792.70221</v>
      </c>
      <c r="G1365" s="53">
        <f t="shared" ca="1" si="184"/>
        <v>13919110852893.686</v>
      </c>
      <c r="H1365" s="53">
        <f t="shared" ca="1" si="185"/>
        <v>13919110852893.686</v>
      </c>
      <c r="I1365" s="53">
        <f t="shared" ca="1" si="186"/>
        <v>6225786966518.8477</v>
      </c>
      <c r="J1365" s="53">
        <f t="shared" ca="1" si="187"/>
        <v>1237672497866.0051</v>
      </c>
      <c r="K1365" s="54">
        <f t="shared" ca="1" si="188"/>
        <v>5.0302377868566595</v>
      </c>
    </row>
    <row r="1366" spans="2:11" ht="15" customHeight="1" x14ac:dyDescent="0.35">
      <c r="B1366" s="5">
        <v>1345</v>
      </c>
      <c r="C1366" s="52">
        <f t="shared" ref="C1366:C1429" ca="1" si="189">MEDIAN(1.8,NORMINV(RAND(),$C$7,$D$7),4.5)</f>
        <v>2.8116426426800842</v>
      </c>
      <c r="D1366" s="53">
        <f t="shared" ref="D1366:D1429" ca="1" si="190">($C$8+RAND()*($D$8-$C$8))*C1366^5</f>
        <v>3655215071.2909813</v>
      </c>
      <c r="E1366" s="53">
        <f t="shared" ref="E1366:E1429" ca="1" si="191">D1366*($C$10+RAND()*($D$10-$C$10))*EXP(NORMINV(RAND(),$C$9,$D$9))*($C$11+RAND()*($D$11-$C$11))</f>
        <v>4477748610318.9063</v>
      </c>
      <c r="F1366" s="53">
        <f t="shared" ref="F1366:F1429" ca="1" si="192">EXP(NORMINV(RAND(),$C$12,$D$12))*EXP(NORMINV(RAND(),$C$13,$D$13))</f>
        <v>1603088360064.2021</v>
      </c>
      <c r="G1366" s="53">
        <f t="shared" ref="G1366:G1429" ca="1" si="193">EXP(NORMINV(RAND(),$C$14,$D$14))*($C$15+RAND()*($D$15-$C$15))*EXP(NORMINV(RAND(),$C$16,$D$16))/1000000*31536000</f>
        <v>2052734614374.938</v>
      </c>
      <c r="H1366" s="53">
        <f t="shared" ref="H1366:H1429" ca="1" si="194">CHOOSE(RANDBETWEEN(1,3),E1366,F1366,G1366)</f>
        <v>2052734614374.938</v>
      </c>
      <c r="I1366" s="53">
        <f t="shared" ref="I1366:I1429" ca="1" si="195">EXP(NORMINV(RAND(),$C$14,$D$14))*($C$15+RAND()*($D$15-$C$15))*60</f>
        <v>13926087238617.336</v>
      </c>
      <c r="J1366" s="53">
        <f t="shared" ref="J1366:J1429" ca="1" si="196">($C$17+RAND()*($D$17-$C$17))*($C$18+RAND()*($D$18-$C$18))</f>
        <v>1272943052726.6008</v>
      </c>
      <c r="K1366" s="54">
        <f t="shared" ref="K1366:K1429" ca="1" si="197">I1366/J1366</f>
        <v>10.940070892243082</v>
      </c>
    </row>
    <row r="1367" spans="2:11" ht="15" customHeight="1" x14ac:dyDescent="0.35">
      <c r="B1367" s="5">
        <v>1346</v>
      </c>
      <c r="C1367" s="52">
        <f t="shared" ca="1" si="189"/>
        <v>3.0526613004088863</v>
      </c>
      <c r="D1367" s="53">
        <f t="shared" ca="1" si="190"/>
        <v>4924574443.8806448</v>
      </c>
      <c r="E1367" s="53">
        <f t="shared" ca="1" si="191"/>
        <v>15639964423702.813</v>
      </c>
      <c r="F1367" s="53">
        <f t="shared" ca="1" si="192"/>
        <v>683789538772.89636</v>
      </c>
      <c r="G1367" s="53">
        <f t="shared" ca="1" si="193"/>
        <v>66403637201097.461</v>
      </c>
      <c r="H1367" s="53">
        <f t="shared" ca="1" si="194"/>
        <v>15639964423702.813</v>
      </c>
      <c r="I1367" s="53">
        <f t="shared" ca="1" si="195"/>
        <v>26362542397901.484</v>
      </c>
      <c r="J1367" s="53">
        <f t="shared" ca="1" si="196"/>
        <v>702380904597.30237</v>
      </c>
      <c r="K1367" s="54">
        <f t="shared" ca="1" si="197"/>
        <v>37.533113763985341</v>
      </c>
    </row>
    <row r="1368" spans="2:11" ht="15" customHeight="1" x14ac:dyDescent="0.35">
      <c r="B1368" s="5">
        <v>1347</v>
      </c>
      <c r="C1368" s="52">
        <f t="shared" ca="1" si="189"/>
        <v>2.9197694440837552</v>
      </c>
      <c r="D1368" s="53">
        <f t="shared" ca="1" si="190"/>
        <v>4164178155.4303765</v>
      </c>
      <c r="E1368" s="53">
        <f t="shared" ca="1" si="191"/>
        <v>22406343803576.961</v>
      </c>
      <c r="F1368" s="53">
        <f t="shared" ca="1" si="192"/>
        <v>692724985688.9436</v>
      </c>
      <c r="G1368" s="53">
        <f t="shared" ca="1" si="193"/>
        <v>31991681791585.93</v>
      </c>
      <c r="H1368" s="53">
        <f t="shared" ca="1" si="194"/>
        <v>31991681791585.93</v>
      </c>
      <c r="I1368" s="53">
        <f t="shared" ca="1" si="195"/>
        <v>3958585131968.2583</v>
      </c>
      <c r="J1368" s="53">
        <f t="shared" ca="1" si="196"/>
        <v>1017222268617.6597</v>
      </c>
      <c r="K1368" s="54">
        <f t="shared" ca="1" si="197"/>
        <v>3.8915635786736398</v>
      </c>
    </row>
    <row r="1369" spans="2:11" ht="15" customHeight="1" x14ac:dyDescent="0.35">
      <c r="B1369" s="5">
        <v>1348</v>
      </c>
      <c r="C1369" s="52">
        <f t="shared" ca="1" si="189"/>
        <v>2.3857797773455238</v>
      </c>
      <c r="D1369" s="53">
        <f t="shared" ca="1" si="190"/>
        <v>1713238237.2373776</v>
      </c>
      <c r="E1369" s="53">
        <f t="shared" ca="1" si="191"/>
        <v>3841017900618.6865</v>
      </c>
      <c r="F1369" s="53">
        <f t="shared" ca="1" si="192"/>
        <v>4589482956611.3672</v>
      </c>
      <c r="G1369" s="53">
        <f t="shared" ca="1" si="193"/>
        <v>32857071237267.617</v>
      </c>
      <c r="H1369" s="53">
        <f t="shared" ca="1" si="194"/>
        <v>4589482956611.3672</v>
      </c>
      <c r="I1369" s="53">
        <f t="shared" ca="1" si="195"/>
        <v>4614762753977.418</v>
      </c>
      <c r="J1369" s="53">
        <f t="shared" ca="1" si="196"/>
        <v>1697476338890.5049</v>
      </c>
      <c r="K1369" s="54">
        <f t="shared" ca="1" si="197"/>
        <v>2.7186021084651428</v>
      </c>
    </row>
    <row r="1370" spans="2:11" ht="15" customHeight="1" x14ac:dyDescent="0.35">
      <c r="B1370" s="5">
        <v>1349</v>
      </c>
      <c r="C1370" s="52">
        <f t="shared" ca="1" si="189"/>
        <v>3.0949382554237639</v>
      </c>
      <c r="D1370" s="53">
        <f t="shared" ca="1" si="190"/>
        <v>6093683001.2631168</v>
      </c>
      <c r="E1370" s="53">
        <f t="shared" ca="1" si="191"/>
        <v>36624325880079.109</v>
      </c>
      <c r="F1370" s="53">
        <f t="shared" ca="1" si="192"/>
        <v>507670360837.82922</v>
      </c>
      <c r="G1370" s="53">
        <f t="shared" ca="1" si="193"/>
        <v>27080832307817</v>
      </c>
      <c r="H1370" s="53">
        <f t="shared" ca="1" si="194"/>
        <v>507670360837.82922</v>
      </c>
      <c r="I1370" s="53">
        <f t="shared" ca="1" si="195"/>
        <v>55590558601561.172</v>
      </c>
      <c r="J1370" s="53">
        <f t="shared" ca="1" si="196"/>
        <v>840277426018.13</v>
      </c>
      <c r="K1370" s="54">
        <f t="shared" ca="1" si="197"/>
        <v>66.157386691906368</v>
      </c>
    </row>
    <row r="1371" spans="2:11" ht="15" customHeight="1" x14ac:dyDescent="0.35">
      <c r="B1371" s="5">
        <v>1350</v>
      </c>
      <c r="C1371" s="52">
        <f t="shared" ca="1" si="189"/>
        <v>3.1764475765413409</v>
      </c>
      <c r="D1371" s="53">
        <f t="shared" ca="1" si="190"/>
        <v>7183347136.000576</v>
      </c>
      <c r="E1371" s="53">
        <f t="shared" ca="1" si="191"/>
        <v>44031482459846.977</v>
      </c>
      <c r="F1371" s="53">
        <f t="shared" ca="1" si="192"/>
        <v>747722694856.64893</v>
      </c>
      <c r="G1371" s="53">
        <f t="shared" ca="1" si="193"/>
        <v>3022233196578.4741</v>
      </c>
      <c r="H1371" s="53">
        <f t="shared" ca="1" si="194"/>
        <v>3022233196578.4741</v>
      </c>
      <c r="I1371" s="53">
        <f t="shared" ca="1" si="195"/>
        <v>210737787552275.09</v>
      </c>
      <c r="J1371" s="53">
        <f t="shared" ca="1" si="196"/>
        <v>1284369138107.8904</v>
      </c>
      <c r="K1371" s="54">
        <f t="shared" ca="1" si="197"/>
        <v>164.07883162213804</v>
      </c>
    </row>
    <row r="1372" spans="2:11" ht="15" customHeight="1" x14ac:dyDescent="0.35">
      <c r="B1372" s="5">
        <v>1351</v>
      </c>
      <c r="C1372" s="52">
        <f t="shared" ca="1" si="189"/>
        <v>3.1601837683510543</v>
      </c>
      <c r="D1372" s="53">
        <f t="shared" ca="1" si="190"/>
        <v>6004763761.9691286</v>
      </c>
      <c r="E1372" s="53">
        <f t="shared" ca="1" si="191"/>
        <v>116402756157078.89</v>
      </c>
      <c r="F1372" s="53">
        <f t="shared" ca="1" si="192"/>
        <v>747088146490.32275</v>
      </c>
      <c r="G1372" s="53">
        <f t="shared" ca="1" si="193"/>
        <v>10610696437378.723</v>
      </c>
      <c r="H1372" s="53">
        <f t="shared" ca="1" si="194"/>
        <v>116402756157078.89</v>
      </c>
      <c r="I1372" s="53">
        <f t="shared" ca="1" si="195"/>
        <v>17701004851102.395</v>
      </c>
      <c r="J1372" s="53">
        <f t="shared" ca="1" si="196"/>
        <v>1345116238364.3945</v>
      </c>
      <c r="K1372" s="54">
        <f t="shared" ca="1" si="197"/>
        <v>13.159461127780363</v>
      </c>
    </row>
    <row r="1373" spans="2:11" ht="15" customHeight="1" x14ac:dyDescent="0.35">
      <c r="B1373" s="5">
        <v>1352</v>
      </c>
      <c r="C1373" s="52">
        <f t="shared" ca="1" si="189"/>
        <v>3.0445296912531332</v>
      </c>
      <c r="D1373" s="53">
        <f t="shared" ca="1" si="190"/>
        <v>5336420388.7053652</v>
      </c>
      <c r="E1373" s="53">
        <f t="shared" ca="1" si="191"/>
        <v>54293952669325.906</v>
      </c>
      <c r="F1373" s="53">
        <f t="shared" ca="1" si="192"/>
        <v>1062552385315.6372</v>
      </c>
      <c r="G1373" s="53">
        <f t="shared" ca="1" si="193"/>
        <v>5841623724108.6006</v>
      </c>
      <c r="H1373" s="53">
        <f t="shared" ca="1" si="194"/>
        <v>1062552385315.6372</v>
      </c>
      <c r="I1373" s="53">
        <f t="shared" ca="1" si="195"/>
        <v>7905007477745.3076</v>
      </c>
      <c r="J1373" s="53">
        <f t="shared" ca="1" si="196"/>
        <v>917016234611.17114</v>
      </c>
      <c r="K1373" s="54">
        <f t="shared" ca="1" si="197"/>
        <v>8.6203571751345827</v>
      </c>
    </row>
    <row r="1374" spans="2:11" ht="15" customHeight="1" x14ac:dyDescent="0.35">
      <c r="B1374" s="5">
        <v>1353</v>
      </c>
      <c r="C1374" s="52">
        <f t="shared" ca="1" si="189"/>
        <v>2.7599488264869452</v>
      </c>
      <c r="D1374" s="53">
        <f t="shared" ca="1" si="190"/>
        <v>3146872786.6773858</v>
      </c>
      <c r="E1374" s="53">
        <f t="shared" ca="1" si="191"/>
        <v>5572334398535.9893</v>
      </c>
      <c r="F1374" s="53">
        <f t="shared" ca="1" si="192"/>
        <v>3317381142918.2734</v>
      </c>
      <c r="G1374" s="53">
        <f t="shared" ca="1" si="193"/>
        <v>12899159381098.305</v>
      </c>
      <c r="H1374" s="53">
        <f t="shared" ca="1" si="194"/>
        <v>12899159381098.305</v>
      </c>
      <c r="I1374" s="53">
        <f t="shared" ca="1" si="195"/>
        <v>16554655096527.221</v>
      </c>
      <c r="J1374" s="53">
        <f t="shared" ca="1" si="196"/>
        <v>1000076955884.391</v>
      </c>
      <c r="K1374" s="54">
        <f t="shared" ca="1" si="197"/>
        <v>16.553381216436048</v>
      </c>
    </row>
    <row r="1375" spans="2:11" ht="15" customHeight="1" x14ac:dyDescent="0.35">
      <c r="B1375" s="5">
        <v>1354</v>
      </c>
      <c r="C1375" s="52">
        <f t="shared" ca="1" si="189"/>
        <v>2.8203885932040635</v>
      </c>
      <c r="D1375" s="53">
        <f t="shared" ca="1" si="190"/>
        <v>3373200933.566998</v>
      </c>
      <c r="E1375" s="53">
        <f t="shared" ca="1" si="191"/>
        <v>2380213724940.3765</v>
      </c>
      <c r="F1375" s="53">
        <f t="shared" ca="1" si="192"/>
        <v>1967408509721.4509</v>
      </c>
      <c r="G1375" s="53">
        <f t="shared" ca="1" si="193"/>
        <v>7425430137128.5986</v>
      </c>
      <c r="H1375" s="53">
        <f t="shared" ca="1" si="194"/>
        <v>2380213724940.3765</v>
      </c>
      <c r="I1375" s="53">
        <f t="shared" ca="1" si="195"/>
        <v>2741797154089.0151</v>
      </c>
      <c r="J1375" s="53">
        <f t="shared" ca="1" si="196"/>
        <v>1383078649206.3469</v>
      </c>
      <c r="K1375" s="54">
        <f t="shared" ca="1" si="197"/>
        <v>1.9823870144061169</v>
      </c>
    </row>
    <row r="1376" spans="2:11" ht="15" customHeight="1" x14ac:dyDescent="0.35">
      <c r="B1376" s="5">
        <v>1355</v>
      </c>
      <c r="C1376" s="52">
        <f t="shared" ca="1" si="189"/>
        <v>3.409117085883846</v>
      </c>
      <c r="D1376" s="53">
        <f t="shared" ca="1" si="190"/>
        <v>10772723114.478729</v>
      </c>
      <c r="E1376" s="53">
        <f t="shared" ca="1" si="191"/>
        <v>17052305400494.826</v>
      </c>
      <c r="F1376" s="53">
        <f t="shared" ca="1" si="192"/>
        <v>4591059268908.6191</v>
      </c>
      <c r="G1376" s="53">
        <f t="shared" ca="1" si="193"/>
        <v>7550417796071.8291</v>
      </c>
      <c r="H1376" s="53">
        <f t="shared" ca="1" si="194"/>
        <v>7550417796071.8291</v>
      </c>
      <c r="I1376" s="53">
        <f t="shared" ca="1" si="195"/>
        <v>1695172793348.355</v>
      </c>
      <c r="J1376" s="53">
        <f t="shared" ca="1" si="196"/>
        <v>712142566197.08911</v>
      </c>
      <c r="K1376" s="54">
        <f t="shared" ca="1" si="197"/>
        <v>2.3803840323725391</v>
      </c>
    </row>
    <row r="1377" spans="2:11" ht="15" customHeight="1" x14ac:dyDescent="0.35">
      <c r="B1377" s="5">
        <v>1356</v>
      </c>
      <c r="C1377" s="52">
        <f t="shared" ca="1" si="189"/>
        <v>3.6967567591818478</v>
      </c>
      <c r="D1377" s="53">
        <f t="shared" ca="1" si="190"/>
        <v>15081807918.278736</v>
      </c>
      <c r="E1377" s="53">
        <f t="shared" ca="1" si="191"/>
        <v>45397277716641.922</v>
      </c>
      <c r="F1377" s="53">
        <f t="shared" ca="1" si="192"/>
        <v>1007643128644.1908</v>
      </c>
      <c r="G1377" s="53">
        <f t="shared" ca="1" si="193"/>
        <v>279181895387.16095</v>
      </c>
      <c r="H1377" s="53">
        <f t="shared" ca="1" si="194"/>
        <v>279181895387.16095</v>
      </c>
      <c r="I1377" s="53">
        <f t="shared" ca="1" si="195"/>
        <v>10760510802391.25</v>
      </c>
      <c r="J1377" s="53">
        <f t="shared" ca="1" si="196"/>
        <v>862333028010.29602</v>
      </c>
      <c r="K1377" s="54">
        <f t="shared" ca="1" si="197"/>
        <v>12.478370250087155</v>
      </c>
    </row>
    <row r="1378" spans="2:11" ht="15" customHeight="1" x14ac:dyDescent="0.35">
      <c r="B1378" s="5">
        <v>1357</v>
      </c>
      <c r="C1378" s="52">
        <f t="shared" ca="1" si="189"/>
        <v>3.3545130854192564</v>
      </c>
      <c r="D1378" s="53">
        <f t="shared" ca="1" si="190"/>
        <v>8308006496.1134453</v>
      </c>
      <c r="E1378" s="53">
        <f t="shared" ca="1" si="191"/>
        <v>46220305488995.867</v>
      </c>
      <c r="F1378" s="53">
        <f t="shared" ca="1" si="192"/>
        <v>3295691030824.5039</v>
      </c>
      <c r="G1378" s="53">
        <f t="shared" ca="1" si="193"/>
        <v>1058389993516.8324</v>
      </c>
      <c r="H1378" s="53">
        <f t="shared" ca="1" si="194"/>
        <v>46220305488995.867</v>
      </c>
      <c r="I1378" s="53">
        <f t="shared" ca="1" si="195"/>
        <v>3730819886027.7402</v>
      </c>
      <c r="J1378" s="53">
        <f t="shared" ca="1" si="196"/>
        <v>1065972019276.2479</v>
      </c>
      <c r="K1378" s="54">
        <f t="shared" ca="1" si="197"/>
        <v>3.4999229046938929</v>
      </c>
    </row>
    <row r="1379" spans="2:11" ht="15" customHeight="1" x14ac:dyDescent="0.35">
      <c r="B1379" s="5">
        <v>1358</v>
      </c>
      <c r="C1379" s="52">
        <f t="shared" ca="1" si="189"/>
        <v>3.0865724769028993</v>
      </c>
      <c r="D1379" s="53">
        <f t="shared" ca="1" si="190"/>
        <v>5451975215.2293282</v>
      </c>
      <c r="E1379" s="53">
        <f t="shared" ca="1" si="191"/>
        <v>10165292489390.887</v>
      </c>
      <c r="F1379" s="53">
        <f t="shared" ca="1" si="192"/>
        <v>1153874366175.6667</v>
      </c>
      <c r="G1379" s="53">
        <f t="shared" ca="1" si="193"/>
        <v>16425991755702.918</v>
      </c>
      <c r="H1379" s="53">
        <f t="shared" ca="1" si="194"/>
        <v>1153874366175.6667</v>
      </c>
      <c r="I1379" s="53">
        <f t="shared" ca="1" si="195"/>
        <v>2947389762251.082</v>
      </c>
      <c r="J1379" s="53">
        <f t="shared" ca="1" si="196"/>
        <v>844182842727.02429</v>
      </c>
      <c r="K1379" s="54">
        <f t="shared" ca="1" si="197"/>
        <v>3.4914115912731867</v>
      </c>
    </row>
    <row r="1380" spans="2:11" ht="15" customHeight="1" x14ac:dyDescent="0.35">
      <c r="B1380" s="5">
        <v>1359</v>
      </c>
      <c r="C1380" s="52">
        <f t="shared" ca="1" si="189"/>
        <v>3.046238927348091</v>
      </c>
      <c r="D1380" s="53">
        <f t="shared" ca="1" si="190"/>
        <v>4967936434.7178288</v>
      </c>
      <c r="E1380" s="53">
        <f t="shared" ca="1" si="191"/>
        <v>32280692667253.387</v>
      </c>
      <c r="F1380" s="53">
        <f t="shared" ca="1" si="192"/>
        <v>6896220506996.4502</v>
      </c>
      <c r="G1380" s="53">
        <f t="shared" ca="1" si="193"/>
        <v>1138421176530.4993</v>
      </c>
      <c r="H1380" s="53">
        <f t="shared" ca="1" si="194"/>
        <v>32280692667253.387</v>
      </c>
      <c r="I1380" s="53">
        <f t="shared" ca="1" si="195"/>
        <v>9900104673456.998</v>
      </c>
      <c r="J1380" s="53">
        <f t="shared" ca="1" si="196"/>
        <v>645936305111.98987</v>
      </c>
      <c r="K1380" s="54">
        <f t="shared" ca="1" si="197"/>
        <v>15.326750633316015</v>
      </c>
    </row>
    <row r="1381" spans="2:11" ht="15" customHeight="1" x14ac:dyDescent="0.35">
      <c r="B1381" s="5">
        <v>1360</v>
      </c>
      <c r="C1381" s="52">
        <f t="shared" ca="1" si="189"/>
        <v>3.0493934729005359</v>
      </c>
      <c r="D1381" s="53">
        <f t="shared" ca="1" si="190"/>
        <v>6327567920.87323</v>
      </c>
      <c r="E1381" s="53">
        <f t="shared" ca="1" si="191"/>
        <v>43015573741471.648</v>
      </c>
      <c r="F1381" s="53">
        <f t="shared" ca="1" si="192"/>
        <v>1375621539421.3276</v>
      </c>
      <c r="G1381" s="53">
        <f t="shared" ca="1" si="193"/>
        <v>5160592110281.5732</v>
      </c>
      <c r="H1381" s="53">
        <f t="shared" ca="1" si="194"/>
        <v>43015573741471.648</v>
      </c>
      <c r="I1381" s="53">
        <f t="shared" ca="1" si="195"/>
        <v>21947962279050.613</v>
      </c>
      <c r="J1381" s="53">
        <f t="shared" ca="1" si="196"/>
        <v>1308365848020.0203</v>
      </c>
      <c r="K1381" s="54">
        <f t="shared" ca="1" si="197"/>
        <v>16.775095675467959</v>
      </c>
    </row>
    <row r="1382" spans="2:11" ht="15" customHeight="1" x14ac:dyDescent="0.35">
      <c r="B1382" s="5">
        <v>1361</v>
      </c>
      <c r="C1382" s="52">
        <f t="shared" ca="1" si="189"/>
        <v>3.8522855396671201</v>
      </c>
      <c r="D1382" s="53">
        <f t="shared" ca="1" si="190"/>
        <v>15995764967.28433</v>
      </c>
      <c r="E1382" s="53">
        <f t="shared" ca="1" si="191"/>
        <v>29725416282733.781</v>
      </c>
      <c r="F1382" s="53">
        <f t="shared" ca="1" si="192"/>
        <v>4161912656522.1372</v>
      </c>
      <c r="G1382" s="53">
        <f t="shared" ca="1" si="193"/>
        <v>6262956186909.0635</v>
      </c>
      <c r="H1382" s="53">
        <f t="shared" ca="1" si="194"/>
        <v>29725416282733.781</v>
      </c>
      <c r="I1382" s="53">
        <f t="shared" ca="1" si="195"/>
        <v>1716243197913.9773</v>
      </c>
      <c r="J1382" s="53">
        <f t="shared" ca="1" si="196"/>
        <v>1606056714348.405</v>
      </c>
      <c r="K1382" s="54">
        <f t="shared" ca="1" si="197"/>
        <v>1.068606844690585</v>
      </c>
    </row>
    <row r="1383" spans="2:11" ht="15" customHeight="1" x14ac:dyDescent="0.35">
      <c r="B1383" s="5">
        <v>1362</v>
      </c>
      <c r="C1383" s="52">
        <f t="shared" ca="1" si="189"/>
        <v>3.0470803931531534</v>
      </c>
      <c r="D1383" s="53">
        <f t="shared" ca="1" si="190"/>
        <v>5709431982.0029135</v>
      </c>
      <c r="E1383" s="53">
        <f t="shared" ca="1" si="191"/>
        <v>20881465324815.547</v>
      </c>
      <c r="F1383" s="53">
        <f t="shared" ca="1" si="192"/>
        <v>3727513579611.3755</v>
      </c>
      <c r="G1383" s="53">
        <f t="shared" ca="1" si="193"/>
        <v>149429266761548.75</v>
      </c>
      <c r="H1383" s="53">
        <f t="shared" ca="1" si="194"/>
        <v>20881465324815.547</v>
      </c>
      <c r="I1383" s="53">
        <f t="shared" ca="1" si="195"/>
        <v>50108843609401.555</v>
      </c>
      <c r="J1383" s="53">
        <f t="shared" ca="1" si="196"/>
        <v>1497991974642.2283</v>
      </c>
      <c r="K1383" s="54">
        <f t="shared" ca="1" si="197"/>
        <v>33.450675609506696</v>
      </c>
    </row>
    <row r="1384" spans="2:11" ht="15" customHeight="1" x14ac:dyDescent="0.35">
      <c r="B1384" s="5">
        <v>1363</v>
      </c>
      <c r="C1384" s="52">
        <f t="shared" ca="1" si="189"/>
        <v>3.1285692498266426</v>
      </c>
      <c r="D1384" s="53">
        <f t="shared" ca="1" si="190"/>
        <v>5160862111.338809</v>
      </c>
      <c r="E1384" s="53">
        <f t="shared" ca="1" si="191"/>
        <v>8967571295873.0547</v>
      </c>
      <c r="F1384" s="53">
        <f t="shared" ca="1" si="192"/>
        <v>719232934179.43652</v>
      </c>
      <c r="G1384" s="53">
        <f t="shared" ca="1" si="193"/>
        <v>9309806088188.6504</v>
      </c>
      <c r="H1384" s="53">
        <f t="shared" ca="1" si="194"/>
        <v>719232934179.43652</v>
      </c>
      <c r="I1384" s="53">
        <f t="shared" ca="1" si="195"/>
        <v>1952322044095.1775</v>
      </c>
      <c r="J1384" s="53">
        <f t="shared" ca="1" si="196"/>
        <v>1242157871637.9409</v>
      </c>
      <c r="K1384" s="54">
        <f t="shared" ca="1" si="197"/>
        <v>1.5717181275201324</v>
      </c>
    </row>
    <row r="1385" spans="2:11" ht="15" customHeight="1" x14ac:dyDescent="0.35">
      <c r="B1385" s="5">
        <v>1364</v>
      </c>
      <c r="C1385" s="52">
        <f t="shared" ca="1" si="189"/>
        <v>3.228675660165659</v>
      </c>
      <c r="D1385" s="53">
        <f t="shared" ca="1" si="190"/>
        <v>5741140398.0071602</v>
      </c>
      <c r="E1385" s="53">
        <f t="shared" ca="1" si="191"/>
        <v>30243569159425.215</v>
      </c>
      <c r="F1385" s="53">
        <f t="shared" ca="1" si="192"/>
        <v>2462400828547.0718</v>
      </c>
      <c r="G1385" s="53">
        <f t="shared" ca="1" si="193"/>
        <v>98223031470739.953</v>
      </c>
      <c r="H1385" s="53">
        <f t="shared" ca="1" si="194"/>
        <v>98223031470739.953</v>
      </c>
      <c r="I1385" s="53">
        <f t="shared" ca="1" si="195"/>
        <v>9233838144794.793</v>
      </c>
      <c r="J1385" s="53">
        <f t="shared" ca="1" si="196"/>
        <v>780534791876.27197</v>
      </c>
      <c r="K1385" s="54">
        <f t="shared" ca="1" si="197"/>
        <v>11.830142923671893</v>
      </c>
    </row>
    <row r="1386" spans="2:11" ht="15" customHeight="1" x14ac:dyDescent="0.35">
      <c r="B1386" s="5">
        <v>1365</v>
      </c>
      <c r="C1386" s="52">
        <f t="shared" ca="1" si="189"/>
        <v>3.2326128785584349</v>
      </c>
      <c r="D1386" s="53">
        <f t="shared" ca="1" si="190"/>
        <v>5838200630.2131033</v>
      </c>
      <c r="E1386" s="53">
        <f t="shared" ca="1" si="191"/>
        <v>15711845346681.076</v>
      </c>
      <c r="F1386" s="53">
        <f t="shared" ca="1" si="192"/>
        <v>14885795781062.996</v>
      </c>
      <c r="G1386" s="53">
        <f t="shared" ca="1" si="193"/>
        <v>1549495631905.6733</v>
      </c>
      <c r="H1386" s="53">
        <f t="shared" ca="1" si="194"/>
        <v>1549495631905.6733</v>
      </c>
      <c r="I1386" s="53">
        <f t="shared" ca="1" si="195"/>
        <v>41952174397963.531</v>
      </c>
      <c r="J1386" s="53">
        <f t="shared" ca="1" si="196"/>
        <v>590213098343.79785</v>
      </c>
      <c r="K1386" s="54">
        <f t="shared" ca="1" si="197"/>
        <v>71.079707508501414</v>
      </c>
    </row>
    <row r="1387" spans="2:11" ht="15" customHeight="1" x14ac:dyDescent="0.35">
      <c r="B1387" s="5">
        <v>1366</v>
      </c>
      <c r="C1387" s="52">
        <f t="shared" ca="1" si="189"/>
        <v>3.4300175506263968</v>
      </c>
      <c r="D1387" s="53">
        <f t="shared" ca="1" si="190"/>
        <v>8789051242.7992115</v>
      </c>
      <c r="E1387" s="53">
        <f t="shared" ca="1" si="191"/>
        <v>107307658059893.22</v>
      </c>
      <c r="F1387" s="53">
        <f t="shared" ca="1" si="192"/>
        <v>14430703206049.17</v>
      </c>
      <c r="G1387" s="53">
        <f t="shared" ca="1" si="193"/>
        <v>1426803118444.4172</v>
      </c>
      <c r="H1387" s="53">
        <f t="shared" ca="1" si="194"/>
        <v>107307658059893.22</v>
      </c>
      <c r="I1387" s="53">
        <f t="shared" ca="1" si="195"/>
        <v>4105099983887.0269</v>
      </c>
      <c r="J1387" s="53">
        <f t="shared" ca="1" si="196"/>
        <v>692920396893.08923</v>
      </c>
      <c r="K1387" s="54">
        <f t="shared" ca="1" si="197"/>
        <v>5.9243457145920955</v>
      </c>
    </row>
    <row r="1388" spans="2:11" ht="15" customHeight="1" x14ac:dyDescent="0.35">
      <c r="B1388" s="5">
        <v>1367</v>
      </c>
      <c r="C1388" s="52">
        <f t="shared" ca="1" si="189"/>
        <v>2.9659255659538259</v>
      </c>
      <c r="D1388" s="53">
        <f t="shared" ca="1" si="190"/>
        <v>4227427181.7449427</v>
      </c>
      <c r="E1388" s="53">
        <f t="shared" ca="1" si="191"/>
        <v>24122256473476.941</v>
      </c>
      <c r="F1388" s="53">
        <f t="shared" ca="1" si="192"/>
        <v>1427192878406.8721</v>
      </c>
      <c r="G1388" s="53">
        <f t="shared" ca="1" si="193"/>
        <v>5744062888081.041</v>
      </c>
      <c r="H1388" s="53">
        <f t="shared" ca="1" si="194"/>
        <v>1427192878406.8721</v>
      </c>
      <c r="I1388" s="53">
        <f t="shared" ca="1" si="195"/>
        <v>15456222548531.842</v>
      </c>
      <c r="J1388" s="53">
        <f t="shared" ca="1" si="196"/>
        <v>1433595700367.3972</v>
      </c>
      <c r="K1388" s="54">
        <f t="shared" ca="1" si="197"/>
        <v>10.781437573069431</v>
      </c>
    </row>
    <row r="1389" spans="2:11" ht="15" customHeight="1" x14ac:dyDescent="0.35">
      <c r="B1389" s="5">
        <v>1368</v>
      </c>
      <c r="C1389" s="52">
        <f t="shared" ca="1" si="189"/>
        <v>2.8998935925524374</v>
      </c>
      <c r="D1389" s="53">
        <f t="shared" ca="1" si="190"/>
        <v>4742435165.5936899</v>
      </c>
      <c r="E1389" s="53">
        <f t="shared" ca="1" si="191"/>
        <v>39829216592647.375</v>
      </c>
      <c r="F1389" s="53">
        <f t="shared" ca="1" si="192"/>
        <v>15566324291293.033</v>
      </c>
      <c r="G1389" s="53">
        <f t="shared" ca="1" si="193"/>
        <v>26294571998993.672</v>
      </c>
      <c r="H1389" s="53">
        <f t="shared" ca="1" si="194"/>
        <v>15566324291293.033</v>
      </c>
      <c r="I1389" s="53">
        <f t="shared" ca="1" si="195"/>
        <v>9469180461348.8047</v>
      </c>
      <c r="J1389" s="53">
        <f t="shared" ca="1" si="196"/>
        <v>990874855370.64978</v>
      </c>
      <c r="K1389" s="54">
        <f t="shared" ca="1" si="197"/>
        <v>9.5563838460778516</v>
      </c>
    </row>
    <row r="1390" spans="2:11" ht="15" customHeight="1" x14ac:dyDescent="0.35">
      <c r="B1390" s="5">
        <v>1369</v>
      </c>
      <c r="C1390" s="52">
        <f t="shared" ca="1" si="189"/>
        <v>2.9926472513047484</v>
      </c>
      <c r="D1390" s="53">
        <f t="shared" ca="1" si="190"/>
        <v>4419484461.6992798</v>
      </c>
      <c r="E1390" s="53">
        <f t="shared" ca="1" si="191"/>
        <v>19851536482236.398</v>
      </c>
      <c r="F1390" s="53">
        <f t="shared" ca="1" si="192"/>
        <v>554173533551.45251</v>
      </c>
      <c r="G1390" s="53">
        <f t="shared" ca="1" si="193"/>
        <v>6730691589707.083</v>
      </c>
      <c r="H1390" s="53">
        <f t="shared" ca="1" si="194"/>
        <v>6730691589707.083</v>
      </c>
      <c r="I1390" s="53">
        <f t="shared" ca="1" si="195"/>
        <v>28508931057505.777</v>
      </c>
      <c r="J1390" s="53">
        <f t="shared" ca="1" si="196"/>
        <v>1473263758677.3108</v>
      </c>
      <c r="K1390" s="54">
        <f t="shared" ca="1" si="197"/>
        <v>19.350867005037141</v>
      </c>
    </row>
    <row r="1391" spans="2:11" ht="15" customHeight="1" x14ac:dyDescent="0.35">
      <c r="B1391" s="5">
        <v>1370</v>
      </c>
      <c r="C1391" s="52">
        <f t="shared" ca="1" si="189"/>
        <v>3.3788063807087472</v>
      </c>
      <c r="D1391" s="53">
        <f t="shared" ca="1" si="190"/>
        <v>9063888764.1913929</v>
      </c>
      <c r="E1391" s="53">
        <f t="shared" ca="1" si="191"/>
        <v>38863989760482.453</v>
      </c>
      <c r="F1391" s="53">
        <f t="shared" ca="1" si="192"/>
        <v>10032687205051.631</v>
      </c>
      <c r="G1391" s="53">
        <f t="shared" ca="1" si="193"/>
        <v>6482852578526.1787</v>
      </c>
      <c r="H1391" s="53">
        <f t="shared" ca="1" si="194"/>
        <v>6482852578526.1787</v>
      </c>
      <c r="I1391" s="53">
        <f t="shared" ca="1" si="195"/>
        <v>11245993364761.385</v>
      </c>
      <c r="J1391" s="53">
        <f t="shared" ca="1" si="196"/>
        <v>1070436839424.7675</v>
      </c>
      <c r="K1391" s="54">
        <f t="shared" ca="1" si="197"/>
        <v>10.505984987217714</v>
      </c>
    </row>
    <row r="1392" spans="2:11" ht="15" customHeight="1" x14ac:dyDescent="0.35">
      <c r="B1392" s="5">
        <v>1371</v>
      </c>
      <c r="C1392" s="52">
        <f t="shared" ca="1" si="189"/>
        <v>3.8536922075480651</v>
      </c>
      <c r="D1392" s="53">
        <f t="shared" ca="1" si="190"/>
        <v>16669949122.534653</v>
      </c>
      <c r="E1392" s="53">
        <f t="shared" ca="1" si="191"/>
        <v>41865780052680.086</v>
      </c>
      <c r="F1392" s="53">
        <f t="shared" ca="1" si="192"/>
        <v>1575879015512.6782</v>
      </c>
      <c r="G1392" s="53">
        <f t="shared" ca="1" si="193"/>
        <v>811031225770.28003</v>
      </c>
      <c r="H1392" s="53">
        <f t="shared" ca="1" si="194"/>
        <v>41865780052680.086</v>
      </c>
      <c r="I1392" s="53">
        <f t="shared" ca="1" si="195"/>
        <v>14111120002679.025</v>
      </c>
      <c r="J1392" s="53">
        <f t="shared" ca="1" si="196"/>
        <v>493032021324.11761</v>
      </c>
      <c r="K1392" s="54">
        <f t="shared" ca="1" si="197"/>
        <v>28.621102468722658</v>
      </c>
    </row>
    <row r="1393" spans="2:11" ht="15" customHeight="1" x14ac:dyDescent="0.35">
      <c r="B1393" s="5">
        <v>1372</v>
      </c>
      <c r="C1393" s="52">
        <f t="shared" ca="1" si="189"/>
        <v>2.7393908114324703</v>
      </c>
      <c r="D1393" s="53">
        <f t="shared" ca="1" si="190"/>
        <v>2711950640.6096201</v>
      </c>
      <c r="E1393" s="53">
        <f t="shared" ca="1" si="191"/>
        <v>44149422796605.359</v>
      </c>
      <c r="F1393" s="53">
        <f t="shared" ca="1" si="192"/>
        <v>1885316164263.8372</v>
      </c>
      <c r="G1393" s="53">
        <f t="shared" ca="1" si="193"/>
        <v>3024925000854.4326</v>
      </c>
      <c r="H1393" s="53">
        <f t="shared" ca="1" si="194"/>
        <v>3024925000854.4326</v>
      </c>
      <c r="I1393" s="53">
        <f t="shared" ca="1" si="195"/>
        <v>2514499750282.0288</v>
      </c>
      <c r="J1393" s="53">
        <f t="shared" ca="1" si="196"/>
        <v>1038492612934.1178</v>
      </c>
      <c r="K1393" s="54">
        <f t="shared" ca="1" si="197"/>
        <v>2.4212976760399445</v>
      </c>
    </row>
    <row r="1394" spans="2:11" ht="15" customHeight="1" x14ac:dyDescent="0.35">
      <c r="B1394" s="5">
        <v>1373</v>
      </c>
      <c r="C1394" s="52">
        <f t="shared" ca="1" si="189"/>
        <v>2.8555468050795265</v>
      </c>
      <c r="D1394" s="53">
        <f t="shared" ca="1" si="190"/>
        <v>4395093244.2575512</v>
      </c>
      <c r="E1394" s="53">
        <f t="shared" ca="1" si="191"/>
        <v>9317390484343.7383</v>
      </c>
      <c r="F1394" s="53">
        <f t="shared" ca="1" si="192"/>
        <v>1831456885527.8784</v>
      </c>
      <c r="G1394" s="53">
        <f t="shared" ca="1" si="193"/>
        <v>6787179059717.3516</v>
      </c>
      <c r="H1394" s="53">
        <f t="shared" ca="1" si="194"/>
        <v>1831456885527.8784</v>
      </c>
      <c r="I1394" s="53">
        <f t="shared" ca="1" si="195"/>
        <v>9690379663042.4844</v>
      </c>
      <c r="J1394" s="53">
        <f t="shared" ca="1" si="196"/>
        <v>573493952475.77161</v>
      </c>
      <c r="K1394" s="54">
        <f t="shared" ca="1" si="197"/>
        <v>16.897091279182884</v>
      </c>
    </row>
    <row r="1395" spans="2:11" ht="15" customHeight="1" x14ac:dyDescent="0.35">
      <c r="B1395" s="5">
        <v>1374</v>
      </c>
      <c r="C1395" s="52">
        <f t="shared" ca="1" si="189"/>
        <v>3.3968632215061039</v>
      </c>
      <c r="D1395" s="53">
        <f t="shared" ca="1" si="190"/>
        <v>10693752496.728632</v>
      </c>
      <c r="E1395" s="53">
        <f t="shared" ca="1" si="191"/>
        <v>197376581479830.19</v>
      </c>
      <c r="F1395" s="53">
        <f t="shared" ca="1" si="192"/>
        <v>2613684761520.0874</v>
      </c>
      <c r="G1395" s="53">
        <f t="shared" ca="1" si="193"/>
        <v>16107783640357.305</v>
      </c>
      <c r="H1395" s="53">
        <f t="shared" ca="1" si="194"/>
        <v>2613684761520.0874</v>
      </c>
      <c r="I1395" s="53">
        <f t="shared" ca="1" si="195"/>
        <v>59418280029416.656</v>
      </c>
      <c r="J1395" s="53">
        <f t="shared" ca="1" si="196"/>
        <v>1459329771247.4192</v>
      </c>
      <c r="K1395" s="54">
        <f t="shared" ca="1" si="197"/>
        <v>40.716143259810671</v>
      </c>
    </row>
    <row r="1396" spans="2:11" ht="15" customHeight="1" x14ac:dyDescent="0.35">
      <c r="B1396" s="5">
        <v>1375</v>
      </c>
      <c r="C1396" s="52">
        <f t="shared" ca="1" si="189"/>
        <v>2.9855409715943231</v>
      </c>
      <c r="D1396" s="53">
        <f t="shared" ca="1" si="190"/>
        <v>5608969111.6516256</v>
      </c>
      <c r="E1396" s="53">
        <f t="shared" ca="1" si="191"/>
        <v>8107786052137.7285</v>
      </c>
      <c r="F1396" s="53">
        <f t="shared" ca="1" si="192"/>
        <v>1940875263602.303</v>
      </c>
      <c r="G1396" s="53">
        <f t="shared" ca="1" si="193"/>
        <v>25622392919419.754</v>
      </c>
      <c r="H1396" s="53">
        <f t="shared" ca="1" si="194"/>
        <v>25622392919419.754</v>
      </c>
      <c r="I1396" s="53">
        <f t="shared" ca="1" si="195"/>
        <v>3954705471793.1235</v>
      </c>
      <c r="J1396" s="53">
        <f t="shared" ca="1" si="196"/>
        <v>872493834951.8739</v>
      </c>
      <c r="K1396" s="54">
        <f t="shared" ca="1" si="197"/>
        <v>4.5326457487361642</v>
      </c>
    </row>
    <row r="1397" spans="2:11" ht="15" customHeight="1" x14ac:dyDescent="0.35">
      <c r="B1397" s="5">
        <v>1376</v>
      </c>
      <c r="C1397" s="52">
        <f t="shared" ca="1" si="189"/>
        <v>2.5659560670665416</v>
      </c>
      <c r="D1397" s="53">
        <f t="shared" ca="1" si="190"/>
        <v>2067476723.8144627</v>
      </c>
      <c r="E1397" s="53">
        <f t="shared" ca="1" si="191"/>
        <v>5135107341322.3135</v>
      </c>
      <c r="F1397" s="53">
        <f t="shared" ca="1" si="192"/>
        <v>6106386294630.3965</v>
      </c>
      <c r="G1397" s="53">
        <f t="shared" ca="1" si="193"/>
        <v>3308810011787.4238</v>
      </c>
      <c r="H1397" s="53">
        <f t="shared" ca="1" si="194"/>
        <v>3308810011787.4238</v>
      </c>
      <c r="I1397" s="53">
        <f t="shared" ca="1" si="195"/>
        <v>2044008865711.9968</v>
      </c>
      <c r="J1397" s="53">
        <f t="shared" ca="1" si="196"/>
        <v>537732422903.43335</v>
      </c>
      <c r="K1397" s="54">
        <f t="shared" ca="1" si="197"/>
        <v>3.8011635130267427</v>
      </c>
    </row>
    <row r="1398" spans="2:11" ht="15" customHeight="1" x14ac:dyDescent="0.35">
      <c r="B1398" s="5">
        <v>1377</v>
      </c>
      <c r="C1398" s="52">
        <f t="shared" ca="1" si="189"/>
        <v>3.2975265082296161</v>
      </c>
      <c r="D1398" s="53">
        <f t="shared" ca="1" si="190"/>
        <v>7327275304.5570555</v>
      </c>
      <c r="E1398" s="53">
        <f t="shared" ca="1" si="191"/>
        <v>11476989755910.395</v>
      </c>
      <c r="F1398" s="53">
        <f t="shared" ca="1" si="192"/>
        <v>846553956081.28308</v>
      </c>
      <c r="G1398" s="53">
        <f t="shared" ca="1" si="193"/>
        <v>5558371354809.7822</v>
      </c>
      <c r="H1398" s="53">
        <f t="shared" ca="1" si="194"/>
        <v>5558371354809.7822</v>
      </c>
      <c r="I1398" s="53">
        <f t="shared" ca="1" si="195"/>
        <v>76400074929079.109</v>
      </c>
      <c r="J1398" s="53">
        <f t="shared" ca="1" si="196"/>
        <v>744011910811.146</v>
      </c>
      <c r="K1398" s="54">
        <f t="shared" ca="1" si="197"/>
        <v>102.68662882800527</v>
      </c>
    </row>
    <row r="1399" spans="2:11" ht="15" customHeight="1" x14ac:dyDescent="0.35">
      <c r="B1399" s="5">
        <v>1378</v>
      </c>
      <c r="C1399" s="52">
        <f t="shared" ca="1" si="189"/>
        <v>3.4202973126981346</v>
      </c>
      <c r="D1399" s="53">
        <f t="shared" ca="1" si="190"/>
        <v>7859026775.6986341</v>
      </c>
      <c r="E1399" s="53">
        <f t="shared" ca="1" si="191"/>
        <v>252395208895646.72</v>
      </c>
      <c r="F1399" s="53">
        <f t="shared" ca="1" si="192"/>
        <v>7511091770419.7988</v>
      </c>
      <c r="G1399" s="53">
        <f t="shared" ca="1" si="193"/>
        <v>10525006320192.574</v>
      </c>
      <c r="H1399" s="53">
        <f t="shared" ca="1" si="194"/>
        <v>252395208895646.72</v>
      </c>
      <c r="I1399" s="53">
        <f t="shared" ca="1" si="195"/>
        <v>17892301408576.93</v>
      </c>
      <c r="J1399" s="53">
        <f t="shared" ca="1" si="196"/>
        <v>634469272793.7168</v>
      </c>
      <c r="K1399" s="54">
        <f t="shared" ca="1" si="197"/>
        <v>28.200422267563781</v>
      </c>
    </row>
    <row r="1400" spans="2:11" ht="15" customHeight="1" x14ac:dyDescent="0.35">
      <c r="B1400" s="5">
        <v>1379</v>
      </c>
      <c r="C1400" s="52">
        <f t="shared" ca="1" si="189"/>
        <v>3.151403319943717</v>
      </c>
      <c r="D1400" s="53">
        <f t="shared" ca="1" si="190"/>
        <v>7085681235.7429886</v>
      </c>
      <c r="E1400" s="53">
        <f t="shared" ca="1" si="191"/>
        <v>18274022549298.336</v>
      </c>
      <c r="F1400" s="53">
        <f t="shared" ca="1" si="192"/>
        <v>13901435864139.369</v>
      </c>
      <c r="G1400" s="53">
        <f t="shared" ca="1" si="193"/>
        <v>1186301330376.2261</v>
      </c>
      <c r="H1400" s="53">
        <f t="shared" ca="1" si="194"/>
        <v>18274022549298.336</v>
      </c>
      <c r="I1400" s="53">
        <f t="shared" ca="1" si="195"/>
        <v>4506040377950.0889</v>
      </c>
      <c r="J1400" s="53">
        <f t="shared" ca="1" si="196"/>
        <v>1090823004469.7037</v>
      </c>
      <c r="K1400" s="54">
        <f t="shared" ca="1" si="197"/>
        <v>4.1308629901334637</v>
      </c>
    </row>
    <row r="1401" spans="2:11" ht="15" customHeight="1" x14ac:dyDescent="0.35">
      <c r="B1401" s="5">
        <v>1380</v>
      </c>
      <c r="C1401" s="52">
        <f t="shared" ca="1" si="189"/>
        <v>2.3683943655849227</v>
      </c>
      <c r="D1401" s="53">
        <f t="shared" ca="1" si="190"/>
        <v>1653092842.6226773</v>
      </c>
      <c r="E1401" s="53">
        <f t="shared" ca="1" si="191"/>
        <v>1545228081095.2356</v>
      </c>
      <c r="F1401" s="53">
        <f t="shared" ca="1" si="192"/>
        <v>3528152303554.0049</v>
      </c>
      <c r="G1401" s="53">
        <f t="shared" ca="1" si="193"/>
        <v>1633865731183.9543</v>
      </c>
      <c r="H1401" s="53">
        <f t="shared" ca="1" si="194"/>
        <v>1633865731183.9543</v>
      </c>
      <c r="I1401" s="53">
        <f t="shared" ca="1" si="195"/>
        <v>7486965727347.417</v>
      </c>
      <c r="J1401" s="53">
        <f t="shared" ca="1" si="196"/>
        <v>976295440548.86328</v>
      </c>
      <c r="K1401" s="54">
        <f t="shared" ca="1" si="197"/>
        <v>7.6687500692805877</v>
      </c>
    </row>
    <row r="1402" spans="2:11" ht="15" customHeight="1" x14ac:dyDescent="0.35">
      <c r="B1402" s="5">
        <v>1381</v>
      </c>
      <c r="C1402" s="52">
        <f t="shared" ca="1" si="189"/>
        <v>2.8760908276797541</v>
      </c>
      <c r="D1402" s="53">
        <f t="shared" ca="1" si="190"/>
        <v>3486583025.0334759</v>
      </c>
      <c r="E1402" s="53">
        <f t="shared" ca="1" si="191"/>
        <v>3291135715148.166</v>
      </c>
      <c r="F1402" s="53">
        <f t="shared" ca="1" si="192"/>
        <v>2593450375964.9507</v>
      </c>
      <c r="G1402" s="53">
        <f t="shared" ca="1" si="193"/>
        <v>5573012196989.6504</v>
      </c>
      <c r="H1402" s="53">
        <f t="shared" ca="1" si="194"/>
        <v>2593450375964.9507</v>
      </c>
      <c r="I1402" s="53">
        <f t="shared" ca="1" si="195"/>
        <v>44285868687750.445</v>
      </c>
      <c r="J1402" s="53">
        <f t="shared" ca="1" si="196"/>
        <v>1256753567156.0872</v>
      </c>
      <c r="K1402" s="54">
        <f t="shared" ca="1" si="197"/>
        <v>35.23830752910861</v>
      </c>
    </row>
    <row r="1403" spans="2:11" ht="15" customHeight="1" x14ac:dyDescent="0.35">
      <c r="B1403" s="5">
        <v>1382</v>
      </c>
      <c r="C1403" s="52">
        <f t="shared" ca="1" si="189"/>
        <v>2.8783931230691042</v>
      </c>
      <c r="D1403" s="53">
        <f t="shared" ca="1" si="190"/>
        <v>3760383122.6356964</v>
      </c>
      <c r="E1403" s="53">
        <f t="shared" ca="1" si="191"/>
        <v>52070846729831.711</v>
      </c>
      <c r="F1403" s="53">
        <f t="shared" ca="1" si="192"/>
        <v>5007355883981.8604</v>
      </c>
      <c r="G1403" s="53">
        <f t="shared" ca="1" si="193"/>
        <v>9318316673019.5664</v>
      </c>
      <c r="H1403" s="53">
        <f t="shared" ca="1" si="194"/>
        <v>9318316673019.5664</v>
      </c>
      <c r="I1403" s="53">
        <f t="shared" ca="1" si="195"/>
        <v>174948328769632.94</v>
      </c>
      <c r="J1403" s="53">
        <f t="shared" ca="1" si="196"/>
        <v>1108781363675.5178</v>
      </c>
      <c r="K1403" s="54">
        <f t="shared" ca="1" si="197"/>
        <v>157.78433377495975</v>
      </c>
    </row>
    <row r="1404" spans="2:11" ht="15" customHeight="1" x14ac:dyDescent="0.35">
      <c r="B1404" s="5">
        <v>1383</v>
      </c>
      <c r="C1404" s="52">
        <f t="shared" ca="1" si="189"/>
        <v>2.8066338960993118</v>
      </c>
      <c r="D1404" s="53">
        <f t="shared" ca="1" si="190"/>
        <v>3092865310.1433573</v>
      </c>
      <c r="E1404" s="53">
        <f t="shared" ca="1" si="191"/>
        <v>28121359998178.699</v>
      </c>
      <c r="F1404" s="53">
        <f t="shared" ca="1" si="192"/>
        <v>9061624997242.4355</v>
      </c>
      <c r="G1404" s="53">
        <f t="shared" ca="1" si="193"/>
        <v>78011953052758.625</v>
      </c>
      <c r="H1404" s="53">
        <f t="shared" ca="1" si="194"/>
        <v>28121359998178.699</v>
      </c>
      <c r="I1404" s="53">
        <f t="shared" ca="1" si="195"/>
        <v>4057487436223.9414</v>
      </c>
      <c r="J1404" s="53">
        <f t="shared" ca="1" si="196"/>
        <v>693713175045.97559</v>
      </c>
      <c r="K1404" s="54">
        <f t="shared" ca="1" si="197"/>
        <v>5.8489410064253615</v>
      </c>
    </row>
    <row r="1405" spans="2:11" ht="15" customHeight="1" x14ac:dyDescent="0.35">
      <c r="B1405" s="5">
        <v>1384</v>
      </c>
      <c r="C1405" s="52">
        <f t="shared" ca="1" si="189"/>
        <v>2.7334234522736569</v>
      </c>
      <c r="D1405" s="53">
        <f t="shared" ca="1" si="190"/>
        <v>2770565832.4146981</v>
      </c>
      <c r="E1405" s="53">
        <f t="shared" ca="1" si="191"/>
        <v>16046419472976.117</v>
      </c>
      <c r="F1405" s="53">
        <f t="shared" ca="1" si="192"/>
        <v>1065154769594.4838</v>
      </c>
      <c r="G1405" s="53">
        <f t="shared" ca="1" si="193"/>
        <v>7938312623904.7813</v>
      </c>
      <c r="H1405" s="53">
        <f t="shared" ca="1" si="194"/>
        <v>16046419472976.117</v>
      </c>
      <c r="I1405" s="53">
        <f t="shared" ca="1" si="195"/>
        <v>9136691726923.834</v>
      </c>
      <c r="J1405" s="53">
        <f t="shared" ca="1" si="196"/>
        <v>1356580371476.1184</v>
      </c>
      <c r="K1405" s="54">
        <f t="shared" ca="1" si="197"/>
        <v>6.7350906138956166</v>
      </c>
    </row>
    <row r="1406" spans="2:11" ht="15" customHeight="1" x14ac:dyDescent="0.35">
      <c r="B1406" s="5">
        <v>1385</v>
      </c>
      <c r="C1406" s="52">
        <f t="shared" ca="1" si="189"/>
        <v>3.0472863952274154</v>
      </c>
      <c r="D1406" s="53">
        <f t="shared" ca="1" si="190"/>
        <v>6222360266.0979424</v>
      </c>
      <c r="E1406" s="53">
        <f t="shared" ca="1" si="191"/>
        <v>92366989923145.734</v>
      </c>
      <c r="F1406" s="53">
        <f t="shared" ca="1" si="192"/>
        <v>7168814290593.8936</v>
      </c>
      <c r="G1406" s="53">
        <f t="shared" ca="1" si="193"/>
        <v>1321697091403.0071</v>
      </c>
      <c r="H1406" s="53">
        <f t="shared" ca="1" si="194"/>
        <v>7168814290593.8936</v>
      </c>
      <c r="I1406" s="53">
        <f t="shared" ca="1" si="195"/>
        <v>2296093359185.707</v>
      </c>
      <c r="J1406" s="53">
        <f t="shared" ca="1" si="196"/>
        <v>577317763553.89014</v>
      </c>
      <c r="K1406" s="54">
        <f t="shared" ca="1" si="197"/>
        <v>3.9771742775612284</v>
      </c>
    </row>
    <row r="1407" spans="2:11" ht="15" customHeight="1" x14ac:dyDescent="0.35">
      <c r="B1407" s="5">
        <v>1386</v>
      </c>
      <c r="C1407" s="52">
        <f t="shared" ca="1" si="189"/>
        <v>2.657326628077799</v>
      </c>
      <c r="D1407" s="53">
        <f t="shared" ca="1" si="190"/>
        <v>2570937294.8907208</v>
      </c>
      <c r="E1407" s="53">
        <f t="shared" ca="1" si="191"/>
        <v>6679458285978.3428</v>
      </c>
      <c r="F1407" s="53">
        <f t="shared" ca="1" si="192"/>
        <v>1519249201976.8701</v>
      </c>
      <c r="G1407" s="53">
        <f t="shared" ca="1" si="193"/>
        <v>1132176318987.5793</v>
      </c>
      <c r="H1407" s="53">
        <f t="shared" ca="1" si="194"/>
        <v>1132176318987.5793</v>
      </c>
      <c r="I1407" s="53">
        <f t="shared" ca="1" si="195"/>
        <v>3024468372278.0527</v>
      </c>
      <c r="J1407" s="53">
        <f t="shared" ca="1" si="196"/>
        <v>918987359855.75671</v>
      </c>
      <c r="K1407" s="54">
        <f t="shared" ca="1" si="197"/>
        <v>3.2910881089297792</v>
      </c>
    </row>
    <row r="1408" spans="2:11" ht="15" customHeight="1" x14ac:dyDescent="0.35">
      <c r="B1408" s="5">
        <v>1387</v>
      </c>
      <c r="C1408" s="52">
        <f t="shared" ca="1" si="189"/>
        <v>2.7771813743923035</v>
      </c>
      <c r="D1408" s="53">
        <f t="shared" ca="1" si="190"/>
        <v>3848389480.5723085</v>
      </c>
      <c r="E1408" s="53">
        <f t="shared" ca="1" si="191"/>
        <v>36220626130819.008</v>
      </c>
      <c r="F1408" s="53">
        <f t="shared" ca="1" si="192"/>
        <v>2469575245581.6519</v>
      </c>
      <c r="G1408" s="53">
        <f t="shared" ca="1" si="193"/>
        <v>633659150580.97827</v>
      </c>
      <c r="H1408" s="53">
        <f t="shared" ca="1" si="194"/>
        <v>36220626130819.008</v>
      </c>
      <c r="I1408" s="53">
        <f t="shared" ca="1" si="195"/>
        <v>28944757559049.523</v>
      </c>
      <c r="J1408" s="53">
        <f t="shared" ca="1" si="196"/>
        <v>955329925951.82678</v>
      </c>
      <c r="K1408" s="54">
        <f t="shared" ca="1" si="197"/>
        <v>30.298179479943439</v>
      </c>
    </row>
    <row r="1409" spans="2:11" ht="15" customHeight="1" x14ac:dyDescent="0.35">
      <c r="B1409" s="5">
        <v>1388</v>
      </c>
      <c r="C1409" s="52">
        <f t="shared" ca="1" si="189"/>
        <v>2.8383470125978425</v>
      </c>
      <c r="D1409" s="53">
        <f t="shared" ca="1" si="190"/>
        <v>3211327243.9590302</v>
      </c>
      <c r="E1409" s="53">
        <f t="shared" ca="1" si="191"/>
        <v>3726317636812.7603</v>
      </c>
      <c r="F1409" s="53">
        <f t="shared" ca="1" si="192"/>
        <v>1418734905892.0981</v>
      </c>
      <c r="G1409" s="53">
        <f t="shared" ca="1" si="193"/>
        <v>1880688249626.1208</v>
      </c>
      <c r="H1409" s="53">
        <f t="shared" ca="1" si="194"/>
        <v>1880688249626.1208</v>
      </c>
      <c r="I1409" s="53">
        <f t="shared" ca="1" si="195"/>
        <v>666392442883.71497</v>
      </c>
      <c r="J1409" s="53">
        <f t="shared" ca="1" si="196"/>
        <v>587118135470.43298</v>
      </c>
      <c r="K1409" s="54">
        <f t="shared" ca="1" si="197"/>
        <v>1.1350227537253006</v>
      </c>
    </row>
    <row r="1410" spans="2:11" ht="15" customHeight="1" x14ac:dyDescent="0.35">
      <c r="B1410" s="5">
        <v>1389</v>
      </c>
      <c r="C1410" s="52">
        <f t="shared" ca="1" si="189"/>
        <v>2.7450685337495861</v>
      </c>
      <c r="D1410" s="53">
        <f t="shared" ca="1" si="190"/>
        <v>2769411734.9628534</v>
      </c>
      <c r="E1410" s="53">
        <f t="shared" ca="1" si="191"/>
        <v>10255471609632.137</v>
      </c>
      <c r="F1410" s="53">
        <f t="shared" ca="1" si="192"/>
        <v>5087067127245.6045</v>
      </c>
      <c r="G1410" s="53">
        <f t="shared" ca="1" si="193"/>
        <v>177072313631013.69</v>
      </c>
      <c r="H1410" s="53">
        <f t="shared" ca="1" si="194"/>
        <v>10255471609632.137</v>
      </c>
      <c r="I1410" s="53">
        <f t="shared" ca="1" si="195"/>
        <v>1336849141671.1807</v>
      </c>
      <c r="J1410" s="53">
        <f t="shared" ca="1" si="196"/>
        <v>976015750546.44873</v>
      </c>
      <c r="K1410" s="54">
        <f t="shared" ca="1" si="197"/>
        <v>1.3697003771944352</v>
      </c>
    </row>
    <row r="1411" spans="2:11" ht="15" customHeight="1" x14ac:dyDescent="0.35">
      <c r="B1411" s="5">
        <v>1390</v>
      </c>
      <c r="C1411" s="52">
        <f t="shared" ca="1" si="189"/>
        <v>3.014022849103168</v>
      </c>
      <c r="D1411" s="53">
        <f t="shared" ca="1" si="190"/>
        <v>5644797916.5936489</v>
      </c>
      <c r="E1411" s="53">
        <f t="shared" ca="1" si="191"/>
        <v>19144001295235.746</v>
      </c>
      <c r="F1411" s="53">
        <f t="shared" ca="1" si="192"/>
        <v>923525703515.51367</v>
      </c>
      <c r="G1411" s="53">
        <f t="shared" ca="1" si="193"/>
        <v>13557389855950.611</v>
      </c>
      <c r="H1411" s="53">
        <f t="shared" ca="1" si="194"/>
        <v>923525703515.51367</v>
      </c>
      <c r="I1411" s="53">
        <f t="shared" ca="1" si="195"/>
        <v>80056457986156.859</v>
      </c>
      <c r="J1411" s="53">
        <f t="shared" ca="1" si="196"/>
        <v>864274149015.75684</v>
      </c>
      <c r="K1411" s="54">
        <f t="shared" ca="1" si="197"/>
        <v>92.628546251586812</v>
      </c>
    </row>
    <row r="1412" spans="2:11" ht="15" customHeight="1" x14ac:dyDescent="0.35">
      <c r="B1412" s="5">
        <v>1391</v>
      </c>
      <c r="C1412" s="52">
        <f t="shared" ca="1" si="189"/>
        <v>2.2107771568495709</v>
      </c>
      <c r="D1412" s="53">
        <f t="shared" ca="1" si="190"/>
        <v>1188666656.9097142</v>
      </c>
      <c r="E1412" s="53">
        <f t="shared" ca="1" si="191"/>
        <v>2187595651131.4143</v>
      </c>
      <c r="F1412" s="53">
        <f t="shared" ca="1" si="192"/>
        <v>6978287189645.7676</v>
      </c>
      <c r="G1412" s="53">
        <f t="shared" ca="1" si="193"/>
        <v>1007220537630.0817</v>
      </c>
      <c r="H1412" s="53">
        <f t="shared" ca="1" si="194"/>
        <v>1007220537630.0817</v>
      </c>
      <c r="I1412" s="53">
        <f t="shared" ca="1" si="195"/>
        <v>9099538687326.1074</v>
      </c>
      <c r="J1412" s="53">
        <f t="shared" ca="1" si="196"/>
        <v>909951450491.09619</v>
      </c>
      <c r="K1412" s="54">
        <f t="shared" ca="1" si="197"/>
        <v>10.00002657550041</v>
      </c>
    </row>
    <row r="1413" spans="2:11" ht="15" customHeight="1" x14ac:dyDescent="0.35">
      <c r="B1413" s="5">
        <v>1392</v>
      </c>
      <c r="C1413" s="52">
        <f t="shared" ca="1" si="189"/>
        <v>3.3381533469470011</v>
      </c>
      <c r="D1413" s="53">
        <f t="shared" ca="1" si="190"/>
        <v>7485982625.7155418</v>
      </c>
      <c r="E1413" s="53">
        <f t="shared" ca="1" si="191"/>
        <v>58053780550433.828</v>
      </c>
      <c r="F1413" s="53">
        <f t="shared" ca="1" si="192"/>
        <v>13430890486999.934</v>
      </c>
      <c r="G1413" s="53">
        <f t="shared" ca="1" si="193"/>
        <v>16277467140199.016</v>
      </c>
      <c r="H1413" s="53">
        <f t="shared" ca="1" si="194"/>
        <v>13430890486999.934</v>
      </c>
      <c r="I1413" s="53">
        <f t="shared" ca="1" si="195"/>
        <v>8236809956134.1211</v>
      </c>
      <c r="J1413" s="53">
        <f t="shared" ca="1" si="196"/>
        <v>698965298158.59912</v>
      </c>
      <c r="K1413" s="54">
        <f t="shared" ca="1" si="197"/>
        <v>11.784290261381679</v>
      </c>
    </row>
    <row r="1414" spans="2:11" ht="15" customHeight="1" x14ac:dyDescent="0.35">
      <c r="B1414" s="5">
        <v>1393</v>
      </c>
      <c r="C1414" s="52">
        <f t="shared" ca="1" si="189"/>
        <v>3.1753025656941127</v>
      </c>
      <c r="D1414" s="53">
        <f t="shared" ca="1" si="190"/>
        <v>6670505679.0259924</v>
      </c>
      <c r="E1414" s="53">
        <f t="shared" ca="1" si="191"/>
        <v>21923159140955.336</v>
      </c>
      <c r="F1414" s="53">
        <f t="shared" ca="1" si="192"/>
        <v>3379594190757.166</v>
      </c>
      <c r="G1414" s="53">
        <f t="shared" ca="1" si="193"/>
        <v>8661579269110.7373</v>
      </c>
      <c r="H1414" s="53">
        <f t="shared" ca="1" si="194"/>
        <v>3379594190757.166</v>
      </c>
      <c r="I1414" s="53">
        <f t="shared" ca="1" si="195"/>
        <v>11902098924260.832</v>
      </c>
      <c r="J1414" s="53">
        <f t="shared" ca="1" si="196"/>
        <v>1259581352951.6472</v>
      </c>
      <c r="K1414" s="54">
        <f t="shared" ca="1" si="197"/>
        <v>9.4492498609716478</v>
      </c>
    </row>
    <row r="1415" spans="2:11" ht="15" customHeight="1" x14ac:dyDescent="0.35">
      <c r="B1415" s="5">
        <v>1394</v>
      </c>
      <c r="C1415" s="52">
        <f t="shared" ca="1" si="189"/>
        <v>2.8629167580120738</v>
      </c>
      <c r="D1415" s="53">
        <f t="shared" ca="1" si="190"/>
        <v>3324641159.3207717</v>
      </c>
      <c r="E1415" s="53">
        <f t="shared" ca="1" si="191"/>
        <v>4913393191070.1719</v>
      </c>
      <c r="F1415" s="53">
        <f t="shared" ca="1" si="192"/>
        <v>7169097655307.9521</v>
      </c>
      <c r="G1415" s="53">
        <f t="shared" ca="1" si="193"/>
        <v>1411828711095.25</v>
      </c>
      <c r="H1415" s="53">
        <f t="shared" ca="1" si="194"/>
        <v>7169097655307.9521</v>
      </c>
      <c r="I1415" s="53">
        <f t="shared" ca="1" si="195"/>
        <v>24188007167662.566</v>
      </c>
      <c r="J1415" s="53">
        <f t="shared" ca="1" si="196"/>
        <v>787551220747.45715</v>
      </c>
      <c r="K1415" s="54">
        <f t="shared" ca="1" si="197"/>
        <v>30.712932099458833</v>
      </c>
    </row>
    <row r="1416" spans="2:11" ht="15" customHeight="1" x14ac:dyDescent="0.35">
      <c r="B1416" s="5">
        <v>1395</v>
      </c>
      <c r="C1416" s="52">
        <f t="shared" ca="1" si="189"/>
        <v>2.988770951252786</v>
      </c>
      <c r="D1416" s="53">
        <f t="shared" ca="1" si="190"/>
        <v>5105239117.4333477</v>
      </c>
      <c r="E1416" s="53">
        <f t="shared" ca="1" si="191"/>
        <v>10738915755052.881</v>
      </c>
      <c r="F1416" s="53">
        <f t="shared" ca="1" si="192"/>
        <v>6943286112046.5742</v>
      </c>
      <c r="G1416" s="53">
        <f t="shared" ca="1" si="193"/>
        <v>2102860921576.2046</v>
      </c>
      <c r="H1416" s="53">
        <f t="shared" ca="1" si="194"/>
        <v>6943286112046.5742</v>
      </c>
      <c r="I1416" s="53">
        <f t="shared" ca="1" si="195"/>
        <v>1296788910501.8462</v>
      </c>
      <c r="J1416" s="53">
        <f t="shared" ca="1" si="196"/>
        <v>1142669174326.3765</v>
      </c>
      <c r="K1416" s="54">
        <f t="shared" ca="1" si="197"/>
        <v>1.1348769526983398</v>
      </c>
    </row>
    <row r="1417" spans="2:11" ht="15" customHeight="1" x14ac:dyDescent="0.35">
      <c r="B1417" s="5">
        <v>1396</v>
      </c>
      <c r="C1417" s="52">
        <f t="shared" ca="1" si="189"/>
        <v>3.2373153749419177</v>
      </c>
      <c r="D1417" s="53">
        <f t="shared" ca="1" si="190"/>
        <v>6127869015.2712679</v>
      </c>
      <c r="E1417" s="53">
        <f t="shared" ca="1" si="191"/>
        <v>14995213791448.408</v>
      </c>
      <c r="F1417" s="53">
        <f t="shared" ca="1" si="192"/>
        <v>4617459834521.2686</v>
      </c>
      <c r="G1417" s="53">
        <f t="shared" ca="1" si="193"/>
        <v>3067403079195.0771</v>
      </c>
      <c r="H1417" s="53">
        <f t="shared" ca="1" si="194"/>
        <v>4617459834521.2686</v>
      </c>
      <c r="I1417" s="53">
        <f t="shared" ca="1" si="195"/>
        <v>26023296018904.395</v>
      </c>
      <c r="J1417" s="53">
        <f t="shared" ca="1" si="196"/>
        <v>910672923190.10754</v>
      </c>
      <c r="K1417" s="54">
        <f t="shared" ca="1" si="197"/>
        <v>28.575897400950726</v>
      </c>
    </row>
    <row r="1418" spans="2:11" ht="15" customHeight="1" x14ac:dyDescent="0.35">
      <c r="B1418" s="5">
        <v>1397</v>
      </c>
      <c r="C1418" s="52">
        <f t="shared" ca="1" si="189"/>
        <v>3.0178982490183781</v>
      </c>
      <c r="D1418" s="53">
        <f t="shared" ca="1" si="190"/>
        <v>5021750536.5540819</v>
      </c>
      <c r="E1418" s="53">
        <f t="shared" ca="1" si="191"/>
        <v>62647769236066.484</v>
      </c>
      <c r="F1418" s="53">
        <f t="shared" ca="1" si="192"/>
        <v>1253230631838.0439</v>
      </c>
      <c r="G1418" s="53">
        <f t="shared" ca="1" si="193"/>
        <v>11218499953629.143</v>
      </c>
      <c r="H1418" s="53">
        <f t="shared" ca="1" si="194"/>
        <v>1253230631838.0439</v>
      </c>
      <c r="I1418" s="53">
        <f t="shared" ca="1" si="195"/>
        <v>742497830709.91479</v>
      </c>
      <c r="J1418" s="53">
        <f t="shared" ca="1" si="196"/>
        <v>992691400187.45618</v>
      </c>
      <c r="K1418" s="54">
        <f t="shared" ca="1" si="197"/>
        <v>0.74796440320698276</v>
      </c>
    </row>
    <row r="1419" spans="2:11" ht="15" customHeight="1" x14ac:dyDescent="0.35">
      <c r="B1419" s="5">
        <v>1398</v>
      </c>
      <c r="C1419" s="52">
        <f t="shared" ca="1" si="189"/>
        <v>3.3579270506293195</v>
      </c>
      <c r="D1419" s="53">
        <f t="shared" ca="1" si="190"/>
        <v>9233127767.0558319</v>
      </c>
      <c r="E1419" s="53">
        <f t="shared" ca="1" si="191"/>
        <v>57096402028402.648</v>
      </c>
      <c r="F1419" s="53">
        <f t="shared" ca="1" si="192"/>
        <v>4047658604207.6519</v>
      </c>
      <c r="G1419" s="53">
        <f t="shared" ca="1" si="193"/>
        <v>1565422539271.4692</v>
      </c>
      <c r="H1419" s="53">
        <f t="shared" ca="1" si="194"/>
        <v>57096402028402.648</v>
      </c>
      <c r="I1419" s="53">
        <f t="shared" ca="1" si="195"/>
        <v>21294130850115.367</v>
      </c>
      <c r="J1419" s="53">
        <f t="shared" ca="1" si="196"/>
        <v>1432857607328.2659</v>
      </c>
      <c r="K1419" s="54">
        <f t="shared" ca="1" si="197"/>
        <v>14.861302854664546</v>
      </c>
    </row>
    <row r="1420" spans="2:11" ht="15" customHeight="1" x14ac:dyDescent="0.35">
      <c r="B1420" s="5">
        <v>1399</v>
      </c>
      <c r="C1420" s="52">
        <f t="shared" ca="1" si="189"/>
        <v>3.3897681275752505</v>
      </c>
      <c r="D1420" s="53">
        <f t="shared" ca="1" si="190"/>
        <v>9427094377.3408108</v>
      </c>
      <c r="E1420" s="53">
        <f t="shared" ca="1" si="191"/>
        <v>40050363417643.734</v>
      </c>
      <c r="F1420" s="53">
        <f t="shared" ca="1" si="192"/>
        <v>5421250682063.46</v>
      </c>
      <c r="G1420" s="53">
        <f t="shared" ca="1" si="193"/>
        <v>116991962675999.33</v>
      </c>
      <c r="H1420" s="53">
        <f t="shared" ca="1" si="194"/>
        <v>40050363417643.734</v>
      </c>
      <c r="I1420" s="53">
        <f t="shared" ca="1" si="195"/>
        <v>7467388345199.7197</v>
      </c>
      <c r="J1420" s="53">
        <f t="shared" ca="1" si="196"/>
        <v>712974389609.50427</v>
      </c>
      <c r="K1420" s="54">
        <f t="shared" ca="1" si="197"/>
        <v>10.473571637390236</v>
      </c>
    </row>
    <row r="1421" spans="2:11" ht="15" customHeight="1" x14ac:dyDescent="0.35">
      <c r="B1421" s="5">
        <v>1400</v>
      </c>
      <c r="C1421" s="52">
        <f t="shared" ca="1" si="189"/>
        <v>3.6739729845364888</v>
      </c>
      <c r="D1421" s="53">
        <f t="shared" ca="1" si="190"/>
        <v>11349289418.781424</v>
      </c>
      <c r="E1421" s="53">
        <f t="shared" ca="1" si="191"/>
        <v>13811291499608.893</v>
      </c>
      <c r="F1421" s="53">
        <f t="shared" ca="1" si="192"/>
        <v>1696762315890.9468</v>
      </c>
      <c r="G1421" s="53">
        <f t="shared" ca="1" si="193"/>
        <v>7252804369700.0146</v>
      </c>
      <c r="H1421" s="53">
        <f t="shared" ca="1" si="194"/>
        <v>1696762315890.9468</v>
      </c>
      <c r="I1421" s="53">
        <f t="shared" ca="1" si="195"/>
        <v>3180708584032.4487</v>
      </c>
      <c r="J1421" s="53">
        <f t="shared" ca="1" si="196"/>
        <v>870584757111.80225</v>
      </c>
      <c r="K1421" s="54">
        <f t="shared" ca="1" si="197"/>
        <v>3.6535312134163358</v>
      </c>
    </row>
    <row r="1422" spans="2:11" ht="15" customHeight="1" x14ac:dyDescent="0.35">
      <c r="B1422" s="5">
        <v>1401</v>
      </c>
      <c r="C1422" s="52">
        <f t="shared" ca="1" si="189"/>
        <v>2.9099500739265474</v>
      </c>
      <c r="D1422" s="53">
        <f t="shared" ca="1" si="190"/>
        <v>3642866672.7647691</v>
      </c>
      <c r="E1422" s="53">
        <f t="shared" ca="1" si="191"/>
        <v>108390715276163.3</v>
      </c>
      <c r="F1422" s="53">
        <f t="shared" ca="1" si="192"/>
        <v>2754115889111.481</v>
      </c>
      <c r="G1422" s="53">
        <f t="shared" ca="1" si="193"/>
        <v>126272869456021.47</v>
      </c>
      <c r="H1422" s="53">
        <f t="shared" ca="1" si="194"/>
        <v>126272869456021.47</v>
      </c>
      <c r="I1422" s="53">
        <f t="shared" ca="1" si="195"/>
        <v>110618728965373.95</v>
      </c>
      <c r="J1422" s="53">
        <f t="shared" ca="1" si="196"/>
        <v>608511570154.88525</v>
      </c>
      <c r="K1422" s="54">
        <f t="shared" ca="1" si="197"/>
        <v>181.7857447430589</v>
      </c>
    </row>
    <row r="1423" spans="2:11" ht="15" customHeight="1" x14ac:dyDescent="0.35">
      <c r="B1423" s="5">
        <v>1402</v>
      </c>
      <c r="C1423" s="52">
        <f t="shared" ca="1" si="189"/>
        <v>3.07263128228688</v>
      </c>
      <c r="D1423" s="53">
        <f t="shared" ca="1" si="190"/>
        <v>5986706135.5722618</v>
      </c>
      <c r="E1423" s="53">
        <f t="shared" ca="1" si="191"/>
        <v>6075204529747.9551</v>
      </c>
      <c r="F1423" s="53">
        <f t="shared" ca="1" si="192"/>
        <v>24687853382537.141</v>
      </c>
      <c r="G1423" s="53">
        <f t="shared" ca="1" si="193"/>
        <v>968897070844.91724</v>
      </c>
      <c r="H1423" s="53">
        <f t="shared" ca="1" si="194"/>
        <v>6075204529747.9551</v>
      </c>
      <c r="I1423" s="53">
        <f t="shared" ca="1" si="195"/>
        <v>642746516755.47595</v>
      </c>
      <c r="J1423" s="53">
        <f t="shared" ca="1" si="196"/>
        <v>1638932712278.0044</v>
      </c>
      <c r="K1423" s="54">
        <f t="shared" ca="1" si="197"/>
        <v>0.39217382869983858</v>
      </c>
    </row>
    <row r="1424" spans="2:11" ht="15" customHeight="1" x14ac:dyDescent="0.35">
      <c r="B1424" s="5">
        <v>1403</v>
      </c>
      <c r="C1424" s="52">
        <f t="shared" ca="1" si="189"/>
        <v>3.1837613979577157</v>
      </c>
      <c r="D1424" s="53">
        <f t="shared" ca="1" si="190"/>
        <v>7264240609.1863499</v>
      </c>
      <c r="E1424" s="53">
        <f t="shared" ca="1" si="191"/>
        <v>92467233849609</v>
      </c>
      <c r="F1424" s="53">
        <f t="shared" ca="1" si="192"/>
        <v>2345693619657.9893</v>
      </c>
      <c r="G1424" s="53">
        <f t="shared" ca="1" si="193"/>
        <v>9104298449690.5723</v>
      </c>
      <c r="H1424" s="53">
        <f t="shared" ca="1" si="194"/>
        <v>2345693619657.9893</v>
      </c>
      <c r="I1424" s="53">
        <f t="shared" ca="1" si="195"/>
        <v>32008842347015.637</v>
      </c>
      <c r="J1424" s="53">
        <f t="shared" ca="1" si="196"/>
        <v>1555110464332.9182</v>
      </c>
      <c r="K1424" s="54">
        <f t="shared" ca="1" si="197"/>
        <v>20.583002353306252</v>
      </c>
    </row>
    <row r="1425" spans="2:11" ht="15" customHeight="1" x14ac:dyDescent="0.35">
      <c r="B1425" s="5">
        <v>1404</v>
      </c>
      <c r="C1425" s="52">
        <f t="shared" ca="1" si="189"/>
        <v>2.399720407893708</v>
      </c>
      <c r="D1425" s="53">
        <f t="shared" ca="1" si="190"/>
        <v>1468877674.7941182</v>
      </c>
      <c r="E1425" s="53">
        <f t="shared" ca="1" si="191"/>
        <v>7211764479176.625</v>
      </c>
      <c r="F1425" s="53">
        <f t="shared" ca="1" si="192"/>
        <v>589252949805.3512</v>
      </c>
      <c r="G1425" s="53">
        <f t="shared" ca="1" si="193"/>
        <v>4308955966270.2397</v>
      </c>
      <c r="H1425" s="53">
        <f t="shared" ca="1" si="194"/>
        <v>4308955966270.2397</v>
      </c>
      <c r="I1425" s="53">
        <f t="shared" ca="1" si="195"/>
        <v>755384230880.22314</v>
      </c>
      <c r="J1425" s="53">
        <f t="shared" ca="1" si="196"/>
        <v>1251633408126.9216</v>
      </c>
      <c r="K1425" s="54">
        <f t="shared" ca="1" si="197"/>
        <v>0.60351875075838779</v>
      </c>
    </row>
    <row r="1426" spans="2:11" ht="15" customHeight="1" x14ac:dyDescent="0.35">
      <c r="B1426" s="5">
        <v>1405</v>
      </c>
      <c r="C1426" s="52">
        <f t="shared" ca="1" si="189"/>
        <v>2.8146512348438777</v>
      </c>
      <c r="D1426" s="53">
        <f t="shared" ca="1" si="190"/>
        <v>2867034954.7560148</v>
      </c>
      <c r="E1426" s="53">
        <f t="shared" ca="1" si="191"/>
        <v>9768257867946.0957</v>
      </c>
      <c r="F1426" s="53">
        <f t="shared" ca="1" si="192"/>
        <v>3666077761126.7925</v>
      </c>
      <c r="G1426" s="53">
        <f t="shared" ca="1" si="193"/>
        <v>349311769137.46643</v>
      </c>
      <c r="H1426" s="53">
        <f t="shared" ca="1" si="194"/>
        <v>3666077761126.7925</v>
      </c>
      <c r="I1426" s="53">
        <f t="shared" ca="1" si="195"/>
        <v>12452700900171.299</v>
      </c>
      <c r="J1426" s="53">
        <f t="shared" ca="1" si="196"/>
        <v>1238028945146.043</v>
      </c>
      <c r="K1426" s="54">
        <f t="shared" ca="1" si="197"/>
        <v>10.058489301881652</v>
      </c>
    </row>
    <row r="1427" spans="2:11" ht="15" customHeight="1" x14ac:dyDescent="0.35">
      <c r="B1427" s="5">
        <v>1406</v>
      </c>
      <c r="C1427" s="52">
        <f t="shared" ca="1" si="189"/>
        <v>3.0000651001290857</v>
      </c>
      <c r="D1427" s="53">
        <f t="shared" ca="1" si="190"/>
        <v>5342149147.3358717</v>
      </c>
      <c r="E1427" s="53">
        <f t="shared" ca="1" si="191"/>
        <v>42165229119307.633</v>
      </c>
      <c r="F1427" s="53">
        <f t="shared" ca="1" si="192"/>
        <v>5272215737370.791</v>
      </c>
      <c r="G1427" s="53">
        <f t="shared" ca="1" si="193"/>
        <v>32442350390193.941</v>
      </c>
      <c r="H1427" s="53">
        <f t="shared" ca="1" si="194"/>
        <v>32442350390193.941</v>
      </c>
      <c r="I1427" s="53">
        <f t="shared" ca="1" si="195"/>
        <v>2644136349530.2808</v>
      </c>
      <c r="J1427" s="53">
        <f t="shared" ca="1" si="196"/>
        <v>1048157743695.7205</v>
      </c>
      <c r="K1427" s="54">
        <f t="shared" ca="1" si="197"/>
        <v>2.5226511614628415</v>
      </c>
    </row>
    <row r="1428" spans="2:11" ht="15" customHeight="1" x14ac:dyDescent="0.35">
      <c r="B1428" s="5">
        <v>1407</v>
      </c>
      <c r="C1428" s="52">
        <f t="shared" ca="1" si="189"/>
        <v>3.6134115396444653</v>
      </c>
      <c r="D1428" s="53">
        <f t="shared" ca="1" si="190"/>
        <v>10121499457.231113</v>
      </c>
      <c r="E1428" s="53">
        <f t="shared" ca="1" si="191"/>
        <v>12774519000666.363</v>
      </c>
      <c r="F1428" s="53">
        <f t="shared" ca="1" si="192"/>
        <v>2907357630440.019</v>
      </c>
      <c r="G1428" s="53">
        <f t="shared" ca="1" si="193"/>
        <v>5019047965815.0713</v>
      </c>
      <c r="H1428" s="53">
        <f t="shared" ca="1" si="194"/>
        <v>5019047965815.0713</v>
      </c>
      <c r="I1428" s="53">
        <f t="shared" ca="1" si="195"/>
        <v>16507087591940.914</v>
      </c>
      <c r="J1428" s="53">
        <f t="shared" ca="1" si="196"/>
        <v>1126666400696.6306</v>
      </c>
      <c r="K1428" s="54">
        <f t="shared" ca="1" si="197"/>
        <v>14.651264634974821</v>
      </c>
    </row>
    <row r="1429" spans="2:11" ht="15" customHeight="1" x14ac:dyDescent="0.35">
      <c r="B1429" s="5">
        <v>1408</v>
      </c>
      <c r="C1429" s="52">
        <f t="shared" ca="1" si="189"/>
        <v>3.15751071821134</v>
      </c>
      <c r="D1429" s="53">
        <f t="shared" ca="1" si="190"/>
        <v>6064047155.0507965</v>
      </c>
      <c r="E1429" s="53">
        <f t="shared" ca="1" si="191"/>
        <v>87136034663279.078</v>
      </c>
      <c r="F1429" s="53">
        <f t="shared" ca="1" si="192"/>
        <v>2582264129747.2368</v>
      </c>
      <c r="G1429" s="53">
        <f t="shared" ca="1" si="193"/>
        <v>19417445441779.18</v>
      </c>
      <c r="H1429" s="53">
        <f t="shared" ca="1" si="194"/>
        <v>19417445441779.18</v>
      </c>
      <c r="I1429" s="53">
        <f t="shared" ca="1" si="195"/>
        <v>9765265702898.6172</v>
      </c>
      <c r="J1429" s="53">
        <f t="shared" ca="1" si="196"/>
        <v>1140484617651.7786</v>
      </c>
      <c r="K1429" s="54">
        <f t="shared" ca="1" si="197"/>
        <v>8.5623826501097291</v>
      </c>
    </row>
    <row r="1430" spans="2:11" ht="15" customHeight="1" x14ac:dyDescent="0.35">
      <c r="B1430" s="5">
        <v>1409</v>
      </c>
      <c r="C1430" s="52">
        <f t="shared" ref="C1430:C1493" ca="1" si="198">MEDIAN(1.8,NORMINV(RAND(),$C$7,$D$7),4.5)</f>
        <v>2.8737791324831492</v>
      </c>
      <c r="D1430" s="53">
        <f t="shared" ref="D1430:D1493" ca="1" si="199">($C$8+RAND()*($D$8-$C$8))*C1430^5</f>
        <v>3464024037.1618586</v>
      </c>
      <c r="E1430" s="53">
        <f t="shared" ref="E1430:E1493" ca="1" si="200">D1430*($C$10+RAND()*($D$10-$C$10))*EXP(NORMINV(RAND(),$C$9,$D$9))*($C$11+RAND()*($D$11-$C$11))</f>
        <v>27996064108708.371</v>
      </c>
      <c r="F1430" s="53">
        <f t="shared" ref="F1430:F1493" ca="1" si="201">EXP(NORMINV(RAND(),$C$12,$D$12))*EXP(NORMINV(RAND(),$C$13,$D$13))</f>
        <v>460763013450.41498</v>
      </c>
      <c r="G1430" s="53">
        <f t="shared" ref="G1430:G1493" ca="1" si="202">EXP(NORMINV(RAND(),$C$14,$D$14))*($C$15+RAND()*($D$15-$C$15))*EXP(NORMINV(RAND(),$C$16,$D$16))/1000000*31536000</f>
        <v>6990351275796.209</v>
      </c>
      <c r="H1430" s="53">
        <f t="shared" ref="H1430:H1493" ca="1" si="203">CHOOSE(RANDBETWEEN(1,3),E1430,F1430,G1430)</f>
        <v>6990351275796.209</v>
      </c>
      <c r="I1430" s="53">
        <f t="shared" ref="I1430:I1493" ca="1" si="204">EXP(NORMINV(RAND(),$C$14,$D$14))*($C$15+RAND()*($D$15-$C$15))*60</f>
        <v>8455964201741.376</v>
      </c>
      <c r="J1430" s="53">
        <f t="shared" ref="J1430:J1493" ca="1" si="205">($C$17+RAND()*($D$17-$C$17))*($C$18+RAND()*($D$18-$C$18))</f>
        <v>878921283737.20837</v>
      </c>
      <c r="K1430" s="54">
        <f t="shared" ref="K1430:K1493" ca="1" si="206">I1430/J1430</f>
        <v>9.6208435933947101</v>
      </c>
    </row>
    <row r="1431" spans="2:11" ht="15" customHeight="1" x14ac:dyDescent="0.35">
      <c r="B1431" s="5">
        <v>1410</v>
      </c>
      <c r="C1431" s="52">
        <f t="shared" ca="1" si="198"/>
        <v>2.4384794779164047</v>
      </c>
      <c r="D1431" s="53">
        <f t="shared" ca="1" si="199"/>
        <v>2063948107.8249409</v>
      </c>
      <c r="E1431" s="53">
        <f t="shared" ca="1" si="200"/>
        <v>4568646089587.2549</v>
      </c>
      <c r="F1431" s="53">
        <f t="shared" ca="1" si="201"/>
        <v>1426567324511.542</v>
      </c>
      <c r="G1431" s="53">
        <f t="shared" ca="1" si="202"/>
        <v>1869533834806.2766</v>
      </c>
      <c r="H1431" s="53">
        <f t="shared" ca="1" si="203"/>
        <v>4568646089587.2549</v>
      </c>
      <c r="I1431" s="53">
        <f t="shared" ca="1" si="204"/>
        <v>8929529883404.1895</v>
      </c>
      <c r="J1431" s="53">
        <f t="shared" ca="1" si="205"/>
        <v>1098493354236.2828</v>
      </c>
      <c r="K1431" s="54">
        <f t="shared" ca="1" si="206"/>
        <v>8.128888398794512</v>
      </c>
    </row>
    <row r="1432" spans="2:11" ht="15" customHeight="1" x14ac:dyDescent="0.35">
      <c r="B1432" s="5">
        <v>1411</v>
      </c>
      <c r="C1432" s="52">
        <f t="shared" ca="1" si="198"/>
        <v>2.6214901665113493</v>
      </c>
      <c r="D1432" s="53">
        <f t="shared" ca="1" si="199"/>
        <v>2505568723.8825312</v>
      </c>
      <c r="E1432" s="53">
        <f t="shared" ca="1" si="200"/>
        <v>6225592731785.249</v>
      </c>
      <c r="F1432" s="53">
        <f t="shared" ca="1" si="201"/>
        <v>1325256769426.374</v>
      </c>
      <c r="G1432" s="53">
        <f t="shared" ca="1" si="202"/>
        <v>9845922030306.2051</v>
      </c>
      <c r="H1432" s="53">
        <f t="shared" ca="1" si="203"/>
        <v>6225592731785.249</v>
      </c>
      <c r="I1432" s="53">
        <f t="shared" ca="1" si="204"/>
        <v>6192403171162.5791</v>
      </c>
      <c r="J1432" s="53">
        <f t="shared" ca="1" si="205"/>
        <v>542401241393.92938</v>
      </c>
      <c r="K1432" s="54">
        <f t="shared" ca="1" si="206"/>
        <v>11.416646383862581</v>
      </c>
    </row>
    <row r="1433" spans="2:11" ht="15" customHeight="1" x14ac:dyDescent="0.35">
      <c r="B1433" s="5">
        <v>1412</v>
      </c>
      <c r="C1433" s="52">
        <f t="shared" ca="1" si="198"/>
        <v>2.6691786720798398</v>
      </c>
      <c r="D1433" s="53">
        <f t="shared" ca="1" si="199"/>
        <v>3034115164.3679447</v>
      </c>
      <c r="E1433" s="53">
        <f t="shared" ca="1" si="200"/>
        <v>2997367363345.6055</v>
      </c>
      <c r="F1433" s="53">
        <f t="shared" ca="1" si="201"/>
        <v>1969304164258.5867</v>
      </c>
      <c r="G1433" s="53">
        <f t="shared" ca="1" si="202"/>
        <v>80644447978384.234</v>
      </c>
      <c r="H1433" s="53">
        <f t="shared" ca="1" si="203"/>
        <v>2997367363345.6055</v>
      </c>
      <c r="I1433" s="53">
        <f t="shared" ca="1" si="204"/>
        <v>3674846085369.2627</v>
      </c>
      <c r="J1433" s="53">
        <f t="shared" ca="1" si="205"/>
        <v>500473602144.04626</v>
      </c>
      <c r="K1433" s="54">
        <f t="shared" ca="1" si="206"/>
        <v>7.3427370986723268</v>
      </c>
    </row>
    <row r="1434" spans="2:11" ht="15" customHeight="1" x14ac:dyDescent="0.35">
      <c r="B1434" s="5">
        <v>1413</v>
      </c>
      <c r="C1434" s="52">
        <f t="shared" ca="1" si="198"/>
        <v>2.4871862158600138</v>
      </c>
      <c r="D1434" s="53">
        <f t="shared" ca="1" si="199"/>
        <v>2134718267.5401375</v>
      </c>
      <c r="E1434" s="53">
        <f t="shared" ca="1" si="200"/>
        <v>8559746935131.0967</v>
      </c>
      <c r="F1434" s="53">
        <f t="shared" ca="1" si="201"/>
        <v>1938079907373.9646</v>
      </c>
      <c r="G1434" s="53">
        <f t="shared" ca="1" si="202"/>
        <v>4958207487145.7051</v>
      </c>
      <c r="H1434" s="53">
        <f t="shared" ca="1" si="203"/>
        <v>8559746935131.0967</v>
      </c>
      <c r="I1434" s="53">
        <f t="shared" ca="1" si="204"/>
        <v>3518677713810.603</v>
      </c>
      <c r="J1434" s="53">
        <f t="shared" ca="1" si="205"/>
        <v>921686669933.5033</v>
      </c>
      <c r="K1434" s="54">
        <f t="shared" ca="1" si="206"/>
        <v>3.8176506491782769</v>
      </c>
    </row>
    <row r="1435" spans="2:11" ht="15" customHeight="1" x14ac:dyDescent="0.35">
      <c r="B1435" s="5">
        <v>1414</v>
      </c>
      <c r="C1435" s="52">
        <f t="shared" ca="1" si="198"/>
        <v>2.8678004504213561</v>
      </c>
      <c r="D1435" s="53">
        <f t="shared" ca="1" si="199"/>
        <v>3491982475.3835158</v>
      </c>
      <c r="E1435" s="53">
        <f t="shared" ca="1" si="200"/>
        <v>9363297503869.8184</v>
      </c>
      <c r="F1435" s="53">
        <f t="shared" ca="1" si="201"/>
        <v>25816659270493.367</v>
      </c>
      <c r="G1435" s="53">
        <f t="shared" ca="1" si="202"/>
        <v>56825705570292.109</v>
      </c>
      <c r="H1435" s="53">
        <f t="shared" ca="1" si="203"/>
        <v>25816659270493.367</v>
      </c>
      <c r="I1435" s="53">
        <f t="shared" ca="1" si="204"/>
        <v>15852310418194.928</v>
      </c>
      <c r="J1435" s="53">
        <f t="shared" ca="1" si="205"/>
        <v>1110179547093.3701</v>
      </c>
      <c r="K1435" s="54">
        <f t="shared" ca="1" si="206"/>
        <v>14.279051041517423</v>
      </c>
    </row>
    <row r="1436" spans="2:11" ht="15" customHeight="1" x14ac:dyDescent="0.35">
      <c r="B1436" s="5">
        <v>1415</v>
      </c>
      <c r="C1436" s="52">
        <f t="shared" ca="1" si="198"/>
        <v>3.2482292564165229</v>
      </c>
      <c r="D1436" s="53">
        <f t="shared" ca="1" si="199"/>
        <v>8122287502.0570517</v>
      </c>
      <c r="E1436" s="53">
        <f t="shared" ca="1" si="200"/>
        <v>70927937310067</v>
      </c>
      <c r="F1436" s="53">
        <f t="shared" ca="1" si="201"/>
        <v>655787338916.52966</v>
      </c>
      <c r="G1436" s="53">
        <f t="shared" ca="1" si="202"/>
        <v>30065130815576.754</v>
      </c>
      <c r="H1436" s="53">
        <f t="shared" ca="1" si="203"/>
        <v>655787338916.52966</v>
      </c>
      <c r="I1436" s="53">
        <f t="shared" ca="1" si="204"/>
        <v>26896214182997.215</v>
      </c>
      <c r="J1436" s="53">
        <f t="shared" ca="1" si="205"/>
        <v>964472297759.12671</v>
      </c>
      <c r="K1436" s="54">
        <f t="shared" ca="1" si="206"/>
        <v>27.886974302412202</v>
      </c>
    </row>
    <row r="1437" spans="2:11" ht="15" customHeight="1" x14ac:dyDescent="0.35">
      <c r="B1437" s="5">
        <v>1416</v>
      </c>
      <c r="C1437" s="52">
        <f t="shared" ca="1" si="198"/>
        <v>2.4564824638304374</v>
      </c>
      <c r="D1437" s="53">
        <f t="shared" ca="1" si="199"/>
        <v>1548676495.2231934</v>
      </c>
      <c r="E1437" s="53">
        <f t="shared" ca="1" si="200"/>
        <v>10111927045090.729</v>
      </c>
      <c r="F1437" s="53">
        <f t="shared" ca="1" si="201"/>
        <v>3841426569740.3125</v>
      </c>
      <c r="G1437" s="53">
        <f t="shared" ca="1" si="202"/>
        <v>8947464678027.8828</v>
      </c>
      <c r="H1437" s="53">
        <f t="shared" ca="1" si="203"/>
        <v>3841426569740.3125</v>
      </c>
      <c r="I1437" s="53">
        <f t="shared" ca="1" si="204"/>
        <v>5814463069757.0361</v>
      </c>
      <c r="J1437" s="53">
        <f t="shared" ca="1" si="205"/>
        <v>727440717047.40259</v>
      </c>
      <c r="K1437" s="54">
        <f t="shared" ca="1" si="206"/>
        <v>7.9930404409547853</v>
      </c>
    </row>
    <row r="1438" spans="2:11" ht="15" customHeight="1" x14ac:dyDescent="0.35">
      <c r="B1438" s="5">
        <v>1417</v>
      </c>
      <c r="C1438" s="52">
        <f t="shared" ca="1" si="198"/>
        <v>3.0142231235165644</v>
      </c>
      <c r="D1438" s="53">
        <f t="shared" ca="1" si="199"/>
        <v>4215732086.5259748</v>
      </c>
      <c r="E1438" s="53">
        <f t="shared" ca="1" si="200"/>
        <v>5237332435708.1855</v>
      </c>
      <c r="F1438" s="53">
        <f t="shared" ca="1" si="201"/>
        <v>4332001804512.6831</v>
      </c>
      <c r="G1438" s="53">
        <f t="shared" ca="1" si="202"/>
        <v>2736600570541.1978</v>
      </c>
      <c r="H1438" s="53">
        <f t="shared" ca="1" si="203"/>
        <v>5237332435708.1855</v>
      </c>
      <c r="I1438" s="53">
        <f t="shared" ca="1" si="204"/>
        <v>20100841442921.941</v>
      </c>
      <c r="J1438" s="53">
        <f t="shared" ca="1" si="205"/>
        <v>1160035025714.3989</v>
      </c>
      <c r="K1438" s="54">
        <f t="shared" ca="1" si="206"/>
        <v>17.327788383409363</v>
      </c>
    </row>
    <row r="1439" spans="2:11" ht="15" customHeight="1" x14ac:dyDescent="0.35">
      <c r="B1439" s="5">
        <v>1418</v>
      </c>
      <c r="C1439" s="52">
        <f t="shared" ca="1" si="198"/>
        <v>2.9058389470114654</v>
      </c>
      <c r="D1439" s="53">
        <f t="shared" ca="1" si="199"/>
        <v>3921663505.4089322</v>
      </c>
      <c r="E1439" s="53">
        <f t="shared" ca="1" si="200"/>
        <v>3506443107705.1802</v>
      </c>
      <c r="F1439" s="53">
        <f t="shared" ca="1" si="201"/>
        <v>10036295762531.439</v>
      </c>
      <c r="G1439" s="53">
        <f t="shared" ca="1" si="202"/>
        <v>2478874188062.8071</v>
      </c>
      <c r="H1439" s="53">
        <f t="shared" ca="1" si="203"/>
        <v>10036295762531.439</v>
      </c>
      <c r="I1439" s="53">
        <f t="shared" ca="1" si="204"/>
        <v>5049935505202.4346</v>
      </c>
      <c r="J1439" s="53">
        <f t="shared" ca="1" si="205"/>
        <v>1000542413005.5269</v>
      </c>
      <c r="K1439" s="54">
        <f t="shared" ca="1" si="206"/>
        <v>5.0471978394528483</v>
      </c>
    </row>
    <row r="1440" spans="2:11" ht="15" customHeight="1" x14ac:dyDescent="0.35">
      <c r="B1440" s="5">
        <v>1419</v>
      </c>
      <c r="C1440" s="52">
        <f t="shared" ca="1" si="198"/>
        <v>3.3363564254036806</v>
      </c>
      <c r="D1440" s="53">
        <f t="shared" ca="1" si="199"/>
        <v>9578396375.9893589</v>
      </c>
      <c r="E1440" s="53">
        <f t="shared" ca="1" si="200"/>
        <v>115001590480245</v>
      </c>
      <c r="F1440" s="53">
        <f t="shared" ca="1" si="201"/>
        <v>23783647956649.129</v>
      </c>
      <c r="G1440" s="53">
        <f t="shared" ca="1" si="202"/>
        <v>2297988052522.8296</v>
      </c>
      <c r="H1440" s="53">
        <f t="shared" ca="1" si="203"/>
        <v>2297988052522.8296</v>
      </c>
      <c r="I1440" s="53">
        <f t="shared" ca="1" si="204"/>
        <v>3984972414429.8193</v>
      </c>
      <c r="J1440" s="53">
        <f t="shared" ca="1" si="205"/>
        <v>1222143879358.4607</v>
      </c>
      <c r="K1440" s="54">
        <f t="shared" ca="1" si="206"/>
        <v>3.260640978312348</v>
      </c>
    </row>
    <row r="1441" spans="2:11" ht="15" customHeight="1" x14ac:dyDescent="0.35">
      <c r="B1441" s="5">
        <v>1420</v>
      </c>
      <c r="C1441" s="52">
        <f t="shared" ca="1" si="198"/>
        <v>2.9783743955953019</v>
      </c>
      <c r="D1441" s="53">
        <f t="shared" ca="1" si="199"/>
        <v>5458035973.9214172</v>
      </c>
      <c r="E1441" s="53">
        <f t="shared" ca="1" si="200"/>
        <v>31333831397745.645</v>
      </c>
      <c r="F1441" s="53">
        <f t="shared" ca="1" si="201"/>
        <v>5692188965739.7285</v>
      </c>
      <c r="G1441" s="53">
        <f t="shared" ca="1" si="202"/>
        <v>3051055743492.3462</v>
      </c>
      <c r="H1441" s="53">
        <f t="shared" ca="1" si="203"/>
        <v>31333831397745.645</v>
      </c>
      <c r="I1441" s="53">
        <f t="shared" ca="1" si="204"/>
        <v>39576941608882.641</v>
      </c>
      <c r="J1441" s="53">
        <f t="shared" ca="1" si="205"/>
        <v>903311007937.72217</v>
      </c>
      <c r="K1441" s="54">
        <f t="shared" ca="1" si="206"/>
        <v>43.813195301624432</v>
      </c>
    </row>
    <row r="1442" spans="2:11" ht="15" customHeight="1" x14ac:dyDescent="0.35">
      <c r="B1442" s="5">
        <v>1421</v>
      </c>
      <c r="C1442" s="52">
        <f t="shared" ca="1" si="198"/>
        <v>2.9640706048834873</v>
      </c>
      <c r="D1442" s="53">
        <f t="shared" ca="1" si="199"/>
        <v>3762857902.4886551</v>
      </c>
      <c r="E1442" s="53">
        <f t="shared" ca="1" si="200"/>
        <v>6109680154672.0371</v>
      </c>
      <c r="F1442" s="53">
        <f t="shared" ca="1" si="201"/>
        <v>180866494804.40292</v>
      </c>
      <c r="G1442" s="53">
        <f t="shared" ca="1" si="202"/>
        <v>16873989725160.826</v>
      </c>
      <c r="H1442" s="53">
        <f t="shared" ca="1" si="203"/>
        <v>180866494804.40292</v>
      </c>
      <c r="I1442" s="53">
        <f t="shared" ca="1" si="204"/>
        <v>1832949142365.636</v>
      </c>
      <c r="J1442" s="53">
        <f t="shared" ca="1" si="205"/>
        <v>580545647468.11707</v>
      </c>
      <c r="K1442" s="54">
        <f t="shared" ca="1" si="206"/>
        <v>3.157286856528021</v>
      </c>
    </row>
    <row r="1443" spans="2:11" ht="15" customHeight="1" x14ac:dyDescent="0.35">
      <c r="B1443" s="5">
        <v>1422</v>
      </c>
      <c r="C1443" s="52">
        <f t="shared" ca="1" si="198"/>
        <v>2.985479214572218</v>
      </c>
      <c r="D1443" s="53">
        <f t="shared" ca="1" si="199"/>
        <v>5519301779.4094315</v>
      </c>
      <c r="E1443" s="53">
        <f t="shared" ca="1" si="200"/>
        <v>91075747782520.359</v>
      </c>
      <c r="F1443" s="53">
        <f t="shared" ca="1" si="201"/>
        <v>7500713627063.4395</v>
      </c>
      <c r="G1443" s="53">
        <f t="shared" ca="1" si="202"/>
        <v>8977219116643.1797</v>
      </c>
      <c r="H1443" s="53">
        <f t="shared" ca="1" si="203"/>
        <v>8977219116643.1797</v>
      </c>
      <c r="I1443" s="53">
        <f t="shared" ca="1" si="204"/>
        <v>85635538634002.063</v>
      </c>
      <c r="J1443" s="53">
        <f t="shared" ca="1" si="205"/>
        <v>1394714209025.6536</v>
      </c>
      <c r="K1443" s="54">
        <f t="shared" ca="1" si="206"/>
        <v>61.400061804652431</v>
      </c>
    </row>
    <row r="1444" spans="2:11" ht="15" customHeight="1" x14ac:dyDescent="0.35">
      <c r="B1444" s="5">
        <v>1423</v>
      </c>
      <c r="C1444" s="52">
        <f t="shared" ca="1" si="198"/>
        <v>2.1377143962968383</v>
      </c>
      <c r="D1444" s="53">
        <f t="shared" ca="1" si="199"/>
        <v>1046181752.3813194</v>
      </c>
      <c r="E1444" s="53">
        <f t="shared" ca="1" si="200"/>
        <v>9283142885406.7539</v>
      </c>
      <c r="F1444" s="53">
        <f t="shared" ca="1" si="201"/>
        <v>2868482041553.9873</v>
      </c>
      <c r="G1444" s="53">
        <f t="shared" ca="1" si="202"/>
        <v>5069280684223.8887</v>
      </c>
      <c r="H1444" s="53">
        <f t="shared" ca="1" si="203"/>
        <v>9283142885406.7539</v>
      </c>
      <c r="I1444" s="53">
        <f t="shared" ca="1" si="204"/>
        <v>1404999950188.0244</v>
      </c>
      <c r="J1444" s="53">
        <f t="shared" ca="1" si="205"/>
        <v>1460138509319.3455</v>
      </c>
      <c r="K1444" s="54">
        <f t="shared" ca="1" si="206"/>
        <v>0.96223744611939299</v>
      </c>
    </row>
    <row r="1445" spans="2:11" ht="15" customHeight="1" x14ac:dyDescent="0.35">
      <c r="B1445" s="5">
        <v>1424</v>
      </c>
      <c r="C1445" s="52">
        <f t="shared" ca="1" si="198"/>
        <v>2.5050862181649389</v>
      </c>
      <c r="D1445" s="53">
        <f t="shared" ca="1" si="199"/>
        <v>2298709036.0985818</v>
      </c>
      <c r="E1445" s="53">
        <f t="shared" ca="1" si="200"/>
        <v>7578010160522.4785</v>
      </c>
      <c r="F1445" s="53">
        <f t="shared" ca="1" si="201"/>
        <v>4358101680815.041</v>
      </c>
      <c r="G1445" s="53">
        <f t="shared" ca="1" si="202"/>
        <v>5040620533092.5859</v>
      </c>
      <c r="H1445" s="53">
        <f t="shared" ca="1" si="203"/>
        <v>4358101680815.041</v>
      </c>
      <c r="I1445" s="53">
        <f t="shared" ca="1" si="204"/>
        <v>52880783193560.234</v>
      </c>
      <c r="J1445" s="53">
        <f t="shared" ca="1" si="205"/>
        <v>1505600268395.4001</v>
      </c>
      <c r="K1445" s="54">
        <f t="shared" ca="1" si="206"/>
        <v>35.122724340317866</v>
      </c>
    </row>
    <row r="1446" spans="2:11" ht="15" customHeight="1" x14ac:dyDescent="0.35">
      <c r="B1446" s="5">
        <v>1425</v>
      </c>
      <c r="C1446" s="52">
        <f t="shared" ca="1" si="198"/>
        <v>2.8846281523295314</v>
      </c>
      <c r="D1446" s="53">
        <f t="shared" ca="1" si="199"/>
        <v>4517607849.8297453</v>
      </c>
      <c r="E1446" s="53">
        <f t="shared" ca="1" si="200"/>
        <v>20834683187534.793</v>
      </c>
      <c r="F1446" s="53">
        <f t="shared" ca="1" si="201"/>
        <v>6832255298801.1006</v>
      </c>
      <c r="G1446" s="53">
        <f t="shared" ca="1" si="202"/>
        <v>1805330916099.9255</v>
      </c>
      <c r="H1446" s="53">
        <f t="shared" ca="1" si="203"/>
        <v>20834683187534.793</v>
      </c>
      <c r="I1446" s="53">
        <f t="shared" ca="1" si="204"/>
        <v>92879489430571.609</v>
      </c>
      <c r="J1446" s="53">
        <f t="shared" ca="1" si="205"/>
        <v>1002282617632.6406</v>
      </c>
      <c r="K1446" s="54">
        <f t="shared" ca="1" si="206"/>
        <v>92.667963902187566</v>
      </c>
    </row>
    <row r="1447" spans="2:11" ht="15" customHeight="1" x14ac:dyDescent="0.35">
      <c r="B1447" s="5">
        <v>1426</v>
      </c>
      <c r="C1447" s="52">
        <f t="shared" ca="1" si="198"/>
        <v>3.8890977355699423</v>
      </c>
      <c r="D1447" s="53">
        <f t="shared" ca="1" si="199"/>
        <v>20864132546.437546</v>
      </c>
      <c r="E1447" s="53">
        <f t="shared" ca="1" si="200"/>
        <v>32771420353228.543</v>
      </c>
      <c r="F1447" s="53">
        <f t="shared" ca="1" si="201"/>
        <v>801140196921.3429</v>
      </c>
      <c r="G1447" s="53">
        <f t="shared" ca="1" si="202"/>
        <v>11217869916611.461</v>
      </c>
      <c r="H1447" s="53">
        <f t="shared" ca="1" si="203"/>
        <v>32771420353228.543</v>
      </c>
      <c r="I1447" s="53">
        <f t="shared" ca="1" si="204"/>
        <v>5220880708295.4912</v>
      </c>
      <c r="J1447" s="53">
        <f t="shared" ca="1" si="205"/>
        <v>482656106109.02679</v>
      </c>
      <c r="K1447" s="54">
        <f t="shared" ca="1" si="206"/>
        <v>10.81697847020742</v>
      </c>
    </row>
    <row r="1448" spans="2:11" ht="15" customHeight="1" x14ac:dyDescent="0.35">
      <c r="B1448" s="5">
        <v>1427</v>
      </c>
      <c r="C1448" s="52">
        <f t="shared" ca="1" si="198"/>
        <v>3.324989970749483</v>
      </c>
      <c r="D1448" s="53">
        <f t="shared" ca="1" si="199"/>
        <v>7183441110.0325832</v>
      </c>
      <c r="E1448" s="53">
        <f t="shared" ca="1" si="200"/>
        <v>12236727734654.475</v>
      </c>
      <c r="F1448" s="53">
        <f t="shared" ca="1" si="201"/>
        <v>12461025016169.035</v>
      </c>
      <c r="G1448" s="53">
        <f t="shared" ca="1" si="202"/>
        <v>9568184930441.5742</v>
      </c>
      <c r="H1448" s="53">
        <f t="shared" ca="1" si="203"/>
        <v>12461025016169.035</v>
      </c>
      <c r="I1448" s="53">
        <f t="shared" ca="1" si="204"/>
        <v>994387994133.79468</v>
      </c>
      <c r="J1448" s="53">
        <f t="shared" ca="1" si="205"/>
        <v>603355245502.60669</v>
      </c>
      <c r="K1448" s="54">
        <f t="shared" ca="1" si="206"/>
        <v>1.6480970399212327</v>
      </c>
    </row>
    <row r="1449" spans="2:11" ht="15" customHeight="1" x14ac:dyDescent="0.35">
      <c r="B1449" s="5">
        <v>1428</v>
      </c>
      <c r="C1449" s="52">
        <f t="shared" ca="1" si="198"/>
        <v>2.8723579386116951</v>
      </c>
      <c r="D1449" s="53">
        <f t="shared" ca="1" si="199"/>
        <v>4130656065.4590898</v>
      </c>
      <c r="E1449" s="53">
        <f t="shared" ca="1" si="200"/>
        <v>6605803301798.4893</v>
      </c>
      <c r="F1449" s="53">
        <f t="shared" ca="1" si="201"/>
        <v>8591324674057.1172</v>
      </c>
      <c r="G1449" s="53">
        <f t="shared" ca="1" si="202"/>
        <v>391520317874.20923</v>
      </c>
      <c r="H1449" s="53">
        <f t="shared" ca="1" si="203"/>
        <v>8591324674057.1172</v>
      </c>
      <c r="I1449" s="53">
        <f t="shared" ca="1" si="204"/>
        <v>6244759469131.6377</v>
      </c>
      <c r="J1449" s="53">
        <f t="shared" ca="1" si="205"/>
        <v>605376620706.39136</v>
      </c>
      <c r="K1449" s="54">
        <f t="shared" ca="1" si="206"/>
        <v>10.315494942379607</v>
      </c>
    </row>
    <row r="1450" spans="2:11" ht="15" customHeight="1" x14ac:dyDescent="0.35">
      <c r="B1450" s="5">
        <v>1429</v>
      </c>
      <c r="C1450" s="52">
        <f t="shared" ca="1" si="198"/>
        <v>2.6867923812100458</v>
      </c>
      <c r="D1450" s="53">
        <f t="shared" ca="1" si="199"/>
        <v>2966320811.7183042</v>
      </c>
      <c r="E1450" s="53">
        <f t="shared" ca="1" si="200"/>
        <v>18849844213315.352</v>
      </c>
      <c r="F1450" s="53">
        <f t="shared" ca="1" si="201"/>
        <v>2578174702703.4058</v>
      </c>
      <c r="G1450" s="53">
        <f t="shared" ca="1" si="202"/>
        <v>1580820913619.6541</v>
      </c>
      <c r="H1450" s="53">
        <f t="shared" ca="1" si="203"/>
        <v>1580820913619.6541</v>
      </c>
      <c r="I1450" s="53">
        <f t="shared" ca="1" si="204"/>
        <v>16232515318988.467</v>
      </c>
      <c r="J1450" s="53">
        <f t="shared" ca="1" si="205"/>
        <v>564024673468.46033</v>
      </c>
      <c r="K1450" s="54">
        <f t="shared" ca="1" si="206"/>
        <v>28.779796492176281</v>
      </c>
    </row>
    <row r="1451" spans="2:11" ht="15" customHeight="1" x14ac:dyDescent="0.35">
      <c r="B1451" s="5">
        <v>1430</v>
      </c>
      <c r="C1451" s="52">
        <f t="shared" ca="1" si="198"/>
        <v>1.8757601635133965</v>
      </c>
      <c r="D1451" s="53">
        <f t="shared" ca="1" si="199"/>
        <v>495259961.92699814</v>
      </c>
      <c r="E1451" s="53">
        <f t="shared" ca="1" si="200"/>
        <v>1228645778633.7644</v>
      </c>
      <c r="F1451" s="53">
        <f t="shared" ca="1" si="201"/>
        <v>468078309784.97644</v>
      </c>
      <c r="G1451" s="53">
        <f t="shared" ca="1" si="202"/>
        <v>7104794493972.4531</v>
      </c>
      <c r="H1451" s="53">
        <f t="shared" ca="1" si="203"/>
        <v>468078309784.97644</v>
      </c>
      <c r="I1451" s="53">
        <f t="shared" ca="1" si="204"/>
        <v>2738872427235.2129</v>
      </c>
      <c r="J1451" s="53">
        <f t="shared" ca="1" si="205"/>
        <v>1321564423525.8884</v>
      </c>
      <c r="K1451" s="54">
        <f t="shared" ca="1" si="206"/>
        <v>2.072447153145963</v>
      </c>
    </row>
    <row r="1452" spans="2:11" ht="15" customHeight="1" x14ac:dyDescent="0.35">
      <c r="B1452" s="5">
        <v>1431</v>
      </c>
      <c r="C1452" s="52">
        <f t="shared" ca="1" si="198"/>
        <v>3.0024245946448982</v>
      </c>
      <c r="D1452" s="53">
        <f t="shared" ca="1" si="199"/>
        <v>4412809312.0350924</v>
      </c>
      <c r="E1452" s="53">
        <f t="shared" ca="1" si="200"/>
        <v>33769952138465.488</v>
      </c>
      <c r="F1452" s="53">
        <f t="shared" ca="1" si="201"/>
        <v>6942175490160.8105</v>
      </c>
      <c r="G1452" s="53">
        <f t="shared" ca="1" si="202"/>
        <v>33341043740534.914</v>
      </c>
      <c r="H1452" s="53">
        <f t="shared" ca="1" si="203"/>
        <v>33341043740534.914</v>
      </c>
      <c r="I1452" s="53">
        <f t="shared" ca="1" si="204"/>
        <v>4776337391485.7402</v>
      </c>
      <c r="J1452" s="53">
        <f t="shared" ca="1" si="205"/>
        <v>1064190182519.3993</v>
      </c>
      <c r="K1452" s="54">
        <f t="shared" ca="1" si="206"/>
        <v>4.4882366610243292</v>
      </c>
    </row>
    <row r="1453" spans="2:11" ht="15" customHeight="1" x14ac:dyDescent="0.35">
      <c r="B1453" s="5">
        <v>1432</v>
      </c>
      <c r="C1453" s="52">
        <f t="shared" ca="1" si="198"/>
        <v>2.1505237951444531</v>
      </c>
      <c r="D1453" s="53">
        <f t="shared" ca="1" si="199"/>
        <v>798961268.87986887</v>
      </c>
      <c r="E1453" s="53">
        <f t="shared" ca="1" si="200"/>
        <v>1103792724394.1892</v>
      </c>
      <c r="F1453" s="53">
        <f t="shared" ca="1" si="201"/>
        <v>1717456196815.3965</v>
      </c>
      <c r="G1453" s="53">
        <f t="shared" ca="1" si="202"/>
        <v>13381527551093.059</v>
      </c>
      <c r="H1453" s="53">
        <f t="shared" ca="1" si="203"/>
        <v>1103792724394.1892</v>
      </c>
      <c r="I1453" s="53">
        <f t="shared" ca="1" si="204"/>
        <v>2934495536719.7754</v>
      </c>
      <c r="J1453" s="53">
        <f t="shared" ca="1" si="205"/>
        <v>1360520728022.7715</v>
      </c>
      <c r="K1453" s="54">
        <f t="shared" ca="1" si="206"/>
        <v>2.156891458011406</v>
      </c>
    </row>
    <row r="1454" spans="2:11" ht="15" customHeight="1" x14ac:dyDescent="0.35">
      <c r="B1454" s="5">
        <v>1433</v>
      </c>
      <c r="C1454" s="52">
        <f t="shared" ca="1" si="198"/>
        <v>3.7527491022573845</v>
      </c>
      <c r="D1454" s="53">
        <f t="shared" ca="1" si="199"/>
        <v>15543562146.973717</v>
      </c>
      <c r="E1454" s="53">
        <f t="shared" ca="1" si="200"/>
        <v>57518824214510.828</v>
      </c>
      <c r="F1454" s="53">
        <f t="shared" ca="1" si="201"/>
        <v>5410557342953.9639</v>
      </c>
      <c r="G1454" s="53">
        <f t="shared" ca="1" si="202"/>
        <v>8282034068699.2549</v>
      </c>
      <c r="H1454" s="53">
        <f t="shared" ca="1" si="203"/>
        <v>57518824214510.828</v>
      </c>
      <c r="I1454" s="53">
        <f t="shared" ca="1" si="204"/>
        <v>45230825421304.922</v>
      </c>
      <c r="J1454" s="53">
        <f t="shared" ca="1" si="205"/>
        <v>895544491290.54053</v>
      </c>
      <c r="K1454" s="54">
        <f t="shared" ca="1" si="206"/>
        <v>50.506508455123459</v>
      </c>
    </row>
    <row r="1455" spans="2:11" ht="15" customHeight="1" x14ac:dyDescent="0.35">
      <c r="B1455" s="5">
        <v>1434</v>
      </c>
      <c r="C1455" s="52">
        <f t="shared" ca="1" si="198"/>
        <v>2.6620160523180205</v>
      </c>
      <c r="D1455" s="53">
        <f t="shared" ca="1" si="199"/>
        <v>3169240366.4417658</v>
      </c>
      <c r="E1455" s="53">
        <f t="shared" ca="1" si="200"/>
        <v>2929062779274.4551</v>
      </c>
      <c r="F1455" s="53">
        <f t="shared" ca="1" si="201"/>
        <v>18114946040266.246</v>
      </c>
      <c r="G1455" s="53">
        <f t="shared" ca="1" si="202"/>
        <v>21846997653445.754</v>
      </c>
      <c r="H1455" s="53">
        <f t="shared" ca="1" si="203"/>
        <v>2929062779274.4551</v>
      </c>
      <c r="I1455" s="53">
        <f t="shared" ca="1" si="204"/>
        <v>3787669843129.1514</v>
      </c>
      <c r="J1455" s="53">
        <f t="shared" ca="1" si="205"/>
        <v>992804703254.04541</v>
      </c>
      <c r="K1455" s="54">
        <f t="shared" ca="1" si="206"/>
        <v>3.8151207691850928</v>
      </c>
    </row>
    <row r="1456" spans="2:11" ht="15" customHeight="1" x14ac:dyDescent="0.35">
      <c r="B1456" s="5">
        <v>1435</v>
      </c>
      <c r="C1456" s="52">
        <f t="shared" ca="1" si="198"/>
        <v>3.141711878333993</v>
      </c>
      <c r="D1456" s="53">
        <f t="shared" ca="1" si="199"/>
        <v>5165294098.9976444</v>
      </c>
      <c r="E1456" s="53">
        <f t="shared" ca="1" si="200"/>
        <v>10537913878811.805</v>
      </c>
      <c r="F1456" s="53">
        <f t="shared" ca="1" si="201"/>
        <v>8614531208666.5244</v>
      </c>
      <c r="G1456" s="53">
        <f t="shared" ca="1" si="202"/>
        <v>441004641644.43811</v>
      </c>
      <c r="H1456" s="53">
        <f t="shared" ca="1" si="203"/>
        <v>10537913878811.805</v>
      </c>
      <c r="I1456" s="53">
        <f t="shared" ca="1" si="204"/>
        <v>4423109091944.0391</v>
      </c>
      <c r="J1456" s="53">
        <f t="shared" ca="1" si="205"/>
        <v>625177699446.34998</v>
      </c>
      <c r="K1456" s="54">
        <f t="shared" ca="1" si="206"/>
        <v>7.0749629998976173</v>
      </c>
    </row>
    <row r="1457" spans="2:11" ht="15" customHeight="1" x14ac:dyDescent="0.35">
      <c r="B1457" s="5">
        <v>1436</v>
      </c>
      <c r="C1457" s="52">
        <f t="shared" ca="1" si="198"/>
        <v>3.3396660118882777</v>
      </c>
      <c r="D1457" s="53">
        <f t="shared" ca="1" si="199"/>
        <v>6839213239.5898914</v>
      </c>
      <c r="E1457" s="53">
        <f t="shared" ca="1" si="200"/>
        <v>126040938910099.61</v>
      </c>
      <c r="F1457" s="53">
        <f t="shared" ca="1" si="201"/>
        <v>5406372967871.2402</v>
      </c>
      <c r="G1457" s="53">
        <f t="shared" ca="1" si="202"/>
        <v>246161578741446.38</v>
      </c>
      <c r="H1457" s="53">
        <f t="shared" ca="1" si="203"/>
        <v>246161578741446.38</v>
      </c>
      <c r="I1457" s="53">
        <f t="shared" ca="1" si="204"/>
        <v>18721150003351.648</v>
      </c>
      <c r="J1457" s="53">
        <f t="shared" ca="1" si="205"/>
        <v>1224191410367.7166</v>
      </c>
      <c r="K1457" s="54">
        <f t="shared" ca="1" si="206"/>
        <v>15.292665709628107</v>
      </c>
    </row>
    <row r="1458" spans="2:11" ht="15" customHeight="1" x14ac:dyDescent="0.35">
      <c r="B1458" s="5">
        <v>1437</v>
      </c>
      <c r="C1458" s="52">
        <f t="shared" ca="1" si="198"/>
        <v>3.1766368541504004</v>
      </c>
      <c r="D1458" s="53">
        <f t="shared" ca="1" si="199"/>
        <v>5966197373.8177452</v>
      </c>
      <c r="E1458" s="53">
        <f t="shared" ca="1" si="200"/>
        <v>62426462163330.086</v>
      </c>
      <c r="F1458" s="53">
        <f t="shared" ca="1" si="201"/>
        <v>9735847876359.5938</v>
      </c>
      <c r="G1458" s="53">
        <f t="shared" ca="1" si="202"/>
        <v>7690718373002.5449</v>
      </c>
      <c r="H1458" s="53">
        <f t="shared" ca="1" si="203"/>
        <v>9735847876359.5938</v>
      </c>
      <c r="I1458" s="53">
        <f t="shared" ca="1" si="204"/>
        <v>7844632261964.1582</v>
      </c>
      <c r="J1458" s="53">
        <f t="shared" ca="1" si="205"/>
        <v>1539522949101.8091</v>
      </c>
      <c r="K1458" s="54">
        <f t="shared" ca="1" si="206"/>
        <v>5.0954955017337582</v>
      </c>
    </row>
    <row r="1459" spans="2:11" ht="15" customHeight="1" x14ac:dyDescent="0.35">
      <c r="B1459" s="5">
        <v>1438</v>
      </c>
      <c r="C1459" s="52">
        <f t="shared" ca="1" si="198"/>
        <v>3.4544382240978937</v>
      </c>
      <c r="D1459" s="53">
        <f t="shared" ca="1" si="199"/>
        <v>9377698036.0007839</v>
      </c>
      <c r="E1459" s="53">
        <f t="shared" ca="1" si="200"/>
        <v>53588109385270.508</v>
      </c>
      <c r="F1459" s="53">
        <f t="shared" ca="1" si="201"/>
        <v>7970688448543.585</v>
      </c>
      <c r="G1459" s="53">
        <f t="shared" ca="1" si="202"/>
        <v>11412789445711.059</v>
      </c>
      <c r="H1459" s="53">
        <f t="shared" ca="1" si="203"/>
        <v>7970688448543.585</v>
      </c>
      <c r="I1459" s="53">
        <f t="shared" ca="1" si="204"/>
        <v>11489762019958.146</v>
      </c>
      <c r="J1459" s="53">
        <f t="shared" ca="1" si="205"/>
        <v>900113233521.50793</v>
      </c>
      <c r="K1459" s="54">
        <f t="shared" ca="1" si="206"/>
        <v>12.764796241253798</v>
      </c>
    </row>
    <row r="1460" spans="2:11" ht="15" customHeight="1" x14ac:dyDescent="0.35">
      <c r="B1460" s="5">
        <v>1439</v>
      </c>
      <c r="C1460" s="52">
        <f t="shared" ca="1" si="198"/>
        <v>3.1252608165638911</v>
      </c>
      <c r="D1460" s="53">
        <f t="shared" ca="1" si="199"/>
        <v>7129756502.6603689</v>
      </c>
      <c r="E1460" s="53">
        <f t="shared" ca="1" si="200"/>
        <v>89674751543336.094</v>
      </c>
      <c r="F1460" s="53">
        <f t="shared" ca="1" si="201"/>
        <v>1179877887626.9773</v>
      </c>
      <c r="G1460" s="53">
        <f t="shared" ca="1" si="202"/>
        <v>1620355742885.188</v>
      </c>
      <c r="H1460" s="53">
        <f t="shared" ca="1" si="203"/>
        <v>1179877887626.9773</v>
      </c>
      <c r="I1460" s="53">
        <f t="shared" ca="1" si="204"/>
        <v>41934697524391.789</v>
      </c>
      <c r="J1460" s="53">
        <f t="shared" ca="1" si="205"/>
        <v>1146108133538.1743</v>
      </c>
      <c r="K1460" s="54">
        <f t="shared" ca="1" si="206"/>
        <v>36.588779275943459</v>
      </c>
    </row>
    <row r="1461" spans="2:11" ht="15" customHeight="1" x14ac:dyDescent="0.35">
      <c r="B1461" s="5">
        <v>1440</v>
      </c>
      <c r="C1461" s="52">
        <f t="shared" ca="1" si="198"/>
        <v>3.1300435528686843</v>
      </c>
      <c r="D1461" s="53">
        <f t="shared" ca="1" si="199"/>
        <v>6093127755.1915598</v>
      </c>
      <c r="E1461" s="53">
        <f t="shared" ca="1" si="200"/>
        <v>21187431191221.543</v>
      </c>
      <c r="F1461" s="53">
        <f t="shared" ca="1" si="201"/>
        <v>13422779324937.398</v>
      </c>
      <c r="G1461" s="53">
        <f t="shared" ca="1" si="202"/>
        <v>8501522040595.9678</v>
      </c>
      <c r="H1461" s="53">
        <f t="shared" ca="1" si="203"/>
        <v>8501522040595.9678</v>
      </c>
      <c r="I1461" s="53">
        <f t="shared" ca="1" si="204"/>
        <v>1560955745488.6011</v>
      </c>
      <c r="J1461" s="53">
        <f t="shared" ca="1" si="205"/>
        <v>1185059340670.9822</v>
      </c>
      <c r="K1461" s="54">
        <f t="shared" ca="1" si="206"/>
        <v>1.3171962718801793</v>
      </c>
    </row>
    <row r="1462" spans="2:11" ht="15" customHeight="1" x14ac:dyDescent="0.35">
      <c r="B1462" s="5">
        <v>1441</v>
      </c>
      <c r="C1462" s="52">
        <f t="shared" ca="1" si="198"/>
        <v>3.0971740459818884</v>
      </c>
      <c r="D1462" s="53">
        <f t="shared" ca="1" si="199"/>
        <v>5026448900.7456121</v>
      </c>
      <c r="E1462" s="53">
        <f t="shared" ca="1" si="200"/>
        <v>34663535432450.586</v>
      </c>
      <c r="F1462" s="53">
        <f t="shared" ca="1" si="201"/>
        <v>4553693384661.5645</v>
      </c>
      <c r="G1462" s="53">
        <f t="shared" ca="1" si="202"/>
        <v>17806399733668.074</v>
      </c>
      <c r="H1462" s="53">
        <f t="shared" ca="1" si="203"/>
        <v>34663535432450.586</v>
      </c>
      <c r="I1462" s="53">
        <f t="shared" ca="1" si="204"/>
        <v>4211344058317.752</v>
      </c>
      <c r="J1462" s="53">
        <f t="shared" ca="1" si="205"/>
        <v>1546644896563.2063</v>
      </c>
      <c r="K1462" s="54">
        <f t="shared" ca="1" si="206"/>
        <v>2.7228900878771616</v>
      </c>
    </row>
    <row r="1463" spans="2:11" ht="15" customHeight="1" x14ac:dyDescent="0.35">
      <c r="B1463" s="5">
        <v>1442</v>
      </c>
      <c r="C1463" s="52">
        <f t="shared" ca="1" si="198"/>
        <v>3.1667568728464106</v>
      </c>
      <c r="D1463" s="53">
        <f t="shared" ca="1" si="199"/>
        <v>5984642899.9664669</v>
      </c>
      <c r="E1463" s="53">
        <f t="shared" ca="1" si="200"/>
        <v>13968177666403.797</v>
      </c>
      <c r="F1463" s="53">
        <f t="shared" ca="1" si="201"/>
        <v>2180555654930.6184</v>
      </c>
      <c r="G1463" s="53">
        <f t="shared" ca="1" si="202"/>
        <v>11385789111627.746</v>
      </c>
      <c r="H1463" s="53">
        <f t="shared" ca="1" si="203"/>
        <v>2180555654930.6184</v>
      </c>
      <c r="I1463" s="53">
        <f t="shared" ca="1" si="204"/>
        <v>8151016989646.3965</v>
      </c>
      <c r="J1463" s="53">
        <f t="shared" ca="1" si="205"/>
        <v>771564843604.80139</v>
      </c>
      <c r="K1463" s="54">
        <f t="shared" ca="1" si="206"/>
        <v>10.564266966291923</v>
      </c>
    </row>
    <row r="1464" spans="2:11" ht="15" customHeight="1" x14ac:dyDescent="0.35">
      <c r="B1464" s="5">
        <v>1443</v>
      </c>
      <c r="C1464" s="52">
        <f t="shared" ca="1" si="198"/>
        <v>3.6177671165026681</v>
      </c>
      <c r="D1464" s="53">
        <f t="shared" ca="1" si="199"/>
        <v>12375467226.326448</v>
      </c>
      <c r="E1464" s="53">
        <f t="shared" ca="1" si="200"/>
        <v>95175425926668.953</v>
      </c>
      <c r="F1464" s="53">
        <f t="shared" ca="1" si="201"/>
        <v>1198507819734.2102</v>
      </c>
      <c r="G1464" s="53">
        <f t="shared" ca="1" si="202"/>
        <v>74014404882040.766</v>
      </c>
      <c r="H1464" s="53">
        <f t="shared" ca="1" si="203"/>
        <v>74014404882040.766</v>
      </c>
      <c r="I1464" s="53">
        <f t="shared" ca="1" si="204"/>
        <v>3755198309472.4209</v>
      </c>
      <c r="J1464" s="53">
        <f t="shared" ca="1" si="205"/>
        <v>1250140324519.5212</v>
      </c>
      <c r="K1464" s="54">
        <f t="shared" ca="1" si="206"/>
        <v>3.0038214397377296</v>
      </c>
    </row>
    <row r="1465" spans="2:11" ht="15" customHeight="1" x14ac:dyDescent="0.35">
      <c r="B1465" s="5">
        <v>1444</v>
      </c>
      <c r="C1465" s="52">
        <f t="shared" ca="1" si="198"/>
        <v>3.2193280165925588</v>
      </c>
      <c r="D1465" s="53">
        <f t="shared" ca="1" si="199"/>
        <v>6212083746.0005474</v>
      </c>
      <c r="E1465" s="53">
        <f t="shared" ca="1" si="200"/>
        <v>15035648291841.16</v>
      </c>
      <c r="F1465" s="53">
        <f t="shared" ca="1" si="201"/>
        <v>2604602871340.5737</v>
      </c>
      <c r="G1465" s="53">
        <f t="shared" ca="1" si="202"/>
        <v>4325015269290.5132</v>
      </c>
      <c r="H1465" s="53">
        <f t="shared" ca="1" si="203"/>
        <v>2604602871340.5737</v>
      </c>
      <c r="I1465" s="53">
        <f t="shared" ca="1" si="204"/>
        <v>11086149809340.16</v>
      </c>
      <c r="J1465" s="53">
        <f t="shared" ca="1" si="205"/>
        <v>1069155045782.5598</v>
      </c>
      <c r="K1465" s="54">
        <f t="shared" ca="1" si="206"/>
        <v>10.369075891350947</v>
      </c>
    </row>
    <row r="1466" spans="2:11" ht="15" customHeight="1" x14ac:dyDescent="0.35">
      <c r="B1466" s="5">
        <v>1445</v>
      </c>
      <c r="C1466" s="52">
        <f t="shared" ca="1" si="198"/>
        <v>3.3758675332390045</v>
      </c>
      <c r="D1466" s="53">
        <f t="shared" ca="1" si="199"/>
        <v>8025440997.7814217</v>
      </c>
      <c r="E1466" s="53">
        <f t="shared" ca="1" si="200"/>
        <v>7725521607699.9111</v>
      </c>
      <c r="F1466" s="53">
        <f t="shared" ca="1" si="201"/>
        <v>8515636045425.5713</v>
      </c>
      <c r="G1466" s="53">
        <f t="shared" ca="1" si="202"/>
        <v>760583005832.47852</v>
      </c>
      <c r="H1466" s="53">
        <f t="shared" ca="1" si="203"/>
        <v>7725521607699.9111</v>
      </c>
      <c r="I1466" s="53">
        <f t="shared" ca="1" si="204"/>
        <v>20687594052539.77</v>
      </c>
      <c r="J1466" s="53">
        <f t="shared" ca="1" si="205"/>
        <v>1091702520401.9504</v>
      </c>
      <c r="K1466" s="54">
        <f t="shared" ca="1" si="206"/>
        <v>18.949845462409368</v>
      </c>
    </row>
    <row r="1467" spans="2:11" ht="15" customHeight="1" x14ac:dyDescent="0.35">
      <c r="B1467" s="5">
        <v>1446</v>
      </c>
      <c r="C1467" s="52">
        <f t="shared" ca="1" si="198"/>
        <v>3.5609464412321206</v>
      </c>
      <c r="D1467" s="53">
        <f t="shared" ca="1" si="199"/>
        <v>12614794737.769373</v>
      </c>
      <c r="E1467" s="53">
        <f t="shared" ca="1" si="200"/>
        <v>29499353024541.227</v>
      </c>
      <c r="F1467" s="53">
        <f t="shared" ca="1" si="201"/>
        <v>1409125794444.396</v>
      </c>
      <c r="G1467" s="53">
        <f t="shared" ca="1" si="202"/>
        <v>40192781119264.422</v>
      </c>
      <c r="H1467" s="53">
        <f t="shared" ca="1" si="203"/>
        <v>29499353024541.227</v>
      </c>
      <c r="I1467" s="53">
        <f t="shared" ca="1" si="204"/>
        <v>5361544440306.4063</v>
      </c>
      <c r="J1467" s="53">
        <f t="shared" ca="1" si="205"/>
        <v>1663438695983.397</v>
      </c>
      <c r="K1467" s="54">
        <f t="shared" ca="1" si="206"/>
        <v>3.2231692416754507</v>
      </c>
    </row>
    <row r="1468" spans="2:11" ht="15" customHeight="1" x14ac:dyDescent="0.35">
      <c r="B1468" s="5">
        <v>1447</v>
      </c>
      <c r="C1468" s="52">
        <f t="shared" ca="1" si="198"/>
        <v>3.2540663610233427</v>
      </c>
      <c r="D1468" s="53">
        <f t="shared" ca="1" si="199"/>
        <v>8508816874.9716835</v>
      </c>
      <c r="E1468" s="53">
        <f t="shared" ca="1" si="200"/>
        <v>16321829708834.887</v>
      </c>
      <c r="F1468" s="53">
        <f t="shared" ca="1" si="201"/>
        <v>2084196032818.447</v>
      </c>
      <c r="G1468" s="53">
        <f t="shared" ca="1" si="202"/>
        <v>1094933936080.4335</v>
      </c>
      <c r="H1468" s="53">
        <f t="shared" ca="1" si="203"/>
        <v>1094933936080.4335</v>
      </c>
      <c r="I1468" s="53">
        <f t="shared" ca="1" si="204"/>
        <v>20992392072316.867</v>
      </c>
      <c r="J1468" s="53">
        <f t="shared" ca="1" si="205"/>
        <v>682128797617.60107</v>
      </c>
      <c r="K1468" s="54">
        <f t="shared" ca="1" si="206"/>
        <v>30.774821625526982</v>
      </c>
    </row>
    <row r="1469" spans="2:11" ht="15" customHeight="1" x14ac:dyDescent="0.35">
      <c r="B1469" s="5">
        <v>1448</v>
      </c>
      <c r="C1469" s="52">
        <f t="shared" ca="1" si="198"/>
        <v>3.9621286204147044</v>
      </c>
      <c r="D1469" s="53">
        <f t="shared" ca="1" si="199"/>
        <v>20383939004.628723</v>
      </c>
      <c r="E1469" s="53">
        <f t="shared" ca="1" si="200"/>
        <v>55760200255564.516</v>
      </c>
      <c r="F1469" s="53">
        <f t="shared" ca="1" si="201"/>
        <v>945719903025.17603</v>
      </c>
      <c r="G1469" s="53">
        <f t="shared" ca="1" si="202"/>
        <v>5653385316472.5547</v>
      </c>
      <c r="H1469" s="53">
        <f t="shared" ca="1" si="203"/>
        <v>55760200255564.516</v>
      </c>
      <c r="I1469" s="53">
        <f t="shared" ca="1" si="204"/>
        <v>8213920661747.9473</v>
      </c>
      <c r="J1469" s="53">
        <f t="shared" ca="1" si="205"/>
        <v>1698339831574.1248</v>
      </c>
      <c r="K1469" s="54">
        <f t="shared" ca="1" si="206"/>
        <v>4.836441158030655</v>
      </c>
    </row>
    <row r="1470" spans="2:11" ht="15" customHeight="1" x14ac:dyDescent="0.35">
      <c r="B1470" s="5">
        <v>1449</v>
      </c>
      <c r="C1470" s="52">
        <f t="shared" ca="1" si="198"/>
        <v>2.7902725872442078</v>
      </c>
      <c r="D1470" s="53">
        <f t="shared" ca="1" si="199"/>
        <v>3841821140.8810463</v>
      </c>
      <c r="E1470" s="53">
        <f t="shared" ca="1" si="200"/>
        <v>87093667130699.984</v>
      </c>
      <c r="F1470" s="53">
        <f t="shared" ca="1" si="201"/>
        <v>991744368196.54309</v>
      </c>
      <c r="G1470" s="53">
        <f t="shared" ca="1" si="202"/>
        <v>1284595747966.1702</v>
      </c>
      <c r="H1470" s="53">
        <f t="shared" ca="1" si="203"/>
        <v>991744368196.54309</v>
      </c>
      <c r="I1470" s="53">
        <f t="shared" ca="1" si="204"/>
        <v>4772439160056.374</v>
      </c>
      <c r="J1470" s="53">
        <f t="shared" ca="1" si="205"/>
        <v>920578203942.53577</v>
      </c>
      <c r="K1470" s="54">
        <f t="shared" ca="1" si="206"/>
        <v>5.1841757056788609</v>
      </c>
    </row>
    <row r="1471" spans="2:11" ht="15" customHeight="1" x14ac:dyDescent="0.35">
      <c r="B1471" s="5">
        <v>1450</v>
      </c>
      <c r="C1471" s="52">
        <f t="shared" ca="1" si="198"/>
        <v>3.7509954254724027</v>
      </c>
      <c r="D1471" s="53">
        <f t="shared" ca="1" si="199"/>
        <v>16115755283.110163</v>
      </c>
      <c r="E1471" s="53">
        <f t="shared" ca="1" si="200"/>
        <v>15282413947039.309</v>
      </c>
      <c r="F1471" s="53">
        <f t="shared" ca="1" si="201"/>
        <v>2054712844999.6433</v>
      </c>
      <c r="G1471" s="53">
        <f t="shared" ca="1" si="202"/>
        <v>1534227529700.157</v>
      </c>
      <c r="H1471" s="53">
        <f t="shared" ca="1" si="203"/>
        <v>1534227529700.157</v>
      </c>
      <c r="I1471" s="53">
        <f t="shared" ca="1" si="204"/>
        <v>2190380966439.2542</v>
      </c>
      <c r="J1471" s="53">
        <f t="shared" ca="1" si="205"/>
        <v>874254497242.83899</v>
      </c>
      <c r="K1471" s="54">
        <f t="shared" ca="1" si="206"/>
        <v>2.5054271649126432</v>
      </c>
    </row>
    <row r="1472" spans="2:11" ht="15" customHeight="1" x14ac:dyDescent="0.35">
      <c r="B1472" s="5">
        <v>1451</v>
      </c>
      <c r="C1472" s="52">
        <f t="shared" ca="1" si="198"/>
        <v>2.8471409057228425</v>
      </c>
      <c r="D1472" s="53">
        <f t="shared" ca="1" si="199"/>
        <v>3726578808.1930342</v>
      </c>
      <c r="E1472" s="53">
        <f t="shared" ca="1" si="200"/>
        <v>7170977541883.9805</v>
      </c>
      <c r="F1472" s="53">
        <f t="shared" ca="1" si="201"/>
        <v>1487166234906.2234</v>
      </c>
      <c r="G1472" s="53">
        <f t="shared" ca="1" si="202"/>
        <v>18306125775379.383</v>
      </c>
      <c r="H1472" s="53">
        <f t="shared" ca="1" si="203"/>
        <v>7170977541883.9805</v>
      </c>
      <c r="I1472" s="53">
        <f t="shared" ca="1" si="204"/>
        <v>8353565902899.3604</v>
      </c>
      <c r="J1472" s="53">
        <f t="shared" ca="1" si="205"/>
        <v>1312063874255.8667</v>
      </c>
      <c r="K1472" s="54">
        <f t="shared" ca="1" si="206"/>
        <v>6.366737219738682</v>
      </c>
    </row>
    <row r="1473" spans="2:11" ht="15" customHeight="1" x14ac:dyDescent="0.35">
      <c r="B1473" s="5">
        <v>1452</v>
      </c>
      <c r="C1473" s="52">
        <f t="shared" ca="1" si="198"/>
        <v>3.5107471495423814</v>
      </c>
      <c r="D1473" s="53">
        <f t="shared" ca="1" si="199"/>
        <v>11459933211.319218</v>
      </c>
      <c r="E1473" s="53">
        <f t="shared" ca="1" si="200"/>
        <v>44043544328052.75</v>
      </c>
      <c r="F1473" s="53">
        <f t="shared" ca="1" si="201"/>
        <v>397680921117.83105</v>
      </c>
      <c r="G1473" s="53">
        <f t="shared" ca="1" si="202"/>
        <v>1082717631536.3059</v>
      </c>
      <c r="H1473" s="53">
        <f t="shared" ca="1" si="203"/>
        <v>397680921117.83105</v>
      </c>
      <c r="I1473" s="53">
        <f t="shared" ca="1" si="204"/>
        <v>14699264091067.84</v>
      </c>
      <c r="J1473" s="53">
        <f t="shared" ca="1" si="205"/>
        <v>699182180803.34424</v>
      </c>
      <c r="K1473" s="54">
        <f t="shared" ca="1" si="206"/>
        <v>21.023510745337823</v>
      </c>
    </row>
    <row r="1474" spans="2:11" ht="15" customHeight="1" x14ac:dyDescent="0.35">
      <c r="B1474" s="5">
        <v>1453</v>
      </c>
      <c r="C1474" s="52">
        <f t="shared" ca="1" si="198"/>
        <v>2.3839777103519229</v>
      </c>
      <c r="D1474" s="53">
        <f t="shared" ca="1" si="199"/>
        <v>1262418090.2276232</v>
      </c>
      <c r="E1474" s="53">
        <f t="shared" ca="1" si="200"/>
        <v>12134778974863.195</v>
      </c>
      <c r="F1474" s="53">
        <f t="shared" ca="1" si="201"/>
        <v>974941897341.48169</v>
      </c>
      <c r="G1474" s="53">
        <f t="shared" ca="1" si="202"/>
        <v>8995819522875.5254</v>
      </c>
      <c r="H1474" s="53">
        <f t="shared" ca="1" si="203"/>
        <v>974941897341.48169</v>
      </c>
      <c r="I1474" s="53">
        <f t="shared" ca="1" si="204"/>
        <v>58877796131959.961</v>
      </c>
      <c r="J1474" s="53">
        <f t="shared" ca="1" si="205"/>
        <v>676998371978.93811</v>
      </c>
      <c r="K1474" s="54">
        <f t="shared" ca="1" si="206"/>
        <v>86.96888880227867</v>
      </c>
    </row>
    <row r="1475" spans="2:11" ht="15" customHeight="1" x14ac:dyDescent="0.35">
      <c r="B1475" s="5">
        <v>1454</v>
      </c>
      <c r="C1475" s="52">
        <f t="shared" ca="1" si="198"/>
        <v>2.8513045664513541</v>
      </c>
      <c r="D1475" s="53">
        <f t="shared" ca="1" si="199"/>
        <v>4201544704.5581055</v>
      </c>
      <c r="E1475" s="53">
        <f t="shared" ca="1" si="200"/>
        <v>13460346960147.348</v>
      </c>
      <c r="F1475" s="53">
        <f t="shared" ca="1" si="201"/>
        <v>993206656574.29675</v>
      </c>
      <c r="G1475" s="53">
        <f t="shared" ca="1" si="202"/>
        <v>43793241386401.359</v>
      </c>
      <c r="H1475" s="53">
        <f t="shared" ca="1" si="203"/>
        <v>43793241386401.359</v>
      </c>
      <c r="I1475" s="53">
        <f t="shared" ca="1" si="204"/>
        <v>8144488871593.501</v>
      </c>
      <c r="J1475" s="53">
        <f t="shared" ca="1" si="205"/>
        <v>1109269071681.9385</v>
      </c>
      <c r="K1475" s="54">
        <f t="shared" ca="1" si="206"/>
        <v>7.3422121643077558</v>
      </c>
    </row>
    <row r="1476" spans="2:11" ht="15" customHeight="1" x14ac:dyDescent="0.35">
      <c r="B1476" s="5">
        <v>1455</v>
      </c>
      <c r="C1476" s="52">
        <f t="shared" ca="1" si="198"/>
        <v>2.835770173118882</v>
      </c>
      <c r="D1476" s="53">
        <f t="shared" ca="1" si="199"/>
        <v>3205558595.4276361</v>
      </c>
      <c r="E1476" s="53">
        <f t="shared" ca="1" si="200"/>
        <v>26200267884900.516</v>
      </c>
      <c r="F1476" s="53">
        <f t="shared" ca="1" si="201"/>
        <v>53894665114638.898</v>
      </c>
      <c r="G1476" s="53">
        <f t="shared" ca="1" si="202"/>
        <v>67828741248819.211</v>
      </c>
      <c r="H1476" s="53">
        <f t="shared" ca="1" si="203"/>
        <v>53894665114638.898</v>
      </c>
      <c r="I1476" s="53">
        <f t="shared" ca="1" si="204"/>
        <v>5213418102976.5322</v>
      </c>
      <c r="J1476" s="53">
        <f t="shared" ca="1" si="205"/>
        <v>826934991953.02209</v>
      </c>
      <c r="K1476" s="54">
        <f t="shared" ca="1" si="206"/>
        <v>6.3045077953028557</v>
      </c>
    </row>
    <row r="1477" spans="2:11" ht="15" customHeight="1" x14ac:dyDescent="0.35">
      <c r="B1477" s="5">
        <v>1456</v>
      </c>
      <c r="C1477" s="52">
        <f t="shared" ca="1" si="198"/>
        <v>3.5287140935696466</v>
      </c>
      <c r="D1477" s="53">
        <f t="shared" ca="1" si="199"/>
        <v>10165799802.770761</v>
      </c>
      <c r="E1477" s="53">
        <f t="shared" ca="1" si="200"/>
        <v>24379658043892.918</v>
      </c>
      <c r="F1477" s="53">
        <f t="shared" ca="1" si="201"/>
        <v>9777117344930.9199</v>
      </c>
      <c r="G1477" s="53">
        <f t="shared" ca="1" si="202"/>
        <v>12158991621705.201</v>
      </c>
      <c r="H1477" s="53">
        <f t="shared" ca="1" si="203"/>
        <v>12158991621705.201</v>
      </c>
      <c r="I1477" s="53">
        <f t="shared" ca="1" si="204"/>
        <v>4021052211355.5786</v>
      </c>
      <c r="J1477" s="53">
        <f t="shared" ca="1" si="205"/>
        <v>615884760993.57971</v>
      </c>
      <c r="K1477" s="54">
        <f t="shared" ca="1" si="206"/>
        <v>6.5289035644729907</v>
      </c>
    </row>
    <row r="1478" spans="2:11" ht="15" customHeight="1" x14ac:dyDescent="0.35">
      <c r="B1478" s="5">
        <v>1457</v>
      </c>
      <c r="C1478" s="52">
        <f t="shared" ca="1" si="198"/>
        <v>2.9949524027663723</v>
      </c>
      <c r="D1478" s="53">
        <f t="shared" ca="1" si="199"/>
        <v>4237333016.2392373</v>
      </c>
      <c r="E1478" s="53">
        <f t="shared" ca="1" si="200"/>
        <v>17404840697652.246</v>
      </c>
      <c r="F1478" s="53">
        <f t="shared" ca="1" si="201"/>
        <v>3479737579239.1553</v>
      </c>
      <c r="G1478" s="53">
        <f t="shared" ca="1" si="202"/>
        <v>4370766135073.9717</v>
      </c>
      <c r="H1478" s="53">
        <f t="shared" ca="1" si="203"/>
        <v>3479737579239.1553</v>
      </c>
      <c r="I1478" s="53">
        <f t="shared" ca="1" si="204"/>
        <v>25707269633764.852</v>
      </c>
      <c r="J1478" s="53">
        <f t="shared" ca="1" si="205"/>
        <v>851835892892.47205</v>
      </c>
      <c r="K1478" s="54">
        <f t="shared" ca="1" si="206"/>
        <v>30.178664515384423</v>
      </c>
    </row>
    <row r="1479" spans="2:11" ht="15" customHeight="1" x14ac:dyDescent="0.35">
      <c r="B1479" s="5">
        <v>1458</v>
      </c>
      <c r="C1479" s="52">
        <f t="shared" ca="1" si="198"/>
        <v>3.0415183554874772</v>
      </c>
      <c r="D1479" s="53">
        <f t="shared" ca="1" si="199"/>
        <v>4606587493.6719046</v>
      </c>
      <c r="E1479" s="53">
        <f t="shared" ca="1" si="200"/>
        <v>27412947625993.383</v>
      </c>
      <c r="F1479" s="53">
        <f t="shared" ca="1" si="201"/>
        <v>13121760675887.6</v>
      </c>
      <c r="G1479" s="53">
        <f t="shared" ca="1" si="202"/>
        <v>19117756314421.848</v>
      </c>
      <c r="H1479" s="53">
        <f t="shared" ca="1" si="203"/>
        <v>13121760675887.6</v>
      </c>
      <c r="I1479" s="53">
        <f t="shared" ca="1" si="204"/>
        <v>10910457958612.729</v>
      </c>
      <c r="J1479" s="53">
        <f t="shared" ca="1" si="205"/>
        <v>1105959182184.4863</v>
      </c>
      <c r="K1479" s="54">
        <f t="shared" ca="1" si="206"/>
        <v>9.8651542790778528</v>
      </c>
    </row>
    <row r="1480" spans="2:11" ht="15" customHeight="1" x14ac:dyDescent="0.35">
      <c r="B1480" s="5">
        <v>1459</v>
      </c>
      <c r="C1480" s="52">
        <f t="shared" ca="1" si="198"/>
        <v>2.9839011652159666</v>
      </c>
      <c r="D1480" s="53">
        <f t="shared" ca="1" si="199"/>
        <v>5597614136.3996601</v>
      </c>
      <c r="E1480" s="53">
        <f t="shared" ca="1" si="200"/>
        <v>28906242788182.773</v>
      </c>
      <c r="F1480" s="53">
        <f t="shared" ca="1" si="201"/>
        <v>7090771413039.2686</v>
      </c>
      <c r="G1480" s="53">
        <f t="shared" ca="1" si="202"/>
        <v>48860852071496.094</v>
      </c>
      <c r="H1480" s="53">
        <f t="shared" ca="1" si="203"/>
        <v>7090771413039.2686</v>
      </c>
      <c r="I1480" s="53">
        <f t="shared" ca="1" si="204"/>
        <v>15570756189356.219</v>
      </c>
      <c r="J1480" s="53">
        <f t="shared" ca="1" si="205"/>
        <v>765252048754.96765</v>
      </c>
      <c r="K1480" s="54">
        <f t="shared" ca="1" si="206"/>
        <v>20.34722574697993</v>
      </c>
    </row>
    <row r="1481" spans="2:11" ht="15" customHeight="1" x14ac:dyDescent="0.35">
      <c r="B1481" s="5">
        <v>1460</v>
      </c>
      <c r="C1481" s="52">
        <f t="shared" ca="1" si="198"/>
        <v>3.1511225221244867</v>
      </c>
      <c r="D1481" s="53">
        <f t="shared" ca="1" si="199"/>
        <v>6293500701.156189</v>
      </c>
      <c r="E1481" s="53">
        <f t="shared" ca="1" si="200"/>
        <v>55825590157025.859</v>
      </c>
      <c r="F1481" s="53">
        <f t="shared" ca="1" si="201"/>
        <v>2733979787249.1899</v>
      </c>
      <c r="G1481" s="53">
        <f t="shared" ca="1" si="202"/>
        <v>141071931769823.19</v>
      </c>
      <c r="H1481" s="53">
        <f t="shared" ca="1" si="203"/>
        <v>55825590157025.859</v>
      </c>
      <c r="I1481" s="53">
        <f t="shared" ca="1" si="204"/>
        <v>1860109138752.1782</v>
      </c>
      <c r="J1481" s="53">
        <f t="shared" ca="1" si="205"/>
        <v>1164791051433.6614</v>
      </c>
      <c r="K1481" s="54">
        <f t="shared" ca="1" si="206"/>
        <v>1.5969466252875977</v>
      </c>
    </row>
    <row r="1482" spans="2:11" ht="15" customHeight="1" x14ac:dyDescent="0.35">
      <c r="B1482" s="5">
        <v>1461</v>
      </c>
      <c r="C1482" s="52">
        <f t="shared" ca="1" si="198"/>
        <v>3.1060396138942705</v>
      </c>
      <c r="D1482" s="53">
        <f t="shared" ca="1" si="199"/>
        <v>5877104777.6703501</v>
      </c>
      <c r="E1482" s="53">
        <f t="shared" ca="1" si="200"/>
        <v>4126023804666.771</v>
      </c>
      <c r="F1482" s="53">
        <f t="shared" ca="1" si="201"/>
        <v>6935516116468.5215</v>
      </c>
      <c r="G1482" s="53">
        <f t="shared" ca="1" si="202"/>
        <v>4361199878990.8662</v>
      </c>
      <c r="H1482" s="53">
        <f t="shared" ca="1" si="203"/>
        <v>4361199878990.8662</v>
      </c>
      <c r="I1482" s="53">
        <f t="shared" ca="1" si="204"/>
        <v>6228920115466.8418</v>
      </c>
      <c r="J1482" s="53">
        <f t="shared" ca="1" si="205"/>
        <v>1156629071601.6523</v>
      </c>
      <c r="K1482" s="54">
        <f t="shared" ca="1" si="206"/>
        <v>5.3854085708232198</v>
      </c>
    </row>
    <row r="1483" spans="2:11" ht="15" customHeight="1" x14ac:dyDescent="0.35">
      <c r="B1483" s="5">
        <v>1462</v>
      </c>
      <c r="C1483" s="52">
        <f t="shared" ca="1" si="198"/>
        <v>2.4443724762777386</v>
      </c>
      <c r="D1483" s="53">
        <f t="shared" ca="1" si="199"/>
        <v>1923307409.1644459</v>
      </c>
      <c r="E1483" s="53">
        <f t="shared" ca="1" si="200"/>
        <v>6680509413692.7324</v>
      </c>
      <c r="F1483" s="53">
        <f t="shared" ca="1" si="201"/>
        <v>763564504847.02966</v>
      </c>
      <c r="G1483" s="53">
        <f t="shared" ca="1" si="202"/>
        <v>701435233117.17957</v>
      </c>
      <c r="H1483" s="53">
        <f t="shared" ca="1" si="203"/>
        <v>701435233117.17957</v>
      </c>
      <c r="I1483" s="53">
        <f t="shared" ca="1" si="204"/>
        <v>10532022336250.256</v>
      </c>
      <c r="J1483" s="53">
        <f t="shared" ca="1" si="205"/>
        <v>533109761345.27112</v>
      </c>
      <c r="K1483" s="54">
        <f t="shared" ca="1" si="206"/>
        <v>19.755823471836862</v>
      </c>
    </row>
    <row r="1484" spans="2:11" ht="15" customHeight="1" x14ac:dyDescent="0.35">
      <c r="B1484" s="5">
        <v>1463</v>
      </c>
      <c r="C1484" s="52">
        <f t="shared" ca="1" si="198"/>
        <v>2.5684955199918327</v>
      </c>
      <c r="D1484" s="53">
        <f t="shared" ca="1" si="199"/>
        <v>2463230369.5942025</v>
      </c>
      <c r="E1484" s="53">
        <f t="shared" ca="1" si="200"/>
        <v>31670761397412.297</v>
      </c>
      <c r="F1484" s="53">
        <f t="shared" ca="1" si="201"/>
        <v>7887987131421.9082</v>
      </c>
      <c r="G1484" s="53">
        <f t="shared" ca="1" si="202"/>
        <v>37130282868580.32</v>
      </c>
      <c r="H1484" s="53">
        <f t="shared" ca="1" si="203"/>
        <v>31670761397412.297</v>
      </c>
      <c r="I1484" s="53">
        <f t="shared" ca="1" si="204"/>
        <v>5256680109730.0283</v>
      </c>
      <c r="J1484" s="53">
        <f t="shared" ca="1" si="205"/>
        <v>779445942483.28674</v>
      </c>
      <c r="K1484" s="54">
        <f t="shared" ca="1" si="206"/>
        <v>6.7441240286432622</v>
      </c>
    </row>
    <row r="1485" spans="2:11" ht="15" customHeight="1" x14ac:dyDescent="0.35">
      <c r="B1485" s="5">
        <v>1464</v>
      </c>
      <c r="C1485" s="52">
        <f t="shared" ca="1" si="198"/>
        <v>4.0186637457764993</v>
      </c>
      <c r="D1485" s="53">
        <f t="shared" ca="1" si="199"/>
        <v>19877339490.990562</v>
      </c>
      <c r="E1485" s="53">
        <f t="shared" ca="1" si="200"/>
        <v>167602616250576.5</v>
      </c>
      <c r="F1485" s="53">
        <f t="shared" ca="1" si="201"/>
        <v>1329696234882.0215</v>
      </c>
      <c r="G1485" s="53">
        <f t="shared" ca="1" si="202"/>
        <v>127649233316134.13</v>
      </c>
      <c r="H1485" s="53">
        <f t="shared" ca="1" si="203"/>
        <v>127649233316134.13</v>
      </c>
      <c r="I1485" s="53">
        <f t="shared" ca="1" si="204"/>
        <v>35550276328861.383</v>
      </c>
      <c r="J1485" s="53">
        <f t="shared" ca="1" si="205"/>
        <v>1295946108951.0574</v>
      </c>
      <c r="K1485" s="54">
        <f t="shared" ca="1" si="206"/>
        <v>27.43190946237408</v>
      </c>
    </row>
    <row r="1486" spans="2:11" ht="15" customHeight="1" x14ac:dyDescent="0.35">
      <c r="B1486" s="5">
        <v>1465</v>
      </c>
      <c r="C1486" s="52">
        <f t="shared" ca="1" si="198"/>
        <v>3.6021524628930761</v>
      </c>
      <c r="D1486" s="53">
        <f t="shared" ca="1" si="199"/>
        <v>13799149017.03767</v>
      </c>
      <c r="E1486" s="53">
        <f t="shared" ca="1" si="200"/>
        <v>31455604183144.141</v>
      </c>
      <c r="F1486" s="53">
        <f t="shared" ca="1" si="201"/>
        <v>4262420249610.1709</v>
      </c>
      <c r="G1486" s="53">
        <f t="shared" ca="1" si="202"/>
        <v>510345506488.09528</v>
      </c>
      <c r="H1486" s="53">
        <f t="shared" ca="1" si="203"/>
        <v>510345506488.09528</v>
      </c>
      <c r="I1486" s="53">
        <f t="shared" ca="1" si="204"/>
        <v>4171050971300.4658</v>
      </c>
      <c r="J1486" s="53">
        <f t="shared" ca="1" si="205"/>
        <v>582303462045.79382</v>
      </c>
      <c r="K1486" s="54">
        <f t="shared" ca="1" si="206"/>
        <v>7.1630193587487954</v>
      </c>
    </row>
    <row r="1487" spans="2:11" ht="15" customHeight="1" x14ac:dyDescent="0.35">
      <c r="B1487" s="5">
        <v>1466</v>
      </c>
      <c r="C1487" s="52">
        <f t="shared" ca="1" si="198"/>
        <v>3.1587875512930634</v>
      </c>
      <c r="D1487" s="53">
        <f t="shared" ca="1" si="199"/>
        <v>7269459885.5190563</v>
      </c>
      <c r="E1487" s="53">
        <f t="shared" ca="1" si="200"/>
        <v>45418657717273.039</v>
      </c>
      <c r="F1487" s="53">
        <f t="shared" ca="1" si="201"/>
        <v>5885863988477.4219</v>
      </c>
      <c r="G1487" s="53">
        <f t="shared" ca="1" si="202"/>
        <v>6051719581190.2373</v>
      </c>
      <c r="H1487" s="53">
        <f t="shared" ca="1" si="203"/>
        <v>6051719581190.2373</v>
      </c>
      <c r="I1487" s="53">
        <f t="shared" ca="1" si="204"/>
        <v>4239332324759.835</v>
      </c>
      <c r="J1487" s="53">
        <f t="shared" ca="1" si="205"/>
        <v>1533443624895.9556</v>
      </c>
      <c r="K1487" s="54">
        <f t="shared" ca="1" si="206"/>
        <v>2.7645830964587788</v>
      </c>
    </row>
    <row r="1488" spans="2:11" ht="15" customHeight="1" x14ac:dyDescent="0.35">
      <c r="B1488" s="5">
        <v>1467</v>
      </c>
      <c r="C1488" s="52">
        <f t="shared" ca="1" si="198"/>
        <v>3.0487174366477303</v>
      </c>
      <c r="D1488" s="53">
        <f t="shared" ca="1" si="199"/>
        <v>4280394342.6224952</v>
      </c>
      <c r="E1488" s="53">
        <f t="shared" ca="1" si="200"/>
        <v>7622868758217.3721</v>
      </c>
      <c r="F1488" s="53">
        <f t="shared" ca="1" si="201"/>
        <v>4679687085443.6104</v>
      </c>
      <c r="G1488" s="53">
        <f t="shared" ca="1" si="202"/>
        <v>45389578220961.766</v>
      </c>
      <c r="H1488" s="53">
        <f t="shared" ca="1" si="203"/>
        <v>7622868758217.3721</v>
      </c>
      <c r="I1488" s="53">
        <f t="shared" ca="1" si="204"/>
        <v>17188063699561.457</v>
      </c>
      <c r="J1488" s="53">
        <f t="shared" ca="1" si="205"/>
        <v>426339611820.87268</v>
      </c>
      <c r="K1488" s="54">
        <f t="shared" ca="1" si="206"/>
        <v>40.315427473774243</v>
      </c>
    </row>
    <row r="1489" spans="2:11" ht="15" customHeight="1" x14ac:dyDescent="0.35">
      <c r="B1489" s="5">
        <v>1468</v>
      </c>
      <c r="C1489" s="52">
        <f t="shared" ca="1" si="198"/>
        <v>3.1720702321333789</v>
      </c>
      <c r="D1489" s="53">
        <f t="shared" ca="1" si="199"/>
        <v>6591324708.8096609</v>
      </c>
      <c r="E1489" s="53">
        <f t="shared" ca="1" si="200"/>
        <v>82718933340637.672</v>
      </c>
      <c r="F1489" s="53">
        <f t="shared" ca="1" si="201"/>
        <v>712544425433.08997</v>
      </c>
      <c r="G1489" s="53">
        <f t="shared" ca="1" si="202"/>
        <v>11320469764499.5</v>
      </c>
      <c r="H1489" s="53">
        <f t="shared" ca="1" si="203"/>
        <v>82718933340637.672</v>
      </c>
      <c r="I1489" s="53">
        <f t="shared" ca="1" si="204"/>
        <v>244471179081.22443</v>
      </c>
      <c r="J1489" s="53">
        <f t="shared" ca="1" si="205"/>
        <v>1313986019674.1873</v>
      </c>
      <c r="K1489" s="54">
        <f t="shared" ca="1" si="206"/>
        <v>0.18605310514783324</v>
      </c>
    </row>
    <row r="1490" spans="2:11" ht="15" customHeight="1" x14ac:dyDescent="0.35">
      <c r="B1490" s="5">
        <v>1469</v>
      </c>
      <c r="C1490" s="52">
        <f t="shared" ca="1" si="198"/>
        <v>3.6711404251151145</v>
      </c>
      <c r="D1490" s="53">
        <f t="shared" ca="1" si="199"/>
        <v>15391755880.706638</v>
      </c>
      <c r="E1490" s="53">
        <f t="shared" ca="1" si="200"/>
        <v>44075028014471.422</v>
      </c>
      <c r="F1490" s="53">
        <f t="shared" ca="1" si="201"/>
        <v>3630891348406.1479</v>
      </c>
      <c r="G1490" s="53">
        <f t="shared" ca="1" si="202"/>
        <v>56815827863408.5</v>
      </c>
      <c r="H1490" s="53">
        <f t="shared" ca="1" si="203"/>
        <v>3630891348406.1479</v>
      </c>
      <c r="I1490" s="53">
        <f t="shared" ca="1" si="204"/>
        <v>75464834909140.531</v>
      </c>
      <c r="J1490" s="53">
        <f t="shared" ca="1" si="205"/>
        <v>490582695775.74591</v>
      </c>
      <c r="K1490" s="54">
        <f t="shared" ca="1" si="206"/>
        <v>153.82694000205186</v>
      </c>
    </row>
    <row r="1491" spans="2:11" ht="15" customHeight="1" x14ac:dyDescent="0.35">
      <c r="B1491" s="5">
        <v>1470</v>
      </c>
      <c r="C1491" s="52">
        <f t="shared" ca="1" si="198"/>
        <v>3.2338599036418723</v>
      </c>
      <c r="D1491" s="53">
        <f t="shared" ca="1" si="199"/>
        <v>7192394596.6559467</v>
      </c>
      <c r="E1491" s="53">
        <f t="shared" ca="1" si="200"/>
        <v>42358287695544.242</v>
      </c>
      <c r="F1491" s="53">
        <f t="shared" ca="1" si="201"/>
        <v>3497325167864.6255</v>
      </c>
      <c r="G1491" s="53">
        <f t="shared" ca="1" si="202"/>
        <v>2852021606595.3682</v>
      </c>
      <c r="H1491" s="53">
        <f t="shared" ca="1" si="203"/>
        <v>2852021606595.3682</v>
      </c>
      <c r="I1491" s="53">
        <f t="shared" ca="1" si="204"/>
        <v>23578558244689.625</v>
      </c>
      <c r="J1491" s="53">
        <f t="shared" ca="1" si="205"/>
        <v>1343181744716.3411</v>
      </c>
      <c r="K1491" s="54">
        <f t="shared" ca="1" si="206"/>
        <v>17.554257521322288</v>
      </c>
    </row>
    <row r="1492" spans="2:11" ht="15" customHeight="1" x14ac:dyDescent="0.35">
      <c r="B1492" s="5">
        <v>1471</v>
      </c>
      <c r="C1492" s="52">
        <f t="shared" ca="1" si="198"/>
        <v>3.5706649020307628</v>
      </c>
      <c r="D1492" s="53">
        <f t="shared" ca="1" si="199"/>
        <v>10904709625.46311</v>
      </c>
      <c r="E1492" s="53">
        <f t="shared" ca="1" si="200"/>
        <v>75018926770252.313</v>
      </c>
      <c r="F1492" s="53">
        <f t="shared" ca="1" si="201"/>
        <v>1007604084647.4485</v>
      </c>
      <c r="G1492" s="53">
        <f t="shared" ca="1" si="202"/>
        <v>2431765255680.8262</v>
      </c>
      <c r="H1492" s="53">
        <f t="shared" ca="1" si="203"/>
        <v>2431765255680.8262</v>
      </c>
      <c r="I1492" s="53">
        <f t="shared" ca="1" si="204"/>
        <v>19196537162800.852</v>
      </c>
      <c r="J1492" s="53">
        <f t="shared" ca="1" si="205"/>
        <v>1473128905583.4158</v>
      </c>
      <c r="K1492" s="54">
        <f t="shared" ca="1" si="206"/>
        <v>13.031131960035964</v>
      </c>
    </row>
    <row r="1493" spans="2:11" ht="15" customHeight="1" x14ac:dyDescent="0.35">
      <c r="B1493" s="5">
        <v>1472</v>
      </c>
      <c r="C1493" s="52">
        <f t="shared" ca="1" si="198"/>
        <v>3.1595114644904627</v>
      </c>
      <c r="D1493" s="53">
        <f t="shared" ca="1" si="199"/>
        <v>5133458262.366128</v>
      </c>
      <c r="E1493" s="53">
        <f t="shared" ca="1" si="200"/>
        <v>2984603335496.3589</v>
      </c>
      <c r="F1493" s="53">
        <f t="shared" ca="1" si="201"/>
        <v>4907812655885.8613</v>
      </c>
      <c r="G1493" s="53">
        <f t="shared" ca="1" si="202"/>
        <v>11996237462604.307</v>
      </c>
      <c r="H1493" s="53">
        <f t="shared" ca="1" si="203"/>
        <v>2984603335496.3589</v>
      </c>
      <c r="I1493" s="53">
        <f t="shared" ca="1" si="204"/>
        <v>6312689249664.9072</v>
      </c>
      <c r="J1493" s="53">
        <f t="shared" ca="1" si="205"/>
        <v>484458819031.16888</v>
      </c>
      <c r="K1493" s="54">
        <f t="shared" ca="1" si="206"/>
        <v>13.030393919320446</v>
      </c>
    </row>
    <row r="1494" spans="2:11" ht="15" customHeight="1" x14ac:dyDescent="0.35">
      <c r="B1494" s="5">
        <v>1473</v>
      </c>
      <c r="C1494" s="52">
        <f t="shared" ref="C1494:C1557" ca="1" si="207">MEDIAN(1.8,NORMINV(RAND(),$C$7,$D$7),4.5)</f>
        <v>2.9993812714469672</v>
      </c>
      <c r="D1494" s="53">
        <f t="shared" ref="D1494:D1557" ca="1" si="208">($C$8+RAND()*($D$8-$C$8))*C1494^5</f>
        <v>4826264293.2058535</v>
      </c>
      <c r="E1494" s="53">
        <f t="shared" ref="E1494:E1557" ca="1" si="209">D1494*($C$10+RAND()*($D$10-$C$10))*EXP(NORMINV(RAND(),$C$9,$D$9))*($C$11+RAND()*($D$11-$C$11))</f>
        <v>28938677456636.074</v>
      </c>
      <c r="F1494" s="53">
        <f t="shared" ref="F1494:F1557" ca="1" si="210">EXP(NORMINV(RAND(),$C$12,$D$12))*EXP(NORMINV(RAND(),$C$13,$D$13))</f>
        <v>385087819428.23346</v>
      </c>
      <c r="G1494" s="53">
        <f t="shared" ref="G1494:G1557" ca="1" si="211">EXP(NORMINV(RAND(),$C$14,$D$14))*($C$15+RAND()*($D$15-$C$15))*EXP(NORMINV(RAND(),$C$16,$D$16))/1000000*31536000</f>
        <v>1764913004657.511</v>
      </c>
      <c r="H1494" s="53">
        <f t="shared" ref="H1494:H1557" ca="1" si="212">CHOOSE(RANDBETWEEN(1,3),E1494,F1494,G1494)</f>
        <v>385087819428.23346</v>
      </c>
      <c r="I1494" s="53">
        <f t="shared" ref="I1494:I1557" ca="1" si="213">EXP(NORMINV(RAND(),$C$14,$D$14))*($C$15+RAND()*($D$15-$C$15))*60</f>
        <v>3152684116782.9214</v>
      </c>
      <c r="J1494" s="53">
        <f t="shared" ref="J1494:J1557" ca="1" si="214">($C$17+RAND()*($D$17-$C$17))*($C$18+RAND()*($D$18-$C$18))</f>
        <v>508881564789.74432</v>
      </c>
      <c r="K1494" s="54">
        <f t="shared" ref="K1494:K1557" ca="1" si="215">I1494/J1494</f>
        <v>6.1953199622893047</v>
      </c>
    </row>
    <row r="1495" spans="2:11" ht="15" customHeight="1" x14ac:dyDescent="0.35">
      <c r="B1495" s="5">
        <v>1474</v>
      </c>
      <c r="C1495" s="52">
        <f t="shared" ca="1" si="207"/>
        <v>3.0626359364510374</v>
      </c>
      <c r="D1495" s="53">
        <f t="shared" ca="1" si="208"/>
        <v>5438746566.3292961</v>
      </c>
      <c r="E1495" s="53">
        <f t="shared" ca="1" si="209"/>
        <v>12992326440010.283</v>
      </c>
      <c r="F1495" s="53">
        <f t="shared" ca="1" si="210"/>
        <v>725245418039.6615</v>
      </c>
      <c r="G1495" s="53">
        <f t="shared" ca="1" si="211"/>
        <v>33398100163762.395</v>
      </c>
      <c r="H1495" s="53">
        <f t="shared" ca="1" si="212"/>
        <v>12992326440010.283</v>
      </c>
      <c r="I1495" s="53">
        <f t="shared" ca="1" si="213"/>
        <v>422306045587.20892</v>
      </c>
      <c r="J1495" s="53">
        <f t="shared" ca="1" si="214"/>
        <v>522227100514.61157</v>
      </c>
      <c r="K1495" s="54">
        <f t="shared" ca="1" si="215"/>
        <v>0.80866359706545543</v>
      </c>
    </row>
    <row r="1496" spans="2:11" ht="15" customHeight="1" x14ac:dyDescent="0.35">
      <c r="B1496" s="5">
        <v>1475</v>
      </c>
      <c r="C1496" s="52">
        <f t="shared" ca="1" si="207"/>
        <v>3.6394723370731126</v>
      </c>
      <c r="D1496" s="53">
        <f t="shared" ca="1" si="208"/>
        <v>13451898966.022484</v>
      </c>
      <c r="E1496" s="53">
        <f t="shared" ca="1" si="209"/>
        <v>29735605568607.16</v>
      </c>
      <c r="F1496" s="53">
        <f t="shared" ca="1" si="210"/>
        <v>253019386466.95074</v>
      </c>
      <c r="G1496" s="53">
        <f t="shared" ca="1" si="211"/>
        <v>517242563830.23059</v>
      </c>
      <c r="H1496" s="53">
        <f t="shared" ca="1" si="212"/>
        <v>517242563830.23059</v>
      </c>
      <c r="I1496" s="53">
        <f t="shared" ca="1" si="213"/>
        <v>18025717310064.098</v>
      </c>
      <c r="J1496" s="53">
        <f t="shared" ca="1" si="214"/>
        <v>442720087194.83752</v>
      </c>
      <c r="K1496" s="54">
        <f t="shared" ca="1" si="215"/>
        <v>40.715833393236402</v>
      </c>
    </row>
    <row r="1497" spans="2:11" ht="15" customHeight="1" x14ac:dyDescent="0.35">
      <c r="B1497" s="5">
        <v>1476</v>
      </c>
      <c r="C1497" s="52">
        <f t="shared" ca="1" si="207"/>
        <v>3.3945110282798798</v>
      </c>
      <c r="D1497" s="53">
        <f t="shared" ca="1" si="208"/>
        <v>8377462788.7185783</v>
      </c>
      <c r="E1497" s="53">
        <f t="shared" ca="1" si="209"/>
        <v>64348197721640.711</v>
      </c>
      <c r="F1497" s="53">
        <f t="shared" ca="1" si="210"/>
        <v>2309557058994.9097</v>
      </c>
      <c r="G1497" s="53">
        <f t="shared" ca="1" si="211"/>
        <v>1856487678390.6892</v>
      </c>
      <c r="H1497" s="53">
        <f t="shared" ca="1" si="212"/>
        <v>2309557058994.9097</v>
      </c>
      <c r="I1497" s="53">
        <f t="shared" ca="1" si="213"/>
        <v>9963393284157.4277</v>
      </c>
      <c r="J1497" s="53">
        <f t="shared" ca="1" si="214"/>
        <v>994734893343.34436</v>
      </c>
      <c r="K1497" s="54">
        <f t="shared" ca="1" si="215"/>
        <v>10.016129273066976</v>
      </c>
    </row>
    <row r="1498" spans="2:11" ht="15" customHeight="1" x14ac:dyDescent="0.35">
      <c r="B1498" s="5">
        <v>1477</v>
      </c>
      <c r="C1498" s="52">
        <f t="shared" ca="1" si="207"/>
        <v>2.9174075411433598</v>
      </c>
      <c r="D1498" s="53">
        <f t="shared" ca="1" si="208"/>
        <v>3827735088.7638173</v>
      </c>
      <c r="E1498" s="53">
        <f t="shared" ca="1" si="209"/>
        <v>46671057467030.109</v>
      </c>
      <c r="F1498" s="53">
        <f t="shared" ca="1" si="210"/>
        <v>10012207093752.801</v>
      </c>
      <c r="G1498" s="53">
        <f t="shared" ca="1" si="211"/>
        <v>18913847202698.152</v>
      </c>
      <c r="H1498" s="53">
        <f t="shared" ca="1" si="212"/>
        <v>46671057467030.109</v>
      </c>
      <c r="I1498" s="53">
        <f t="shared" ca="1" si="213"/>
        <v>644873281769.65442</v>
      </c>
      <c r="J1498" s="53">
        <f t="shared" ca="1" si="214"/>
        <v>1090582394826.6028</v>
      </c>
      <c r="K1498" s="54">
        <f t="shared" ca="1" si="215"/>
        <v>0.5913109223372216</v>
      </c>
    </row>
    <row r="1499" spans="2:11" ht="15" customHeight="1" x14ac:dyDescent="0.35">
      <c r="B1499" s="5">
        <v>1478</v>
      </c>
      <c r="C1499" s="52">
        <f t="shared" ca="1" si="207"/>
        <v>3.6627696516053341</v>
      </c>
      <c r="D1499" s="53">
        <f t="shared" ca="1" si="208"/>
        <v>11580373524.178173</v>
      </c>
      <c r="E1499" s="53">
        <f t="shared" ca="1" si="209"/>
        <v>161604947263875.91</v>
      </c>
      <c r="F1499" s="53">
        <f t="shared" ca="1" si="210"/>
        <v>1224226507640.0718</v>
      </c>
      <c r="G1499" s="53">
        <f t="shared" ca="1" si="211"/>
        <v>8822514884909.8066</v>
      </c>
      <c r="H1499" s="53">
        <f t="shared" ca="1" si="212"/>
        <v>1224226507640.0718</v>
      </c>
      <c r="I1499" s="53">
        <f t="shared" ca="1" si="213"/>
        <v>795577502709.43103</v>
      </c>
      <c r="J1499" s="53">
        <f t="shared" ca="1" si="214"/>
        <v>519851153137.37103</v>
      </c>
      <c r="K1499" s="54">
        <f t="shared" ca="1" si="215"/>
        <v>1.5303948022583285</v>
      </c>
    </row>
    <row r="1500" spans="2:11" ht="15" customHeight="1" x14ac:dyDescent="0.35">
      <c r="B1500" s="5">
        <v>1479</v>
      </c>
      <c r="C1500" s="52">
        <f t="shared" ca="1" si="207"/>
        <v>3.3818251299378304</v>
      </c>
      <c r="D1500" s="53">
        <f t="shared" ca="1" si="208"/>
        <v>7134466198.2298489</v>
      </c>
      <c r="E1500" s="53">
        <f t="shared" ca="1" si="209"/>
        <v>66269616096730.766</v>
      </c>
      <c r="F1500" s="53">
        <f t="shared" ca="1" si="210"/>
        <v>13188549245179.359</v>
      </c>
      <c r="G1500" s="53">
        <f t="shared" ca="1" si="211"/>
        <v>10248889703820.916</v>
      </c>
      <c r="H1500" s="53">
        <f t="shared" ca="1" si="212"/>
        <v>66269616096730.766</v>
      </c>
      <c r="I1500" s="53">
        <f t="shared" ca="1" si="213"/>
        <v>50661406405132.125</v>
      </c>
      <c r="J1500" s="53">
        <f t="shared" ca="1" si="214"/>
        <v>1256828224858.8948</v>
      </c>
      <c r="K1500" s="54">
        <f t="shared" ca="1" si="215"/>
        <v>40.308934350054024</v>
      </c>
    </row>
    <row r="1501" spans="2:11" ht="15" customHeight="1" x14ac:dyDescent="0.35">
      <c r="B1501" s="5">
        <v>1480</v>
      </c>
      <c r="C1501" s="52">
        <f t="shared" ca="1" si="207"/>
        <v>2.5554059350523088</v>
      </c>
      <c r="D1501" s="53">
        <f t="shared" ca="1" si="208"/>
        <v>2441352872.0025625</v>
      </c>
      <c r="E1501" s="53">
        <f t="shared" ca="1" si="209"/>
        <v>6802088613221.0234</v>
      </c>
      <c r="F1501" s="53">
        <f t="shared" ca="1" si="210"/>
        <v>1975567061281.4846</v>
      </c>
      <c r="G1501" s="53">
        <f t="shared" ca="1" si="211"/>
        <v>3668969712054.3086</v>
      </c>
      <c r="H1501" s="53">
        <f t="shared" ca="1" si="212"/>
        <v>6802088613221.0234</v>
      </c>
      <c r="I1501" s="53">
        <f t="shared" ca="1" si="213"/>
        <v>2600545255081.2188</v>
      </c>
      <c r="J1501" s="53">
        <f t="shared" ca="1" si="214"/>
        <v>1253604773080.2283</v>
      </c>
      <c r="K1501" s="54">
        <f t="shared" ca="1" si="215"/>
        <v>2.0744538557327181</v>
      </c>
    </row>
    <row r="1502" spans="2:11" ht="15" customHeight="1" x14ac:dyDescent="0.35">
      <c r="B1502" s="5">
        <v>1481</v>
      </c>
      <c r="C1502" s="52">
        <f t="shared" ca="1" si="207"/>
        <v>2.7287670707991869</v>
      </c>
      <c r="D1502" s="53">
        <f t="shared" ca="1" si="208"/>
        <v>3193847241.6728263</v>
      </c>
      <c r="E1502" s="53">
        <f t="shared" ca="1" si="209"/>
        <v>3918332801476.7754</v>
      </c>
      <c r="F1502" s="53">
        <f t="shared" ca="1" si="210"/>
        <v>1188322309357.5054</v>
      </c>
      <c r="G1502" s="53">
        <f t="shared" ca="1" si="211"/>
        <v>18878900165935.098</v>
      </c>
      <c r="H1502" s="53">
        <f t="shared" ca="1" si="212"/>
        <v>3918332801476.7754</v>
      </c>
      <c r="I1502" s="53">
        <f t="shared" ca="1" si="213"/>
        <v>2270529092577.748</v>
      </c>
      <c r="J1502" s="53">
        <f t="shared" ca="1" si="214"/>
        <v>1012609934067.6747</v>
      </c>
      <c r="K1502" s="54">
        <f t="shared" ca="1" si="215"/>
        <v>2.2422544122759951</v>
      </c>
    </row>
    <row r="1503" spans="2:11" ht="15" customHeight="1" x14ac:dyDescent="0.35">
      <c r="B1503" s="5">
        <v>1482</v>
      </c>
      <c r="C1503" s="52">
        <f t="shared" ca="1" si="207"/>
        <v>4.0952764943863391</v>
      </c>
      <c r="D1503" s="53">
        <f t="shared" ca="1" si="208"/>
        <v>24058693026.389648</v>
      </c>
      <c r="E1503" s="53">
        <f t="shared" ca="1" si="209"/>
        <v>88307365929011.484</v>
      </c>
      <c r="F1503" s="53">
        <f t="shared" ca="1" si="210"/>
        <v>487231128555.79065</v>
      </c>
      <c r="G1503" s="53">
        <f t="shared" ca="1" si="211"/>
        <v>4205752230656.1494</v>
      </c>
      <c r="H1503" s="53">
        <f t="shared" ca="1" si="212"/>
        <v>487231128555.79065</v>
      </c>
      <c r="I1503" s="53">
        <f t="shared" ca="1" si="213"/>
        <v>17597536559588.574</v>
      </c>
      <c r="J1503" s="53">
        <f t="shared" ca="1" si="214"/>
        <v>769661432155.59058</v>
      </c>
      <c r="K1503" s="54">
        <f t="shared" ca="1" si="215"/>
        <v>22.863996848982232</v>
      </c>
    </row>
    <row r="1504" spans="2:11" ht="15" customHeight="1" x14ac:dyDescent="0.35">
      <c r="B1504" s="5">
        <v>1483</v>
      </c>
      <c r="C1504" s="52">
        <f t="shared" ca="1" si="207"/>
        <v>3.5230432664341707</v>
      </c>
      <c r="D1504" s="53">
        <f t="shared" ca="1" si="208"/>
        <v>11009676391.566154</v>
      </c>
      <c r="E1504" s="53">
        <f t="shared" ca="1" si="209"/>
        <v>95876957239048.969</v>
      </c>
      <c r="F1504" s="53">
        <f t="shared" ca="1" si="210"/>
        <v>1896839355059.4849</v>
      </c>
      <c r="G1504" s="53">
        <f t="shared" ca="1" si="211"/>
        <v>245186818300811.72</v>
      </c>
      <c r="H1504" s="53">
        <f t="shared" ca="1" si="212"/>
        <v>95876957239048.969</v>
      </c>
      <c r="I1504" s="53">
        <f t="shared" ca="1" si="213"/>
        <v>12938126423767.977</v>
      </c>
      <c r="J1504" s="53">
        <f t="shared" ca="1" si="214"/>
        <v>999238934755.89905</v>
      </c>
      <c r="K1504" s="54">
        <f t="shared" ca="1" si="215"/>
        <v>12.94798068184622</v>
      </c>
    </row>
    <row r="1505" spans="2:11" ht="15" customHeight="1" x14ac:dyDescent="0.35">
      <c r="B1505" s="5">
        <v>1484</v>
      </c>
      <c r="C1505" s="52">
        <f t="shared" ca="1" si="207"/>
        <v>2.4751230180455002</v>
      </c>
      <c r="D1505" s="53">
        <f t="shared" ca="1" si="208"/>
        <v>1919102854.4432318</v>
      </c>
      <c r="E1505" s="53">
        <f t="shared" ca="1" si="209"/>
        <v>1893677491219.0264</v>
      </c>
      <c r="F1505" s="53">
        <f t="shared" ca="1" si="210"/>
        <v>7876740624638.335</v>
      </c>
      <c r="G1505" s="53">
        <f t="shared" ca="1" si="211"/>
        <v>14962782748891.596</v>
      </c>
      <c r="H1505" s="53">
        <f t="shared" ca="1" si="212"/>
        <v>14962782748891.596</v>
      </c>
      <c r="I1505" s="53">
        <f t="shared" ca="1" si="213"/>
        <v>1257877605665.1689</v>
      </c>
      <c r="J1505" s="53">
        <f t="shared" ca="1" si="214"/>
        <v>478249850358.86792</v>
      </c>
      <c r="K1505" s="54">
        <f t="shared" ca="1" si="215"/>
        <v>2.6301683204318538</v>
      </c>
    </row>
    <row r="1506" spans="2:11" ht="15" customHeight="1" x14ac:dyDescent="0.35">
      <c r="B1506" s="5">
        <v>1485</v>
      </c>
      <c r="C1506" s="52">
        <f t="shared" ca="1" si="207"/>
        <v>3.1742758573384564</v>
      </c>
      <c r="D1506" s="53">
        <f t="shared" ca="1" si="208"/>
        <v>6361888126.6067362</v>
      </c>
      <c r="E1506" s="53">
        <f t="shared" ca="1" si="209"/>
        <v>26777684167332.141</v>
      </c>
      <c r="F1506" s="53">
        <f t="shared" ca="1" si="210"/>
        <v>774968643307.05408</v>
      </c>
      <c r="G1506" s="53">
        <f t="shared" ca="1" si="211"/>
        <v>3376974062050.6152</v>
      </c>
      <c r="H1506" s="53">
        <f t="shared" ca="1" si="212"/>
        <v>774968643307.05408</v>
      </c>
      <c r="I1506" s="53">
        <f t="shared" ca="1" si="213"/>
        <v>3882105596915.0283</v>
      </c>
      <c r="J1506" s="53">
        <f t="shared" ca="1" si="214"/>
        <v>1084800176693.37</v>
      </c>
      <c r="K1506" s="54">
        <f t="shared" ca="1" si="215"/>
        <v>3.5786365824056698</v>
      </c>
    </row>
    <row r="1507" spans="2:11" ht="15" customHeight="1" x14ac:dyDescent="0.35">
      <c r="B1507" s="5">
        <v>1486</v>
      </c>
      <c r="C1507" s="52">
        <f t="shared" ca="1" si="207"/>
        <v>2.9205465721354389</v>
      </c>
      <c r="D1507" s="53">
        <f t="shared" ca="1" si="208"/>
        <v>3435781589.9170532</v>
      </c>
      <c r="E1507" s="53">
        <f t="shared" ca="1" si="209"/>
        <v>73831863525434.844</v>
      </c>
      <c r="F1507" s="53">
        <f t="shared" ca="1" si="210"/>
        <v>14774925557796.363</v>
      </c>
      <c r="G1507" s="53">
        <f t="shared" ca="1" si="211"/>
        <v>4188398014311.7065</v>
      </c>
      <c r="H1507" s="53">
        <f t="shared" ca="1" si="212"/>
        <v>73831863525434.844</v>
      </c>
      <c r="I1507" s="53">
        <f t="shared" ca="1" si="213"/>
        <v>14364415725368.115</v>
      </c>
      <c r="J1507" s="53">
        <f t="shared" ca="1" si="214"/>
        <v>805840111962.45825</v>
      </c>
      <c r="K1507" s="54">
        <f t="shared" ca="1" si="215"/>
        <v>17.825391801838368</v>
      </c>
    </row>
    <row r="1508" spans="2:11" ht="15" customHeight="1" x14ac:dyDescent="0.35">
      <c r="B1508" s="5">
        <v>1487</v>
      </c>
      <c r="C1508" s="52">
        <f t="shared" ca="1" si="207"/>
        <v>2.580408420217049</v>
      </c>
      <c r="D1508" s="53">
        <f t="shared" ca="1" si="208"/>
        <v>2077622954.5428188</v>
      </c>
      <c r="E1508" s="53">
        <f t="shared" ca="1" si="209"/>
        <v>17158030957844.703</v>
      </c>
      <c r="F1508" s="53">
        <f t="shared" ca="1" si="210"/>
        <v>232549224304.15927</v>
      </c>
      <c r="G1508" s="53">
        <f t="shared" ca="1" si="211"/>
        <v>29528814679722.93</v>
      </c>
      <c r="H1508" s="53">
        <f t="shared" ca="1" si="212"/>
        <v>17158030957844.703</v>
      </c>
      <c r="I1508" s="53">
        <f t="shared" ca="1" si="213"/>
        <v>4184215467313.6011</v>
      </c>
      <c r="J1508" s="53">
        <f t="shared" ca="1" si="214"/>
        <v>542811323976.29858</v>
      </c>
      <c r="K1508" s="54">
        <f t="shared" ca="1" si="215"/>
        <v>7.7084159495101128</v>
      </c>
    </row>
    <row r="1509" spans="2:11" ht="15" customHeight="1" x14ac:dyDescent="0.35">
      <c r="B1509" s="5">
        <v>1488</v>
      </c>
      <c r="C1509" s="52">
        <f t="shared" ca="1" si="207"/>
        <v>3.3854931051354002</v>
      </c>
      <c r="D1509" s="53">
        <f t="shared" ca="1" si="208"/>
        <v>10117645304.732452</v>
      </c>
      <c r="E1509" s="53">
        <f t="shared" ca="1" si="209"/>
        <v>39131802836235.922</v>
      </c>
      <c r="F1509" s="53">
        <f t="shared" ca="1" si="210"/>
        <v>3415233304211.9453</v>
      </c>
      <c r="G1509" s="53">
        <f t="shared" ca="1" si="211"/>
        <v>2252485433509.8711</v>
      </c>
      <c r="H1509" s="53">
        <f t="shared" ca="1" si="212"/>
        <v>3415233304211.9453</v>
      </c>
      <c r="I1509" s="53">
        <f t="shared" ca="1" si="213"/>
        <v>9053420555991.5391</v>
      </c>
      <c r="J1509" s="53">
        <f t="shared" ca="1" si="214"/>
        <v>849443914522.48975</v>
      </c>
      <c r="K1509" s="54">
        <f t="shared" ca="1" si="215"/>
        <v>10.658055701159352</v>
      </c>
    </row>
    <row r="1510" spans="2:11" ht="15" customHeight="1" x14ac:dyDescent="0.35">
      <c r="B1510" s="5">
        <v>1489</v>
      </c>
      <c r="C1510" s="52">
        <f t="shared" ca="1" si="207"/>
        <v>4.0993772421441914</v>
      </c>
      <c r="D1510" s="53">
        <f t="shared" ca="1" si="208"/>
        <v>18532919144.238731</v>
      </c>
      <c r="E1510" s="53">
        <f t="shared" ca="1" si="209"/>
        <v>50042296394292.406</v>
      </c>
      <c r="F1510" s="53">
        <f t="shared" ca="1" si="210"/>
        <v>8969462851588.875</v>
      </c>
      <c r="G1510" s="53">
        <f t="shared" ca="1" si="211"/>
        <v>4437314182307.5713</v>
      </c>
      <c r="H1510" s="53">
        <f t="shared" ca="1" si="212"/>
        <v>8969462851588.875</v>
      </c>
      <c r="I1510" s="53">
        <f t="shared" ca="1" si="213"/>
        <v>1346175888732.844</v>
      </c>
      <c r="J1510" s="53">
        <f t="shared" ca="1" si="214"/>
        <v>442584134585.26813</v>
      </c>
      <c r="K1510" s="54">
        <f t="shared" ca="1" si="215"/>
        <v>3.0416270795479456</v>
      </c>
    </row>
    <row r="1511" spans="2:11" ht="15" customHeight="1" x14ac:dyDescent="0.35">
      <c r="B1511" s="5">
        <v>1490</v>
      </c>
      <c r="C1511" s="52">
        <f t="shared" ca="1" si="207"/>
        <v>3.3186421783572047</v>
      </c>
      <c r="D1511" s="53">
        <f t="shared" ca="1" si="208"/>
        <v>9581796089.6752167</v>
      </c>
      <c r="E1511" s="53">
        <f t="shared" ca="1" si="209"/>
        <v>25289990356635.672</v>
      </c>
      <c r="F1511" s="53">
        <f t="shared" ca="1" si="210"/>
        <v>285686307622.82031</v>
      </c>
      <c r="G1511" s="53">
        <f t="shared" ca="1" si="211"/>
        <v>8400779347302.1602</v>
      </c>
      <c r="H1511" s="53">
        <f t="shared" ca="1" si="212"/>
        <v>8400779347302.1602</v>
      </c>
      <c r="I1511" s="53">
        <f t="shared" ca="1" si="213"/>
        <v>8274807654902.2285</v>
      </c>
      <c r="J1511" s="53">
        <f t="shared" ca="1" si="214"/>
        <v>1164498831567.7913</v>
      </c>
      <c r="K1511" s="54">
        <f t="shared" ca="1" si="215"/>
        <v>7.1058960563847595</v>
      </c>
    </row>
    <row r="1512" spans="2:11" ht="15" customHeight="1" x14ac:dyDescent="0.35">
      <c r="B1512" s="5">
        <v>1491</v>
      </c>
      <c r="C1512" s="52">
        <f t="shared" ca="1" si="207"/>
        <v>2.4034438117784518</v>
      </c>
      <c r="D1512" s="53">
        <f t="shared" ca="1" si="208"/>
        <v>1287285143.4986475</v>
      </c>
      <c r="E1512" s="53">
        <f t="shared" ca="1" si="209"/>
        <v>5867948345457.2734</v>
      </c>
      <c r="F1512" s="53">
        <f t="shared" ca="1" si="210"/>
        <v>4073378316453.6968</v>
      </c>
      <c r="G1512" s="53">
        <f t="shared" ca="1" si="211"/>
        <v>8250744794882.4551</v>
      </c>
      <c r="H1512" s="53">
        <f t="shared" ca="1" si="212"/>
        <v>8250744794882.4551</v>
      </c>
      <c r="I1512" s="53">
        <f t="shared" ca="1" si="213"/>
        <v>75780206482132.391</v>
      </c>
      <c r="J1512" s="53">
        <f t="shared" ca="1" si="214"/>
        <v>1409208809447.0444</v>
      </c>
      <c r="K1512" s="54">
        <f t="shared" ca="1" si="215"/>
        <v>53.775001954371533</v>
      </c>
    </row>
    <row r="1513" spans="2:11" ht="15" customHeight="1" x14ac:dyDescent="0.35">
      <c r="B1513" s="5">
        <v>1492</v>
      </c>
      <c r="C1513" s="52">
        <f t="shared" ca="1" si="207"/>
        <v>2.9480729289729197</v>
      </c>
      <c r="D1513" s="53">
        <f t="shared" ca="1" si="208"/>
        <v>4698862862.1818771</v>
      </c>
      <c r="E1513" s="53">
        <f t="shared" ca="1" si="209"/>
        <v>14474537912946.822</v>
      </c>
      <c r="F1513" s="53">
        <f t="shared" ca="1" si="210"/>
        <v>4263812222140.9619</v>
      </c>
      <c r="G1513" s="53">
        <f t="shared" ca="1" si="211"/>
        <v>2338748339003.2212</v>
      </c>
      <c r="H1513" s="53">
        <f t="shared" ca="1" si="212"/>
        <v>2338748339003.2212</v>
      </c>
      <c r="I1513" s="53">
        <f t="shared" ca="1" si="213"/>
        <v>153094597366.45175</v>
      </c>
      <c r="J1513" s="53">
        <f t="shared" ca="1" si="214"/>
        <v>1123826858756.5674</v>
      </c>
      <c r="K1513" s="54">
        <f t="shared" ca="1" si="215"/>
        <v>0.13622614210861608</v>
      </c>
    </row>
    <row r="1514" spans="2:11" ht="15" customHeight="1" x14ac:dyDescent="0.35">
      <c r="B1514" s="5">
        <v>1493</v>
      </c>
      <c r="C1514" s="52">
        <f t="shared" ca="1" si="207"/>
        <v>4.0021404667356437</v>
      </c>
      <c r="D1514" s="53">
        <f t="shared" ca="1" si="208"/>
        <v>20472273054.772003</v>
      </c>
      <c r="E1514" s="53">
        <f t="shared" ca="1" si="209"/>
        <v>25418702798772.176</v>
      </c>
      <c r="F1514" s="53">
        <f t="shared" ca="1" si="210"/>
        <v>5861888981270.5068</v>
      </c>
      <c r="G1514" s="53">
        <f t="shared" ca="1" si="211"/>
        <v>787201479833.48438</v>
      </c>
      <c r="H1514" s="53">
        <f t="shared" ca="1" si="212"/>
        <v>25418702798772.176</v>
      </c>
      <c r="I1514" s="53">
        <f t="shared" ca="1" si="213"/>
        <v>11372214032487.828</v>
      </c>
      <c r="J1514" s="53">
        <f t="shared" ca="1" si="214"/>
        <v>1017269041202.7758</v>
      </c>
      <c r="K1514" s="54">
        <f t="shared" ca="1" si="215"/>
        <v>11.179160646668068</v>
      </c>
    </row>
    <row r="1515" spans="2:11" ht="15" customHeight="1" x14ac:dyDescent="0.35">
      <c r="B1515" s="5">
        <v>1494</v>
      </c>
      <c r="C1515" s="52">
        <f t="shared" ca="1" si="207"/>
        <v>3.0107904210560545</v>
      </c>
      <c r="D1515" s="53">
        <f t="shared" ca="1" si="208"/>
        <v>4623077831.9413319</v>
      </c>
      <c r="E1515" s="53">
        <f t="shared" ca="1" si="209"/>
        <v>2353833577226.5015</v>
      </c>
      <c r="F1515" s="53">
        <f t="shared" ca="1" si="210"/>
        <v>5477099493272.209</v>
      </c>
      <c r="G1515" s="53">
        <f t="shared" ca="1" si="211"/>
        <v>2158569610976.7048</v>
      </c>
      <c r="H1515" s="53">
        <f t="shared" ca="1" si="212"/>
        <v>2158569610976.7048</v>
      </c>
      <c r="I1515" s="53">
        <f t="shared" ca="1" si="213"/>
        <v>28092743036903.641</v>
      </c>
      <c r="J1515" s="53">
        <f t="shared" ca="1" si="214"/>
        <v>1162325906932.5503</v>
      </c>
      <c r="K1515" s="54">
        <f t="shared" ca="1" si="215"/>
        <v>24.169420013223419</v>
      </c>
    </row>
    <row r="1516" spans="2:11" ht="15" customHeight="1" x14ac:dyDescent="0.35">
      <c r="B1516" s="5">
        <v>1495</v>
      </c>
      <c r="C1516" s="52">
        <f t="shared" ca="1" si="207"/>
        <v>2.5351366429890243</v>
      </c>
      <c r="D1516" s="53">
        <f t="shared" ca="1" si="208"/>
        <v>2052232061.5568843</v>
      </c>
      <c r="E1516" s="53">
        <f t="shared" ca="1" si="209"/>
        <v>17912279591123.168</v>
      </c>
      <c r="F1516" s="53">
        <f t="shared" ca="1" si="210"/>
        <v>2376494581054.4727</v>
      </c>
      <c r="G1516" s="53">
        <f t="shared" ca="1" si="211"/>
        <v>4257755455571.7354</v>
      </c>
      <c r="H1516" s="53">
        <f t="shared" ca="1" si="212"/>
        <v>17912279591123.168</v>
      </c>
      <c r="I1516" s="53">
        <f t="shared" ca="1" si="213"/>
        <v>7580020315647.2188</v>
      </c>
      <c r="J1516" s="53">
        <f t="shared" ca="1" si="214"/>
        <v>637039166759.52612</v>
      </c>
      <c r="K1516" s="54">
        <f t="shared" ca="1" si="215"/>
        <v>11.898829320346289</v>
      </c>
    </row>
    <row r="1517" spans="2:11" ht="15" customHeight="1" x14ac:dyDescent="0.35">
      <c r="B1517" s="5">
        <v>1496</v>
      </c>
      <c r="C1517" s="52">
        <f t="shared" ca="1" si="207"/>
        <v>3.0387290804326508</v>
      </c>
      <c r="D1517" s="53">
        <f t="shared" ca="1" si="208"/>
        <v>4906733259.3847818</v>
      </c>
      <c r="E1517" s="53">
        <f t="shared" ca="1" si="209"/>
        <v>19300131448845.559</v>
      </c>
      <c r="F1517" s="53">
        <f t="shared" ca="1" si="210"/>
        <v>2549798936650.6172</v>
      </c>
      <c r="G1517" s="53">
        <f t="shared" ca="1" si="211"/>
        <v>11657844064796.895</v>
      </c>
      <c r="H1517" s="53">
        <f t="shared" ca="1" si="212"/>
        <v>2549798936650.6172</v>
      </c>
      <c r="I1517" s="53">
        <f t="shared" ca="1" si="213"/>
        <v>47820974178927.172</v>
      </c>
      <c r="J1517" s="53">
        <f t="shared" ca="1" si="214"/>
        <v>641786924495.19116</v>
      </c>
      <c r="K1517" s="54">
        <f t="shared" ca="1" si="215"/>
        <v>74.51222883130815</v>
      </c>
    </row>
    <row r="1518" spans="2:11" ht="15" customHeight="1" x14ac:dyDescent="0.35">
      <c r="B1518" s="5">
        <v>1497</v>
      </c>
      <c r="C1518" s="52">
        <f t="shared" ca="1" si="207"/>
        <v>2.8105624236984856</v>
      </c>
      <c r="D1518" s="53">
        <f t="shared" ca="1" si="208"/>
        <v>3651909345.8148165</v>
      </c>
      <c r="E1518" s="53">
        <f t="shared" ca="1" si="209"/>
        <v>15703572391461.281</v>
      </c>
      <c r="F1518" s="53">
        <f t="shared" ca="1" si="210"/>
        <v>670908260453.0769</v>
      </c>
      <c r="G1518" s="53">
        <f t="shared" ca="1" si="211"/>
        <v>9741140943101.9902</v>
      </c>
      <c r="H1518" s="53">
        <f t="shared" ca="1" si="212"/>
        <v>670908260453.0769</v>
      </c>
      <c r="I1518" s="53">
        <f t="shared" ca="1" si="213"/>
        <v>6103076700589.5205</v>
      </c>
      <c r="J1518" s="53">
        <f t="shared" ca="1" si="214"/>
        <v>1487391220481.4028</v>
      </c>
      <c r="K1518" s="54">
        <f t="shared" ca="1" si="215"/>
        <v>4.1032087701944508</v>
      </c>
    </row>
    <row r="1519" spans="2:11" ht="15" customHeight="1" x14ac:dyDescent="0.35">
      <c r="B1519" s="5">
        <v>1498</v>
      </c>
      <c r="C1519" s="52">
        <f t="shared" ca="1" si="207"/>
        <v>2.321532687511449</v>
      </c>
      <c r="D1519" s="53">
        <f t="shared" ca="1" si="208"/>
        <v>1097746900.323513</v>
      </c>
      <c r="E1519" s="53">
        <f t="shared" ca="1" si="209"/>
        <v>3551665345845.5078</v>
      </c>
      <c r="F1519" s="53">
        <f t="shared" ca="1" si="210"/>
        <v>3955541530916.6416</v>
      </c>
      <c r="G1519" s="53">
        <f t="shared" ca="1" si="211"/>
        <v>8635438984361.5371</v>
      </c>
      <c r="H1519" s="53">
        <f t="shared" ca="1" si="212"/>
        <v>3955541530916.6416</v>
      </c>
      <c r="I1519" s="53">
        <f t="shared" ca="1" si="213"/>
        <v>14258644482310.398</v>
      </c>
      <c r="J1519" s="53">
        <f t="shared" ca="1" si="214"/>
        <v>1158388602740.6816</v>
      </c>
      <c r="K1519" s="54">
        <f t="shared" ca="1" si="215"/>
        <v>12.309033815228547</v>
      </c>
    </row>
    <row r="1520" spans="2:11" ht="15" customHeight="1" x14ac:dyDescent="0.35">
      <c r="B1520" s="5">
        <v>1499</v>
      </c>
      <c r="C1520" s="52">
        <f t="shared" ca="1" si="207"/>
        <v>3.0870769307494341</v>
      </c>
      <c r="D1520" s="53">
        <f t="shared" ca="1" si="208"/>
        <v>4941009971.2183275</v>
      </c>
      <c r="E1520" s="53">
        <f t="shared" ca="1" si="209"/>
        <v>6866864884695.5283</v>
      </c>
      <c r="F1520" s="53">
        <f t="shared" ca="1" si="210"/>
        <v>885405560863.72998</v>
      </c>
      <c r="G1520" s="53">
        <f t="shared" ca="1" si="211"/>
        <v>364371712214.51508</v>
      </c>
      <c r="H1520" s="53">
        <f t="shared" ca="1" si="212"/>
        <v>364371712214.51508</v>
      </c>
      <c r="I1520" s="53">
        <f t="shared" ca="1" si="213"/>
        <v>13421675172051.518</v>
      </c>
      <c r="J1520" s="53">
        <f t="shared" ca="1" si="214"/>
        <v>1335594854617.4001</v>
      </c>
      <c r="K1520" s="54">
        <f t="shared" ca="1" si="215"/>
        <v>10.049211499767528</v>
      </c>
    </row>
    <row r="1521" spans="2:11" ht="15" customHeight="1" x14ac:dyDescent="0.35">
      <c r="B1521" s="5">
        <v>1500</v>
      </c>
      <c r="C1521" s="52">
        <f t="shared" ca="1" si="207"/>
        <v>2.9053041004792846</v>
      </c>
      <c r="D1521" s="53">
        <f t="shared" ca="1" si="208"/>
        <v>4439624079.8496389</v>
      </c>
      <c r="E1521" s="53">
        <f t="shared" ca="1" si="209"/>
        <v>2912950478274.8174</v>
      </c>
      <c r="F1521" s="53">
        <f t="shared" ca="1" si="210"/>
        <v>1310089865738.7283</v>
      </c>
      <c r="G1521" s="53">
        <f t="shared" ca="1" si="211"/>
        <v>2508530491835.8604</v>
      </c>
      <c r="H1521" s="53">
        <f t="shared" ca="1" si="212"/>
        <v>2912950478274.8174</v>
      </c>
      <c r="I1521" s="53">
        <f t="shared" ca="1" si="213"/>
        <v>20938858112852.352</v>
      </c>
      <c r="J1521" s="53">
        <f t="shared" ca="1" si="214"/>
        <v>1231888958671.8989</v>
      </c>
      <c r="K1521" s="54">
        <f t="shared" ca="1" si="215"/>
        <v>16.997358378328645</v>
      </c>
    </row>
    <row r="1522" spans="2:11" ht="15" customHeight="1" x14ac:dyDescent="0.35">
      <c r="B1522" s="5">
        <v>1501</v>
      </c>
      <c r="C1522" s="52">
        <f t="shared" ca="1" si="207"/>
        <v>2.498962140236749</v>
      </c>
      <c r="D1522" s="53">
        <f t="shared" ca="1" si="208"/>
        <v>2249166067.5231504</v>
      </c>
      <c r="E1522" s="53">
        <f t="shared" ca="1" si="209"/>
        <v>53722357351232.617</v>
      </c>
      <c r="F1522" s="53">
        <f t="shared" ca="1" si="210"/>
        <v>1328611205596.0371</v>
      </c>
      <c r="G1522" s="53">
        <f t="shared" ca="1" si="211"/>
        <v>356207029749.76221</v>
      </c>
      <c r="H1522" s="53">
        <f t="shared" ca="1" si="212"/>
        <v>1328611205596.0371</v>
      </c>
      <c r="I1522" s="53">
        <f t="shared" ca="1" si="213"/>
        <v>4869939957684.666</v>
      </c>
      <c r="J1522" s="53">
        <f t="shared" ca="1" si="214"/>
        <v>724341600059.88196</v>
      </c>
      <c r="K1522" s="54">
        <f t="shared" ca="1" si="215"/>
        <v>6.7232642130205749</v>
      </c>
    </row>
    <row r="1523" spans="2:11" ht="15" customHeight="1" x14ac:dyDescent="0.35">
      <c r="B1523" s="5">
        <v>1502</v>
      </c>
      <c r="C1523" s="52">
        <f t="shared" ca="1" si="207"/>
        <v>3.4483231864759696</v>
      </c>
      <c r="D1523" s="53">
        <f t="shared" ca="1" si="208"/>
        <v>8943970828.7826118</v>
      </c>
      <c r="E1523" s="53">
        <f t="shared" ca="1" si="209"/>
        <v>56857181305596.523</v>
      </c>
      <c r="F1523" s="53">
        <f t="shared" ca="1" si="210"/>
        <v>6592750314177.249</v>
      </c>
      <c r="G1523" s="53">
        <f t="shared" ca="1" si="211"/>
        <v>6649331496328.9248</v>
      </c>
      <c r="H1523" s="53">
        <f t="shared" ca="1" si="212"/>
        <v>56857181305596.523</v>
      </c>
      <c r="I1523" s="53">
        <f t="shared" ca="1" si="213"/>
        <v>4300002068012.8052</v>
      </c>
      <c r="J1523" s="53">
        <f t="shared" ca="1" si="214"/>
        <v>1365221782075.5508</v>
      </c>
      <c r="K1523" s="54">
        <f t="shared" ca="1" si="215"/>
        <v>3.1496729135653689</v>
      </c>
    </row>
    <row r="1524" spans="2:11" ht="15" customHeight="1" x14ac:dyDescent="0.35">
      <c r="B1524" s="5">
        <v>1503</v>
      </c>
      <c r="C1524" s="52">
        <f t="shared" ca="1" si="207"/>
        <v>3.267975033036115</v>
      </c>
      <c r="D1524" s="53">
        <f t="shared" ca="1" si="208"/>
        <v>8073928122.5971928</v>
      </c>
      <c r="E1524" s="53">
        <f t="shared" ca="1" si="209"/>
        <v>30456522255565.977</v>
      </c>
      <c r="F1524" s="53">
        <f t="shared" ca="1" si="210"/>
        <v>2969288714517.5811</v>
      </c>
      <c r="G1524" s="53">
        <f t="shared" ca="1" si="211"/>
        <v>6776130611370.8535</v>
      </c>
      <c r="H1524" s="53">
        <f t="shared" ca="1" si="212"/>
        <v>30456522255565.977</v>
      </c>
      <c r="I1524" s="53">
        <f t="shared" ca="1" si="213"/>
        <v>86621742574746.906</v>
      </c>
      <c r="J1524" s="53">
        <f t="shared" ca="1" si="214"/>
        <v>826291920051.88232</v>
      </c>
      <c r="K1524" s="54">
        <f t="shared" ca="1" si="215"/>
        <v>104.83188867356706</v>
      </c>
    </row>
    <row r="1525" spans="2:11" ht="15" customHeight="1" x14ac:dyDescent="0.35">
      <c r="B1525" s="5">
        <v>1504</v>
      </c>
      <c r="C1525" s="52">
        <f t="shared" ca="1" si="207"/>
        <v>3.2290235532097893</v>
      </c>
      <c r="D1525" s="53">
        <f t="shared" ca="1" si="208"/>
        <v>6969326458.9219952</v>
      </c>
      <c r="E1525" s="53">
        <f t="shared" ca="1" si="209"/>
        <v>44722447482807.164</v>
      </c>
      <c r="F1525" s="53">
        <f t="shared" ca="1" si="210"/>
        <v>11743658653056.326</v>
      </c>
      <c r="G1525" s="53">
        <f t="shared" ca="1" si="211"/>
        <v>206590922109.59985</v>
      </c>
      <c r="H1525" s="53">
        <f t="shared" ca="1" si="212"/>
        <v>44722447482807.164</v>
      </c>
      <c r="I1525" s="53">
        <f t="shared" ca="1" si="213"/>
        <v>13270708712217.076</v>
      </c>
      <c r="J1525" s="53">
        <f t="shared" ca="1" si="214"/>
        <v>920482183089.88159</v>
      </c>
      <c r="K1525" s="54">
        <f t="shared" ca="1" si="215"/>
        <v>14.417127192695746</v>
      </c>
    </row>
    <row r="1526" spans="2:11" ht="15" customHeight="1" x14ac:dyDescent="0.35">
      <c r="B1526" s="5">
        <v>1505</v>
      </c>
      <c r="C1526" s="52">
        <f t="shared" ca="1" si="207"/>
        <v>3.5677476917814896</v>
      </c>
      <c r="D1526" s="53">
        <f t="shared" ca="1" si="208"/>
        <v>9405027836.443388</v>
      </c>
      <c r="E1526" s="53">
        <f t="shared" ca="1" si="209"/>
        <v>114885344045135.58</v>
      </c>
      <c r="F1526" s="53">
        <f t="shared" ca="1" si="210"/>
        <v>1472082372597.2507</v>
      </c>
      <c r="G1526" s="53">
        <f t="shared" ca="1" si="211"/>
        <v>8072992593368.6504</v>
      </c>
      <c r="H1526" s="53">
        <f t="shared" ca="1" si="212"/>
        <v>114885344045135.58</v>
      </c>
      <c r="I1526" s="53">
        <f t="shared" ca="1" si="213"/>
        <v>15842946785284.939</v>
      </c>
      <c r="J1526" s="53">
        <f t="shared" ca="1" si="214"/>
        <v>1046276563999.6223</v>
      </c>
      <c r="K1526" s="54">
        <f t="shared" ca="1" si="215"/>
        <v>15.142217010693416</v>
      </c>
    </row>
    <row r="1527" spans="2:11" ht="15" customHeight="1" x14ac:dyDescent="0.35">
      <c r="B1527" s="5">
        <v>1506</v>
      </c>
      <c r="C1527" s="52">
        <f t="shared" ca="1" si="207"/>
        <v>3.4178276312416709</v>
      </c>
      <c r="D1527" s="53">
        <f t="shared" ca="1" si="208"/>
        <v>9480588936.5083942</v>
      </c>
      <c r="E1527" s="53">
        <f t="shared" ca="1" si="209"/>
        <v>34872827993235.855</v>
      </c>
      <c r="F1527" s="53">
        <f t="shared" ca="1" si="210"/>
        <v>826884585671.18018</v>
      </c>
      <c r="G1527" s="53">
        <f t="shared" ca="1" si="211"/>
        <v>15498810809071.135</v>
      </c>
      <c r="H1527" s="53">
        <f t="shared" ca="1" si="212"/>
        <v>34872827993235.855</v>
      </c>
      <c r="I1527" s="53">
        <f t="shared" ca="1" si="213"/>
        <v>15475330940499.121</v>
      </c>
      <c r="J1527" s="53">
        <f t="shared" ca="1" si="214"/>
        <v>1069733691968.6837</v>
      </c>
      <c r="K1527" s="54">
        <f t="shared" ca="1" si="215"/>
        <v>14.466526628715513</v>
      </c>
    </row>
    <row r="1528" spans="2:11" ht="15" customHeight="1" x14ac:dyDescent="0.35">
      <c r="B1528" s="5">
        <v>1507</v>
      </c>
      <c r="C1528" s="52">
        <f t="shared" ca="1" si="207"/>
        <v>3.1857527305139093</v>
      </c>
      <c r="D1528" s="53">
        <f t="shared" ca="1" si="208"/>
        <v>7615813204.5003023</v>
      </c>
      <c r="E1528" s="53">
        <f t="shared" ca="1" si="209"/>
        <v>202201820351963.47</v>
      </c>
      <c r="F1528" s="53">
        <f t="shared" ca="1" si="210"/>
        <v>1047092577637.1945</v>
      </c>
      <c r="G1528" s="53">
        <f t="shared" ca="1" si="211"/>
        <v>42956365723370.664</v>
      </c>
      <c r="H1528" s="53">
        <f t="shared" ca="1" si="212"/>
        <v>1047092577637.1945</v>
      </c>
      <c r="I1528" s="53">
        <f t="shared" ca="1" si="213"/>
        <v>38245212277969.906</v>
      </c>
      <c r="J1528" s="53">
        <f t="shared" ca="1" si="214"/>
        <v>954448518598.90112</v>
      </c>
      <c r="K1528" s="54">
        <f t="shared" ca="1" si="215"/>
        <v>40.07048209798954</v>
      </c>
    </row>
    <row r="1529" spans="2:11" ht="15" customHeight="1" x14ac:dyDescent="0.35">
      <c r="B1529" s="5">
        <v>1508</v>
      </c>
      <c r="C1529" s="52">
        <f t="shared" ca="1" si="207"/>
        <v>3.7606052722532368</v>
      </c>
      <c r="D1529" s="53">
        <f t="shared" ca="1" si="208"/>
        <v>12078834675.209782</v>
      </c>
      <c r="E1529" s="53">
        <f t="shared" ca="1" si="209"/>
        <v>62696547546738.594</v>
      </c>
      <c r="F1529" s="53">
        <f t="shared" ca="1" si="210"/>
        <v>13476436786760.465</v>
      </c>
      <c r="G1529" s="53">
        <f t="shared" ca="1" si="211"/>
        <v>4021025371689.7559</v>
      </c>
      <c r="H1529" s="53">
        <f t="shared" ca="1" si="212"/>
        <v>13476436786760.465</v>
      </c>
      <c r="I1529" s="53">
        <f t="shared" ca="1" si="213"/>
        <v>62725632701485.406</v>
      </c>
      <c r="J1529" s="53">
        <f t="shared" ca="1" si="214"/>
        <v>449797733956.6344</v>
      </c>
      <c r="K1529" s="54">
        <f t="shared" ca="1" si="215"/>
        <v>139.45297622938418</v>
      </c>
    </row>
    <row r="1530" spans="2:11" ht="15" customHeight="1" x14ac:dyDescent="0.35">
      <c r="B1530" s="5">
        <v>1509</v>
      </c>
      <c r="C1530" s="52">
        <f t="shared" ca="1" si="207"/>
        <v>2.846679028566518</v>
      </c>
      <c r="D1530" s="53">
        <f t="shared" ca="1" si="208"/>
        <v>3062421980.0140676</v>
      </c>
      <c r="E1530" s="53">
        <f t="shared" ca="1" si="209"/>
        <v>20841628478560.48</v>
      </c>
      <c r="F1530" s="53">
        <f t="shared" ca="1" si="210"/>
        <v>411059737133.85516</v>
      </c>
      <c r="G1530" s="53">
        <f t="shared" ca="1" si="211"/>
        <v>55793162980566.258</v>
      </c>
      <c r="H1530" s="53">
        <f t="shared" ca="1" si="212"/>
        <v>20841628478560.48</v>
      </c>
      <c r="I1530" s="53">
        <f t="shared" ca="1" si="213"/>
        <v>13702121375131.68</v>
      </c>
      <c r="J1530" s="53">
        <f t="shared" ca="1" si="214"/>
        <v>802703946065.39392</v>
      </c>
      <c r="K1530" s="54">
        <f t="shared" ca="1" si="215"/>
        <v>17.069956417051685</v>
      </c>
    </row>
    <row r="1531" spans="2:11" ht="15" customHeight="1" x14ac:dyDescent="0.35">
      <c r="B1531" s="5">
        <v>1510</v>
      </c>
      <c r="C1531" s="52">
        <f t="shared" ca="1" si="207"/>
        <v>2.747439144995063</v>
      </c>
      <c r="D1531" s="53">
        <f t="shared" ca="1" si="208"/>
        <v>3631081946.1105142</v>
      </c>
      <c r="E1531" s="53">
        <f t="shared" ca="1" si="209"/>
        <v>27255308143268.004</v>
      </c>
      <c r="F1531" s="53">
        <f t="shared" ca="1" si="210"/>
        <v>4118236035548.1748</v>
      </c>
      <c r="G1531" s="53">
        <f t="shared" ca="1" si="211"/>
        <v>12500152211508.584</v>
      </c>
      <c r="H1531" s="53">
        <f t="shared" ca="1" si="212"/>
        <v>4118236035548.1748</v>
      </c>
      <c r="I1531" s="53">
        <f t="shared" ca="1" si="213"/>
        <v>40316470839885.836</v>
      </c>
      <c r="J1531" s="53">
        <f t="shared" ca="1" si="214"/>
        <v>1113140540447.74</v>
      </c>
      <c r="K1531" s="54">
        <f t="shared" ca="1" si="215"/>
        <v>36.218670846063418</v>
      </c>
    </row>
    <row r="1532" spans="2:11" ht="15" customHeight="1" x14ac:dyDescent="0.35">
      <c r="B1532" s="5">
        <v>1511</v>
      </c>
      <c r="C1532" s="52">
        <f t="shared" ca="1" si="207"/>
        <v>3.1441569706815202</v>
      </c>
      <c r="D1532" s="53">
        <f t="shared" ca="1" si="208"/>
        <v>7149961745.4611702</v>
      </c>
      <c r="E1532" s="53">
        <f t="shared" ca="1" si="209"/>
        <v>30811158799930.324</v>
      </c>
      <c r="F1532" s="53">
        <f t="shared" ca="1" si="210"/>
        <v>5772588134494.9971</v>
      </c>
      <c r="G1532" s="53">
        <f t="shared" ca="1" si="211"/>
        <v>16653774471201.277</v>
      </c>
      <c r="H1532" s="53">
        <f t="shared" ca="1" si="212"/>
        <v>5772588134494.9971</v>
      </c>
      <c r="I1532" s="53">
        <f t="shared" ca="1" si="213"/>
        <v>20753389645303.91</v>
      </c>
      <c r="J1532" s="53">
        <f t="shared" ca="1" si="214"/>
        <v>1065378138297.8959</v>
      </c>
      <c r="K1532" s="54">
        <f t="shared" ca="1" si="215"/>
        <v>19.479834341692627</v>
      </c>
    </row>
    <row r="1533" spans="2:11" ht="15" customHeight="1" x14ac:dyDescent="0.35">
      <c r="B1533" s="5">
        <v>1512</v>
      </c>
      <c r="C1533" s="52">
        <f t="shared" ca="1" si="207"/>
        <v>3.04212697666319</v>
      </c>
      <c r="D1533" s="53">
        <f t="shared" ca="1" si="208"/>
        <v>5242397013.6150608</v>
      </c>
      <c r="E1533" s="53">
        <f t="shared" ca="1" si="209"/>
        <v>7338714618630.1699</v>
      </c>
      <c r="F1533" s="53">
        <f t="shared" ca="1" si="210"/>
        <v>1157530665875.3113</v>
      </c>
      <c r="G1533" s="53">
        <f t="shared" ca="1" si="211"/>
        <v>4711723630248.126</v>
      </c>
      <c r="H1533" s="53">
        <f t="shared" ca="1" si="212"/>
        <v>4711723630248.126</v>
      </c>
      <c r="I1533" s="53">
        <f t="shared" ca="1" si="213"/>
        <v>18539679755078.113</v>
      </c>
      <c r="J1533" s="53">
        <f t="shared" ca="1" si="214"/>
        <v>470346502120.87494</v>
      </c>
      <c r="K1533" s="54">
        <f t="shared" ca="1" si="215"/>
        <v>39.417067356681599</v>
      </c>
    </row>
    <row r="1534" spans="2:11" ht="15" customHeight="1" x14ac:dyDescent="0.35">
      <c r="B1534" s="5">
        <v>1513</v>
      </c>
      <c r="C1534" s="52">
        <f t="shared" ca="1" si="207"/>
        <v>2.0083615790440632</v>
      </c>
      <c r="D1534" s="53">
        <f t="shared" ca="1" si="208"/>
        <v>619001039.89364505</v>
      </c>
      <c r="E1534" s="53">
        <f t="shared" ca="1" si="209"/>
        <v>5577108949036.0645</v>
      </c>
      <c r="F1534" s="53">
        <f t="shared" ca="1" si="210"/>
        <v>2620788809080.1582</v>
      </c>
      <c r="G1534" s="53">
        <f t="shared" ca="1" si="211"/>
        <v>783516773388.33081</v>
      </c>
      <c r="H1534" s="53">
        <f t="shared" ca="1" si="212"/>
        <v>783516773388.33081</v>
      </c>
      <c r="I1534" s="53">
        <f t="shared" ca="1" si="213"/>
        <v>8291426183350.0254</v>
      </c>
      <c r="J1534" s="53">
        <f t="shared" ca="1" si="214"/>
        <v>763694851022.79578</v>
      </c>
      <c r="K1534" s="54">
        <f t="shared" ca="1" si="215"/>
        <v>10.85698845847336</v>
      </c>
    </row>
    <row r="1535" spans="2:11" ht="15" customHeight="1" x14ac:dyDescent="0.35">
      <c r="B1535" s="5">
        <v>1514</v>
      </c>
      <c r="C1535" s="52">
        <f t="shared" ca="1" si="207"/>
        <v>3.2476461217828496</v>
      </c>
      <c r="D1535" s="53">
        <f t="shared" ca="1" si="208"/>
        <v>7470808274.7579575</v>
      </c>
      <c r="E1535" s="53">
        <f t="shared" ca="1" si="209"/>
        <v>22428823792490.605</v>
      </c>
      <c r="F1535" s="53">
        <f t="shared" ca="1" si="210"/>
        <v>2505637416973.293</v>
      </c>
      <c r="G1535" s="53">
        <f t="shared" ca="1" si="211"/>
        <v>31179154141439.105</v>
      </c>
      <c r="H1535" s="53">
        <f t="shared" ca="1" si="212"/>
        <v>22428823792490.605</v>
      </c>
      <c r="I1535" s="53">
        <f t="shared" ca="1" si="213"/>
        <v>7188482822142.5313</v>
      </c>
      <c r="J1535" s="53">
        <f t="shared" ca="1" si="214"/>
        <v>977373496684.84045</v>
      </c>
      <c r="K1535" s="54">
        <f t="shared" ca="1" si="215"/>
        <v>7.3548984564500604</v>
      </c>
    </row>
    <row r="1536" spans="2:11" ht="15" customHeight="1" x14ac:dyDescent="0.35">
      <c r="B1536" s="5">
        <v>1515</v>
      </c>
      <c r="C1536" s="52">
        <f t="shared" ca="1" si="207"/>
        <v>2.9167972691555564</v>
      </c>
      <c r="D1536" s="53">
        <f t="shared" ca="1" si="208"/>
        <v>3777988412.1654739</v>
      </c>
      <c r="E1536" s="53">
        <f t="shared" ca="1" si="209"/>
        <v>4996053955544.3008</v>
      </c>
      <c r="F1536" s="53">
        <f t="shared" ca="1" si="210"/>
        <v>252110536791.47354</v>
      </c>
      <c r="G1536" s="53">
        <f t="shared" ca="1" si="211"/>
        <v>9807864422906.3086</v>
      </c>
      <c r="H1536" s="53">
        <f t="shared" ca="1" si="212"/>
        <v>9807864422906.3086</v>
      </c>
      <c r="I1536" s="53">
        <f t="shared" ca="1" si="213"/>
        <v>12479693939140.031</v>
      </c>
      <c r="J1536" s="53">
        <f t="shared" ca="1" si="214"/>
        <v>709453861587.72021</v>
      </c>
      <c r="K1536" s="54">
        <f t="shared" ca="1" si="215"/>
        <v>17.590564538208497</v>
      </c>
    </row>
    <row r="1537" spans="2:11" ht="15" customHeight="1" x14ac:dyDescent="0.35">
      <c r="B1537" s="5">
        <v>1516</v>
      </c>
      <c r="C1537" s="52">
        <f t="shared" ca="1" si="207"/>
        <v>2.6474442727556586</v>
      </c>
      <c r="D1537" s="53">
        <f t="shared" ca="1" si="208"/>
        <v>2349208075.9203253</v>
      </c>
      <c r="E1537" s="53">
        <f t="shared" ca="1" si="209"/>
        <v>3204231016569.5542</v>
      </c>
      <c r="F1537" s="53">
        <f t="shared" ca="1" si="210"/>
        <v>1893624856082.4695</v>
      </c>
      <c r="G1537" s="53">
        <f t="shared" ca="1" si="211"/>
        <v>2893151372592.6245</v>
      </c>
      <c r="H1537" s="53">
        <f t="shared" ca="1" si="212"/>
        <v>3204231016569.5542</v>
      </c>
      <c r="I1537" s="53">
        <f t="shared" ca="1" si="213"/>
        <v>63335091004487.195</v>
      </c>
      <c r="J1537" s="53">
        <f t="shared" ca="1" si="214"/>
        <v>544442826549.39478</v>
      </c>
      <c r="K1537" s="54">
        <f t="shared" ca="1" si="215"/>
        <v>116.33010467948758</v>
      </c>
    </row>
    <row r="1538" spans="2:11" ht="15" customHeight="1" x14ac:dyDescent="0.35">
      <c r="B1538" s="5">
        <v>1517</v>
      </c>
      <c r="C1538" s="52">
        <f t="shared" ca="1" si="207"/>
        <v>3.0242937717244378</v>
      </c>
      <c r="D1538" s="53">
        <f t="shared" ca="1" si="208"/>
        <v>4226015325.4211063</v>
      </c>
      <c r="E1538" s="53">
        <f t="shared" ca="1" si="209"/>
        <v>14086800415332.961</v>
      </c>
      <c r="F1538" s="53">
        <f t="shared" ca="1" si="210"/>
        <v>5585729277541.7188</v>
      </c>
      <c r="G1538" s="53">
        <f t="shared" ca="1" si="211"/>
        <v>91123652183943.063</v>
      </c>
      <c r="H1538" s="53">
        <f t="shared" ca="1" si="212"/>
        <v>5585729277541.7188</v>
      </c>
      <c r="I1538" s="53">
        <f t="shared" ca="1" si="213"/>
        <v>93506769174132.203</v>
      </c>
      <c r="J1538" s="53">
        <f t="shared" ca="1" si="214"/>
        <v>1684336022051.2192</v>
      </c>
      <c r="K1538" s="54">
        <f t="shared" ca="1" si="215"/>
        <v>55.515507564967784</v>
      </c>
    </row>
    <row r="1539" spans="2:11" ht="15" customHeight="1" x14ac:dyDescent="0.35">
      <c r="B1539" s="5">
        <v>1518</v>
      </c>
      <c r="C1539" s="52">
        <f t="shared" ca="1" si="207"/>
        <v>3.448118680634912</v>
      </c>
      <c r="D1539" s="53">
        <f t="shared" ca="1" si="208"/>
        <v>9187095852.8911018</v>
      </c>
      <c r="E1539" s="53">
        <f t="shared" ca="1" si="209"/>
        <v>220546593819257.91</v>
      </c>
      <c r="F1539" s="53">
        <f t="shared" ca="1" si="210"/>
        <v>13996674801987.061</v>
      </c>
      <c r="G1539" s="53">
        <f t="shared" ca="1" si="211"/>
        <v>1172985858474.9856</v>
      </c>
      <c r="H1539" s="53">
        <f t="shared" ca="1" si="212"/>
        <v>1172985858474.9856</v>
      </c>
      <c r="I1539" s="53">
        <f t="shared" ca="1" si="213"/>
        <v>13047604675714.416</v>
      </c>
      <c r="J1539" s="53">
        <f t="shared" ca="1" si="214"/>
        <v>1155008434781.4209</v>
      </c>
      <c r="K1539" s="54">
        <f t="shared" ca="1" si="215"/>
        <v>11.296544927988863</v>
      </c>
    </row>
    <row r="1540" spans="2:11" ht="15" customHeight="1" x14ac:dyDescent="0.35">
      <c r="B1540" s="5">
        <v>1519</v>
      </c>
      <c r="C1540" s="52">
        <f t="shared" ca="1" si="207"/>
        <v>2.8601981724705658</v>
      </c>
      <c r="D1540" s="53">
        <f t="shared" ca="1" si="208"/>
        <v>4020222242.47786</v>
      </c>
      <c r="E1540" s="53">
        <f t="shared" ca="1" si="209"/>
        <v>24032143363491.148</v>
      </c>
      <c r="F1540" s="53">
        <f t="shared" ca="1" si="210"/>
        <v>1804835008314.1355</v>
      </c>
      <c r="G1540" s="53">
        <f t="shared" ca="1" si="211"/>
        <v>1197656980381.7166</v>
      </c>
      <c r="H1540" s="53">
        <f t="shared" ca="1" si="212"/>
        <v>1804835008314.1355</v>
      </c>
      <c r="I1540" s="53">
        <f t="shared" ca="1" si="213"/>
        <v>18612289023910.68</v>
      </c>
      <c r="J1540" s="53">
        <f t="shared" ca="1" si="214"/>
        <v>1497543082327.5535</v>
      </c>
      <c r="K1540" s="54">
        <f t="shared" ca="1" si="215"/>
        <v>12.428549965308887</v>
      </c>
    </row>
    <row r="1541" spans="2:11" ht="15" customHeight="1" x14ac:dyDescent="0.35">
      <c r="B1541" s="5">
        <v>1520</v>
      </c>
      <c r="C1541" s="52">
        <f t="shared" ca="1" si="207"/>
        <v>3.6796226679061501</v>
      </c>
      <c r="D1541" s="53">
        <f t="shared" ca="1" si="208"/>
        <v>15254266861.919971</v>
      </c>
      <c r="E1541" s="53">
        <f t="shared" ca="1" si="209"/>
        <v>78262842205959.766</v>
      </c>
      <c r="F1541" s="53">
        <f t="shared" ca="1" si="210"/>
        <v>6352155438322.5547</v>
      </c>
      <c r="G1541" s="53">
        <f t="shared" ca="1" si="211"/>
        <v>8875885550358.1074</v>
      </c>
      <c r="H1541" s="53">
        <f t="shared" ca="1" si="212"/>
        <v>6352155438322.5547</v>
      </c>
      <c r="I1541" s="53">
        <f t="shared" ca="1" si="213"/>
        <v>15422106247230.799</v>
      </c>
      <c r="J1541" s="53">
        <f t="shared" ca="1" si="214"/>
        <v>568536513008.08728</v>
      </c>
      <c r="K1541" s="54">
        <f t="shared" ca="1" si="215"/>
        <v>27.125973256552168</v>
      </c>
    </row>
    <row r="1542" spans="2:11" ht="15" customHeight="1" x14ac:dyDescent="0.35">
      <c r="B1542" s="5">
        <v>1521</v>
      </c>
      <c r="C1542" s="52">
        <f t="shared" ca="1" si="207"/>
        <v>3.134936099144467</v>
      </c>
      <c r="D1542" s="53">
        <f t="shared" ca="1" si="208"/>
        <v>5442268840.7802229</v>
      </c>
      <c r="E1542" s="53">
        <f t="shared" ca="1" si="209"/>
        <v>40724598851452.07</v>
      </c>
      <c r="F1542" s="53">
        <f t="shared" ca="1" si="210"/>
        <v>2204429809621.4717</v>
      </c>
      <c r="G1542" s="53">
        <f t="shared" ca="1" si="211"/>
        <v>39114720738654.32</v>
      </c>
      <c r="H1542" s="53">
        <f t="shared" ca="1" si="212"/>
        <v>2204429809621.4717</v>
      </c>
      <c r="I1542" s="53">
        <f t="shared" ca="1" si="213"/>
        <v>9564920350575.0996</v>
      </c>
      <c r="J1542" s="53">
        <f t="shared" ca="1" si="214"/>
        <v>1351174724765.9551</v>
      </c>
      <c r="K1542" s="54">
        <f t="shared" ca="1" si="215"/>
        <v>7.0789663063242214</v>
      </c>
    </row>
    <row r="1543" spans="2:11" ht="15" customHeight="1" x14ac:dyDescent="0.35">
      <c r="B1543" s="5">
        <v>1522</v>
      </c>
      <c r="C1543" s="52">
        <f t="shared" ca="1" si="207"/>
        <v>3.0043490968342064</v>
      </c>
      <c r="D1543" s="53">
        <f t="shared" ca="1" si="208"/>
        <v>4707850951.1543159</v>
      </c>
      <c r="E1543" s="53">
        <f t="shared" ca="1" si="209"/>
        <v>50076746288962.773</v>
      </c>
      <c r="F1543" s="53">
        <f t="shared" ca="1" si="210"/>
        <v>3337851314084.4204</v>
      </c>
      <c r="G1543" s="53">
        <f t="shared" ca="1" si="211"/>
        <v>231146439572.61157</v>
      </c>
      <c r="H1543" s="53">
        <f t="shared" ca="1" si="212"/>
        <v>231146439572.61157</v>
      </c>
      <c r="I1543" s="53">
        <f t="shared" ca="1" si="213"/>
        <v>37875089087535.813</v>
      </c>
      <c r="J1543" s="53">
        <f t="shared" ca="1" si="214"/>
        <v>1680322287123.1038</v>
      </c>
      <c r="K1543" s="54">
        <f t="shared" ca="1" si="215"/>
        <v>22.540371795212049</v>
      </c>
    </row>
    <row r="1544" spans="2:11" ht="15" customHeight="1" x14ac:dyDescent="0.35">
      <c r="B1544" s="5">
        <v>1523</v>
      </c>
      <c r="C1544" s="52">
        <f t="shared" ca="1" si="207"/>
        <v>3.1745991674676564</v>
      </c>
      <c r="D1544" s="53">
        <f t="shared" ca="1" si="208"/>
        <v>6514292030.3125944</v>
      </c>
      <c r="E1544" s="53">
        <f t="shared" ca="1" si="209"/>
        <v>11734278578809.166</v>
      </c>
      <c r="F1544" s="53">
        <f t="shared" ca="1" si="210"/>
        <v>3725517960992.5444</v>
      </c>
      <c r="G1544" s="53">
        <f t="shared" ca="1" si="211"/>
        <v>8819501786437.2383</v>
      </c>
      <c r="H1544" s="53">
        <f t="shared" ca="1" si="212"/>
        <v>3725517960992.5444</v>
      </c>
      <c r="I1544" s="53">
        <f t="shared" ca="1" si="213"/>
        <v>6621033329533.2119</v>
      </c>
      <c r="J1544" s="53">
        <f t="shared" ca="1" si="214"/>
        <v>1083611423108.6566</v>
      </c>
      <c r="K1544" s="54">
        <f t="shared" ca="1" si="215"/>
        <v>6.1101546073950006</v>
      </c>
    </row>
    <row r="1545" spans="2:11" ht="15" customHeight="1" x14ac:dyDescent="0.35">
      <c r="B1545" s="5">
        <v>1524</v>
      </c>
      <c r="C1545" s="52">
        <f t="shared" ca="1" si="207"/>
        <v>2.9252241200582798</v>
      </c>
      <c r="D1545" s="53">
        <f t="shared" ca="1" si="208"/>
        <v>4759492320.6004858</v>
      </c>
      <c r="E1545" s="53">
        <f t="shared" ca="1" si="209"/>
        <v>9535431885653.9785</v>
      </c>
      <c r="F1545" s="53">
        <f t="shared" ca="1" si="210"/>
        <v>2701517988915.0459</v>
      </c>
      <c r="G1545" s="53">
        <f t="shared" ca="1" si="211"/>
        <v>8095630380208.7275</v>
      </c>
      <c r="H1545" s="53">
        <f t="shared" ca="1" si="212"/>
        <v>8095630380208.7275</v>
      </c>
      <c r="I1545" s="53">
        <f t="shared" ca="1" si="213"/>
        <v>11047977789400.059</v>
      </c>
      <c r="J1545" s="53">
        <f t="shared" ca="1" si="214"/>
        <v>1339967519143.1311</v>
      </c>
      <c r="K1545" s="54">
        <f t="shared" ca="1" si="215"/>
        <v>8.2449593975717477</v>
      </c>
    </row>
    <row r="1546" spans="2:11" ht="15" customHeight="1" x14ac:dyDescent="0.35">
      <c r="B1546" s="5">
        <v>1525</v>
      </c>
      <c r="C1546" s="52">
        <f t="shared" ca="1" si="207"/>
        <v>2.519348089687456</v>
      </c>
      <c r="D1546" s="53">
        <f t="shared" ca="1" si="208"/>
        <v>1641460766.9392402</v>
      </c>
      <c r="E1546" s="53">
        <f t="shared" ca="1" si="209"/>
        <v>10981685369491.16</v>
      </c>
      <c r="F1546" s="53">
        <f t="shared" ca="1" si="210"/>
        <v>2596208856736.3647</v>
      </c>
      <c r="G1546" s="53">
        <f t="shared" ca="1" si="211"/>
        <v>123915420856933.16</v>
      </c>
      <c r="H1546" s="53">
        <f t="shared" ca="1" si="212"/>
        <v>2596208856736.3647</v>
      </c>
      <c r="I1546" s="53">
        <f t="shared" ca="1" si="213"/>
        <v>19866642944539.18</v>
      </c>
      <c r="J1546" s="53">
        <f t="shared" ca="1" si="214"/>
        <v>1200128426672.8752</v>
      </c>
      <c r="K1546" s="54">
        <f t="shared" ca="1" si="215"/>
        <v>16.553764166403106</v>
      </c>
    </row>
    <row r="1547" spans="2:11" ht="15" customHeight="1" x14ac:dyDescent="0.35">
      <c r="B1547" s="5">
        <v>1526</v>
      </c>
      <c r="C1547" s="52">
        <f t="shared" ca="1" si="207"/>
        <v>3.6918757061623575</v>
      </c>
      <c r="D1547" s="53">
        <f t="shared" ca="1" si="208"/>
        <v>11969578898.31329</v>
      </c>
      <c r="E1547" s="53">
        <f t="shared" ca="1" si="209"/>
        <v>53818881682822.188</v>
      </c>
      <c r="F1547" s="53">
        <f t="shared" ca="1" si="210"/>
        <v>1053900529659.4305</v>
      </c>
      <c r="G1547" s="53">
        <f t="shared" ca="1" si="211"/>
        <v>11023613002753.15</v>
      </c>
      <c r="H1547" s="53">
        <f t="shared" ca="1" si="212"/>
        <v>1053900529659.4305</v>
      </c>
      <c r="I1547" s="53">
        <f t="shared" ca="1" si="213"/>
        <v>50614390421.094528</v>
      </c>
      <c r="J1547" s="53">
        <f t="shared" ca="1" si="214"/>
        <v>1188469812265.1353</v>
      </c>
      <c r="K1547" s="54">
        <f t="shared" ca="1" si="215"/>
        <v>4.2587863737680691E-2</v>
      </c>
    </row>
    <row r="1548" spans="2:11" ht="15" customHeight="1" x14ac:dyDescent="0.35">
      <c r="B1548" s="5">
        <v>1527</v>
      </c>
      <c r="C1548" s="52">
        <f t="shared" ca="1" si="207"/>
        <v>3.742159293651234</v>
      </c>
      <c r="D1548" s="53">
        <f t="shared" ca="1" si="208"/>
        <v>17227203781.72765</v>
      </c>
      <c r="E1548" s="53">
        <f t="shared" ca="1" si="209"/>
        <v>125634538972952.44</v>
      </c>
      <c r="F1548" s="53">
        <f t="shared" ca="1" si="210"/>
        <v>1687474113250.4031</v>
      </c>
      <c r="G1548" s="53">
        <f t="shared" ca="1" si="211"/>
        <v>12486660167981.268</v>
      </c>
      <c r="H1548" s="53">
        <f t="shared" ca="1" si="212"/>
        <v>1687474113250.4031</v>
      </c>
      <c r="I1548" s="53">
        <f t="shared" ca="1" si="213"/>
        <v>6907562457047.8555</v>
      </c>
      <c r="J1548" s="53">
        <f t="shared" ca="1" si="214"/>
        <v>1401461787003.3271</v>
      </c>
      <c r="K1548" s="54">
        <f t="shared" ca="1" si="215"/>
        <v>4.9288268300329019</v>
      </c>
    </row>
    <row r="1549" spans="2:11" ht="15" customHeight="1" x14ac:dyDescent="0.35">
      <c r="B1549" s="5">
        <v>1528</v>
      </c>
      <c r="C1549" s="52">
        <f t="shared" ca="1" si="207"/>
        <v>3.044799587734532</v>
      </c>
      <c r="D1549" s="53">
        <f t="shared" ca="1" si="208"/>
        <v>4533937410.0597162</v>
      </c>
      <c r="E1549" s="53">
        <f t="shared" ca="1" si="209"/>
        <v>13749021066299.639</v>
      </c>
      <c r="F1549" s="53">
        <f t="shared" ca="1" si="210"/>
        <v>11334986070001.186</v>
      </c>
      <c r="G1549" s="53">
        <f t="shared" ca="1" si="211"/>
        <v>31572262663492.137</v>
      </c>
      <c r="H1549" s="53">
        <f t="shared" ca="1" si="212"/>
        <v>31572262663492.137</v>
      </c>
      <c r="I1549" s="53">
        <f t="shared" ca="1" si="213"/>
        <v>8344701602595.9707</v>
      </c>
      <c r="J1549" s="53">
        <f t="shared" ca="1" si="214"/>
        <v>1811789707950.2581</v>
      </c>
      <c r="K1549" s="54">
        <f t="shared" ca="1" si="215"/>
        <v>4.6057782346255998</v>
      </c>
    </row>
    <row r="1550" spans="2:11" ht="15" customHeight="1" x14ac:dyDescent="0.35">
      <c r="B1550" s="5">
        <v>1529</v>
      </c>
      <c r="C1550" s="52">
        <f t="shared" ca="1" si="207"/>
        <v>3.4636884868841111</v>
      </c>
      <c r="D1550" s="53">
        <f t="shared" ca="1" si="208"/>
        <v>11312554401.426308</v>
      </c>
      <c r="E1550" s="53">
        <f t="shared" ca="1" si="209"/>
        <v>25837335762762.961</v>
      </c>
      <c r="F1550" s="53">
        <f t="shared" ca="1" si="210"/>
        <v>22680016582505.531</v>
      </c>
      <c r="G1550" s="53">
        <f t="shared" ca="1" si="211"/>
        <v>85415578908462.75</v>
      </c>
      <c r="H1550" s="53">
        <f t="shared" ca="1" si="212"/>
        <v>85415578908462.75</v>
      </c>
      <c r="I1550" s="53">
        <f t="shared" ca="1" si="213"/>
        <v>2490764177133.3979</v>
      </c>
      <c r="J1550" s="53">
        <f t="shared" ca="1" si="214"/>
        <v>1332265830649.4302</v>
      </c>
      <c r="K1550" s="54">
        <f t="shared" ca="1" si="215"/>
        <v>1.8695699610634333</v>
      </c>
    </row>
    <row r="1551" spans="2:11" ht="15" customHeight="1" x14ac:dyDescent="0.35">
      <c r="B1551" s="5">
        <v>1530</v>
      </c>
      <c r="C1551" s="52">
        <f t="shared" ca="1" si="207"/>
        <v>2.5853701980887873</v>
      </c>
      <c r="D1551" s="53">
        <f t="shared" ca="1" si="208"/>
        <v>2744351204.139329</v>
      </c>
      <c r="E1551" s="53">
        <f t="shared" ca="1" si="209"/>
        <v>4894808448037.207</v>
      </c>
      <c r="F1551" s="53">
        <f t="shared" ca="1" si="210"/>
        <v>1712216951703.1675</v>
      </c>
      <c r="G1551" s="53">
        <f t="shared" ca="1" si="211"/>
        <v>5440376034550.0156</v>
      </c>
      <c r="H1551" s="53">
        <f t="shared" ca="1" si="212"/>
        <v>5440376034550.0156</v>
      </c>
      <c r="I1551" s="53">
        <f t="shared" ca="1" si="213"/>
        <v>2382032186800.1978</v>
      </c>
      <c r="J1551" s="53">
        <f t="shared" ca="1" si="214"/>
        <v>1636546700640.4778</v>
      </c>
      <c r="K1551" s="54">
        <f t="shared" ca="1" si="215"/>
        <v>1.4555235031594072</v>
      </c>
    </row>
    <row r="1552" spans="2:11" ht="15" customHeight="1" x14ac:dyDescent="0.35">
      <c r="B1552" s="5">
        <v>1531</v>
      </c>
      <c r="C1552" s="52">
        <f t="shared" ca="1" si="207"/>
        <v>3.9788798406457211</v>
      </c>
      <c r="D1552" s="53">
        <f t="shared" ca="1" si="208"/>
        <v>20860647281.766376</v>
      </c>
      <c r="E1552" s="53">
        <f t="shared" ca="1" si="209"/>
        <v>164333201929289.03</v>
      </c>
      <c r="F1552" s="53">
        <f t="shared" ca="1" si="210"/>
        <v>3814788306897.3057</v>
      </c>
      <c r="G1552" s="53">
        <f t="shared" ca="1" si="211"/>
        <v>876918060657.31055</v>
      </c>
      <c r="H1552" s="53">
        <f t="shared" ca="1" si="212"/>
        <v>3814788306897.3057</v>
      </c>
      <c r="I1552" s="53">
        <f t="shared" ca="1" si="213"/>
        <v>29288861863595.137</v>
      </c>
      <c r="J1552" s="53">
        <f t="shared" ca="1" si="214"/>
        <v>1538855711565.0303</v>
      </c>
      <c r="K1552" s="54">
        <f t="shared" ca="1" si="215"/>
        <v>19.032883748280792</v>
      </c>
    </row>
    <row r="1553" spans="2:11" ht="15" customHeight="1" x14ac:dyDescent="0.35">
      <c r="B1553" s="5">
        <v>1532</v>
      </c>
      <c r="C1553" s="52">
        <f t="shared" ca="1" si="207"/>
        <v>3.5214507478121897</v>
      </c>
      <c r="D1553" s="53">
        <f t="shared" ca="1" si="208"/>
        <v>10405895159.543734</v>
      </c>
      <c r="E1553" s="53">
        <f t="shared" ca="1" si="209"/>
        <v>55691538168966.719</v>
      </c>
      <c r="F1553" s="53">
        <f t="shared" ca="1" si="210"/>
        <v>15056370002659.043</v>
      </c>
      <c r="G1553" s="53">
        <f t="shared" ca="1" si="211"/>
        <v>15773707101517.209</v>
      </c>
      <c r="H1553" s="53">
        <f t="shared" ca="1" si="212"/>
        <v>15056370002659.043</v>
      </c>
      <c r="I1553" s="53">
        <f t="shared" ca="1" si="213"/>
        <v>25163800518743.992</v>
      </c>
      <c r="J1553" s="53">
        <f t="shared" ca="1" si="214"/>
        <v>604853052669.94226</v>
      </c>
      <c r="K1553" s="54">
        <f t="shared" ca="1" si="215"/>
        <v>41.603163624066951</v>
      </c>
    </row>
    <row r="1554" spans="2:11" ht="15" customHeight="1" x14ac:dyDescent="0.35">
      <c r="B1554" s="5">
        <v>1533</v>
      </c>
      <c r="C1554" s="52">
        <f t="shared" ca="1" si="207"/>
        <v>3.0596824942289422</v>
      </c>
      <c r="D1554" s="53">
        <f t="shared" ca="1" si="208"/>
        <v>5463583951.8556414</v>
      </c>
      <c r="E1554" s="53">
        <f t="shared" ca="1" si="209"/>
        <v>41805045985198.711</v>
      </c>
      <c r="F1554" s="53">
        <f t="shared" ca="1" si="210"/>
        <v>3107981245980.9263</v>
      </c>
      <c r="G1554" s="53">
        <f t="shared" ca="1" si="211"/>
        <v>2582033430911.7661</v>
      </c>
      <c r="H1554" s="53">
        <f t="shared" ca="1" si="212"/>
        <v>41805045985198.711</v>
      </c>
      <c r="I1554" s="53">
        <f t="shared" ca="1" si="213"/>
        <v>8751857596033.8887</v>
      </c>
      <c r="J1554" s="53">
        <f t="shared" ca="1" si="214"/>
        <v>870456031192.38257</v>
      </c>
      <c r="K1554" s="54">
        <f t="shared" ca="1" si="215"/>
        <v>10.054336212761113</v>
      </c>
    </row>
    <row r="1555" spans="2:11" ht="15" customHeight="1" x14ac:dyDescent="0.35">
      <c r="B1555" s="5">
        <v>1534</v>
      </c>
      <c r="C1555" s="52">
        <f t="shared" ca="1" si="207"/>
        <v>2.9905701187166938</v>
      </c>
      <c r="D1555" s="53">
        <f t="shared" ca="1" si="208"/>
        <v>4974853615.9401464</v>
      </c>
      <c r="E1555" s="53">
        <f t="shared" ca="1" si="209"/>
        <v>21204231981963.184</v>
      </c>
      <c r="F1555" s="53">
        <f t="shared" ca="1" si="210"/>
        <v>7187526822690.9658</v>
      </c>
      <c r="G1555" s="53">
        <f t="shared" ca="1" si="211"/>
        <v>3939265109672.5337</v>
      </c>
      <c r="H1555" s="53">
        <f t="shared" ca="1" si="212"/>
        <v>7187526822690.9658</v>
      </c>
      <c r="I1555" s="53">
        <f t="shared" ca="1" si="213"/>
        <v>57740075782915.492</v>
      </c>
      <c r="J1555" s="53">
        <f t="shared" ca="1" si="214"/>
        <v>1266296659107.0251</v>
      </c>
      <c r="K1555" s="54">
        <f t="shared" ca="1" si="215"/>
        <v>45.59758992306984</v>
      </c>
    </row>
    <row r="1556" spans="2:11" ht="15" customHeight="1" x14ac:dyDescent="0.35">
      <c r="B1556" s="5">
        <v>1535</v>
      </c>
      <c r="C1556" s="52">
        <f t="shared" ca="1" si="207"/>
        <v>3.2517806379269314</v>
      </c>
      <c r="D1556" s="53">
        <f t="shared" ca="1" si="208"/>
        <v>5861050446.0102205</v>
      </c>
      <c r="E1556" s="53">
        <f t="shared" ca="1" si="209"/>
        <v>17383211976148.541</v>
      </c>
      <c r="F1556" s="53">
        <f t="shared" ca="1" si="210"/>
        <v>5439715520607.8047</v>
      </c>
      <c r="G1556" s="53">
        <f t="shared" ca="1" si="211"/>
        <v>7482339837474.6045</v>
      </c>
      <c r="H1556" s="53">
        <f t="shared" ca="1" si="212"/>
        <v>5439715520607.8047</v>
      </c>
      <c r="I1556" s="53">
        <f t="shared" ca="1" si="213"/>
        <v>73047206024851.141</v>
      </c>
      <c r="J1556" s="53">
        <f t="shared" ca="1" si="214"/>
        <v>745645540838.02393</v>
      </c>
      <c r="K1556" s="54">
        <f t="shared" ca="1" si="215"/>
        <v>97.965054471799135</v>
      </c>
    </row>
    <row r="1557" spans="2:11" ht="15" customHeight="1" x14ac:dyDescent="0.35">
      <c r="B1557" s="5">
        <v>1536</v>
      </c>
      <c r="C1557" s="52">
        <f t="shared" ca="1" si="207"/>
        <v>4.0276087846825481</v>
      </c>
      <c r="D1557" s="53">
        <f t="shared" ca="1" si="208"/>
        <v>19842924722.971432</v>
      </c>
      <c r="E1557" s="53">
        <f t="shared" ca="1" si="209"/>
        <v>13278404552936.234</v>
      </c>
      <c r="F1557" s="53">
        <f t="shared" ca="1" si="210"/>
        <v>4019458362745.8403</v>
      </c>
      <c r="G1557" s="53">
        <f t="shared" ca="1" si="211"/>
        <v>13134615233362.486</v>
      </c>
      <c r="H1557" s="53">
        <f t="shared" ca="1" si="212"/>
        <v>13134615233362.486</v>
      </c>
      <c r="I1557" s="53">
        <f t="shared" ca="1" si="213"/>
        <v>3290020623867.4277</v>
      </c>
      <c r="J1557" s="53">
        <f t="shared" ca="1" si="214"/>
        <v>471413274742.71411</v>
      </c>
      <c r="K1557" s="54">
        <f t="shared" ca="1" si="215"/>
        <v>6.9790580794803478</v>
      </c>
    </row>
    <row r="1558" spans="2:11" ht="15" customHeight="1" x14ac:dyDescent="0.35">
      <c r="B1558" s="5">
        <v>1537</v>
      </c>
      <c r="C1558" s="52">
        <f t="shared" ref="C1558:C1621" ca="1" si="216">MEDIAN(1.8,NORMINV(RAND(),$C$7,$D$7),4.5)</f>
        <v>2.3956008339188557</v>
      </c>
      <c r="D1558" s="53">
        <f t="shared" ref="D1558:D1621" ca="1" si="217">($C$8+RAND()*($D$8-$C$8))*C1558^5</f>
        <v>1717058054.7009773</v>
      </c>
      <c r="E1558" s="53">
        <f t="shared" ref="E1558:E1621" ca="1" si="218">D1558*($C$10+RAND()*($D$10-$C$10))*EXP(NORMINV(RAND(),$C$9,$D$9))*($C$11+RAND()*($D$11-$C$11))</f>
        <v>7518402179382.8447</v>
      </c>
      <c r="F1558" s="53">
        <f t="shared" ref="F1558:F1621" ca="1" si="219">EXP(NORMINV(RAND(),$C$12,$D$12))*EXP(NORMINV(RAND(),$C$13,$D$13))</f>
        <v>890674252712.88928</v>
      </c>
      <c r="G1558" s="53">
        <f t="shared" ref="G1558:G1621" ca="1" si="220">EXP(NORMINV(RAND(),$C$14,$D$14))*($C$15+RAND()*($D$15-$C$15))*EXP(NORMINV(RAND(),$C$16,$D$16))/1000000*31536000</f>
        <v>14521631717459.094</v>
      </c>
      <c r="H1558" s="53">
        <f t="shared" ref="H1558:H1621" ca="1" si="221">CHOOSE(RANDBETWEEN(1,3),E1558,F1558,G1558)</f>
        <v>890674252712.88928</v>
      </c>
      <c r="I1558" s="53">
        <f t="shared" ref="I1558:I1621" ca="1" si="222">EXP(NORMINV(RAND(),$C$14,$D$14))*($C$15+RAND()*($D$15-$C$15))*60</f>
        <v>1188017922228.853</v>
      </c>
      <c r="J1558" s="53">
        <f t="shared" ref="J1558:J1621" ca="1" si="223">($C$17+RAND()*($D$17-$C$17))*($C$18+RAND()*($D$18-$C$18))</f>
        <v>964025822614.32813</v>
      </c>
      <c r="K1558" s="54">
        <f t="shared" ref="K1558:K1621" ca="1" si="224">I1558/J1558</f>
        <v>1.2323507258416417</v>
      </c>
    </row>
    <row r="1559" spans="2:11" ht="15" customHeight="1" x14ac:dyDescent="0.35">
      <c r="B1559" s="5">
        <v>1538</v>
      </c>
      <c r="C1559" s="52">
        <f t="shared" ca="1" si="216"/>
        <v>2.8293710099869998</v>
      </c>
      <c r="D1559" s="53">
        <f t="shared" ca="1" si="217"/>
        <v>3031396353.7419939</v>
      </c>
      <c r="E1559" s="53">
        <f t="shared" ca="1" si="218"/>
        <v>9169830072478.0508</v>
      </c>
      <c r="F1559" s="53">
        <f t="shared" ca="1" si="219"/>
        <v>143448927535.72446</v>
      </c>
      <c r="G1559" s="53">
        <f t="shared" ca="1" si="220"/>
        <v>6211005663833.7139</v>
      </c>
      <c r="H1559" s="53">
        <f t="shared" ca="1" si="221"/>
        <v>6211005663833.7139</v>
      </c>
      <c r="I1559" s="53">
        <f t="shared" ca="1" si="222"/>
        <v>6274501282790.2939</v>
      </c>
      <c r="J1559" s="53">
        <f t="shared" ca="1" si="223"/>
        <v>619743546610.3844</v>
      </c>
      <c r="K1559" s="54">
        <f t="shared" ca="1" si="224"/>
        <v>10.12435114025463</v>
      </c>
    </row>
    <row r="1560" spans="2:11" ht="15" customHeight="1" x14ac:dyDescent="0.35">
      <c r="B1560" s="5">
        <v>1539</v>
      </c>
      <c r="C1560" s="52">
        <f t="shared" ca="1" si="216"/>
        <v>2.6616904089542501</v>
      </c>
      <c r="D1560" s="53">
        <f t="shared" ca="1" si="217"/>
        <v>3157820054.5846457</v>
      </c>
      <c r="E1560" s="53">
        <f t="shared" ca="1" si="218"/>
        <v>29661236521766.105</v>
      </c>
      <c r="F1560" s="53">
        <f t="shared" ca="1" si="219"/>
        <v>6509107923721.4717</v>
      </c>
      <c r="G1560" s="53">
        <f t="shared" ca="1" si="220"/>
        <v>3165329518412.124</v>
      </c>
      <c r="H1560" s="53">
        <f t="shared" ca="1" si="221"/>
        <v>3165329518412.124</v>
      </c>
      <c r="I1560" s="53">
        <f t="shared" ca="1" si="222"/>
        <v>6163347127392.9551</v>
      </c>
      <c r="J1560" s="53">
        <f t="shared" ca="1" si="223"/>
        <v>1044414637816.0094</v>
      </c>
      <c r="K1560" s="54">
        <f t="shared" ca="1" si="224"/>
        <v>5.9012454481499992</v>
      </c>
    </row>
    <row r="1561" spans="2:11" ht="15" customHeight="1" x14ac:dyDescent="0.35">
      <c r="B1561" s="5">
        <v>1540</v>
      </c>
      <c r="C1561" s="52">
        <f t="shared" ca="1" si="216"/>
        <v>3.3892449615862206</v>
      </c>
      <c r="D1561" s="53">
        <f t="shared" ca="1" si="217"/>
        <v>7242325772.3456373</v>
      </c>
      <c r="E1561" s="53">
        <f t="shared" ca="1" si="218"/>
        <v>5756386847102.3408</v>
      </c>
      <c r="F1561" s="53">
        <f t="shared" ca="1" si="219"/>
        <v>1776276550655.7996</v>
      </c>
      <c r="G1561" s="53">
        <f t="shared" ca="1" si="220"/>
        <v>4625837147472.2598</v>
      </c>
      <c r="H1561" s="53">
        <f t="shared" ca="1" si="221"/>
        <v>4625837147472.2598</v>
      </c>
      <c r="I1561" s="53">
        <f t="shared" ca="1" si="222"/>
        <v>3586350899439.3921</v>
      </c>
      <c r="J1561" s="53">
        <f t="shared" ca="1" si="223"/>
        <v>995871829579.74988</v>
      </c>
      <c r="K1561" s="54">
        <f t="shared" ca="1" si="224"/>
        <v>3.6012173383323876</v>
      </c>
    </row>
    <row r="1562" spans="2:11" ht="15" customHeight="1" x14ac:dyDescent="0.35">
      <c r="B1562" s="5">
        <v>1541</v>
      </c>
      <c r="C1562" s="52">
        <f t="shared" ca="1" si="216"/>
        <v>2.7760162445794205</v>
      </c>
      <c r="D1562" s="53">
        <f t="shared" ca="1" si="217"/>
        <v>3895960133.9592524</v>
      </c>
      <c r="E1562" s="53">
        <f t="shared" ca="1" si="218"/>
        <v>35249874456016.867</v>
      </c>
      <c r="F1562" s="53">
        <f t="shared" ca="1" si="219"/>
        <v>430277224365.73669</v>
      </c>
      <c r="G1562" s="53">
        <f t="shared" ca="1" si="220"/>
        <v>29697075415618.316</v>
      </c>
      <c r="H1562" s="53">
        <f t="shared" ca="1" si="221"/>
        <v>29697075415618.316</v>
      </c>
      <c r="I1562" s="53">
        <f t="shared" ca="1" si="222"/>
        <v>8760674662573.8135</v>
      </c>
      <c r="J1562" s="53">
        <f t="shared" ca="1" si="223"/>
        <v>937010608850.20142</v>
      </c>
      <c r="K1562" s="54">
        <f t="shared" ca="1" si="224"/>
        <v>9.3496002924918535</v>
      </c>
    </row>
    <row r="1563" spans="2:11" ht="15" customHeight="1" x14ac:dyDescent="0.35">
      <c r="B1563" s="5">
        <v>1542</v>
      </c>
      <c r="C1563" s="52">
        <f t="shared" ca="1" si="216"/>
        <v>3.3158578674805912</v>
      </c>
      <c r="D1563" s="53">
        <f t="shared" ca="1" si="217"/>
        <v>7326296574.4962702</v>
      </c>
      <c r="E1563" s="53">
        <f t="shared" ca="1" si="218"/>
        <v>31000560623724.414</v>
      </c>
      <c r="F1563" s="53">
        <f t="shared" ca="1" si="219"/>
        <v>4214940127635.5356</v>
      </c>
      <c r="G1563" s="53">
        <f t="shared" ca="1" si="220"/>
        <v>1390916525239.4038</v>
      </c>
      <c r="H1563" s="53">
        <f t="shared" ca="1" si="221"/>
        <v>1390916525239.4038</v>
      </c>
      <c r="I1563" s="53">
        <f t="shared" ca="1" si="222"/>
        <v>2525144095108.1514</v>
      </c>
      <c r="J1563" s="53">
        <f t="shared" ca="1" si="223"/>
        <v>562726106607.12183</v>
      </c>
      <c r="K1563" s="54">
        <f t="shared" ca="1" si="224"/>
        <v>4.4873412934991652</v>
      </c>
    </row>
    <row r="1564" spans="2:11" ht="15" customHeight="1" x14ac:dyDescent="0.35">
      <c r="B1564" s="5">
        <v>1543</v>
      </c>
      <c r="C1564" s="52">
        <f t="shared" ca="1" si="216"/>
        <v>2.9416214775751879</v>
      </c>
      <c r="D1564" s="53">
        <f t="shared" ca="1" si="217"/>
        <v>4347162101.3735857</v>
      </c>
      <c r="E1564" s="53">
        <f t="shared" ca="1" si="218"/>
        <v>52245549674964.969</v>
      </c>
      <c r="F1564" s="53">
        <f t="shared" ca="1" si="219"/>
        <v>9440092182676.6992</v>
      </c>
      <c r="G1564" s="53">
        <f t="shared" ca="1" si="220"/>
        <v>702268695302.37158</v>
      </c>
      <c r="H1564" s="53">
        <f t="shared" ca="1" si="221"/>
        <v>702268695302.37158</v>
      </c>
      <c r="I1564" s="53">
        <f t="shared" ca="1" si="222"/>
        <v>9485844413688.4316</v>
      </c>
      <c r="J1564" s="53">
        <f t="shared" ca="1" si="223"/>
        <v>684737896880.75659</v>
      </c>
      <c r="K1564" s="54">
        <f t="shared" ca="1" si="224"/>
        <v>13.853248749485148</v>
      </c>
    </row>
    <row r="1565" spans="2:11" ht="15" customHeight="1" x14ac:dyDescent="0.35">
      <c r="B1565" s="5">
        <v>1544</v>
      </c>
      <c r="C1565" s="52">
        <f t="shared" ca="1" si="216"/>
        <v>2.7103818381037712</v>
      </c>
      <c r="D1565" s="53">
        <f t="shared" ca="1" si="217"/>
        <v>2732565104.2179027</v>
      </c>
      <c r="E1565" s="53">
        <f t="shared" ca="1" si="218"/>
        <v>4299797349630.4771</v>
      </c>
      <c r="F1565" s="53">
        <f t="shared" ca="1" si="219"/>
        <v>4249134889019.1597</v>
      </c>
      <c r="G1565" s="53">
        <f t="shared" ca="1" si="220"/>
        <v>1604897268183.0676</v>
      </c>
      <c r="H1565" s="53">
        <f t="shared" ca="1" si="221"/>
        <v>1604897268183.0676</v>
      </c>
      <c r="I1565" s="53">
        <f t="shared" ca="1" si="222"/>
        <v>4092417638292.7505</v>
      </c>
      <c r="J1565" s="53">
        <f t="shared" ca="1" si="223"/>
        <v>895505600261.06104</v>
      </c>
      <c r="K1565" s="54">
        <f t="shared" ca="1" si="224"/>
        <v>4.5699520327954559</v>
      </c>
    </row>
    <row r="1566" spans="2:11" ht="15" customHeight="1" x14ac:dyDescent="0.35">
      <c r="B1566" s="5">
        <v>1545</v>
      </c>
      <c r="C1566" s="52">
        <f t="shared" ca="1" si="216"/>
        <v>2.7416422521427175</v>
      </c>
      <c r="D1566" s="53">
        <f t="shared" ca="1" si="217"/>
        <v>2842962803.891264</v>
      </c>
      <c r="E1566" s="53">
        <f t="shared" ca="1" si="218"/>
        <v>5642564707150.4297</v>
      </c>
      <c r="F1566" s="53">
        <f t="shared" ca="1" si="219"/>
        <v>1511245439264.2639</v>
      </c>
      <c r="G1566" s="53">
        <f t="shared" ca="1" si="220"/>
        <v>4128081279161.7056</v>
      </c>
      <c r="H1566" s="53">
        <f t="shared" ca="1" si="221"/>
        <v>4128081279161.7056</v>
      </c>
      <c r="I1566" s="53">
        <f t="shared" ca="1" si="222"/>
        <v>3920712702633.4795</v>
      </c>
      <c r="J1566" s="53">
        <f t="shared" ca="1" si="223"/>
        <v>899603472627.74146</v>
      </c>
      <c r="K1566" s="54">
        <f t="shared" ca="1" si="224"/>
        <v>4.3582676389421655</v>
      </c>
    </row>
    <row r="1567" spans="2:11" ht="15" customHeight="1" x14ac:dyDescent="0.35">
      <c r="B1567" s="5">
        <v>1546</v>
      </c>
      <c r="C1567" s="52">
        <f t="shared" ca="1" si="216"/>
        <v>2.7301313101845981</v>
      </c>
      <c r="D1567" s="53">
        <f t="shared" ca="1" si="217"/>
        <v>2709007405.6935968</v>
      </c>
      <c r="E1567" s="53">
        <f t="shared" ca="1" si="218"/>
        <v>11890875669072.203</v>
      </c>
      <c r="F1567" s="53">
        <f t="shared" ca="1" si="219"/>
        <v>1139164013561.8459</v>
      </c>
      <c r="G1567" s="53">
        <f t="shared" ca="1" si="220"/>
        <v>252412637312.22656</v>
      </c>
      <c r="H1567" s="53">
        <f t="shared" ca="1" si="221"/>
        <v>11890875669072.203</v>
      </c>
      <c r="I1567" s="53">
        <f t="shared" ca="1" si="222"/>
        <v>10547506157792.383</v>
      </c>
      <c r="J1567" s="53">
        <f t="shared" ca="1" si="223"/>
        <v>1869261480331.3901</v>
      </c>
      <c r="K1567" s="54">
        <f t="shared" ca="1" si="224"/>
        <v>5.6426060606151678</v>
      </c>
    </row>
    <row r="1568" spans="2:11" ht="15" customHeight="1" x14ac:dyDescent="0.35">
      <c r="B1568" s="5">
        <v>1547</v>
      </c>
      <c r="C1568" s="52">
        <f t="shared" ca="1" si="216"/>
        <v>3.68335584642537</v>
      </c>
      <c r="D1568" s="53">
        <f t="shared" ca="1" si="217"/>
        <v>15740175563.55525</v>
      </c>
      <c r="E1568" s="53">
        <f t="shared" ca="1" si="218"/>
        <v>24685305715091.523</v>
      </c>
      <c r="F1568" s="53">
        <f t="shared" ca="1" si="219"/>
        <v>6229682728747.7705</v>
      </c>
      <c r="G1568" s="53">
        <f t="shared" ca="1" si="220"/>
        <v>13643253211517.279</v>
      </c>
      <c r="H1568" s="53">
        <f t="shared" ca="1" si="221"/>
        <v>24685305715091.523</v>
      </c>
      <c r="I1568" s="53">
        <f t="shared" ca="1" si="222"/>
        <v>17160853380931.977</v>
      </c>
      <c r="J1568" s="53">
        <f t="shared" ca="1" si="223"/>
        <v>831563148763.35144</v>
      </c>
      <c r="K1568" s="54">
        <f t="shared" ca="1" si="224"/>
        <v>20.636861321298955</v>
      </c>
    </row>
    <row r="1569" spans="2:11" ht="15" customHeight="1" x14ac:dyDescent="0.35">
      <c r="B1569" s="5">
        <v>1548</v>
      </c>
      <c r="C1569" s="52">
        <f t="shared" ca="1" si="216"/>
        <v>2.8075171156299508</v>
      </c>
      <c r="D1569" s="53">
        <f t="shared" ca="1" si="217"/>
        <v>3715321051.998313</v>
      </c>
      <c r="E1569" s="53">
        <f t="shared" ca="1" si="218"/>
        <v>25490684112166.891</v>
      </c>
      <c r="F1569" s="53">
        <f t="shared" ca="1" si="219"/>
        <v>19219702324648.168</v>
      </c>
      <c r="G1569" s="53">
        <f t="shared" ca="1" si="220"/>
        <v>2309062769279.3652</v>
      </c>
      <c r="H1569" s="53">
        <f t="shared" ca="1" si="221"/>
        <v>19219702324648.168</v>
      </c>
      <c r="I1569" s="53">
        <f t="shared" ca="1" si="222"/>
        <v>6797946241521.5986</v>
      </c>
      <c r="J1569" s="53">
        <f t="shared" ca="1" si="223"/>
        <v>1095177535770.1217</v>
      </c>
      <c r="K1569" s="54">
        <f t="shared" ca="1" si="224"/>
        <v>6.207163696743768</v>
      </c>
    </row>
    <row r="1570" spans="2:11" ht="15" customHeight="1" x14ac:dyDescent="0.35">
      <c r="B1570" s="5">
        <v>1549</v>
      </c>
      <c r="C1570" s="52">
        <f t="shared" ca="1" si="216"/>
        <v>2.5276602984908045</v>
      </c>
      <c r="D1570" s="53">
        <f t="shared" ca="1" si="217"/>
        <v>2143085415.1088336</v>
      </c>
      <c r="E1570" s="53">
        <f t="shared" ca="1" si="218"/>
        <v>2985611544918.2007</v>
      </c>
      <c r="F1570" s="53">
        <f t="shared" ca="1" si="219"/>
        <v>1507612411506.4509</v>
      </c>
      <c r="G1570" s="53">
        <f t="shared" ca="1" si="220"/>
        <v>18414998325034.727</v>
      </c>
      <c r="H1570" s="53">
        <f t="shared" ca="1" si="221"/>
        <v>2985611544918.2007</v>
      </c>
      <c r="I1570" s="53">
        <f t="shared" ca="1" si="222"/>
        <v>4237410224828.0044</v>
      </c>
      <c r="J1570" s="53">
        <f t="shared" ca="1" si="223"/>
        <v>856322205650.20349</v>
      </c>
      <c r="K1570" s="54">
        <f t="shared" ca="1" si="224"/>
        <v>4.9483829764878609</v>
      </c>
    </row>
    <row r="1571" spans="2:11" ht="15" customHeight="1" x14ac:dyDescent="0.35">
      <c r="B1571" s="5">
        <v>1550</v>
      </c>
      <c r="C1571" s="52">
        <f t="shared" ca="1" si="216"/>
        <v>3.4612766078490926</v>
      </c>
      <c r="D1571" s="53">
        <f t="shared" ca="1" si="217"/>
        <v>9965935017.0934849</v>
      </c>
      <c r="E1571" s="53">
        <f t="shared" ca="1" si="218"/>
        <v>40402208921341.109</v>
      </c>
      <c r="F1571" s="53">
        <f t="shared" ca="1" si="219"/>
        <v>932086283434.38708</v>
      </c>
      <c r="G1571" s="53">
        <f t="shared" ca="1" si="220"/>
        <v>7379452320420.2363</v>
      </c>
      <c r="H1571" s="53">
        <f t="shared" ca="1" si="221"/>
        <v>7379452320420.2363</v>
      </c>
      <c r="I1571" s="53">
        <f t="shared" ca="1" si="222"/>
        <v>7544604103124.6689</v>
      </c>
      <c r="J1571" s="53">
        <f t="shared" ca="1" si="223"/>
        <v>995357215651.42249</v>
      </c>
      <c r="K1571" s="54">
        <f t="shared" ca="1" si="224"/>
        <v>7.5797954588464203</v>
      </c>
    </row>
    <row r="1572" spans="2:11" ht="15" customHeight="1" x14ac:dyDescent="0.35">
      <c r="B1572" s="5">
        <v>1551</v>
      </c>
      <c r="C1572" s="52">
        <f t="shared" ca="1" si="216"/>
        <v>3.8609356224501967</v>
      </c>
      <c r="D1572" s="53">
        <f t="shared" ca="1" si="217"/>
        <v>14494002813.882162</v>
      </c>
      <c r="E1572" s="53">
        <f t="shared" ca="1" si="218"/>
        <v>96298377644783.641</v>
      </c>
      <c r="F1572" s="53">
        <f t="shared" ca="1" si="219"/>
        <v>7754196733959.707</v>
      </c>
      <c r="G1572" s="53">
        <f t="shared" ca="1" si="220"/>
        <v>1754969620060.0913</v>
      </c>
      <c r="H1572" s="53">
        <f t="shared" ca="1" si="221"/>
        <v>7754196733959.707</v>
      </c>
      <c r="I1572" s="53">
        <f t="shared" ca="1" si="222"/>
        <v>638769184300.58606</v>
      </c>
      <c r="J1572" s="53">
        <f t="shared" ca="1" si="223"/>
        <v>792769341197.39746</v>
      </c>
      <c r="K1572" s="54">
        <f t="shared" ca="1" si="224"/>
        <v>0.80574405581299369</v>
      </c>
    </row>
    <row r="1573" spans="2:11" ht="15" customHeight="1" x14ac:dyDescent="0.35">
      <c r="B1573" s="5">
        <v>1552</v>
      </c>
      <c r="C1573" s="52">
        <f t="shared" ca="1" si="216"/>
        <v>3.2055775319401874</v>
      </c>
      <c r="D1573" s="53">
        <f t="shared" ca="1" si="217"/>
        <v>5890480249.2013216</v>
      </c>
      <c r="E1573" s="53">
        <f t="shared" ca="1" si="218"/>
        <v>22679270837876.031</v>
      </c>
      <c r="F1573" s="53">
        <f t="shared" ca="1" si="219"/>
        <v>3414197299955.0591</v>
      </c>
      <c r="G1573" s="53">
        <f t="shared" ca="1" si="220"/>
        <v>113413053739830.06</v>
      </c>
      <c r="H1573" s="53">
        <f t="shared" ca="1" si="221"/>
        <v>113413053739830.06</v>
      </c>
      <c r="I1573" s="53">
        <f t="shared" ca="1" si="222"/>
        <v>9008227981710.793</v>
      </c>
      <c r="J1573" s="53">
        <f t="shared" ca="1" si="223"/>
        <v>937885951603.21375</v>
      </c>
      <c r="K1573" s="54">
        <f t="shared" ca="1" si="224"/>
        <v>9.6048223841205953</v>
      </c>
    </row>
    <row r="1574" spans="2:11" ht="15" customHeight="1" x14ac:dyDescent="0.35">
      <c r="B1574" s="5">
        <v>1553</v>
      </c>
      <c r="C1574" s="52">
        <f t="shared" ca="1" si="216"/>
        <v>2.9761126823421029</v>
      </c>
      <c r="D1574" s="53">
        <f t="shared" ca="1" si="217"/>
        <v>5368739050.2084799</v>
      </c>
      <c r="E1574" s="53">
        <f t="shared" ca="1" si="218"/>
        <v>13055672781059.137</v>
      </c>
      <c r="F1574" s="53">
        <f t="shared" ca="1" si="219"/>
        <v>10457106256571.141</v>
      </c>
      <c r="G1574" s="53">
        <f t="shared" ca="1" si="220"/>
        <v>1918406305331.0801</v>
      </c>
      <c r="H1574" s="53">
        <f t="shared" ca="1" si="221"/>
        <v>10457106256571.141</v>
      </c>
      <c r="I1574" s="53">
        <f t="shared" ca="1" si="222"/>
        <v>16940171775426.859</v>
      </c>
      <c r="J1574" s="53">
        <f t="shared" ca="1" si="223"/>
        <v>1021187309665.9758</v>
      </c>
      <c r="K1574" s="54">
        <f t="shared" ca="1" si="224"/>
        <v>16.588701813155009</v>
      </c>
    </row>
    <row r="1575" spans="2:11" ht="15" customHeight="1" x14ac:dyDescent="0.35">
      <c r="B1575" s="5">
        <v>1554</v>
      </c>
      <c r="C1575" s="52">
        <f t="shared" ca="1" si="216"/>
        <v>3.3686521888914509</v>
      </c>
      <c r="D1575" s="53">
        <f t="shared" ca="1" si="217"/>
        <v>9853074735.7178459</v>
      </c>
      <c r="E1575" s="53">
        <f t="shared" ca="1" si="218"/>
        <v>46602965572062.141</v>
      </c>
      <c r="F1575" s="53">
        <f t="shared" ca="1" si="219"/>
        <v>3514022345843.6299</v>
      </c>
      <c r="G1575" s="53">
        <f t="shared" ca="1" si="220"/>
        <v>3225848827381.5596</v>
      </c>
      <c r="H1575" s="53">
        <f t="shared" ca="1" si="221"/>
        <v>3225848827381.5596</v>
      </c>
      <c r="I1575" s="53">
        <f t="shared" ca="1" si="222"/>
        <v>5328127520688.5127</v>
      </c>
      <c r="J1575" s="53">
        <f t="shared" ca="1" si="223"/>
        <v>1215456223648.7112</v>
      </c>
      <c r="K1575" s="54">
        <f t="shared" ca="1" si="224"/>
        <v>4.3836441140544427</v>
      </c>
    </row>
    <row r="1576" spans="2:11" ht="15" customHeight="1" x14ac:dyDescent="0.35">
      <c r="B1576" s="5">
        <v>1555</v>
      </c>
      <c r="C1576" s="52">
        <f t="shared" ca="1" si="216"/>
        <v>2.9900739649116757</v>
      </c>
      <c r="D1576" s="53">
        <f t="shared" ca="1" si="217"/>
        <v>5280664111.8105707</v>
      </c>
      <c r="E1576" s="53">
        <f t="shared" ca="1" si="218"/>
        <v>36617385261090.977</v>
      </c>
      <c r="F1576" s="53">
        <f t="shared" ca="1" si="219"/>
        <v>12395344709796.463</v>
      </c>
      <c r="G1576" s="53">
        <f t="shared" ca="1" si="220"/>
        <v>68858131005250.758</v>
      </c>
      <c r="H1576" s="53">
        <f t="shared" ca="1" si="221"/>
        <v>68858131005250.758</v>
      </c>
      <c r="I1576" s="53">
        <f t="shared" ca="1" si="222"/>
        <v>77447044452316.656</v>
      </c>
      <c r="J1576" s="53">
        <f t="shared" ca="1" si="223"/>
        <v>1268645988834.4526</v>
      </c>
      <c r="K1576" s="54">
        <f t="shared" ca="1" si="224"/>
        <v>61.047010067378871</v>
      </c>
    </row>
    <row r="1577" spans="2:11" ht="15" customHeight="1" x14ac:dyDescent="0.35">
      <c r="B1577" s="5">
        <v>1556</v>
      </c>
      <c r="C1577" s="52">
        <f t="shared" ca="1" si="216"/>
        <v>3.5686227481108972</v>
      </c>
      <c r="D1577" s="53">
        <f t="shared" ca="1" si="217"/>
        <v>10532219669.707615</v>
      </c>
      <c r="E1577" s="53">
        <f t="shared" ca="1" si="218"/>
        <v>83402856345359.859</v>
      </c>
      <c r="F1577" s="53">
        <f t="shared" ca="1" si="219"/>
        <v>255725340959.90717</v>
      </c>
      <c r="G1577" s="53">
        <f t="shared" ca="1" si="220"/>
        <v>152983953646.0267</v>
      </c>
      <c r="H1577" s="53">
        <f t="shared" ca="1" si="221"/>
        <v>255725340959.90717</v>
      </c>
      <c r="I1577" s="53">
        <f t="shared" ca="1" si="222"/>
        <v>6068503508498.6387</v>
      </c>
      <c r="J1577" s="53">
        <f t="shared" ca="1" si="223"/>
        <v>850887319180.75732</v>
      </c>
      <c r="K1577" s="54">
        <f t="shared" ca="1" si="224"/>
        <v>7.1319707929616971</v>
      </c>
    </row>
    <row r="1578" spans="2:11" ht="15" customHeight="1" x14ac:dyDescent="0.35">
      <c r="B1578" s="5">
        <v>1557</v>
      </c>
      <c r="C1578" s="52">
        <f t="shared" ca="1" si="216"/>
        <v>2.2266324793864642</v>
      </c>
      <c r="D1578" s="53">
        <f t="shared" ca="1" si="217"/>
        <v>1127410338.4809804</v>
      </c>
      <c r="E1578" s="53">
        <f t="shared" ca="1" si="218"/>
        <v>1105539110297.6411</v>
      </c>
      <c r="F1578" s="53">
        <f t="shared" ca="1" si="219"/>
        <v>1257133607663.5078</v>
      </c>
      <c r="G1578" s="53">
        <f t="shared" ca="1" si="220"/>
        <v>8450436785628.2773</v>
      </c>
      <c r="H1578" s="53">
        <f t="shared" ca="1" si="221"/>
        <v>1105539110297.6411</v>
      </c>
      <c r="I1578" s="53">
        <f t="shared" ca="1" si="222"/>
        <v>5525500612484.9102</v>
      </c>
      <c r="J1578" s="53">
        <f t="shared" ca="1" si="223"/>
        <v>876564180805.15649</v>
      </c>
      <c r="K1578" s="54">
        <f t="shared" ca="1" si="224"/>
        <v>6.3035893246396792</v>
      </c>
    </row>
    <row r="1579" spans="2:11" ht="15" customHeight="1" x14ac:dyDescent="0.35">
      <c r="B1579" s="5">
        <v>1558</v>
      </c>
      <c r="C1579" s="52">
        <f t="shared" ca="1" si="216"/>
        <v>2.395424297618661</v>
      </c>
      <c r="D1579" s="53">
        <f t="shared" ca="1" si="217"/>
        <v>1401612310.3380258</v>
      </c>
      <c r="E1579" s="53">
        <f t="shared" ca="1" si="218"/>
        <v>3907454635984.2588</v>
      </c>
      <c r="F1579" s="53">
        <f t="shared" ca="1" si="219"/>
        <v>2004791082376.7603</v>
      </c>
      <c r="G1579" s="53">
        <f t="shared" ca="1" si="220"/>
        <v>398107910874.18933</v>
      </c>
      <c r="H1579" s="53">
        <f t="shared" ca="1" si="221"/>
        <v>398107910874.18933</v>
      </c>
      <c r="I1579" s="53">
        <f t="shared" ca="1" si="222"/>
        <v>33893461589440.516</v>
      </c>
      <c r="J1579" s="53">
        <f t="shared" ca="1" si="223"/>
        <v>815926920262.67297</v>
      </c>
      <c r="K1579" s="54">
        <f t="shared" ca="1" si="224"/>
        <v>41.539825133517013</v>
      </c>
    </row>
    <row r="1580" spans="2:11" ht="15" customHeight="1" x14ac:dyDescent="0.35">
      <c r="B1580" s="5">
        <v>1559</v>
      </c>
      <c r="C1580" s="52">
        <f t="shared" ca="1" si="216"/>
        <v>2.5363112436121171</v>
      </c>
      <c r="D1580" s="53">
        <f t="shared" ca="1" si="217"/>
        <v>2278549769.4353356</v>
      </c>
      <c r="E1580" s="53">
        <f t="shared" ca="1" si="218"/>
        <v>9261327700557.5703</v>
      </c>
      <c r="F1580" s="53">
        <f t="shared" ca="1" si="219"/>
        <v>1438119238810.748</v>
      </c>
      <c r="G1580" s="53">
        <f t="shared" ca="1" si="220"/>
        <v>6860297675741.3564</v>
      </c>
      <c r="H1580" s="53">
        <f t="shared" ca="1" si="221"/>
        <v>9261327700557.5703</v>
      </c>
      <c r="I1580" s="53">
        <f t="shared" ca="1" si="222"/>
        <v>3417011978762.876</v>
      </c>
      <c r="J1580" s="53">
        <f t="shared" ca="1" si="223"/>
        <v>868756643158.95386</v>
      </c>
      <c r="K1580" s="54">
        <f t="shared" ca="1" si="224"/>
        <v>3.9332211220141144</v>
      </c>
    </row>
    <row r="1581" spans="2:11" ht="15" customHeight="1" x14ac:dyDescent="0.35">
      <c r="B1581" s="5">
        <v>1560</v>
      </c>
      <c r="C1581" s="52">
        <f t="shared" ca="1" si="216"/>
        <v>2.9245723429333381</v>
      </c>
      <c r="D1581" s="53">
        <f t="shared" ca="1" si="217"/>
        <v>3933729684.4469767</v>
      </c>
      <c r="E1581" s="53">
        <f t="shared" ca="1" si="218"/>
        <v>8313953572699.2637</v>
      </c>
      <c r="F1581" s="53">
        <f t="shared" ca="1" si="219"/>
        <v>912771793754.57397</v>
      </c>
      <c r="G1581" s="53">
        <f t="shared" ca="1" si="220"/>
        <v>354289738824.90637</v>
      </c>
      <c r="H1581" s="53">
        <f t="shared" ca="1" si="221"/>
        <v>912771793754.57397</v>
      </c>
      <c r="I1581" s="53">
        <f t="shared" ca="1" si="222"/>
        <v>1795845715892.8809</v>
      </c>
      <c r="J1581" s="53">
        <f t="shared" ca="1" si="223"/>
        <v>1110343662267.8723</v>
      </c>
      <c r="K1581" s="54">
        <f t="shared" ca="1" si="224"/>
        <v>1.617378273880425</v>
      </c>
    </row>
    <row r="1582" spans="2:11" ht="15" customHeight="1" x14ac:dyDescent="0.35">
      <c r="B1582" s="5">
        <v>1561</v>
      </c>
      <c r="C1582" s="52">
        <f t="shared" ca="1" si="216"/>
        <v>2.89398600594643</v>
      </c>
      <c r="D1582" s="53">
        <f t="shared" ca="1" si="217"/>
        <v>4652079279.7548819</v>
      </c>
      <c r="E1582" s="53">
        <f t="shared" ca="1" si="218"/>
        <v>7189168312715.6836</v>
      </c>
      <c r="F1582" s="53">
        <f t="shared" ca="1" si="219"/>
        <v>3769732617141.5059</v>
      </c>
      <c r="G1582" s="53">
        <f t="shared" ca="1" si="220"/>
        <v>577322181266.62317</v>
      </c>
      <c r="H1582" s="53">
        <f t="shared" ca="1" si="221"/>
        <v>7189168312715.6836</v>
      </c>
      <c r="I1582" s="53">
        <f t="shared" ca="1" si="222"/>
        <v>3242737532932.0352</v>
      </c>
      <c r="J1582" s="53">
        <f t="shared" ca="1" si="223"/>
        <v>1551319962823.394</v>
      </c>
      <c r="K1582" s="54">
        <f t="shared" ca="1" si="224"/>
        <v>2.0903086472440346</v>
      </c>
    </row>
    <row r="1583" spans="2:11" ht="15" customHeight="1" x14ac:dyDescent="0.35">
      <c r="B1583" s="5">
        <v>1562</v>
      </c>
      <c r="C1583" s="52">
        <f t="shared" ca="1" si="216"/>
        <v>2.8288515917120591</v>
      </c>
      <c r="D1583" s="53">
        <f t="shared" ca="1" si="217"/>
        <v>3046435890.9966912</v>
      </c>
      <c r="E1583" s="53">
        <f t="shared" ca="1" si="218"/>
        <v>10884531831464.365</v>
      </c>
      <c r="F1583" s="53">
        <f t="shared" ca="1" si="219"/>
        <v>1177803181613.3813</v>
      </c>
      <c r="G1583" s="53">
        <f t="shared" ca="1" si="220"/>
        <v>21527598539582.656</v>
      </c>
      <c r="H1583" s="53">
        <f t="shared" ca="1" si="221"/>
        <v>21527598539582.656</v>
      </c>
      <c r="I1583" s="53">
        <f t="shared" ca="1" si="222"/>
        <v>7963792934913.0371</v>
      </c>
      <c r="J1583" s="53">
        <f t="shared" ca="1" si="223"/>
        <v>1416711783117.5991</v>
      </c>
      <c r="K1583" s="54">
        <f t="shared" ca="1" si="224"/>
        <v>5.621321873520392</v>
      </c>
    </row>
    <row r="1584" spans="2:11" ht="15" customHeight="1" x14ac:dyDescent="0.35">
      <c r="B1584" s="5">
        <v>1563</v>
      </c>
      <c r="C1584" s="52">
        <f t="shared" ca="1" si="216"/>
        <v>2.7244992051702814</v>
      </c>
      <c r="D1584" s="53">
        <f t="shared" ca="1" si="217"/>
        <v>3509747058.5394621</v>
      </c>
      <c r="E1584" s="53">
        <f t="shared" ca="1" si="218"/>
        <v>29075908884430.273</v>
      </c>
      <c r="F1584" s="53">
        <f t="shared" ca="1" si="219"/>
        <v>1442060468885.4512</v>
      </c>
      <c r="G1584" s="53">
        <f t="shared" ca="1" si="220"/>
        <v>9095049653286.207</v>
      </c>
      <c r="H1584" s="53">
        <f t="shared" ca="1" si="221"/>
        <v>1442060468885.4512</v>
      </c>
      <c r="I1584" s="53">
        <f t="shared" ca="1" si="222"/>
        <v>2345942620576.876</v>
      </c>
      <c r="J1584" s="53">
        <f t="shared" ca="1" si="223"/>
        <v>1404431918267.2078</v>
      </c>
      <c r="K1584" s="54">
        <f t="shared" ca="1" si="224"/>
        <v>1.6703854348962013</v>
      </c>
    </row>
    <row r="1585" spans="2:11" ht="15" customHeight="1" x14ac:dyDescent="0.35">
      <c r="B1585" s="5">
        <v>1564</v>
      </c>
      <c r="C1585" s="52">
        <f t="shared" ca="1" si="216"/>
        <v>3.2279595715534404</v>
      </c>
      <c r="D1585" s="53">
        <f t="shared" ca="1" si="217"/>
        <v>5748767494.4592323</v>
      </c>
      <c r="E1585" s="53">
        <f t="shared" ca="1" si="218"/>
        <v>43184208525666.273</v>
      </c>
      <c r="F1585" s="53">
        <f t="shared" ca="1" si="219"/>
        <v>1447352761873.5979</v>
      </c>
      <c r="G1585" s="53">
        <f t="shared" ca="1" si="220"/>
        <v>6095997259560.999</v>
      </c>
      <c r="H1585" s="53">
        <f t="shared" ca="1" si="221"/>
        <v>6095997259560.999</v>
      </c>
      <c r="I1585" s="53">
        <f t="shared" ca="1" si="222"/>
        <v>13039003033599.494</v>
      </c>
      <c r="J1585" s="53">
        <f t="shared" ca="1" si="223"/>
        <v>1146089425929.5322</v>
      </c>
      <c r="K1585" s="54">
        <f t="shared" ca="1" si="224"/>
        <v>11.376950819543817</v>
      </c>
    </row>
    <row r="1586" spans="2:11" ht="15" customHeight="1" x14ac:dyDescent="0.35">
      <c r="B1586" s="5">
        <v>1565</v>
      </c>
      <c r="C1586" s="52">
        <f t="shared" ca="1" si="216"/>
        <v>3.0314253889614555</v>
      </c>
      <c r="D1586" s="53">
        <f t="shared" ca="1" si="217"/>
        <v>5890426874.6750689</v>
      </c>
      <c r="E1586" s="53">
        <f t="shared" ca="1" si="218"/>
        <v>302361556129500.5</v>
      </c>
      <c r="F1586" s="53">
        <f t="shared" ca="1" si="219"/>
        <v>7963482236852.5352</v>
      </c>
      <c r="G1586" s="53">
        <f t="shared" ca="1" si="220"/>
        <v>2742786281382.0503</v>
      </c>
      <c r="H1586" s="53">
        <f t="shared" ca="1" si="221"/>
        <v>7963482236852.5352</v>
      </c>
      <c r="I1586" s="53">
        <f t="shared" ca="1" si="222"/>
        <v>49947528985156.359</v>
      </c>
      <c r="J1586" s="53">
        <f t="shared" ca="1" si="223"/>
        <v>1343648493318.6172</v>
      </c>
      <c r="K1586" s="54">
        <f t="shared" ca="1" si="224"/>
        <v>37.173062176249083</v>
      </c>
    </row>
    <row r="1587" spans="2:11" ht="15" customHeight="1" x14ac:dyDescent="0.35">
      <c r="B1587" s="5">
        <v>1566</v>
      </c>
      <c r="C1587" s="52">
        <f t="shared" ca="1" si="216"/>
        <v>2.3205964623972708</v>
      </c>
      <c r="D1587" s="53">
        <f t="shared" ca="1" si="217"/>
        <v>1154721206.7527449</v>
      </c>
      <c r="E1587" s="53">
        <f t="shared" ca="1" si="218"/>
        <v>6713614454588.2705</v>
      </c>
      <c r="F1587" s="53">
        <f t="shared" ca="1" si="219"/>
        <v>3616113228043.3574</v>
      </c>
      <c r="G1587" s="53">
        <f t="shared" ca="1" si="220"/>
        <v>18105959898335.914</v>
      </c>
      <c r="H1587" s="53">
        <f t="shared" ca="1" si="221"/>
        <v>6713614454588.2705</v>
      </c>
      <c r="I1587" s="53">
        <f t="shared" ca="1" si="222"/>
        <v>18140986533538.844</v>
      </c>
      <c r="J1587" s="53">
        <f t="shared" ca="1" si="223"/>
        <v>966931977366.16675</v>
      </c>
      <c r="K1587" s="54">
        <f t="shared" ca="1" si="224"/>
        <v>18.761388554914909</v>
      </c>
    </row>
    <row r="1588" spans="2:11" ht="15" customHeight="1" x14ac:dyDescent="0.35">
      <c r="B1588" s="5">
        <v>1567</v>
      </c>
      <c r="C1588" s="52">
        <f t="shared" ca="1" si="216"/>
        <v>4.1195412454607041</v>
      </c>
      <c r="D1588" s="53">
        <f t="shared" ca="1" si="217"/>
        <v>20118340376.989353</v>
      </c>
      <c r="E1588" s="53">
        <f t="shared" ca="1" si="218"/>
        <v>102829330087422.91</v>
      </c>
      <c r="F1588" s="53">
        <f t="shared" ca="1" si="219"/>
        <v>11358218556467.492</v>
      </c>
      <c r="G1588" s="53">
        <f t="shared" ca="1" si="220"/>
        <v>128871993839752.72</v>
      </c>
      <c r="H1588" s="53">
        <f t="shared" ca="1" si="221"/>
        <v>102829330087422.91</v>
      </c>
      <c r="I1588" s="53">
        <f t="shared" ca="1" si="222"/>
        <v>93804294457529.484</v>
      </c>
      <c r="J1588" s="53">
        <f t="shared" ca="1" si="223"/>
        <v>1879017383126.9153</v>
      </c>
      <c r="K1588" s="54">
        <f t="shared" ca="1" si="224"/>
        <v>49.92199396337017</v>
      </c>
    </row>
    <row r="1589" spans="2:11" ht="15" customHeight="1" x14ac:dyDescent="0.35">
      <c r="B1589" s="5">
        <v>1568</v>
      </c>
      <c r="C1589" s="52">
        <f t="shared" ca="1" si="216"/>
        <v>2.2356899253287419</v>
      </c>
      <c r="D1589" s="53">
        <f t="shared" ca="1" si="217"/>
        <v>1105785361.3188043</v>
      </c>
      <c r="E1589" s="53">
        <f t="shared" ca="1" si="218"/>
        <v>17121417309047.775</v>
      </c>
      <c r="F1589" s="53">
        <f t="shared" ca="1" si="219"/>
        <v>1190219483797.1189</v>
      </c>
      <c r="G1589" s="53">
        <f t="shared" ca="1" si="220"/>
        <v>14819397505513.943</v>
      </c>
      <c r="H1589" s="53">
        <f t="shared" ca="1" si="221"/>
        <v>14819397505513.943</v>
      </c>
      <c r="I1589" s="53">
        <f t="shared" ca="1" si="222"/>
        <v>24366811077230.109</v>
      </c>
      <c r="J1589" s="53">
        <f t="shared" ca="1" si="223"/>
        <v>1165321425751.8796</v>
      </c>
      <c r="K1589" s="54">
        <f t="shared" ca="1" si="224"/>
        <v>20.909948567630895</v>
      </c>
    </row>
    <row r="1590" spans="2:11" ht="15" customHeight="1" x14ac:dyDescent="0.35">
      <c r="B1590" s="5">
        <v>1569</v>
      </c>
      <c r="C1590" s="52">
        <f t="shared" ca="1" si="216"/>
        <v>2.9163568657333903</v>
      </c>
      <c r="D1590" s="53">
        <f t="shared" ca="1" si="217"/>
        <v>3558171948.322824</v>
      </c>
      <c r="E1590" s="53">
        <f t="shared" ca="1" si="218"/>
        <v>1673712071495.238</v>
      </c>
      <c r="F1590" s="53">
        <f t="shared" ca="1" si="219"/>
        <v>1954574253219.1079</v>
      </c>
      <c r="G1590" s="53">
        <f t="shared" ca="1" si="220"/>
        <v>265626590691.35446</v>
      </c>
      <c r="H1590" s="53">
        <f t="shared" ca="1" si="221"/>
        <v>1954574253219.1079</v>
      </c>
      <c r="I1590" s="53">
        <f t="shared" ca="1" si="222"/>
        <v>9018218681237.2617</v>
      </c>
      <c r="J1590" s="53">
        <f t="shared" ca="1" si="223"/>
        <v>714156873072.89404</v>
      </c>
      <c r="K1590" s="54">
        <f t="shared" ca="1" si="224"/>
        <v>12.627783924326625</v>
      </c>
    </row>
    <row r="1591" spans="2:11" ht="15" customHeight="1" x14ac:dyDescent="0.35">
      <c r="B1591" s="5">
        <v>1570</v>
      </c>
      <c r="C1591" s="52">
        <f t="shared" ca="1" si="216"/>
        <v>3.0856935892358828</v>
      </c>
      <c r="D1591" s="53">
        <f t="shared" ca="1" si="217"/>
        <v>6620858505.985034</v>
      </c>
      <c r="E1591" s="53">
        <f t="shared" ca="1" si="218"/>
        <v>36042069744986.391</v>
      </c>
      <c r="F1591" s="53">
        <f t="shared" ca="1" si="219"/>
        <v>4022562486323.689</v>
      </c>
      <c r="G1591" s="53">
        <f t="shared" ca="1" si="220"/>
        <v>11381403491676.297</v>
      </c>
      <c r="H1591" s="53">
        <f t="shared" ca="1" si="221"/>
        <v>36042069744986.391</v>
      </c>
      <c r="I1591" s="53">
        <f t="shared" ca="1" si="222"/>
        <v>6727393009163.9141</v>
      </c>
      <c r="J1591" s="53">
        <f t="shared" ca="1" si="223"/>
        <v>1348881202204.427</v>
      </c>
      <c r="K1591" s="54">
        <f t="shared" ca="1" si="224"/>
        <v>4.9873873237832829</v>
      </c>
    </row>
    <row r="1592" spans="2:11" ht="15" customHeight="1" x14ac:dyDescent="0.35">
      <c r="B1592" s="5">
        <v>1571</v>
      </c>
      <c r="C1592" s="52">
        <f t="shared" ca="1" si="216"/>
        <v>2.7216096444345723</v>
      </c>
      <c r="D1592" s="53">
        <f t="shared" ca="1" si="217"/>
        <v>3471142071.2876644</v>
      </c>
      <c r="E1592" s="53">
        <f t="shared" ca="1" si="218"/>
        <v>5190916512461.9307</v>
      </c>
      <c r="F1592" s="53">
        <f t="shared" ca="1" si="219"/>
        <v>192502087444.55273</v>
      </c>
      <c r="G1592" s="53">
        <f t="shared" ca="1" si="220"/>
        <v>8738849526843.1299</v>
      </c>
      <c r="H1592" s="53">
        <f t="shared" ca="1" si="221"/>
        <v>5190916512461.9307</v>
      </c>
      <c r="I1592" s="53">
        <f t="shared" ca="1" si="222"/>
        <v>5239071038170.668</v>
      </c>
      <c r="J1592" s="53">
        <f t="shared" ca="1" si="223"/>
        <v>709792699629.09717</v>
      </c>
      <c r="K1592" s="54">
        <f t="shared" ca="1" si="224"/>
        <v>7.3811283786214616</v>
      </c>
    </row>
    <row r="1593" spans="2:11" ht="15" customHeight="1" x14ac:dyDescent="0.35">
      <c r="B1593" s="5">
        <v>1572</v>
      </c>
      <c r="C1593" s="52">
        <f t="shared" ca="1" si="216"/>
        <v>2.8991612858047984</v>
      </c>
      <c r="D1593" s="53">
        <f t="shared" ca="1" si="217"/>
        <v>3686616461.2027869</v>
      </c>
      <c r="E1593" s="53">
        <f t="shared" ca="1" si="218"/>
        <v>4900411860245.8867</v>
      </c>
      <c r="F1593" s="53">
        <f t="shared" ca="1" si="219"/>
        <v>9789040662116.0996</v>
      </c>
      <c r="G1593" s="53">
        <f t="shared" ca="1" si="220"/>
        <v>3810211648155.4961</v>
      </c>
      <c r="H1593" s="53">
        <f t="shared" ca="1" si="221"/>
        <v>4900411860245.8867</v>
      </c>
      <c r="I1593" s="53">
        <f t="shared" ca="1" si="222"/>
        <v>7254220929064.6191</v>
      </c>
      <c r="J1593" s="53">
        <f t="shared" ca="1" si="223"/>
        <v>830449036397.78149</v>
      </c>
      <c r="K1593" s="54">
        <f t="shared" ca="1" si="224"/>
        <v>8.73529935145819</v>
      </c>
    </row>
    <row r="1594" spans="2:11" ht="15" customHeight="1" x14ac:dyDescent="0.35">
      <c r="B1594" s="5">
        <v>1573</v>
      </c>
      <c r="C1594" s="52">
        <f t="shared" ca="1" si="216"/>
        <v>3.1463390884511599</v>
      </c>
      <c r="D1594" s="53">
        <f t="shared" ca="1" si="217"/>
        <v>5199674293.1942396</v>
      </c>
      <c r="E1594" s="53">
        <f t="shared" ca="1" si="218"/>
        <v>12808191587073.221</v>
      </c>
      <c r="F1594" s="53">
        <f t="shared" ca="1" si="219"/>
        <v>15254091951134.982</v>
      </c>
      <c r="G1594" s="53">
        <f t="shared" ca="1" si="220"/>
        <v>2246727829078.7627</v>
      </c>
      <c r="H1594" s="53">
        <f t="shared" ca="1" si="221"/>
        <v>15254091951134.982</v>
      </c>
      <c r="I1594" s="53">
        <f t="shared" ca="1" si="222"/>
        <v>12974680059319.295</v>
      </c>
      <c r="J1594" s="53">
        <f t="shared" ca="1" si="223"/>
        <v>967138504955.21033</v>
      </c>
      <c r="K1594" s="54">
        <f t="shared" ca="1" si="224"/>
        <v>13.415534582526183</v>
      </c>
    </row>
    <row r="1595" spans="2:11" ht="15" customHeight="1" x14ac:dyDescent="0.35">
      <c r="B1595" s="5">
        <v>1574</v>
      </c>
      <c r="C1595" s="52">
        <f t="shared" ca="1" si="216"/>
        <v>3.0283576727114481</v>
      </c>
      <c r="D1595" s="53">
        <f t="shared" ca="1" si="217"/>
        <v>5766590168.0742712</v>
      </c>
      <c r="E1595" s="53">
        <f t="shared" ca="1" si="218"/>
        <v>73290914772874.438</v>
      </c>
      <c r="F1595" s="53">
        <f t="shared" ca="1" si="219"/>
        <v>2259887038708.8286</v>
      </c>
      <c r="G1595" s="53">
        <f t="shared" ca="1" si="220"/>
        <v>35187105330463.344</v>
      </c>
      <c r="H1595" s="53">
        <f t="shared" ca="1" si="221"/>
        <v>2259887038708.8286</v>
      </c>
      <c r="I1595" s="53">
        <f t="shared" ca="1" si="222"/>
        <v>12170701203871.096</v>
      </c>
      <c r="J1595" s="53">
        <f t="shared" ca="1" si="223"/>
        <v>1273186271348.7854</v>
      </c>
      <c r="K1595" s="54">
        <f t="shared" ca="1" si="224"/>
        <v>9.559246339483165</v>
      </c>
    </row>
    <row r="1596" spans="2:11" ht="15" customHeight="1" x14ac:dyDescent="0.35">
      <c r="B1596" s="5">
        <v>1575</v>
      </c>
      <c r="C1596" s="52">
        <f t="shared" ca="1" si="216"/>
        <v>3.1022199752514288</v>
      </c>
      <c r="D1596" s="53">
        <f t="shared" ca="1" si="217"/>
        <v>6554993495.5047083</v>
      </c>
      <c r="E1596" s="53">
        <f t="shared" ca="1" si="218"/>
        <v>7956367307654.0918</v>
      </c>
      <c r="F1596" s="53">
        <f t="shared" ca="1" si="219"/>
        <v>3424326588660.0083</v>
      </c>
      <c r="G1596" s="53">
        <f t="shared" ca="1" si="220"/>
        <v>2846213625747.3716</v>
      </c>
      <c r="H1596" s="53">
        <f t="shared" ca="1" si="221"/>
        <v>2846213625747.3716</v>
      </c>
      <c r="I1596" s="53">
        <f t="shared" ca="1" si="222"/>
        <v>4167552571798.2256</v>
      </c>
      <c r="J1596" s="53">
        <f t="shared" ca="1" si="223"/>
        <v>572022872103.6355</v>
      </c>
      <c r="K1596" s="54">
        <f t="shared" ca="1" si="224"/>
        <v>7.2856397445645751</v>
      </c>
    </row>
    <row r="1597" spans="2:11" ht="15" customHeight="1" x14ac:dyDescent="0.35">
      <c r="B1597" s="5">
        <v>1576</v>
      </c>
      <c r="C1597" s="52">
        <f t="shared" ca="1" si="216"/>
        <v>2.5538844909564524</v>
      </c>
      <c r="D1597" s="53">
        <f t="shared" ca="1" si="217"/>
        <v>2181201877.6155076</v>
      </c>
      <c r="E1597" s="53">
        <f t="shared" ca="1" si="218"/>
        <v>12538228208309.064</v>
      </c>
      <c r="F1597" s="53">
        <f t="shared" ca="1" si="219"/>
        <v>10123663387366.629</v>
      </c>
      <c r="G1597" s="53">
        <f t="shared" ca="1" si="220"/>
        <v>909614739706.26953</v>
      </c>
      <c r="H1597" s="53">
        <f t="shared" ca="1" si="221"/>
        <v>12538228208309.064</v>
      </c>
      <c r="I1597" s="53">
        <f t="shared" ca="1" si="222"/>
        <v>41325955839316.727</v>
      </c>
      <c r="J1597" s="53">
        <f t="shared" ca="1" si="223"/>
        <v>1591108611108.217</v>
      </c>
      <c r="K1597" s="54">
        <f t="shared" ca="1" si="224"/>
        <v>25.973057747788154</v>
      </c>
    </row>
    <row r="1598" spans="2:11" ht="15" customHeight="1" x14ac:dyDescent="0.35">
      <c r="B1598" s="5">
        <v>1577</v>
      </c>
      <c r="C1598" s="52">
        <f t="shared" ca="1" si="216"/>
        <v>2.8543553630284362</v>
      </c>
      <c r="D1598" s="53">
        <f t="shared" ca="1" si="217"/>
        <v>3867379825.4703155</v>
      </c>
      <c r="E1598" s="53">
        <f t="shared" ca="1" si="218"/>
        <v>24940938404990.477</v>
      </c>
      <c r="F1598" s="53">
        <f t="shared" ca="1" si="219"/>
        <v>2460155113214.6831</v>
      </c>
      <c r="G1598" s="53">
        <f t="shared" ca="1" si="220"/>
        <v>1956662000940.7793</v>
      </c>
      <c r="H1598" s="53">
        <f t="shared" ca="1" si="221"/>
        <v>1956662000940.7793</v>
      </c>
      <c r="I1598" s="53">
        <f t="shared" ca="1" si="222"/>
        <v>3880552732989.8359</v>
      </c>
      <c r="J1598" s="53">
        <f t="shared" ca="1" si="223"/>
        <v>1301477344270.6135</v>
      </c>
      <c r="K1598" s="54">
        <f t="shared" ca="1" si="224"/>
        <v>2.9816521586586764</v>
      </c>
    </row>
    <row r="1599" spans="2:11" ht="15" customHeight="1" x14ac:dyDescent="0.35">
      <c r="B1599" s="5">
        <v>1578</v>
      </c>
      <c r="C1599" s="52">
        <f t="shared" ca="1" si="216"/>
        <v>3.0523999078725805</v>
      </c>
      <c r="D1599" s="53">
        <f t="shared" ca="1" si="217"/>
        <v>4863541490.8161783</v>
      </c>
      <c r="E1599" s="53">
        <f t="shared" ca="1" si="218"/>
        <v>4238997603887.7622</v>
      </c>
      <c r="F1599" s="53">
        <f t="shared" ca="1" si="219"/>
        <v>1126841397923.4028</v>
      </c>
      <c r="G1599" s="53">
        <f t="shared" ca="1" si="220"/>
        <v>732755125558.51782</v>
      </c>
      <c r="H1599" s="53">
        <f t="shared" ca="1" si="221"/>
        <v>4238997603887.7622</v>
      </c>
      <c r="I1599" s="53">
        <f t="shared" ca="1" si="222"/>
        <v>27269008697322.984</v>
      </c>
      <c r="J1599" s="53">
        <f t="shared" ca="1" si="223"/>
        <v>970204150380.97534</v>
      </c>
      <c r="K1599" s="54">
        <f t="shared" ca="1" si="224"/>
        <v>28.106464692626922</v>
      </c>
    </row>
    <row r="1600" spans="2:11" ht="15" customHeight="1" x14ac:dyDescent="0.35">
      <c r="B1600" s="5">
        <v>1579</v>
      </c>
      <c r="C1600" s="52">
        <f t="shared" ca="1" si="216"/>
        <v>3.3867796825816487</v>
      </c>
      <c r="D1600" s="53">
        <f t="shared" ca="1" si="217"/>
        <v>7623890612.9339457</v>
      </c>
      <c r="E1600" s="53">
        <f t="shared" ca="1" si="218"/>
        <v>25163960660338.766</v>
      </c>
      <c r="F1600" s="53">
        <f t="shared" ca="1" si="219"/>
        <v>7951919271611.1309</v>
      </c>
      <c r="G1600" s="53">
        <f t="shared" ca="1" si="220"/>
        <v>206181096322058.09</v>
      </c>
      <c r="H1600" s="53">
        <f t="shared" ca="1" si="221"/>
        <v>206181096322058.09</v>
      </c>
      <c r="I1600" s="53">
        <f t="shared" ca="1" si="222"/>
        <v>658564627154.76147</v>
      </c>
      <c r="J1600" s="53">
        <f t="shared" ca="1" si="223"/>
        <v>759985887949.27649</v>
      </c>
      <c r="K1600" s="54">
        <f t="shared" ca="1" si="224"/>
        <v>0.8665484946461478</v>
      </c>
    </row>
    <row r="1601" spans="2:11" ht="15" customHeight="1" x14ac:dyDescent="0.35">
      <c r="B1601" s="5">
        <v>1580</v>
      </c>
      <c r="C1601" s="52">
        <f t="shared" ca="1" si="216"/>
        <v>2.7160458093505522</v>
      </c>
      <c r="D1601" s="53">
        <f t="shared" ca="1" si="217"/>
        <v>2665349145.5895696</v>
      </c>
      <c r="E1601" s="53">
        <f t="shared" ca="1" si="218"/>
        <v>3212478338970.6582</v>
      </c>
      <c r="F1601" s="53">
        <f t="shared" ca="1" si="219"/>
        <v>10657230484940.053</v>
      </c>
      <c r="G1601" s="53">
        <f t="shared" ca="1" si="220"/>
        <v>857863251978.30103</v>
      </c>
      <c r="H1601" s="53">
        <f t="shared" ca="1" si="221"/>
        <v>3212478338970.6582</v>
      </c>
      <c r="I1601" s="53">
        <f t="shared" ca="1" si="222"/>
        <v>5039578458263.6016</v>
      </c>
      <c r="J1601" s="53">
        <f t="shared" ca="1" si="223"/>
        <v>1035021540891.6609</v>
      </c>
      <c r="K1601" s="54">
        <f t="shared" ca="1" si="224"/>
        <v>4.8690565936647605</v>
      </c>
    </row>
    <row r="1602" spans="2:11" ht="15" customHeight="1" x14ac:dyDescent="0.35">
      <c r="B1602" s="5">
        <v>1581</v>
      </c>
      <c r="C1602" s="52">
        <f t="shared" ca="1" si="216"/>
        <v>2.6834705193532051</v>
      </c>
      <c r="D1602" s="53">
        <f t="shared" ca="1" si="217"/>
        <v>2915077359.3563924</v>
      </c>
      <c r="E1602" s="53">
        <f t="shared" ca="1" si="218"/>
        <v>6058310884176.0068</v>
      </c>
      <c r="F1602" s="53">
        <f t="shared" ca="1" si="219"/>
        <v>9489918570424.0898</v>
      </c>
      <c r="G1602" s="53">
        <f t="shared" ca="1" si="220"/>
        <v>12608669294517.633</v>
      </c>
      <c r="H1602" s="53">
        <f t="shared" ca="1" si="221"/>
        <v>6058310884176.0068</v>
      </c>
      <c r="I1602" s="53">
        <f t="shared" ca="1" si="222"/>
        <v>5982363358104.3643</v>
      </c>
      <c r="J1602" s="53">
        <f t="shared" ca="1" si="223"/>
        <v>874457549785.7196</v>
      </c>
      <c r="K1602" s="54">
        <f t="shared" ca="1" si="224"/>
        <v>6.8412278670020124</v>
      </c>
    </row>
    <row r="1603" spans="2:11" ht="15" customHeight="1" x14ac:dyDescent="0.35">
      <c r="B1603" s="5">
        <v>1582</v>
      </c>
      <c r="C1603" s="52">
        <f t="shared" ca="1" si="216"/>
        <v>3.2320310417123683</v>
      </c>
      <c r="D1603" s="53">
        <f t="shared" ca="1" si="217"/>
        <v>7998353434.2546682</v>
      </c>
      <c r="E1603" s="53">
        <f t="shared" ca="1" si="218"/>
        <v>114154124484054.61</v>
      </c>
      <c r="F1603" s="53">
        <f t="shared" ca="1" si="219"/>
        <v>18937612041424.914</v>
      </c>
      <c r="G1603" s="53">
        <f t="shared" ca="1" si="220"/>
        <v>381284886903443.06</v>
      </c>
      <c r="H1603" s="53">
        <f t="shared" ca="1" si="221"/>
        <v>18937612041424.914</v>
      </c>
      <c r="I1603" s="53">
        <f t="shared" ca="1" si="222"/>
        <v>15611321150771.988</v>
      </c>
      <c r="J1603" s="53">
        <f t="shared" ca="1" si="223"/>
        <v>1454415418130.2053</v>
      </c>
      <c r="K1603" s="54">
        <f t="shared" ca="1" si="224"/>
        <v>10.733742888150816</v>
      </c>
    </row>
    <row r="1604" spans="2:11" ht="15" customHeight="1" x14ac:dyDescent="0.35">
      <c r="B1604" s="5">
        <v>1583</v>
      </c>
      <c r="C1604" s="52">
        <f t="shared" ca="1" si="216"/>
        <v>3.0798476975258193</v>
      </c>
      <c r="D1604" s="53">
        <f t="shared" ca="1" si="217"/>
        <v>5367520270.0791912</v>
      </c>
      <c r="E1604" s="53">
        <f t="shared" ca="1" si="218"/>
        <v>15180309221239.01</v>
      </c>
      <c r="F1604" s="53">
        <f t="shared" ca="1" si="219"/>
        <v>788085050074.84741</v>
      </c>
      <c r="G1604" s="53">
        <f t="shared" ca="1" si="220"/>
        <v>2431839524390.8403</v>
      </c>
      <c r="H1604" s="53">
        <f t="shared" ca="1" si="221"/>
        <v>788085050074.84741</v>
      </c>
      <c r="I1604" s="53">
        <f t="shared" ca="1" si="222"/>
        <v>9502124984596.4434</v>
      </c>
      <c r="J1604" s="53">
        <f t="shared" ca="1" si="223"/>
        <v>1048973334525.6718</v>
      </c>
      <c r="K1604" s="54">
        <f t="shared" ca="1" si="224"/>
        <v>9.0585000322178306</v>
      </c>
    </row>
    <row r="1605" spans="2:11" ht="15" customHeight="1" x14ac:dyDescent="0.35">
      <c r="B1605" s="5">
        <v>1584</v>
      </c>
      <c r="C1605" s="52">
        <f t="shared" ca="1" si="216"/>
        <v>2.7353137251273365</v>
      </c>
      <c r="D1605" s="53">
        <f t="shared" ca="1" si="217"/>
        <v>2634898359.7970414</v>
      </c>
      <c r="E1605" s="53">
        <f t="shared" ca="1" si="218"/>
        <v>22190881031901.121</v>
      </c>
      <c r="F1605" s="53">
        <f t="shared" ca="1" si="219"/>
        <v>9932569527012.6484</v>
      </c>
      <c r="G1605" s="53">
        <f t="shared" ca="1" si="220"/>
        <v>5428400611874.1621</v>
      </c>
      <c r="H1605" s="53">
        <f t="shared" ca="1" si="221"/>
        <v>9932569527012.6484</v>
      </c>
      <c r="I1605" s="53">
        <f t="shared" ca="1" si="222"/>
        <v>13067214210352.438</v>
      </c>
      <c r="J1605" s="53">
        <f t="shared" ca="1" si="223"/>
        <v>885563784052.74097</v>
      </c>
      <c r="K1605" s="54">
        <f t="shared" ca="1" si="224"/>
        <v>14.75581369255069</v>
      </c>
    </row>
    <row r="1606" spans="2:11" ht="15" customHeight="1" x14ac:dyDescent="0.35">
      <c r="B1606" s="5">
        <v>1585</v>
      </c>
      <c r="C1606" s="52">
        <f t="shared" ca="1" si="216"/>
        <v>2.8771492156914444</v>
      </c>
      <c r="D1606" s="53">
        <f t="shared" ca="1" si="217"/>
        <v>4505293222.7250671</v>
      </c>
      <c r="E1606" s="53">
        <f t="shared" ca="1" si="218"/>
        <v>25810223430387.789</v>
      </c>
      <c r="F1606" s="53">
        <f t="shared" ca="1" si="219"/>
        <v>7263967754820.501</v>
      </c>
      <c r="G1606" s="53">
        <f t="shared" ca="1" si="220"/>
        <v>9567382180694.7539</v>
      </c>
      <c r="H1606" s="53">
        <f t="shared" ca="1" si="221"/>
        <v>9567382180694.7539</v>
      </c>
      <c r="I1606" s="53">
        <f t="shared" ca="1" si="222"/>
        <v>8376733892488.0811</v>
      </c>
      <c r="J1606" s="53">
        <f t="shared" ca="1" si="223"/>
        <v>585601093700.27917</v>
      </c>
      <c r="K1606" s="54">
        <f t="shared" ca="1" si="224"/>
        <v>14.304505204314799</v>
      </c>
    </row>
    <row r="1607" spans="2:11" ht="15" customHeight="1" x14ac:dyDescent="0.35">
      <c r="B1607" s="5">
        <v>1586</v>
      </c>
      <c r="C1607" s="52">
        <f t="shared" ca="1" si="216"/>
        <v>2.5768272695399341</v>
      </c>
      <c r="D1607" s="53">
        <f t="shared" ca="1" si="217"/>
        <v>2061796400.3115344</v>
      </c>
      <c r="E1607" s="53">
        <f t="shared" ca="1" si="218"/>
        <v>6560828874087.2168</v>
      </c>
      <c r="F1607" s="53">
        <f t="shared" ca="1" si="219"/>
        <v>2305417282740.9102</v>
      </c>
      <c r="G1607" s="53">
        <f t="shared" ca="1" si="220"/>
        <v>9236598025560.3359</v>
      </c>
      <c r="H1607" s="53">
        <f t="shared" ca="1" si="221"/>
        <v>2305417282740.9102</v>
      </c>
      <c r="I1607" s="53">
        <f t="shared" ca="1" si="222"/>
        <v>25587233561760.168</v>
      </c>
      <c r="J1607" s="53">
        <f t="shared" ca="1" si="223"/>
        <v>1427168923202.3682</v>
      </c>
      <c r="K1607" s="54">
        <f t="shared" ca="1" si="224"/>
        <v>17.92866502750493</v>
      </c>
    </row>
    <row r="1608" spans="2:11" ht="15" customHeight="1" x14ac:dyDescent="0.35">
      <c r="B1608" s="5">
        <v>1587</v>
      </c>
      <c r="C1608" s="52">
        <f t="shared" ca="1" si="216"/>
        <v>3.5383413962029886</v>
      </c>
      <c r="D1608" s="53">
        <f t="shared" ca="1" si="217"/>
        <v>12408268250.62705</v>
      </c>
      <c r="E1608" s="53">
        <f t="shared" ca="1" si="218"/>
        <v>44686536708693.539</v>
      </c>
      <c r="F1608" s="53">
        <f t="shared" ca="1" si="219"/>
        <v>2465701648955.0591</v>
      </c>
      <c r="G1608" s="53">
        <f t="shared" ca="1" si="220"/>
        <v>37400431209005.836</v>
      </c>
      <c r="H1608" s="53">
        <f t="shared" ca="1" si="221"/>
        <v>44686536708693.539</v>
      </c>
      <c r="I1608" s="53">
        <f t="shared" ca="1" si="222"/>
        <v>835746704244.44604</v>
      </c>
      <c r="J1608" s="53">
        <f t="shared" ca="1" si="223"/>
        <v>545123035641.71924</v>
      </c>
      <c r="K1608" s="54">
        <f t="shared" ca="1" si="224"/>
        <v>1.5331340809338656</v>
      </c>
    </row>
    <row r="1609" spans="2:11" ht="15" customHeight="1" x14ac:dyDescent="0.35">
      <c r="B1609" s="5">
        <v>1588</v>
      </c>
      <c r="C1609" s="52">
        <f t="shared" ca="1" si="216"/>
        <v>2.3817506856001307</v>
      </c>
      <c r="D1609" s="53">
        <f t="shared" ca="1" si="217"/>
        <v>1377686864.5019541</v>
      </c>
      <c r="E1609" s="53">
        <f t="shared" ca="1" si="218"/>
        <v>17439022411184.953</v>
      </c>
      <c r="F1609" s="53">
        <f t="shared" ca="1" si="219"/>
        <v>23119520231060.832</v>
      </c>
      <c r="G1609" s="53">
        <f t="shared" ca="1" si="220"/>
        <v>10374102067849.313</v>
      </c>
      <c r="H1609" s="53">
        <f t="shared" ca="1" si="221"/>
        <v>10374102067849.313</v>
      </c>
      <c r="I1609" s="53">
        <f t="shared" ca="1" si="222"/>
        <v>16758881316654.635</v>
      </c>
      <c r="J1609" s="53">
        <f t="shared" ca="1" si="223"/>
        <v>900235810821.55847</v>
      </c>
      <c r="K1609" s="54">
        <f t="shared" ca="1" si="224"/>
        <v>18.616101598269477</v>
      </c>
    </row>
    <row r="1610" spans="2:11" ht="15" customHeight="1" x14ac:dyDescent="0.35">
      <c r="B1610" s="5">
        <v>1589</v>
      </c>
      <c r="C1610" s="52">
        <f t="shared" ca="1" si="216"/>
        <v>3.0890012551953694</v>
      </c>
      <c r="D1610" s="53">
        <f t="shared" ca="1" si="217"/>
        <v>5574625990.9404135</v>
      </c>
      <c r="E1610" s="53">
        <f t="shared" ca="1" si="218"/>
        <v>28515093110390.523</v>
      </c>
      <c r="F1610" s="53">
        <f t="shared" ca="1" si="219"/>
        <v>2304712903904.832</v>
      </c>
      <c r="G1610" s="53">
        <f t="shared" ca="1" si="220"/>
        <v>3129504381028.0098</v>
      </c>
      <c r="H1610" s="53">
        <f t="shared" ca="1" si="221"/>
        <v>28515093110390.523</v>
      </c>
      <c r="I1610" s="53">
        <f t="shared" ca="1" si="222"/>
        <v>92973059836330.094</v>
      </c>
      <c r="J1610" s="53">
        <f t="shared" ca="1" si="223"/>
        <v>921128630920.8197</v>
      </c>
      <c r="K1610" s="54">
        <f t="shared" ca="1" si="224"/>
        <v>100.93385083838749</v>
      </c>
    </row>
    <row r="1611" spans="2:11" ht="15" customHeight="1" x14ac:dyDescent="0.35">
      <c r="B1611" s="5">
        <v>1590</v>
      </c>
      <c r="C1611" s="52">
        <f t="shared" ca="1" si="216"/>
        <v>3.05030439130099</v>
      </c>
      <c r="D1611" s="53">
        <f t="shared" ca="1" si="217"/>
        <v>4526384908.9179506</v>
      </c>
      <c r="E1611" s="53">
        <f t="shared" ca="1" si="218"/>
        <v>11627116925258.215</v>
      </c>
      <c r="F1611" s="53">
        <f t="shared" ca="1" si="219"/>
        <v>2100378478020.2925</v>
      </c>
      <c r="G1611" s="53">
        <f t="shared" ca="1" si="220"/>
        <v>7216521944906.8965</v>
      </c>
      <c r="H1611" s="53">
        <f t="shared" ca="1" si="221"/>
        <v>2100378478020.2925</v>
      </c>
      <c r="I1611" s="53">
        <f t="shared" ca="1" si="222"/>
        <v>18702146293349.961</v>
      </c>
      <c r="J1611" s="53">
        <f t="shared" ca="1" si="223"/>
        <v>449740453135.52106</v>
      </c>
      <c r="K1611" s="54">
        <f t="shared" ca="1" si="224"/>
        <v>41.584309712327368</v>
      </c>
    </row>
    <row r="1612" spans="2:11" ht="15" customHeight="1" x14ac:dyDescent="0.35">
      <c r="B1612" s="5">
        <v>1591</v>
      </c>
      <c r="C1612" s="52">
        <f t="shared" ca="1" si="216"/>
        <v>3.009288620135417</v>
      </c>
      <c r="D1612" s="53">
        <f t="shared" ca="1" si="217"/>
        <v>5589450856.6756411</v>
      </c>
      <c r="E1612" s="53">
        <f t="shared" ca="1" si="218"/>
        <v>4601586737439.2412</v>
      </c>
      <c r="F1612" s="53">
        <f t="shared" ca="1" si="219"/>
        <v>782370132423.75769</v>
      </c>
      <c r="G1612" s="53">
        <f t="shared" ca="1" si="220"/>
        <v>3479397658025.5767</v>
      </c>
      <c r="H1612" s="53">
        <f t="shared" ca="1" si="221"/>
        <v>4601586737439.2412</v>
      </c>
      <c r="I1612" s="53">
        <f t="shared" ca="1" si="222"/>
        <v>5317177490059.168</v>
      </c>
      <c r="J1612" s="53">
        <f t="shared" ca="1" si="223"/>
        <v>884630663270.46802</v>
      </c>
      <c r="K1612" s="54">
        <f t="shared" ca="1" si="224"/>
        <v>6.0106185675292245</v>
      </c>
    </row>
    <row r="1613" spans="2:11" ht="15" customHeight="1" x14ac:dyDescent="0.35">
      <c r="B1613" s="5">
        <v>1592</v>
      </c>
      <c r="C1613" s="52">
        <f t="shared" ca="1" si="216"/>
        <v>2.451261694673132</v>
      </c>
      <c r="D1613" s="53">
        <f t="shared" ca="1" si="217"/>
        <v>1850106432.1762667</v>
      </c>
      <c r="E1613" s="53">
        <f t="shared" ca="1" si="218"/>
        <v>13755071790027.396</v>
      </c>
      <c r="F1613" s="53">
        <f t="shared" ca="1" si="219"/>
        <v>7410314531154.6846</v>
      </c>
      <c r="G1613" s="53">
        <f t="shared" ca="1" si="220"/>
        <v>3986814573368.3027</v>
      </c>
      <c r="H1613" s="53">
        <f t="shared" ca="1" si="221"/>
        <v>3986814573368.3027</v>
      </c>
      <c r="I1613" s="53">
        <f t="shared" ca="1" si="222"/>
        <v>4374475123257.7231</v>
      </c>
      <c r="J1613" s="53">
        <f t="shared" ca="1" si="223"/>
        <v>653500182180.05115</v>
      </c>
      <c r="K1613" s="54">
        <f t="shared" ca="1" si="224"/>
        <v>6.6939156905276516</v>
      </c>
    </row>
    <row r="1614" spans="2:11" ht="15" customHeight="1" x14ac:dyDescent="0.35">
      <c r="B1614" s="5">
        <v>1593</v>
      </c>
      <c r="C1614" s="52">
        <f t="shared" ca="1" si="216"/>
        <v>2.7281993994666411</v>
      </c>
      <c r="D1614" s="53">
        <f t="shared" ca="1" si="217"/>
        <v>2749681452.9872103</v>
      </c>
      <c r="E1614" s="53">
        <f t="shared" ca="1" si="218"/>
        <v>1729535526622.6987</v>
      </c>
      <c r="F1614" s="53">
        <f t="shared" ca="1" si="219"/>
        <v>1539861987081.5371</v>
      </c>
      <c r="G1614" s="53">
        <f t="shared" ca="1" si="220"/>
        <v>2840637537687.1201</v>
      </c>
      <c r="H1614" s="53">
        <f t="shared" ca="1" si="221"/>
        <v>2840637537687.1201</v>
      </c>
      <c r="I1614" s="53">
        <f t="shared" ca="1" si="222"/>
        <v>8109380536364.0898</v>
      </c>
      <c r="J1614" s="53">
        <f t="shared" ca="1" si="223"/>
        <v>635220927690.63733</v>
      </c>
      <c r="K1614" s="54">
        <f t="shared" ca="1" si="224"/>
        <v>12.76623641139463</v>
      </c>
    </row>
    <row r="1615" spans="2:11" ht="15" customHeight="1" x14ac:dyDescent="0.35">
      <c r="B1615" s="5">
        <v>1594</v>
      </c>
      <c r="C1615" s="52">
        <f t="shared" ca="1" si="216"/>
        <v>3.1474505441826235</v>
      </c>
      <c r="D1615" s="53">
        <f t="shared" ca="1" si="217"/>
        <v>5458357828.9846344</v>
      </c>
      <c r="E1615" s="53">
        <f t="shared" ca="1" si="218"/>
        <v>18462298922921.816</v>
      </c>
      <c r="F1615" s="53">
        <f t="shared" ca="1" si="219"/>
        <v>2822740177286.3613</v>
      </c>
      <c r="G1615" s="53">
        <f t="shared" ca="1" si="220"/>
        <v>17539725621389.957</v>
      </c>
      <c r="H1615" s="53">
        <f t="shared" ca="1" si="221"/>
        <v>2822740177286.3613</v>
      </c>
      <c r="I1615" s="53">
        <f t="shared" ca="1" si="222"/>
        <v>1912836231344.8503</v>
      </c>
      <c r="J1615" s="53">
        <f t="shared" ca="1" si="223"/>
        <v>1134751539723.157</v>
      </c>
      <c r="K1615" s="54">
        <f t="shared" ca="1" si="224"/>
        <v>1.6856872754819272</v>
      </c>
    </row>
    <row r="1616" spans="2:11" ht="15" customHeight="1" x14ac:dyDescent="0.35">
      <c r="B1616" s="5">
        <v>1595</v>
      </c>
      <c r="C1616" s="52">
        <f t="shared" ca="1" si="216"/>
        <v>3.2057995881692034</v>
      </c>
      <c r="D1616" s="53">
        <f t="shared" ca="1" si="217"/>
        <v>7158619128.6463289</v>
      </c>
      <c r="E1616" s="53">
        <f t="shared" ca="1" si="218"/>
        <v>61844349763103.883</v>
      </c>
      <c r="F1616" s="53">
        <f t="shared" ca="1" si="219"/>
        <v>2079815621327.8584</v>
      </c>
      <c r="G1616" s="53">
        <f t="shared" ca="1" si="220"/>
        <v>3390436083348.1494</v>
      </c>
      <c r="H1616" s="53">
        <f t="shared" ca="1" si="221"/>
        <v>2079815621327.8584</v>
      </c>
      <c r="I1616" s="53">
        <f t="shared" ca="1" si="222"/>
        <v>5155848317670.5303</v>
      </c>
      <c r="J1616" s="53">
        <f t="shared" ca="1" si="223"/>
        <v>912076599261.85742</v>
      </c>
      <c r="K1616" s="54">
        <f t="shared" ca="1" si="224"/>
        <v>5.6528676668638935</v>
      </c>
    </row>
    <row r="1617" spans="2:11" ht="15" customHeight="1" x14ac:dyDescent="0.35">
      <c r="B1617" s="5">
        <v>1596</v>
      </c>
      <c r="C1617" s="52">
        <f t="shared" ca="1" si="216"/>
        <v>2.9190478454082034</v>
      </c>
      <c r="D1617" s="53">
        <f t="shared" ca="1" si="217"/>
        <v>3554494672.1433678</v>
      </c>
      <c r="E1617" s="53">
        <f t="shared" ca="1" si="218"/>
        <v>26155324306752.887</v>
      </c>
      <c r="F1617" s="53">
        <f t="shared" ca="1" si="219"/>
        <v>1855414537841.4358</v>
      </c>
      <c r="G1617" s="53">
        <f t="shared" ca="1" si="220"/>
        <v>809222370430.90723</v>
      </c>
      <c r="H1617" s="53">
        <f t="shared" ca="1" si="221"/>
        <v>1855414537841.4358</v>
      </c>
      <c r="I1617" s="53">
        <f t="shared" ca="1" si="222"/>
        <v>3122220481272.7935</v>
      </c>
      <c r="J1617" s="53">
        <f t="shared" ca="1" si="223"/>
        <v>851060831790.16125</v>
      </c>
      <c r="K1617" s="54">
        <f t="shared" ca="1" si="224"/>
        <v>3.6686219887541629</v>
      </c>
    </row>
    <row r="1618" spans="2:11" ht="15" customHeight="1" x14ac:dyDescent="0.35">
      <c r="B1618" s="5">
        <v>1597</v>
      </c>
      <c r="C1618" s="52">
        <f t="shared" ca="1" si="216"/>
        <v>2.377325997830499</v>
      </c>
      <c r="D1618" s="53">
        <f t="shared" ca="1" si="217"/>
        <v>1806881870.8742027</v>
      </c>
      <c r="E1618" s="53">
        <f t="shared" ca="1" si="218"/>
        <v>10361695926391.357</v>
      </c>
      <c r="F1618" s="53">
        <f t="shared" ca="1" si="219"/>
        <v>4788961971550.2764</v>
      </c>
      <c r="G1618" s="53">
        <f t="shared" ca="1" si="220"/>
        <v>3236108096295.7217</v>
      </c>
      <c r="H1618" s="53">
        <f t="shared" ca="1" si="221"/>
        <v>10361695926391.357</v>
      </c>
      <c r="I1618" s="53">
        <f t="shared" ca="1" si="222"/>
        <v>10155888242603.975</v>
      </c>
      <c r="J1618" s="53">
        <f t="shared" ca="1" si="223"/>
        <v>704403941188.62195</v>
      </c>
      <c r="K1618" s="54">
        <f t="shared" ca="1" si="224"/>
        <v>14.41770502514051</v>
      </c>
    </row>
    <row r="1619" spans="2:11" ht="15" customHeight="1" x14ac:dyDescent="0.35">
      <c r="B1619" s="5">
        <v>1598</v>
      </c>
      <c r="C1619" s="52">
        <f t="shared" ca="1" si="216"/>
        <v>2.7137616855893287</v>
      </c>
      <c r="D1619" s="53">
        <f t="shared" ca="1" si="217"/>
        <v>3301333578.5945935</v>
      </c>
      <c r="E1619" s="53">
        <f t="shared" ca="1" si="218"/>
        <v>7889425796945.2881</v>
      </c>
      <c r="F1619" s="53">
        <f t="shared" ca="1" si="219"/>
        <v>4084141122391.9639</v>
      </c>
      <c r="G1619" s="53">
        <f t="shared" ca="1" si="220"/>
        <v>227723183302.8175</v>
      </c>
      <c r="H1619" s="53">
        <f t="shared" ca="1" si="221"/>
        <v>227723183302.8175</v>
      </c>
      <c r="I1619" s="53">
        <f t="shared" ca="1" si="222"/>
        <v>1837044513327.0332</v>
      </c>
      <c r="J1619" s="53">
        <f t="shared" ca="1" si="223"/>
        <v>616781232799.69824</v>
      </c>
      <c r="K1619" s="54">
        <f t="shared" ca="1" si="224"/>
        <v>2.9784377598331035</v>
      </c>
    </row>
    <row r="1620" spans="2:11" ht="15" customHeight="1" x14ac:dyDescent="0.35">
      <c r="B1620" s="5">
        <v>1599</v>
      </c>
      <c r="C1620" s="52">
        <f t="shared" ca="1" si="216"/>
        <v>2.7006766545587317</v>
      </c>
      <c r="D1620" s="53">
        <f t="shared" ca="1" si="217"/>
        <v>3023321156.8454986</v>
      </c>
      <c r="E1620" s="53">
        <f t="shared" ca="1" si="218"/>
        <v>9447054794213.5723</v>
      </c>
      <c r="F1620" s="53">
        <f t="shared" ca="1" si="219"/>
        <v>4468425613440.1436</v>
      </c>
      <c r="G1620" s="53">
        <f t="shared" ca="1" si="220"/>
        <v>2657292440589.0513</v>
      </c>
      <c r="H1620" s="53">
        <f t="shared" ca="1" si="221"/>
        <v>2657292440589.0513</v>
      </c>
      <c r="I1620" s="53">
        <f t="shared" ca="1" si="222"/>
        <v>2457891937580.4839</v>
      </c>
      <c r="J1620" s="53">
        <f t="shared" ca="1" si="223"/>
        <v>1267860057440.3313</v>
      </c>
      <c r="K1620" s="54">
        <f t="shared" ca="1" si="224"/>
        <v>1.9386145364833836</v>
      </c>
    </row>
    <row r="1621" spans="2:11" ht="15" customHeight="1" x14ac:dyDescent="0.35">
      <c r="B1621" s="5">
        <v>1600</v>
      </c>
      <c r="C1621" s="52">
        <f t="shared" ca="1" si="216"/>
        <v>3.5296216840081756</v>
      </c>
      <c r="D1621" s="53">
        <f t="shared" ca="1" si="217"/>
        <v>9325611117.7150173</v>
      </c>
      <c r="E1621" s="53">
        <f t="shared" ca="1" si="218"/>
        <v>21085390489051.398</v>
      </c>
      <c r="F1621" s="53">
        <f t="shared" ca="1" si="219"/>
        <v>1322261032884.9758</v>
      </c>
      <c r="G1621" s="53">
        <f t="shared" ca="1" si="220"/>
        <v>1928959059609.7705</v>
      </c>
      <c r="H1621" s="53">
        <f t="shared" ca="1" si="221"/>
        <v>21085390489051.398</v>
      </c>
      <c r="I1621" s="53">
        <f t="shared" ca="1" si="222"/>
        <v>29993040202743.805</v>
      </c>
      <c r="J1621" s="53">
        <f t="shared" ca="1" si="223"/>
        <v>1195256633050.7271</v>
      </c>
      <c r="K1621" s="54">
        <f t="shared" ca="1" si="224"/>
        <v>25.093389464144384</v>
      </c>
    </row>
    <row r="1622" spans="2:11" ht="15" customHeight="1" x14ac:dyDescent="0.35">
      <c r="B1622" s="5">
        <v>1601</v>
      </c>
      <c r="C1622" s="52">
        <f t="shared" ref="C1622:C1685" ca="1" si="225">MEDIAN(1.8,NORMINV(RAND(),$C$7,$D$7),4.5)</f>
        <v>2.6438635021096242</v>
      </c>
      <c r="D1622" s="53">
        <f t="shared" ref="D1622:D1685" ca="1" si="226">($C$8+RAND()*($D$8-$C$8))*C1622^5</f>
        <v>3036881763.2748451</v>
      </c>
      <c r="E1622" s="53">
        <f t="shared" ref="E1622:E1685" ca="1" si="227">D1622*($C$10+RAND()*($D$10-$C$10))*EXP(NORMINV(RAND(),$C$9,$D$9))*($C$11+RAND()*($D$11-$C$11))</f>
        <v>5892792397179.6768</v>
      </c>
      <c r="F1622" s="53">
        <f t="shared" ref="F1622:F1685" ca="1" si="228">EXP(NORMINV(RAND(),$C$12,$D$12))*EXP(NORMINV(RAND(),$C$13,$D$13))</f>
        <v>5978353755301.8213</v>
      </c>
      <c r="G1622" s="53">
        <f t="shared" ref="G1622:G1685" ca="1" si="229">EXP(NORMINV(RAND(),$C$14,$D$14))*($C$15+RAND()*($D$15-$C$15))*EXP(NORMINV(RAND(),$C$16,$D$16))/1000000*31536000</f>
        <v>2057925616487.9358</v>
      </c>
      <c r="H1622" s="53">
        <f t="shared" ref="H1622:H1685" ca="1" si="230">CHOOSE(RANDBETWEEN(1,3),E1622,F1622,G1622)</f>
        <v>5978353755301.8213</v>
      </c>
      <c r="I1622" s="53">
        <f t="shared" ref="I1622:I1685" ca="1" si="231">EXP(NORMINV(RAND(),$C$14,$D$14))*($C$15+RAND()*($D$15-$C$15))*60</f>
        <v>55341032310112.836</v>
      </c>
      <c r="J1622" s="53">
        <f t="shared" ref="J1622:J1685" ca="1" si="232">($C$17+RAND()*($D$17-$C$17))*($C$18+RAND()*($D$18-$C$18))</f>
        <v>1390887166795.9783</v>
      </c>
      <c r="K1622" s="54">
        <f t="shared" ref="K1622:K1685" ca="1" si="233">I1622/J1622</f>
        <v>39.788297448739428</v>
      </c>
    </row>
    <row r="1623" spans="2:11" ht="15" customHeight="1" x14ac:dyDescent="0.35">
      <c r="B1623" s="5">
        <v>1602</v>
      </c>
      <c r="C1623" s="52">
        <f t="shared" ca="1" si="225"/>
        <v>2.551234973423143</v>
      </c>
      <c r="D1623" s="53">
        <f t="shared" ca="1" si="226"/>
        <v>2593203060.9079142</v>
      </c>
      <c r="E1623" s="53">
        <f t="shared" ca="1" si="227"/>
        <v>10214148769155.191</v>
      </c>
      <c r="F1623" s="53">
        <f t="shared" ca="1" si="228"/>
        <v>893908023742.72131</v>
      </c>
      <c r="G1623" s="53">
        <f t="shared" ca="1" si="229"/>
        <v>5045616986472.2783</v>
      </c>
      <c r="H1623" s="53">
        <f t="shared" ca="1" si="230"/>
        <v>5045616986472.2783</v>
      </c>
      <c r="I1623" s="53">
        <f t="shared" ca="1" si="231"/>
        <v>14901264522957.541</v>
      </c>
      <c r="J1623" s="53">
        <f t="shared" ca="1" si="232"/>
        <v>926891109145.4884</v>
      </c>
      <c r="K1623" s="54">
        <f t="shared" ca="1" si="233"/>
        <v>16.076607463302985</v>
      </c>
    </row>
    <row r="1624" spans="2:11" ht="15" customHeight="1" x14ac:dyDescent="0.35">
      <c r="B1624" s="5">
        <v>1603</v>
      </c>
      <c r="C1624" s="52">
        <f t="shared" ca="1" si="225"/>
        <v>3.1213343490236927</v>
      </c>
      <c r="D1624" s="53">
        <f t="shared" ca="1" si="226"/>
        <v>5245872005.6946926</v>
      </c>
      <c r="E1624" s="53">
        <f t="shared" ca="1" si="227"/>
        <v>4578586188105.7939</v>
      </c>
      <c r="F1624" s="53">
        <f t="shared" ca="1" si="228"/>
        <v>5129203081807.8223</v>
      </c>
      <c r="G1624" s="53">
        <f t="shared" ca="1" si="229"/>
        <v>1414100952038.1782</v>
      </c>
      <c r="H1624" s="53">
        <f t="shared" ca="1" si="230"/>
        <v>1414100952038.1782</v>
      </c>
      <c r="I1624" s="53">
        <f t="shared" ca="1" si="231"/>
        <v>12767933132124.602</v>
      </c>
      <c r="J1624" s="53">
        <f t="shared" ca="1" si="232"/>
        <v>1131743553350.1482</v>
      </c>
      <c r="K1624" s="54">
        <f t="shared" ca="1" si="233"/>
        <v>11.281648651171377</v>
      </c>
    </row>
    <row r="1625" spans="2:11" ht="15" customHeight="1" x14ac:dyDescent="0.35">
      <c r="B1625" s="5">
        <v>1604</v>
      </c>
      <c r="C1625" s="52">
        <f t="shared" ca="1" si="225"/>
        <v>2.9670802919574704</v>
      </c>
      <c r="D1625" s="53">
        <f t="shared" ca="1" si="226"/>
        <v>4942631747.6210117</v>
      </c>
      <c r="E1625" s="53">
        <f t="shared" ca="1" si="227"/>
        <v>6091819657974.0166</v>
      </c>
      <c r="F1625" s="53">
        <f t="shared" ca="1" si="228"/>
        <v>3048816118131.9092</v>
      </c>
      <c r="G1625" s="53">
        <f t="shared" ca="1" si="229"/>
        <v>1543577282704.6719</v>
      </c>
      <c r="H1625" s="53">
        <f t="shared" ca="1" si="230"/>
        <v>3048816118131.9092</v>
      </c>
      <c r="I1625" s="53">
        <f t="shared" ca="1" si="231"/>
        <v>8399018158605.3662</v>
      </c>
      <c r="J1625" s="53">
        <f t="shared" ca="1" si="232"/>
        <v>1353432313545.4106</v>
      </c>
      <c r="K1625" s="54">
        <f t="shared" ca="1" si="233"/>
        <v>6.2057171788691452</v>
      </c>
    </row>
    <row r="1626" spans="2:11" ht="15" customHeight="1" x14ac:dyDescent="0.35">
      <c r="B1626" s="5">
        <v>1605</v>
      </c>
      <c r="C1626" s="52">
        <f t="shared" ca="1" si="225"/>
        <v>2.9153750621095478</v>
      </c>
      <c r="D1626" s="53">
        <f t="shared" ca="1" si="226"/>
        <v>4375566198.2781181</v>
      </c>
      <c r="E1626" s="53">
        <f t="shared" ca="1" si="227"/>
        <v>5439822632679.2842</v>
      </c>
      <c r="F1626" s="53">
        <f t="shared" ca="1" si="228"/>
        <v>2161201093839.4832</v>
      </c>
      <c r="G1626" s="53">
        <f t="shared" ca="1" si="229"/>
        <v>7196418005388.6133</v>
      </c>
      <c r="H1626" s="53">
        <f t="shared" ca="1" si="230"/>
        <v>2161201093839.4832</v>
      </c>
      <c r="I1626" s="53">
        <f t="shared" ca="1" si="231"/>
        <v>23994463018909.539</v>
      </c>
      <c r="J1626" s="53">
        <f t="shared" ca="1" si="232"/>
        <v>1063980698943.3898</v>
      </c>
      <c r="K1626" s="54">
        <f t="shared" ca="1" si="233"/>
        <v>22.551596135848879</v>
      </c>
    </row>
    <row r="1627" spans="2:11" ht="15" customHeight="1" x14ac:dyDescent="0.35">
      <c r="B1627" s="5">
        <v>1606</v>
      </c>
      <c r="C1627" s="52">
        <f t="shared" ca="1" si="225"/>
        <v>3.0463233462502717</v>
      </c>
      <c r="D1627" s="53">
        <f t="shared" ca="1" si="226"/>
        <v>4784804400.9670277</v>
      </c>
      <c r="E1627" s="53">
        <f t="shared" ca="1" si="227"/>
        <v>7301171328802.2432</v>
      </c>
      <c r="F1627" s="53">
        <f t="shared" ca="1" si="228"/>
        <v>488481958022.5769</v>
      </c>
      <c r="G1627" s="53">
        <f t="shared" ca="1" si="229"/>
        <v>36717871673382.297</v>
      </c>
      <c r="H1627" s="53">
        <f t="shared" ca="1" si="230"/>
        <v>7301171328802.2432</v>
      </c>
      <c r="I1627" s="53">
        <f t="shared" ca="1" si="231"/>
        <v>4834990020264.6807</v>
      </c>
      <c r="J1627" s="53">
        <f t="shared" ca="1" si="232"/>
        <v>1371720945058.8054</v>
      </c>
      <c r="K1627" s="54">
        <f t="shared" ca="1" si="233"/>
        <v>3.5247621155609061</v>
      </c>
    </row>
    <row r="1628" spans="2:11" ht="15" customHeight="1" x14ac:dyDescent="0.35">
      <c r="B1628" s="5">
        <v>1607</v>
      </c>
      <c r="C1628" s="52">
        <f t="shared" ca="1" si="225"/>
        <v>3.7220998270697607</v>
      </c>
      <c r="D1628" s="53">
        <f t="shared" ca="1" si="226"/>
        <v>13741144368.109491</v>
      </c>
      <c r="E1628" s="53">
        <f t="shared" ca="1" si="227"/>
        <v>61047487016754</v>
      </c>
      <c r="F1628" s="53">
        <f t="shared" ca="1" si="228"/>
        <v>9783024042029.8066</v>
      </c>
      <c r="G1628" s="53">
        <f t="shared" ca="1" si="229"/>
        <v>564971966508.29333</v>
      </c>
      <c r="H1628" s="53">
        <f t="shared" ca="1" si="230"/>
        <v>61047487016754</v>
      </c>
      <c r="I1628" s="53">
        <f t="shared" ca="1" si="231"/>
        <v>2423798949161.7925</v>
      </c>
      <c r="J1628" s="53">
        <f t="shared" ca="1" si="232"/>
        <v>1358241918985.364</v>
      </c>
      <c r="K1628" s="54">
        <f t="shared" ca="1" si="233"/>
        <v>1.7845119601171067</v>
      </c>
    </row>
    <row r="1629" spans="2:11" ht="15" customHeight="1" x14ac:dyDescent="0.35">
      <c r="B1629" s="5">
        <v>1608</v>
      </c>
      <c r="C1629" s="52">
        <f t="shared" ca="1" si="225"/>
        <v>2.7631127485228655</v>
      </c>
      <c r="D1629" s="53">
        <f t="shared" ca="1" si="226"/>
        <v>2981143658.4307432</v>
      </c>
      <c r="E1629" s="53">
        <f t="shared" ca="1" si="227"/>
        <v>1543899816724.5874</v>
      </c>
      <c r="F1629" s="53">
        <f t="shared" ca="1" si="228"/>
        <v>8229066346586.3643</v>
      </c>
      <c r="G1629" s="53">
        <f t="shared" ca="1" si="229"/>
        <v>10539533238057.42</v>
      </c>
      <c r="H1629" s="53">
        <f t="shared" ca="1" si="230"/>
        <v>10539533238057.42</v>
      </c>
      <c r="I1629" s="53">
        <f t="shared" ca="1" si="231"/>
        <v>62865112668253.898</v>
      </c>
      <c r="J1629" s="53">
        <f t="shared" ca="1" si="232"/>
        <v>1224961603391.9407</v>
      </c>
      <c r="K1629" s="54">
        <f t="shared" ca="1" si="233"/>
        <v>51.320067905948456</v>
      </c>
    </row>
    <row r="1630" spans="2:11" ht="15" customHeight="1" x14ac:dyDescent="0.35">
      <c r="B1630" s="5">
        <v>1609</v>
      </c>
      <c r="C1630" s="52">
        <f t="shared" ca="1" si="225"/>
        <v>3.0011545327259395</v>
      </c>
      <c r="D1630" s="53">
        <f t="shared" ca="1" si="226"/>
        <v>4099679685.0965853</v>
      </c>
      <c r="E1630" s="53">
        <f t="shared" ca="1" si="227"/>
        <v>22530865667778.199</v>
      </c>
      <c r="F1630" s="53">
        <f t="shared" ca="1" si="228"/>
        <v>13869194368896.215</v>
      </c>
      <c r="G1630" s="53">
        <f t="shared" ca="1" si="229"/>
        <v>11841983527800.297</v>
      </c>
      <c r="H1630" s="53">
        <f t="shared" ca="1" si="230"/>
        <v>22530865667778.199</v>
      </c>
      <c r="I1630" s="53">
        <f t="shared" ca="1" si="231"/>
        <v>2173252763931.3464</v>
      </c>
      <c r="J1630" s="53">
        <f t="shared" ca="1" si="232"/>
        <v>537590314888.1427</v>
      </c>
      <c r="K1630" s="54">
        <f t="shared" ca="1" si="233"/>
        <v>4.0425816904524012</v>
      </c>
    </row>
    <row r="1631" spans="2:11" ht="15" customHeight="1" x14ac:dyDescent="0.35">
      <c r="B1631" s="5">
        <v>1610</v>
      </c>
      <c r="C1631" s="52">
        <f t="shared" ca="1" si="225"/>
        <v>2.7465671809061982</v>
      </c>
      <c r="D1631" s="53">
        <f t="shared" ca="1" si="226"/>
        <v>2848542898.6531539</v>
      </c>
      <c r="E1631" s="53">
        <f t="shared" ca="1" si="227"/>
        <v>50999844715326.305</v>
      </c>
      <c r="F1631" s="53">
        <f t="shared" ca="1" si="228"/>
        <v>2604964642477.8877</v>
      </c>
      <c r="G1631" s="53">
        <f t="shared" ca="1" si="229"/>
        <v>70703083164595.438</v>
      </c>
      <c r="H1631" s="53">
        <f t="shared" ca="1" si="230"/>
        <v>70703083164595.438</v>
      </c>
      <c r="I1631" s="53">
        <f t="shared" ca="1" si="231"/>
        <v>2613832010708.3716</v>
      </c>
      <c r="J1631" s="53">
        <f t="shared" ca="1" si="232"/>
        <v>1229775176378.4412</v>
      </c>
      <c r="K1631" s="54">
        <f t="shared" ca="1" si="233"/>
        <v>2.1254551733641529</v>
      </c>
    </row>
    <row r="1632" spans="2:11" ht="15" customHeight="1" x14ac:dyDescent="0.35">
      <c r="B1632" s="5">
        <v>1611</v>
      </c>
      <c r="C1632" s="52">
        <f t="shared" ca="1" si="225"/>
        <v>2.7252584438939276</v>
      </c>
      <c r="D1632" s="53">
        <f t="shared" ca="1" si="226"/>
        <v>3193228891.9826174</v>
      </c>
      <c r="E1632" s="53">
        <f t="shared" ca="1" si="227"/>
        <v>24227589174579.953</v>
      </c>
      <c r="F1632" s="53">
        <f t="shared" ca="1" si="228"/>
        <v>1004164787580.538</v>
      </c>
      <c r="G1632" s="53">
        <f t="shared" ca="1" si="229"/>
        <v>2141260631231.1658</v>
      </c>
      <c r="H1632" s="53">
        <f t="shared" ca="1" si="230"/>
        <v>24227589174579.953</v>
      </c>
      <c r="I1632" s="53">
        <f t="shared" ca="1" si="231"/>
        <v>5912353246112.8809</v>
      </c>
      <c r="J1632" s="53">
        <f t="shared" ca="1" si="232"/>
        <v>1474228310101.104</v>
      </c>
      <c r="K1632" s="54">
        <f t="shared" ca="1" si="233"/>
        <v>4.0104732798866181</v>
      </c>
    </row>
    <row r="1633" spans="2:11" ht="15" customHeight="1" x14ac:dyDescent="0.35">
      <c r="B1633" s="5">
        <v>1612</v>
      </c>
      <c r="C1633" s="52">
        <f t="shared" ca="1" si="225"/>
        <v>3.6132750550662696</v>
      </c>
      <c r="D1633" s="53">
        <f t="shared" ca="1" si="226"/>
        <v>13464034697.306526</v>
      </c>
      <c r="E1633" s="53">
        <f t="shared" ca="1" si="227"/>
        <v>49446823102056.703</v>
      </c>
      <c r="F1633" s="53">
        <f t="shared" ca="1" si="228"/>
        <v>6435833443414.8896</v>
      </c>
      <c r="G1633" s="53">
        <f t="shared" ca="1" si="229"/>
        <v>5868435797937.7383</v>
      </c>
      <c r="H1633" s="53">
        <f t="shared" ca="1" si="230"/>
        <v>5868435797937.7383</v>
      </c>
      <c r="I1633" s="53">
        <f t="shared" ca="1" si="231"/>
        <v>11227982004064.613</v>
      </c>
      <c r="J1633" s="53">
        <f t="shared" ca="1" si="232"/>
        <v>1054520875777.4585</v>
      </c>
      <c r="K1633" s="54">
        <f t="shared" ca="1" si="233"/>
        <v>10.64747247965731</v>
      </c>
    </row>
    <row r="1634" spans="2:11" ht="15" customHeight="1" x14ac:dyDescent="0.35">
      <c r="B1634" s="5">
        <v>1613</v>
      </c>
      <c r="C1634" s="52">
        <f t="shared" ca="1" si="225"/>
        <v>2.5763293730343952</v>
      </c>
      <c r="D1634" s="53">
        <f t="shared" ca="1" si="226"/>
        <v>2547167930.8958035</v>
      </c>
      <c r="E1634" s="53">
        <f t="shared" ca="1" si="227"/>
        <v>15713381450550.213</v>
      </c>
      <c r="F1634" s="53">
        <f t="shared" ca="1" si="228"/>
        <v>1394899009594.9373</v>
      </c>
      <c r="G1634" s="53">
        <f t="shared" ca="1" si="229"/>
        <v>11394258698663.834</v>
      </c>
      <c r="H1634" s="53">
        <f t="shared" ca="1" si="230"/>
        <v>15713381450550.213</v>
      </c>
      <c r="I1634" s="53">
        <f t="shared" ca="1" si="231"/>
        <v>9361193543319.0391</v>
      </c>
      <c r="J1634" s="53">
        <f t="shared" ca="1" si="232"/>
        <v>879832684186.91687</v>
      </c>
      <c r="K1634" s="54">
        <f t="shared" ca="1" si="233"/>
        <v>10.639742886989968</v>
      </c>
    </row>
    <row r="1635" spans="2:11" ht="15" customHeight="1" x14ac:dyDescent="0.35">
      <c r="B1635" s="5">
        <v>1614</v>
      </c>
      <c r="C1635" s="52">
        <f t="shared" ca="1" si="225"/>
        <v>3.1784941144057863</v>
      </c>
      <c r="D1635" s="53">
        <f t="shared" ca="1" si="226"/>
        <v>7255205704.3846579</v>
      </c>
      <c r="E1635" s="53">
        <f t="shared" ca="1" si="227"/>
        <v>92210066200876.406</v>
      </c>
      <c r="F1635" s="53">
        <f t="shared" ca="1" si="228"/>
        <v>6346602419756.999</v>
      </c>
      <c r="G1635" s="53">
        <f t="shared" ca="1" si="229"/>
        <v>4346860285377.9395</v>
      </c>
      <c r="H1635" s="53">
        <f t="shared" ca="1" si="230"/>
        <v>6346602419756.999</v>
      </c>
      <c r="I1635" s="53">
        <f t="shared" ca="1" si="231"/>
        <v>3070105953080.3281</v>
      </c>
      <c r="J1635" s="53">
        <f t="shared" ca="1" si="232"/>
        <v>1316845440585.5386</v>
      </c>
      <c r="K1635" s="54">
        <f t="shared" ca="1" si="233"/>
        <v>2.3314094869897546</v>
      </c>
    </row>
    <row r="1636" spans="2:11" ht="15" customHeight="1" x14ac:dyDescent="0.35">
      <c r="B1636" s="5">
        <v>1615</v>
      </c>
      <c r="C1636" s="52">
        <f t="shared" ca="1" si="225"/>
        <v>2.9375149439929822</v>
      </c>
      <c r="D1636" s="53">
        <f t="shared" ca="1" si="226"/>
        <v>4942363002.8493471</v>
      </c>
      <c r="E1636" s="53">
        <f t="shared" ca="1" si="227"/>
        <v>7325777924203.2578</v>
      </c>
      <c r="F1636" s="53">
        <f t="shared" ca="1" si="228"/>
        <v>2966576366257.8213</v>
      </c>
      <c r="G1636" s="53">
        <f t="shared" ca="1" si="229"/>
        <v>14745858371422.064</v>
      </c>
      <c r="H1636" s="53">
        <f t="shared" ca="1" si="230"/>
        <v>2966576366257.8213</v>
      </c>
      <c r="I1636" s="53">
        <f t="shared" ca="1" si="231"/>
        <v>17506139937535.693</v>
      </c>
      <c r="J1636" s="53">
        <f t="shared" ca="1" si="232"/>
        <v>1057777571971.7788</v>
      </c>
      <c r="K1636" s="54">
        <f t="shared" ca="1" si="233"/>
        <v>16.549925429883054</v>
      </c>
    </row>
    <row r="1637" spans="2:11" ht="15" customHeight="1" x14ac:dyDescent="0.35">
      <c r="B1637" s="5">
        <v>1616</v>
      </c>
      <c r="C1637" s="52">
        <f t="shared" ca="1" si="225"/>
        <v>2.9323291323069114</v>
      </c>
      <c r="D1637" s="53">
        <f t="shared" ca="1" si="226"/>
        <v>4719536327.7332382</v>
      </c>
      <c r="E1637" s="53">
        <f t="shared" ca="1" si="227"/>
        <v>19603771891138.281</v>
      </c>
      <c r="F1637" s="53">
        <f t="shared" ca="1" si="228"/>
        <v>4332657416745.4629</v>
      </c>
      <c r="G1637" s="53">
        <f t="shared" ca="1" si="229"/>
        <v>15386377448746.361</v>
      </c>
      <c r="H1637" s="53">
        <f t="shared" ca="1" si="230"/>
        <v>15386377448746.361</v>
      </c>
      <c r="I1637" s="53">
        <f t="shared" ca="1" si="231"/>
        <v>15187897751690.875</v>
      </c>
      <c r="J1637" s="53">
        <f t="shared" ca="1" si="232"/>
        <v>605514103103.6803</v>
      </c>
      <c r="K1637" s="54">
        <f t="shared" ca="1" si="233"/>
        <v>25.082649064393962</v>
      </c>
    </row>
    <row r="1638" spans="2:11" ht="15" customHeight="1" x14ac:dyDescent="0.35">
      <c r="B1638" s="5">
        <v>1617</v>
      </c>
      <c r="C1638" s="52">
        <f t="shared" ca="1" si="225"/>
        <v>2.9050299160075133</v>
      </c>
      <c r="D1638" s="53">
        <f t="shared" ca="1" si="226"/>
        <v>3380031639.6705184</v>
      </c>
      <c r="E1638" s="53">
        <f t="shared" ca="1" si="227"/>
        <v>5149754489536.082</v>
      </c>
      <c r="F1638" s="53">
        <f t="shared" ca="1" si="228"/>
        <v>3747594660287.1758</v>
      </c>
      <c r="G1638" s="53">
        <f t="shared" ca="1" si="229"/>
        <v>883927068083.43201</v>
      </c>
      <c r="H1638" s="53">
        <f t="shared" ca="1" si="230"/>
        <v>5149754489536.082</v>
      </c>
      <c r="I1638" s="53">
        <f t="shared" ca="1" si="231"/>
        <v>4888860123840.2852</v>
      </c>
      <c r="J1638" s="53">
        <f t="shared" ca="1" si="232"/>
        <v>562921007931.99622</v>
      </c>
      <c r="K1638" s="54">
        <f t="shared" ca="1" si="233"/>
        <v>8.6848066690573482</v>
      </c>
    </row>
    <row r="1639" spans="2:11" ht="15" customHeight="1" x14ac:dyDescent="0.35">
      <c r="B1639" s="5">
        <v>1618</v>
      </c>
      <c r="C1639" s="52">
        <f t="shared" ca="1" si="225"/>
        <v>3.4928162984806765</v>
      </c>
      <c r="D1639" s="53">
        <f t="shared" ca="1" si="226"/>
        <v>9339815512.3080063</v>
      </c>
      <c r="E1639" s="53">
        <f t="shared" ca="1" si="227"/>
        <v>14383439110242.232</v>
      </c>
      <c r="F1639" s="53">
        <f t="shared" ca="1" si="228"/>
        <v>2912978915661.2847</v>
      </c>
      <c r="G1639" s="53">
        <f t="shared" ca="1" si="229"/>
        <v>2852825299519.2471</v>
      </c>
      <c r="H1639" s="53">
        <f t="shared" ca="1" si="230"/>
        <v>2912978915661.2847</v>
      </c>
      <c r="I1639" s="53">
        <f t="shared" ca="1" si="231"/>
        <v>1437722369148.8225</v>
      </c>
      <c r="J1639" s="53">
        <f t="shared" ca="1" si="232"/>
        <v>1386092775139.8101</v>
      </c>
      <c r="K1639" s="54">
        <f t="shared" ca="1" si="233"/>
        <v>1.0372482960267972</v>
      </c>
    </row>
    <row r="1640" spans="2:11" ht="15" customHeight="1" x14ac:dyDescent="0.35">
      <c r="B1640" s="5">
        <v>1619</v>
      </c>
      <c r="C1640" s="52">
        <f t="shared" ca="1" si="225"/>
        <v>2.3697229388434478</v>
      </c>
      <c r="D1640" s="53">
        <f t="shared" ca="1" si="226"/>
        <v>1600059312.1563883</v>
      </c>
      <c r="E1640" s="53">
        <f t="shared" ca="1" si="227"/>
        <v>6673912584343.6563</v>
      </c>
      <c r="F1640" s="53">
        <f t="shared" ca="1" si="228"/>
        <v>6498416825243.4766</v>
      </c>
      <c r="G1640" s="53">
        <f t="shared" ca="1" si="229"/>
        <v>4253678992450.1128</v>
      </c>
      <c r="H1640" s="53">
        <f t="shared" ca="1" si="230"/>
        <v>6498416825243.4766</v>
      </c>
      <c r="I1640" s="53">
        <f t="shared" ca="1" si="231"/>
        <v>19084291953247.523</v>
      </c>
      <c r="J1640" s="53">
        <f t="shared" ca="1" si="232"/>
        <v>574386381311.13757</v>
      </c>
      <c r="K1640" s="54">
        <f t="shared" ca="1" si="233"/>
        <v>33.225530016370307</v>
      </c>
    </row>
    <row r="1641" spans="2:11" ht="15" customHeight="1" x14ac:dyDescent="0.35">
      <c r="B1641" s="5">
        <v>1620</v>
      </c>
      <c r="C1641" s="52">
        <f t="shared" ca="1" si="225"/>
        <v>3.476085967676207</v>
      </c>
      <c r="D1641" s="53">
        <f t="shared" ca="1" si="226"/>
        <v>11674643039.633299</v>
      </c>
      <c r="E1641" s="53">
        <f t="shared" ca="1" si="227"/>
        <v>17524336415033.332</v>
      </c>
      <c r="F1641" s="53">
        <f t="shared" ca="1" si="228"/>
        <v>3326455828347.0742</v>
      </c>
      <c r="G1641" s="53">
        <f t="shared" ca="1" si="229"/>
        <v>31148379690940.57</v>
      </c>
      <c r="H1641" s="53">
        <f t="shared" ca="1" si="230"/>
        <v>31148379690940.57</v>
      </c>
      <c r="I1641" s="53">
        <f t="shared" ca="1" si="231"/>
        <v>10107850686002.279</v>
      </c>
      <c r="J1641" s="53">
        <f t="shared" ca="1" si="232"/>
        <v>1487789072246.9734</v>
      </c>
      <c r="K1641" s="54">
        <f t="shared" ca="1" si="233"/>
        <v>6.7938734559574536</v>
      </c>
    </row>
    <row r="1642" spans="2:11" ht="15" customHeight="1" x14ac:dyDescent="0.35">
      <c r="B1642" s="5">
        <v>1621</v>
      </c>
      <c r="C1642" s="52">
        <f t="shared" ca="1" si="225"/>
        <v>3.6922308057489368</v>
      </c>
      <c r="D1642" s="53">
        <f t="shared" ca="1" si="226"/>
        <v>11025611938.870623</v>
      </c>
      <c r="E1642" s="53">
        <f t="shared" ca="1" si="227"/>
        <v>25996549326917.992</v>
      </c>
      <c r="F1642" s="53">
        <f t="shared" ca="1" si="228"/>
        <v>3747157289257.0498</v>
      </c>
      <c r="G1642" s="53">
        <f t="shared" ca="1" si="229"/>
        <v>46341626407613.547</v>
      </c>
      <c r="H1642" s="53">
        <f t="shared" ca="1" si="230"/>
        <v>3747157289257.0498</v>
      </c>
      <c r="I1642" s="53">
        <f t="shared" ca="1" si="231"/>
        <v>24058711986081.297</v>
      </c>
      <c r="J1642" s="53">
        <f t="shared" ca="1" si="232"/>
        <v>1552017650066.0742</v>
      </c>
      <c r="K1642" s="54">
        <f t="shared" ca="1" si="233"/>
        <v>15.501571122633202</v>
      </c>
    </row>
    <row r="1643" spans="2:11" ht="15" customHeight="1" x14ac:dyDescent="0.35">
      <c r="B1643" s="5">
        <v>1622</v>
      </c>
      <c r="C1643" s="52">
        <f t="shared" ca="1" si="225"/>
        <v>3.4416691357880422</v>
      </c>
      <c r="D1643" s="53">
        <f t="shared" ca="1" si="226"/>
        <v>8888879500.9664078</v>
      </c>
      <c r="E1643" s="53">
        <f t="shared" ca="1" si="227"/>
        <v>54941583041412.898</v>
      </c>
      <c r="F1643" s="53">
        <f t="shared" ca="1" si="228"/>
        <v>5023251703661.5313</v>
      </c>
      <c r="G1643" s="53">
        <f t="shared" ca="1" si="229"/>
        <v>4206047322423.4111</v>
      </c>
      <c r="H1643" s="53">
        <f t="shared" ca="1" si="230"/>
        <v>54941583041412.898</v>
      </c>
      <c r="I1643" s="53">
        <f t="shared" ca="1" si="231"/>
        <v>272928501012051.69</v>
      </c>
      <c r="J1643" s="53">
        <f t="shared" ca="1" si="232"/>
        <v>1014420216366.6123</v>
      </c>
      <c r="K1643" s="54">
        <f t="shared" ca="1" si="233"/>
        <v>269.0487596842363</v>
      </c>
    </row>
    <row r="1644" spans="2:11" ht="15" customHeight="1" x14ac:dyDescent="0.35">
      <c r="B1644" s="5">
        <v>1623</v>
      </c>
      <c r="C1644" s="52">
        <f t="shared" ca="1" si="225"/>
        <v>2.343786890041955</v>
      </c>
      <c r="D1644" s="53">
        <f t="shared" ca="1" si="226"/>
        <v>1685531195.9263551</v>
      </c>
      <c r="E1644" s="53">
        <f t="shared" ca="1" si="227"/>
        <v>1623005699248.1907</v>
      </c>
      <c r="F1644" s="53">
        <f t="shared" ca="1" si="228"/>
        <v>582147121768.21228</v>
      </c>
      <c r="G1644" s="53">
        <f t="shared" ca="1" si="229"/>
        <v>683557706781.18872</v>
      </c>
      <c r="H1644" s="53">
        <f t="shared" ca="1" si="230"/>
        <v>683557706781.18872</v>
      </c>
      <c r="I1644" s="53">
        <f t="shared" ca="1" si="231"/>
        <v>6560322379441.0498</v>
      </c>
      <c r="J1644" s="53">
        <f t="shared" ca="1" si="232"/>
        <v>1594744559441.6638</v>
      </c>
      <c r="K1644" s="54">
        <f t="shared" ca="1" si="233"/>
        <v>4.1137135979557033</v>
      </c>
    </row>
    <row r="1645" spans="2:11" ht="15" customHeight="1" x14ac:dyDescent="0.35">
      <c r="B1645" s="5">
        <v>1624</v>
      </c>
      <c r="C1645" s="52">
        <f t="shared" ca="1" si="225"/>
        <v>3.7500178177444456</v>
      </c>
      <c r="D1645" s="53">
        <f t="shared" ca="1" si="226"/>
        <v>13076439552.256493</v>
      </c>
      <c r="E1645" s="53">
        <f t="shared" ca="1" si="227"/>
        <v>34454106091245.363</v>
      </c>
      <c r="F1645" s="53">
        <f t="shared" ca="1" si="228"/>
        <v>7172371579196.916</v>
      </c>
      <c r="G1645" s="53">
        <f t="shared" ca="1" si="229"/>
        <v>4950666343947.9883</v>
      </c>
      <c r="H1645" s="53">
        <f t="shared" ca="1" si="230"/>
        <v>7172371579196.916</v>
      </c>
      <c r="I1645" s="53">
        <f t="shared" ca="1" si="231"/>
        <v>28378131668887.031</v>
      </c>
      <c r="J1645" s="53">
        <f t="shared" ca="1" si="232"/>
        <v>845479563084.49426</v>
      </c>
      <c r="K1645" s="54">
        <f t="shared" ca="1" si="233"/>
        <v>33.564538881764811</v>
      </c>
    </row>
    <row r="1646" spans="2:11" ht="15" customHeight="1" x14ac:dyDescent="0.35">
      <c r="B1646" s="5">
        <v>1625</v>
      </c>
      <c r="C1646" s="52">
        <f t="shared" ca="1" si="225"/>
        <v>3.0074790749028373</v>
      </c>
      <c r="D1646" s="53">
        <f t="shared" ca="1" si="226"/>
        <v>4730471192.4044809</v>
      </c>
      <c r="E1646" s="53">
        <f t="shared" ca="1" si="227"/>
        <v>21531963624044.168</v>
      </c>
      <c r="F1646" s="53">
        <f t="shared" ca="1" si="228"/>
        <v>2768767668717.8242</v>
      </c>
      <c r="G1646" s="53">
        <f t="shared" ca="1" si="229"/>
        <v>34481419459835.828</v>
      </c>
      <c r="H1646" s="53">
        <f t="shared" ca="1" si="230"/>
        <v>21531963624044.168</v>
      </c>
      <c r="I1646" s="53">
        <f t="shared" ca="1" si="231"/>
        <v>3657268222698.9814</v>
      </c>
      <c r="J1646" s="53">
        <f t="shared" ca="1" si="232"/>
        <v>1224229244777.1614</v>
      </c>
      <c r="K1646" s="54">
        <f t="shared" ca="1" si="233"/>
        <v>2.9874047187662884</v>
      </c>
    </row>
    <row r="1647" spans="2:11" ht="15" customHeight="1" x14ac:dyDescent="0.35">
      <c r="B1647" s="5">
        <v>1626</v>
      </c>
      <c r="C1647" s="52">
        <f t="shared" ca="1" si="225"/>
        <v>3.1195571652324325</v>
      </c>
      <c r="D1647" s="53">
        <f t="shared" ca="1" si="226"/>
        <v>6423545632.5811539</v>
      </c>
      <c r="E1647" s="53">
        <f t="shared" ca="1" si="227"/>
        <v>19210491994495.145</v>
      </c>
      <c r="F1647" s="53">
        <f t="shared" ca="1" si="228"/>
        <v>4488105445704.2412</v>
      </c>
      <c r="G1647" s="53">
        <f t="shared" ca="1" si="229"/>
        <v>8617304384865.792</v>
      </c>
      <c r="H1647" s="53">
        <f t="shared" ca="1" si="230"/>
        <v>4488105445704.2412</v>
      </c>
      <c r="I1647" s="53">
        <f t="shared" ca="1" si="231"/>
        <v>2869983421454.2783</v>
      </c>
      <c r="J1647" s="53">
        <f t="shared" ca="1" si="232"/>
        <v>1703522555115.3945</v>
      </c>
      <c r="K1647" s="54">
        <f t="shared" ca="1" si="233"/>
        <v>1.6847346181805436</v>
      </c>
    </row>
    <row r="1648" spans="2:11" ht="15" customHeight="1" x14ac:dyDescent="0.35">
      <c r="B1648" s="5">
        <v>1627</v>
      </c>
      <c r="C1648" s="52">
        <f t="shared" ca="1" si="225"/>
        <v>3.2298784199493507</v>
      </c>
      <c r="D1648" s="53">
        <f t="shared" ca="1" si="226"/>
        <v>7605328337.5864964</v>
      </c>
      <c r="E1648" s="53">
        <f t="shared" ca="1" si="227"/>
        <v>19585241980117.383</v>
      </c>
      <c r="F1648" s="53">
        <f t="shared" ca="1" si="228"/>
        <v>5607541568252.3779</v>
      </c>
      <c r="G1648" s="53">
        <f t="shared" ca="1" si="229"/>
        <v>399190858669.21954</v>
      </c>
      <c r="H1648" s="53">
        <f t="shared" ca="1" si="230"/>
        <v>399190858669.21954</v>
      </c>
      <c r="I1648" s="53">
        <f t="shared" ca="1" si="231"/>
        <v>3125246135609.0303</v>
      </c>
      <c r="J1648" s="53">
        <f t="shared" ca="1" si="232"/>
        <v>818773293492.15247</v>
      </c>
      <c r="K1648" s="54">
        <f t="shared" ca="1" si="233"/>
        <v>3.8169859232700829</v>
      </c>
    </row>
    <row r="1649" spans="2:11" ht="15" customHeight="1" x14ac:dyDescent="0.35">
      <c r="B1649" s="5">
        <v>1628</v>
      </c>
      <c r="C1649" s="52">
        <f t="shared" ca="1" si="225"/>
        <v>2.2933409322147478</v>
      </c>
      <c r="D1649" s="53">
        <f t="shared" ca="1" si="226"/>
        <v>1436844535.7576184</v>
      </c>
      <c r="E1649" s="53">
        <f t="shared" ca="1" si="227"/>
        <v>12973302517583.873</v>
      </c>
      <c r="F1649" s="53">
        <f t="shared" ca="1" si="228"/>
        <v>373481022927.31952</v>
      </c>
      <c r="G1649" s="53">
        <f t="shared" ca="1" si="229"/>
        <v>12272047438819.514</v>
      </c>
      <c r="H1649" s="53">
        <f t="shared" ca="1" si="230"/>
        <v>373481022927.31952</v>
      </c>
      <c r="I1649" s="53">
        <f t="shared" ca="1" si="231"/>
        <v>3377702288438.0444</v>
      </c>
      <c r="J1649" s="53">
        <f t="shared" ca="1" si="232"/>
        <v>984039928116.59167</v>
      </c>
      <c r="K1649" s="54">
        <f t="shared" ca="1" si="233"/>
        <v>3.4324849957082688</v>
      </c>
    </row>
    <row r="1650" spans="2:11" ht="15" customHeight="1" x14ac:dyDescent="0.35">
      <c r="B1650" s="5">
        <v>1629</v>
      </c>
      <c r="C1650" s="52">
        <f t="shared" ca="1" si="225"/>
        <v>3.3008237584384501</v>
      </c>
      <c r="D1650" s="53">
        <f t="shared" ca="1" si="226"/>
        <v>8964277896.5106144</v>
      </c>
      <c r="E1650" s="53">
        <f t="shared" ca="1" si="227"/>
        <v>103228625569814.33</v>
      </c>
      <c r="F1650" s="53">
        <f t="shared" ca="1" si="228"/>
        <v>3047528201853.8311</v>
      </c>
      <c r="G1650" s="53">
        <f t="shared" ca="1" si="229"/>
        <v>3425454732697.3457</v>
      </c>
      <c r="H1650" s="53">
        <f t="shared" ca="1" si="230"/>
        <v>3047528201853.8311</v>
      </c>
      <c r="I1650" s="53">
        <f t="shared" ca="1" si="231"/>
        <v>7386672510380.8008</v>
      </c>
      <c r="J1650" s="53">
        <f t="shared" ca="1" si="232"/>
        <v>726209277308.12085</v>
      </c>
      <c r="K1650" s="54">
        <f t="shared" ca="1" si="233"/>
        <v>10.171547983745649</v>
      </c>
    </row>
    <row r="1651" spans="2:11" ht="15" customHeight="1" x14ac:dyDescent="0.35">
      <c r="B1651" s="5">
        <v>1630</v>
      </c>
      <c r="C1651" s="52">
        <f t="shared" ca="1" si="225"/>
        <v>2.7912078396128202</v>
      </c>
      <c r="D1651" s="53">
        <f t="shared" ca="1" si="226"/>
        <v>3107748708.2932096</v>
      </c>
      <c r="E1651" s="53">
        <f t="shared" ca="1" si="227"/>
        <v>15115278848658.354</v>
      </c>
      <c r="F1651" s="53">
        <f t="shared" ca="1" si="228"/>
        <v>930612472367.22437</v>
      </c>
      <c r="G1651" s="53">
        <f t="shared" ca="1" si="229"/>
        <v>7128014924279.0313</v>
      </c>
      <c r="H1651" s="53">
        <f t="shared" ca="1" si="230"/>
        <v>930612472367.22437</v>
      </c>
      <c r="I1651" s="53">
        <f t="shared" ca="1" si="231"/>
        <v>2920255896493.9092</v>
      </c>
      <c r="J1651" s="53">
        <f t="shared" ca="1" si="232"/>
        <v>1335910750771.0613</v>
      </c>
      <c r="K1651" s="54">
        <f t="shared" ca="1" si="233"/>
        <v>2.1859663116030732</v>
      </c>
    </row>
    <row r="1652" spans="2:11" ht="15" customHeight="1" x14ac:dyDescent="0.35">
      <c r="B1652" s="5">
        <v>1631</v>
      </c>
      <c r="C1652" s="52">
        <f t="shared" ca="1" si="225"/>
        <v>2.470968981278225</v>
      </c>
      <c r="D1652" s="53">
        <f t="shared" ca="1" si="226"/>
        <v>2160639979.1450472</v>
      </c>
      <c r="E1652" s="53">
        <f t="shared" ca="1" si="227"/>
        <v>14884905752844.504</v>
      </c>
      <c r="F1652" s="53">
        <f t="shared" ca="1" si="228"/>
        <v>1043459868685.6841</v>
      </c>
      <c r="G1652" s="53">
        <f t="shared" ca="1" si="229"/>
        <v>10743839005627.586</v>
      </c>
      <c r="H1652" s="53">
        <f t="shared" ca="1" si="230"/>
        <v>1043459868685.6841</v>
      </c>
      <c r="I1652" s="53">
        <f t="shared" ca="1" si="231"/>
        <v>14182533221817.479</v>
      </c>
      <c r="J1652" s="53">
        <f t="shared" ca="1" si="232"/>
        <v>1600438321740.918</v>
      </c>
      <c r="K1652" s="54">
        <f t="shared" ca="1" si="233"/>
        <v>8.8616556034412266</v>
      </c>
    </row>
    <row r="1653" spans="2:11" ht="15" customHeight="1" x14ac:dyDescent="0.35">
      <c r="B1653" s="5">
        <v>1632</v>
      </c>
      <c r="C1653" s="52">
        <f t="shared" ca="1" si="225"/>
        <v>3.5121463906191583</v>
      </c>
      <c r="D1653" s="53">
        <f t="shared" ca="1" si="226"/>
        <v>12086810423.134333</v>
      </c>
      <c r="E1653" s="53">
        <f t="shared" ca="1" si="227"/>
        <v>24644456667465.797</v>
      </c>
      <c r="F1653" s="53">
        <f t="shared" ca="1" si="228"/>
        <v>1086743451341.3217</v>
      </c>
      <c r="G1653" s="53">
        <f t="shared" ca="1" si="229"/>
        <v>964984717267.78906</v>
      </c>
      <c r="H1653" s="53">
        <f t="shared" ca="1" si="230"/>
        <v>964984717267.78906</v>
      </c>
      <c r="I1653" s="53">
        <f t="shared" ca="1" si="231"/>
        <v>13104759643874.537</v>
      </c>
      <c r="J1653" s="53">
        <f t="shared" ca="1" si="232"/>
        <v>1305313887842.7786</v>
      </c>
      <c r="K1653" s="54">
        <f t="shared" ca="1" si="233"/>
        <v>10.039546630069234</v>
      </c>
    </row>
    <row r="1654" spans="2:11" ht="15" customHeight="1" x14ac:dyDescent="0.35">
      <c r="B1654" s="5">
        <v>1633</v>
      </c>
      <c r="C1654" s="52">
        <f t="shared" ca="1" si="225"/>
        <v>3.3762054290884218</v>
      </c>
      <c r="D1654" s="53">
        <f t="shared" ca="1" si="226"/>
        <v>10346927626.62018</v>
      </c>
      <c r="E1654" s="53">
        <f t="shared" ca="1" si="227"/>
        <v>7617741772609.5811</v>
      </c>
      <c r="F1654" s="53">
        <f t="shared" ca="1" si="228"/>
        <v>4464831734625.3047</v>
      </c>
      <c r="G1654" s="53">
        <f t="shared" ca="1" si="229"/>
        <v>20742180231338.938</v>
      </c>
      <c r="H1654" s="53">
        <f t="shared" ca="1" si="230"/>
        <v>20742180231338.938</v>
      </c>
      <c r="I1654" s="53">
        <f t="shared" ca="1" si="231"/>
        <v>5056056281235.4453</v>
      </c>
      <c r="J1654" s="53">
        <f t="shared" ca="1" si="232"/>
        <v>1258127075606.188</v>
      </c>
      <c r="K1654" s="54">
        <f t="shared" ca="1" si="233"/>
        <v>4.0187166934622622</v>
      </c>
    </row>
    <row r="1655" spans="2:11" ht="15" customHeight="1" x14ac:dyDescent="0.35">
      <c r="B1655" s="5">
        <v>1634</v>
      </c>
      <c r="C1655" s="52">
        <f t="shared" ca="1" si="225"/>
        <v>2.174408537191677</v>
      </c>
      <c r="D1655" s="53">
        <f t="shared" ca="1" si="226"/>
        <v>1086311765.242044</v>
      </c>
      <c r="E1655" s="53">
        <f t="shared" ca="1" si="227"/>
        <v>6564676743530.2764</v>
      </c>
      <c r="F1655" s="53">
        <f t="shared" ca="1" si="228"/>
        <v>562696218301.32043</v>
      </c>
      <c r="G1655" s="53">
        <f t="shared" ca="1" si="229"/>
        <v>50477944843586.227</v>
      </c>
      <c r="H1655" s="53">
        <f t="shared" ca="1" si="230"/>
        <v>50477944843586.227</v>
      </c>
      <c r="I1655" s="53">
        <f t="shared" ca="1" si="231"/>
        <v>2045733730551.9509</v>
      </c>
      <c r="J1655" s="53">
        <f t="shared" ca="1" si="232"/>
        <v>1044686863990.0771</v>
      </c>
      <c r="K1655" s="54">
        <f t="shared" ca="1" si="233"/>
        <v>1.9582267194769496</v>
      </c>
    </row>
    <row r="1656" spans="2:11" ht="15" customHeight="1" x14ac:dyDescent="0.35">
      <c r="B1656" s="5">
        <v>1635</v>
      </c>
      <c r="C1656" s="52">
        <f t="shared" ca="1" si="225"/>
        <v>2.6459265794636093</v>
      </c>
      <c r="D1656" s="53">
        <f t="shared" ca="1" si="226"/>
        <v>2836983981.6099906</v>
      </c>
      <c r="E1656" s="53">
        <f t="shared" ca="1" si="227"/>
        <v>59404148103737.656</v>
      </c>
      <c r="F1656" s="53">
        <f t="shared" ca="1" si="228"/>
        <v>839597013062.72363</v>
      </c>
      <c r="G1656" s="53">
        <f t="shared" ca="1" si="229"/>
        <v>4158507284925.2041</v>
      </c>
      <c r="H1656" s="53">
        <f t="shared" ca="1" si="230"/>
        <v>839597013062.72363</v>
      </c>
      <c r="I1656" s="53">
        <f t="shared" ca="1" si="231"/>
        <v>1281231382958.7351</v>
      </c>
      <c r="J1656" s="53">
        <f t="shared" ca="1" si="232"/>
        <v>958767311221.93579</v>
      </c>
      <c r="K1656" s="54">
        <f t="shared" ca="1" si="233"/>
        <v>1.336331942028586</v>
      </c>
    </row>
    <row r="1657" spans="2:11" ht="15" customHeight="1" x14ac:dyDescent="0.35">
      <c r="B1657" s="5">
        <v>1636</v>
      </c>
      <c r="C1657" s="52">
        <f t="shared" ca="1" si="225"/>
        <v>2.8474644907277136</v>
      </c>
      <c r="D1657" s="53">
        <f t="shared" ca="1" si="226"/>
        <v>3857806629.6189194</v>
      </c>
      <c r="E1657" s="53">
        <f t="shared" ca="1" si="227"/>
        <v>3956817679622.7646</v>
      </c>
      <c r="F1657" s="53">
        <f t="shared" ca="1" si="228"/>
        <v>8495313501624.6494</v>
      </c>
      <c r="G1657" s="53">
        <f t="shared" ca="1" si="229"/>
        <v>3267050407717.9478</v>
      </c>
      <c r="H1657" s="53">
        <f t="shared" ca="1" si="230"/>
        <v>3956817679622.7646</v>
      </c>
      <c r="I1657" s="53">
        <f t="shared" ca="1" si="231"/>
        <v>10984803777727.906</v>
      </c>
      <c r="J1657" s="53">
        <f t="shared" ca="1" si="232"/>
        <v>871774140385.51697</v>
      </c>
      <c r="K1657" s="54">
        <f t="shared" ca="1" si="233"/>
        <v>12.600515740086296</v>
      </c>
    </row>
    <row r="1658" spans="2:11" ht="15" customHeight="1" x14ac:dyDescent="0.35">
      <c r="B1658" s="5">
        <v>1637</v>
      </c>
      <c r="C1658" s="52">
        <f t="shared" ca="1" si="225"/>
        <v>2.6872219629767455</v>
      </c>
      <c r="D1658" s="53">
        <f t="shared" ca="1" si="226"/>
        <v>2362921516.5069838</v>
      </c>
      <c r="E1658" s="53">
        <f t="shared" ca="1" si="227"/>
        <v>21089284859991.449</v>
      </c>
      <c r="F1658" s="53">
        <f t="shared" ca="1" si="228"/>
        <v>9164263654836.8984</v>
      </c>
      <c r="G1658" s="53">
        <f t="shared" ca="1" si="229"/>
        <v>1561167438502.4004</v>
      </c>
      <c r="H1658" s="53">
        <f t="shared" ca="1" si="230"/>
        <v>21089284859991.449</v>
      </c>
      <c r="I1658" s="53">
        <f t="shared" ca="1" si="231"/>
        <v>6656804012675.8564</v>
      </c>
      <c r="J1658" s="53">
        <f t="shared" ca="1" si="232"/>
        <v>972823249603.73792</v>
      </c>
      <c r="K1658" s="54">
        <f t="shared" ca="1" si="233"/>
        <v>6.8427682165155757</v>
      </c>
    </row>
    <row r="1659" spans="2:11" ht="15" customHeight="1" x14ac:dyDescent="0.35">
      <c r="B1659" s="5">
        <v>1638</v>
      </c>
      <c r="C1659" s="52">
        <f t="shared" ca="1" si="225"/>
        <v>3.6479847519529964</v>
      </c>
      <c r="D1659" s="53">
        <f t="shared" ca="1" si="226"/>
        <v>13359208662.914177</v>
      </c>
      <c r="E1659" s="53">
        <f t="shared" ca="1" si="227"/>
        <v>23859240747967.691</v>
      </c>
      <c r="F1659" s="53">
        <f t="shared" ca="1" si="228"/>
        <v>4617343438281.9219</v>
      </c>
      <c r="G1659" s="53">
        <f t="shared" ca="1" si="229"/>
        <v>7715805469325.9639</v>
      </c>
      <c r="H1659" s="53">
        <f t="shared" ca="1" si="230"/>
        <v>23859240747967.691</v>
      </c>
      <c r="I1659" s="53">
        <f t="shared" ca="1" si="231"/>
        <v>5280946332724.9951</v>
      </c>
      <c r="J1659" s="53">
        <f t="shared" ca="1" si="232"/>
        <v>881452387392.69238</v>
      </c>
      <c r="K1659" s="54">
        <f t="shared" ca="1" si="233"/>
        <v>5.9911872816475809</v>
      </c>
    </row>
    <row r="1660" spans="2:11" ht="15" customHeight="1" x14ac:dyDescent="0.35">
      <c r="B1660" s="5">
        <v>1639</v>
      </c>
      <c r="C1660" s="52">
        <f t="shared" ca="1" si="225"/>
        <v>2.6248677163734029</v>
      </c>
      <c r="D1660" s="53">
        <f t="shared" ca="1" si="226"/>
        <v>2741994810.7619877</v>
      </c>
      <c r="E1660" s="53">
        <f t="shared" ca="1" si="227"/>
        <v>16397142028195.182</v>
      </c>
      <c r="F1660" s="53">
        <f t="shared" ca="1" si="228"/>
        <v>1482148658121.615</v>
      </c>
      <c r="G1660" s="53">
        <f t="shared" ca="1" si="229"/>
        <v>1707991124538.5171</v>
      </c>
      <c r="H1660" s="53">
        <f t="shared" ca="1" si="230"/>
        <v>1482148658121.615</v>
      </c>
      <c r="I1660" s="53">
        <f t="shared" ca="1" si="231"/>
        <v>15338519438180.477</v>
      </c>
      <c r="J1660" s="53">
        <f t="shared" ca="1" si="232"/>
        <v>973402795022.9856</v>
      </c>
      <c r="K1660" s="54">
        <f t="shared" ca="1" si="233"/>
        <v>15.757628308246513</v>
      </c>
    </row>
    <row r="1661" spans="2:11" ht="15" customHeight="1" x14ac:dyDescent="0.35">
      <c r="B1661" s="5">
        <v>1640</v>
      </c>
      <c r="C1661" s="52">
        <f t="shared" ca="1" si="225"/>
        <v>3.2619934240198054</v>
      </c>
      <c r="D1661" s="53">
        <f t="shared" ca="1" si="226"/>
        <v>8478884438.4909172</v>
      </c>
      <c r="E1661" s="53">
        <f t="shared" ca="1" si="227"/>
        <v>87862653061268.094</v>
      </c>
      <c r="F1661" s="53">
        <f t="shared" ca="1" si="228"/>
        <v>4028059397509.7959</v>
      </c>
      <c r="G1661" s="53">
        <f t="shared" ca="1" si="229"/>
        <v>43748601188677.586</v>
      </c>
      <c r="H1661" s="53">
        <f t="shared" ca="1" si="230"/>
        <v>43748601188677.586</v>
      </c>
      <c r="I1661" s="53">
        <f t="shared" ca="1" si="231"/>
        <v>14064431085429.043</v>
      </c>
      <c r="J1661" s="53">
        <f t="shared" ca="1" si="232"/>
        <v>1333528169263.9539</v>
      </c>
      <c r="K1661" s="54">
        <f t="shared" ca="1" si="233"/>
        <v>10.54678214498608</v>
      </c>
    </row>
    <row r="1662" spans="2:11" ht="15" customHeight="1" x14ac:dyDescent="0.35">
      <c r="B1662" s="5">
        <v>1641</v>
      </c>
      <c r="C1662" s="52">
        <f t="shared" ca="1" si="225"/>
        <v>2.780881905333211</v>
      </c>
      <c r="D1662" s="53">
        <f t="shared" ca="1" si="226"/>
        <v>3696276592.9208512</v>
      </c>
      <c r="E1662" s="53">
        <f t="shared" ca="1" si="227"/>
        <v>28976885648390.641</v>
      </c>
      <c r="F1662" s="53">
        <f t="shared" ca="1" si="228"/>
        <v>13252965327063.232</v>
      </c>
      <c r="G1662" s="53">
        <f t="shared" ca="1" si="229"/>
        <v>2753253031944.2456</v>
      </c>
      <c r="H1662" s="53">
        <f t="shared" ca="1" si="230"/>
        <v>2753253031944.2456</v>
      </c>
      <c r="I1662" s="53">
        <f t="shared" ca="1" si="231"/>
        <v>76335118345224.031</v>
      </c>
      <c r="J1662" s="53">
        <f t="shared" ca="1" si="232"/>
        <v>1494082358484.5408</v>
      </c>
      <c r="K1662" s="54">
        <f t="shared" ca="1" si="233"/>
        <v>51.091640237725137</v>
      </c>
    </row>
    <row r="1663" spans="2:11" ht="15" customHeight="1" x14ac:dyDescent="0.35">
      <c r="B1663" s="5">
        <v>1642</v>
      </c>
      <c r="C1663" s="52">
        <f t="shared" ca="1" si="225"/>
        <v>2.799839771268168</v>
      </c>
      <c r="D1663" s="53">
        <f t="shared" ca="1" si="226"/>
        <v>3992977269.3595285</v>
      </c>
      <c r="E1663" s="53">
        <f t="shared" ca="1" si="227"/>
        <v>4435329615437.9189</v>
      </c>
      <c r="F1663" s="53">
        <f t="shared" ca="1" si="228"/>
        <v>2856777061405.7222</v>
      </c>
      <c r="G1663" s="53">
        <f t="shared" ca="1" si="229"/>
        <v>13450469981435.814</v>
      </c>
      <c r="H1663" s="53">
        <f t="shared" ca="1" si="230"/>
        <v>13450469981435.814</v>
      </c>
      <c r="I1663" s="53">
        <f t="shared" ca="1" si="231"/>
        <v>38032751844192.945</v>
      </c>
      <c r="J1663" s="53">
        <f t="shared" ca="1" si="232"/>
        <v>1090247585888.0674</v>
      </c>
      <c r="K1663" s="54">
        <f t="shared" ca="1" si="233"/>
        <v>34.884509111949235</v>
      </c>
    </row>
    <row r="1664" spans="2:11" ht="15" customHeight="1" x14ac:dyDescent="0.35">
      <c r="B1664" s="5">
        <v>1643</v>
      </c>
      <c r="C1664" s="52">
        <f t="shared" ca="1" si="225"/>
        <v>2.6088196886888011</v>
      </c>
      <c r="D1664" s="53">
        <f t="shared" ca="1" si="226"/>
        <v>2493047627.5328212</v>
      </c>
      <c r="E1664" s="53">
        <f t="shared" ca="1" si="227"/>
        <v>8513244077664.3057</v>
      </c>
      <c r="F1664" s="53">
        <f t="shared" ca="1" si="228"/>
        <v>4976150635411.3242</v>
      </c>
      <c r="G1664" s="53">
        <f t="shared" ca="1" si="229"/>
        <v>6792969138436.5518</v>
      </c>
      <c r="H1664" s="53">
        <f t="shared" ca="1" si="230"/>
        <v>8513244077664.3057</v>
      </c>
      <c r="I1664" s="53">
        <f t="shared" ca="1" si="231"/>
        <v>43331109802091.102</v>
      </c>
      <c r="J1664" s="53">
        <f t="shared" ca="1" si="232"/>
        <v>597383438234.33826</v>
      </c>
      <c r="K1664" s="54">
        <f t="shared" ca="1" si="233"/>
        <v>72.534836135000802</v>
      </c>
    </row>
    <row r="1665" spans="2:11" ht="15" customHeight="1" x14ac:dyDescent="0.35">
      <c r="B1665" s="5">
        <v>1644</v>
      </c>
      <c r="C1665" s="52">
        <f t="shared" ca="1" si="225"/>
        <v>3.6076216596870765</v>
      </c>
      <c r="D1665" s="53">
        <f t="shared" ca="1" si="226"/>
        <v>10905419993.066271</v>
      </c>
      <c r="E1665" s="53">
        <f t="shared" ca="1" si="227"/>
        <v>33484917885167.625</v>
      </c>
      <c r="F1665" s="53">
        <f t="shared" ca="1" si="228"/>
        <v>978239853031.03186</v>
      </c>
      <c r="G1665" s="53">
        <f t="shared" ca="1" si="229"/>
        <v>6111407469295.6162</v>
      </c>
      <c r="H1665" s="53">
        <f t="shared" ca="1" si="230"/>
        <v>978239853031.03186</v>
      </c>
      <c r="I1665" s="53">
        <f t="shared" ca="1" si="231"/>
        <v>3991428359746.4185</v>
      </c>
      <c r="J1665" s="53">
        <f t="shared" ca="1" si="232"/>
        <v>1033457440928.9796</v>
      </c>
      <c r="K1665" s="54">
        <f t="shared" ca="1" si="233"/>
        <v>3.8622087390057449</v>
      </c>
    </row>
    <row r="1666" spans="2:11" ht="15" customHeight="1" x14ac:dyDescent="0.35">
      <c r="B1666" s="5">
        <v>1645</v>
      </c>
      <c r="C1666" s="52">
        <f t="shared" ca="1" si="225"/>
        <v>3.6847753938801588</v>
      </c>
      <c r="D1666" s="53">
        <f t="shared" ca="1" si="226"/>
        <v>14337594975.470562</v>
      </c>
      <c r="E1666" s="53">
        <f t="shared" ca="1" si="227"/>
        <v>98072968867204.578</v>
      </c>
      <c r="F1666" s="53">
        <f t="shared" ca="1" si="228"/>
        <v>4345452767091.2959</v>
      </c>
      <c r="G1666" s="53">
        <f t="shared" ca="1" si="229"/>
        <v>15470713830708.654</v>
      </c>
      <c r="H1666" s="53">
        <f t="shared" ca="1" si="230"/>
        <v>4345452767091.2959</v>
      </c>
      <c r="I1666" s="53">
        <f t="shared" ca="1" si="231"/>
        <v>18377964546481.43</v>
      </c>
      <c r="J1666" s="53">
        <f t="shared" ca="1" si="232"/>
        <v>1381794815023.8572</v>
      </c>
      <c r="K1666" s="54">
        <f t="shared" ca="1" si="233"/>
        <v>13.300067670440729</v>
      </c>
    </row>
    <row r="1667" spans="2:11" ht="15" customHeight="1" x14ac:dyDescent="0.35">
      <c r="B1667" s="5">
        <v>1646</v>
      </c>
      <c r="C1667" s="52">
        <f t="shared" ca="1" si="225"/>
        <v>3.0077608156616886</v>
      </c>
      <c r="D1667" s="53">
        <f t="shared" ca="1" si="226"/>
        <v>4554185065.8028908</v>
      </c>
      <c r="E1667" s="53">
        <f t="shared" ca="1" si="227"/>
        <v>48994474929738.398</v>
      </c>
      <c r="F1667" s="53">
        <f t="shared" ca="1" si="228"/>
        <v>3055620884021.1055</v>
      </c>
      <c r="G1667" s="53">
        <f t="shared" ca="1" si="229"/>
        <v>129031892696104.19</v>
      </c>
      <c r="H1667" s="53">
        <f t="shared" ca="1" si="230"/>
        <v>3055620884021.1055</v>
      </c>
      <c r="I1667" s="53">
        <f t="shared" ca="1" si="231"/>
        <v>1029691348095.4307</v>
      </c>
      <c r="J1667" s="53">
        <f t="shared" ca="1" si="232"/>
        <v>1440837171261.7527</v>
      </c>
      <c r="K1667" s="54">
        <f t="shared" ca="1" si="233"/>
        <v>0.71464796205508885</v>
      </c>
    </row>
    <row r="1668" spans="2:11" ht="15" customHeight="1" x14ac:dyDescent="0.35">
      <c r="B1668" s="5">
        <v>1647</v>
      </c>
      <c r="C1668" s="52">
        <f t="shared" ca="1" si="225"/>
        <v>3.2400120712630658</v>
      </c>
      <c r="D1668" s="53">
        <f t="shared" ca="1" si="226"/>
        <v>7543473768.0447855</v>
      </c>
      <c r="E1668" s="53">
        <f t="shared" ca="1" si="227"/>
        <v>6802444799200.8281</v>
      </c>
      <c r="F1668" s="53">
        <f t="shared" ca="1" si="228"/>
        <v>2411931328100.876</v>
      </c>
      <c r="G1668" s="53">
        <f t="shared" ca="1" si="229"/>
        <v>17602983723205.035</v>
      </c>
      <c r="H1668" s="53">
        <f t="shared" ca="1" si="230"/>
        <v>6802444799200.8281</v>
      </c>
      <c r="I1668" s="53">
        <f t="shared" ca="1" si="231"/>
        <v>43717666897852.352</v>
      </c>
      <c r="J1668" s="53">
        <f t="shared" ca="1" si="232"/>
        <v>1228213591832.8992</v>
      </c>
      <c r="K1668" s="54">
        <f t="shared" ca="1" si="233"/>
        <v>35.5945148210021</v>
      </c>
    </row>
    <row r="1669" spans="2:11" ht="15" customHeight="1" x14ac:dyDescent="0.35">
      <c r="B1669" s="5">
        <v>1648</v>
      </c>
      <c r="C1669" s="52">
        <f t="shared" ca="1" si="225"/>
        <v>2.6588247189363914</v>
      </c>
      <c r="D1669" s="53">
        <f t="shared" ca="1" si="226"/>
        <v>2395274803.1043224</v>
      </c>
      <c r="E1669" s="53">
        <f t="shared" ca="1" si="227"/>
        <v>46562973244620</v>
      </c>
      <c r="F1669" s="53">
        <f t="shared" ca="1" si="228"/>
        <v>1069884188443.6509</v>
      </c>
      <c r="G1669" s="53">
        <f t="shared" ca="1" si="229"/>
        <v>1308907048198.3</v>
      </c>
      <c r="H1669" s="53">
        <f t="shared" ca="1" si="230"/>
        <v>1308907048198.3</v>
      </c>
      <c r="I1669" s="53">
        <f t="shared" ca="1" si="231"/>
        <v>1153140574727.9937</v>
      </c>
      <c r="J1669" s="53">
        <f t="shared" ca="1" si="232"/>
        <v>1328597608050.8113</v>
      </c>
      <c r="K1669" s="54">
        <f t="shared" ca="1" si="233"/>
        <v>0.86793816859249728</v>
      </c>
    </row>
    <row r="1670" spans="2:11" ht="15" customHeight="1" x14ac:dyDescent="0.35">
      <c r="B1670" s="5">
        <v>1649</v>
      </c>
      <c r="C1670" s="52">
        <f t="shared" ca="1" si="225"/>
        <v>3.2865178739442515</v>
      </c>
      <c r="D1670" s="53">
        <f t="shared" ca="1" si="226"/>
        <v>9097881719.1345005</v>
      </c>
      <c r="E1670" s="53">
        <f t="shared" ca="1" si="227"/>
        <v>9235610410121.8125</v>
      </c>
      <c r="F1670" s="53">
        <f t="shared" ca="1" si="228"/>
        <v>13271613124695.166</v>
      </c>
      <c r="G1670" s="53">
        <f t="shared" ca="1" si="229"/>
        <v>28125428898193.461</v>
      </c>
      <c r="H1670" s="53">
        <f t="shared" ca="1" si="230"/>
        <v>13271613124695.166</v>
      </c>
      <c r="I1670" s="53">
        <f t="shared" ca="1" si="231"/>
        <v>4344010876153.1553</v>
      </c>
      <c r="J1670" s="53">
        <f t="shared" ca="1" si="232"/>
        <v>866512676393.93555</v>
      </c>
      <c r="K1670" s="54">
        <f t="shared" ca="1" si="233"/>
        <v>5.0132109944786007</v>
      </c>
    </row>
    <row r="1671" spans="2:11" ht="15" customHeight="1" x14ac:dyDescent="0.35">
      <c r="B1671" s="5">
        <v>1650</v>
      </c>
      <c r="C1671" s="52">
        <f t="shared" ca="1" si="225"/>
        <v>2.3533955430793738</v>
      </c>
      <c r="D1671" s="53">
        <f t="shared" ca="1" si="226"/>
        <v>1579361233.8723321</v>
      </c>
      <c r="E1671" s="53">
        <f t="shared" ca="1" si="227"/>
        <v>31853982240951.523</v>
      </c>
      <c r="F1671" s="53">
        <f t="shared" ca="1" si="228"/>
        <v>1071487161838.2545</v>
      </c>
      <c r="G1671" s="53">
        <f t="shared" ca="1" si="229"/>
        <v>95654213443967.703</v>
      </c>
      <c r="H1671" s="53">
        <f t="shared" ca="1" si="230"/>
        <v>31853982240951.523</v>
      </c>
      <c r="I1671" s="53">
        <f t="shared" ca="1" si="231"/>
        <v>3703585556594.708</v>
      </c>
      <c r="J1671" s="53">
        <f t="shared" ca="1" si="232"/>
        <v>1022919729901.4528</v>
      </c>
      <c r="K1671" s="54">
        <f t="shared" ca="1" si="233"/>
        <v>3.6206023291304668</v>
      </c>
    </row>
    <row r="1672" spans="2:11" ht="15" customHeight="1" x14ac:dyDescent="0.35">
      <c r="B1672" s="5">
        <v>1651</v>
      </c>
      <c r="C1672" s="52">
        <f t="shared" ca="1" si="225"/>
        <v>2.9848834895707865</v>
      </c>
      <c r="D1672" s="53">
        <f t="shared" ca="1" si="226"/>
        <v>4785075827.5562353</v>
      </c>
      <c r="E1672" s="53">
        <f t="shared" ca="1" si="227"/>
        <v>5617736582971.1533</v>
      </c>
      <c r="F1672" s="53">
        <f t="shared" ca="1" si="228"/>
        <v>955202309252.65271</v>
      </c>
      <c r="G1672" s="53">
        <f t="shared" ca="1" si="229"/>
        <v>3385414756752.7793</v>
      </c>
      <c r="H1672" s="53">
        <f t="shared" ca="1" si="230"/>
        <v>5617736582971.1533</v>
      </c>
      <c r="I1672" s="53">
        <f t="shared" ca="1" si="231"/>
        <v>7877946976461.1777</v>
      </c>
      <c r="J1672" s="53">
        <f t="shared" ca="1" si="232"/>
        <v>646378258658.9165</v>
      </c>
      <c r="K1672" s="54">
        <f t="shared" ca="1" si="233"/>
        <v>12.187827902513417</v>
      </c>
    </row>
    <row r="1673" spans="2:11" ht="15" customHeight="1" x14ac:dyDescent="0.35">
      <c r="B1673" s="5">
        <v>1652</v>
      </c>
      <c r="C1673" s="52">
        <f t="shared" ca="1" si="225"/>
        <v>1.8767531629761744</v>
      </c>
      <c r="D1673" s="53">
        <f t="shared" ca="1" si="226"/>
        <v>425227963.57641721</v>
      </c>
      <c r="E1673" s="53">
        <f t="shared" ca="1" si="227"/>
        <v>1798866967111.084</v>
      </c>
      <c r="F1673" s="53">
        <f t="shared" ca="1" si="228"/>
        <v>2464592441032.1724</v>
      </c>
      <c r="G1673" s="53">
        <f t="shared" ca="1" si="229"/>
        <v>3838069991925.6484</v>
      </c>
      <c r="H1673" s="53">
        <f t="shared" ca="1" si="230"/>
        <v>1798866967111.084</v>
      </c>
      <c r="I1673" s="53">
        <f t="shared" ca="1" si="231"/>
        <v>1149778776191.7964</v>
      </c>
      <c r="J1673" s="53">
        <f t="shared" ca="1" si="232"/>
        <v>838615729129.13391</v>
      </c>
      <c r="K1673" s="54">
        <f t="shared" ca="1" si="233"/>
        <v>1.3710436571298177</v>
      </c>
    </row>
    <row r="1674" spans="2:11" ht="15" customHeight="1" x14ac:dyDescent="0.35">
      <c r="B1674" s="5">
        <v>1653</v>
      </c>
      <c r="C1674" s="52">
        <f t="shared" ca="1" si="225"/>
        <v>4.063204499304061</v>
      </c>
      <c r="D1674" s="53">
        <f t="shared" ca="1" si="226"/>
        <v>24325863213.689362</v>
      </c>
      <c r="E1674" s="53">
        <f t="shared" ca="1" si="227"/>
        <v>105102533417692.28</v>
      </c>
      <c r="F1674" s="53">
        <f t="shared" ca="1" si="228"/>
        <v>529013506866.83313</v>
      </c>
      <c r="G1674" s="53">
        <f t="shared" ca="1" si="229"/>
        <v>1666274339067.7212</v>
      </c>
      <c r="H1674" s="53">
        <f t="shared" ca="1" si="230"/>
        <v>529013506866.83313</v>
      </c>
      <c r="I1674" s="53">
        <f t="shared" ca="1" si="231"/>
        <v>37721579010065.672</v>
      </c>
      <c r="J1674" s="53">
        <f t="shared" ca="1" si="232"/>
        <v>834872634921.77466</v>
      </c>
      <c r="K1674" s="54">
        <f t="shared" ca="1" si="233"/>
        <v>45.182435538326253</v>
      </c>
    </row>
    <row r="1675" spans="2:11" ht="15" customHeight="1" x14ac:dyDescent="0.35">
      <c r="B1675" s="5">
        <v>1654</v>
      </c>
      <c r="C1675" s="52">
        <f t="shared" ca="1" si="225"/>
        <v>2.3744650094612219</v>
      </c>
      <c r="D1675" s="53">
        <f t="shared" ca="1" si="226"/>
        <v>1445749237.3566632</v>
      </c>
      <c r="E1675" s="53">
        <f t="shared" ca="1" si="227"/>
        <v>5251458536185.0459</v>
      </c>
      <c r="F1675" s="53">
        <f t="shared" ca="1" si="228"/>
        <v>1623169851093.0254</v>
      </c>
      <c r="G1675" s="53">
        <f t="shared" ca="1" si="229"/>
        <v>10425332487710.611</v>
      </c>
      <c r="H1675" s="53">
        <f t="shared" ca="1" si="230"/>
        <v>1623169851093.0254</v>
      </c>
      <c r="I1675" s="53">
        <f t="shared" ca="1" si="231"/>
        <v>22394926616109.414</v>
      </c>
      <c r="J1675" s="53">
        <f t="shared" ca="1" si="232"/>
        <v>1296994962453.5566</v>
      </c>
      <c r="K1675" s="54">
        <f t="shared" ca="1" si="233"/>
        <v>17.266779952440519</v>
      </c>
    </row>
    <row r="1676" spans="2:11" ht="15" customHeight="1" x14ac:dyDescent="0.35">
      <c r="B1676" s="5">
        <v>1655</v>
      </c>
      <c r="C1676" s="52">
        <f t="shared" ca="1" si="225"/>
        <v>3.3460786370507236</v>
      </c>
      <c r="D1676" s="53">
        <f t="shared" ca="1" si="226"/>
        <v>8624427346.4721756</v>
      </c>
      <c r="E1676" s="53">
        <f t="shared" ca="1" si="227"/>
        <v>16558910636904.994</v>
      </c>
      <c r="F1676" s="53">
        <f t="shared" ca="1" si="228"/>
        <v>2598724617100.5679</v>
      </c>
      <c r="G1676" s="53">
        <f t="shared" ca="1" si="229"/>
        <v>17602708152299.199</v>
      </c>
      <c r="H1676" s="53">
        <f t="shared" ca="1" si="230"/>
        <v>16558910636904.994</v>
      </c>
      <c r="I1676" s="53">
        <f t="shared" ca="1" si="231"/>
        <v>911934202479.09399</v>
      </c>
      <c r="J1676" s="53">
        <f t="shared" ca="1" si="232"/>
        <v>1217077900373.1665</v>
      </c>
      <c r="K1676" s="54">
        <f t="shared" ca="1" si="233"/>
        <v>0.74928170349612555</v>
      </c>
    </row>
    <row r="1677" spans="2:11" ht="15" customHeight="1" x14ac:dyDescent="0.35">
      <c r="B1677" s="5">
        <v>1656</v>
      </c>
      <c r="C1677" s="52">
        <f t="shared" ca="1" si="225"/>
        <v>2.9004274373322287</v>
      </c>
      <c r="D1677" s="53">
        <f t="shared" ca="1" si="226"/>
        <v>4752607188.3330755</v>
      </c>
      <c r="E1677" s="53">
        <f t="shared" ca="1" si="227"/>
        <v>22392411820567.816</v>
      </c>
      <c r="F1677" s="53">
        <f t="shared" ca="1" si="228"/>
        <v>7777299392627.4238</v>
      </c>
      <c r="G1677" s="53">
        <f t="shared" ca="1" si="229"/>
        <v>29455202517766.133</v>
      </c>
      <c r="H1677" s="53">
        <f t="shared" ca="1" si="230"/>
        <v>7777299392627.4238</v>
      </c>
      <c r="I1677" s="53">
        <f t="shared" ca="1" si="231"/>
        <v>4134664637508.3848</v>
      </c>
      <c r="J1677" s="53">
        <f t="shared" ca="1" si="232"/>
        <v>1386888576082.0125</v>
      </c>
      <c r="K1677" s="54">
        <f t="shared" ca="1" si="233"/>
        <v>2.9812522136341291</v>
      </c>
    </row>
    <row r="1678" spans="2:11" ht="15" customHeight="1" x14ac:dyDescent="0.35">
      <c r="B1678" s="5">
        <v>1657</v>
      </c>
      <c r="C1678" s="52">
        <f t="shared" ca="1" si="225"/>
        <v>2.7029025761691994</v>
      </c>
      <c r="D1678" s="53">
        <f t="shared" ca="1" si="226"/>
        <v>3223331553.2535968</v>
      </c>
      <c r="E1678" s="53">
        <f t="shared" ca="1" si="227"/>
        <v>20058183595096.203</v>
      </c>
      <c r="F1678" s="53">
        <f t="shared" ca="1" si="228"/>
        <v>8192373401813.8887</v>
      </c>
      <c r="G1678" s="53">
        <f t="shared" ca="1" si="229"/>
        <v>3723699786591.7964</v>
      </c>
      <c r="H1678" s="53">
        <f t="shared" ca="1" si="230"/>
        <v>8192373401813.8887</v>
      </c>
      <c r="I1678" s="53">
        <f t="shared" ca="1" si="231"/>
        <v>2992213936252.4014</v>
      </c>
      <c r="J1678" s="53">
        <f t="shared" ca="1" si="232"/>
        <v>835740273354.36145</v>
      </c>
      <c r="K1678" s="54">
        <f t="shared" ca="1" si="233"/>
        <v>3.5803155976230854</v>
      </c>
    </row>
    <row r="1679" spans="2:11" ht="15" customHeight="1" x14ac:dyDescent="0.35">
      <c r="B1679" s="5">
        <v>1658</v>
      </c>
      <c r="C1679" s="52">
        <f t="shared" ca="1" si="225"/>
        <v>2.6796023459481502</v>
      </c>
      <c r="D1679" s="53">
        <f t="shared" ca="1" si="226"/>
        <v>2831779486.2123213</v>
      </c>
      <c r="E1679" s="53">
        <f t="shared" ca="1" si="227"/>
        <v>3578462063666.4795</v>
      </c>
      <c r="F1679" s="53">
        <f t="shared" ca="1" si="228"/>
        <v>642488702030.56665</v>
      </c>
      <c r="G1679" s="53">
        <f t="shared" ca="1" si="229"/>
        <v>599175598570.65503</v>
      </c>
      <c r="H1679" s="53">
        <f t="shared" ca="1" si="230"/>
        <v>3578462063666.4795</v>
      </c>
      <c r="I1679" s="53">
        <f t="shared" ca="1" si="231"/>
        <v>2603757499943.3354</v>
      </c>
      <c r="J1679" s="53">
        <f t="shared" ca="1" si="232"/>
        <v>923353633417.05713</v>
      </c>
      <c r="K1679" s="54">
        <f t="shared" ca="1" si="233"/>
        <v>2.8198919738991046</v>
      </c>
    </row>
    <row r="1680" spans="2:11" ht="15" customHeight="1" x14ac:dyDescent="0.35">
      <c r="B1680" s="5">
        <v>1659</v>
      </c>
      <c r="C1680" s="52">
        <f t="shared" ca="1" si="225"/>
        <v>2.7539963704235109</v>
      </c>
      <c r="D1680" s="53">
        <f t="shared" ca="1" si="226"/>
        <v>3348921598.3186111</v>
      </c>
      <c r="E1680" s="53">
        <f t="shared" ca="1" si="227"/>
        <v>8709564035135.0752</v>
      </c>
      <c r="F1680" s="53">
        <f t="shared" ca="1" si="228"/>
        <v>2113553896100.1145</v>
      </c>
      <c r="G1680" s="53">
        <f t="shared" ca="1" si="229"/>
        <v>2284221372514.1016</v>
      </c>
      <c r="H1680" s="53">
        <f t="shared" ca="1" si="230"/>
        <v>8709564035135.0752</v>
      </c>
      <c r="I1680" s="53">
        <f t="shared" ca="1" si="231"/>
        <v>3256794609390.751</v>
      </c>
      <c r="J1680" s="53">
        <f t="shared" ca="1" si="232"/>
        <v>1198881292767.603</v>
      </c>
      <c r="K1680" s="54">
        <f t="shared" ca="1" si="233"/>
        <v>2.7165280074330629</v>
      </c>
    </row>
    <row r="1681" spans="2:11" ht="15" customHeight="1" x14ac:dyDescent="0.35">
      <c r="B1681" s="5">
        <v>1660</v>
      </c>
      <c r="C1681" s="52">
        <f t="shared" ca="1" si="225"/>
        <v>2.87548357586211</v>
      </c>
      <c r="D1681" s="53">
        <f t="shared" ca="1" si="226"/>
        <v>3677863124.8515592</v>
      </c>
      <c r="E1681" s="53">
        <f t="shared" ca="1" si="227"/>
        <v>49406691802532.5</v>
      </c>
      <c r="F1681" s="53">
        <f t="shared" ca="1" si="228"/>
        <v>2972359955945.5015</v>
      </c>
      <c r="G1681" s="53">
        <f t="shared" ca="1" si="229"/>
        <v>4062963181055.521</v>
      </c>
      <c r="H1681" s="53">
        <f t="shared" ca="1" si="230"/>
        <v>4062963181055.521</v>
      </c>
      <c r="I1681" s="53">
        <f t="shared" ca="1" si="231"/>
        <v>518427485160.27362</v>
      </c>
      <c r="J1681" s="53">
        <f t="shared" ca="1" si="232"/>
        <v>1410135137022.4729</v>
      </c>
      <c r="K1681" s="54">
        <f t="shared" ca="1" si="233"/>
        <v>0.36764383182092963</v>
      </c>
    </row>
    <row r="1682" spans="2:11" ht="15" customHeight="1" x14ac:dyDescent="0.35">
      <c r="B1682" s="5">
        <v>1661</v>
      </c>
      <c r="C1682" s="52">
        <f t="shared" ca="1" si="225"/>
        <v>2.9749625025708188</v>
      </c>
      <c r="D1682" s="53">
        <f t="shared" ca="1" si="226"/>
        <v>4894576851.9626694</v>
      </c>
      <c r="E1682" s="53">
        <f t="shared" ca="1" si="227"/>
        <v>10993388049289.051</v>
      </c>
      <c r="F1682" s="53">
        <f t="shared" ca="1" si="228"/>
        <v>2826397105840.1997</v>
      </c>
      <c r="G1682" s="53">
        <f t="shared" ca="1" si="229"/>
        <v>55585240401840.859</v>
      </c>
      <c r="H1682" s="53">
        <f t="shared" ca="1" si="230"/>
        <v>2826397105840.1997</v>
      </c>
      <c r="I1682" s="53">
        <f t="shared" ca="1" si="231"/>
        <v>4200376839530.5771</v>
      </c>
      <c r="J1682" s="53">
        <f t="shared" ca="1" si="232"/>
        <v>932148914898.97986</v>
      </c>
      <c r="K1682" s="54">
        <f t="shared" ca="1" si="233"/>
        <v>4.5061221146041737</v>
      </c>
    </row>
    <row r="1683" spans="2:11" ht="15" customHeight="1" x14ac:dyDescent="0.35">
      <c r="B1683" s="5">
        <v>1662</v>
      </c>
      <c r="C1683" s="52">
        <f t="shared" ca="1" si="225"/>
        <v>3.2223453993880118</v>
      </c>
      <c r="D1683" s="53">
        <f t="shared" ca="1" si="226"/>
        <v>7359277732.2948332</v>
      </c>
      <c r="E1683" s="53">
        <f t="shared" ca="1" si="227"/>
        <v>31409888270024.195</v>
      </c>
      <c r="F1683" s="53">
        <f t="shared" ca="1" si="228"/>
        <v>21791922380995.82</v>
      </c>
      <c r="G1683" s="53">
        <f t="shared" ca="1" si="229"/>
        <v>14613381994927.967</v>
      </c>
      <c r="H1683" s="53">
        <f t="shared" ca="1" si="230"/>
        <v>14613381994927.967</v>
      </c>
      <c r="I1683" s="53">
        <f t="shared" ca="1" si="231"/>
        <v>3835861356046.2173</v>
      </c>
      <c r="J1683" s="53">
        <f t="shared" ca="1" si="232"/>
        <v>1431712465366.0891</v>
      </c>
      <c r="K1683" s="54">
        <f t="shared" ca="1" si="233"/>
        <v>2.679212096589092</v>
      </c>
    </row>
    <row r="1684" spans="2:11" ht="15" customHeight="1" x14ac:dyDescent="0.35">
      <c r="B1684" s="5">
        <v>1663</v>
      </c>
      <c r="C1684" s="52">
        <f t="shared" ca="1" si="225"/>
        <v>3.1192252753163707</v>
      </c>
      <c r="D1684" s="53">
        <f t="shared" ca="1" si="226"/>
        <v>5435811651.7560902</v>
      </c>
      <c r="E1684" s="53">
        <f t="shared" ca="1" si="227"/>
        <v>52381136977208.938</v>
      </c>
      <c r="F1684" s="53">
        <f t="shared" ca="1" si="228"/>
        <v>2308588724238.1758</v>
      </c>
      <c r="G1684" s="53">
        <f t="shared" ca="1" si="229"/>
        <v>563324349453.04224</v>
      </c>
      <c r="H1684" s="53">
        <f t="shared" ca="1" si="230"/>
        <v>563324349453.04224</v>
      </c>
      <c r="I1684" s="53">
        <f t="shared" ca="1" si="231"/>
        <v>1970956684843.4346</v>
      </c>
      <c r="J1684" s="53">
        <f t="shared" ca="1" si="232"/>
        <v>1019106278323.9858</v>
      </c>
      <c r="K1684" s="54">
        <f t="shared" ca="1" si="233"/>
        <v>1.9340050461516678</v>
      </c>
    </row>
    <row r="1685" spans="2:11" ht="15" customHeight="1" x14ac:dyDescent="0.35">
      <c r="B1685" s="5">
        <v>1664</v>
      </c>
      <c r="C1685" s="52">
        <f t="shared" ca="1" si="225"/>
        <v>3.3690063858856676</v>
      </c>
      <c r="D1685" s="53">
        <f t="shared" ca="1" si="226"/>
        <v>10235437572.982445</v>
      </c>
      <c r="E1685" s="53">
        <f t="shared" ca="1" si="227"/>
        <v>18417821100134.391</v>
      </c>
      <c r="F1685" s="53">
        <f t="shared" ca="1" si="228"/>
        <v>22353943561857.898</v>
      </c>
      <c r="G1685" s="53">
        <f t="shared" ca="1" si="229"/>
        <v>54876744654100.141</v>
      </c>
      <c r="H1685" s="53">
        <f t="shared" ca="1" si="230"/>
        <v>18417821100134.391</v>
      </c>
      <c r="I1685" s="53">
        <f t="shared" ca="1" si="231"/>
        <v>24141558360457.109</v>
      </c>
      <c r="J1685" s="53">
        <f t="shared" ca="1" si="232"/>
        <v>1677165173069.6255</v>
      </c>
      <c r="K1685" s="54">
        <f t="shared" ca="1" si="233"/>
        <v>14.394264052283003</v>
      </c>
    </row>
    <row r="1686" spans="2:11" ht="15" customHeight="1" x14ac:dyDescent="0.35">
      <c r="B1686" s="5">
        <v>1665</v>
      </c>
      <c r="C1686" s="52">
        <f t="shared" ref="C1686:C1749" ca="1" si="234">MEDIAN(1.8,NORMINV(RAND(),$C$7,$D$7),4.5)</f>
        <v>3.0175990536909416</v>
      </c>
      <c r="D1686" s="53">
        <f t="shared" ref="D1686:D1749" ca="1" si="235">($C$8+RAND()*($D$8-$C$8))*C1686^5</f>
        <v>5446815905.4528713</v>
      </c>
      <c r="E1686" s="53">
        <f t="shared" ref="E1686:E1749" ca="1" si="236">D1686*($C$10+RAND()*($D$10-$C$10))*EXP(NORMINV(RAND(),$C$9,$D$9))*($C$11+RAND()*($D$11-$C$11))</f>
        <v>10799064446905.053</v>
      </c>
      <c r="F1686" s="53">
        <f t="shared" ref="F1686:F1749" ca="1" si="237">EXP(NORMINV(RAND(),$C$12,$D$12))*EXP(NORMINV(RAND(),$C$13,$D$13))</f>
        <v>2352047349026.1943</v>
      </c>
      <c r="G1686" s="53">
        <f t="shared" ref="G1686:G1749" ca="1" si="238">EXP(NORMINV(RAND(),$C$14,$D$14))*($C$15+RAND()*($D$15-$C$15))*EXP(NORMINV(RAND(),$C$16,$D$16))/1000000*31536000</f>
        <v>18526512474663.684</v>
      </c>
      <c r="H1686" s="53">
        <f t="shared" ref="H1686:H1749" ca="1" si="239">CHOOSE(RANDBETWEEN(1,3),E1686,F1686,G1686)</f>
        <v>2352047349026.1943</v>
      </c>
      <c r="I1686" s="53">
        <f t="shared" ref="I1686:I1749" ca="1" si="240">EXP(NORMINV(RAND(),$C$14,$D$14))*($C$15+RAND()*($D$15-$C$15))*60</f>
        <v>3158619788487.5229</v>
      </c>
      <c r="J1686" s="53">
        <f t="shared" ref="J1686:J1749" ca="1" si="241">($C$17+RAND()*($D$17-$C$17))*($C$18+RAND()*($D$18-$C$18))</f>
        <v>832123032502.85535</v>
      </c>
      <c r="K1686" s="54">
        <f t="shared" ref="K1686:K1749" ca="1" si="242">I1686/J1686</f>
        <v>3.7958567004052788</v>
      </c>
    </row>
    <row r="1687" spans="2:11" ht="15" customHeight="1" x14ac:dyDescent="0.35">
      <c r="B1687" s="5">
        <v>1666</v>
      </c>
      <c r="C1687" s="52">
        <f t="shared" ca="1" si="234"/>
        <v>2.9592022482871108</v>
      </c>
      <c r="D1687" s="53">
        <f t="shared" ca="1" si="235"/>
        <v>3748528512.309545</v>
      </c>
      <c r="E1687" s="53">
        <f t="shared" ca="1" si="236"/>
        <v>20314815337699.879</v>
      </c>
      <c r="F1687" s="53">
        <f t="shared" ca="1" si="237"/>
        <v>9947563435594.3633</v>
      </c>
      <c r="G1687" s="53">
        <f t="shared" ca="1" si="238"/>
        <v>2688370244733.1812</v>
      </c>
      <c r="H1687" s="53">
        <f t="shared" ca="1" si="239"/>
        <v>9947563435594.3633</v>
      </c>
      <c r="I1687" s="53">
        <f t="shared" ca="1" si="240"/>
        <v>36008412968363.18</v>
      </c>
      <c r="J1687" s="53">
        <f t="shared" ca="1" si="241"/>
        <v>796368845953.33337</v>
      </c>
      <c r="K1687" s="54">
        <f t="shared" ca="1" si="242"/>
        <v>45.215747892871796</v>
      </c>
    </row>
    <row r="1688" spans="2:11" ht="15" customHeight="1" x14ac:dyDescent="0.35">
      <c r="B1688" s="5">
        <v>1667</v>
      </c>
      <c r="C1688" s="52">
        <f t="shared" ca="1" si="234"/>
        <v>2.7750223202846422</v>
      </c>
      <c r="D1688" s="53">
        <f t="shared" ca="1" si="235"/>
        <v>3947979746.5218086</v>
      </c>
      <c r="E1688" s="53">
        <f t="shared" ca="1" si="236"/>
        <v>73422079114414.797</v>
      </c>
      <c r="F1688" s="53">
        <f t="shared" ca="1" si="237"/>
        <v>10006750266500.727</v>
      </c>
      <c r="G1688" s="53">
        <f t="shared" ca="1" si="238"/>
        <v>2352900111020.7036</v>
      </c>
      <c r="H1688" s="53">
        <f t="shared" ca="1" si="239"/>
        <v>73422079114414.797</v>
      </c>
      <c r="I1688" s="53">
        <f t="shared" ca="1" si="240"/>
        <v>18842870090626.34</v>
      </c>
      <c r="J1688" s="53">
        <f t="shared" ca="1" si="241"/>
        <v>1265956991650.3276</v>
      </c>
      <c r="K1688" s="54">
        <f t="shared" ca="1" si="242"/>
        <v>14.884289288581902</v>
      </c>
    </row>
    <row r="1689" spans="2:11" ht="15" customHeight="1" x14ac:dyDescent="0.35">
      <c r="B1689" s="5">
        <v>1668</v>
      </c>
      <c r="C1689" s="52">
        <f t="shared" ca="1" si="234"/>
        <v>2.7351061929978271</v>
      </c>
      <c r="D1689" s="53">
        <f t="shared" ca="1" si="235"/>
        <v>2727804539.1893749</v>
      </c>
      <c r="E1689" s="53">
        <f t="shared" ca="1" si="236"/>
        <v>24862533679379.852</v>
      </c>
      <c r="F1689" s="53">
        <f t="shared" ca="1" si="237"/>
        <v>3226245831543.9893</v>
      </c>
      <c r="G1689" s="53">
        <f t="shared" ca="1" si="238"/>
        <v>6209286352115.9365</v>
      </c>
      <c r="H1689" s="53">
        <f t="shared" ca="1" si="239"/>
        <v>24862533679379.852</v>
      </c>
      <c r="I1689" s="53">
        <f t="shared" ca="1" si="240"/>
        <v>5723059251569.9404</v>
      </c>
      <c r="J1689" s="53">
        <f t="shared" ca="1" si="241"/>
        <v>885268460798.0769</v>
      </c>
      <c r="K1689" s="54">
        <f t="shared" ca="1" si="242"/>
        <v>6.4647725577058903</v>
      </c>
    </row>
    <row r="1690" spans="2:11" ht="15" customHeight="1" x14ac:dyDescent="0.35">
      <c r="B1690" s="5">
        <v>1669</v>
      </c>
      <c r="C1690" s="52">
        <f t="shared" ca="1" si="234"/>
        <v>3.5586735340489417</v>
      </c>
      <c r="D1690" s="53">
        <f t="shared" ca="1" si="235"/>
        <v>11698153810.81028</v>
      </c>
      <c r="E1690" s="53">
        <f t="shared" ca="1" si="236"/>
        <v>105069666234746.36</v>
      </c>
      <c r="F1690" s="53">
        <f t="shared" ca="1" si="237"/>
        <v>30292995989535.293</v>
      </c>
      <c r="G1690" s="53">
        <f t="shared" ca="1" si="238"/>
        <v>12166679247021.352</v>
      </c>
      <c r="H1690" s="53">
        <f t="shared" ca="1" si="239"/>
        <v>30292995989535.293</v>
      </c>
      <c r="I1690" s="53">
        <f t="shared" ca="1" si="240"/>
        <v>3744101707327.1064</v>
      </c>
      <c r="J1690" s="53">
        <f t="shared" ca="1" si="241"/>
        <v>944871006057.79797</v>
      </c>
      <c r="K1690" s="54">
        <f t="shared" ca="1" si="242"/>
        <v>3.96255328327651</v>
      </c>
    </row>
    <row r="1691" spans="2:11" ht="15" customHeight="1" x14ac:dyDescent="0.35">
      <c r="B1691" s="5">
        <v>1670</v>
      </c>
      <c r="C1691" s="52">
        <f t="shared" ca="1" si="234"/>
        <v>3.198468185755889</v>
      </c>
      <c r="D1691" s="53">
        <f t="shared" ca="1" si="235"/>
        <v>7627682251.4681063</v>
      </c>
      <c r="E1691" s="53">
        <f t="shared" ca="1" si="236"/>
        <v>4914861241789.9531</v>
      </c>
      <c r="F1691" s="53">
        <f t="shared" ca="1" si="237"/>
        <v>516243757656.0282</v>
      </c>
      <c r="G1691" s="53">
        <f t="shared" ca="1" si="238"/>
        <v>2860388246068.5015</v>
      </c>
      <c r="H1691" s="53">
        <f t="shared" ca="1" si="239"/>
        <v>516243757656.0282</v>
      </c>
      <c r="I1691" s="53">
        <f t="shared" ca="1" si="240"/>
        <v>2150201233182.0127</v>
      </c>
      <c r="J1691" s="53">
        <f t="shared" ca="1" si="241"/>
        <v>1063235567846.7026</v>
      </c>
      <c r="K1691" s="54">
        <f t="shared" ca="1" si="242"/>
        <v>2.0223187581437538</v>
      </c>
    </row>
    <row r="1692" spans="2:11" ht="15" customHeight="1" x14ac:dyDescent="0.35">
      <c r="B1692" s="5">
        <v>1671</v>
      </c>
      <c r="C1692" s="52">
        <f t="shared" ca="1" si="234"/>
        <v>2.9867916368069665</v>
      </c>
      <c r="D1692" s="53">
        <f t="shared" ca="1" si="235"/>
        <v>5398263482.7689505</v>
      </c>
      <c r="E1692" s="53">
        <f t="shared" ca="1" si="236"/>
        <v>43998277592258.203</v>
      </c>
      <c r="F1692" s="53">
        <f t="shared" ca="1" si="237"/>
        <v>376674316046.71484</v>
      </c>
      <c r="G1692" s="53">
        <f t="shared" ca="1" si="238"/>
        <v>2238472402044.7227</v>
      </c>
      <c r="H1692" s="53">
        <f t="shared" ca="1" si="239"/>
        <v>43998277592258.203</v>
      </c>
      <c r="I1692" s="53">
        <f t="shared" ca="1" si="240"/>
        <v>3271801366460.5381</v>
      </c>
      <c r="J1692" s="53">
        <f t="shared" ca="1" si="241"/>
        <v>1191950261414.3545</v>
      </c>
      <c r="K1692" s="54">
        <f t="shared" ca="1" si="242"/>
        <v>2.7449143411221337</v>
      </c>
    </row>
    <row r="1693" spans="2:11" ht="15" customHeight="1" x14ac:dyDescent="0.35">
      <c r="B1693" s="5">
        <v>1672</v>
      </c>
      <c r="C1693" s="52">
        <f t="shared" ca="1" si="234"/>
        <v>2.9819831180415997</v>
      </c>
      <c r="D1693" s="53">
        <f t="shared" ca="1" si="235"/>
        <v>4199329646.8166299</v>
      </c>
      <c r="E1693" s="53">
        <f t="shared" ca="1" si="236"/>
        <v>27050382806401.965</v>
      </c>
      <c r="F1693" s="53">
        <f t="shared" ca="1" si="237"/>
        <v>12031563289600.635</v>
      </c>
      <c r="G1693" s="53">
        <f t="shared" ca="1" si="238"/>
        <v>10064636556969.547</v>
      </c>
      <c r="H1693" s="53">
        <f t="shared" ca="1" si="239"/>
        <v>27050382806401.965</v>
      </c>
      <c r="I1693" s="53">
        <f t="shared" ca="1" si="240"/>
        <v>112624800762737.69</v>
      </c>
      <c r="J1693" s="53">
        <f t="shared" ca="1" si="241"/>
        <v>902839796135.53906</v>
      </c>
      <c r="K1693" s="54">
        <f t="shared" ca="1" si="242"/>
        <v>124.74505581700107</v>
      </c>
    </row>
    <row r="1694" spans="2:11" ht="15" customHeight="1" x14ac:dyDescent="0.35">
      <c r="B1694" s="5">
        <v>1673</v>
      </c>
      <c r="C1694" s="52">
        <f t="shared" ca="1" si="234"/>
        <v>2.7464332827592912</v>
      </c>
      <c r="D1694" s="53">
        <f t="shared" ca="1" si="235"/>
        <v>3662457699.6163306</v>
      </c>
      <c r="E1694" s="53">
        <f t="shared" ca="1" si="236"/>
        <v>3183102929830.5454</v>
      </c>
      <c r="F1694" s="53">
        <f t="shared" ca="1" si="237"/>
        <v>4202467321569.3574</v>
      </c>
      <c r="G1694" s="53">
        <f t="shared" ca="1" si="238"/>
        <v>5250556722806.3223</v>
      </c>
      <c r="H1694" s="53">
        <f t="shared" ca="1" si="239"/>
        <v>3183102929830.5454</v>
      </c>
      <c r="I1694" s="53">
        <f t="shared" ca="1" si="240"/>
        <v>3426718389028.0117</v>
      </c>
      <c r="J1694" s="53">
        <f t="shared" ca="1" si="241"/>
        <v>952644643041.18689</v>
      </c>
      <c r="K1694" s="54">
        <f t="shared" ca="1" si="242"/>
        <v>3.5970583722474783</v>
      </c>
    </row>
    <row r="1695" spans="2:11" ht="15" customHeight="1" x14ac:dyDescent="0.35">
      <c r="B1695" s="5">
        <v>1674</v>
      </c>
      <c r="C1695" s="52">
        <f t="shared" ca="1" si="234"/>
        <v>3.7660404041473239</v>
      </c>
      <c r="D1695" s="53">
        <f t="shared" ca="1" si="235"/>
        <v>14511443808.284681</v>
      </c>
      <c r="E1695" s="53">
        <f t="shared" ca="1" si="236"/>
        <v>18142488279986.203</v>
      </c>
      <c r="F1695" s="53">
        <f t="shared" ca="1" si="237"/>
        <v>2319456843950.7241</v>
      </c>
      <c r="G1695" s="53">
        <f t="shared" ca="1" si="238"/>
        <v>1110864456383.1296</v>
      </c>
      <c r="H1695" s="53">
        <f t="shared" ca="1" si="239"/>
        <v>18142488279986.203</v>
      </c>
      <c r="I1695" s="53">
        <f t="shared" ca="1" si="240"/>
        <v>2833902536763.5508</v>
      </c>
      <c r="J1695" s="53">
        <f t="shared" ca="1" si="241"/>
        <v>622704312911.9259</v>
      </c>
      <c r="K1695" s="54">
        <f t="shared" ca="1" si="242"/>
        <v>4.5509601876876236</v>
      </c>
    </row>
    <row r="1696" spans="2:11" ht="15" customHeight="1" x14ac:dyDescent="0.35">
      <c r="B1696" s="5">
        <v>1675</v>
      </c>
      <c r="C1696" s="52">
        <f t="shared" ca="1" si="234"/>
        <v>3.6176995952781157</v>
      </c>
      <c r="D1696" s="53">
        <f t="shared" ca="1" si="235"/>
        <v>13601283916.438427</v>
      </c>
      <c r="E1696" s="53">
        <f t="shared" ca="1" si="236"/>
        <v>16584917169431.068</v>
      </c>
      <c r="F1696" s="53">
        <f t="shared" ca="1" si="237"/>
        <v>12897810632003.143</v>
      </c>
      <c r="G1696" s="53">
        <f t="shared" ca="1" si="238"/>
        <v>16603591297749.582</v>
      </c>
      <c r="H1696" s="53">
        <f t="shared" ca="1" si="239"/>
        <v>16603591297749.582</v>
      </c>
      <c r="I1696" s="53">
        <f t="shared" ca="1" si="240"/>
        <v>6570522286427.3809</v>
      </c>
      <c r="J1696" s="53">
        <f t="shared" ca="1" si="241"/>
        <v>931389117951.84119</v>
      </c>
      <c r="K1696" s="54">
        <f t="shared" ca="1" si="242"/>
        <v>7.054540534976617</v>
      </c>
    </row>
    <row r="1697" spans="2:11" ht="15" customHeight="1" x14ac:dyDescent="0.35">
      <c r="B1697" s="5">
        <v>1676</v>
      </c>
      <c r="C1697" s="52">
        <f t="shared" ca="1" si="234"/>
        <v>3.2598532070659836</v>
      </c>
      <c r="D1697" s="53">
        <f t="shared" ca="1" si="235"/>
        <v>6469429754.0413904</v>
      </c>
      <c r="E1697" s="53">
        <f t="shared" ca="1" si="236"/>
        <v>27520757874153.398</v>
      </c>
      <c r="F1697" s="53">
        <f t="shared" ca="1" si="237"/>
        <v>8978211867141.4805</v>
      </c>
      <c r="G1697" s="53">
        <f t="shared" ca="1" si="238"/>
        <v>15133954607210.762</v>
      </c>
      <c r="H1697" s="53">
        <f t="shared" ca="1" si="239"/>
        <v>8978211867141.4805</v>
      </c>
      <c r="I1697" s="53">
        <f t="shared" ca="1" si="240"/>
        <v>27336624086934.301</v>
      </c>
      <c r="J1697" s="53">
        <f t="shared" ca="1" si="241"/>
        <v>740549674039.12451</v>
      </c>
      <c r="K1697" s="54">
        <f t="shared" ca="1" si="242"/>
        <v>36.913964107004738</v>
      </c>
    </row>
    <row r="1698" spans="2:11" ht="15" customHeight="1" x14ac:dyDescent="0.35">
      <c r="B1698" s="5">
        <v>1677</v>
      </c>
      <c r="C1698" s="52">
        <f t="shared" ca="1" si="234"/>
        <v>3.2526025922661082</v>
      </c>
      <c r="D1698" s="53">
        <f t="shared" ca="1" si="235"/>
        <v>8566685313.0946827</v>
      </c>
      <c r="E1698" s="53">
        <f t="shared" ca="1" si="236"/>
        <v>13017021941048.9</v>
      </c>
      <c r="F1698" s="53">
        <f t="shared" ca="1" si="237"/>
        <v>2569290287440.0806</v>
      </c>
      <c r="G1698" s="53">
        <f t="shared" ca="1" si="238"/>
        <v>15809500576950.98</v>
      </c>
      <c r="H1698" s="53">
        <f t="shared" ca="1" si="239"/>
        <v>2569290287440.0806</v>
      </c>
      <c r="I1698" s="53">
        <f t="shared" ca="1" si="240"/>
        <v>357386105914.87024</v>
      </c>
      <c r="J1698" s="53">
        <f t="shared" ca="1" si="241"/>
        <v>442771510151.29077</v>
      </c>
      <c r="K1698" s="54">
        <f t="shared" ca="1" si="242"/>
        <v>0.8071569595630822</v>
      </c>
    </row>
    <row r="1699" spans="2:11" ht="15" customHeight="1" x14ac:dyDescent="0.35">
      <c r="B1699" s="5">
        <v>1678</v>
      </c>
      <c r="C1699" s="52">
        <f t="shared" ca="1" si="234"/>
        <v>2.7543637225209157</v>
      </c>
      <c r="D1699" s="53">
        <f t="shared" ca="1" si="235"/>
        <v>3754728821.5976858</v>
      </c>
      <c r="E1699" s="53">
        <f t="shared" ca="1" si="236"/>
        <v>8611226523780.6982</v>
      </c>
      <c r="F1699" s="53">
        <f t="shared" ca="1" si="237"/>
        <v>646169080616.00793</v>
      </c>
      <c r="G1699" s="53">
        <f t="shared" ca="1" si="238"/>
        <v>16952383537562.174</v>
      </c>
      <c r="H1699" s="53">
        <f t="shared" ca="1" si="239"/>
        <v>646169080616.00793</v>
      </c>
      <c r="I1699" s="53">
        <f t="shared" ca="1" si="240"/>
        <v>1823378567693.5972</v>
      </c>
      <c r="J1699" s="53">
        <f t="shared" ca="1" si="241"/>
        <v>1531480041794.2102</v>
      </c>
      <c r="K1699" s="54">
        <f t="shared" ca="1" si="242"/>
        <v>1.190598974804407</v>
      </c>
    </row>
    <row r="1700" spans="2:11" ht="15" customHeight="1" x14ac:dyDescent="0.35">
      <c r="B1700" s="5">
        <v>1679</v>
      </c>
      <c r="C1700" s="52">
        <f t="shared" ca="1" si="234"/>
        <v>3.4268650259286648</v>
      </c>
      <c r="D1700" s="53">
        <f t="shared" ca="1" si="235"/>
        <v>9745955396.2920742</v>
      </c>
      <c r="E1700" s="53">
        <f t="shared" ca="1" si="236"/>
        <v>64099623846677.969</v>
      </c>
      <c r="F1700" s="53">
        <f t="shared" ca="1" si="237"/>
        <v>6002205642318.4365</v>
      </c>
      <c r="G1700" s="53">
        <f t="shared" ca="1" si="238"/>
        <v>1562795955435.2129</v>
      </c>
      <c r="H1700" s="53">
        <f t="shared" ca="1" si="239"/>
        <v>6002205642318.4365</v>
      </c>
      <c r="I1700" s="53">
        <f t="shared" ca="1" si="240"/>
        <v>69258741773763.445</v>
      </c>
      <c r="J1700" s="53">
        <f t="shared" ca="1" si="241"/>
        <v>613934125401.79456</v>
      </c>
      <c r="K1700" s="54">
        <f t="shared" ca="1" si="242"/>
        <v>112.81135696510836</v>
      </c>
    </row>
    <row r="1701" spans="2:11" ht="15" customHeight="1" x14ac:dyDescent="0.35">
      <c r="B1701" s="5">
        <v>1680</v>
      </c>
      <c r="C1701" s="52">
        <f t="shared" ca="1" si="234"/>
        <v>2.9853237672467032</v>
      </c>
      <c r="D1701" s="53">
        <f t="shared" ca="1" si="235"/>
        <v>4610474147.2350903</v>
      </c>
      <c r="E1701" s="53">
        <f t="shared" ca="1" si="236"/>
        <v>14291352944310.936</v>
      </c>
      <c r="F1701" s="53">
        <f t="shared" ca="1" si="237"/>
        <v>1933771840358.092</v>
      </c>
      <c r="G1701" s="53">
        <f t="shared" ca="1" si="238"/>
        <v>383420802782389</v>
      </c>
      <c r="H1701" s="53">
        <f t="shared" ca="1" si="239"/>
        <v>14291352944310.936</v>
      </c>
      <c r="I1701" s="53">
        <f t="shared" ca="1" si="240"/>
        <v>2384994988162.4429</v>
      </c>
      <c r="J1701" s="53">
        <f t="shared" ca="1" si="241"/>
        <v>1140291281776.9473</v>
      </c>
      <c r="K1701" s="54">
        <f t="shared" ca="1" si="242"/>
        <v>2.0915664499739397</v>
      </c>
    </row>
    <row r="1702" spans="2:11" ht="15" customHeight="1" x14ac:dyDescent="0.35">
      <c r="B1702" s="5">
        <v>1681</v>
      </c>
      <c r="C1702" s="52">
        <f t="shared" ca="1" si="234"/>
        <v>2.6584079883171134</v>
      </c>
      <c r="D1702" s="53">
        <f t="shared" ca="1" si="235"/>
        <v>2402233214.6586719</v>
      </c>
      <c r="E1702" s="53">
        <f t="shared" ca="1" si="236"/>
        <v>36470184917944.352</v>
      </c>
      <c r="F1702" s="53">
        <f t="shared" ca="1" si="237"/>
        <v>557903062478.88965</v>
      </c>
      <c r="G1702" s="53">
        <f t="shared" ca="1" si="238"/>
        <v>48838157841198.625</v>
      </c>
      <c r="H1702" s="53">
        <f t="shared" ca="1" si="239"/>
        <v>557903062478.88965</v>
      </c>
      <c r="I1702" s="53">
        <f t="shared" ca="1" si="240"/>
        <v>98978811149565.766</v>
      </c>
      <c r="J1702" s="53">
        <f t="shared" ca="1" si="241"/>
        <v>873491133658.43579</v>
      </c>
      <c r="K1702" s="54">
        <f t="shared" ca="1" si="242"/>
        <v>113.31404216435904</v>
      </c>
    </row>
    <row r="1703" spans="2:11" ht="15" customHeight="1" x14ac:dyDescent="0.35">
      <c r="B1703" s="5">
        <v>1682</v>
      </c>
      <c r="C1703" s="52">
        <f t="shared" ca="1" si="234"/>
        <v>2.7235526136331814</v>
      </c>
      <c r="D1703" s="53">
        <f t="shared" ca="1" si="235"/>
        <v>3142212525.2164702</v>
      </c>
      <c r="E1703" s="53">
        <f t="shared" ca="1" si="236"/>
        <v>6727767900893.6152</v>
      </c>
      <c r="F1703" s="53">
        <f t="shared" ca="1" si="237"/>
        <v>767635621181.04797</v>
      </c>
      <c r="G1703" s="53">
        <f t="shared" ca="1" si="238"/>
        <v>21691705883688.164</v>
      </c>
      <c r="H1703" s="53">
        <f t="shared" ca="1" si="239"/>
        <v>21691705883688.164</v>
      </c>
      <c r="I1703" s="53">
        <f t="shared" ca="1" si="240"/>
        <v>12585324631812.951</v>
      </c>
      <c r="J1703" s="53">
        <f t="shared" ca="1" si="241"/>
        <v>1157878189471.5691</v>
      </c>
      <c r="K1703" s="54">
        <f t="shared" ca="1" si="242"/>
        <v>10.86929933239059</v>
      </c>
    </row>
    <row r="1704" spans="2:11" ht="15" customHeight="1" x14ac:dyDescent="0.35">
      <c r="B1704" s="5">
        <v>1683</v>
      </c>
      <c r="C1704" s="52">
        <f t="shared" ca="1" si="234"/>
        <v>3.513429212372654</v>
      </c>
      <c r="D1704" s="53">
        <f t="shared" ca="1" si="235"/>
        <v>12610237684.575741</v>
      </c>
      <c r="E1704" s="53">
        <f t="shared" ca="1" si="236"/>
        <v>59930855166923</v>
      </c>
      <c r="F1704" s="53">
        <f t="shared" ca="1" si="237"/>
        <v>1415136324945.5825</v>
      </c>
      <c r="G1704" s="53">
        <f t="shared" ca="1" si="238"/>
        <v>50281012235418.273</v>
      </c>
      <c r="H1704" s="53">
        <f t="shared" ca="1" si="239"/>
        <v>1415136324945.5825</v>
      </c>
      <c r="I1704" s="53">
        <f t="shared" ca="1" si="240"/>
        <v>12799534913827.754</v>
      </c>
      <c r="J1704" s="53">
        <f t="shared" ca="1" si="241"/>
        <v>1071507487929.9741</v>
      </c>
      <c r="K1704" s="54">
        <f t="shared" ca="1" si="242"/>
        <v>11.945352746488915</v>
      </c>
    </row>
    <row r="1705" spans="2:11" ht="15" customHeight="1" x14ac:dyDescent="0.35">
      <c r="B1705" s="5">
        <v>1684</v>
      </c>
      <c r="C1705" s="52">
        <f t="shared" ca="1" si="234"/>
        <v>2.9798584822973058</v>
      </c>
      <c r="D1705" s="53">
        <f t="shared" ca="1" si="235"/>
        <v>5542003583.6092281</v>
      </c>
      <c r="E1705" s="53">
        <f t="shared" ca="1" si="236"/>
        <v>27006065953517.113</v>
      </c>
      <c r="F1705" s="53">
        <f t="shared" ca="1" si="237"/>
        <v>1955926011062.5366</v>
      </c>
      <c r="G1705" s="53">
        <f t="shared" ca="1" si="238"/>
        <v>11380299605212.518</v>
      </c>
      <c r="H1705" s="53">
        <f t="shared" ca="1" si="239"/>
        <v>1955926011062.5366</v>
      </c>
      <c r="I1705" s="53">
        <f t="shared" ca="1" si="240"/>
        <v>45971372683231.328</v>
      </c>
      <c r="J1705" s="53">
        <f t="shared" ca="1" si="241"/>
        <v>666383540830.04236</v>
      </c>
      <c r="K1705" s="54">
        <f t="shared" ca="1" si="242"/>
        <v>68.986356754804788</v>
      </c>
    </row>
    <row r="1706" spans="2:11" ht="15" customHeight="1" x14ac:dyDescent="0.35">
      <c r="B1706" s="5">
        <v>1685</v>
      </c>
      <c r="C1706" s="52">
        <f t="shared" ca="1" si="234"/>
        <v>3.521854776316494</v>
      </c>
      <c r="D1706" s="53">
        <f t="shared" ca="1" si="235"/>
        <v>8801937220.8681355</v>
      </c>
      <c r="E1706" s="53">
        <f t="shared" ca="1" si="236"/>
        <v>22937926660680.75</v>
      </c>
      <c r="F1706" s="53">
        <f t="shared" ca="1" si="237"/>
        <v>4842920268688.5723</v>
      </c>
      <c r="G1706" s="53">
        <f t="shared" ca="1" si="238"/>
        <v>7177631557880.8203</v>
      </c>
      <c r="H1706" s="53">
        <f t="shared" ca="1" si="239"/>
        <v>7177631557880.8203</v>
      </c>
      <c r="I1706" s="53">
        <f t="shared" ca="1" si="240"/>
        <v>78683697438906.969</v>
      </c>
      <c r="J1706" s="53">
        <f t="shared" ca="1" si="241"/>
        <v>1102791402259.4524</v>
      </c>
      <c r="K1706" s="54">
        <f t="shared" ca="1" si="242"/>
        <v>71.349574613744721</v>
      </c>
    </row>
    <row r="1707" spans="2:11" ht="15" customHeight="1" x14ac:dyDescent="0.35">
      <c r="B1707" s="5">
        <v>1686</v>
      </c>
      <c r="C1707" s="52">
        <f t="shared" ca="1" si="234"/>
        <v>3.6938007883409307</v>
      </c>
      <c r="D1707" s="53">
        <f t="shared" ca="1" si="235"/>
        <v>16225245980.115728</v>
      </c>
      <c r="E1707" s="53">
        <f t="shared" ca="1" si="236"/>
        <v>88616769428307.828</v>
      </c>
      <c r="F1707" s="53">
        <f t="shared" ca="1" si="237"/>
        <v>2404511337906.0293</v>
      </c>
      <c r="G1707" s="53">
        <f t="shared" ca="1" si="238"/>
        <v>247200604920.58051</v>
      </c>
      <c r="H1707" s="53">
        <f t="shared" ca="1" si="239"/>
        <v>2404511337906.0293</v>
      </c>
      <c r="I1707" s="53">
        <f t="shared" ca="1" si="240"/>
        <v>2293046641940.6221</v>
      </c>
      <c r="J1707" s="53">
        <f t="shared" ca="1" si="241"/>
        <v>1266164791369.9675</v>
      </c>
      <c r="K1707" s="54">
        <f t="shared" ca="1" si="242"/>
        <v>1.811017537029747</v>
      </c>
    </row>
    <row r="1708" spans="2:11" ht="15" customHeight="1" x14ac:dyDescent="0.35">
      <c r="B1708" s="5">
        <v>1687</v>
      </c>
      <c r="C1708" s="52">
        <f t="shared" ca="1" si="234"/>
        <v>3.8622233583656262</v>
      </c>
      <c r="D1708" s="53">
        <f t="shared" ca="1" si="235"/>
        <v>18510419402.642422</v>
      </c>
      <c r="E1708" s="53">
        <f t="shared" ca="1" si="236"/>
        <v>72565281587653.844</v>
      </c>
      <c r="F1708" s="53">
        <f t="shared" ca="1" si="237"/>
        <v>242827434993.43927</v>
      </c>
      <c r="G1708" s="53">
        <f t="shared" ca="1" si="238"/>
        <v>3401283344022.6006</v>
      </c>
      <c r="H1708" s="53">
        <f t="shared" ca="1" si="239"/>
        <v>72565281587653.844</v>
      </c>
      <c r="I1708" s="53">
        <f t="shared" ca="1" si="240"/>
        <v>4543763887490.3828</v>
      </c>
      <c r="J1708" s="53">
        <f t="shared" ca="1" si="241"/>
        <v>1087352857240.9286</v>
      </c>
      <c r="K1708" s="54">
        <f t="shared" ca="1" si="242"/>
        <v>4.1787390884499285</v>
      </c>
    </row>
    <row r="1709" spans="2:11" ht="15" customHeight="1" x14ac:dyDescent="0.35">
      <c r="B1709" s="5">
        <v>1688</v>
      </c>
      <c r="C1709" s="52">
        <f t="shared" ca="1" si="234"/>
        <v>2.6768378520570462</v>
      </c>
      <c r="D1709" s="53">
        <f t="shared" ca="1" si="235"/>
        <v>2313821697.5332217</v>
      </c>
      <c r="E1709" s="53">
        <f t="shared" ca="1" si="236"/>
        <v>10181821238614.354</v>
      </c>
      <c r="F1709" s="53">
        <f t="shared" ca="1" si="237"/>
        <v>1335672157223.792</v>
      </c>
      <c r="G1709" s="53">
        <f t="shared" ca="1" si="238"/>
        <v>34505975848396.676</v>
      </c>
      <c r="H1709" s="53">
        <f t="shared" ca="1" si="239"/>
        <v>34505975848396.676</v>
      </c>
      <c r="I1709" s="53">
        <f t="shared" ca="1" si="240"/>
        <v>25961499177840.051</v>
      </c>
      <c r="J1709" s="53">
        <f t="shared" ca="1" si="241"/>
        <v>1880367268122.1528</v>
      </c>
      <c r="K1709" s="54">
        <f t="shared" ca="1" si="242"/>
        <v>13.806610877547744</v>
      </c>
    </row>
    <row r="1710" spans="2:11" ht="15" customHeight="1" x14ac:dyDescent="0.35">
      <c r="B1710" s="5">
        <v>1689</v>
      </c>
      <c r="C1710" s="52">
        <f t="shared" ca="1" si="234"/>
        <v>3.0964378193655602</v>
      </c>
      <c r="D1710" s="53">
        <f t="shared" ca="1" si="235"/>
        <v>5896851706.2030935</v>
      </c>
      <c r="E1710" s="53">
        <f t="shared" ca="1" si="236"/>
        <v>8596728609706.7285</v>
      </c>
      <c r="F1710" s="53">
        <f t="shared" ca="1" si="237"/>
        <v>1568793399888.5205</v>
      </c>
      <c r="G1710" s="53">
        <f t="shared" ca="1" si="238"/>
        <v>6329334018076.2666</v>
      </c>
      <c r="H1710" s="53">
        <f t="shared" ca="1" si="239"/>
        <v>6329334018076.2666</v>
      </c>
      <c r="I1710" s="53">
        <f t="shared" ca="1" si="240"/>
        <v>28348059146192.707</v>
      </c>
      <c r="J1710" s="53">
        <f t="shared" ca="1" si="241"/>
        <v>1229465214120.8208</v>
      </c>
      <c r="K1710" s="54">
        <f t="shared" ca="1" si="242"/>
        <v>23.057227500709846</v>
      </c>
    </row>
    <row r="1711" spans="2:11" ht="15" customHeight="1" x14ac:dyDescent="0.35">
      <c r="B1711" s="5">
        <v>1690</v>
      </c>
      <c r="C1711" s="52">
        <f t="shared" ca="1" si="234"/>
        <v>2.5162179368270405</v>
      </c>
      <c r="D1711" s="53">
        <f t="shared" ca="1" si="235"/>
        <v>2151222509.250051</v>
      </c>
      <c r="E1711" s="53">
        <f t="shared" ca="1" si="236"/>
        <v>2637635393960.8633</v>
      </c>
      <c r="F1711" s="53">
        <f t="shared" ca="1" si="237"/>
        <v>1803740732744.4514</v>
      </c>
      <c r="G1711" s="53">
        <f t="shared" ca="1" si="238"/>
        <v>36282328523953.875</v>
      </c>
      <c r="H1711" s="53">
        <f t="shared" ca="1" si="239"/>
        <v>36282328523953.875</v>
      </c>
      <c r="I1711" s="53">
        <f t="shared" ca="1" si="240"/>
        <v>12135393940197.711</v>
      </c>
      <c r="J1711" s="53">
        <f t="shared" ca="1" si="241"/>
        <v>908985450451.40466</v>
      </c>
      <c r="K1711" s="54">
        <f t="shared" ca="1" si="242"/>
        <v>13.350482050258606</v>
      </c>
    </row>
    <row r="1712" spans="2:11" ht="15" customHeight="1" x14ac:dyDescent="0.35">
      <c r="B1712" s="5">
        <v>1691</v>
      </c>
      <c r="C1712" s="52">
        <f t="shared" ca="1" si="234"/>
        <v>3.8874681430265854</v>
      </c>
      <c r="D1712" s="53">
        <f t="shared" ca="1" si="235"/>
        <v>19219127155.330742</v>
      </c>
      <c r="E1712" s="53">
        <f t="shared" ca="1" si="236"/>
        <v>12911798834536.477</v>
      </c>
      <c r="F1712" s="53">
        <f t="shared" ca="1" si="237"/>
        <v>2814281131585.2075</v>
      </c>
      <c r="G1712" s="53">
        <f t="shared" ca="1" si="238"/>
        <v>1018144188007.5867</v>
      </c>
      <c r="H1712" s="53">
        <f t="shared" ca="1" si="239"/>
        <v>12911798834536.477</v>
      </c>
      <c r="I1712" s="53">
        <f t="shared" ca="1" si="240"/>
        <v>42659882860930.117</v>
      </c>
      <c r="J1712" s="53">
        <f t="shared" ca="1" si="241"/>
        <v>1158808312206.3101</v>
      </c>
      <c r="K1712" s="54">
        <f t="shared" ca="1" si="242"/>
        <v>36.81358030622679</v>
      </c>
    </row>
    <row r="1713" spans="2:11" ht="15" customHeight="1" x14ac:dyDescent="0.35">
      <c r="B1713" s="5">
        <v>1692</v>
      </c>
      <c r="C1713" s="52">
        <f t="shared" ca="1" si="234"/>
        <v>3.3858071711505824</v>
      </c>
      <c r="D1713" s="53">
        <f t="shared" ca="1" si="235"/>
        <v>7920718987.3796921</v>
      </c>
      <c r="E1713" s="53">
        <f t="shared" ca="1" si="236"/>
        <v>50116255753000.102</v>
      </c>
      <c r="F1713" s="53">
        <f t="shared" ca="1" si="237"/>
        <v>13127562757306.125</v>
      </c>
      <c r="G1713" s="53">
        <f t="shared" ca="1" si="238"/>
        <v>27099470024943.703</v>
      </c>
      <c r="H1713" s="53">
        <f t="shared" ca="1" si="239"/>
        <v>50116255753000.102</v>
      </c>
      <c r="I1713" s="53">
        <f t="shared" ca="1" si="240"/>
        <v>41309239572787.773</v>
      </c>
      <c r="J1713" s="53">
        <f t="shared" ca="1" si="241"/>
        <v>825403542550.54761</v>
      </c>
      <c r="K1713" s="54">
        <f t="shared" ca="1" si="242"/>
        <v>50.047325269697396</v>
      </c>
    </row>
    <row r="1714" spans="2:11" ht="15" customHeight="1" x14ac:dyDescent="0.35">
      <c r="B1714" s="5">
        <v>1693</v>
      </c>
      <c r="C1714" s="52">
        <f t="shared" ca="1" si="234"/>
        <v>3.363392402715168</v>
      </c>
      <c r="D1714" s="53">
        <f t="shared" ca="1" si="235"/>
        <v>9413207675.6410561</v>
      </c>
      <c r="E1714" s="53">
        <f t="shared" ca="1" si="236"/>
        <v>55088820342572.141</v>
      </c>
      <c r="F1714" s="53">
        <f t="shared" ca="1" si="237"/>
        <v>1987075127993.8901</v>
      </c>
      <c r="G1714" s="53">
        <f t="shared" ca="1" si="238"/>
        <v>43877740258480.93</v>
      </c>
      <c r="H1714" s="53">
        <f t="shared" ca="1" si="239"/>
        <v>1987075127993.8901</v>
      </c>
      <c r="I1714" s="53">
        <f t="shared" ca="1" si="240"/>
        <v>10408609822751.604</v>
      </c>
      <c r="J1714" s="53">
        <f t="shared" ca="1" si="241"/>
        <v>1043509338613.8726</v>
      </c>
      <c r="K1714" s="54">
        <f t="shared" ca="1" si="242"/>
        <v>9.974620674289028</v>
      </c>
    </row>
    <row r="1715" spans="2:11" ht="15" customHeight="1" x14ac:dyDescent="0.35">
      <c r="B1715" s="5">
        <v>1694</v>
      </c>
      <c r="C1715" s="52">
        <f t="shared" ca="1" si="234"/>
        <v>3.3489721387938469</v>
      </c>
      <c r="D1715" s="53">
        <f t="shared" ca="1" si="235"/>
        <v>9799419520.7961807</v>
      </c>
      <c r="E1715" s="53">
        <f t="shared" ca="1" si="236"/>
        <v>69229787458585.523</v>
      </c>
      <c r="F1715" s="53">
        <f t="shared" ca="1" si="237"/>
        <v>7819027426249.9561</v>
      </c>
      <c r="G1715" s="53">
        <f t="shared" ca="1" si="238"/>
        <v>6009685095379.8008</v>
      </c>
      <c r="H1715" s="53">
        <f t="shared" ca="1" si="239"/>
        <v>69229787458585.523</v>
      </c>
      <c r="I1715" s="53">
        <f t="shared" ca="1" si="240"/>
        <v>3467489652724.3423</v>
      </c>
      <c r="J1715" s="53">
        <f t="shared" ca="1" si="241"/>
        <v>1435517291866.1985</v>
      </c>
      <c r="K1715" s="54">
        <f t="shared" ca="1" si="242"/>
        <v>2.4154983519679813</v>
      </c>
    </row>
    <row r="1716" spans="2:11" ht="15" customHeight="1" x14ac:dyDescent="0.35">
      <c r="B1716" s="5">
        <v>1695</v>
      </c>
      <c r="C1716" s="52">
        <f t="shared" ca="1" si="234"/>
        <v>2.3270206356565524</v>
      </c>
      <c r="D1716" s="53">
        <f t="shared" ca="1" si="235"/>
        <v>1269522064.8345363</v>
      </c>
      <c r="E1716" s="53">
        <f t="shared" ca="1" si="236"/>
        <v>6884492966867.4824</v>
      </c>
      <c r="F1716" s="53">
        <f t="shared" ca="1" si="237"/>
        <v>5048388481684.4395</v>
      </c>
      <c r="G1716" s="53">
        <f t="shared" ca="1" si="238"/>
        <v>8582400012122.5293</v>
      </c>
      <c r="H1716" s="53">
        <f t="shared" ca="1" si="239"/>
        <v>6884492966867.4824</v>
      </c>
      <c r="I1716" s="53">
        <f t="shared" ca="1" si="240"/>
        <v>12091729399059.932</v>
      </c>
      <c r="J1716" s="53">
        <f t="shared" ca="1" si="241"/>
        <v>732331064986.52649</v>
      </c>
      <c r="K1716" s="54">
        <f t="shared" ca="1" si="242"/>
        <v>16.511288373766305</v>
      </c>
    </row>
    <row r="1717" spans="2:11" ht="15" customHeight="1" x14ac:dyDescent="0.35">
      <c r="B1717" s="5">
        <v>1696</v>
      </c>
      <c r="C1717" s="52">
        <f t="shared" ca="1" si="234"/>
        <v>2.5412558727837369</v>
      </c>
      <c r="D1717" s="53">
        <f t="shared" ca="1" si="235"/>
        <v>1930859479.4989483</v>
      </c>
      <c r="E1717" s="53">
        <f t="shared" ca="1" si="236"/>
        <v>9619977104400.373</v>
      </c>
      <c r="F1717" s="53">
        <f t="shared" ca="1" si="237"/>
        <v>6361131594214.5332</v>
      </c>
      <c r="G1717" s="53">
        <f t="shared" ca="1" si="238"/>
        <v>3825953327104.4116</v>
      </c>
      <c r="H1717" s="53">
        <f t="shared" ca="1" si="239"/>
        <v>9619977104400.373</v>
      </c>
      <c r="I1717" s="53">
        <f t="shared" ca="1" si="240"/>
        <v>17526189539073.512</v>
      </c>
      <c r="J1717" s="53">
        <f t="shared" ca="1" si="241"/>
        <v>1273266813523.8137</v>
      </c>
      <c r="K1717" s="54">
        <f t="shared" ca="1" si="242"/>
        <v>13.764742277833445</v>
      </c>
    </row>
    <row r="1718" spans="2:11" ht="15" customHeight="1" x14ac:dyDescent="0.35">
      <c r="B1718" s="5">
        <v>1697</v>
      </c>
      <c r="C1718" s="52">
        <f t="shared" ca="1" si="234"/>
        <v>3.2311969885523353</v>
      </c>
      <c r="D1718" s="53">
        <f t="shared" ca="1" si="235"/>
        <v>7722827200.8555765</v>
      </c>
      <c r="E1718" s="53">
        <f t="shared" ca="1" si="236"/>
        <v>26468435909134.738</v>
      </c>
      <c r="F1718" s="53">
        <f t="shared" ca="1" si="237"/>
        <v>3011946578438.083</v>
      </c>
      <c r="G1718" s="53">
        <f t="shared" ca="1" si="238"/>
        <v>40966190786687.594</v>
      </c>
      <c r="H1718" s="53">
        <f t="shared" ca="1" si="239"/>
        <v>3011946578438.083</v>
      </c>
      <c r="I1718" s="53">
        <f t="shared" ca="1" si="240"/>
        <v>1716410077279.8833</v>
      </c>
      <c r="J1718" s="53">
        <f t="shared" ca="1" si="241"/>
        <v>1303451505304.7395</v>
      </c>
      <c r="K1718" s="54">
        <f t="shared" ca="1" si="242"/>
        <v>1.31681928349041</v>
      </c>
    </row>
    <row r="1719" spans="2:11" ht="15" customHeight="1" x14ac:dyDescent="0.35">
      <c r="B1719" s="5">
        <v>1698</v>
      </c>
      <c r="C1719" s="52">
        <f t="shared" ca="1" si="234"/>
        <v>2.2967261615306618</v>
      </c>
      <c r="D1719" s="53">
        <f t="shared" ca="1" si="235"/>
        <v>1457303493.5840933</v>
      </c>
      <c r="E1719" s="53">
        <f t="shared" ca="1" si="236"/>
        <v>3945118460307.4985</v>
      </c>
      <c r="F1719" s="53">
        <f t="shared" ca="1" si="237"/>
        <v>44811590267638.094</v>
      </c>
      <c r="G1719" s="53">
        <f t="shared" ca="1" si="238"/>
        <v>600659407491.13403</v>
      </c>
      <c r="H1719" s="53">
        <f t="shared" ca="1" si="239"/>
        <v>44811590267638.094</v>
      </c>
      <c r="I1719" s="53">
        <f t="shared" ca="1" si="240"/>
        <v>8514113563052.877</v>
      </c>
      <c r="J1719" s="53">
        <f t="shared" ca="1" si="241"/>
        <v>1472009017629.3879</v>
      </c>
      <c r="K1719" s="54">
        <f t="shared" ca="1" si="242"/>
        <v>5.784009106659223</v>
      </c>
    </row>
    <row r="1720" spans="2:11" ht="15" customHeight="1" x14ac:dyDescent="0.35">
      <c r="B1720" s="5">
        <v>1699</v>
      </c>
      <c r="C1720" s="52">
        <f t="shared" ca="1" si="234"/>
        <v>2.2643820377621102</v>
      </c>
      <c r="D1720" s="53">
        <f t="shared" ca="1" si="235"/>
        <v>1388849102.8363469</v>
      </c>
      <c r="E1720" s="53">
        <f t="shared" ca="1" si="236"/>
        <v>1859315403830.2451</v>
      </c>
      <c r="F1720" s="53">
        <f t="shared" ca="1" si="237"/>
        <v>1732650264713.085</v>
      </c>
      <c r="G1720" s="53">
        <f t="shared" ca="1" si="238"/>
        <v>1154970669663.9431</v>
      </c>
      <c r="H1720" s="53">
        <f t="shared" ca="1" si="239"/>
        <v>1732650264713.085</v>
      </c>
      <c r="I1720" s="53">
        <f t="shared" ca="1" si="240"/>
        <v>90212640808673.516</v>
      </c>
      <c r="J1720" s="53">
        <f t="shared" ca="1" si="241"/>
        <v>1077813528487.5565</v>
      </c>
      <c r="K1720" s="54">
        <f t="shared" ca="1" si="242"/>
        <v>83.699673852920128</v>
      </c>
    </row>
    <row r="1721" spans="2:11" ht="15" customHeight="1" x14ac:dyDescent="0.35">
      <c r="B1721" s="5">
        <v>1700</v>
      </c>
      <c r="C1721" s="52">
        <f t="shared" ca="1" si="234"/>
        <v>3.7043814654006111</v>
      </c>
      <c r="D1721" s="53">
        <f t="shared" ca="1" si="235"/>
        <v>12745071461.796051</v>
      </c>
      <c r="E1721" s="53">
        <f t="shared" ca="1" si="236"/>
        <v>18982786120201.797</v>
      </c>
      <c r="F1721" s="53">
        <f t="shared" ca="1" si="237"/>
        <v>894093544976.48413</v>
      </c>
      <c r="G1721" s="53">
        <f t="shared" ca="1" si="238"/>
        <v>18133846698748.652</v>
      </c>
      <c r="H1721" s="53">
        <f t="shared" ca="1" si="239"/>
        <v>18133846698748.652</v>
      </c>
      <c r="I1721" s="53">
        <f t="shared" ca="1" si="240"/>
        <v>25788958114551.676</v>
      </c>
      <c r="J1721" s="53">
        <f t="shared" ca="1" si="241"/>
        <v>1264179882347.0913</v>
      </c>
      <c r="K1721" s="54">
        <f t="shared" ca="1" si="242"/>
        <v>20.3997536067981</v>
      </c>
    </row>
    <row r="1722" spans="2:11" ht="15" customHeight="1" x14ac:dyDescent="0.35">
      <c r="B1722" s="5">
        <v>1701</v>
      </c>
      <c r="C1722" s="52">
        <f t="shared" ca="1" si="234"/>
        <v>3.1208056338808285</v>
      </c>
      <c r="D1722" s="53">
        <f t="shared" ca="1" si="235"/>
        <v>6198537682.821763</v>
      </c>
      <c r="E1722" s="53">
        <f t="shared" ca="1" si="236"/>
        <v>25279996335093.098</v>
      </c>
      <c r="F1722" s="53">
        <f t="shared" ca="1" si="237"/>
        <v>497476817456.76593</v>
      </c>
      <c r="G1722" s="53">
        <f t="shared" ca="1" si="238"/>
        <v>1116638359427.446</v>
      </c>
      <c r="H1722" s="53">
        <f t="shared" ca="1" si="239"/>
        <v>1116638359427.446</v>
      </c>
      <c r="I1722" s="53">
        <f t="shared" ca="1" si="240"/>
        <v>25823867498965.512</v>
      </c>
      <c r="J1722" s="53">
        <f t="shared" ca="1" si="241"/>
        <v>1007017370479.8893</v>
      </c>
      <c r="K1722" s="54">
        <f t="shared" ca="1" si="242"/>
        <v>25.643914649316596</v>
      </c>
    </row>
    <row r="1723" spans="2:11" ht="15" customHeight="1" x14ac:dyDescent="0.35">
      <c r="B1723" s="5">
        <v>1702</v>
      </c>
      <c r="C1723" s="52">
        <f t="shared" ca="1" si="234"/>
        <v>3.1461168315032748</v>
      </c>
      <c r="D1723" s="53">
        <f t="shared" ca="1" si="235"/>
        <v>5411199365.6433229</v>
      </c>
      <c r="E1723" s="53">
        <f t="shared" ca="1" si="236"/>
        <v>14558491510768.961</v>
      </c>
      <c r="F1723" s="53">
        <f t="shared" ca="1" si="237"/>
        <v>3205258177624.0229</v>
      </c>
      <c r="G1723" s="53">
        <f t="shared" ca="1" si="238"/>
        <v>4050807925019.0366</v>
      </c>
      <c r="H1723" s="53">
        <f t="shared" ca="1" si="239"/>
        <v>4050807925019.0366</v>
      </c>
      <c r="I1723" s="53">
        <f t="shared" ca="1" si="240"/>
        <v>14515594865055.479</v>
      </c>
      <c r="J1723" s="53">
        <f t="shared" ca="1" si="241"/>
        <v>1523954861244.7546</v>
      </c>
      <c r="K1723" s="54">
        <f t="shared" ca="1" si="242"/>
        <v>9.5249506623833025</v>
      </c>
    </row>
    <row r="1724" spans="2:11" ht="15" customHeight="1" x14ac:dyDescent="0.35">
      <c r="B1724" s="5">
        <v>1703</v>
      </c>
      <c r="C1724" s="52">
        <f t="shared" ca="1" si="234"/>
        <v>2.4698118292573317</v>
      </c>
      <c r="D1724" s="53">
        <f t="shared" ca="1" si="235"/>
        <v>1982407533.9282222</v>
      </c>
      <c r="E1724" s="53">
        <f t="shared" ca="1" si="236"/>
        <v>3900041922462.7969</v>
      </c>
      <c r="F1724" s="53">
        <f t="shared" ca="1" si="237"/>
        <v>7344797483713.6777</v>
      </c>
      <c r="G1724" s="53">
        <f t="shared" ca="1" si="238"/>
        <v>12628919694830.09</v>
      </c>
      <c r="H1724" s="53">
        <f t="shared" ca="1" si="239"/>
        <v>12628919694830.09</v>
      </c>
      <c r="I1724" s="53">
        <f t="shared" ca="1" si="240"/>
        <v>473967916560.5506</v>
      </c>
      <c r="J1724" s="53">
        <f t="shared" ca="1" si="241"/>
        <v>588734386663.52393</v>
      </c>
      <c r="K1724" s="54">
        <f t="shared" ca="1" si="242"/>
        <v>0.80506239706265847</v>
      </c>
    </row>
    <row r="1725" spans="2:11" ht="15" customHeight="1" x14ac:dyDescent="0.35">
      <c r="B1725" s="5">
        <v>1704</v>
      </c>
      <c r="C1725" s="52">
        <f t="shared" ca="1" si="234"/>
        <v>3.3407244041340891</v>
      </c>
      <c r="D1725" s="53">
        <f t="shared" ca="1" si="235"/>
        <v>9906156787.5732174</v>
      </c>
      <c r="E1725" s="53">
        <f t="shared" ca="1" si="236"/>
        <v>46790536216354.203</v>
      </c>
      <c r="F1725" s="53">
        <f t="shared" ca="1" si="237"/>
        <v>3145595001878.6802</v>
      </c>
      <c r="G1725" s="53">
        <f t="shared" ca="1" si="238"/>
        <v>20931255155166.469</v>
      </c>
      <c r="H1725" s="53">
        <f t="shared" ca="1" si="239"/>
        <v>20931255155166.469</v>
      </c>
      <c r="I1725" s="53">
        <f t="shared" ca="1" si="240"/>
        <v>45348252314559.484</v>
      </c>
      <c r="J1725" s="53">
        <f t="shared" ca="1" si="241"/>
        <v>1372193109932.5781</v>
      </c>
      <c r="K1725" s="54">
        <f t="shared" ca="1" si="242"/>
        <v>33.048010506908639</v>
      </c>
    </row>
    <row r="1726" spans="2:11" ht="15" customHeight="1" x14ac:dyDescent="0.35">
      <c r="B1726" s="5">
        <v>1705</v>
      </c>
      <c r="C1726" s="52">
        <f t="shared" ca="1" si="234"/>
        <v>2.5318593803822744</v>
      </c>
      <c r="D1726" s="53">
        <f t="shared" ca="1" si="235"/>
        <v>2330773524.6251836</v>
      </c>
      <c r="E1726" s="53">
        <f t="shared" ca="1" si="236"/>
        <v>9602306862665.9297</v>
      </c>
      <c r="F1726" s="53">
        <f t="shared" ca="1" si="237"/>
        <v>8076612781504.2783</v>
      </c>
      <c r="G1726" s="53">
        <f t="shared" ca="1" si="238"/>
        <v>3992422938062.2041</v>
      </c>
      <c r="H1726" s="53">
        <f t="shared" ca="1" si="239"/>
        <v>8076612781504.2783</v>
      </c>
      <c r="I1726" s="53">
        <f t="shared" ca="1" si="240"/>
        <v>2170806106131.8179</v>
      </c>
      <c r="J1726" s="53">
        <f t="shared" ca="1" si="241"/>
        <v>445466922560.28876</v>
      </c>
      <c r="K1726" s="54">
        <f t="shared" ca="1" si="242"/>
        <v>4.8731027966235239</v>
      </c>
    </row>
    <row r="1727" spans="2:11" ht="15" customHeight="1" x14ac:dyDescent="0.35">
      <c r="B1727" s="5">
        <v>1706</v>
      </c>
      <c r="C1727" s="52">
        <f t="shared" ca="1" si="234"/>
        <v>3.5854099106900841</v>
      </c>
      <c r="D1727" s="53">
        <f t="shared" ca="1" si="235"/>
        <v>11597031998.411057</v>
      </c>
      <c r="E1727" s="53">
        <f t="shared" ca="1" si="236"/>
        <v>12839386639168.375</v>
      </c>
      <c r="F1727" s="53">
        <f t="shared" ca="1" si="237"/>
        <v>2023447458840.0474</v>
      </c>
      <c r="G1727" s="53">
        <f t="shared" ca="1" si="238"/>
        <v>19414943504060.082</v>
      </c>
      <c r="H1727" s="53">
        <f t="shared" ca="1" si="239"/>
        <v>2023447458840.0474</v>
      </c>
      <c r="I1727" s="53">
        <f t="shared" ca="1" si="240"/>
        <v>13115085486026.445</v>
      </c>
      <c r="J1727" s="53">
        <f t="shared" ca="1" si="241"/>
        <v>479554930663.54156</v>
      </c>
      <c r="K1727" s="54">
        <f t="shared" ca="1" si="242"/>
        <v>27.348453008041457</v>
      </c>
    </row>
    <row r="1728" spans="2:11" ht="15" customHeight="1" x14ac:dyDescent="0.35">
      <c r="B1728" s="5">
        <v>1707</v>
      </c>
      <c r="C1728" s="52">
        <f t="shared" ca="1" si="234"/>
        <v>3.1324886386618491</v>
      </c>
      <c r="D1728" s="53">
        <f t="shared" ca="1" si="235"/>
        <v>6392899958.9721975</v>
      </c>
      <c r="E1728" s="53">
        <f t="shared" ca="1" si="236"/>
        <v>50764826490140.422</v>
      </c>
      <c r="F1728" s="53">
        <f t="shared" ca="1" si="237"/>
        <v>1032109956957.3474</v>
      </c>
      <c r="G1728" s="53">
        <f t="shared" ca="1" si="238"/>
        <v>99247677073053.5</v>
      </c>
      <c r="H1728" s="53">
        <f t="shared" ca="1" si="239"/>
        <v>1032109956957.3474</v>
      </c>
      <c r="I1728" s="53">
        <f t="shared" ca="1" si="240"/>
        <v>4246964204546.9199</v>
      </c>
      <c r="J1728" s="53">
        <f t="shared" ca="1" si="241"/>
        <v>1001069851676.7316</v>
      </c>
      <c r="K1728" s="54">
        <f t="shared" ca="1" si="242"/>
        <v>4.2424254385780484</v>
      </c>
    </row>
    <row r="1729" spans="2:11" ht="15" customHeight="1" x14ac:dyDescent="0.35">
      <c r="B1729" s="5">
        <v>1708</v>
      </c>
      <c r="C1729" s="52">
        <f t="shared" ca="1" si="234"/>
        <v>2.8881876968003746</v>
      </c>
      <c r="D1729" s="53">
        <f t="shared" ca="1" si="235"/>
        <v>4394077625.6610985</v>
      </c>
      <c r="E1729" s="53">
        <f t="shared" ca="1" si="236"/>
        <v>10386791547528.184</v>
      </c>
      <c r="F1729" s="53">
        <f t="shared" ca="1" si="237"/>
        <v>4624780343454.7764</v>
      </c>
      <c r="G1729" s="53">
        <f t="shared" ca="1" si="238"/>
        <v>16881297614246.281</v>
      </c>
      <c r="H1729" s="53">
        <f t="shared" ca="1" si="239"/>
        <v>16881297614246.281</v>
      </c>
      <c r="I1729" s="53">
        <f t="shared" ca="1" si="240"/>
        <v>942665957166.86279</v>
      </c>
      <c r="J1729" s="53">
        <f t="shared" ca="1" si="241"/>
        <v>1214827452909.4153</v>
      </c>
      <c r="K1729" s="54">
        <f t="shared" ca="1" si="242"/>
        <v>0.77596695309218822</v>
      </c>
    </row>
    <row r="1730" spans="2:11" ht="15" customHeight="1" x14ac:dyDescent="0.35">
      <c r="B1730" s="5">
        <v>1709</v>
      </c>
      <c r="C1730" s="52">
        <f t="shared" ca="1" si="234"/>
        <v>3.1092480667080333</v>
      </c>
      <c r="D1730" s="53">
        <f t="shared" ca="1" si="235"/>
        <v>5563995183.5653553</v>
      </c>
      <c r="E1730" s="53">
        <f t="shared" ca="1" si="236"/>
        <v>14431149634187.178</v>
      </c>
      <c r="F1730" s="53">
        <f t="shared" ca="1" si="237"/>
        <v>4483155997088.2949</v>
      </c>
      <c r="G1730" s="53">
        <f t="shared" ca="1" si="238"/>
        <v>671410551656.17566</v>
      </c>
      <c r="H1730" s="53">
        <f t="shared" ca="1" si="239"/>
        <v>14431149634187.178</v>
      </c>
      <c r="I1730" s="53">
        <f t="shared" ca="1" si="240"/>
        <v>17850636375824.957</v>
      </c>
      <c r="J1730" s="53">
        <f t="shared" ca="1" si="241"/>
        <v>1287565017488.0056</v>
      </c>
      <c r="K1730" s="54">
        <f t="shared" ca="1" si="242"/>
        <v>13.863871830450105</v>
      </c>
    </row>
    <row r="1731" spans="2:11" ht="15" customHeight="1" x14ac:dyDescent="0.35">
      <c r="B1731" s="5">
        <v>1710</v>
      </c>
      <c r="C1731" s="52">
        <f t="shared" ca="1" si="234"/>
        <v>2.8545524419545161</v>
      </c>
      <c r="D1731" s="53">
        <f t="shared" ca="1" si="235"/>
        <v>3110472565.393074</v>
      </c>
      <c r="E1731" s="53">
        <f t="shared" ca="1" si="236"/>
        <v>4626832453642.3408</v>
      </c>
      <c r="F1731" s="53">
        <f t="shared" ca="1" si="237"/>
        <v>396364532115.63873</v>
      </c>
      <c r="G1731" s="53">
        <f t="shared" ca="1" si="238"/>
        <v>1210433444295.448</v>
      </c>
      <c r="H1731" s="53">
        <f t="shared" ca="1" si="239"/>
        <v>4626832453642.3408</v>
      </c>
      <c r="I1731" s="53">
        <f t="shared" ca="1" si="240"/>
        <v>6551597158258.4707</v>
      </c>
      <c r="J1731" s="53">
        <f t="shared" ca="1" si="241"/>
        <v>659481938226.41833</v>
      </c>
      <c r="K1731" s="54">
        <f t="shared" ca="1" si="242"/>
        <v>9.9344603369700266</v>
      </c>
    </row>
    <row r="1732" spans="2:11" ht="15" customHeight="1" x14ac:dyDescent="0.35">
      <c r="B1732" s="5">
        <v>1711</v>
      </c>
      <c r="C1732" s="52">
        <f t="shared" ca="1" si="234"/>
        <v>3.5885005522135121</v>
      </c>
      <c r="D1732" s="53">
        <f t="shared" ca="1" si="235"/>
        <v>12228002839.41551</v>
      </c>
      <c r="E1732" s="53">
        <f t="shared" ca="1" si="236"/>
        <v>91376934536328.672</v>
      </c>
      <c r="F1732" s="53">
        <f t="shared" ca="1" si="237"/>
        <v>1280079783329.3564</v>
      </c>
      <c r="G1732" s="53">
        <f t="shared" ca="1" si="238"/>
        <v>8836565549366.4141</v>
      </c>
      <c r="H1732" s="53">
        <f t="shared" ca="1" si="239"/>
        <v>91376934536328.672</v>
      </c>
      <c r="I1732" s="53">
        <f t="shared" ca="1" si="240"/>
        <v>9365138306112.832</v>
      </c>
      <c r="J1732" s="53">
        <f t="shared" ca="1" si="241"/>
        <v>536814680230.664</v>
      </c>
      <c r="K1732" s="54">
        <f t="shared" ca="1" si="242"/>
        <v>17.445756703391055</v>
      </c>
    </row>
    <row r="1733" spans="2:11" ht="15" customHeight="1" x14ac:dyDescent="0.35">
      <c r="B1733" s="5">
        <v>1712</v>
      </c>
      <c r="C1733" s="52">
        <f t="shared" ca="1" si="234"/>
        <v>2.8769573246847768</v>
      </c>
      <c r="D1733" s="53">
        <f t="shared" ca="1" si="235"/>
        <v>4046594963.3343425</v>
      </c>
      <c r="E1733" s="53">
        <f t="shared" ca="1" si="236"/>
        <v>32179762624350.367</v>
      </c>
      <c r="F1733" s="53">
        <f t="shared" ca="1" si="237"/>
        <v>6419667875285.9043</v>
      </c>
      <c r="G1733" s="53">
        <f t="shared" ca="1" si="238"/>
        <v>13434404669293.018</v>
      </c>
      <c r="H1733" s="53">
        <f t="shared" ca="1" si="239"/>
        <v>13434404669293.018</v>
      </c>
      <c r="I1733" s="53">
        <f t="shared" ca="1" si="240"/>
        <v>5307029220875.9814</v>
      </c>
      <c r="J1733" s="53">
        <f t="shared" ca="1" si="241"/>
        <v>1344322191498.5835</v>
      </c>
      <c r="K1733" s="54">
        <f t="shared" ca="1" si="242"/>
        <v>3.9477360817498441</v>
      </c>
    </row>
    <row r="1734" spans="2:11" ht="15" customHeight="1" x14ac:dyDescent="0.35">
      <c r="B1734" s="5">
        <v>1713</v>
      </c>
      <c r="C1734" s="52">
        <f t="shared" ca="1" si="234"/>
        <v>2.3654271642662494</v>
      </c>
      <c r="D1734" s="53">
        <f t="shared" ca="1" si="235"/>
        <v>1302724506.0777311</v>
      </c>
      <c r="E1734" s="53">
        <f t="shared" ca="1" si="236"/>
        <v>4530052671006.7607</v>
      </c>
      <c r="F1734" s="53">
        <f t="shared" ca="1" si="237"/>
        <v>768281940624.82446</v>
      </c>
      <c r="G1734" s="53">
        <f t="shared" ca="1" si="238"/>
        <v>6927985948743.2861</v>
      </c>
      <c r="H1734" s="53">
        <f t="shared" ca="1" si="239"/>
        <v>4530052671006.7607</v>
      </c>
      <c r="I1734" s="53">
        <f t="shared" ca="1" si="240"/>
        <v>5453756277386.0264</v>
      </c>
      <c r="J1734" s="53">
        <f t="shared" ca="1" si="241"/>
        <v>1671806158764.8821</v>
      </c>
      <c r="K1734" s="54">
        <f t="shared" ca="1" si="242"/>
        <v>3.2621941537858796</v>
      </c>
    </row>
    <row r="1735" spans="2:11" ht="15" customHeight="1" x14ac:dyDescent="0.35">
      <c r="B1735" s="5">
        <v>1714</v>
      </c>
      <c r="C1735" s="52">
        <f t="shared" ca="1" si="234"/>
        <v>2.6826141672818786</v>
      </c>
      <c r="D1735" s="53">
        <f t="shared" ca="1" si="235"/>
        <v>2943626614.3821979</v>
      </c>
      <c r="E1735" s="53">
        <f t="shared" ca="1" si="236"/>
        <v>7210708587507.9453</v>
      </c>
      <c r="F1735" s="53">
        <f t="shared" ca="1" si="237"/>
        <v>1501959892187.334</v>
      </c>
      <c r="G1735" s="53">
        <f t="shared" ca="1" si="238"/>
        <v>5185277936672.3037</v>
      </c>
      <c r="H1735" s="53">
        <f t="shared" ca="1" si="239"/>
        <v>7210708587507.9453</v>
      </c>
      <c r="I1735" s="53">
        <f t="shared" ca="1" si="240"/>
        <v>6282283048330.3633</v>
      </c>
      <c r="J1735" s="53">
        <f t="shared" ca="1" si="241"/>
        <v>1320587069886.3459</v>
      </c>
      <c r="K1735" s="54">
        <f t="shared" ca="1" si="242"/>
        <v>4.7571895799881165</v>
      </c>
    </row>
    <row r="1736" spans="2:11" ht="15" customHeight="1" x14ac:dyDescent="0.35">
      <c r="B1736" s="5">
        <v>1715</v>
      </c>
      <c r="C1736" s="52">
        <f t="shared" ca="1" si="234"/>
        <v>3.4738575033860304</v>
      </c>
      <c r="D1736" s="53">
        <f t="shared" ca="1" si="235"/>
        <v>8228263581.9072895</v>
      </c>
      <c r="E1736" s="53">
        <f t="shared" ca="1" si="236"/>
        <v>144715660761447.94</v>
      </c>
      <c r="F1736" s="53">
        <f t="shared" ca="1" si="237"/>
        <v>457512470942.26276</v>
      </c>
      <c r="G1736" s="53">
        <f t="shared" ca="1" si="238"/>
        <v>3923956416284.4702</v>
      </c>
      <c r="H1736" s="53">
        <f t="shared" ca="1" si="239"/>
        <v>457512470942.26276</v>
      </c>
      <c r="I1736" s="53">
        <f t="shared" ca="1" si="240"/>
        <v>52789222584914.82</v>
      </c>
      <c r="J1736" s="53">
        <f t="shared" ca="1" si="241"/>
        <v>1126936887827.9041</v>
      </c>
      <c r="K1736" s="54">
        <f t="shared" ca="1" si="242"/>
        <v>46.843104662819705</v>
      </c>
    </row>
    <row r="1737" spans="2:11" ht="15" customHeight="1" x14ac:dyDescent="0.35">
      <c r="B1737" s="5">
        <v>1716</v>
      </c>
      <c r="C1737" s="52">
        <f t="shared" ca="1" si="234"/>
        <v>2.3662156801888417</v>
      </c>
      <c r="D1737" s="53">
        <f t="shared" ca="1" si="235"/>
        <v>1312507756.4763341</v>
      </c>
      <c r="E1737" s="53">
        <f t="shared" ca="1" si="236"/>
        <v>3767029105907.772</v>
      </c>
      <c r="F1737" s="53">
        <f t="shared" ca="1" si="237"/>
        <v>739697911132.90283</v>
      </c>
      <c r="G1737" s="53">
        <f t="shared" ca="1" si="238"/>
        <v>26697298796722.707</v>
      </c>
      <c r="H1737" s="53">
        <f t="shared" ca="1" si="239"/>
        <v>3767029105907.772</v>
      </c>
      <c r="I1737" s="53">
        <f t="shared" ca="1" si="240"/>
        <v>27649845432622.383</v>
      </c>
      <c r="J1737" s="53">
        <f t="shared" ca="1" si="241"/>
        <v>947002746752.26965</v>
      </c>
      <c r="K1737" s="54">
        <f t="shared" ca="1" si="242"/>
        <v>29.19721777729481</v>
      </c>
    </row>
    <row r="1738" spans="2:11" ht="15" customHeight="1" x14ac:dyDescent="0.35">
      <c r="B1738" s="5">
        <v>1717</v>
      </c>
      <c r="C1738" s="52">
        <f t="shared" ca="1" si="234"/>
        <v>2.5527865857984784</v>
      </c>
      <c r="D1738" s="53">
        <f t="shared" ca="1" si="235"/>
        <v>1895880383.4445198</v>
      </c>
      <c r="E1738" s="53">
        <f t="shared" ca="1" si="236"/>
        <v>36864857355161.234</v>
      </c>
      <c r="F1738" s="53">
        <f t="shared" ca="1" si="237"/>
        <v>5416204207470.5693</v>
      </c>
      <c r="G1738" s="53">
        <f t="shared" ca="1" si="238"/>
        <v>27043672120362.227</v>
      </c>
      <c r="H1738" s="53">
        <f t="shared" ca="1" si="239"/>
        <v>36864857355161.234</v>
      </c>
      <c r="I1738" s="53">
        <f t="shared" ca="1" si="240"/>
        <v>13296795753378.91</v>
      </c>
      <c r="J1738" s="53">
        <f t="shared" ca="1" si="241"/>
        <v>813864209778.65161</v>
      </c>
      <c r="K1738" s="54">
        <f t="shared" ca="1" si="242"/>
        <v>16.337855373926896</v>
      </c>
    </row>
    <row r="1739" spans="2:11" ht="15" customHeight="1" x14ac:dyDescent="0.35">
      <c r="B1739" s="5">
        <v>1718</v>
      </c>
      <c r="C1739" s="52">
        <f t="shared" ca="1" si="234"/>
        <v>2.8877359110583742</v>
      </c>
      <c r="D1739" s="53">
        <f t="shared" ca="1" si="235"/>
        <v>3442566444.2867885</v>
      </c>
      <c r="E1739" s="53">
        <f t="shared" ca="1" si="236"/>
        <v>14910923181691.584</v>
      </c>
      <c r="F1739" s="53">
        <f t="shared" ca="1" si="237"/>
        <v>1560541157884.0842</v>
      </c>
      <c r="G1739" s="53">
        <f t="shared" ca="1" si="238"/>
        <v>4971534791457.7813</v>
      </c>
      <c r="H1739" s="53">
        <f t="shared" ca="1" si="239"/>
        <v>1560541157884.0842</v>
      </c>
      <c r="I1739" s="53">
        <f t="shared" ca="1" si="240"/>
        <v>1262501015324.5896</v>
      </c>
      <c r="J1739" s="53">
        <f t="shared" ca="1" si="241"/>
        <v>1105936900910.0081</v>
      </c>
      <c r="K1739" s="54">
        <f t="shared" ca="1" si="242"/>
        <v>1.1415669504162078</v>
      </c>
    </row>
    <row r="1740" spans="2:11" ht="15" customHeight="1" x14ac:dyDescent="0.35">
      <c r="B1740" s="5">
        <v>1719</v>
      </c>
      <c r="C1740" s="52">
        <f t="shared" ca="1" si="234"/>
        <v>2.5605900965959698</v>
      </c>
      <c r="D1740" s="53">
        <f t="shared" ca="1" si="235"/>
        <v>2376225597.9794912</v>
      </c>
      <c r="E1740" s="53">
        <f t="shared" ca="1" si="236"/>
        <v>35019650000735.047</v>
      </c>
      <c r="F1740" s="53">
        <f t="shared" ca="1" si="237"/>
        <v>3655550196654.0645</v>
      </c>
      <c r="G1740" s="53">
        <f t="shared" ca="1" si="238"/>
        <v>361319991629.1676</v>
      </c>
      <c r="H1740" s="53">
        <f t="shared" ca="1" si="239"/>
        <v>3655550196654.0645</v>
      </c>
      <c r="I1740" s="53">
        <f t="shared" ca="1" si="240"/>
        <v>24170677181101.438</v>
      </c>
      <c r="J1740" s="53">
        <f t="shared" ca="1" si="241"/>
        <v>1067856912683.5897</v>
      </c>
      <c r="K1740" s="54">
        <f t="shared" ca="1" si="242"/>
        <v>22.634752740757232</v>
      </c>
    </row>
    <row r="1741" spans="2:11" ht="15" customHeight="1" x14ac:dyDescent="0.35">
      <c r="B1741" s="5">
        <v>1720</v>
      </c>
      <c r="C1741" s="52">
        <f t="shared" ca="1" si="234"/>
        <v>2.5110247607405491</v>
      </c>
      <c r="D1741" s="53">
        <f t="shared" ca="1" si="235"/>
        <v>2297012875.4089675</v>
      </c>
      <c r="E1741" s="53">
        <f t="shared" ca="1" si="236"/>
        <v>9904411723984.791</v>
      </c>
      <c r="F1741" s="53">
        <f t="shared" ca="1" si="237"/>
        <v>2091141361169.2754</v>
      </c>
      <c r="G1741" s="53">
        <f t="shared" ca="1" si="238"/>
        <v>1118170425921.5415</v>
      </c>
      <c r="H1741" s="53">
        <f t="shared" ca="1" si="239"/>
        <v>9904411723984.791</v>
      </c>
      <c r="I1741" s="53">
        <f t="shared" ca="1" si="240"/>
        <v>2102700078019.0498</v>
      </c>
      <c r="J1741" s="53">
        <f t="shared" ca="1" si="241"/>
        <v>1539782210290.9858</v>
      </c>
      <c r="K1741" s="54">
        <f t="shared" ca="1" si="242"/>
        <v>1.3655827843482389</v>
      </c>
    </row>
    <row r="1742" spans="2:11" ht="15" customHeight="1" x14ac:dyDescent="0.35">
      <c r="B1742" s="5">
        <v>1721</v>
      </c>
      <c r="C1742" s="52">
        <f t="shared" ca="1" si="234"/>
        <v>3.2139495424228621</v>
      </c>
      <c r="D1742" s="53">
        <f t="shared" ca="1" si="235"/>
        <v>6407200073.1291685</v>
      </c>
      <c r="E1742" s="53">
        <f t="shared" ca="1" si="236"/>
        <v>3863991722361.5098</v>
      </c>
      <c r="F1742" s="53">
        <f t="shared" ca="1" si="237"/>
        <v>8960235786886.1113</v>
      </c>
      <c r="G1742" s="53">
        <f t="shared" ca="1" si="238"/>
        <v>25267637600583.473</v>
      </c>
      <c r="H1742" s="53">
        <f t="shared" ca="1" si="239"/>
        <v>8960235786886.1113</v>
      </c>
      <c r="I1742" s="53">
        <f t="shared" ca="1" si="240"/>
        <v>2965167033383.5884</v>
      </c>
      <c r="J1742" s="53">
        <f t="shared" ca="1" si="241"/>
        <v>1280888166800.603</v>
      </c>
      <c r="K1742" s="54">
        <f t="shared" ca="1" si="242"/>
        <v>2.3149304601587271</v>
      </c>
    </row>
    <row r="1743" spans="2:11" ht="15" customHeight="1" x14ac:dyDescent="0.35">
      <c r="B1743" s="5">
        <v>1722</v>
      </c>
      <c r="C1743" s="52">
        <f t="shared" ca="1" si="234"/>
        <v>3.3001931472721497</v>
      </c>
      <c r="D1743" s="53">
        <f t="shared" ca="1" si="235"/>
        <v>8869346504.4441414</v>
      </c>
      <c r="E1743" s="53">
        <f t="shared" ca="1" si="236"/>
        <v>31645340136098.664</v>
      </c>
      <c r="F1743" s="53">
        <f t="shared" ca="1" si="237"/>
        <v>7025168290460.5752</v>
      </c>
      <c r="G1743" s="53">
        <f t="shared" ca="1" si="238"/>
        <v>1853301964149.002</v>
      </c>
      <c r="H1743" s="53">
        <f t="shared" ca="1" si="239"/>
        <v>1853301964149.002</v>
      </c>
      <c r="I1743" s="53">
        <f t="shared" ca="1" si="240"/>
        <v>38232997302351.391</v>
      </c>
      <c r="J1743" s="53">
        <f t="shared" ca="1" si="241"/>
        <v>1089304835544.2871</v>
      </c>
      <c r="K1743" s="54">
        <f t="shared" ca="1" si="242"/>
        <v>35.098528946901915</v>
      </c>
    </row>
    <row r="1744" spans="2:11" ht="15" customHeight="1" x14ac:dyDescent="0.35">
      <c r="B1744" s="5">
        <v>1723</v>
      </c>
      <c r="C1744" s="52">
        <f t="shared" ca="1" si="234"/>
        <v>3.8930139325617561</v>
      </c>
      <c r="D1744" s="53">
        <f t="shared" ca="1" si="235"/>
        <v>20425659294.796307</v>
      </c>
      <c r="E1744" s="53">
        <f t="shared" ca="1" si="236"/>
        <v>17584371820631.156</v>
      </c>
      <c r="F1744" s="53">
        <f t="shared" ca="1" si="237"/>
        <v>7938010569535.8848</v>
      </c>
      <c r="G1744" s="53">
        <f t="shared" ca="1" si="238"/>
        <v>10428635772206.768</v>
      </c>
      <c r="H1744" s="53">
        <f t="shared" ca="1" si="239"/>
        <v>10428635772206.768</v>
      </c>
      <c r="I1744" s="53">
        <f t="shared" ca="1" si="240"/>
        <v>33399758338198.871</v>
      </c>
      <c r="J1744" s="53">
        <f t="shared" ca="1" si="241"/>
        <v>533493946533.52246</v>
      </c>
      <c r="K1744" s="54">
        <f t="shared" ca="1" si="242"/>
        <v>62.60569319524636</v>
      </c>
    </row>
    <row r="1745" spans="2:11" ht="15" customHeight="1" x14ac:dyDescent="0.35">
      <c r="B1745" s="5">
        <v>1724</v>
      </c>
      <c r="C1745" s="52">
        <f t="shared" ca="1" si="234"/>
        <v>2.7238959322607053</v>
      </c>
      <c r="D1745" s="53">
        <f t="shared" ca="1" si="235"/>
        <v>3018524139.4051342</v>
      </c>
      <c r="E1745" s="53">
        <f t="shared" ca="1" si="236"/>
        <v>7065302838369.4063</v>
      </c>
      <c r="F1745" s="53">
        <f t="shared" ca="1" si="237"/>
        <v>2347085082635.9009</v>
      </c>
      <c r="G1745" s="53">
        <f t="shared" ca="1" si="238"/>
        <v>18633469391737.664</v>
      </c>
      <c r="H1745" s="53">
        <f t="shared" ca="1" si="239"/>
        <v>18633469391737.664</v>
      </c>
      <c r="I1745" s="53">
        <f t="shared" ca="1" si="240"/>
        <v>1827270640809.6594</v>
      </c>
      <c r="J1745" s="53">
        <f t="shared" ca="1" si="241"/>
        <v>1094945514253.5248</v>
      </c>
      <c r="K1745" s="54">
        <f t="shared" ca="1" si="242"/>
        <v>1.6688233496763487</v>
      </c>
    </row>
    <row r="1746" spans="2:11" ht="15" customHeight="1" x14ac:dyDescent="0.35">
      <c r="B1746" s="5">
        <v>1725</v>
      </c>
      <c r="C1746" s="52">
        <f t="shared" ca="1" si="234"/>
        <v>3.0063812927757372</v>
      </c>
      <c r="D1746" s="53">
        <f t="shared" ca="1" si="235"/>
        <v>5694874413.985755</v>
      </c>
      <c r="E1746" s="53">
        <f t="shared" ca="1" si="236"/>
        <v>23668891572207.457</v>
      </c>
      <c r="F1746" s="53">
        <f t="shared" ca="1" si="237"/>
        <v>1383829200912.0122</v>
      </c>
      <c r="G1746" s="53">
        <f t="shared" ca="1" si="238"/>
        <v>2162390249639.6025</v>
      </c>
      <c r="H1746" s="53">
        <f t="shared" ca="1" si="239"/>
        <v>1383829200912.0122</v>
      </c>
      <c r="I1746" s="53">
        <f t="shared" ca="1" si="240"/>
        <v>1619096155813.2864</v>
      </c>
      <c r="J1746" s="53">
        <f t="shared" ca="1" si="241"/>
        <v>952333361342.72437</v>
      </c>
      <c r="K1746" s="54">
        <f t="shared" ca="1" si="242"/>
        <v>1.7001359203992104</v>
      </c>
    </row>
    <row r="1747" spans="2:11" ht="15" customHeight="1" x14ac:dyDescent="0.35">
      <c r="B1747" s="5">
        <v>1726</v>
      </c>
      <c r="C1747" s="52">
        <f t="shared" ca="1" si="234"/>
        <v>3.4345261820830606</v>
      </c>
      <c r="D1747" s="53">
        <f t="shared" ca="1" si="235"/>
        <v>9933238760.7350769</v>
      </c>
      <c r="E1747" s="53">
        <f t="shared" ca="1" si="236"/>
        <v>43403300897153.586</v>
      </c>
      <c r="F1747" s="53">
        <f t="shared" ca="1" si="237"/>
        <v>2999286690750.2485</v>
      </c>
      <c r="G1747" s="53">
        <f t="shared" ca="1" si="238"/>
        <v>10949376711375.598</v>
      </c>
      <c r="H1747" s="53">
        <f t="shared" ca="1" si="239"/>
        <v>43403300897153.586</v>
      </c>
      <c r="I1747" s="53">
        <f t="shared" ca="1" si="240"/>
        <v>7571393153014.0615</v>
      </c>
      <c r="J1747" s="53">
        <f t="shared" ca="1" si="241"/>
        <v>954816183162.86438</v>
      </c>
      <c r="K1747" s="54">
        <f t="shared" ca="1" si="242"/>
        <v>7.9296866627600906</v>
      </c>
    </row>
    <row r="1748" spans="2:11" ht="15" customHeight="1" x14ac:dyDescent="0.35">
      <c r="B1748" s="5">
        <v>1727</v>
      </c>
      <c r="C1748" s="52">
        <f t="shared" ca="1" si="234"/>
        <v>3.0490388381015414</v>
      </c>
      <c r="D1748" s="53">
        <f t="shared" ca="1" si="235"/>
        <v>6153790432.8141031</v>
      </c>
      <c r="E1748" s="53">
        <f t="shared" ca="1" si="236"/>
        <v>33565441662514.539</v>
      </c>
      <c r="F1748" s="53">
        <f t="shared" ca="1" si="237"/>
        <v>1227290462629.2632</v>
      </c>
      <c r="G1748" s="53">
        <f t="shared" ca="1" si="238"/>
        <v>3055303706480.6924</v>
      </c>
      <c r="H1748" s="53">
        <f t="shared" ca="1" si="239"/>
        <v>1227290462629.2632</v>
      </c>
      <c r="I1748" s="53">
        <f t="shared" ca="1" si="240"/>
        <v>9602748352435.2676</v>
      </c>
      <c r="J1748" s="53">
        <f t="shared" ca="1" si="241"/>
        <v>1083276922088.6349</v>
      </c>
      <c r="K1748" s="54">
        <f t="shared" ca="1" si="242"/>
        <v>8.8645369956931113</v>
      </c>
    </row>
    <row r="1749" spans="2:11" ht="15" customHeight="1" x14ac:dyDescent="0.35">
      <c r="B1749" s="5">
        <v>1728</v>
      </c>
      <c r="C1749" s="52">
        <f t="shared" ca="1" si="234"/>
        <v>2.0589275630440862</v>
      </c>
      <c r="D1749" s="53">
        <f t="shared" ca="1" si="235"/>
        <v>769972073.23035204</v>
      </c>
      <c r="E1749" s="53">
        <f t="shared" ca="1" si="236"/>
        <v>4132412141301.5361</v>
      </c>
      <c r="F1749" s="53">
        <f t="shared" ca="1" si="237"/>
        <v>22266809818430.496</v>
      </c>
      <c r="G1749" s="53">
        <f t="shared" ca="1" si="238"/>
        <v>2378981532076.4214</v>
      </c>
      <c r="H1749" s="53">
        <f t="shared" ca="1" si="239"/>
        <v>4132412141301.5361</v>
      </c>
      <c r="I1749" s="53">
        <f t="shared" ca="1" si="240"/>
        <v>10980631569492.582</v>
      </c>
      <c r="J1749" s="53">
        <f t="shared" ca="1" si="241"/>
        <v>1428277439751.6772</v>
      </c>
      <c r="K1749" s="54">
        <f t="shared" ca="1" si="242"/>
        <v>7.6880242338643212</v>
      </c>
    </row>
    <row r="1750" spans="2:11" ht="15" customHeight="1" x14ac:dyDescent="0.35">
      <c r="B1750" s="5">
        <v>1729</v>
      </c>
      <c r="C1750" s="52">
        <f t="shared" ref="C1750:C1813" ca="1" si="243">MEDIAN(1.8,NORMINV(RAND(),$C$7,$D$7),4.5)</f>
        <v>3.6695989886506042</v>
      </c>
      <c r="D1750" s="53">
        <f t="shared" ref="D1750:D1813" ca="1" si="244">($C$8+RAND()*($D$8-$C$8))*C1750^5</f>
        <v>11452060071.918358</v>
      </c>
      <c r="E1750" s="53">
        <f t="shared" ref="E1750:E1813" ca="1" si="245">D1750*($C$10+RAND()*($D$10-$C$10))*EXP(NORMINV(RAND(),$C$9,$D$9))*($C$11+RAND()*($D$11-$C$11))</f>
        <v>25672169865919.516</v>
      </c>
      <c r="F1750" s="53">
        <f t="shared" ref="F1750:F1813" ca="1" si="246">EXP(NORMINV(RAND(),$C$12,$D$12))*EXP(NORMINV(RAND(),$C$13,$D$13))</f>
        <v>26671433874757.523</v>
      </c>
      <c r="G1750" s="53">
        <f t="shared" ref="G1750:G1813" ca="1" si="247">EXP(NORMINV(RAND(),$C$14,$D$14))*($C$15+RAND()*($D$15-$C$15))*EXP(NORMINV(RAND(),$C$16,$D$16))/1000000*31536000</f>
        <v>1604393485699.7852</v>
      </c>
      <c r="H1750" s="53">
        <f t="shared" ref="H1750:H1813" ca="1" si="248">CHOOSE(RANDBETWEEN(1,3),E1750,F1750,G1750)</f>
        <v>26671433874757.523</v>
      </c>
      <c r="I1750" s="53">
        <f t="shared" ref="I1750:I1813" ca="1" si="249">EXP(NORMINV(RAND(),$C$14,$D$14))*($C$15+RAND()*($D$15-$C$15))*60</f>
        <v>10458169897172.598</v>
      </c>
      <c r="J1750" s="53">
        <f t="shared" ref="J1750:J1813" ca="1" si="250">($C$17+RAND()*($D$17-$C$17))*($C$18+RAND()*($D$18-$C$18))</f>
        <v>1671389328552.7551</v>
      </c>
      <c r="K1750" s="54">
        <f t="shared" ref="K1750:K1813" ca="1" si="251">I1750/J1750</f>
        <v>6.2571716347071913</v>
      </c>
    </row>
    <row r="1751" spans="2:11" ht="15" customHeight="1" x14ac:dyDescent="0.35">
      <c r="B1751" s="5">
        <v>1730</v>
      </c>
      <c r="C1751" s="52">
        <f t="shared" ca="1" si="243"/>
        <v>2.5118314687761232</v>
      </c>
      <c r="D1751" s="53">
        <f t="shared" ca="1" si="244"/>
        <v>1810141279.2338963</v>
      </c>
      <c r="E1751" s="53">
        <f t="shared" ca="1" si="245"/>
        <v>3785718435192.2578</v>
      </c>
      <c r="F1751" s="53">
        <f t="shared" ca="1" si="246"/>
        <v>13370664437086.875</v>
      </c>
      <c r="G1751" s="53">
        <f t="shared" ca="1" si="247"/>
        <v>1768917835323.8452</v>
      </c>
      <c r="H1751" s="53">
        <f t="shared" ca="1" si="248"/>
        <v>1768917835323.8452</v>
      </c>
      <c r="I1751" s="53">
        <f t="shared" ca="1" si="249"/>
        <v>45299099111927.859</v>
      </c>
      <c r="J1751" s="53">
        <f t="shared" ca="1" si="250"/>
        <v>1626745661324.7068</v>
      </c>
      <c r="K1751" s="54">
        <f t="shared" ca="1" si="251"/>
        <v>27.84645454350834</v>
      </c>
    </row>
    <row r="1752" spans="2:11" ht="15" customHeight="1" x14ac:dyDescent="0.35">
      <c r="B1752" s="5">
        <v>1731</v>
      </c>
      <c r="C1752" s="52">
        <f t="shared" ca="1" si="243"/>
        <v>3.2398026950166474</v>
      </c>
      <c r="D1752" s="53">
        <f t="shared" ca="1" si="244"/>
        <v>6670377964.67414</v>
      </c>
      <c r="E1752" s="53">
        <f t="shared" ca="1" si="245"/>
        <v>15999947623217.645</v>
      </c>
      <c r="F1752" s="53">
        <f t="shared" ca="1" si="246"/>
        <v>51415557648066.945</v>
      </c>
      <c r="G1752" s="53">
        <f t="shared" ca="1" si="247"/>
        <v>16577382557856.004</v>
      </c>
      <c r="H1752" s="53">
        <f t="shared" ca="1" si="248"/>
        <v>15999947623217.645</v>
      </c>
      <c r="I1752" s="53">
        <f t="shared" ca="1" si="249"/>
        <v>35025679153604.113</v>
      </c>
      <c r="J1752" s="53">
        <f t="shared" ca="1" si="250"/>
        <v>633203446377.90503</v>
      </c>
      <c r="K1752" s="54">
        <f t="shared" ca="1" si="251"/>
        <v>55.315048194952936</v>
      </c>
    </row>
    <row r="1753" spans="2:11" ht="15" customHeight="1" x14ac:dyDescent="0.35">
      <c r="B1753" s="5">
        <v>1732</v>
      </c>
      <c r="C1753" s="52">
        <f t="shared" ca="1" si="243"/>
        <v>2.901478030205519</v>
      </c>
      <c r="D1753" s="53">
        <f t="shared" ca="1" si="244"/>
        <v>4053367507.2461491</v>
      </c>
      <c r="E1753" s="53">
        <f t="shared" ca="1" si="245"/>
        <v>15954607337299.416</v>
      </c>
      <c r="F1753" s="53">
        <f t="shared" ca="1" si="246"/>
        <v>2133064925897.293</v>
      </c>
      <c r="G1753" s="53">
        <f t="shared" ca="1" si="247"/>
        <v>1132574650537.6155</v>
      </c>
      <c r="H1753" s="53">
        <f t="shared" ca="1" si="248"/>
        <v>15954607337299.416</v>
      </c>
      <c r="I1753" s="53">
        <f t="shared" ca="1" si="249"/>
        <v>4671148881134.3154</v>
      </c>
      <c r="J1753" s="53">
        <f t="shared" ca="1" si="250"/>
        <v>1688993048376.2866</v>
      </c>
      <c r="K1753" s="54">
        <f t="shared" ca="1" si="251"/>
        <v>2.7656412710667602</v>
      </c>
    </row>
    <row r="1754" spans="2:11" ht="15" customHeight="1" x14ac:dyDescent="0.35">
      <c r="B1754" s="5">
        <v>1733</v>
      </c>
      <c r="C1754" s="52">
        <f t="shared" ca="1" si="243"/>
        <v>3.3957145959331658</v>
      </c>
      <c r="D1754" s="53">
        <f t="shared" ca="1" si="244"/>
        <v>8958744507.2386112</v>
      </c>
      <c r="E1754" s="53">
        <f t="shared" ca="1" si="245"/>
        <v>58664211758516.594</v>
      </c>
      <c r="F1754" s="53">
        <f t="shared" ca="1" si="246"/>
        <v>548611608385.44751</v>
      </c>
      <c r="G1754" s="53">
        <f t="shared" ca="1" si="247"/>
        <v>14773475201864.004</v>
      </c>
      <c r="H1754" s="53">
        <f t="shared" ca="1" si="248"/>
        <v>58664211758516.594</v>
      </c>
      <c r="I1754" s="53">
        <f t="shared" ca="1" si="249"/>
        <v>1312240253631.4236</v>
      </c>
      <c r="J1754" s="53">
        <f t="shared" ca="1" si="250"/>
        <v>1076964798794.3612</v>
      </c>
      <c r="K1754" s="54">
        <f t="shared" ca="1" si="251"/>
        <v>1.2184616016237932</v>
      </c>
    </row>
    <row r="1755" spans="2:11" ht="15" customHeight="1" x14ac:dyDescent="0.35">
      <c r="B1755" s="5">
        <v>1734</v>
      </c>
      <c r="C1755" s="52">
        <f t="shared" ca="1" si="243"/>
        <v>2.1752565083514117</v>
      </c>
      <c r="D1755" s="53">
        <f t="shared" ca="1" si="244"/>
        <v>1142527784.7782972</v>
      </c>
      <c r="E1755" s="53">
        <f t="shared" ca="1" si="245"/>
        <v>932253723032.58215</v>
      </c>
      <c r="F1755" s="53">
        <f t="shared" ca="1" si="246"/>
        <v>13195763323114.602</v>
      </c>
      <c r="G1755" s="53">
        <f t="shared" ca="1" si="247"/>
        <v>4037817730964.2871</v>
      </c>
      <c r="H1755" s="53">
        <f t="shared" ca="1" si="248"/>
        <v>4037817730964.2871</v>
      </c>
      <c r="I1755" s="53">
        <f t="shared" ca="1" si="249"/>
        <v>3188970017723.1597</v>
      </c>
      <c r="J1755" s="53">
        <f t="shared" ca="1" si="250"/>
        <v>1333803038399.8198</v>
      </c>
      <c r="K1755" s="54">
        <f t="shared" ca="1" si="251"/>
        <v>2.3908852551040871</v>
      </c>
    </row>
    <row r="1756" spans="2:11" ht="15" customHeight="1" x14ac:dyDescent="0.35">
      <c r="B1756" s="5">
        <v>1735</v>
      </c>
      <c r="C1756" s="52">
        <f t="shared" ca="1" si="243"/>
        <v>2.2520513908423991</v>
      </c>
      <c r="D1756" s="53">
        <f t="shared" ca="1" si="244"/>
        <v>1255323841.1803956</v>
      </c>
      <c r="E1756" s="53">
        <f t="shared" ca="1" si="245"/>
        <v>9145309629428.4668</v>
      </c>
      <c r="F1756" s="53">
        <f t="shared" ca="1" si="246"/>
        <v>1286096457758.0957</v>
      </c>
      <c r="G1756" s="53">
        <f t="shared" ca="1" si="247"/>
        <v>18712049544463.07</v>
      </c>
      <c r="H1756" s="53">
        <f t="shared" ca="1" si="248"/>
        <v>18712049544463.07</v>
      </c>
      <c r="I1756" s="53">
        <f t="shared" ca="1" si="249"/>
        <v>84126102785186.875</v>
      </c>
      <c r="J1756" s="53">
        <f t="shared" ca="1" si="250"/>
        <v>684255903799.01953</v>
      </c>
      <c r="K1756" s="54">
        <f t="shared" ca="1" si="251"/>
        <v>122.94538098701813</v>
      </c>
    </row>
    <row r="1757" spans="2:11" ht="15" customHeight="1" x14ac:dyDescent="0.35">
      <c r="B1757" s="5">
        <v>1736</v>
      </c>
      <c r="C1757" s="52">
        <f t="shared" ca="1" si="243"/>
        <v>3.6050549921431374</v>
      </c>
      <c r="D1757" s="53">
        <f t="shared" ca="1" si="244"/>
        <v>12222421950.31982</v>
      </c>
      <c r="E1757" s="53">
        <f t="shared" ca="1" si="245"/>
        <v>143464028409257.97</v>
      </c>
      <c r="F1757" s="53">
        <f t="shared" ca="1" si="246"/>
        <v>2710384951264.356</v>
      </c>
      <c r="G1757" s="53">
        <f t="shared" ca="1" si="247"/>
        <v>1175569409229.7659</v>
      </c>
      <c r="H1757" s="53">
        <f t="shared" ca="1" si="248"/>
        <v>2710384951264.356</v>
      </c>
      <c r="I1757" s="53">
        <f t="shared" ca="1" si="249"/>
        <v>19174250105620.07</v>
      </c>
      <c r="J1757" s="53">
        <f t="shared" ca="1" si="250"/>
        <v>504969352926.19617</v>
      </c>
      <c r="K1757" s="54">
        <f t="shared" ca="1" si="251"/>
        <v>37.971116453917716</v>
      </c>
    </row>
    <row r="1758" spans="2:11" ht="15" customHeight="1" x14ac:dyDescent="0.35">
      <c r="B1758" s="5">
        <v>1737</v>
      </c>
      <c r="C1758" s="52">
        <f t="shared" ca="1" si="243"/>
        <v>3.4473608692003763</v>
      </c>
      <c r="D1758" s="53">
        <f t="shared" ca="1" si="244"/>
        <v>10378840877.691004</v>
      </c>
      <c r="E1758" s="53">
        <f t="shared" ca="1" si="245"/>
        <v>87119662834245.703</v>
      </c>
      <c r="F1758" s="53">
        <f t="shared" ca="1" si="246"/>
        <v>2142252790340.074</v>
      </c>
      <c r="G1758" s="53">
        <f t="shared" ca="1" si="247"/>
        <v>1866416359343.7786</v>
      </c>
      <c r="H1758" s="53">
        <f t="shared" ca="1" si="248"/>
        <v>2142252790340.074</v>
      </c>
      <c r="I1758" s="53">
        <f t="shared" ca="1" si="249"/>
        <v>3327648409312.3208</v>
      </c>
      <c r="J1758" s="53">
        <f t="shared" ca="1" si="250"/>
        <v>1520314362815.1504</v>
      </c>
      <c r="K1758" s="54">
        <f t="shared" ca="1" si="251"/>
        <v>2.188789694225179</v>
      </c>
    </row>
    <row r="1759" spans="2:11" ht="15" customHeight="1" x14ac:dyDescent="0.35">
      <c r="B1759" s="5">
        <v>1738</v>
      </c>
      <c r="C1759" s="52">
        <f t="shared" ca="1" si="243"/>
        <v>2.7335137205319944</v>
      </c>
      <c r="D1759" s="53">
        <f t="shared" ca="1" si="244"/>
        <v>2766618209.0950508</v>
      </c>
      <c r="E1759" s="53">
        <f t="shared" ca="1" si="245"/>
        <v>1923282119679.6262</v>
      </c>
      <c r="F1759" s="53">
        <f t="shared" ca="1" si="246"/>
        <v>4805268945185.627</v>
      </c>
      <c r="G1759" s="53">
        <f t="shared" ca="1" si="247"/>
        <v>26496896159111.559</v>
      </c>
      <c r="H1759" s="53">
        <f t="shared" ca="1" si="248"/>
        <v>1923282119679.6262</v>
      </c>
      <c r="I1759" s="53">
        <f t="shared" ca="1" si="249"/>
        <v>4555734315763.8018</v>
      </c>
      <c r="J1759" s="53">
        <f t="shared" ca="1" si="250"/>
        <v>854564472280.52258</v>
      </c>
      <c r="K1759" s="54">
        <f t="shared" ca="1" si="251"/>
        <v>5.3310598129667142</v>
      </c>
    </row>
    <row r="1760" spans="2:11" ht="15" customHeight="1" x14ac:dyDescent="0.35">
      <c r="B1760" s="5">
        <v>1739</v>
      </c>
      <c r="C1760" s="52">
        <f t="shared" ca="1" si="243"/>
        <v>3.3106420362856719</v>
      </c>
      <c r="D1760" s="53">
        <f t="shared" ca="1" si="244"/>
        <v>6448563221.1925468</v>
      </c>
      <c r="E1760" s="53">
        <f t="shared" ca="1" si="245"/>
        <v>18172567955793.395</v>
      </c>
      <c r="F1760" s="53">
        <f t="shared" ca="1" si="246"/>
        <v>2678461058706.5825</v>
      </c>
      <c r="G1760" s="53">
        <f t="shared" ca="1" si="247"/>
        <v>3095615801542.6367</v>
      </c>
      <c r="H1760" s="53">
        <f t="shared" ca="1" si="248"/>
        <v>18172567955793.395</v>
      </c>
      <c r="I1760" s="53">
        <f t="shared" ca="1" si="249"/>
        <v>1964944833126.7905</v>
      </c>
      <c r="J1760" s="53">
        <f t="shared" ca="1" si="250"/>
        <v>1502423376353.7</v>
      </c>
      <c r="K1760" s="54">
        <f t="shared" ca="1" si="251"/>
        <v>1.3078502797897122</v>
      </c>
    </row>
    <row r="1761" spans="2:11" ht="15" customHeight="1" x14ac:dyDescent="0.35">
      <c r="B1761" s="5">
        <v>1740</v>
      </c>
      <c r="C1761" s="52">
        <f t="shared" ca="1" si="243"/>
        <v>2.9136278175382802</v>
      </c>
      <c r="D1761" s="53">
        <f t="shared" ca="1" si="244"/>
        <v>4741813995.7592459</v>
      </c>
      <c r="E1761" s="53">
        <f t="shared" ca="1" si="245"/>
        <v>13177000517484.027</v>
      </c>
      <c r="F1761" s="53">
        <f t="shared" ca="1" si="246"/>
        <v>4309102275486.6489</v>
      </c>
      <c r="G1761" s="53">
        <f t="shared" ca="1" si="247"/>
        <v>185451200821.6319</v>
      </c>
      <c r="H1761" s="53">
        <f t="shared" ca="1" si="248"/>
        <v>185451200821.6319</v>
      </c>
      <c r="I1761" s="53">
        <f t="shared" ca="1" si="249"/>
        <v>7842356623606.8125</v>
      </c>
      <c r="J1761" s="53">
        <f t="shared" ca="1" si="250"/>
        <v>1518703234643.8347</v>
      </c>
      <c r="K1761" s="54">
        <f t="shared" ca="1" si="251"/>
        <v>5.1638506093298711</v>
      </c>
    </row>
    <row r="1762" spans="2:11" ht="15" customHeight="1" x14ac:dyDescent="0.35">
      <c r="B1762" s="5">
        <v>1741</v>
      </c>
      <c r="C1762" s="52">
        <f t="shared" ca="1" si="243"/>
        <v>2.6759391089659164</v>
      </c>
      <c r="D1762" s="53">
        <f t="shared" ca="1" si="244"/>
        <v>2536103441.0533447</v>
      </c>
      <c r="E1762" s="53">
        <f t="shared" ca="1" si="245"/>
        <v>9826464523705.1445</v>
      </c>
      <c r="F1762" s="53">
        <f t="shared" ca="1" si="246"/>
        <v>1828692836086.1216</v>
      </c>
      <c r="G1762" s="53">
        <f t="shared" ca="1" si="247"/>
        <v>2821439808698.7192</v>
      </c>
      <c r="H1762" s="53">
        <f t="shared" ca="1" si="248"/>
        <v>1828692836086.1216</v>
      </c>
      <c r="I1762" s="53">
        <f t="shared" ca="1" si="249"/>
        <v>45651322585660.141</v>
      </c>
      <c r="J1762" s="53">
        <f t="shared" ca="1" si="250"/>
        <v>1095855121495.9905</v>
      </c>
      <c r="K1762" s="54">
        <f t="shared" ca="1" si="251"/>
        <v>41.658173320703114</v>
      </c>
    </row>
    <row r="1763" spans="2:11" ht="15" customHeight="1" x14ac:dyDescent="0.35">
      <c r="B1763" s="5">
        <v>1742</v>
      </c>
      <c r="C1763" s="52">
        <f t="shared" ca="1" si="243"/>
        <v>2.9956244231146143</v>
      </c>
      <c r="D1763" s="53">
        <f t="shared" ca="1" si="244"/>
        <v>4898321837.2368708</v>
      </c>
      <c r="E1763" s="53">
        <f t="shared" ca="1" si="245"/>
        <v>6475739629785.2139</v>
      </c>
      <c r="F1763" s="53">
        <f t="shared" ca="1" si="246"/>
        <v>1480754055751.4417</v>
      </c>
      <c r="G1763" s="53">
        <f t="shared" ca="1" si="247"/>
        <v>55923719461764.695</v>
      </c>
      <c r="H1763" s="53">
        <f t="shared" ca="1" si="248"/>
        <v>6475739629785.2139</v>
      </c>
      <c r="I1763" s="53">
        <f t="shared" ca="1" si="249"/>
        <v>11463011410604.201</v>
      </c>
      <c r="J1763" s="53">
        <f t="shared" ca="1" si="250"/>
        <v>1181972237862.4897</v>
      </c>
      <c r="K1763" s="54">
        <f t="shared" ca="1" si="251"/>
        <v>9.6982069827073243</v>
      </c>
    </row>
    <row r="1764" spans="2:11" ht="15" customHeight="1" x14ac:dyDescent="0.35">
      <c r="B1764" s="5">
        <v>1743</v>
      </c>
      <c r="C1764" s="52">
        <f t="shared" ca="1" si="243"/>
        <v>3.4818963774894041</v>
      </c>
      <c r="D1764" s="53">
        <f t="shared" ca="1" si="244"/>
        <v>8734910599.4633102</v>
      </c>
      <c r="E1764" s="53">
        <f t="shared" ca="1" si="245"/>
        <v>12210303908255.682</v>
      </c>
      <c r="F1764" s="53">
        <f t="shared" ca="1" si="246"/>
        <v>2382574314136.5913</v>
      </c>
      <c r="G1764" s="53">
        <f t="shared" ca="1" si="247"/>
        <v>19637310670862.465</v>
      </c>
      <c r="H1764" s="53">
        <f t="shared" ca="1" si="248"/>
        <v>2382574314136.5913</v>
      </c>
      <c r="I1764" s="53">
        <f t="shared" ca="1" si="249"/>
        <v>16658544310596.248</v>
      </c>
      <c r="J1764" s="53">
        <f t="shared" ca="1" si="250"/>
        <v>1251493765688.7163</v>
      </c>
      <c r="K1764" s="54">
        <f t="shared" ca="1" si="251"/>
        <v>13.31092872158959</v>
      </c>
    </row>
    <row r="1765" spans="2:11" ht="15" customHeight="1" x14ac:dyDescent="0.35">
      <c r="B1765" s="5">
        <v>1744</v>
      </c>
      <c r="C1765" s="52">
        <f t="shared" ca="1" si="243"/>
        <v>2.7545410201179075</v>
      </c>
      <c r="D1765" s="53">
        <f t="shared" ca="1" si="244"/>
        <v>2991160875.7802286</v>
      </c>
      <c r="E1765" s="53">
        <f t="shared" ca="1" si="245"/>
        <v>6270992611787.6582</v>
      </c>
      <c r="F1765" s="53">
        <f t="shared" ca="1" si="246"/>
        <v>907185937728.94678</v>
      </c>
      <c r="G1765" s="53">
        <f t="shared" ca="1" si="247"/>
        <v>42570315929488.945</v>
      </c>
      <c r="H1765" s="53">
        <f t="shared" ca="1" si="248"/>
        <v>6270992611787.6582</v>
      </c>
      <c r="I1765" s="53">
        <f t="shared" ca="1" si="249"/>
        <v>73927324858675.953</v>
      </c>
      <c r="J1765" s="53">
        <f t="shared" ca="1" si="250"/>
        <v>1091838347519.9631</v>
      </c>
      <c r="K1765" s="54">
        <f t="shared" ca="1" si="251"/>
        <v>67.709038637996969</v>
      </c>
    </row>
    <row r="1766" spans="2:11" ht="15" customHeight="1" x14ac:dyDescent="0.35">
      <c r="B1766" s="5">
        <v>1745</v>
      </c>
      <c r="C1766" s="52">
        <f t="shared" ca="1" si="243"/>
        <v>3.2364662932172252</v>
      </c>
      <c r="D1766" s="53">
        <f t="shared" ca="1" si="244"/>
        <v>5780961946.5697641</v>
      </c>
      <c r="E1766" s="53">
        <f t="shared" ca="1" si="245"/>
        <v>39957333559245.242</v>
      </c>
      <c r="F1766" s="53">
        <f t="shared" ca="1" si="246"/>
        <v>901057102057.57056</v>
      </c>
      <c r="G1766" s="53">
        <f t="shared" ca="1" si="247"/>
        <v>7084727495445.5527</v>
      </c>
      <c r="H1766" s="53">
        <f t="shared" ca="1" si="248"/>
        <v>39957333559245.242</v>
      </c>
      <c r="I1766" s="53">
        <f t="shared" ca="1" si="249"/>
        <v>9094536406780.9629</v>
      </c>
      <c r="J1766" s="53">
        <f t="shared" ca="1" si="250"/>
        <v>1026409453072.2412</v>
      </c>
      <c r="K1766" s="54">
        <f t="shared" ca="1" si="251"/>
        <v>8.8605345357637386</v>
      </c>
    </row>
    <row r="1767" spans="2:11" ht="15" customHeight="1" x14ac:dyDescent="0.35">
      <c r="B1767" s="5">
        <v>1746</v>
      </c>
      <c r="C1767" s="52">
        <f t="shared" ca="1" si="243"/>
        <v>2.8215445337522338</v>
      </c>
      <c r="D1767" s="53">
        <f t="shared" ca="1" si="244"/>
        <v>3830397966.4601374</v>
      </c>
      <c r="E1767" s="53">
        <f t="shared" ca="1" si="245"/>
        <v>26609077988762.406</v>
      </c>
      <c r="F1767" s="53">
        <f t="shared" ca="1" si="246"/>
        <v>796129415630.72424</v>
      </c>
      <c r="G1767" s="53">
        <f t="shared" ca="1" si="247"/>
        <v>13927838643358.109</v>
      </c>
      <c r="H1767" s="53">
        <f t="shared" ca="1" si="248"/>
        <v>26609077988762.406</v>
      </c>
      <c r="I1767" s="53">
        <f t="shared" ca="1" si="249"/>
        <v>23209866488124.84</v>
      </c>
      <c r="J1767" s="53">
        <f t="shared" ca="1" si="250"/>
        <v>942705164694.46313</v>
      </c>
      <c r="K1767" s="54">
        <f t="shared" ca="1" si="251"/>
        <v>24.620493614933476</v>
      </c>
    </row>
    <row r="1768" spans="2:11" ht="15" customHeight="1" x14ac:dyDescent="0.35">
      <c r="B1768" s="5">
        <v>1747</v>
      </c>
      <c r="C1768" s="52">
        <f t="shared" ca="1" si="243"/>
        <v>3.0784087953079076</v>
      </c>
      <c r="D1768" s="53">
        <f t="shared" ca="1" si="244"/>
        <v>4781776089.4313221</v>
      </c>
      <c r="E1768" s="53">
        <f t="shared" ca="1" si="245"/>
        <v>18884690331442.098</v>
      </c>
      <c r="F1768" s="53">
        <f t="shared" ca="1" si="246"/>
        <v>1055628542233.6603</v>
      </c>
      <c r="G1768" s="53">
        <f t="shared" ca="1" si="247"/>
        <v>12687159140930.68</v>
      </c>
      <c r="H1768" s="53">
        <f t="shared" ca="1" si="248"/>
        <v>12687159140930.68</v>
      </c>
      <c r="I1768" s="53">
        <f t="shared" ca="1" si="249"/>
        <v>1714510723429.355</v>
      </c>
      <c r="J1768" s="53">
        <f t="shared" ca="1" si="250"/>
        <v>764030214843.4342</v>
      </c>
      <c r="K1768" s="54">
        <f t="shared" ca="1" si="251"/>
        <v>2.2440352359372255</v>
      </c>
    </row>
    <row r="1769" spans="2:11" ht="15" customHeight="1" x14ac:dyDescent="0.35">
      <c r="B1769" s="5">
        <v>1748</v>
      </c>
      <c r="C1769" s="52">
        <f t="shared" ca="1" si="243"/>
        <v>3.2234233302370847</v>
      </c>
      <c r="D1769" s="53">
        <f t="shared" ca="1" si="244"/>
        <v>5643874367.1932793</v>
      </c>
      <c r="E1769" s="53">
        <f t="shared" ca="1" si="245"/>
        <v>55310348294342.555</v>
      </c>
      <c r="F1769" s="53">
        <f t="shared" ca="1" si="246"/>
        <v>11773203192728.361</v>
      </c>
      <c r="G1769" s="53">
        <f t="shared" ca="1" si="247"/>
        <v>239201326835760.06</v>
      </c>
      <c r="H1769" s="53">
        <f t="shared" ca="1" si="248"/>
        <v>239201326835760.06</v>
      </c>
      <c r="I1769" s="53">
        <f t="shared" ca="1" si="249"/>
        <v>12640426081136.174</v>
      </c>
      <c r="J1769" s="53">
        <f t="shared" ca="1" si="250"/>
        <v>967613785800.35498</v>
      </c>
      <c r="K1769" s="54">
        <f t="shared" ca="1" si="251"/>
        <v>13.063503503808324</v>
      </c>
    </row>
    <row r="1770" spans="2:11" ht="15" customHeight="1" x14ac:dyDescent="0.35">
      <c r="B1770" s="5">
        <v>1749</v>
      </c>
      <c r="C1770" s="52">
        <f t="shared" ca="1" si="243"/>
        <v>3.0834431672444289</v>
      </c>
      <c r="D1770" s="53">
        <f t="shared" ca="1" si="244"/>
        <v>6392590291.4913416</v>
      </c>
      <c r="E1770" s="53">
        <f t="shared" ca="1" si="245"/>
        <v>17070022328763.305</v>
      </c>
      <c r="F1770" s="53">
        <f t="shared" ca="1" si="246"/>
        <v>11763725953537.848</v>
      </c>
      <c r="G1770" s="53">
        <f t="shared" ca="1" si="247"/>
        <v>23039227059174.434</v>
      </c>
      <c r="H1770" s="53">
        <f t="shared" ca="1" si="248"/>
        <v>23039227059174.434</v>
      </c>
      <c r="I1770" s="53">
        <f t="shared" ca="1" si="249"/>
        <v>4601712821798.7676</v>
      </c>
      <c r="J1770" s="53">
        <f t="shared" ca="1" si="250"/>
        <v>717663471632.84229</v>
      </c>
      <c r="K1770" s="54">
        <f t="shared" ca="1" si="251"/>
        <v>6.4120761383171123</v>
      </c>
    </row>
    <row r="1771" spans="2:11" ht="15" customHeight="1" x14ac:dyDescent="0.35">
      <c r="B1771" s="5">
        <v>1750</v>
      </c>
      <c r="C1771" s="52">
        <f t="shared" ca="1" si="243"/>
        <v>3.3970049445645758</v>
      </c>
      <c r="D1771" s="53">
        <f t="shared" ca="1" si="244"/>
        <v>8664822313.822979</v>
      </c>
      <c r="E1771" s="53">
        <f t="shared" ca="1" si="245"/>
        <v>30432065212805.594</v>
      </c>
      <c r="F1771" s="53">
        <f t="shared" ca="1" si="246"/>
        <v>345868847056.97626</v>
      </c>
      <c r="G1771" s="53">
        <f t="shared" ca="1" si="247"/>
        <v>29322839046829.352</v>
      </c>
      <c r="H1771" s="53">
        <f t="shared" ca="1" si="248"/>
        <v>29322839046829.352</v>
      </c>
      <c r="I1771" s="53">
        <f t="shared" ca="1" si="249"/>
        <v>4406987264694.7773</v>
      </c>
      <c r="J1771" s="53">
        <f t="shared" ca="1" si="250"/>
        <v>1037979737239.2577</v>
      </c>
      <c r="K1771" s="54">
        <f t="shared" ca="1" si="251"/>
        <v>4.2457353516516214</v>
      </c>
    </row>
    <row r="1772" spans="2:11" ht="15" customHeight="1" x14ac:dyDescent="0.35">
      <c r="B1772" s="5">
        <v>1751</v>
      </c>
      <c r="C1772" s="52">
        <f t="shared" ca="1" si="243"/>
        <v>2.5998619613387133</v>
      </c>
      <c r="D1772" s="53">
        <f t="shared" ca="1" si="244"/>
        <v>1913115423.1307986</v>
      </c>
      <c r="E1772" s="53">
        <f t="shared" ca="1" si="245"/>
        <v>13211060200051.219</v>
      </c>
      <c r="F1772" s="53">
        <f t="shared" ca="1" si="246"/>
        <v>1065539021768.9735</v>
      </c>
      <c r="G1772" s="53">
        <f t="shared" ca="1" si="247"/>
        <v>3217753455810.6216</v>
      </c>
      <c r="H1772" s="53">
        <f t="shared" ca="1" si="248"/>
        <v>1065539021768.9735</v>
      </c>
      <c r="I1772" s="53">
        <f t="shared" ca="1" si="249"/>
        <v>12674005273561.639</v>
      </c>
      <c r="J1772" s="53">
        <f t="shared" ca="1" si="250"/>
        <v>1618578504389.9465</v>
      </c>
      <c r="K1772" s="54">
        <f t="shared" ca="1" si="251"/>
        <v>7.8303308978754531</v>
      </c>
    </row>
    <row r="1773" spans="2:11" ht="15" customHeight="1" x14ac:dyDescent="0.35">
      <c r="B1773" s="5">
        <v>1752</v>
      </c>
      <c r="C1773" s="52">
        <f t="shared" ca="1" si="243"/>
        <v>2.9967887824067057</v>
      </c>
      <c r="D1773" s="53">
        <f t="shared" ca="1" si="244"/>
        <v>5583862364.6436825</v>
      </c>
      <c r="E1773" s="53">
        <f t="shared" ca="1" si="245"/>
        <v>13520669913819.119</v>
      </c>
      <c r="F1773" s="53">
        <f t="shared" ca="1" si="246"/>
        <v>8614465049586.7939</v>
      </c>
      <c r="G1773" s="53">
        <f t="shared" ca="1" si="247"/>
        <v>1555355653925.3921</v>
      </c>
      <c r="H1773" s="53">
        <f t="shared" ca="1" si="248"/>
        <v>13520669913819.119</v>
      </c>
      <c r="I1773" s="53">
        <f t="shared" ca="1" si="249"/>
        <v>14951280553236.338</v>
      </c>
      <c r="J1773" s="53">
        <f t="shared" ca="1" si="250"/>
        <v>1363548207483.5679</v>
      </c>
      <c r="K1773" s="54">
        <f t="shared" ca="1" si="251"/>
        <v>10.964981268120303</v>
      </c>
    </row>
    <row r="1774" spans="2:11" ht="15" customHeight="1" x14ac:dyDescent="0.35">
      <c r="B1774" s="5">
        <v>1753</v>
      </c>
      <c r="C1774" s="52">
        <f t="shared" ca="1" si="243"/>
        <v>2.9029776196457231</v>
      </c>
      <c r="D1774" s="53">
        <f t="shared" ca="1" si="244"/>
        <v>3757285317.3395448</v>
      </c>
      <c r="E1774" s="53">
        <f t="shared" ca="1" si="245"/>
        <v>2391607787461.5488</v>
      </c>
      <c r="F1774" s="53">
        <f t="shared" ca="1" si="246"/>
        <v>18187862786745.387</v>
      </c>
      <c r="G1774" s="53">
        <f t="shared" ca="1" si="247"/>
        <v>2404588447359.6323</v>
      </c>
      <c r="H1774" s="53">
        <f t="shared" ca="1" si="248"/>
        <v>2404588447359.6323</v>
      </c>
      <c r="I1774" s="53">
        <f t="shared" ca="1" si="249"/>
        <v>44702438997325.586</v>
      </c>
      <c r="J1774" s="53">
        <f t="shared" ca="1" si="250"/>
        <v>793383655427.07056</v>
      </c>
      <c r="K1774" s="54">
        <f t="shared" ca="1" si="251"/>
        <v>56.344038210949414</v>
      </c>
    </row>
    <row r="1775" spans="2:11" ht="15" customHeight="1" x14ac:dyDescent="0.35">
      <c r="B1775" s="5">
        <v>1754</v>
      </c>
      <c r="C1775" s="52">
        <f t="shared" ca="1" si="243"/>
        <v>2.3385679297094977</v>
      </c>
      <c r="D1775" s="53">
        <f t="shared" ca="1" si="244"/>
        <v>1294125628.7843628</v>
      </c>
      <c r="E1775" s="53">
        <f t="shared" ca="1" si="245"/>
        <v>1900933593945.8152</v>
      </c>
      <c r="F1775" s="53">
        <f t="shared" ca="1" si="246"/>
        <v>1695163816895.5068</v>
      </c>
      <c r="G1775" s="53">
        <f t="shared" ca="1" si="247"/>
        <v>15315757569258.668</v>
      </c>
      <c r="H1775" s="53">
        <f t="shared" ca="1" si="248"/>
        <v>15315757569258.668</v>
      </c>
      <c r="I1775" s="53">
        <f t="shared" ca="1" si="249"/>
        <v>51593451704271.414</v>
      </c>
      <c r="J1775" s="53">
        <f t="shared" ca="1" si="250"/>
        <v>1205607661146.6538</v>
      </c>
      <c r="K1775" s="54">
        <f t="shared" ca="1" si="251"/>
        <v>42.79456191842781</v>
      </c>
    </row>
    <row r="1776" spans="2:11" ht="15" customHeight="1" x14ac:dyDescent="0.35">
      <c r="B1776" s="5">
        <v>1755</v>
      </c>
      <c r="C1776" s="52">
        <f t="shared" ca="1" si="243"/>
        <v>3.4559078070816169</v>
      </c>
      <c r="D1776" s="53">
        <f t="shared" ca="1" si="244"/>
        <v>11765526523.650953</v>
      </c>
      <c r="E1776" s="53">
        <f t="shared" ca="1" si="245"/>
        <v>13700437427582.479</v>
      </c>
      <c r="F1776" s="53">
        <f t="shared" ca="1" si="246"/>
        <v>5801876811644.7207</v>
      </c>
      <c r="G1776" s="53">
        <f t="shared" ca="1" si="247"/>
        <v>54568052237531.523</v>
      </c>
      <c r="H1776" s="53">
        <f t="shared" ca="1" si="248"/>
        <v>5801876811644.7207</v>
      </c>
      <c r="I1776" s="53">
        <f t="shared" ca="1" si="249"/>
        <v>5283622562110.5469</v>
      </c>
      <c r="J1776" s="53">
        <f t="shared" ca="1" si="250"/>
        <v>1231575567071.512</v>
      </c>
      <c r="K1776" s="54">
        <f t="shared" ca="1" si="251"/>
        <v>4.2901326588299806</v>
      </c>
    </row>
    <row r="1777" spans="2:11" ht="15" customHeight="1" x14ac:dyDescent="0.35">
      <c r="B1777" s="5">
        <v>1756</v>
      </c>
      <c r="C1777" s="52">
        <f t="shared" ca="1" si="243"/>
        <v>2.4043261284817286</v>
      </c>
      <c r="D1777" s="53">
        <f t="shared" ca="1" si="244"/>
        <v>1301284763.6353915</v>
      </c>
      <c r="E1777" s="53">
        <f t="shared" ca="1" si="245"/>
        <v>22717286190220.285</v>
      </c>
      <c r="F1777" s="53">
        <f t="shared" ca="1" si="246"/>
        <v>715771154024.54187</v>
      </c>
      <c r="G1777" s="53">
        <f t="shared" ca="1" si="247"/>
        <v>6762497850960.3916</v>
      </c>
      <c r="H1777" s="53">
        <f t="shared" ca="1" si="248"/>
        <v>715771154024.54187</v>
      </c>
      <c r="I1777" s="53">
        <f t="shared" ca="1" si="249"/>
        <v>21696010710712.012</v>
      </c>
      <c r="J1777" s="53">
        <f t="shared" ca="1" si="250"/>
        <v>917113303010.07886</v>
      </c>
      <c r="K1777" s="54">
        <f t="shared" ca="1" si="251"/>
        <v>23.656848766126313</v>
      </c>
    </row>
    <row r="1778" spans="2:11" ht="15" customHeight="1" x14ac:dyDescent="0.35">
      <c r="B1778" s="5">
        <v>1757</v>
      </c>
      <c r="C1778" s="52">
        <f t="shared" ca="1" si="243"/>
        <v>3.3247032550065381</v>
      </c>
      <c r="D1778" s="53">
        <f t="shared" ca="1" si="244"/>
        <v>8207569795.9278898</v>
      </c>
      <c r="E1778" s="53">
        <f t="shared" ca="1" si="245"/>
        <v>52534018879992.539</v>
      </c>
      <c r="F1778" s="53">
        <f t="shared" ca="1" si="246"/>
        <v>2073944636922.7527</v>
      </c>
      <c r="G1778" s="53">
        <f t="shared" ca="1" si="247"/>
        <v>248273860747691.78</v>
      </c>
      <c r="H1778" s="53">
        <f t="shared" ca="1" si="248"/>
        <v>248273860747691.78</v>
      </c>
      <c r="I1778" s="53">
        <f t="shared" ca="1" si="249"/>
        <v>2289765859332.7822</v>
      </c>
      <c r="J1778" s="53">
        <f t="shared" ca="1" si="250"/>
        <v>1017388348444.4495</v>
      </c>
      <c r="K1778" s="54">
        <f t="shared" ca="1" si="251"/>
        <v>2.2506311015196436</v>
      </c>
    </row>
    <row r="1779" spans="2:11" ht="15" customHeight="1" x14ac:dyDescent="0.35">
      <c r="B1779" s="5">
        <v>1758</v>
      </c>
      <c r="C1779" s="52">
        <f t="shared" ca="1" si="243"/>
        <v>3.0802546229216397</v>
      </c>
      <c r="D1779" s="53">
        <f t="shared" ca="1" si="244"/>
        <v>5168755420.6489954</v>
      </c>
      <c r="E1779" s="53">
        <f t="shared" ca="1" si="245"/>
        <v>6078565549017.8506</v>
      </c>
      <c r="F1779" s="53">
        <f t="shared" ca="1" si="246"/>
        <v>1966856849115.8892</v>
      </c>
      <c r="G1779" s="53">
        <f t="shared" ca="1" si="247"/>
        <v>3702671765492.9648</v>
      </c>
      <c r="H1779" s="53">
        <f t="shared" ca="1" si="248"/>
        <v>3702671765492.9648</v>
      </c>
      <c r="I1779" s="53">
        <f t="shared" ca="1" si="249"/>
        <v>5452923556726.6064</v>
      </c>
      <c r="J1779" s="53">
        <f t="shared" ca="1" si="250"/>
        <v>623016721218.59656</v>
      </c>
      <c r="K1779" s="54">
        <f t="shared" ca="1" si="251"/>
        <v>8.7524513725103539</v>
      </c>
    </row>
    <row r="1780" spans="2:11" ht="15" customHeight="1" x14ac:dyDescent="0.35">
      <c r="B1780" s="5">
        <v>1759</v>
      </c>
      <c r="C1780" s="52">
        <f t="shared" ca="1" si="243"/>
        <v>3.1885345113007744</v>
      </c>
      <c r="D1780" s="53">
        <f t="shared" ca="1" si="244"/>
        <v>7378470262.8475742</v>
      </c>
      <c r="E1780" s="53">
        <f t="shared" ca="1" si="245"/>
        <v>19646428895897.43</v>
      </c>
      <c r="F1780" s="53">
        <f t="shared" ca="1" si="246"/>
        <v>10110636735751.375</v>
      </c>
      <c r="G1780" s="53">
        <f t="shared" ca="1" si="247"/>
        <v>1149342874176.6326</v>
      </c>
      <c r="H1780" s="53">
        <f t="shared" ca="1" si="248"/>
        <v>1149342874176.6326</v>
      </c>
      <c r="I1780" s="53">
        <f t="shared" ca="1" si="249"/>
        <v>3117272197354.417</v>
      </c>
      <c r="J1780" s="53">
        <f t="shared" ca="1" si="250"/>
        <v>972782112800.41064</v>
      </c>
      <c r="K1780" s="54">
        <f t="shared" ca="1" si="251"/>
        <v>3.2044916907245802</v>
      </c>
    </row>
    <row r="1781" spans="2:11" ht="15" customHeight="1" x14ac:dyDescent="0.35">
      <c r="B1781" s="5">
        <v>1760</v>
      </c>
      <c r="C1781" s="52">
        <f t="shared" ca="1" si="243"/>
        <v>2.5446344094284554</v>
      </c>
      <c r="D1781" s="53">
        <f t="shared" ca="1" si="244"/>
        <v>2305125186.1747479</v>
      </c>
      <c r="E1781" s="53">
        <f t="shared" ca="1" si="245"/>
        <v>1290048953081.6057</v>
      </c>
      <c r="F1781" s="53">
        <f t="shared" ca="1" si="246"/>
        <v>2696149393906.8315</v>
      </c>
      <c r="G1781" s="53">
        <f t="shared" ca="1" si="247"/>
        <v>32439935150659.742</v>
      </c>
      <c r="H1781" s="53">
        <f t="shared" ca="1" si="248"/>
        <v>32439935150659.742</v>
      </c>
      <c r="I1781" s="53">
        <f t="shared" ca="1" si="249"/>
        <v>15002155186542.414</v>
      </c>
      <c r="J1781" s="53">
        <f t="shared" ca="1" si="250"/>
        <v>687103446348.01709</v>
      </c>
      <c r="K1781" s="54">
        <f t="shared" ca="1" si="251"/>
        <v>21.833910550557537</v>
      </c>
    </row>
    <row r="1782" spans="2:11" ht="15" customHeight="1" x14ac:dyDescent="0.35">
      <c r="B1782" s="5">
        <v>1761</v>
      </c>
      <c r="C1782" s="52">
        <f t="shared" ca="1" si="243"/>
        <v>2.8136651988841765</v>
      </c>
      <c r="D1782" s="53">
        <f t="shared" ca="1" si="244"/>
        <v>3730058581.6794157</v>
      </c>
      <c r="E1782" s="53">
        <f t="shared" ca="1" si="245"/>
        <v>4665780882948.043</v>
      </c>
      <c r="F1782" s="53">
        <f t="shared" ca="1" si="246"/>
        <v>2153350439264.376</v>
      </c>
      <c r="G1782" s="53">
        <f t="shared" ca="1" si="247"/>
        <v>2049438569069.1245</v>
      </c>
      <c r="H1782" s="53">
        <f t="shared" ca="1" si="248"/>
        <v>4665780882948.043</v>
      </c>
      <c r="I1782" s="53">
        <f t="shared" ca="1" si="249"/>
        <v>4023208878976.1162</v>
      </c>
      <c r="J1782" s="53">
        <f t="shared" ca="1" si="250"/>
        <v>1424382721531.7869</v>
      </c>
      <c r="K1782" s="54">
        <f t="shared" ca="1" si="251"/>
        <v>2.8245279995039123</v>
      </c>
    </row>
    <row r="1783" spans="2:11" ht="15" customHeight="1" x14ac:dyDescent="0.35">
      <c r="B1783" s="5">
        <v>1762</v>
      </c>
      <c r="C1783" s="52">
        <f t="shared" ca="1" si="243"/>
        <v>3.1238781159089588</v>
      </c>
      <c r="D1783" s="53">
        <f t="shared" ca="1" si="244"/>
        <v>5478811550.4989176</v>
      </c>
      <c r="E1783" s="53">
        <f t="shared" ca="1" si="245"/>
        <v>29635728254630.809</v>
      </c>
      <c r="F1783" s="53">
        <f t="shared" ca="1" si="246"/>
        <v>5520594702626.4014</v>
      </c>
      <c r="G1783" s="53">
        <f t="shared" ca="1" si="247"/>
        <v>2664637201910.9688</v>
      </c>
      <c r="H1783" s="53">
        <f t="shared" ca="1" si="248"/>
        <v>2664637201910.9688</v>
      </c>
      <c r="I1783" s="53">
        <f t="shared" ca="1" si="249"/>
        <v>4571348935431.7109</v>
      </c>
      <c r="J1783" s="53">
        <f t="shared" ca="1" si="250"/>
        <v>1041173904512.5212</v>
      </c>
      <c r="K1783" s="54">
        <f t="shared" ca="1" si="251"/>
        <v>4.390571945396597</v>
      </c>
    </row>
    <row r="1784" spans="2:11" ht="15" customHeight="1" x14ac:dyDescent="0.35">
      <c r="B1784" s="5">
        <v>1763</v>
      </c>
      <c r="C1784" s="52">
        <f t="shared" ca="1" si="243"/>
        <v>2.2994177943805267</v>
      </c>
      <c r="D1784" s="53">
        <f t="shared" ca="1" si="244"/>
        <v>1087488668.791935</v>
      </c>
      <c r="E1784" s="53">
        <f t="shared" ca="1" si="245"/>
        <v>8113418272969.7705</v>
      </c>
      <c r="F1784" s="53">
        <f t="shared" ca="1" si="246"/>
        <v>2379336266528.5903</v>
      </c>
      <c r="G1784" s="53">
        <f t="shared" ca="1" si="247"/>
        <v>2348230170094.1602</v>
      </c>
      <c r="H1784" s="53">
        <f t="shared" ca="1" si="248"/>
        <v>8113418272969.7705</v>
      </c>
      <c r="I1784" s="53">
        <f t="shared" ca="1" si="249"/>
        <v>60667289906379.438</v>
      </c>
      <c r="J1784" s="53">
        <f t="shared" ca="1" si="250"/>
        <v>737792422859.47839</v>
      </c>
      <c r="K1784" s="54">
        <f t="shared" ca="1" si="251"/>
        <v>82.228128165439657</v>
      </c>
    </row>
    <row r="1785" spans="2:11" ht="15" customHeight="1" x14ac:dyDescent="0.35">
      <c r="B1785" s="5">
        <v>1764</v>
      </c>
      <c r="C1785" s="52">
        <f t="shared" ca="1" si="243"/>
        <v>3.427310461486075</v>
      </c>
      <c r="D1785" s="53">
        <f t="shared" ca="1" si="244"/>
        <v>8524290832.2760315</v>
      </c>
      <c r="E1785" s="53">
        <f t="shared" ca="1" si="245"/>
        <v>22354684403341.172</v>
      </c>
      <c r="F1785" s="53">
        <f t="shared" ca="1" si="246"/>
        <v>848535133847.98401</v>
      </c>
      <c r="G1785" s="53">
        <f t="shared" ca="1" si="247"/>
        <v>29750405266111.406</v>
      </c>
      <c r="H1785" s="53">
        <f t="shared" ca="1" si="248"/>
        <v>848535133847.98401</v>
      </c>
      <c r="I1785" s="53">
        <f t="shared" ca="1" si="249"/>
        <v>200573602246294.31</v>
      </c>
      <c r="J1785" s="53">
        <f t="shared" ca="1" si="250"/>
        <v>1492730405651.3484</v>
      </c>
      <c r="K1785" s="54">
        <f t="shared" ca="1" si="251"/>
        <v>134.36693021522171</v>
      </c>
    </row>
    <row r="1786" spans="2:11" ht="15" customHeight="1" x14ac:dyDescent="0.35">
      <c r="B1786" s="5">
        <v>1765</v>
      </c>
      <c r="C1786" s="52">
        <f t="shared" ca="1" si="243"/>
        <v>2.9983990703707826</v>
      </c>
      <c r="D1786" s="53">
        <f t="shared" ca="1" si="244"/>
        <v>4804125956.4255037</v>
      </c>
      <c r="E1786" s="53">
        <f t="shared" ca="1" si="245"/>
        <v>8732117992310.5059</v>
      </c>
      <c r="F1786" s="53">
        <f t="shared" ca="1" si="246"/>
        <v>1543796918340.9001</v>
      </c>
      <c r="G1786" s="53">
        <f t="shared" ca="1" si="247"/>
        <v>28305519642484.707</v>
      </c>
      <c r="H1786" s="53">
        <f t="shared" ca="1" si="248"/>
        <v>1543796918340.9001</v>
      </c>
      <c r="I1786" s="53">
        <f t="shared" ca="1" si="249"/>
        <v>4770541761236.9023</v>
      </c>
      <c r="J1786" s="53">
        <f t="shared" ca="1" si="250"/>
        <v>658825447586.9491</v>
      </c>
      <c r="K1786" s="54">
        <f t="shared" ca="1" si="251"/>
        <v>7.2409798053638568</v>
      </c>
    </row>
    <row r="1787" spans="2:11" ht="15" customHeight="1" x14ac:dyDescent="0.35">
      <c r="B1787" s="5">
        <v>1766</v>
      </c>
      <c r="C1787" s="52">
        <f t="shared" ca="1" si="243"/>
        <v>3.3614009691089834</v>
      </c>
      <c r="D1787" s="53">
        <f t="shared" ca="1" si="244"/>
        <v>7556171489.9433393</v>
      </c>
      <c r="E1787" s="53">
        <f t="shared" ca="1" si="245"/>
        <v>11782805980089.193</v>
      </c>
      <c r="F1787" s="53">
        <f t="shared" ca="1" si="246"/>
        <v>3297383778387.1353</v>
      </c>
      <c r="G1787" s="53">
        <f t="shared" ca="1" si="247"/>
        <v>2987152482977.833</v>
      </c>
      <c r="H1787" s="53">
        <f t="shared" ca="1" si="248"/>
        <v>11782805980089.193</v>
      </c>
      <c r="I1787" s="53">
        <f t="shared" ca="1" si="249"/>
        <v>2843320545693.3252</v>
      </c>
      <c r="J1787" s="53">
        <f t="shared" ca="1" si="250"/>
        <v>1305005693557.4954</v>
      </c>
      <c r="K1787" s="54">
        <f t="shared" ca="1" si="251"/>
        <v>2.1787801844314756</v>
      </c>
    </row>
    <row r="1788" spans="2:11" ht="15" customHeight="1" x14ac:dyDescent="0.35">
      <c r="B1788" s="5">
        <v>1767</v>
      </c>
      <c r="C1788" s="52">
        <f t="shared" ca="1" si="243"/>
        <v>3.2803746213249014</v>
      </c>
      <c r="D1788" s="53">
        <f t="shared" ca="1" si="244"/>
        <v>8557669110.7959127</v>
      </c>
      <c r="E1788" s="53">
        <f t="shared" ca="1" si="245"/>
        <v>26063972731338.773</v>
      </c>
      <c r="F1788" s="53">
        <f t="shared" ca="1" si="246"/>
        <v>1512699181816.1055</v>
      </c>
      <c r="G1788" s="53">
        <f t="shared" ca="1" si="247"/>
        <v>92649310354284.313</v>
      </c>
      <c r="H1788" s="53">
        <f t="shared" ca="1" si="248"/>
        <v>1512699181816.1055</v>
      </c>
      <c r="I1788" s="53">
        <f t="shared" ca="1" si="249"/>
        <v>17596485785582.527</v>
      </c>
      <c r="J1788" s="53">
        <f t="shared" ca="1" si="250"/>
        <v>1605698040568.2017</v>
      </c>
      <c r="K1788" s="54">
        <f t="shared" ca="1" si="251"/>
        <v>10.958776395688776</v>
      </c>
    </row>
    <row r="1789" spans="2:11" ht="15" customHeight="1" x14ac:dyDescent="0.35">
      <c r="B1789" s="5">
        <v>1768</v>
      </c>
      <c r="C1789" s="52">
        <f t="shared" ca="1" si="243"/>
        <v>3.5536549704454261</v>
      </c>
      <c r="D1789" s="53">
        <f t="shared" ca="1" si="244"/>
        <v>10353795839.689104</v>
      </c>
      <c r="E1789" s="53">
        <f t="shared" ca="1" si="245"/>
        <v>89029813876868.688</v>
      </c>
      <c r="F1789" s="53">
        <f t="shared" ca="1" si="246"/>
        <v>2305590867972.1943</v>
      </c>
      <c r="G1789" s="53">
        <f t="shared" ca="1" si="247"/>
        <v>4021392512492.8955</v>
      </c>
      <c r="H1789" s="53">
        <f t="shared" ca="1" si="248"/>
        <v>89029813876868.688</v>
      </c>
      <c r="I1789" s="53">
        <f t="shared" ca="1" si="249"/>
        <v>45701803085239.172</v>
      </c>
      <c r="J1789" s="53">
        <f t="shared" ca="1" si="250"/>
        <v>1042201141316.4554</v>
      </c>
      <c r="K1789" s="54">
        <f t="shared" ca="1" si="251"/>
        <v>43.85123108530756</v>
      </c>
    </row>
    <row r="1790" spans="2:11" ht="15" customHeight="1" x14ac:dyDescent="0.35">
      <c r="B1790" s="5">
        <v>1769</v>
      </c>
      <c r="C1790" s="52">
        <f t="shared" ca="1" si="243"/>
        <v>3.3010762449931801</v>
      </c>
      <c r="D1790" s="53">
        <f t="shared" ca="1" si="244"/>
        <v>7253953139.5116568</v>
      </c>
      <c r="E1790" s="53">
        <f t="shared" ca="1" si="245"/>
        <v>19015539547250.781</v>
      </c>
      <c r="F1790" s="53">
        <f t="shared" ca="1" si="246"/>
        <v>2176108939586.1079</v>
      </c>
      <c r="G1790" s="53">
        <f t="shared" ca="1" si="247"/>
        <v>11933821326855.203</v>
      </c>
      <c r="H1790" s="53">
        <f t="shared" ca="1" si="248"/>
        <v>19015539547250.781</v>
      </c>
      <c r="I1790" s="53">
        <f t="shared" ca="1" si="249"/>
        <v>11365116755654.57</v>
      </c>
      <c r="J1790" s="53">
        <f t="shared" ca="1" si="250"/>
        <v>549146635173.99731</v>
      </c>
      <c r="K1790" s="54">
        <f t="shared" ca="1" si="251"/>
        <v>20.695959927084921</v>
      </c>
    </row>
    <row r="1791" spans="2:11" ht="15" customHeight="1" x14ac:dyDescent="0.35">
      <c r="B1791" s="5">
        <v>1770</v>
      </c>
      <c r="C1791" s="52">
        <f t="shared" ca="1" si="243"/>
        <v>1.8614972307803972</v>
      </c>
      <c r="D1791" s="53">
        <f t="shared" ca="1" si="244"/>
        <v>447746644.86404657</v>
      </c>
      <c r="E1791" s="53">
        <f t="shared" ca="1" si="245"/>
        <v>1094518776897.7371</v>
      </c>
      <c r="F1791" s="53">
        <f t="shared" ca="1" si="246"/>
        <v>2378546986309.2007</v>
      </c>
      <c r="G1791" s="53">
        <f t="shared" ca="1" si="247"/>
        <v>19802334055149.07</v>
      </c>
      <c r="H1791" s="53">
        <f t="shared" ca="1" si="248"/>
        <v>19802334055149.07</v>
      </c>
      <c r="I1791" s="53">
        <f t="shared" ca="1" si="249"/>
        <v>47113245321402.18</v>
      </c>
      <c r="J1791" s="53">
        <f t="shared" ca="1" si="250"/>
        <v>776976014199.70605</v>
      </c>
      <c r="K1791" s="54">
        <f t="shared" ca="1" si="251"/>
        <v>60.636679202934403</v>
      </c>
    </row>
    <row r="1792" spans="2:11" ht="15" customHeight="1" x14ac:dyDescent="0.35">
      <c r="B1792" s="5">
        <v>1771</v>
      </c>
      <c r="C1792" s="52">
        <f t="shared" ca="1" si="243"/>
        <v>2.527752673834494</v>
      </c>
      <c r="D1792" s="53">
        <f t="shared" ca="1" si="244"/>
        <v>2178861659.765111</v>
      </c>
      <c r="E1792" s="53">
        <f t="shared" ca="1" si="245"/>
        <v>3722721098936.7788</v>
      </c>
      <c r="F1792" s="53">
        <f t="shared" ca="1" si="246"/>
        <v>8649084787839.8184</v>
      </c>
      <c r="G1792" s="53">
        <f t="shared" ca="1" si="247"/>
        <v>2149692050321.5435</v>
      </c>
      <c r="H1792" s="53">
        <f t="shared" ca="1" si="248"/>
        <v>8649084787839.8184</v>
      </c>
      <c r="I1792" s="53">
        <f t="shared" ca="1" si="249"/>
        <v>1496949351350.4004</v>
      </c>
      <c r="J1792" s="53">
        <f t="shared" ca="1" si="250"/>
        <v>1682154491066.0396</v>
      </c>
      <c r="K1792" s="54">
        <f t="shared" ca="1" si="251"/>
        <v>0.88990004146511636</v>
      </c>
    </row>
    <row r="1793" spans="2:11" ht="15" customHeight="1" x14ac:dyDescent="0.35">
      <c r="B1793" s="5">
        <v>1772</v>
      </c>
      <c r="C1793" s="52">
        <f t="shared" ca="1" si="243"/>
        <v>3.3113838056040743</v>
      </c>
      <c r="D1793" s="53">
        <f t="shared" ca="1" si="244"/>
        <v>6865414722.7407246</v>
      </c>
      <c r="E1793" s="53">
        <f t="shared" ca="1" si="245"/>
        <v>7611823903283.4473</v>
      </c>
      <c r="F1793" s="53">
        <f t="shared" ca="1" si="246"/>
        <v>13141762012691.225</v>
      </c>
      <c r="G1793" s="53">
        <f t="shared" ca="1" si="247"/>
        <v>835310811559.61816</v>
      </c>
      <c r="H1793" s="53">
        <f t="shared" ca="1" si="248"/>
        <v>7611823903283.4473</v>
      </c>
      <c r="I1793" s="53">
        <f t="shared" ca="1" si="249"/>
        <v>7389557470229.085</v>
      </c>
      <c r="J1793" s="53">
        <f t="shared" ca="1" si="250"/>
        <v>703103729312.72461</v>
      </c>
      <c r="K1793" s="54">
        <f t="shared" ca="1" si="251"/>
        <v>10.509910788628995</v>
      </c>
    </row>
    <row r="1794" spans="2:11" ht="15" customHeight="1" x14ac:dyDescent="0.35">
      <c r="B1794" s="5">
        <v>1773</v>
      </c>
      <c r="C1794" s="52">
        <f t="shared" ca="1" si="243"/>
        <v>2.3340318338633974</v>
      </c>
      <c r="D1794" s="53">
        <f t="shared" ca="1" si="244"/>
        <v>1120614718.5257995</v>
      </c>
      <c r="E1794" s="53">
        <f t="shared" ca="1" si="245"/>
        <v>1316928188276.4226</v>
      </c>
      <c r="F1794" s="53">
        <f t="shared" ca="1" si="246"/>
        <v>3441902752488.5464</v>
      </c>
      <c r="G1794" s="53">
        <f t="shared" ca="1" si="247"/>
        <v>1241455215913.7585</v>
      </c>
      <c r="H1794" s="53">
        <f t="shared" ca="1" si="248"/>
        <v>1316928188276.4226</v>
      </c>
      <c r="I1794" s="53">
        <f t="shared" ca="1" si="249"/>
        <v>4669318626441.625</v>
      </c>
      <c r="J1794" s="53">
        <f t="shared" ca="1" si="250"/>
        <v>1291480325397.2966</v>
      </c>
      <c r="K1794" s="54">
        <f t="shared" ca="1" si="251"/>
        <v>3.6154779400183337</v>
      </c>
    </row>
    <row r="1795" spans="2:11" ht="15" customHeight="1" x14ac:dyDescent="0.35">
      <c r="B1795" s="5">
        <v>1774</v>
      </c>
      <c r="C1795" s="52">
        <f t="shared" ca="1" si="243"/>
        <v>3.162067393320565</v>
      </c>
      <c r="D1795" s="53">
        <f t="shared" ca="1" si="244"/>
        <v>7424440011.4096718</v>
      </c>
      <c r="E1795" s="53">
        <f t="shared" ca="1" si="245"/>
        <v>21986572531058.684</v>
      </c>
      <c r="F1795" s="53">
        <f t="shared" ca="1" si="246"/>
        <v>742370312344.20264</v>
      </c>
      <c r="G1795" s="53">
        <f t="shared" ca="1" si="247"/>
        <v>7009233608430.8643</v>
      </c>
      <c r="H1795" s="53">
        <f t="shared" ca="1" si="248"/>
        <v>21986572531058.684</v>
      </c>
      <c r="I1795" s="53">
        <f t="shared" ca="1" si="249"/>
        <v>5289968562647.375</v>
      </c>
      <c r="J1795" s="53">
        <f t="shared" ca="1" si="250"/>
        <v>1499418492787.95</v>
      </c>
      <c r="K1795" s="54">
        <f t="shared" ca="1" si="251"/>
        <v>3.5280134185963319</v>
      </c>
    </row>
    <row r="1796" spans="2:11" ht="15" customHeight="1" x14ac:dyDescent="0.35">
      <c r="B1796" s="5">
        <v>1775</v>
      </c>
      <c r="C1796" s="52">
        <f t="shared" ca="1" si="243"/>
        <v>2.5577979825023225</v>
      </c>
      <c r="D1796" s="53">
        <f t="shared" ca="1" si="244"/>
        <v>1990586708.6223323</v>
      </c>
      <c r="E1796" s="53">
        <f t="shared" ca="1" si="245"/>
        <v>2363046166828.1338</v>
      </c>
      <c r="F1796" s="53">
        <f t="shared" ca="1" si="246"/>
        <v>1633837339169.5596</v>
      </c>
      <c r="G1796" s="53">
        <f t="shared" ca="1" si="247"/>
        <v>3861059180256.9644</v>
      </c>
      <c r="H1796" s="53">
        <f t="shared" ca="1" si="248"/>
        <v>3861059180256.9644</v>
      </c>
      <c r="I1796" s="53">
        <f t="shared" ca="1" si="249"/>
        <v>13492161435060.16</v>
      </c>
      <c r="J1796" s="53">
        <f t="shared" ca="1" si="250"/>
        <v>590910153030.25305</v>
      </c>
      <c r="K1796" s="54">
        <f t="shared" ca="1" si="251"/>
        <v>22.832847541831622</v>
      </c>
    </row>
    <row r="1797" spans="2:11" ht="15" customHeight="1" x14ac:dyDescent="0.35">
      <c r="B1797" s="5">
        <v>1776</v>
      </c>
      <c r="C1797" s="52">
        <f t="shared" ca="1" si="243"/>
        <v>1.9614970869799702</v>
      </c>
      <c r="D1797" s="53">
        <f t="shared" ca="1" si="244"/>
        <v>514090111.49017245</v>
      </c>
      <c r="E1797" s="53">
        <f t="shared" ca="1" si="245"/>
        <v>6814287489532.3828</v>
      </c>
      <c r="F1797" s="53">
        <f t="shared" ca="1" si="246"/>
        <v>1640597421867.7683</v>
      </c>
      <c r="G1797" s="53">
        <f t="shared" ca="1" si="247"/>
        <v>1879462094327.9678</v>
      </c>
      <c r="H1797" s="53">
        <f t="shared" ca="1" si="248"/>
        <v>1640597421867.7683</v>
      </c>
      <c r="I1797" s="53">
        <f t="shared" ca="1" si="249"/>
        <v>38043314668178.82</v>
      </c>
      <c r="J1797" s="53">
        <f t="shared" ca="1" si="250"/>
        <v>1312069529954.9976</v>
      </c>
      <c r="K1797" s="54">
        <f t="shared" ca="1" si="251"/>
        <v>28.994892267244147</v>
      </c>
    </row>
    <row r="1798" spans="2:11" ht="15" customHeight="1" x14ac:dyDescent="0.35">
      <c r="B1798" s="5">
        <v>1777</v>
      </c>
      <c r="C1798" s="52">
        <f t="shared" ca="1" si="243"/>
        <v>2.8248202699005209</v>
      </c>
      <c r="D1798" s="53">
        <f t="shared" ca="1" si="244"/>
        <v>3185310251.0216155</v>
      </c>
      <c r="E1798" s="53">
        <f t="shared" ca="1" si="245"/>
        <v>29528725452903.828</v>
      </c>
      <c r="F1798" s="53">
        <f t="shared" ca="1" si="246"/>
        <v>3016977088326.3208</v>
      </c>
      <c r="G1798" s="53">
        <f t="shared" ca="1" si="247"/>
        <v>3762856371595.4453</v>
      </c>
      <c r="H1798" s="53">
        <f t="shared" ca="1" si="248"/>
        <v>3762856371595.4453</v>
      </c>
      <c r="I1798" s="53">
        <f t="shared" ca="1" si="249"/>
        <v>7135820226590.2412</v>
      </c>
      <c r="J1798" s="53">
        <f t="shared" ca="1" si="250"/>
        <v>1147904883985.3362</v>
      </c>
      <c r="K1798" s="54">
        <f t="shared" ca="1" si="251"/>
        <v>6.2163863279471832</v>
      </c>
    </row>
    <row r="1799" spans="2:11" ht="15" customHeight="1" x14ac:dyDescent="0.35">
      <c r="B1799" s="5">
        <v>1778</v>
      </c>
      <c r="C1799" s="52">
        <f t="shared" ca="1" si="243"/>
        <v>2.5826068482216233</v>
      </c>
      <c r="D1799" s="53">
        <f t="shared" ca="1" si="244"/>
        <v>1867926852.6755381</v>
      </c>
      <c r="E1799" s="53">
        <f t="shared" ca="1" si="245"/>
        <v>6563290958966.6152</v>
      </c>
      <c r="F1799" s="53">
        <f t="shared" ca="1" si="246"/>
        <v>3399114558133.4497</v>
      </c>
      <c r="G1799" s="53">
        <f t="shared" ca="1" si="247"/>
        <v>6933972146264.4229</v>
      </c>
      <c r="H1799" s="53">
        <f t="shared" ca="1" si="248"/>
        <v>3399114558133.4497</v>
      </c>
      <c r="I1799" s="53">
        <f t="shared" ca="1" si="249"/>
        <v>45958385508660.375</v>
      </c>
      <c r="J1799" s="53">
        <f t="shared" ca="1" si="250"/>
        <v>1088320016907.4741</v>
      </c>
      <c r="K1799" s="54">
        <f t="shared" ca="1" si="251"/>
        <v>42.22874227679268</v>
      </c>
    </row>
    <row r="1800" spans="2:11" ht="15" customHeight="1" x14ac:dyDescent="0.35">
      <c r="B1800" s="5">
        <v>1779</v>
      </c>
      <c r="C1800" s="52">
        <f t="shared" ca="1" si="243"/>
        <v>2.9752951936270557</v>
      </c>
      <c r="D1800" s="53">
        <f t="shared" ca="1" si="244"/>
        <v>4432451823.1344891</v>
      </c>
      <c r="E1800" s="53">
        <f t="shared" ca="1" si="245"/>
        <v>6692593528029.6611</v>
      </c>
      <c r="F1800" s="53">
        <f t="shared" ca="1" si="246"/>
        <v>2263586030797.791</v>
      </c>
      <c r="G1800" s="53">
        <f t="shared" ca="1" si="247"/>
        <v>16319105343221.887</v>
      </c>
      <c r="H1800" s="53">
        <f t="shared" ca="1" si="248"/>
        <v>16319105343221.887</v>
      </c>
      <c r="I1800" s="53">
        <f t="shared" ca="1" si="249"/>
        <v>98442962861085.094</v>
      </c>
      <c r="J1800" s="53">
        <f t="shared" ca="1" si="250"/>
        <v>1808625238985.0139</v>
      </c>
      <c r="K1800" s="54">
        <f t="shared" ca="1" si="251"/>
        <v>54.429718627796269</v>
      </c>
    </row>
    <row r="1801" spans="2:11" ht="15" customHeight="1" x14ac:dyDescent="0.35">
      <c r="B1801" s="5">
        <v>1780</v>
      </c>
      <c r="C1801" s="52">
        <f t="shared" ca="1" si="243"/>
        <v>2.6331637705250044</v>
      </c>
      <c r="D1801" s="53">
        <f t="shared" ca="1" si="244"/>
        <v>2690932338.8645954</v>
      </c>
      <c r="E1801" s="53">
        <f t="shared" ca="1" si="245"/>
        <v>2184592113273.9456</v>
      </c>
      <c r="F1801" s="53">
        <f t="shared" ca="1" si="246"/>
        <v>610100050302.94275</v>
      </c>
      <c r="G1801" s="53">
        <f t="shared" ca="1" si="247"/>
        <v>11062526667329.221</v>
      </c>
      <c r="H1801" s="53">
        <f t="shared" ca="1" si="248"/>
        <v>610100050302.94275</v>
      </c>
      <c r="I1801" s="53">
        <f t="shared" ca="1" si="249"/>
        <v>14697616730233.072</v>
      </c>
      <c r="J1801" s="53">
        <f t="shared" ca="1" si="250"/>
        <v>1536790131142.2349</v>
      </c>
      <c r="K1801" s="54">
        <f t="shared" ca="1" si="251"/>
        <v>9.5638411728405099</v>
      </c>
    </row>
    <row r="1802" spans="2:11" ht="15" customHeight="1" x14ac:dyDescent="0.35">
      <c r="B1802" s="5">
        <v>1781</v>
      </c>
      <c r="C1802" s="52">
        <f t="shared" ca="1" si="243"/>
        <v>2.8749085777729864</v>
      </c>
      <c r="D1802" s="53">
        <f t="shared" ca="1" si="244"/>
        <v>3684335501.0328145</v>
      </c>
      <c r="E1802" s="53">
        <f t="shared" ca="1" si="245"/>
        <v>20291035195798.945</v>
      </c>
      <c r="F1802" s="53">
        <f t="shared" ca="1" si="246"/>
        <v>376602027470.76978</v>
      </c>
      <c r="G1802" s="53">
        <f t="shared" ca="1" si="247"/>
        <v>18612835709773.598</v>
      </c>
      <c r="H1802" s="53">
        <f t="shared" ca="1" si="248"/>
        <v>376602027470.76978</v>
      </c>
      <c r="I1802" s="53">
        <f t="shared" ca="1" si="249"/>
        <v>15141388168566.07</v>
      </c>
      <c r="J1802" s="53">
        <f t="shared" ca="1" si="250"/>
        <v>614158730886.01062</v>
      </c>
      <c r="K1802" s="54">
        <f t="shared" ca="1" si="251"/>
        <v>24.653867814795177</v>
      </c>
    </row>
    <row r="1803" spans="2:11" ht="15" customHeight="1" x14ac:dyDescent="0.35">
      <c r="B1803" s="5">
        <v>1782</v>
      </c>
      <c r="C1803" s="52">
        <f t="shared" ca="1" si="243"/>
        <v>3.1096085121332386</v>
      </c>
      <c r="D1803" s="53">
        <f t="shared" ca="1" si="244"/>
        <v>6300062462.0518732</v>
      </c>
      <c r="E1803" s="53">
        <f t="shared" ca="1" si="245"/>
        <v>27260758176210.352</v>
      </c>
      <c r="F1803" s="53">
        <f t="shared" ca="1" si="246"/>
        <v>3730012522623.0854</v>
      </c>
      <c r="G1803" s="53">
        <f t="shared" ca="1" si="247"/>
        <v>5135368601966.4307</v>
      </c>
      <c r="H1803" s="53">
        <f t="shared" ca="1" si="248"/>
        <v>5135368601966.4307</v>
      </c>
      <c r="I1803" s="53">
        <f t="shared" ca="1" si="249"/>
        <v>6294309333393.8457</v>
      </c>
      <c r="J1803" s="53">
        <f t="shared" ca="1" si="250"/>
        <v>1505840209050.3733</v>
      </c>
      <c r="K1803" s="54">
        <f t="shared" ca="1" si="251"/>
        <v>4.1799317720193034</v>
      </c>
    </row>
    <row r="1804" spans="2:11" ht="15" customHeight="1" x14ac:dyDescent="0.35">
      <c r="B1804" s="5">
        <v>1783</v>
      </c>
      <c r="C1804" s="52">
        <f t="shared" ca="1" si="243"/>
        <v>3.3173149856938058</v>
      </c>
      <c r="D1804" s="53">
        <f t="shared" ca="1" si="244"/>
        <v>9267997444.9706841</v>
      </c>
      <c r="E1804" s="53">
        <f t="shared" ca="1" si="245"/>
        <v>66915467758386.203</v>
      </c>
      <c r="F1804" s="53">
        <f t="shared" ca="1" si="246"/>
        <v>676569295723.43774</v>
      </c>
      <c r="G1804" s="53">
        <f t="shared" ca="1" si="247"/>
        <v>51245741801139.711</v>
      </c>
      <c r="H1804" s="53">
        <f t="shared" ca="1" si="248"/>
        <v>66915467758386.203</v>
      </c>
      <c r="I1804" s="53">
        <f t="shared" ca="1" si="249"/>
        <v>24856356488700.184</v>
      </c>
      <c r="J1804" s="53">
        <f t="shared" ca="1" si="250"/>
        <v>1311916197159.1079</v>
      </c>
      <c r="K1804" s="54">
        <f t="shared" ca="1" si="251"/>
        <v>18.946603862750869</v>
      </c>
    </row>
    <row r="1805" spans="2:11" ht="15" customHeight="1" x14ac:dyDescent="0.35">
      <c r="B1805" s="5">
        <v>1784</v>
      </c>
      <c r="C1805" s="52">
        <f t="shared" ca="1" si="243"/>
        <v>3.2801163038621293</v>
      </c>
      <c r="D1805" s="53">
        <f t="shared" ca="1" si="244"/>
        <v>6106243281.2254267</v>
      </c>
      <c r="E1805" s="53">
        <f t="shared" ca="1" si="245"/>
        <v>27256929418656.625</v>
      </c>
      <c r="F1805" s="53">
        <f t="shared" ca="1" si="246"/>
        <v>1220743374707.9292</v>
      </c>
      <c r="G1805" s="53">
        <f t="shared" ca="1" si="247"/>
        <v>14840557156116.66</v>
      </c>
      <c r="H1805" s="53">
        <f t="shared" ca="1" si="248"/>
        <v>27256929418656.625</v>
      </c>
      <c r="I1805" s="53">
        <f t="shared" ca="1" si="249"/>
        <v>4299703684233.9961</v>
      </c>
      <c r="J1805" s="53">
        <f t="shared" ca="1" si="250"/>
        <v>1531649266636.1079</v>
      </c>
      <c r="K1805" s="54">
        <f t="shared" ca="1" si="251"/>
        <v>2.8072377781874573</v>
      </c>
    </row>
    <row r="1806" spans="2:11" ht="15" customHeight="1" x14ac:dyDescent="0.35">
      <c r="B1806" s="5">
        <v>1785</v>
      </c>
      <c r="C1806" s="52">
        <f t="shared" ca="1" si="243"/>
        <v>3.0506070250879733</v>
      </c>
      <c r="D1806" s="53">
        <f t="shared" ca="1" si="244"/>
        <v>5478343460.5873547</v>
      </c>
      <c r="E1806" s="53">
        <f t="shared" ca="1" si="245"/>
        <v>15397874575116.713</v>
      </c>
      <c r="F1806" s="53">
        <f t="shared" ca="1" si="246"/>
        <v>10496666025911.154</v>
      </c>
      <c r="G1806" s="53">
        <f t="shared" ca="1" si="247"/>
        <v>6940180374363.1758</v>
      </c>
      <c r="H1806" s="53">
        <f t="shared" ca="1" si="248"/>
        <v>10496666025911.154</v>
      </c>
      <c r="I1806" s="53">
        <f t="shared" ca="1" si="249"/>
        <v>2684605123011.7729</v>
      </c>
      <c r="J1806" s="53">
        <f t="shared" ca="1" si="250"/>
        <v>1044782982315.951</v>
      </c>
      <c r="K1806" s="54">
        <f t="shared" ca="1" si="251"/>
        <v>2.5695337390171291</v>
      </c>
    </row>
    <row r="1807" spans="2:11" ht="15" customHeight="1" x14ac:dyDescent="0.35">
      <c r="B1807" s="5">
        <v>1786</v>
      </c>
      <c r="C1807" s="52">
        <f t="shared" ca="1" si="243"/>
        <v>2.1928929531420414</v>
      </c>
      <c r="D1807" s="53">
        <f t="shared" ca="1" si="244"/>
        <v>1092110575.5330005</v>
      </c>
      <c r="E1807" s="53">
        <f t="shared" ca="1" si="245"/>
        <v>3325202680344.5444</v>
      </c>
      <c r="F1807" s="53">
        <f t="shared" ca="1" si="246"/>
        <v>17730705445999.477</v>
      </c>
      <c r="G1807" s="53">
        <f t="shared" ca="1" si="247"/>
        <v>11302500378729.086</v>
      </c>
      <c r="H1807" s="53">
        <f t="shared" ca="1" si="248"/>
        <v>3325202680344.5444</v>
      </c>
      <c r="I1807" s="53">
        <f t="shared" ca="1" si="249"/>
        <v>53338226997840.234</v>
      </c>
      <c r="J1807" s="53">
        <f t="shared" ca="1" si="250"/>
        <v>1105338046947.2319</v>
      </c>
      <c r="K1807" s="54">
        <f t="shared" ca="1" si="251"/>
        <v>48.255126244095138</v>
      </c>
    </row>
    <row r="1808" spans="2:11" ht="15" customHeight="1" x14ac:dyDescent="0.35">
      <c r="B1808" s="5">
        <v>1787</v>
      </c>
      <c r="C1808" s="52">
        <f t="shared" ca="1" si="243"/>
        <v>2.8811489706022657</v>
      </c>
      <c r="D1808" s="53">
        <f t="shared" ca="1" si="244"/>
        <v>4324214216.4710989</v>
      </c>
      <c r="E1808" s="53">
        <f t="shared" ca="1" si="245"/>
        <v>7480583977642.8398</v>
      </c>
      <c r="F1808" s="53">
        <f t="shared" ca="1" si="246"/>
        <v>3599350108387.9448</v>
      </c>
      <c r="G1808" s="53">
        <f t="shared" ca="1" si="247"/>
        <v>10432762718538.172</v>
      </c>
      <c r="H1808" s="53">
        <f t="shared" ca="1" si="248"/>
        <v>7480583977642.8398</v>
      </c>
      <c r="I1808" s="53">
        <f t="shared" ca="1" si="249"/>
        <v>3474833139172.8428</v>
      </c>
      <c r="J1808" s="53">
        <f t="shared" ca="1" si="250"/>
        <v>1447174554641.0474</v>
      </c>
      <c r="K1808" s="54">
        <f t="shared" ca="1" si="251"/>
        <v>2.4011154204094818</v>
      </c>
    </row>
    <row r="1809" spans="2:11" ht="15" customHeight="1" x14ac:dyDescent="0.35">
      <c r="B1809" s="5">
        <v>1788</v>
      </c>
      <c r="C1809" s="52">
        <f t="shared" ca="1" si="243"/>
        <v>3.1974049045915436</v>
      </c>
      <c r="D1809" s="53">
        <f t="shared" ca="1" si="244"/>
        <v>5545470595.0898485</v>
      </c>
      <c r="E1809" s="53">
        <f t="shared" ca="1" si="245"/>
        <v>34965862048804.609</v>
      </c>
      <c r="F1809" s="53">
        <f t="shared" ca="1" si="246"/>
        <v>3306165315861.8633</v>
      </c>
      <c r="G1809" s="53">
        <f t="shared" ca="1" si="247"/>
        <v>46112328787081.344</v>
      </c>
      <c r="H1809" s="53">
        <f t="shared" ca="1" si="248"/>
        <v>3306165315861.8633</v>
      </c>
      <c r="I1809" s="53">
        <f t="shared" ca="1" si="249"/>
        <v>1589126565250.188</v>
      </c>
      <c r="J1809" s="53">
        <f t="shared" ca="1" si="250"/>
        <v>1667796906033.9609</v>
      </c>
      <c r="K1809" s="54">
        <f t="shared" ca="1" si="251"/>
        <v>0.95282978371098437</v>
      </c>
    </row>
    <row r="1810" spans="2:11" ht="15" customHeight="1" x14ac:dyDescent="0.35">
      <c r="B1810" s="5">
        <v>1789</v>
      </c>
      <c r="C1810" s="52">
        <f t="shared" ca="1" si="243"/>
        <v>3.1332503584074547</v>
      </c>
      <c r="D1810" s="53">
        <f t="shared" ca="1" si="244"/>
        <v>6401271795.8902798</v>
      </c>
      <c r="E1810" s="53">
        <f t="shared" ca="1" si="245"/>
        <v>27748456727857.637</v>
      </c>
      <c r="F1810" s="53">
        <f t="shared" ca="1" si="246"/>
        <v>4638575483851.0371</v>
      </c>
      <c r="G1810" s="53">
        <f t="shared" ca="1" si="247"/>
        <v>58394571007852.336</v>
      </c>
      <c r="H1810" s="53">
        <f t="shared" ca="1" si="248"/>
        <v>4638575483851.0371</v>
      </c>
      <c r="I1810" s="53">
        <f t="shared" ca="1" si="249"/>
        <v>18980023270729.363</v>
      </c>
      <c r="J1810" s="53">
        <f t="shared" ca="1" si="250"/>
        <v>1331976666450.6792</v>
      </c>
      <c r="K1810" s="54">
        <f t="shared" ca="1" si="251"/>
        <v>14.249516338229459</v>
      </c>
    </row>
    <row r="1811" spans="2:11" ht="15" customHeight="1" x14ac:dyDescent="0.35">
      <c r="B1811" s="5">
        <v>1790</v>
      </c>
      <c r="C1811" s="52">
        <f t="shared" ca="1" si="243"/>
        <v>2.2381612744186983</v>
      </c>
      <c r="D1811" s="53">
        <f t="shared" ca="1" si="244"/>
        <v>1285646741.2536137</v>
      </c>
      <c r="E1811" s="53">
        <f t="shared" ca="1" si="245"/>
        <v>3459884649409.8682</v>
      </c>
      <c r="F1811" s="53">
        <f t="shared" ca="1" si="246"/>
        <v>1113023526645.8042</v>
      </c>
      <c r="G1811" s="53">
        <f t="shared" ca="1" si="247"/>
        <v>1394105793585.9502</v>
      </c>
      <c r="H1811" s="53">
        <f t="shared" ca="1" si="248"/>
        <v>1113023526645.8042</v>
      </c>
      <c r="I1811" s="53">
        <f t="shared" ca="1" si="249"/>
        <v>9654965942273.6699</v>
      </c>
      <c r="J1811" s="53">
        <f t="shared" ca="1" si="250"/>
        <v>1299306979037.4045</v>
      </c>
      <c r="K1811" s="54">
        <f t="shared" ca="1" si="251"/>
        <v>7.4308582175296101</v>
      </c>
    </row>
    <row r="1812" spans="2:11" ht="15" customHeight="1" x14ac:dyDescent="0.35">
      <c r="B1812" s="5">
        <v>1791</v>
      </c>
      <c r="C1812" s="52">
        <f t="shared" ca="1" si="243"/>
        <v>3.7054446987541345</v>
      </c>
      <c r="D1812" s="53">
        <f t="shared" ca="1" si="244"/>
        <v>13709736180.982704</v>
      </c>
      <c r="E1812" s="53">
        <f t="shared" ca="1" si="245"/>
        <v>44082161883298.219</v>
      </c>
      <c r="F1812" s="53">
        <f t="shared" ca="1" si="246"/>
        <v>19118118576943.172</v>
      </c>
      <c r="G1812" s="53">
        <f t="shared" ca="1" si="247"/>
        <v>7901502976304.3057</v>
      </c>
      <c r="H1812" s="53">
        <f t="shared" ca="1" si="248"/>
        <v>44082161883298.219</v>
      </c>
      <c r="I1812" s="53">
        <f t="shared" ca="1" si="249"/>
        <v>25987494890499.199</v>
      </c>
      <c r="J1812" s="53">
        <f t="shared" ca="1" si="250"/>
        <v>1683965803015.2017</v>
      </c>
      <c r="K1812" s="54">
        <f t="shared" ca="1" si="251"/>
        <v>15.432317475787007</v>
      </c>
    </row>
    <row r="1813" spans="2:11" ht="15" customHeight="1" x14ac:dyDescent="0.35">
      <c r="B1813" s="5">
        <v>1792</v>
      </c>
      <c r="C1813" s="52">
        <f t="shared" ca="1" si="243"/>
        <v>2.7116493037182425</v>
      </c>
      <c r="D1813" s="53">
        <f t="shared" ca="1" si="244"/>
        <v>2596494613.5340729</v>
      </c>
      <c r="E1813" s="53">
        <f t="shared" ca="1" si="245"/>
        <v>20473099650470.145</v>
      </c>
      <c r="F1813" s="53">
        <f t="shared" ca="1" si="246"/>
        <v>7111462266363.6426</v>
      </c>
      <c r="G1813" s="53">
        <f t="shared" ca="1" si="247"/>
        <v>616608341246.81165</v>
      </c>
      <c r="H1813" s="53">
        <f t="shared" ca="1" si="248"/>
        <v>20473099650470.145</v>
      </c>
      <c r="I1813" s="53">
        <f t="shared" ca="1" si="249"/>
        <v>4313587146469.6113</v>
      </c>
      <c r="J1813" s="53">
        <f t="shared" ca="1" si="250"/>
        <v>748755093981.25684</v>
      </c>
      <c r="K1813" s="54">
        <f t="shared" ca="1" si="251"/>
        <v>5.76101208678734</v>
      </c>
    </row>
    <row r="1814" spans="2:11" ht="15" customHeight="1" x14ac:dyDescent="0.35">
      <c r="B1814" s="5">
        <v>1793</v>
      </c>
      <c r="C1814" s="52">
        <f t="shared" ref="C1814:C1877" ca="1" si="252">MEDIAN(1.8,NORMINV(RAND(),$C$7,$D$7),4.5)</f>
        <v>3.6457325714663016</v>
      </c>
      <c r="D1814" s="53">
        <f t="shared" ref="D1814:D1877" ca="1" si="253">($C$8+RAND()*($D$8-$C$8))*C1814^5</f>
        <v>13155206516.735106</v>
      </c>
      <c r="E1814" s="53">
        <f t="shared" ref="E1814:E1877" ca="1" si="254">D1814*($C$10+RAND()*($D$10-$C$10))*EXP(NORMINV(RAND(),$C$9,$D$9))*($C$11+RAND()*($D$11-$C$11))</f>
        <v>90608364100474.172</v>
      </c>
      <c r="F1814" s="53">
        <f t="shared" ref="F1814:F1877" ca="1" si="255">EXP(NORMINV(RAND(),$C$12,$D$12))*EXP(NORMINV(RAND(),$C$13,$D$13))</f>
        <v>6737080270257.2959</v>
      </c>
      <c r="G1814" s="53">
        <f t="shared" ref="G1814:G1877" ca="1" si="256">EXP(NORMINV(RAND(),$C$14,$D$14))*($C$15+RAND()*($D$15-$C$15))*EXP(NORMINV(RAND(),$C$16,$D$16))/1000000*31536000</f>
        <v>17414164822072.238</v>
      </c>
      <c r="H1814" s="53">
        <f t="shared" ref="H1814:H1877" ca="1" si="257">CHOOSE(RANDBETWEEN(1,3),E1814,F1814,G1814)</f>
        <v>6737080270257.2959</v>
      </c>
      <c r="I1814" s="53">
        <f t="shared" ref="I1814:I1877" ca="1" si="258">EXP(NORMINV(RAND(),$C$14,$D$14))*($C$15+RAND()*($D$15-$C$15))*60</f>
        <v>2395106911910.894</v>
      </c>
      <c r="J1814" s="53">
        <f t="shared" ref="J1814:J1877" ca="1" si="259">($C$17+RAND()*($D$17-$C$17))*($C$18+RAND()*($D$18-$C$18))</f>
        <v>627883836101.27527</v>
      </c>
      <c r="K1814" s="54">
        <f t="shared" ref="K1814:K1877" ca="1" si="260">I1814/J1814</f>
        <v>3.8145701070804003</v>
      </c>
    </row>
    <row r="1815" spans="2:11" ht="15" customHeight="1" x14ac:dyDescent="0.35">
      <c r="B1815" s="5">
        <v>1794</v>
      </c>
      <c r="C1815" s="52">
        <f t="shared" ca="1" si="252"/>
        <v>3.0516370803662594</v>
      </c>
      <c r="D1815" s="53">
        <f t="shared" ca="1" si="253"/>
        <v>5671270073.3911657</v>
      </c>
      <c r="E1815" s="53">
        <f t="shared" ca="1" si="254"/>
        <v>15319406299776.975</v>
      </c>
      <c r="F1815" s="53">
        <f t="shared" ca="1" si="255"/>
        <v>2732949521767.7744</v>
      </c>
      <c r="G1815" s="53">
        <f t="shared" ca="1" si="256"/>
        <v>11287526049283.326</v>
      </c>
      <c r="H1815" s="53">
        <f t="shared" ca="1" si="257"/>
        <v>15319406299776.975</v>
      </c>
      <c r="I1815" s="53">
        <f t="shared" ca="1" si="258"/>
        <v>73977870985120.953</v>
      </c>
      <c r="J1815" s="53">
        <f t="shared" ca="1" si="259"/>
        <v>1612589426460.606</v>
      </c>
      <c r="K1815" s="54">
        <f t="shared" ca="1" si="260"/>
        <v>45.875205288609251</v>
      </c>
    </row>
    <row r="1816" spans="2:11" ht="15" customHeight="1" x14ac:dyDescent="0.35">
      <c r="B1816" s="5">
        <v>1795</v>
      </c>
      <c r="C1816" s="52">
        <f t="shared" ca="1" si="252"/>
        <v>3.3731815278724131</v>
      </c>
      <c r="D1816" s="53">
        <f t="shared" ca="1" si="253"/>
        <v>10090916109.673227</v>
      </c>
      <c r="E1816" s="53">
        <f t="shared" ca="1" si="254"/>
        <v>46627619339587.508</v>
      </c>
      <c r="F1816" s="53">
        <f t="shared" ca="1" si="255"/>
        <v>757263973196.32129</v>
      </c>
      <c r="G1816" s="53">
        <f t="shared" ca="1" si="256"/>
        <v>158485578356992.84</v>
      </c>
      <c r="H1816" s="53">
        <f t="shared" ca="1" si="257"/>
        <v>46627619339587.508</v>
      </c>
      <c r="I1816" s="53">
        <f t="shared" ca="1" si="258"/>
        <v>9426889586955.252</v>
      </c>
      <c r="J1816" s="53">
        <f t="shared" ca="1" si="259"/>
        <v>1110864814646.0183</v>
      </c>
      <c r="K1816" s="54">
        <f t="shared" ca="1" si="260"/>
        <v>8.4860817109948421</v>
      </c>
    </row>
    <row r="1817" spans="2:11" ht="15" customHeight="1" x14ac:dyDescent="0.35">
      <c r="B1817" s="5">
        <v>1796</v>
      </c>
      <c r="C1817" s="52">
        <f t="shared" ca="1" si="252"/>
        <v>2.6769904274773388</v>
      </c>
      <c r="D1817" s="53">
        <f t="shared" ca="1" si="253"/>
        <v>3273554319.8937178</v>
      </c>
      <c r="E1817" s="53">
        <f t="shared" ca="1" si="254"/>
        <v>19113432228060.254</v>
      </c>
      <c r="F1817" s="53">
        <f t="shared" ca="1" si="255"/>
        <v>1759445838337.063</v>
      </c>
      <c r="G1817" s="53">
        <f t="shared" ca="1" si="256"/>
        <v>2268375950318.6978</v>
      </c>
      <c r="H1817" s="53">
        <f t="shared" ca="1" si="257"/>
        <v>2268375950318.6978</v>
      </c>
      <c r="I1817" s="53">
        <f t="shared" ca="1" si="258"/>
        <v>2461984136282.356</v>
      </c>
      <c r="J1817" s="53">
        <f t="shared" ca="1" si="259"/>
        <v>1503228127504.3555</v>
      </c>
      <c r="K1817" s="54">
        <f t="shared" ca="1" si="260"/>
        <v>1.6377980768426132</v>
      </c>
    </row>
    <row r="1818" spans="2:11" ht="15" customHeight="1" x14ac:dyDescent="0.35">
      <c r="B1818" s="5">
        <v>1797</v>
      </c>
      <c r="C1818" s="52">
        <f t="shared" ca="1" si="252"/>
        <v>2.7257936809659133</v>
      </c>
      <c r="D1818" s="53">
        <f t="shared" ca="1" si="253"/>
        <v>2882924402.1793323</v>
      </c>
      <c r="E1818" s="53">
        <f t="shared" ca="1" si="254"/>
        <v>9784046193978.0176</v>
      </c>
      <c r="F1818" s="53">
        <f t="shared" ca="1" si="255"/>
        <v>12962926554833.871</v>
      </c>
      <c r="G1818" s="53">
        <f t="shared" ca="1" si="256"/>
        <v>63494026626862.086</v>
      </c>
      <c r="H1818" s="53">
        <f t="shared" ca="1" si="257"/>
        <v>63494026626862.086</v>
      </c>
      <c r="I1818" s="53">
        <f t="shared" ca="1" si="258"/>
        <v>1485120018313.9197</v>
      </c>
      <c r="J1818" s="53">
        <f t="shared" ca="1" si="259"/>
        <v>644422774027.6593</v>
      </c>
      <c r="K1818" s="54">
        <f t="shared" ca="1" si="260"/>
        <v>2.3045740749227104</v>
      </c>
    </row>
    <row r="1819" spans="2:11" ht="15" customHeight="1" x14ac:dyDescent="0.35">
      <c r="B1819" s="5">
        <v>1798</v>
      </c>
      <c r="C1819" s="52">
        <f t="shared" ca="1" si="252"/>
        <v>3.0213354013052864</v>
      </c>
      <c r="D1819" s="53">
        <f t="shared" ca="1" si="253"/>
        <v>5234871000.8076906</v>
      </c>
      <c r="E1819" s="53">
        <f t="shared" ca="1" si="254"/>
        <v>57717749513626.867</v>
      </c>
      <c r="F1819" s="53">
        <f t="shared" ca="1" si="255"/>
        <v>3451229466945.6699</v>
      </c>
      <c r="G1819" s="53">
        <f t="shared" ca="1" si="256"/>
        <v>5079134713129.1846</v>
      </c>
      <c r="H1819" s="53">
        <f t="shared" ca="1" si="257"/>
        <v>3451229466945.6699</v>
      </c>
      <c r="I1819" s="53">
        <f t="shared" ca="1" si="258"/>
        <v>7567261030777.6465</v>
      </c>
      <c r="J1819" s="53">
        <f t="shared" ca="1" si="259"/>
        <v>1022353306549.4441</v>
      </c>
      <c r="K1819" s="54">
        <f t="shared" ca="1" si="260"/>
        <v>7.4018061880368862</v>
      </c>
    </row>
    <row r="1820" spans="2:11" ht="15" customHeight="1" x14ac:dyDescent="0.35">
      <c r="B1820" s="5">
        <v>1799</v>
      </c>
      <c r="C1820" s="52">
        <f t="shared" ca="1" si="252"/>
        <v>3.2245094231007316</v>
      </c>
      <c r="D1820" s="53">
        <f t="shared" ca="1" si="253"/>
        <v>7948470782.6060057</v>
      </c>
      <c r="E1820" s="53">
        <f t="shared" ca="1" si="254"/>
        <v>105135117501966.89</v>
      </c>
      <c r="F1820" s="53">
        <f t="shared" ca="1" si="255"/>
        <v>2963746943963.4341</v>
      </c>
      <c r="G1820" s="53">
        <f t="shared" ca="1" si="256"/>
        <v>2932079911639.0137</v>
      </c>
      <c r="H1820" s="53">
        <f t="shared" ca="1" si="257"/>
        <v>105135117501966.89</v>
      </c>
      <c r="I1820" s="53">
        <f t="shared" ca="1" si="258"/>
        <v>8903758904611.7441</v>
      </c>
      <c r="J1820" s="53">
        <f t="shared" ca="1" si="259"/>
        <v>832693855043.52661</v>
      </c>
      <c r="K1820" s="54">
        <f t="shared" ca="1" si="260"/>
        <v>10.692715997221244</v>
      </c>
    </row>
    <row r="1821" spans="2:11" ht="15" customHeight="1" x14ac:dyDescent="0.35">
      <c r="B1821" s="5">
        <v>1800</v>
      </c>
      <c r="C1821" s="52">
        <f t="shared" ca="1" si="252"/>
        <v>3.4718640655375164</v>
      </c>
      <c r="D1821" s="53">
        <f t="shared" ca="1" si="253"/>
        <v>8298813791.455759</v>
      </c>
      <c r="E1821" s="53">
        <f t="shared" ca="1" si="254"/>
        <v>22916428990343.563</v>
      </c>
      <c r="F1821" s="53">
        <f t="shared" ca="1" si="255"/>
        <v>4008435087193.3687</v>
      </c>
      <c r="G1821" s="53">
        <f t="shared" ca="1" si="256"/>
        <v>11870012268086.834</v>
      </c>
      <c r="H1821" s="53">
        <f t="shared" ca="1" si="257"/>
        <v>11870012268086.834</v>
      </c>
      <c r="I1821" s="53">
        <f t="shared" ca="1" si="258"/>
        <v>6315731929187.9619</v>
      </c>
      <c r="J1821" s="53">
        <f t="shared" ca="1" si="259"/>
        <v>677552485022.90662</v>
      </c>
      <c r="K1821" s="54">
        <f t="shared" ca="1" si="260"/>
        <v>9.3213914328340781</v>
      </c>
    </row>
    <row r="1822" spans="2:11" ht="15" customHeight="1" x14ac:dyDescent="0.35">
      <c r="B1822" s="5">
        <v>1801</v>
      </c>
      <c r="C1822" s="52">
        <f t="shared" ca="1" si="252"/>
        <v>1.8</v>
      </c>
      <c r="D1822" s="53">
        <f t="shared" ca="1" si="253"/>
        <v>360172026.62148345</v>
      </c>
      <c r="E1822" s="53">
        <f t="shared" ca="1" si="254"/>
        <v>1335608102537.1714</v>
      </c>
      <c r="F1822" s="53">
        <f t="shared" ca="1" si="255"/>
        <v>455646956053.93024</v>
      </c>
      <c r="G1822" s="53">
        <f t="shared" ca="1" si="256"/>
        <v>10733031014930.861</v>
      </c>
      <c r="H1822" s="53">
        <f t="shared" ca="1" si="257"/>
        <v>1335608102537.1714</v>
      </c>
      <c r="I1822" s="53">
        <f t="shared" ca="1" si="258"/>
        <v>920903301899.2666</v>
      </c>
      <c r="J1822" s="53">
        <f t="shared" ca="1" si="259"/>
        <v>1072087435350.5703</v>
      </c>
      <c r="K1822" s="54">
        <f t="shared" ca="1" si="260"/>
        <v>0.85898152663092553</v>
      </c>
    </row>
    <row r="1823" spans="2:11" ht="15" customHeight="1" x14ac:dyDescent="0.35">
      <c r="B1823" s="5">
        <v>1802</v>
      </c>
      <c r="C1823" s="52">
        <f t="shared" ca="1" si="252"/>
        <v>3.4495385823665754</v>
      </c>
      <c r="D1823" s="53">
        <f t="shared" ca="1" si="253"/>
        <v>10131588838.719006</v>
      </c>
      <c r="E1823" s="53">
        <f t="shared" ca="1" si="254"/>
        <v>56359820612025.297</v>
      </c>
      <c r="F1823" s="53">
        <f t="shared" ca="1" si="255"/>
        <v>5165126759042.959</v>
      </c>
      <c r="G1823" s="53">
        <f t="shared" ca="1" si="256"/>
        <v>529275215285.17175</v>
      </c>
      <c r="H1823" s="53">
        <f t="shared" ca="1" si="257"/>
        <v>56359820612025.297</v>
      </c>
      <c r="I1823" s="53">
        <f t="shared" ca="1" si="258"/>
        <v>42912567796795.43</v>
      </c>
      <c r="J1823" s="53">
        <f t="shared" ca="1" si="259"/>
        <v>1660735309699.2229</v>
      </c>
      <c r="K1823" s="54">
        <f t="shared" ca="1" si="260"/>
        <v>25.839498652297191</v>
      </c>
    </row>
    <row r="1824" spans="2:11" ht="15" customHeight="1" x14ac:dyDescent="0.35">
      <c r="B1824" s="5">
        <v>1803</v>
      </c>
      <c r="C1824" s="52">
        <f t="shared" ca="1" si="252"/>
        <v>3.1664343929958543</v>
      </c>
      <c r="D1824" s="53">
        <f t="shared" ca="1" si="253"/>
        <v>7451833745.08041</v>
      </c>
      <c r="E1824" s="53">
        <f t="shared" ca="1" si="254"/>
        <v>11228262094442.598</v>
      </c>
      <c r="F1824" s="53">
        <f t="shared" ca="1" si="255"/>
        <v>1898840759423.0876</v>
      </c>
      <c r="G1824" s="53">
        <f t="shared" ca="1" si="256"/>
        <v>1596191206428.9353</v>
      </c>
      <c r="H1824" s="53">
        <f t="shared" ca="1" si="257"/>
        <v>1596191206428.9353</v>
      </c>
      <c r="I1824" s="53">
        <f t="shared" ca="1" si="258"/>
        <v>5572120435575.3447</v>
      </c>
      <c r="J1824" s="53">
        <f t="shared" ca="1" si="259"/>
        <v>1162687821606.2942</v>
      </c>
      <c r="K1824" s="54">
        <f t="shared" ca="1" si="260"/>
        <v>4.7924475788154934</v>
      </c>
    </row>
    <row r="1825" spans="2:11" ht="15" customHeight="1" x14ac:dyDescent="0.35">
      <c r="B1825" s="5">
        <v>1804</v>
      </c>
      <c r="C1825" s="52">
        <f t="shared" ca="1" si="252"/>
        <v>2.8132724874778736</v>
      </c>
      <c r="D1825" s="53">
        <f t="shared" ca="1" si="253"/>
        <v>2883953025.5364742</v>
      </c>
      <c r="E1825" s="53">
        <f t="shared" ca="1" si="254"/>
        <v>15057176577809.887</v>
      </c>
      <c r="F1825" s="53">
        <f t="shared" ca="1" si="255"/>
        <v>2154351402874.1304</v>
      </c>
      <c r="G1825" s="53">
        <f t="shared" ca="1" si="256"/>
        <v>3379790830413.2363</v>
      </c>
      <c r="H1825" s="53">
        <f t="shared" ca="1" si="257"/>
        <v>3379790830413.2363</v>
      </c>
      <c r="I1825" s="53">
        <f t="shared" ca="1" si="258"/>
        <v>23477229991780.613</v>
      </c>
      <c r="J1825" s="53">
        <f t="shared" ca="1" si="259"/>
        <v>1165281126595.8589</v>
      </c>
      <c r="K1825" s="54">
        <f t="shared" ca="1" si="260"/>
        <v>20.147267003598312</v>
      </c>
    </row>
    <row r="1826" spans="2:11" ht="15" customHeight="1" x14ac:dyDescent="0.35">
      <c r="B1826" s="5">
        <v>1805</v>
      </c>
      <c r="C1826" s="52">
        <f t="shared" ca="1" si="252"/>
        <v>3.832365923862219</v>
      </c>
      <c r="D1826" s="53">
        <f t="shared" ca="1" si="253"/>
        <v>18717899931.152279</v>
      </c>
      <c r="E1826" s="53">
        <f t="shared" ca="1" si="254"/>
        <v>350522338518399.75</v>
      </c>
      <c r="F1826" s="53">
        <f t="shared" ca="1" si="255"/>
        <v>3026014406834.4424</v>
      </c>
      <c r="G1826" s="53">
        <f t="shared" ca="1" si="256"/>
        <v>18440459221928.359</v>
      </c>
      <c r="H1826" s="53">
        <f t="shared" ca="1" si="257"/>
        <v>3026014406834.4424</v>
      </c>
      <c r="I1826" s="53">
        <f t="shared" ca="1" si="258"/>
        <v>2622113080379.144</v>
      </c>
      <c r="J1826" s="53">
        <f t="shared" ca="1" si="259"/>
        <v>888672607500.40002</v>
      </c>
      <c r="K1826" s="54">
        <f t="shared" ca="1" si="260"/>
        <v>2.9505951440929992</v>
      </c>
    </row>
    <row r="1827" spans="2:11" ht="15" customHeight="1" x14ac:dyDescent="0.35">
      <c r="B1827" s="5">
        <v>1806</v>
      </c>
      <c r="C1827" s="52">
        <f t="shared" ca="1" si="252"/>
        <v>3.1770400279923039</v>
      </c>
      <c r="D1827" s="53">
        <f t="shared" ca="1" si="253"/>
        <v>6839221904.8864689</v>
      </c>
      <c r="E1827" s="53">
        <f t="shared" ca="1" si="254"/>
        <v>121959000909770.92</v>
      </c>
      <c r="F1827" s="53">
        <f t="shared" ca="1" si="255"/>
        <v>7477660780460.3076</v>
      </c>
      <c r="G1827" s="53">
        <f t="shared" ca="1" si="256"/>
        <v>771364156195.56262</v>
      </c>
      <c r="H1827" s="53">
        <f t="shared" ca="1" si="257"/>
        <v>7477660780460.3076</v>
      </c>
      <c r="I1827" s="53">
        <f t="shared" ca="1" si="258"/>
        <v>15814793523770.02</v>
      </c>
      <c r="J1827" s="53">
        <f t="shared" ca="1" si="259"/>
        <v>1046887978771.7841</v>
      </c>
      <c r="K1827" s="54">
        <f t="shared" ca="1" si="260"/>
        <v>15.106481156010636</v>
      </c>
    </row>
    <row r="1828" spans="2:11" ht="15" customHeight="1" x14ac:dyDescent="0.35">
      <c r="B1828" s="5">
        <v>1807</v>
      </c>
      <c r="C1828" s="52">
        <f t="shared" ca="1" si="252"/>
        <v>2.3254969207551301</v>
      </c>
      <c r="D1828" s="53">
        <f t="shared" ca="1" si="253"/>
        <v>1626127961.5159094</v>
      </c>
      <c r="E1828" s="53">
        <f t="shared" ca="1" si="254"/>
        <v>4567042271491.3232</v>
      </c>
      <c r="F1828" s="53">
        <f t="shared" ca="1" si="255"/>
        <v>3540536384323.9419</v>
      </c>
      <c r="G1828" s="53">
        <f t="shared" ca="1" si="256"/>
        <v>6833236379217.9375</v>
      </c>
      <c r="H1828" s="53">
        <f t="shared" ca="1" si="257"/>
        <v>6833236379217.9375</v>
      </c>
      <c r="I1828" s="53">
        <f t="shared" ca="1" si="258"/>
        <v>38885414639793.563</v>
      </c>
      <c r="J1828" s="53">
        <f t="shared" ca="1" si="259"/>
        <v>1474141497135.2471</v>
      </c>
      <c r="K1828" s="54">
        <f t="shared" ca="1" si="260"/>
        <v>26.378346118985867</v>
      </c>
    </row>
    <row r="1829" spans="2:11" ht="15" customHeight="1" x14ac:dyDescent="0.35">
      <c r="B1829" s="5">
        <v>1808</v>
      </c>
      <c r="C1829" s="52">
        <f t="shared" ca="1" si="252"/>
        <v>3.2685423534499303</v>
      </c>
      <c r="D1829" s="53">
        <f t="shared" ca="1" si="253"/>
        <v>6335788007.1000376</v>
      </c>
      <c r="E1829" s="53">
        <f t="shared" ca="1" si="254"/>
        <v>33678060271447.773</v>
      </c>
      <c r="F1829" s="53">
        <f t="shared" ca="1" si="255"/>
        <v>4847059825189.1475</v>
      </c>
      <c r="G1829" s="53">
        <f t="shared" ca="1" si="256"/>
        <v>10177927210666.768</v>
      </c>
      <c r="H1829" s="53">
        <f t="shared" ca="1" si="257"/>
        <v>33678060271447.773</v>
      </c>
      <c r="I1829" s="53">
        <f t="shared" ca="1" si="258"/>
        <v>3307466626648.8672</v>
      </c>
      <c r="J1829" s="53">
        <f t="shared" ca="1" si="259"/>
        <v>1580721921764.1284</v>
      </c>
      <c r="K1829" s="54">
        <f t="shared" ca="1" si="260"/>
        <v>2.0923772746553961</v>
      </c>
    </row>
    <row r="1830" spans="2:11" ht="15" customHeight="1" x14ac:dyDescent="0.35">
      <c r="B1830" s="5">
        <v>1809</v>
      </c>
      <c r="C1830" s="52">
        <f t="shared" ca="1" si="252"/>
        <v>2.1094296514142141</v>
      </c>
      <c r="D1830" s="53">
        <f t="shared" ca="1" si="253"/>
        <v>681824013.75817513</v>
      </c>
      <c r="E1830" s="53">
        <f t="shared" ca="1" si="254"/>
        <v>1643407652768.9365</v>
      </c>
      <c r="F1830" s="53">
        <f t="shared" ca="1" si="255"/>
        <v>9227719158045.0938</v>
      </c>
      <c r="G1830" s="53">
        <f t="shared" ca="1" si="256"/>
        <v>90466502601493.219</v>
      </c>
      <c r="H1830" s="53">
        <f t="shared" ca="1" si="257"/>
        <v>90466502601493.219</v>
      </c>
      <c r="I1830" s="53">
        <f t="shared" ca="1" si="258"/>
        <v>13442035496721.609</v>
      </c>
      <c r="J1830" s="53">
        <f t="shared" ca="1" si="259"/>
        <v>921397491033.83313</v>
      </c>
      <c r="K1830" s="54">
        <f t="shared" ca="1" si="260"/>
        <v>14.588747665938703</v>
      </c>
    </row>
    <row r="1831" spans="2:11" ht="15" customHeight="1" x14ac:dyDescent="0.35">
      <c r="B1831" s="5">
        <v>1810</v>
      </c>
      <c r="C1831" s="52">
        <f t="shared" ca="1" si="252"/>
        <v>2.6141552578444718</v>
      </c>
      <c r="D1831" s="53">
        <f t="shared" ca="1" si="253"/>
        <v>2747445093.7656016</v>
      </c>
      <c r="E1831" s="53">
        <f t="shared" ca="1" si="254"/>
        <v>13118903172914.111</v>
      </c>
      <c r="F1831" s="53">
        <f t="shared" ca="1" si="255"/>
        <v>1328564069979.6565</v>
      </c>
      <c r="G1831" s="53">
        <f t="shared" ca="1" si="256"/>
        <v>6585947069727.8916</v>
      </c>
      <c r="H1831" s="53">
        <f t="shared" ca="1" si="257"/>
        <v>13118903172914.111</v>
      </c>
      <c r="I1831" s="53">
        <f t="shared" ca="1" si="258"/>
        <v>30753521670388.668</v>
      </c>
      <c r="J1831" s="53">
        <f t="shared" ca="1" si="259"/>
        <v>1052955335287.5482</v>
      </c>
      <c r="K1831" s="54">
        <f t="shared" ca="1" si="260"/>
        <v>29.206862475311251</v>
      </c>
    </row>
    <row r="1832" spans="2:11" ht="15" customHeight="1" x14ac:dyDescent="0.35">
      <c r="B1832" s="5">
        <v>1811</v>
      </c>
      <c r="C1832" s="52">
        <f t="shared" ca="1" si="252"/>
        <v>2.4435574321513815</v>
      </c>
      <c r="D1832" s="53">
        <f t="shared" ca="1" si="253"/>
        <v>1784175424.6970582</v>
      </c>
      <c r="E1832" s="53">
        <f t="shared" ca="1" si="254"/>
        <v>10794768088310.055</v>
      </c>
      <c r="F1832" s="53">
        <f t="shared" ca="1" si="255"/>
        <v>1040170281714.7917</v>
      </c>
      <c r="G1832" s="53">
        <f t="shared" ca="1" si="256"/>
        <v>31740037169452.766</v>
      </c>
      <c r="H1832" s="53">
        <f t="shared" ca="1" si="257"/>
        <v>10794768088310.055</v>
      </c>
      <c r="I1832" s="53">
        <f t="shared" ca="1" si="258"/>
        <v>56865059447636.57</v>
      </c>
      <c r="J1832" s="53">
        <f t="shared" ca="1" si="259"/>
        <v>1107047201812.4231</v>
      </c>
      <c r="K1832" s="54">
        <f t="shared" ca="1" si="260"/>
        <v>51.366427153728289</v>
      </c>
    </row>
    <row r="1833" spans="2:11" ht="15" customHeight="1" x14ac:dyDescent="0.35">
      <c r="B1833" s="5">
        <v>1812</v>
      </c>
      <c r="C1833" s="52">
        <f t="shared" ca="1" si="252"/>
        <v>2.9243675145728552</v>
      </c>
      <c r="D1833" s="53">
        <f t="shared" ca="1" si="253"/>
        <v>4591852453.2535095</v>
      </c>
      <c r="E1833" s="53">
        <f t="shared" ca="1" si="254"/>
        <v>48733473005843.219</v>
      </c>
      <c r="F1833" s="53">
        <f t="shared" ca="1" si="255"/>
        <v>1590465007478.6892</v>
      </c>
      <c r="G1833" s="53">
        <f t="shared" ca="1" si="256"/>
        <v>10682806439925.826</v>
      </c>
      <c r="H1833" s="53">
        <f t="shared" ca="1" si="257"/>
        <v>48733473005843.219</v>
      </c>
      <c r="I1833" s="53">
        <f t="shared" ca="1" si="258"/>
        <v>10861242947906.059</v>
      </c>
      <c r="J1833" s="53">
        <f t="shared" ca="1" si="259"/>
        <v>892437404594.75549</v>
      </c>
      <c r="K1833" s="54">
        <f t="shared" ca="1" si="260"/>
        <v>12.170313449421151</v>
      </c>
    </row>
    <row r="1834" spans="2:11" ht="15" customHeight="1" x14ac:dyDescent="0.35">
      <c r="B1834" s="5">
        <v>1813</v>
      </c>
      <c r="C1834" s="52">
        <f t="shared" ca="1" si="252"/>
        <v>3.3844140289783811</v>
      </c>
      <c r="D1834" s="53">
        <f t="shared" ca="1" si="253"/>
        <v>9484416760.439436</v>
      </c>
      <c r="E1834" s="53">
        <f t="shared" ca="1" si="254"/>
        <v>109829980186242.92</v>
      </c>
      <c r="F1834" s="53">
        <f t="shared" ca="1" si="255"/>
        <v>1878851041272.6211</v>
      </c>
      <c r="G1834" s="53">
        <f t="shared" ca="1" si="256"/>
        <v>46459792090628.445</v>
      </c>
      <c r="H1834" s="53">
        <f t="shared" ca="1" si="257"/>
        <v>46459792090628.445</v>
      </c>
      <c r="I1834" s="53">
        <f t="shared" ca="1" si="258"/>
        <v>8225454155883.1455</v>
      </c>
      <c r="J1834" s="53">
        <f t="shared" ca="1" si="259"/>
        <v>1557079928163.728</v>
      </c>
      <c r="K1834" s="54">
        <f t="shared" ca="1" si="260"/>
        <v>5.2826152383734497</v>
      </c>
    </row>
    <row r="1835" spans="2:11" ht="15" customHeight="1" x14ac:dyDescent="0.35">
      <c r="B1835" s="5">
        <v>1814</v>
      </c>
      <c r="C1835" s="52">
        <f t="shared" ca="1" si="252"/>
        <v>2.9763396277751952</v>
      </c>
      <c r="D1835" s="53">
        <f t="shared" ca="1" si="253"/>
        <v>4835352424.5121412</v>
      </c>
      <c r="E1835" s="53">
        <f t="shared" ca="1" si="254"/>
        <v>16945066566579.646</v>
      </c>
      <c r="F1835" s="53">
        <f t="shared" ca="1" si="255"/>
        <v>381561893095.98236</v>
      </c>
      <c r="G1835" s="53">
        <f t="shared" ca="1" si="256"/>
        <v>10065281210033.201</v>
      </c>
      <c r="H1835" s="53">
        <f t="shared" ca="1" si="257"/>
        <v>381561893095.98236</v>
      </c>
      <c r="I1835" s="53">
        <f t="shared" ca="1" si="258"/>
        <v>2196984575913.4346</v>
      </c>
      <c r="J1835" s="53">
        <f t="shared" ca="1" si="259"/>
        <v>530547101156.96106</v>
      </c>
      <c r="K1835" s="54">
        <f t="shared" ca="1" si="260"/>
        <v>4.140979323273057</v>
      </c>
    </row>
    <row r="1836" spans="2:11" ht="15" customHeight="1" x14ac:dyDescent="0.35">
      <c r="B1836" s="5">
        <v>1815</v>
      </c>
      <c r="C1836" s="52">
        <f t="shared" ca="1" si="252"/>
        <v>3.2567240327231795</v>
      </c>
      <c r="D1836" s="53">
        <f t="shared" ca="1" si="253"/>
        <v>8059211328.6746235</v>
      </c>
      <c r="E1836" s="53">
        <f t="shared" ca="1" si="254"/>
        <v>18145814364832.852</v>
      </c>
      <c r="F1836" s="53">
        <f t="shared" ca="1" si="255"/>
        <v>5999940590055.0352</v>
      </c>
      <c r="G1836" s="53">
        <f t="shared" ca="1" si="256"/>
        <v>1720415761941.5254</v>
      </c>
      <c r="H1836" s="53">
        <f t="shared" ca="1" si="257"/>
        <v>1720415761941.5254</v>
      </c>
      <c r="I1836" s="53">
        <f t="shared" ca="1" si="258"/>
        <v>5431898042815.4805</v>
      </c>
      <c r="J1836" s="53">
        <f t="shared" ca="1" si="259"/>
        <v>1087073010972.4384</v>
      </c>
      <c r="K1836" s="54">
        <f t="shared" ca="1" si="260"/>
        <v>4.9968106907156038</v>
      </c>
    </row>
    <row r="1837" spans="2:11" ht="15" customHeight="1" x14ac:dyDescent="0.35">
      <c r="B1837" s="5">
        <v>1816</v>
      </c>
      <c r="C1837" s="52">
        <f t="shared" ca="1" si="252"/>
        <v>3.532646646591314</v>
      </c>
      <c r="D1837" s="53">
        <f t="shared" ca="1" si="253"/>
        <v>12025478294.156479</v>
      </c>
      <c r="E1837" s="53">
        <f t="shared" ca="1" si="254"/>
        <v>26834809572078.281</v>
      </c>
      <c r="F1837" s="53">
        <f t="shared" ca="1" si="255"/>
        <v>6009003450571.1143</v>
      </c>
      <c r="G1837" s="53">
        <f t="shared" ca="1" si="256"/>
        <v>321045386028.72308</v>
      </c>
      <c r="H1837" s="53">
        <f t="shared" ca="1" si="257"/>
        <v>26834809572078.281</v>
      </c>
      <c r="I1837" s="53">
        <f t="shared" ca="1" si="258"/>
        <v>5574854043039.3369</v>
      </c>
      <c r="J1837" s="53">
        <f t="shared" ca="1" si="259"/>
        <v>1245240305421.2471</v>
      </c>
      <c r="K1837" s="54">
        <f t="shared" ca="1" si="260"/>
        <v>4.4769302911002731</v>
      </c>
    </row>
    <row r="1838" spans="2:11" ht="15" customHeight="1" x14ac:dyDescent="0.35">
      <c r="B1838" s="5">
        <v>1817</v>
      </c>
      <c r="C1838" s="52">
        <f t="shared" ca="1" si="252"/>
        <v>3.4669058223530702</v>
      </c>
      <c r="D1838" s="53">
        <f t="shared" ca="1" si="253"/>
        <v>9265891652.6965046</v>
      </c>
      <c r="E1838" s="53">
        <f t="shared" ca="1" si="254"/>
        <v>72427481302426.719</v>
      </c>
      <c r="F1838" s="53">
        <f t="shared" ca="1" si="255"/>
        <v>19333814558146.754</v>
      </c>
      <c r="G1838" s="53">
        <f t="shared" ca="1" si="256"/>
        <v>7708484333232.5762</v>
      </c>
      <c r="H1838" s="53">
        <f t="shared" ca="1" si="257"/>
        <v>72427481302426.719</v>
      </c>
      <c r="I1838" s="53">
        <f t="shared" ca="1" si="258"/>
        <v>3004905005620.0137</v>
      </c>
      <c r="J1838" s="53">
        <f t="shared" ca="1" si="259"/>
        <v>1319987270550.0842</v>
      </c>
      <c r="K1838" s="54">
        <f t="shared" ca="1" si="260"/>
        <v>2.2764651392189306</v>
      </c>
    </row>
    <row r="1839" spans="2:11" ht="15" customHeight="1" x14ac:dyDescent="0.35">
      <c r="B1839" s="5">
        <v>1818</v>
      </c>
      <c r="C1839" s="52">
        <f t="shared" ca="1" si="252"/>
        <v>3.9029980162312903</v>
      </c>
      <c r="D1839" s="53">
        <f t="shared" ca="1" si="253"/>
        <v>17669277001.138233</v>
      </c>
      <c r="E1839" s="53">
        <f t="shared" ca="1" si="254"/>
        <v>22521159555180.75</v>
      </c>
      <c r="F1839" s="53">
        <f t="shared" ca="1" si="255"/>
        <v>11742404298523.242</v>
      </c>
      <c r="G1839" s="53">
        <f t="shared" ca="1" si="256"/>
        <v>3261595577709.5645</v>
      </c>
      <c r="H1839" s="53">
        <f t="shared" ca="1" si="257"/>
        <v>3261595577709.5645</v>
      </c>
      <c r="I1839" s="53">
        <f t="shared" ca="1" si="258"/>
        <v>2720669972122.0322</v>
      </c>
      <c r="J1839" s="53">
        <f t="shared" ca="1" si="259"/>
        <v>1210960690118.3408</v>
      </c>
      <c r="K1839" s="54">
        <f t="shared" ca="1" si="260"/>
        <v>2.2467037900760887</v>
      </c>
    </row>
    <row r="1840" spans="2:11" ht="15" customHeight="1" x14ac:dyDescent="0.35">
      <c r="B1840" s="5">
        <v>1819</v>
      </c>
      <c r="C1840" s="52">
        <f t="shared" ca="1" si="252"/>
        <v>2.8698327627115758</v>
      </c>
      <c r="D1840" s="53">
        <f t="shared" ca="1" si="253"/>
        <v>4586849509.1402779</v>
      </c>
      <c r="E1840" s="53">
        <f t="shared" ca="1" si="254"/>
        <v>24337552024015.754</v>
      </c>
      <c r="F1840" s="53">
        <f t="shared" ca="1" si="255"/>
        <v>3030263831551.8892</v>
      </c>
      <c r="G1840" s="53">
        <f t="shared" ca="1" si="256"/>
        <v>6769758850312.5957</v>
      </c>
      <c r="H1840" s="53">
        <f t="shared" ca="1" si="257"/>
        <v>3030263831551.8892</v>
      </c>
      <c r="I1840" s="53">
        <f t="shared" ca="1" si="258"/>
        <v>182193736574869.16</v>
      </c>
      <c r="J1840" s="53">
        <f t="shared" ca="1" si="259"/>
        <v>1354634255550.4084</v>
      </c>
      <c r="K1840" s="54">
        <f t="shared" ca="1" si="260"/>
        <v>134.4966258075624</v>
      </c>
    </row>
    <row r="1841" spans="2:11" ht="15" customHeight="1" x14ac:dyDescent="0.35">
      <c r="B1841" s="5">
        <v>1820</v>
      </c>
      <c r="C1841" s="52">
        <f t="shared" ca="1" si="252"/>
        <v>2.8113906198689351</v>
      </c>
      <c r="D1841" s="53">
        <f t="shared" ca="1" si="253"/>
        <v>3857815879.5618343</v>
      </c>
      <c r="E1841" s="53">
        <f t="shared" ca="1" si="254"/>
        <v>54520034657992.242</v>
      </c>
      <c r="F1841" s="53">
        <f t="shared" ca="1" si="255"/>
        <v>8131937217416.8008</v>
      </c>
      <c r="G1841" s="53">
        <f t="shared" ca="1" si="256"/>
        <v>11362663308376.518</v>
      </c>
      <c r="H1841" s="53">
        <f t="shared" ca="1" si="257"/>
        <v>54520034657992.242</v>
      </c>
      <c r="I1841" s="53">
        <f t="shared" ca="1" si="258"/>
        <v>5097804501565.7217</v>
      </c>
      <c r="J1841" s="53">
        <f t="shared" ca="1" si="259"/>
        <v>588695592747.40161</v>
      </c>
      <c r="K1841" s="54">
        <f t="shared" ca="1" si="260"/>
        <v>8.6594915341129379</v>
      </c>
    </row>
    <row r="1842" spans="2:11" ht="15" customHeight="1" x14ac:dyDescent="0.35">
      <c r="B1842" s="5">
        <v>1821</v>
      </c>
      <c r="C1842" s="52">
        <f t="shared" ca="1" si="252"/>
        <v>2.47916201974071</v>
      </c>
      <c r="D1842" s="53">
        <f t="shared" ca="1" si="253"/>
        <v>2236795546.9343185</v>
      </c>
      <c r="E1842" s="53">
        <f t="shared" ca="1" si="254"/>
        <v>3668044843233.8657</v>
      </c>
      <c r="F1842" s="53">
        <f t="shared" ca="1" si="255"/>
        <v>3177934760898.3628</v>
      </c>
      <c r="G1842" s="53">
        <f t="shared" ca="1" si="256"/>
        <v>22718670131285.266</v>
      </c>
      <c r="H1842" s="53">
        <f t="shared" ca="1" si="257"/>
        <v>22718670131285.266</v>
      </c>
      <c r="I1842" s="53">
        <f t="shared" ca="1" si="258"/>
        <v>3654494603944.9341</v>
      </c>
      <c r="J1842" s="53">
        <f t="shared" ca="1" si="259"/>
        <v>491576021538.54352</v>
      </c>
      <c r="K1842" s="54">
        <f t="shared" ca="1" si="260"/>
        <v>7.4342409796699007</v>
      </c>
    </row>
    <row r="1843" spans="2:11" ht="15" customHeight="1" x14ac:dyDescent="0.35">
      <c r="B1843" s="5">
        <v>1822</v>
      </c>
      <c r="C1843" s="52">
        <f t="shared" ca="1" si="252"/>
        <v>2.9380717499993572</v>
      </c>
      <c r="D1843" s="53">
        <f t="shared" ca="1" si="253"/>
        <v>4138153697.5196114</v>
      </c>
      <c r="E1843" s="53">
        <f t="shared" ca="1" si="254"/>
        <v>21421248632908.188</v>
      </c>
      <c r="F1843" s="53">
        <f t="shared" ca="1" si="255"/>
        <v>5987284401318.6465</v>
      </c>
      <c r="G1843" s="53">
        <f t="shared" ca="1" si="256"/>
        <v>492184908104.86542</v>
      </c>
      <c r="H1843" s="53">
        <f t="shared" ca="1" si="257"/>
        <v>21421248632908.188</v>
      </c>
      <c r="I1843" s="53">
        <f t="shared" ca="1" si="258"/>
        <v>53867393577944.25</v>
      </c>
      <c r="J1843" s="53">
        <f t="shared" ca="1" si="259"/>
        <v>1468304060139.9148</v>
      </c>
      <c r="K1843" s="54">
        <f t="shared" ca="1" si="260"/>
        <v>36.686811022514796</v>
      </c>
    </row>
    <row r="1844" spans="2:11" ht="15" customHeight="1" x14ac:dyDescent="0.35">
      <c r="B1844" s="5">
        <v>1823</v>
      </c>
      <c r="C1844" s="52">
        <f t="shared" ca="1" si="252"/>
        <v>2.8728225125274403</v>
      </c>
      <c r="D1844" s="53">
        <f t="shared" ca="1" si="253"/>
        <v>4143483043.609746</v>
      </c>
      <c r="E1844" s="53">
        <f t="shared" ca="1" si="254"/>
        <v>8770136201199.1641</v>
      </c>
      <c r="F1844" s="53">
        <f t="shared" ca="1" si="255"/>
        <v>260976682380.45001</v>
      </c>
      <c r="G1844" s="53">
        <f t="shared" ca="1" si="256"/>
        <v>96984543171670.563</v>
      </c>
      <c r="H1844" s="53">
        <f t="shared" ca="1" si="257"/>
        <v>96984543171670.563</v>
      </c>
      <c r="I1844" s="53">
        <f t="shared" ca="1" si="258"/>
        <v>2793762140411.0435</v>
      </c>
      <c r="J1844" s="53">
        <f t="shared" ca="1" si="259"/>
        <v>873924039140.28027</v>
      </c>
      <c r="K1844" s="54">
        <f t="shared" ca="1" si="260"/>
        <v>3.196802027736183</v>
      </c>
    </row>
    <row r="1845" spans="2:11" ht="15" customHeight="1" x14ac:dyDescent="0.35">
      <c r="B1845" s="5">
        <v>1824</v>
      </c>
      <c r="C1845" s="52">
        <f t="shared" ca="1" si="252"/>
        <v>3.2928078535001699</v>
      </c>
      <c r="D1845" s="53">
        <f t="shared" ca="1" si="253"/>
        <v>9194801349.2580948</v>
      </c>
      <c r="E1845" s="53">
        <f t="shared" ca="1" si="254"/>
        <v>36154230438657.359</v>
      </c>
      <c r="F1845" s="53">
        <f t="shared" ca="1" si="255"/>
        <v>3090174646576.9189</v>
      </c>
      <c r="G1845" s="53">
        <f t="shared" ca="1" si="256"/>
        <v>2991123128406624</v>
      </c>
      <c r="H1845" s="53">
        <f t="shared" ca="1" si="257"/>
        <v>2991123128406624</v>
      </c>
      <c r="I1845" s="53">
        <f t="shared" ca="1" si="258"/>
        <v>24074222029536.086</v>
      </c>
      <c r="J1845" s="53">
        <f t="shared" ca="1" si="259"/>
        <v>854798304729.31201</v>
      </c>
      <c r="K1845" s="54">
        <f t="shared" ca="1" si="260"/>
        <v>28.163628655252939</v>
      </c>
    </row>
    <row r="1846" spans="2:11" ht="15" customHeight="1" x14ac:dyDescent="0.35">
      <c r="B1846" s="5">
        <v>1825</v>
      </c>
      <c r="C1846" s="52">
        <f t="shared" ca="1" si="252"/>
        <v>3.3994711663496129</v>
      </c>
      <c r="D1846" s="53">
        <f t="shared" ca="1" si="253"/>
        <v>10524689799.675611</v>
      </c>
      <c r="E1846" s="53">
        <f t="shared" ca="1" si="254"/>
        <v>75054538769694.859</v>
      </c>
      <c r="F1846" s="53">
        <f t="shared" ca="1" si="255"/>
        <v>5458511193761.3838</v>
      </c>
      <c r="G1846" s="53">
        <f t="shared" ca="1" si="256"/>
        <v>853459003149.47778</v>
      </c>
      <c r="H1846" s="53">
        <f t="shared" ca="1" si="257"/>
        <v>5458511193761.3838</v>
      </c>
      <c r="I1846" s="53">
        <f t="shared" ca="1" si="258"/>
        <v>31155882059113.043</v>
      </c>
      <c r="J1846" s="53">
        <f t="shared" ca="1" si="259"/>
        <v>1024104960265.1592</v>
      </c>
      <c r="K1846" s="54">
        <f t="shared" ca="1" si="260"/>
        <v>30.422547754330012</v>
      </c>
    </row>
    <row r="1847" spans="2:11" ht="15" customHeight="1" x14ac:dyDescent="0.35">
      <c r="B1847" s="5">
        <v>1826</v>
      </c>
      <c r="C1847" s="52">
        <f t="shared" ca="1" si="252"/>
        <v>3.0911599131146992</v>
      </c>
      <c r="D1847" s="53">
        <f t="shared" ca="1" si="253"/>
        <v>5441253375.4252892</v>
      </c>
      <c r="E1847" s="53">
        <f t="shared" ca="1" si="254"/>
        <v>11509568749913.615</v>
      </c>
      <c r="F1847" s="53">
        <f t="shared" ca="1" si="255"/>
        <v>5491583711299.3486</v>
      </c>
      <c r="G1847" s="53">
        <f t="shared" ca="1" si="256"/>
        <v>7609321416891.2813</v>
      </c>
      <c r="H1847" s="53">
        <f t="shared" ca="1" si="257"/>
        <v>7609321416891.2813</v>
      </c>
      <c r="I1847" s="53">
        <f t="shared" ca="1" si="258"/>
        <v>23969133925989.414</v>
      </c>
      <c r="J1847" s="53">
        <f t="shared" ca="1" si="259"/>
        <v>910100755739.53955</v>
      </c>
      <c r="K1847" s="54">
        <f t="shared" ca="1" si="260"/>
        <v>26.336791585797897</v>
      </c>
    </row>
    <row r="1848" spans="2:11" ht="15" customHeight="1" x14ac:dyDescent="0.35">
      <c r="B1848" s="5">
        <v>1827</v>
      </c>
      <c r="C1848" s="52">
        <f t="shared" ca="1" si="252"/>
        <v>3.08922961363441</v>
      </c>
      <c r="D1848" s="53">
        <f t="shared" ca="1" si="253"/>
        <v>4915983782.9101496</v>
      </c>
      <c r="E1848" s="53">
        <f t="shared" ca="1" si="254"/>
        <v>8806227441635.2793</v>
      </c>
      <c r="F1848" s="53">
        <f t="shared" ca="1" si="255"/>
        <v>9787741941991.1504</v>
      </c>
      <c r="G1848" s="53">
        <f t="shared" ca="1" si="256"/>
        <v>40017023389888.859</v>
      </c>
      <c r="H1848" s="53">
        <f t="shared" ca="1" si="257"/>
        <v>40017023389888.859</v>
      </c>
      <c r="I1848" s="53">
        <f t="shared" ca="1" si="258"/>
        <v>6968458170035.417</v>
      </c>
      <c r="J1848" s="53">
        <f t="shared" ca="1" si="259"/>
        <v>1340905993735.1472</v>
      </c>
      <c r="K1848" s="54">
        <f t="shared" ca="1" si="260"/>
        <v>5.1968282658089242</v>
      </c>
    </row>
    <row r="1849" spans="2:11" ht="15" customHeight="1" x14ac:dyDescent="0.35">
      <c r="B1849" s="5">
        <v>1828</v>
      </c>
      <c r="C1849" s="52">
        <f t="shared" ca="1" si="252"/>
        <v>2.2237121645751095</v>
      </c>
      <c r="D1849" s="53">
        <f t="shared" ca="1" si="253"/>
        <v>1223431005.6925056</v>
      </c>
      <c r="E1849" s="53">
        <f t="shared" ca="1" si="254"/>
        <v>4101147248837.1079</v>
      </c>
      <c r="F1849" s="53">
        <f t="shared" ca="1" si="255"/>
        <v>734212427801.68823</v>
      </c>
      <c r="G1849" s="53">
        <f t="shared" ca="1" si="256"/>
        <v>4323536568449.7217</v>
      </c>
      <c r="H1849" s="53">
        <f t="shared" ca="1" si="257"/>
        <v>4323536568449.7217</v>
      </c>
      <c r="I1849" s="53">
        <f t="shared" ca="1" si="258"/>
        <v>26238046690559.574</v>
      </c>
      <c r="J1849" s="53">
        <f t="shared" ca="1" si="259"/>
        <v>975764048622.64844</v>
      </c>
      <c r="K1849" s="54">
        <f t="shared" ca="1" si="260"/>
        <v>26.889745248962807</v>
      </c>
    </row>
    <row r="1850" spans="2:11" ht="15" customHeight="1" x14ac:dyDescent="0.35">
      <c r="B1850" s="5">
        <v>1829</v>
      </c>
      <c r="C1850" s="52">
        <f t="shared" ca="1" si="252"/>
        <v>3.1205479608987514</v>
      </c>
      <c r="D1850" s="53">
        <f t="shared" ca="1" si="253"/>
        <v>5896782590.2797737</v>
      </c>
      <c r="E1850" s="53">
        <f t="shared" ca="1" si="254"/>
        <v>10787451616118.359</v>
      </c>
      <c r="F1850" s="53">
        <f t="shared" ca="1" si="255"/>
        <v>1818729976326.8</v>
      </c>
      <c r="G1850" s="53">
        <f t="shared" ca="1" si="256"/>
        <v>898156643121.54895</v>
      </c>
      <c r="H1850" s="53">
        <f t="shared" ca="1" si="257"/>
        <v>898156643121.54895</v>
      </c>
      <c r="I1850" s="53">
        <f t="shared" ca="1" si="258"/>
        <v>7675083085755.5215</v>
      </c>
      <c r="J1850" s="53">
        <f t="shared" ca="1" si="259"/>
        <v>1571053266334.8167</v>
      </c>
      <c r="K1850" s="54">
        <f t="shared" ca="1" si="260"/>
        <v>4.8853105430734889</v>
      </c>
    </row>
    <row r="1851" spans="2:11" ht="15" customHeight="1" x14ac:dyDescent="0.35">
      <c r="B1851" s="5">
        <v>1830</v>
      </c>
      <c r="C1851" s="52">
        <f t="shared" ca="1" si="252"/>
        <v>2.3585441838714747</v>
      </c>
      <c r="D1851" s="53">
        <f t="shared" ca="1" si="253"/>
        <v>1235080217.8390758</v>
      </c>
      <c r="E1851" s="53">
        <f t="shared" ca="1" si="254"/>
        <v>4858103352122.9297</v>
      </c>
      <c r="F1851" s="53">
        <f t="shared" ca="1" si="255"/>
        <v>3042078888763.3481</v>
      </c>
      <c r="G1851" s="53">
        <f t="shared" ca="1" si="256"/>
        <v>1469049876513.741</v>
      </c>
      <c r="H1851" s="53">
        <f t="shared" ca="1" si="257"/>
        <v>1469049876513.741</v>
      </c>
      <c r="I1851" s="53">
        <f t="shared" ca="1" si="258"/>
        <v>3943385062670.6611</v>
      </c>
      <c r="J1851" s="53">
        <f t="shared" ca="1" si="259"/>
        <v>917606607732.75867</v>
      </c>
      <c r="K1851" s="54">
        <f t="shared" ca="1" si="260"/>
        <v>4.2974680319860141</v>
      </c>
    </row>
    <row r="1852" spans="2:11" ht="15" customHeight="1" x14ac:dyDescent="0.35">
      <c r="B1852" s="5">
        <v>1831</v>
      </c>
      <c r="C1852" s="52">
        <f t="shared" ca="1" si="252"/>
        <v>3.5097723341036442</v>
      </c>
      <c r="D1852" s="53">
        <f t="shared" ca="1" si="253"/>
        <v>9037749041.3313866</v>
      </c>
      <c r="E1852" s="53">
        <f t="shared" ca="1" si="254"/>
        <v>9712961518865.9297</v>
      </c>
      <c r="F1852" s="53">
        <f t="shared" ca="1" si="255"/>
        <v>6469880483283.3486</v>
      </c>
      <c r="G1852" s="53">
        <f t="shared" ca="1" si="256"/>
        <v>6179305432564.9736</v>
      </c>
      <c r="H1852" s="53">
        <f t="shared" ca="1" si="257"/>
        <v>9712961518865.9297</v>
      </c>
      <c r="I1852" s="53">
        <f t="shared" ca="1" si="258"/>
        <v>21739830048939.895</v>
      </c>
      <c r="J1852" s="53">
        <f t="shared" ca="1" si="259"/>
        <v>1283208402845.3503</v>
      </c>
      <c r="K1852" s="54">
        <f t="shared" ca="1" si="260"/>
        <v>16.941776566249569</v>
      </c>
    </row>
    <row r="1853" spans="2:11" ht="15" customHeight="1" x14ac:dyDescent="0.35">
      <c r="B1853" s="5">
        <v>1832</v>
      </c>
      <c r="C1853" s="52">
        <f t="shared" ca="1" si="252"/>
        <v>2.4453393027204027</v>
      </c>
      <c r="D1853" s="53">
        <f t="shared" ca="1" si="253"/>
        <v>1589848389.0620096</v>
      </c>
      <c r="E1853" s="53">
        <f t="shared" ca="1" si="254"/>
        <v>5920862127163.7334</v>
      </c>
      <c r="F1853" s="53">
        <f t="shared" ca="1" si="255"/>
        <v>1159573693576.2991</v>
      </c>
      <c r="G1853" s="53">
        <f t="shared" ca="1" si="256"/>
        <v>33054029848892.871</v>
      </c>
      <c r="H1853" s="53">
        <f t="shared" ca="1" si="257"/>
        <v>1159573693576.2991</v>
      </c>
      <c r="I1853" s="53">
        <f t="shared" ca="1" si="258"/>
        <v>4237818510370.5083</v>
      </c>
      <c r="J1853" s="53">
        <f t="shared" ca="1" si="259"/>
        <v>1177255860127.0459</v>
      </c>
      <c r="K1853" s="54">
        <f t="shared" ca="1" si="260"/>
        <v>3.5997429733865802</v>
      </c>
    </row>
    <row r="1854" spans="2:11" ht="15" customHeight="1" x14ac:dyDescent="0.35">
      <c r="B1854" s="5">
        <v>1833</v>
      </c>
      <c r="C1854" s="52">
        <f t="shared" ca="1" si="252"/>
        <v>2.7096361354119032</v>
      </c>
      <c r="D1854" s="53">
        <f t="shared" ca="1" si="253"/>
        <v>3027524933.2114658</v>
      </c>
      <c r="E1854" s="53">
        <f t="shared" ca="1" si="254"/>
        <v>11894303361377.611</v>
      </c>
      <c r="F1854" s="53">
        <f t="shared" ca="1" si="255"/>
        <v>3608509086764.8765</v>
      </c>
      <c r="G1854" s="53">
        <f t="shared" ca="1" si="256"/>
        <v>1270587052259.75</v>
      </c>
      <c r="H1854" s="53">
        <f t="shared" ca="1" si="257"/>
        <v>1270587052259.75</v>
      </c>
      <c r="I1854" s="53">
        <f t="shared" ca="1" si="258"/>
        <v>13661340437092.133</v>
      </c>
      <c r="J1854" s="53">
        <f t="shared" ca="1" si="259"/>
        <v>1089197899533.4203</v>
      </c>
      <c r="K1854" s="54">
        <f t="shared" ca="1" si="260"/>
        <v>12.542569576147955</v>
      </c>
    </row>
    <row r="1855" spans="2:11" ht="15" customHeight="1" x14ac:dyDescent="0.35">
      <c r="B1855" s="5">
        <v>1834</v>
      </c>
      <c r="C1855" s="52">
        <f t="shared" ca="1" si="252"/>
        <v>3.4552320362708908</v>
      </c>
      <c r="D1855" s="53">
        <f t="shared" ca="1" si="253"/>
        <v>8966285506.630928</v>
      </c>
      <c r="E1855" s="53">
        <f t="shared" ca="1" si="254"/>
        <v>34830348149225.813</v>
      </c>
      <c r="F1855" s="53">
        <f t="shared" ca="1" si="255"/>
        <v>1161155161336.7693</v>
      </c>
      <c r="G1855" s="53">
        <f t="shared" ca="1" si="256"/>
        <v>1113632898517.5332</v>
      </c>
      <c r="H1855" s="53">
        <f t="shared" ca="1" si="257"/>
        <v>34830348149225.813</v>
      </c>
      <c r="I1855" s="53">
        <f t="shared" ca="1" si="258"/>
        <v>28563616110082.766</v>
      </c>
      <c r="J1855" s="53">
        <f t="shared" ca="1" si="259"/>
        <v>559562720501.39893</v>
      </c>
      <c r="K1855" s="54">
        <f t="shared" ca="1" si="260"/>
        <v>51.04631717511166</v>
      </c>
    </row>
    <row r="1856" spans="2:11" ht="15" customHeight="1" x14ac:dyDescent="0.35">
      <c r="B1856" s="5">
        <v>1835</v>
      </c>
      <c r="C1856" s="52">
        <f t="shared" ca="1" si="252"/>
        <v>2.7976398118090002</v>
      </c>
      <c r="D1856" s="53">
        <f t="shared" ca="1" si="253"/>
        <v>2829692674.9576344</v>
      </c>
      <c r="E1856" s="53">
        <f t="shared" ca="1" si="254"/>
        <v>4559131198025.2051</v>
      </c>
      <c r="F1856" s="53">
        <f t="shared" ca="1" si="255"/>
        <v>948045110316.37939</v>
      </c>
      <c r="G1856" s="53">
        <f t="shared" ca="1" si="256"/>
        <v>1585190858678.9473</v>
      </c>
      <c r="H1856" s="53">
        <f t="shared" ca="1" si="257"/>
        <v>4559131198025.2051</v>
      </c>
      <c r="I1856" s="53">
        <f t="shared" ca="1" si="258"/>
        <v>589879212125.81909</v>
      </c>
      <c r="J1856" s="53">
        <f t="shared" ca="1" si="259"/>
        <v>895329371077.9364</v>
      </c>
      <c r="K1856" s="54">
        <f t="shared" ca="1" si="260"/>
        <v>0.65884045713325701</v>
      </c>
    </row>
    <row r="1857" spans="2:11" ht="15" customHeight="1" x14ac:dyDescent="0.35">
      <c r="B1857" s="5">
        <v>1836</v>
      </c>
      <c r="C1857" s="52">
        <f t="shared" ca="1" si="252"/>
        <v>3.4648316990688737</v>
      </c>
      <c r="D1857" s="53">
        <f t="shared" ca="1" si="253"/>
        <v>11593554503.963835</v>
      </c>
      <c r="E1857" s="53">
        <f t="shared" ca="1" si="254"/>
        <v>21145922887068.395</v>
      </c>
      <c r="F1857" s="53">
        <f t="shared" ca="1" si="255"/>
        <v>760391362588.44043</v>
      </c>
      <c r="G1857" s="53">
        <f t="shared" ca="1" si="256"/>
        <v>76909131400247.156</v>
      </c>
      <c r="H1857" s="53">
        <f t="shared" ca="1" si="257"/>
        <v>760391362588.44043</v>
      </c>
      <c r="I1857" s="53">
        <f t="shared" ca="1" si="258"/>
        <v>5771281828194.0742</v>
      </c>
      <c r="J1857" s="53">
        <f t="shared" ca="1" si="259"/>
        <v>463913691723.60986</v>
      </c>
      <c r="K1857" s="54">
        <f t="shared" ca="1" si="260"/>
        <v>12.440421421389054</v>
      </c>
    </row>
    <row r="1858" spans="2:11" ht="15" customHeight="1" x14ac:dyDescent="0.35">
      <c r="B1858" s="5">
        <v>1837</v>
      </c>
      <c r="C1858" s="52">
        <f t="shared" ca="1" si="252"/>
        <v>2.739057419246083</v>
      </c>
      <c r="D1858" s="53">
        <f t="shared" ca="1" si="253"/>
        <v>3261385934.7836833</v>
      </c>
      <c r="E1858" s="53">
        <f t="shared" ca="1" si="254"/>
        <v>19476321093087.23</v>
      </c>
      <c r="F1858" s="53">
        <f t="shared" ca="1" si="255"/>
        <v>505929593576.9303</v>
      </c>
      <c r="G1858" s="53">
        <f t="shared" ca="1" si="256"/>
        <v>1904856450499.8599</v>
      </c>
      <c r="H1858" s="53">
        <f t="shared" ca="1" si="257"/>
        <v>505929593576.9303</v>
      </c>
      <c r="I1858" s="53">
        <f t="shared" ca="1" si="258"/>
        <v>5836232700616.8027</v>
      </c>
      <c r="J1858" s="53">
        <f t="shared" ca="1" si="259"/>
        <v>593559659151.67249</v>
      </c>
      <c r="K1858" s="54">
        <f t="shared" ca="1" si="260"/>
        <v>9.8325966238306446</v>
      </c>
    </row>
    <row r="1859" spans="2:11" ht="15" customHeight="1" x14ac:dyDescent="0.35">
      <c r="B1859" s="5">
        <v>1838</v>
      </c>
      <c r="C1859" s="52">
        <f t="shared" ca="1" si="252"/>
        <v>2.3422381253927536</v>
      </c>
      <c r="D1859" s="53">
        <f t="shared" ca="1" si="253"/>
        <v>1170256070.0904877</v>
      </c>
      <c r="E1859" s="53">
        <f t="shared" ca="1" si="254"/>
        <v>3044107454642.958</v>
      </c>
      <c r="F1859" s="53">
        <f t="shared" ca="1" si="255"/>
        <v>4997659314937.1631</v>
      </c>
      <c r="G1859" s="53">
        <f t="shared" ca="1" si="256"/>
        <v>3433695953619.2568</v>
      </c>
      <c r="H1859" s="53">
        <f t="shared" ca="1" si="257"/>
        <v>4997659314937.1631</v>
      </c>
      <c r="I1859" s="53">
        <f t="shared" ca="1" si="258"/>
        <v>26063614356197.121</v>
      </c>
      <c r="J1859" s="53">
        <f t="shared" ca="1" si="259"/>
        <v>1423571993208.0359</v>
      </c>
      <c r="K1859" s="54">
        <f t="shared" ca="1" si="260"/>
        <v>18.308602923173886</v>
      </c>
    </row>
    <row r="1860" spans="2:11" ht="15" customHeight="1" x14ac:dyDescent="0.35">
      <c r="B1860" s="5">
        <v>1839</v>
      </c>
      <c r="C1860" s="52">
        <f t="shared" ca="1" si="252"/>
        <v>3.7286187364994241</v>
      </c>
      <c r="D1860" s="53">
        <f t="shared" ca="1" si="253"/>
        <v>15814862535.288324</v>
      </c>
      <c r="E1860" s="53">
        <f t="shared" ca="1" si="254"/>
        <v>104340185056791.92</v>
      </c>
      <c r="F1860" s="53">
        <f t="shared" ca="1" si="255"/>
        <v>4127215261375.897</v>
      </c>
      <c r="G1860" s="53">
        <f t="shared" ca="1" si="256"/>
        <v>317852435699.1225</v>
      </c>
      <c r="H1860" s="53">
        <f t="shared" ca="1" si="257"/>
        <v>4127215261375.897</v>
      </c>
      <c r="I1860" s="53">
        <f t="shared" ca="1" si="258"/>
        <v>27636722497703.035</v>
      </c>
      <c r="J1860" s="53">
        <f t="shared" ca="1" si="259"/>
        <v>1166574633431.2463</v>
      </c>
      <c r="K1860" s="54">
        <f t="shared" ca="1" si="260"/>
        <v>23.690488122834573</v>
      </c>
    </row>
    <row r="1861" spans="2:11" ht="15" customHeight="1" x14ac:dyDescent="0.35">
      <c r="B1861" s="5">
        <v>1840</v>
      </c>
      <c r="C1861" s="52">
        <f t="shared" ca="1" si="252"/>
        <v>2.9091055390740506</v>
      </c>
      <c r="D1861" s="53">
        <f t="shared" ca="1" si="253"/>
        <v>4075759846.8009086</v>
      </c>
      <c r="E1861" s="53">
        <f t="shared" ca="1" si="254"/>
        <v>4217672272435.4614</v>
      </c>
      <c r="F1861" s="53">
        <f t="shared" ca="1" si="255"/>
        <v>13416569890854.773</v>
      </c>
      <c r="G1861" s="53">
        <f t="shared" ca="1" si="256"/>
        <v>2523904859320.6699</v>
      </c>
      <c r="H1861" s="53">
        <f t="shared" ca="1" si="257"/>
        <v>2523904859320.6699</v>
      </c>
      <c r="I1861" s="53">
        <f t="shared" ca="1" si="258"/>
        <v>3212382414282.4243</v>
      </c>
      <c r="J1861" s="53">
        <f t="shared" ca="1" si="259"/>
        <v>1236788745157.7727</v>
      </c>
      <c r="K1861" s="54">
        <f t="shared" ca="1" si="260"/>
        <v>2.5973574119746958</v>
      </c>
    </row>
    <row r="1862" spans="2:11" ht="15" customHeight="1" x14ac:dyDescent="0.35">
      <c r="B1862" s="5">
        <v>1841</v>
      </c>
      <c r="C1862" s="52">
        <f t="shared" ca="1" si="252"/>
        <v>3.6347125712553421</v>
      </c>
      <c r="D1862" s="53">
        <f t="shared" ca="1" si="253"/>
        <v>11614430339.802509</v>
      </c>
      <c r="E1862" s="53">
        <f t="shared" ca="1" si="254"/>
        <v>140963511870899.97</v>
      </c>
      <c r="F1862" s="53">
        <f t="shared" ca="1" si="255"/>
        <v>3071454801564.312</v>
      </c>
      <c r="G1862" s="53">
        <f t="shared" ca="1" si="256"/>
        <v>896023418013.8031</v>
      </c>
      <c r="H1862" s="53">
        <f t="shared" ca="1" si="257"/>
        <v>896023418013.8031</v>
      </c>
      <c r="I1862" s="53">
        <f t="shared" ca="1" si="258"/>
        <v>14770577460828.32</v>
      </c>
      <c r="J1862" s="53">
        <f t="shared" ca="1" si="259"/>
        <v>794390346436.05994</v>
      </c>
      <c r="K1862" s="54">
        <f t="shared" ca="1" si="260"/>
        <v>18.593601404013533</v>
      </c>
    </row>
    <row r="1863" spans="2:11" ht="15" customHeight="1" x14ac:dyDescent="0.35">
      <c r="B1863" s="5">
        <v>1842</v>
      </c>
      <c r="C1863" s="52">
        <f t="shared" ca="1" si="252"/>
        <v>3.1665604598790118</v>
      </c>
      <c r="D1863" s="53">
        <f t="shared" ca="1" si="253"/>
        <v>6804102824.5597076</v>
      </c>
      <c r="E1863" s="53">
        <f t="shared" ca="1" si="254"/>
        <v>9339984563383.2676</v>
      </c>
      <c r="F1863" s="53">
        <f t="shared" ca="1" si="255"/>
        <v>8011206760479.834</v>
      </c>
      <c r="G1863" s="53">
        <f t="shared" ca="1" si="256"/>
        <v>18048245095940.652</v>
      </c>
      <c r="H1863" s="53">
        <f t="shared" ca="1" si="257"/>
        <v>18048245095940.652</v>
      </c>
      <c r="I1863" s="53">
        <f t="shared" ca="1" si="258"/>
        <v>13086258491467.082</v>
      </c>
      <c r="J1863" s="53">
        <f t="shared" ca="1" si="259"/>
        <v>1159275482236.0107</v>
      </c>
      <c r="K1863" s="54">
        <f t="shared" ca="1" si="260"/>
        <v>11.288307819834424</v>
      </c>
    </row>
    <row r="1864" spans="2:11" ht="15" customHeight="1" x14ac:dyDescent="0.35">
      <c r="B1864" s="5">
        <v>1843</v>
      </c>
      <c r="C1864" s="52">
        <f t="shared" ca="1" si="252"/>
        <v>2.7226362535553759</v>
      </c>
      <c r="D1864" s="53">
        <f t="shared" ca="1" si="253"/>
        <v>3095287053.6490746</v>
      </c>
      <c r="E1864" s="53">
        <f t="shared" ca="1" si="254"/>
        <v>3557590607185.6655</v>
      </c>
      <c r="F1864" s="53">
        <f t="shared" ca="1" si="255"/>
        <v>278919736663.69958</v>
      </c>
      <c r="G1864" s="53">
        <f t="shared" ca="1" si="256"/>
        <v>11729509882495.707</v>
      </c>
      <c r="H1864" s="53">
        <f t="shared" ca="1" si="257"/>
        <v>278919736663.69958</v>
      </c>
      <c r="I1864" s="53">
        <f t="shared" ca="1" si="258"/>
        <v>66732854928233.906</v>
      </c>
      <c r="J1864" s="53">
        <f t="shared" ca="1" si="259"/>
        <v>1168936594495.5093</v>
      </c>
      <c r="K1864" s="54">
        <f t="shared" ca="1" si="260"/>
        <v>57.088515529821812</v>
      </c>
    </row>
    <row r="1865" spans="2:11" ht="15" customHeight="1" x14ac:dyDescent="0.35">
      <c r="B1865" s="5">
        <v>1844</v>
      </c>
      <c r="C1865" s="52">
        <f t="shared" ca="1" si="252"/>
        <v>2.9726288716434937</v>
      </c>
      <c r="D1865" s="53">
        <f t="shared" ca="1" si="253"/>
        <v>3859692224.4400644</v>
      </c>
      <c r="E1865" s="53">
        <f t="shared" ca="1" si="254"/>
        <v>29353465735638.711</v>
      </c>
      <c r="F1865" s="53">
        <f t="shared" ca="1" si="255"/>
        <v>839118795406.94128</v>
      </c>
      <c r="G1865" s="53">
        <f t="shared" ca="1" si="256"/>
        <v>5281368344198.416</v>
      </c>
      <c r="H1865" s="53">
        <f t="shared" ca="1" si="257"/>
        <v>839118795406.94128</v>
      </c>
      <c r="I1865" s="53">
        <f t="shared" ca="1" si="258"/>
        <v>12544921098282.652</v>
      </c>
      <c r="J1865" s="53">
        <f t="shared" ca="1" si="259"/>
        <v>1660676830224.5432</v>
      </c>
      <c r="K1865" s="54">
        <f t="shared" ca="1" si="260"/>
        <v>7.5541013579303264</v>
      </c>
    </row>
    <row r="1866" spans="2:11" ht="15" customHeight="1" x14ac:dyDescent="0.35">
      <c r="B1866" s="5">
        <v>1845</v>
      </c>
      <c r="C1866" s="52">
        <f t="shared" ca="1" si="252"/>
        <v>2.6557868168292775</v>
      </c>
      <c r="D1866" s="53">
        <f t="shared" ca="1" si="253"/>
        <v>2888908994.7606101</v>
      </c>
      <c r="E1866" s="53">
        <f t="shared" ca="1" si="254"/>
        <v>11691199627218.268</v>
      </c>
      <c r="F1866" s="53">
        <f t="shared" ca="1" si="255"/>
        <v>11265725122180.957</v>
      </c>
      <c r="G1866" s="53">
        <f t="shared" ca="1" si="256"/>
        <v>8456877012746.3076</v>
      </c>
      <c r="H1866" s="53">
        <f t="shared" ca="1" si="257"/>
        <v>11265725122180.957</v>
      </c>
      <c r="I1866" s="53">
        <f t="shared" ca="1" si="258"/>
        <v>9750401015018.959</v>
      </c>
      <c r="J1866" s="53">
        <f t="shared" ca="1" si="259"/>
        <v>637901950028.9856</v>
      </c>
      <c r="K1866" s="54">
        <f t="shared" ca="1" si="260"/>
        <v>15.285109278276874</v>
      </c>
    </row>
    <row r="1867" spans="2:11" ht="15" customHeight="1" x14ac:dyDescent="0.35">
      <c r="B1867" s="5">
        <v>1846</v>
      </c>
      <c r="C1867" s="52">
        <f t="shared" ca="1" si="252"/>
        <v>3.893270268301058</v>
      </c>
      <c r="D1867" s="53">
        <f t="shared" ca="1" si="253"/>
        <v>20326225561.421429</v>
      </c>
      <c r="E1867" s="53">
        <f t="shared" ca="1" si="254"/>
        <v>22722544677516.91</v>
      </c>
      <c r="F1867" s="53">
        <f t="shared" ca="1" si="255"/>
        <v>2502075721243.8438</v>
      </c>
      <c r="G1867" s="53">
        <f t="shared" ca="1" si="256"/>
        <v>5609486505642.4961</v>
      </c>
      <c r="H1867" s="53">
        <f t="shared" ca="1" si="257"/>
        <v>22722544677516.91</v>
      </c>
      <c r="I1867" s="53">
        <f t="shared" ca="1" si="258"/>
        <v>12367015634628.555</v>
      </c>
      <c r="J1867" s="53">
        <f t="shared" ca="1" si="259"/>
        <v>996764795205.76465</v>
      </c>
      <c r="K1867" s="54">
        <f t="shared" ca="1" si="260"/>
        <v>12.407155323012388</v>
      </c>
    </row>
    <row r="1868" spans="2:11" ht="15" customHeight="1" x14ac:dyDescent="0.35">
      <c r="B1868" s="5">
        <v>1847</v>
      </c>
      <c r="C1868" s="52">
        <f t="shared" ca="1" si="252"/>
        <v>2.7758913362128181</v>
      </c>
      <c r="D1868" s="53">
        <f t="shared" ca="1" si="253"/>
        <v>2687627300.4602022</v>
      </c>
      <c r="E1868" s="53">
        <f t="shared" ca="1" si="254"/>
        <v>2240010287787.1729</v>
      </c>
      <c r="F1868" s="53">
        <f t="shared" ca="1" si="255"/>
        <v>8524702253030.0078</v>
      </c>
      <c r="G1868" s="53">
        <f t="shared" ca="1" si="256"/>
        <v>11947850341671.197</v>
      </c>
      <c r="H1868" s="53">
        <f t="shared" ca="1" si="257"/>
        <v>2240010287787.1729</v>
      </c>
      <c r="I1868" s="53">
        <f t="shared" ca="1" si="258"/>
        <v>16749945563821.164</v>
      </c>
      <c r="J1868" s="53">
        <f t="shared" ca="1" si="259"/>
        <v>861196142690.65417</v>
      </c>
      <c r="K1868" s="54">
        <f t="shared" ca="1" si="260"/>
        <v>19.449629107126441</v>
      </c>
    </row>
    <row r="1869" spans="2:11" ht="15" customHeight="1" x14ac:dyDescent="0.35">
      <c r="B1869" s="5">
        <v>1848</v>
      </c>
      <c r="C1869" s="52">
        <f t="shared" ca="1" si="252"/>
        <v>2.7495318719986757</v>
      </c>
      <c r="D1869" s="53">
        <f t="shared" ca="1" si="253"/>
        <v>3675759637.9862423</v>
      </c>
      <c r="E1869" s="53">
        <f t="shared" ca="1" si="254"/>
        <v>28024307307790.063</v>
      </c>
      <c r="F1869" s="53">
        <f t="shared" ca="1" si="255"/>
        <v>1170322882610.2861</v>
      </c>
      <c r="G1869" s="53">
        <f t="shared" ca="1" si="256"/>
        <v>2932046498512.5283</v>
      </c>
      <c r="H1869" s="53">
        <f t="shared" ca="1" si="257"/>
        <v>2932046498512.5283</v>
      </c>
      <c r="I1869" s="53">
        <f t="shared" ca="1" si="258"/>
        <v>7251698180533.0449</v>
      </c>
      <c r="J1869" s="53">
        <f t="shared" ca="1" si="259"/>
        <v>1569735185527.0808</v>
      </c>
      <c r="K1869" s="54">
        <f t="shared" ca="1" si="260"/>
        <v>4.6196952501246837</v>
      </c>
    </row>
    <row r="1870" spans="2:11" ht="15" customHeight="1" x14ac:dyDescent="0.35">
      <c r="B1870" s="5">
        <v>1849</v>
      </c>
      <c r="C1870" s="52">
        <f t="shared" ca="1" si="252"/>
        <v>3.1495597876397894</v>
      </c>
      <c r="D1870" s="53">
        <f t="shared" ca="1" si="253"/>
        <v>5316462263.8566818</v>
      </c>
      <c r="E1870" s="53">
        <f t="shared" ca="1" si="254"/>
        <v>6384872948377.625</v>
      </c>
      <c r="F1870" s="53">
        <f t="shared" ca="1" si="255"/>
        <v>2195842405041.176</v>
      </c>
      <c r="G1870" s="53">
        <f t="shared" ca="1" si="256"/>
        <v>2684134823295.1143</v>
      </c>
      <c r="H1870" s="53">
        <f t="shared" ca="1" si="257"/>
        <v>2684134823295.1143</v>
      </c>
      <c r="I1870" s="53">
        <f t="shared" ca="1" si="258"/>
        <v>1050546358099.3369</v>
      </c>
      <c r="J1870" s="53">
        <f t="shared" ca="1" si="259"/>
        <v>1672203807234.9363</v>
      </c>
      <c r="K1870" s="54">
        <f t="shared" ca="1" si="260"/>
        <v>0.62824062088248811</v>
      </c>
    </row>
    <row r="1871" spans="2:11" ht="15" customHeight="1" x14ac:dyDescent="0.35">
      <c r="B1871" s="5">
        <v>1850</v>
      </c>
      <c r="C1871" s="52">
        <f t="shared" ca="1" si="252"/>
        <v>2.5100711430973588</v>
      </c>
      <c r="D1871" s="53">
        <f t="shared" ca="1" si="253"/>
        <v>1888641607.025233</v>
      </c>
      <c r="E1871" s="53">
        <f t="shared" ca="1" si="254"/>
        <v>2040807490002.5669</v>
      </c>
      <c r="F1871" s="53">
        <f t="shared" ca="1" si="255"/>
        <v>4032676493702.1958</v>
      </c>
      <c r="G1871" s="53">
        <f t="shared" ca="1" si="256"/>
        <v>71731526067737.266</v>
      </c>
      <c r="H1871" s="53">
        <f t="shared" ca="1" si="257"/>
        <v>2040807490002.5669</v>
      </c>
      <c r="I1871" s="53">
        <f t="shared" ca="1" si="258"/>
        <v>10273111991762.238</v>
      </c>
      <c r="J1871" s="53">
        <f t="shared" ca="1" si="259"/>
        <v>1298938011443.1826</v>
      </c>
      <c r="K1871" s="54">
        <f t="shared" ca="1" si="260"/>
        <v>7.9088546961131092</v>
      </c>
    </row>
    <row r="1872" spans="2:11" ht="15" customHeight="1" x14ac:dyDescent="0.35">
      <c r="B1872" s="5">
        <v>1851</v>
      </c>
      <c r="C1872" s="52">
        <f t="shared" ca="1" si="252"/>
        <v>2.3894650212046602</v>
      </c>
      <c r="D1872" s="53">
        <f t="shared" ca="1" si="253"/>
        <v>1479743445.3026154</v>
      </c>
      <c r="E1872" s="53">
        <f t="shared" ca="1" si="254"/>
        <v>16846937609245.92</v>
      </c>
      <c r="F1872" s="53">
        <f t="shared" ca="1" si="255"/>
        <v>8534807927373.9004</v>
      </c>
      <c r="G1872" s="53">
        <f t="shared" ca="1" si="256"/>
        <v>1466825600792.9265</v>
      </c>
      <c r="H1872" s="53">
        <f t="shared" ca="1" si="257"/>
        <v>8534807927373.9004</v>
      </c>
      <c r="I1872" s="53">
        <f t="shared" ca="1" si="258"/>
        <v>2858791342642.083</v>
      </c>
      <c r="J1872" s="53">
        <f t="shared" ca="1" si="259"/>
        <v>1345818680443.2791</v>
      </c>
      <c r="K1872" s="54">
        <f t="shared" ca="1" si="260"/>
        <v>2.1242024532609909</v>
      </c>
    </row>
    <row r="1873" spans="2:11" ht="15" customHeight="1" x14ac:dyDescent="0.35">
      <c r="B1873" s="5">
        <v>1852</v>
      </c>
      <c r="C1873" s="52">
        <f t="shared" ca="1" si="252"/>
        <v>4.0794471192638504</v>
      </c>
      <c r="D1873" s="53">
        <f t="shared" ca="1" si="253"/>
        <v>18874423585.669189</v>
      </c>
      <c r="E1873" s="53">
        <f t="shared" ca="1" si="254"/>
        <v>81413851330227.891</v>
      </c>
      <c r="F1873" s="53">
        <f t="shared" ca="1" si="255"/>
        <v>3273980952198.5322</v>
      </c>
      <c r="G1873" s="53">
        <f t="shared" ca="1" si="256"/>
        <v>10485706316445.389</v>
      </c>
      <c r="H1873" s="53">
        <f t="shared" ca="1" si="257"/>
        <v>3273980952198.5322</v>
      </c>
      <c r="I1873" s="53">
        <f t="shared" ca="1" si="258"/>
        <v>10976570921532.586</v>
      </c>
      <c r="J1873" s="53">
        <f t="shared" ca="1" si="259"/>
        <v>1280592958845.3206</v>
      </c>
      <c r="K1873" s="54">
        <f t="shared" ca="1" si="260"/>
        <v>8.5714753042449114</v>
      </c>
    </row>
    <row r="1874" spans="2:11" ht="15" customHeight="1" x14ac:dyDescent="0.35">
      <c r="B1874" s="5">
        <v>1853</v>
      </c>
      <c r="C1874" s="52">
        <f t="shared" ca="1" si="252"/>
        <v>2.6599779104224135</v>
      </c>
      <c r="D1874" s="53">
        <f t="shared" ca="1" si="253"/>
        <v>3172259037.1691189</v>
      </c>
      <c r="E1874" s="53">
        <f t="shared" ca="1" si="254"/>
        <v>30267991739130.73</v>
      </c>
      <c r="F1874" s="53">
        <f t="shared" ca="1" si="255"/>
        <v>1546079827919.6968</v>
      </c>
      <c r="G1874" s="53">
        <f t="shared" ca="1" si="256"/>
        <v>14465993304784.094</v>
      </c>
      <c r="H1874" s="53">
        <f t="shared" ca="1" si="257"/>
        <v>30267991739130.73</v>
      </c>
      <c r="I1874" s="53">
        <f t="shared" ca="1" si="258"/>
        <v>10054887155567.006</v>
      </c>
      <c r="J1874" s="53">
        <f t="shared" ca="1" si="259"/>
        <v>1484219098686.2957</v>
      </c>
      <c r="K1874" s="54">
        <f t="shared" ca="1" si="260"/>
        <v>6.7745302324075576</v>
      </c>
    </row>
    <row r="1875" spans="2:11" ht="15" customHeight="1" x14ac:dyDescent="0.35">
      <c r="B1875" s="5">
        <v>1854</v>
      </c>
      <c r="C1875" s="52">
        <f t="shared" ca="1" si="252"/>
        <v>2.7654873665125286</v>
      </c>
      <c r="D1875" s="53">
        <f t="shared" ca="1" si="253"/>
        <v>2676442710.2085376</v>
      </c>
      <c r="E1875" s="53">
        <f t="shared" ca="1" si="254"/>
        <v>6393296009355.0107</v>
      </c>
      <c r="F1875" s="53">
        <f t="shared" ca="1" si="255"/>
        <v>41037196887602.117</v>
      </c>
      <c r="G1875" s="53">
        <f t="shared" ca="1" si="256"/>
        <v>4059656592575.561</v>
      </c>
      <c r="H1875" s="53">
        <f t="shared" ca="1" si="257"/>
        <v>6393296009355.0107</v>
      </c>
      <c r="I1875" s="53">
        <f t="shared" ca="1" si="258"/>
        <v>11571430697138.439</v>
      </c>
      <c r="J1875" s="53">
        <f t="shared" ca="1" si="259"/>
        <v>556655071870.76758</v>
      </c>
      <c r="K1875" s="54">
        <f t="shared" ca="1" si="260"/>
        <v>20.78743423328558</v>
      </c>
    </row>
    <row r="1876" spans="2:11" ht="15" customHeight="1" x14ac:dyDescent="0.35">
      <c r="B1876" s="5">
        <v>1855</v>
      </c>
      <c r="C1876" s="52">
        <f t="shared" ca="1" si="252"/>
        <v>2.8984327398784049</v>
      </c>
      <c r="D1876" s="53">
        <f t="shared" ca="1" si="253"/>
        <v>3398246829.7602115</v>
      </c>
      <c r="E1876" s="53">
        <f t="shared" ca="1" si="254"/>
        <v>7190948406485.9326</v>
      </c>
      <c r="F1876" s="53">
        <f t="shared" ca="1" si="255"/>
        <v>9486957528376.5195</v>
      </c>
      <c r="G1876" s="53">
        <f t="shared" ca="1" si="256"/>
        <v>3525296571103.6597</v>
      </c>
      <c r="H1876" s="53">
        <f t="shared" ca="1" si="257"/>
        <v>7190948406485.9326</v>
      </c>
      <c r="I1876" s="53">
        <f t="shared" ca="1" si="258"/>
        <v>2639660286196.8027</v>
      </c>
      <c r="J1876" s="53">
        <f t="shared" ca="1" si="259"/>
        <v>1544647262641.3481</v>
      </c>
      <c r="K1876" s="54">
        <f t="shared" ca="1" si="260"/>
        <v>1.7089081436515037</v>
      </c>
    </row>
    <row r="1877" spans="2:11" ht="15" customHeight="1" x14ac:dyDescent="0.35">
      <c r="B1877" s="5">
        <v>1856</v>
      </c>
      <c r="C1877" s="52">
        <f t="shared" ca="1" si="252"/>
        <v>3.2910288446104357</v>
      </c>
      <c r="D1877" s="53">
        <f t="shared" ca="1" si="253"/>
        <v>8727469976.1097755</v>
      </c>
      <c r="E1877" s="53">
        <f t="shared" ca="1" si="254"/>
        <v>25403989166895.605</v>
      </c>
      <c r="F1877" s="53">
        <f t="shared" ca="1" si="255"/>
        <v>2620810409889.9844</v>
      </c>
      <c r="G1877" s="53">
        <f t="shared" ca="1" si="256"/>
        <v>1746540631229.7188</v>
      </c>
      <c r="H1877" s="53">
        <f t="shared" ca="1" si="257"/>
        <v>2620810409889.9844</v>
      </c>
      <c r="I1877" s="53">
        <f t="shared" ca="1" si="258"/>
        <v>212448250623.44568</v>
      </c>
      <c r="J1877" s="53">
        <f t="shared" ca="1" si="259"/>
        <v>1656755272584.948</v>
      </c>
      <c r="K1877" s="54">
        <f t="shared" ca="1" si="260"/>
        <v>0.1282315222645852</v>
      </c>
    </row>
    <row r="1878" spans="2:11" ht="15" customHeight="1" x14ac:dyDescent="0.35">
      <c r="B1878" s="5">
        <v>1857</v>
      </c>
      <c r="C1878" s="52">
        <f t="shared" ref="C1878:C1941" ca="1" si="261">MEDIAN(1.8,NORMINV(RAND(),$C$7,$D$7),4.5)</f>
        <v>2.9506716030683009</v>
      </c>
      <c r="D1878" s="53">
        <f t="shared" ref="D1878:D1941" ca="1" si="262">($C$8+RAND()*($D$8-$C$8))*C1878^5</f>
        <v>3720609330.9355206</v>
      </c>
      <c r="E1878" s="53">
        <f t="shared" ref="E1878:E1941" ca="1" si="263">D1878*($C$10+RAND()*($D$10-$C$10))*EXP(NORMINV(RAND(),$C$9,$D$9))*($C$11+RAND()*($D$11-$C$11))</f>
        <v>28893895271500.91</v>
      </c>
      <c r="F1878" s="53">
        <f t="shared" ref="F1878:F1941" ca="1" si="264">EXP(NORMINV(RAND(),$C$12,$D$12))*EXP(NORMINV(RAND(),$C$13,$D$13))</f>
        <v>919770667944.5249</v>
      </c>
      <c r="G1878" s="53">
        <f t="shared" ref="G1878:G1941" ca="1" si="265">EXP(NORMINV(RAND(),$C$14,$D$14))*($C$15+RAND()*($D$15-$C$15))*EXP(NORMINV(RAND(),$C$16,$D$16))/1000000*31536000</f>
        <v>31763862894152.668</v>
      </c>
      <c r="H1878" s="53">
        <f t="shared" ref="H1878:H1941" ca="1" si="266">CHOOSE(RANDBETWEEN(1,3),E1878,F1878,G1878)</f>
        <v>31763862894152.668</v>
      </c>
      <c r="I1878" s="53">
        <f t="shared" ref="I1878:I1941" ca="1" si="267">EXP(NORMINV(RAND(),$C$14,$D$14))*($C$15+RAND()*($D$15-$C$15))*60</f>
        <v>4918471675874.0098</v>
      </c>
      <c r="J1878" s="53">
        <f t="shared" ref="J1878:J1941" ca="1" si="268">($C$17+RAND()*($D$17-$C$17))*($C$18+RAND()*($D$18-$C$18))</f>
        <v>909759737637.17395</v>
      </c>
      <c r="K1878" s="54">
        <f t="shared" ref="K1878:K1941" ca="1" si="269">I1878/J1878</f>
        <v>5.4063413365030355</v>
      </c>
    </row>
    <row r="1879" spans="2:11" ht="15" customHeight="1" x14ac:dyDescent="0.35">
      <c r="B1879" s="5">
        <v>1858</v>
      </c>
      <c r="C1879" s="52">
        <f t="shared" ca="1" si="261"/>
        <v>2.4823607061886706</v>
      </c>
      <c r="D1879" s="53">
        <f t="shared" ca="1" si="262"/>
        <v>1928954082.3597844</v>
      </c>
      <c r="E1879" s="53">
        <f t="shared" ca="1" si="263"/>
        <v>8924605029496.0293</v>
      </c>
      <c r="F1879" s="53">
        <f t="shared" ca="1" si="264"/>
        <v>4072210873856.7861</v>
      </c>
      <c r="G1879" s="53">
        <f t="shared" ca="1" si="265"/>
        <v>2654867233210.7007</v>
      </c>
      <c r="H1879" s="53">
        <f t="shared" ca="1" si="266"/>
        <v>4072210873856.7861</v>
      </c>
      <c r="I1879" s="53">
        <f t="shared" ca="1" si="267"/>
        <v>690434449526688.63</v>
      </c>
      <c r="J1879" s="53">
        <f t="shared" ca="1" si="268"/>
        <v>833575665576.66528</v>
      </c>
      <c r="K1879" s="54">
        <f t="shared" ca="1" si="269"/>
        <v>828.28047655283706</v>
      </c>
    </row>
    <row r="1880" spans="2:11" ht="15" customHeight="1" x14ac:dyDescent="0.35">
      <c r="B1880" s="5">
        <v>1859</v>
      </c>
      <c r="C1880" s="52">
        <f t="shared" ca="1" si="261"/>
        <v>2.7864238250668909</v>
      </c>
      <c r="D1880" s="53">
        <f t="shared" ca="1" si="262"/>
        <v>3366469191.1914144</v>
      </c>
      <c r="E1880" s="53">
        <f t="shared" ca="1" si="263"/>
        <v>52790054446126.531</v>
      </c>
      <c r="F1880" s="53">
        <f t="shared" ca="1" si="264"/>
        <v>760519666813.85864</v>
      </c>
      <c r="G1880" s="53">
        <f t="shared" ca="1" si="265"/>
        <v>799618693840.04846</v>
      </c>
      <c r="H1880" s="53">
        <f t="shared" ca="1" si="266"/>
        <v>760519666813.85864</v>
      </c>
      <c r="I1880" s="53">
        <f t="shared" ca="1" si="267"/>
        <v>4779273069566.1963</v>
      </c>
      <c r="J1880" s="53">
        <f t="shared" ca="1" si="268"/>
        <v>1106357640193.2173</v>
      </c>
      <c r="K1880" s="54">
        <f t="shared" ca="1" si="269"/>
        <v>4.319826515349531</v>
      </c>
    </row>
    <row r="1881" spans="2:11" ht="15" customHeight="1" x14ac:dyDescent="0.35">
      <c r="B1881" s="5">
        <v>1860</v>
      </c>
      <c r="C1881" s="52">
        <f t="shared" ca="1" si="261"/>
        <v>3.4769850761299068</v>
      </c>
      <c r="D1881" s="53">
        <f t="shared" ca="1" si="262"/>
        <v>9877593022.1328983</v>
      </c>
      <c r="E1881" s="53">
        <f t="shared" ca="1" si="263"/>
        <v>19195720332669.105</v>
      </c>
      <c r="F1881" s="53">
        <f t="shared" ca="1" si="264"/>
        <v>1143188348687.198</v>
      </c>
      <c r="G1881" s="53">
        <f t="shared" ca="1" si="265"/>
        <v>18069588185585.527</v>
      </c>
      <c r="H1881" s="53">
        <f t="shared" ca="1" si="266"/>
        <v>1143188348687.198</v>
      </c>
      <c r="I1881" s="53">
        <f t="shared" ca="1" si="267"/>
        <v>1697753156543.0586</v>
      </c>
      <c r="J1881" s="53">
        <f t="shared" ca="1" si="268"/>
        <v>1039661660385.5303</v>
      </c>
      <c r="K1881" s="54">
        <f t="shared" ca="1" si="269"/>
        <v>1.6329862119889011</v>
      </c>
    </row>
    <row r="1882" spans="2:11" ht="15" customHeight="1" x14ac:dyDescent="0.35">
      <c r="B1882" s="5">
        <v>1861</v>
      </c>
      <c r="C1882" s="52">
        <f t="shared" ca="1" si="261"/>
        <v>2.765693626141803</v>
      </c>
      <c r="D1882" s="53">
        <f t="shared" ca="1" si="262"/>
        <v>2590939950.137146</v>
      </c>
      <c r="E1882" s="53">
        <f t="shared" ca="1" si="263"/>
        <v>7728865820240.9248</v>
      </c>
      <c r="F1882" s="53">
        <f t="shared" ca="1" si="264"/>
        <v>2896893486712.8101</v>
      </c>
      <c r="G1882" s="53">
        <f t="shared" ca="1" si="265"/>
        <v>370382554186.53778</v>
      </c>
      <c r="H1882" s="53">
        <f t="shared" ca="1" si="266"/>
        <v>370382554186.53778</v>
      </c>
      <c r="I1882" s="53">
        <f t="shared" ca="1" si="267"/>
        <v>3472018059035.7324</v>
      </c>
      <c r="J1882" s="53">
        <f t="shared" ca="1" si="268"/>
        <v>858635556293.35352</v>
      </c>
      <c r="K1882" s="54">
        <f t="shared" ca="1" si="269"/>
        <v>4.0436457977865459</v>
      </c>
    </row>
    <row r="1883" spans="2:11" ht="15" customHeight="1" x14ac:dyDescent="0.35">
      <c r="B1883" s="5">
        <v>1862</v>
      </c>
      <c r="C1883" s="52">
        <f t="shared" ca="1" si="261"/>
        <v>2.8560756757143286</v>
      </c>
      <c r="D1883" s="53">
        <f t="shared" ca="1" si="262"/>
        <v>3870447412.7112622</v>
      </c>
      <c r="E1883" s="53">
        <f t="shared" ca="1" si="263"/>
        <v>36692492882078.391</v>
      </c>
      <c r="F1883" s="53">
        <f t="shared" ca="1" si="264"/>
        <v>5423493494760.8076</v>
      </c>
      <c r="G1883" s="53">
        <f t="shared" ca="1" si="265"/>
        <v>8070801818787.7207</v>
      </c>
      <c r="H1883" s="53">
        <f t="shared" ca="1" si="266"/>
        <v>8070801818787.7207</v>
      </c>
      <c r="I1883" s="53">
        <f t="shared" ca="1" si="267"/>
        <v>4970876287989.6445</v>
      </c>
      <c r="J1883" s="53">
        <f t="shared" ca="1" si="268"/>
        <v>1062772210847.5267</v>
      </c>
      <c r="K1883" s="54">
        <f t="shared" ca="1" si="269"/>
        <v>4.6772734902670541</v>
      </c>
    </row>
    <row r="1884" spans="2:11" ht="15" customHeight="1" x14ac:dyDescent="0.35">
      <c r="B1884" s="5">
        <v>1863</v>
      </c>
      <c r="C1884" s="52">
        <f t="shared" ca="1" si="261"/>
        <v>3.6145551879501197</v>
      </c>
      <c r="D1884" s="53">
        <f t="shared" ca="1" si="262"/>
        <v>11994909445.35873</v>
      </c>
      <c r="E1884" s="53">
        <f t="shared" ca="1" si="263"/>
        <v>142594579051443.13</v>
      </c>
      <c r="F1884" s="53">
        <f t="shared" ca="1" si="264"/>
        <v>1103440380072.1677</v>
      </c>
      <c r="G1884" s="53">
        <f t="shared" ca="1" si="265"/>
        <v>8429509219234.8438</v>
      </c>
      <c r="H1884" s="53">
        <f t="shared" ca="1" si="266"/>
        <v>1103440380072.1677</v>
      </c>
      <c r="I1884" s="53">
        <f t="shared" ca="1" si="267"/>
        <v>27865564684745.641</v>
      </c>
      <c r="J1884" s="53">
        <f t="shared" ca="1" si="268"/>
        <v>1007845286689.1241</v>
      </c>
      <c r="K1884" s="54">
        <f t="shared" ca="1" si="269"/>
        <v>27.648653074805658</v>
      </c>
    </row>
    <row r="1885" spans="2:11" ht="15" customHeight="1" x14ac:dyDescent="0.35">
      <c r="B1885" s="5">
        <v>1864</v>
      </c>
      <c r="C1885" s="52">
        <f t="shared" ca="1" si="261"/>
        <v>3.3815018332838109</v>
      </c>
      <c r="D1885" s="53">
        <f t="shared" ca="1" si="262"/>
        <v>9006955996.94314</v>
      </c>
      <c r="E1885" s="53">
        <f t="shared" ca="1" si="263"/>
        <v>3859653314530.1836</v>
      </c>
      <c r="F1885" s="53">
        <f t="shared" ca="1" si="264"/>
        <v>7886750936345.1514</v>
      </c>
      <c r="G1885" s="53">
        <f t="shared" ca="1" si="265"/>
        <v>2212428721597.5195</v>
      </c>
      <c r="H1885" s="53">
        <f t="shared" ca="1" si="266"/>
        <v>7886750936345.1514</v>
      </c>
      <c r="I1885" s="53">
        <f t="shared" ca="1" si="267"/>
        <v>79031992571721.203</v>
      </c>
      <c r="J1885" s="53">
        <f t="shared" ca="1" si="268"/>
        <v>968468567321.50208</v>
      </c>
      <c r="K1885" s="54">
        <f t="shared" ca="1" si="269"/>
        <v>81.605118884033942</v>
      </c>
    </row>
    <row r="1886" spans="2:11" ht="15" customHeight="1" x14ac:dyDescent="0.35">
      <c r="B1886" s="5">
        <v>1865</v>
      </c>
      <c r="C1886" s="52">
        <f t="shared" ca="1" si="261"/>
        <v>3.5703951052109781</v>
      </c>
      <c r="D1886" s="53">
        <f t="shared" ca="1" si="262"/>
        <v>13783320272.501392</v>
      </c>
      <c r="E1886" s="53">
        <f t="shared" ca="1" si="263"/>
        <v>149385500826456.69</v>
      </c>
      <c r="F1886" s="53">
        <f t="shared" ca="1" si="264"/>
        <v>833672510707.21826</v>
      </c>
      <c r="G1886" s="53">
        <f t="shared" ca="1" si="265"/>
        <v>1721102803805.8701</v>
      </c>
      <c r="H1886" s="53">
        <f t="shared" ca="1" si="266"/>
        <v>1721102803805.8701</v>
      </c>
      <c r="I1886" s="53">
        <f t="shared" ca="1" si="267"/>
        <v>4460238999951.5967</v>
      </c>
      <c r="J1886" s="53">
        <f t="shared" ca="1" si="268"/>
        <v>1345842099794.2114</v>
      </c>
      <c r="K1886" s="54">
        <f t="shared" ca="1" si="269"/>
        <v>3.314087886412231</v>
      </c>
    </row>
    <row r="1887" spans="2:11" ht="15" customHeight="1" x14ac:dyDescent="0.35">
      <c r="B1887" s="5">
        <v>1866</v>
      </c>
      <c r="C1887" s="52">
        <f t="shared" ca="1" si="261"/>
        <v>2.7169414302481107</v>
      </c>
      <c r="D1887" s="53">
        <f t="shared" ca="1" si="262"/>
        <v>2736765441.6580138</v>
      </c>
      <c r="E1887" s="53">
        <f t="shared" ca="1" si="263"/>
        <v>15511943720535.16</v>
      </c>
      <c r="F1887" s="53">
        <f t="shared" ca="1" si="264"/>
        <v>8056187083575.3936</v>
      </c>
      <c r="G1887" s="53">
        <f t="shared" ca="1" si="265"/>
        <v>10164700392782.451</v>
      </c>
      <c r="H1887" s="53">
        <f t="shared" ca="1" si="266"/>
        <v>15511943720535.16</v>
      </c>
      <c r="I1887" s="53">
        <f t="shared" ca="1" si="267"/>
        <v>28713924264100.605</v>
      </c>
      <c r="J1887" s="53">
        <f t="shared" ca="1" si="268"/>
        <v>1419627094935.4666</v>
      </c>
      <c r="K1887" s="54">
        <f t="shared" ca="1" si="269"/>
        <v>20.226385060230118</v>
      </c>
    </row>
    <row r="1888" spans="2:11" ht="15" customHeight="1" x14ac:dyDescent="0.35">
      <c r="B1888" s="5">
        <v>1867</v>
      </c>
      <c r="C1888" s="52">
        <f t="shared" ca="1" si="261"/>
        <v>3.6039518993010358</v>
      </c>
      <c r="D1888" s="53">
        <f t="shared" ca="1" si="262"/>
        <v>13009574864.441057</v>
      </c>
      <c r="E1888" s="53">
        <f t="shared" ca="1" si="263"/>
        <v>26858073446257.781</v>
      </c>
      <c r="F1888" s="53">
        <f t="shared" ca="1" si="264"/>
        <v>1081339959903.0759</v>
      </c>
      <c r="G1888" s="53">
        <f t="shared" ca="1" si="265"/>
        <v>520456711090.11841</v>
      </c>
      <c r="H1888" s="53">
        <f t="shared" ca="1" si="266"/>
        <v>26858073446257.781</v>
      </c>
      <c r="I1888" s="53">
        <f t="shared" ca="1" si="267"/>
        <v>434692331935809.63</v>
      </c>
      <c r="J1888" s="53">
        <f t="shared" ca="1" si="268"/>
        <v>1202905384162.6675</v>
      </c>
      <c r="K1888" s="54">
        <f t="shared" ca="1" si="269"/>
        <v>361.36868091117191</v>
      </c>
    </row>
    <row r="1889" spans="2:11" ht="15" customHeight="1" x14ac:dyDescent="0.35">
      <c r="B1889" s="5">
        <v>1868</v>
      </c>
      <c r="C1889" s="52">
        <f t="shared" ca="1" si="261"/>
        <v>3.0695983960673665</v>
      </c>
      <c r="D1889" s="53">
        <f t="shared" ca="1" si="262"/>
        <v>5332960824.3641901</v>
      </c>
      <c r="E1889" s="53">
        <f t="shared" ca="1" si="263"/>
        <v>28936496883719.805</v>
      </c>
      <c r="F1889" s="53">
        <f t="shared" ca="1" si="264"/>
        <v>1351035755029.3796</v>
      </c>
      <c r="G1889" s="53">
        <f t="shared" ca="1" si="265"/>
        <v>15475097555671.395</v>
      </c>
      <c r="H1889" s="53">
        <f t="shared" ca="1" si="266"/>
        <v>15475097555671.395</v>
      </c>
      <c r="I1889" s="53">
        <f t="shared" ca="1" si="267"/>
        <v>3340790579042.9502</v>
      </c>
      <c r="J1889" s="53">
        <f t="shared" ca="1" si="268"/>
        <v>1187909693551.5955</v>
      </c>
      <c r="K1889" s="54">
        <f t="shared" ca="1" si="269"/>
        <v>2.8123270625519541</v>
      </c>
    </row>
    <row r="1890" spans="2:11" ht="15" customHeight="1" x14ac:dyDescent="0.35">
      <c r="B1890" s="5">
        <v>1869</v>
      </c>
      <c r="C1890" s="52">
        <f t="shared" ca="1" si="261"/>
        <v>3.1436969725983421</v>
      </c>
      <c r="D1890" s="53">
        <f t="shared" ca="1" si="262"/>
        <v>6315985706.7080469</v>
      </c>
      <c r="E1890" s="53">
        <f t="shared" ca="1" si="263"/>
        <v>22277910578315.992</v>
      </c>
      <c r="F1890" s="53">
        <f t="shared" ca="1" si="264"/>
        <v>3422301859259.0205</v>
      </c>
      <c r="G1890" s="53">
        <f t="shared" ca="1" si="265"/>
        <v>18049301786413.379</v>
      </c>
      <c r="H1890" s="53">
        <f t="shared" ca="1" si="266"/>
        <v>3422301859259.0205</v>
      </c>
      <c r="I1890" s="53">
        <f t="shared" ca="1" si="267"/>
        <v>48437442871696.664</v>
      </c>
      <c r="J1890" s="53">
        <f t="shared" ca="1" si="268"/>
        <v>525729454717.25269</v>
      </c>
      <c r="K1890" s="54">
        <f t="shared" ca="1" si="269"/>
        <v>92.133781809404695</v>
      </c>
    </row>
    <row r="1891" spans="2:11" ht="15" customHeight="1" x14ac:dyDescent="0.35">
      <c r="B1891" s="5">
        <v>1870</v>
      </c>
      <c r="C1891" s="52">
        <f t="shared" ca="1" si="261"/>
        <v>3.1952822699546455</v>
      </c>
      <c r="D1891" s="53">
        <f t="shared" ca="1" si="262"/>
        <v>6031862751.6608868</v>
      </c>
      <c r="E1891" s="53">
        <f t="shared" ca="1" si="263"/>
        <v>8163403340535.1846</v>
      </c>
      <c r="F1891" s="53">
        <f t="shared" ca="1" si="264"/>
        <v>913537965076.95569</v>
      </c>
      <c r="G1891" s="53">
        <f t="shared" ca="1" si="265"/>
        <v>49524600622491.625</v>
      </c>
      <c r="H1891" s="53">
        <f t="shared" ca="1" si="266"/>
        <v>913537965076.95569</v>
      </c>
      <c r="I1891" s="53">
        <f t="shared" ca="1" si="267"/>
        <v>822176405339.37329</v>
      </c>
      <c r="J1891" s="53">
        <f t="shared" ca="1" si="268"/>
        <v>961885051931.31274</v>
      </c>
      <c r="K1891" s="54">
        <f t="shared" ca="1" si="269"/>
        <v>0.85475536155653253</v>
      </c>
    </row>
    <row r="1892" spans="2:11" ht="15" customHeight="1" x14ac:dyDescent="0.35">
      <c r="B1892" s="5">
        <v>1871</v>
      </c>
      <c r="C1892" s="52">
        <f t="shared" ca="1" si="261"/>
        <v>3.1459421693660312</v>
      </c>
      <c r="D1892" s="53">
        <f t="shared" ca="1" si="262"/>
        <v>6028582495.4167032</v>
      </c>
      <c r="E1892" s="53">
        <f t="shared" ca="1" si="263"/>
        <v>28048918342696.547</v>
      </c>
      <c r="F1892" s="53">
        <f t="shared" ca="1" si="264"/>
        <v>20450757149813.074</v>
      </c>
      <c r="G1892" s="53">
        <f t="shared" ca="1" si="265"/>
        <v>21407424734466.078</v>
      </c>
      <c r="H1892" s="53">
        <f t="shared" ca="1" si="266"/>
        <v>28048918342696.547</v>
      </c>
      <c r="I1892" s="53">
        <f t="shared" ca="1" si="267"/>
        <v>3057721225409.0479</v>
      </c>
      <c r="J1892" s="53">
        <f t="shared" ca="1" si="268"/>
        <v>772909984977.63135</v>
      </c>
      <c r="K1892" s="54">
        <f t="shared" ca="1" si="269"/>
        <v>3.9561155695220327</v>
      </c>
    </row>
    <row r="1893" spans="2:11" ht="15" customHeight="1" x14ac:dyDescent="0.35">
      <c r="B1893" s="5">
        <v>1872</v>
      </c>
      <c r="C1893" s="52">
        <f t="shared" ca="1" si="261"/>
        <v>4.023444204163674</v>
      </c>
      <c r="D1893" s="53">
        <f t="shared" ca="1" si="262"/>
        <v>21372565590.479443</v>
      </c>
      <c r="E1893" s="53">
        <f t="shared" ca="1" si="263"/>
        <v>162282049271704.69</v>
      </c>
      <c r="F1893" s="53">
        <f t="shared" ca="1" si="264"/>
        <v>1091237045255.0265</v>
      </c>
      <c r="G1893" s="53">
        <f t="shared" ca="1" si="265"/>
        <v>4359202985180.6377</v>
      </c>
      <c r="H1893" s="53">
        <f t="shared" ca="1" si="266"/>
        <v>4359202985180.6377</v>
      </c>
      <c r="I1893" s="53">
        <f t="shared" ca="1" si="267"/>
        <v>8033380671051.9658</v>
      </c>
      <c r="J1893" s="53">
        <f t="shared" ca="1" si="268"/>
        <v>643497114389.55688</v>
      </c>
      <c r="K1893" s="54">
        <f t="shared" ca="1" si="269"/>
        <v>12.48394202773186</v>
      </c>
    </row>
    <row r="1894" spans="2:11" ht="15" customHeight="1" x14ac:dyDescent="0.35">
      <c r="B1894" s="5">
        <v>1873</v>
      </c>
      <c r="C1894" s="52">
        <f t="shared" ca="1" si="261"/>
        <v>3.2935356170384424</v>
      </c>
      <c r="D1894" s="53">
        <f t="shared" ca="1" si="262"/>
        <v>8167847982.5259228</v>
      </c>
      <c r="E1894" s="53">
        <f t="shared" ca="1" si="263"/>
        <v>20218362545468.258</v>
      </c>
      <c r="F1894" s="53">
        <f t="shared" ca="1" si="264"/>
        <v>858713160111.49792</v>
      </c>
      <c r="G1894" s="53">
        <f t="shared" ca="1" si="265"/>
        <v>809064386090.95837</v>
      </c>
      <c r="H1894" s="53">
        <f t="shared" ca="1" si="266"/>
        <v>858713160111.49792</v>
      </c>
      <c r="I1894" s="53">
        <f t="shared" ca="1" si="267"/>
        <v>72738082010188.563</v>
      </c>
      <c r="J1894" s="53">
        <f t="shared" ca="1" si="268"/>
        <v>875792352157.62036</v>
      </c>
      <c r="K1894" s="54">
        <f t="shared" ca="1" si="269"/>
        <v>83.054027397007403</v>
      </c>
    </row>
    <row r="1895" spans="2:11" ht="15" customHeight="1" x14ac:dyDescent="0.35">
      <c r="B1895" s="5">
        <v>1874</v>
      </c>
      <c r="C1895" s="52">
        <f t="shared" ca="1" si="261"/>
        <v>3.1198753317367016</v>
      </c>
      <c r="D1895" s="53">
        <f t="shared" ca="1" si="262"/>
        <v>5232203314.0086279</v>
      </c>
      <c r="E1895" s="53">
        <f t="shared" ca="1" si="263"/>
        <v>42385580437694.219</v>
      </c>
      <c r="F1895" s="53">
        <f t="shared" ca="1" si="264"/>
        <v>1287887942898.5066</v>
      </c>
      <c r="G1895" s="53">
        <f t="shared" ca="1" si="265"/>
        <v>3678573280773.873</v>
      </c>
      <c r="H1895" s="53">
        <f t="shared" ca="1" si="266"/>
        <v>42385580437694.219</v>
      </c>
      <c r="I1895" s="53">
        <f t="shared" ca="1" si="267"/>
        <v>13443189135518.17</v>
      </c>
      <c r="J1895" s="53">
        <f t="shared" ca="1" si="268"/>
        <v>1284399184758.3416</v>
      </c>
      <c r="K1895" s="54">
        <f t="shared" ca="1" si="269"/>
        <v>10.466519517487464</v>
      </c>
    </row>
    <row r="1896" spans="2:11" ht="15" customHeight="1" x14ac:dyDescent="0.35">
      <c r="B1896" s="5">
        <v>1875</v>
      </c>
      <c r="C1896" s="52">
        <f t="shared" ca="1" si="261"/>
        <v>2.78299443275754</v>
      </c>
      <c r="D1896" s="53">
        <f t="shared" ca="1" si="262"/>
        <v>3706497815.1226382</v>
      </c>
      <c r="E1896" s="53">
        <f t="shared" ca="1" si="263"/>
        <v>8420055595790.2158</v>
      </c>
      <c r="F1896" s="53">
        <f t="shared" ca="1" si="264"/>
        <v>3257056441636.1411</v>
      </c>
      <c r="G1896" s="53">
        <f t="shared" ca="1" si="265"/>
        <v>2662558293943.8184</v>
      </c>
      <c r="H1896" s="53">
        <f t="shared" ca="1" si="266"/>
        <v>8420055595790.2158</v>
      </c>
      <c r="I1896" s="53">
        <f t="shared" ca="1" si="267"/>
        <v>15250724048871.92</v>
      </c>
      <c r="J1896" s="53">
        <f t="shared" ca="1" si="268"/>
        <v>685454531108.67114</v>
      </c>
      <c r="K1896" s="54">
        <f t="shared" ca="1" si="269"/>
        <v>22.249067380450487</v>
      </c>
    </row>
    <row r="1897" spans="2:11" ht="15" customHeight="1" x14ac:dyDescent="0.35">
      <c r="B1897" s="5">
        <v>1876</v>
      </c>
      <c r="C1897" s="52">
        <f t="shared" ca="1" si="261"/>
        <v>3.1122847625952774</v>
      </c>
      <c r="D1897" s="53">
        <f t="shared" ca="1" si="262"/>
        <v>5384154658.3208103</v>
      </c>
      <c r="E1897" s="53">
        <f t="shared" ca="1" si="263"/>
        <v>22815758193899.418</v>
      </c>
      <c r="F1897" s="53">
        <f t="shared" ca="1" si="264"/>
        <v>907323790097.99011</v>
      </c>
      <c r="G1897" s="53">
        <f t="shared" ca="1" si="265"/>
        <v>4804277225586.1113</v>
      </c>
      <c r="H1897" s="53">
        <f t="shared" ca="1" si="266"/>
        <v>4804277225586.1113</v>
      </c>
      <c r="I1897" s="53">
        <f t="shared" ca="1" si="267"/>
        <v>269995925393213.78</v>
      </c>
      <c r="J1897" s="53">
        <f t="shared" ca="1" si="268"/>
        <v>883053030437.56299</v>
      </c>
      <c r="K1897" s="54">
        <f t="shared" ca="1" si="269"/>
        <v>305.75278730364323</v>
      </c>
    </row>
    <row r="1898" spans="2:11" ht="15" customHeight="1" x14ac:dyDescent="0.35">
      <c r="B1898" s="5">
        <v>1877</v>
      </c>
      <c r="C1898" s="52">
        <f t="shared" ca="1" si="261"/>
        <v>2.7592381158250228</v>
      </c>
      <c r="D1898" s="53">
        <f t="shared" ca="1" si="262"/>
        <v>2895502964.4657493</v>
      </c>
      <c r="E1898" s="53">
        <f t="shared" ca="1" si="263"/>
        <v>7285835572894.582</v>
      </c>
      <c r="F1898" s="53">
        <f t="shared" ca="1" si="264"/>
        <v>1356889706202.4419</v>
      </c>
      <c r="G1898" s="53">
        <f t="shared" ca="1" si="265"/>
        <v>4195030251581.3652</v>
      </c>
      <c r="H1898" s="53">
        <f t="shared" ca="1" si="266"/>
        <v>1356889706202.4419</v>
      </c>
      <c r="I1898" s="53">
        <f t="shared" ca="1" si="267"/>
        <v>35308747698994.938</v>
      </c>
      <c r="J1898" s="53">
        <f t="shared" ca="1" si="268"/>
        <v>982356494932.60999</v>
      </c>
      <c r="K1898" s="54">
        <f t="shared" ca="1" si="269"/>
        <v>35.942906552897718</v>
      </c>
    </row>
    <row r="1899" spans="2:11" ht="15" customHeight="1" x14ac:dyDescent="0.35">
      <c r="B1899" s="5">
        <v>1878</v>
      </c>
      <c r="C1899" s="52">
        <f t="shared" ca="1" si="261"/>
        <v>2.6088718003548497</v>
      </c>
      <c r="D1899" s="53">
        <f t="shared" ca="1" si="262"/>
        <v>2809258867.5570707</v>
      </c>
      <c r="E1899" s="53">
        <f t="shared" ca="1" si="263"/>
        <v>7191029811533.0703</v>
      </c>
      <c r="F1899" s="53">
        <f t="shared" ca="1" si="264"/>
        <v>2138002909490.6033</v>
      </c>
      <c r="G1899" s="53">
        <f t="shared" ca="1" si="265"/>
        <v>644506187035.40442</v>
      </c>
      <c r="H1899" s="53">
        <f t="shared" ca="1" si="266"/>
        <v>7191029811533.0703</v>
      </c>
      <c r="I1899" s="53">
        <f t="shared" ca="1" si="267"/>
        <v>19297839586505.82</v>
      </c>
      <c r="J1899" s="53">
        <f t="shared" ca="1" si="268"/>
        <v>900290215924.28821</v>
      </c>
      <c r="K1899" s="54">
        <f t="shared" ca="1" si="269"/>
        <v>21.435131966522128</v>
      </c>
    </row>
    <row r="1900" spans="2:11" ht="15" customHeight="1" x14ac:dyDescent="0.35">
      <c r="B1900" s="5">
        <v>1879</v>
      </c>
      <c r="C1900" s="52">
        <f t="shared" ca="1" si="261"/>
        <v>2.9435914556372937</v>
      </c>
      <c r="D1900" s="53">
        <f t="shared" ca="1" si="262"/>
        <v>5212467522.2152681</v>
      </c>
      <c r="E1900" s="53">
        <f t="shared" ca="1" si="263"/>
        <v>15576350454524.035</v>
      </c>
      <c r="F1900" s="53">
        <f t="shared" ca="1" si="264"/>
        <v>835932278316.4884</v>
      </c>
      <c r="G1900" s="53">
        <f t="shared" ca="1" si="265"/>
        <v>16132056027628.047</v>
      </c>
      <c r="H1900" s="53">
        <f t="shared" ca="1" si="266"/>
        <v>15576350454524.035</v>
      </c>
      <c r="I1900" s="53">
        <f t="shared" ca="1" si="267"/>
        <v>2728859073288.9727</v>
      </c>
      <c r="J1900" s="53">
        <f t="shared" ca="1" si="268"/>
        <v>1107004907919.6619</v>
      </c>
      <c r="K1900" s="54">
        <f t="shared" ca="1" si="269"/>
        <v>2.4650830847870213</v>
      </c>
    </row>
    <row r="1901" spans="2:11" ht="15" customHeight="1" x14ac:dyDescent="0.35">
      <c r="B1901" s="5">
        <v>1880</v>
      </c>
      <c r="C1901" s="52">
        <f t="shared" ca="1" si="261"/>
        <v>3.7786591427328586</v>
      </c>
      <c r="D1901" s="53">
        <f t="shared" ca="1" si="262"/>
        <v>17740251935.927399</v>
      </c>
      <c r="E1901" s="53">
        <f t="shared" ca="1" si="263"/>
        <v>63055769229844.594</v>
      </c>
      <c r="F1901" s="53">
        <f t="shared" ca="1" si="264"/>
        <v>5828003989872.8848</v>
      </c>
      <c r="G1901" s="53">
        <f t="shared" ca="1" si="265"/>
        <v>4792680745729.2197</v>
      </c>
      <c r="H1901" s="53">
        <f t="shared" ca="1" si="266"/>
        <v>4792680745729.2197</v>
      </c>
      <c r="I1901" s="53">
        <f t="shared" ca="1" si="267"/>
        <v>2808332531507.5991</v>
      </c>
      <c r="J1901" s="53">
        <f t="shared" ca="1" si="268"/>
        <v>1674098740129.3293</v>
      </c>
      <c r="K1901" s="54">
        <f t="shared" ca="1" si="269"/>
        <v>1.6775190520068408</v>
      </c>
    </row>
    <row r="1902" spans="2:11" ht="15" customHeight="1" x14ac:dyDescent="0.35">
      <c r="B1902" s="5">
        <v>1881</v>
      </c>
      <c r="C1902" s="52">
        <f t="shared" ca="1" si="261"/>
        <v>3.0378133759731121</v>
      </c>
      <c r="D1902" s="53">
        <f t="shared" ca="1" si="262"/>
        <v>4744218047.2357883</v>
      </c>
      <c r="E1902" s="53">
        <f t="shared" ca="1" si="263"/>
        <v>8894932804291.791</v>
      </c>
      <c r="F1902" s="53">
        <f t="shared" ca="1" si="264"/>
        <v>7633841414557.1533</v>
      </c>
      <c r="G1902" s="53">
        <f t="shared" ca="1" si="265"/>
        <v>1102020819486.0063</v>
      </c>
      <c r="H1902" s="53">
        <f t="shared" ca="1" si="266"/>
        <v>7633841414557.1533</v>
      </c>
      <c r="I1902" s="53">
        <f t="shared" ca="1" si="267"/>
        <v>1070567057577.3843</v>
      </c>
      <c r="J1902" s="53">
        <f t="shared" ca="1" si="268"/>
        <v>690433111800.28638</v>
      </c>
      <c r="K1902" s="54">
        <f t="shared" ca="1" si="269"/>
        <v>1.5505731681754205</v>
      </c>
    </row>
    <row r="1903" spans="2:11" ht="15" customHeight="1" x14ac:dyDescent="0.35">
      <c r="B1903" s="5">
        <v>1882</v>
      </c>
      <c r="C1903" s="52">
        <f t="shared" ca="1" si="261"/>
        <v>2.698909761934007</v>
      </c>
      <c r="D1903" s="53">
        <f t="shared" ca="1" si="262"/>
        <v>2714974373.369729</v>
      </c>
      <c r="E1903" s="53">
        <f t="shared" ca="1" si="263"/>
        <v>3759468570783.3213</v>
      </c>
      <c r="F1903" s="53">
        <f t="shared" ca="1" si="264"/>
        <v>7201361870237.6104</v>
      </c>
      <c r="G1903" s="53">
        <f t="shared" ca="1" si="265"/>
        <v>46412387200225.406</v>
      </c>
      <c r="H1903" s="53">
        <f t="shared" ca="1" si="266"/>
        <v>3759468570783.3213</v>
      </c>
      <c r="I1903" s="53">
        <f t="shared" ca="1" si="267"/>
        <v>14069712209587.4</v>
      </c>
      <c r="J1903" s="53">
        <f t="shared" ca="1" si="268"/>
        <v>1022931659998.2255</v>
      </c>
      <c r="K1903" s="54">
        <f t="shared" ca="1" si="269"/>
        <v>13.754303204978335</v>
      </c>
    </row>
    <row r="1904" spans="2:11" ht="15" customHeight="1" x14ac:dyDescent="0.35">
      <c r="B1904" s="5">
        <v>1883</v>
      </c>
      <c r="C1904" s="52">
        <f t="shared" ca="1" si="261"/>
        <v>3.7262654690375716</v>
      </c>
      <c r="D1904" s="53">
        <f t="shared" ca="1" si="262"/>
        <v>12628948814.483501</v>
      </c>
      <c r="E1904" s="53">
        <f t="shared" ca="1" si="263"/>
        <v>25382600870489.816</v>
      </c>
      <c r="F1904" s="53">
        <f t="shared" ca="1" si="264"/>
        <v>4742140989812.0977</v>
      </c>
      <c r="G1904" s="53">
        <f t="shared" ca="1" si="265"/>
        <v>1138665092698.2432</v>
      </c>
      <c r="H1904" s="53">
        <f t="shared" ca="1" si="266"/>
        <v>25382600870489.816</v>
      </c>
      <c r="I1904" s="53">
        <f t="shared" ca="1" si="267"/>
        <v>41725583191602.547</v>
      </c>
      <c r="J1904" s="53">
        <f t="shared" ca="1" si="268"/>
        <v>849135630527.63684</v>
      </c>
      <c r="K1904" s="54">
        <f t="shared" ca="1" si="269"/>
        <v>49.138890998691288</v>
      </c>
    </row>
    <row r="1905" spans="2:11" ht="15" customHeight="1" x14ac:dyDescent="0.35">
      <c r="B1905" s="5">
        <v>1884</v>
      </c>
      <c r="C1905" s="52">
        <f t="shared" ca="1" si="261"/>
        <v>2.2321573823881145</v>
      </c>
      <c r="D1905" s="53">
        <f t="shared" ca="1" si="262"/>
        <v>897907760.11661923</v>
      </c>
      <c r="E1905" s="53">
        <f t="shared" ca="1" si="263"/>
        <v>18153137407524.488</v>
      </c>
      <c r="F1905" s="53">
        <f t="shared" ca="1" si="264"/>
        <v>1307277661806.05</v>
      </c>
      <c r="G1905" s="53">
        <f t="shared" ca="1" si="265"/>
        <v>9150096483459.0566</v>
      </c>
      <c r="H1905" s="53">
        <f t="shared" ca="1" si="266"/>
        <v>18153137407524.488</v>
      </c>
      <c r="I1905" s="53">
        <f t="shared" ca="1" si="267"/>
        <v>8886537347052.4512</v>
      </c>
      <c r="J1905" s="53">
        <f t="shared" ca="1" si="268"/>
        <v>1407927511137.7314</v>
      </c>
      <c r="K1905" s="54">
        <f t="shared" ca="1" si="269"/>
        <v>6.3117861372503006</v>
      </c>
    </row>
    <row r="1906" spans="2:11" ht="15" customHeight="1" x14ac:dyDescent="0.35">
      <c r="B1906" s="5">
        <v>1885</v>
      </c>
      <c r="C1906" s="52">
        <f t="shared" ca="1" si="261"/>
        <v>2.4633298861951736</v>
      </c>
      <c r="D1906" s="53">
        <f t="shared" ca="1" si="262"/>
        <v>2133214326.2268856</v>
      </c>
      <c r="E1906" s="53">
        <f t="shared" ca="1" si="263"/>
        <v>14849746309342.018</v>
      </c>
      <c r="F1906" s="53">
        <f t="shared" ca="1" si="264"/>
        <v>1153649402421.4275</v>
      </c>
      <c r="G1906" s="53">
        <f t="shared" ca="1" si="265"/>
        <v>5090482327510.7861</v>
      </c>
      <c r="H1906" s="53">
        <f t="shared" ca="1" si="266"/>
        <v>14849746309342.018</v>
      </c>
      <c r="I1906" s="53">
        <f t="shared" ca="1" si="267"/>
        <v>19312786207870.215</v>
      </c>
      <c r="J1906" s="53">
        <f t="shared" ca="1" si="268"/>
        <v>877368760729.78162</v>
      </c>
      <c r="K1906" s="54">
        <f t="shared" ca="1" si="269"/>
        <v>22.012165320094301</v>
      </c>
    </row>
    <row r="1907" spans="2:11" ht="15" customHeight="1" x14ac:dyDescent="0.35">
      <c r="B1907" s="5">
        <v>1886</v>
      </c>
      <c r="C1907" s="52">
        <f t="shared" ca="1" si="261"/>
        <v>3.1739787064393519</v>
      </c>
      <c r="D1907" s="53">
        <f t="shared" ca="1" si="262"/>
        <v>6901855677.6570702</v>
      </c>
      <c r="E1907" s="53">
        <f t="shared" ca="1" si="263"/>
        <v>10618668442910.613</v>
      </c>
      <c r="F1907" s="53">
        <f t="shared" ca="1" si="264"/>
        <v>6011302616676.168</v>
      </c>
      <c r="G1907" s="53">
        <f t="shared" ca="1" si="265"/>
        <v>15325528653097.248</v>
      </c>
      <c r="H1907" s="53">
        <f t="shared" ca="1" si="266"/>
        <v>10618668442910.613</v>
      </c>
      <c r="I1907" s="53">
        <f t="shared" ca="1" si="267"/>
        <v>10127405472595.133</v>
      </c>
      <c r="J1907" s="53">
        <f t="shared" ca="1" si="268"/>
        <v>1537893826377.1433</v>
      </c>
      <c r="K1907" s="54">
        <f t="shared" ca="1" si="269"/>
        <v>6.585243596726392</v>
      </c>
    </row>
    <row r="1908" spans="2:11" ht="15" customHeight="1" x14ac:dyDescent="0.35">
      <c r="B1908" s="5">
        <v>1887</v>
      </c>
      <c r="C1908" s="52">
        <f t="shared" ca="1" si="261"/>
        <v>3.0911118141702518</v>
      </c>
      <c r="D1908" s="53">
        <f t="shared" ca="1" si="262"/>
        <v>4904401433.5018396</v>
      </c>
      <c r="E1908" s="53">
        <f t="shared" ca="1" si="263"/>
        <v>41981136536106.836</v>
      </c>
      <c r="F1908" s="53">
        <f t="shared" ca="1" si="264"/>
        <v>4569121992805.1211</v>
      </c>
      <c r="G1908" s="53">
        <f t="shared" ca="1" si="265"/>
        <v>11749040334288.813</v>
      </c>
      <c r="H1908" s="53">
        <f t="shared" ca="1" si="266"/>
        <v>11749040334288.813</v>
      </c>
      <c r="I1908" s="53">
        <f t="shared" ca="1" si="267"/>
        <v>2045491965500.7344</v>
      </c>
      <c r="J1908" s="53">
        <f t="shared" ca="1" si="268"/>
        <v>1137706827546.7131</v>
      </c>
      <c r="K1908" s="54">
        <f t="shared" ca="1" si="269"/>
        <v>1.7979077878186931</v>
      </c>
    </row>
    <row r="1909" spans="2:11" ht="15" customHeight="1" x14ac:dyDescent="0.35">
      <c r="B1909" s="5">
        <v>1888</v>
      </c>
      <c r="C1909" s="52">
        <f t="shared" ca="1" si="261"/>
        <v>3.6881459287496443</v>
      </c>
      <c r="D1909" s="53">
        <f t="shared" ca="1" si="262"/>
        <v>14890296454.703495</v>
      </c>
      <c r="E1909" s="53">
        <f t="shared" ca="1" si="263"/>
        <v>94027653169615.016</v>
      </c>
      <c r="F1909" s="53">
        <f t="shared" ca="1" si="264"/>
        <v>6570567821524.4453</v>
      </c>
      <c r="G1909" s="53">
        <f t="shared" ca="1" si="265"/>
        <v>24493622626527.984</v>
      </c>
      <c r="H1909" s="53">
        <f t="shared" ca="1" si="266"/>
        <v>6570567821524.4453</v>
      </c>
      <c r="I1909" s="53">
        <f t="shared" ca="1" si="267"/>
        <v>9819765243257.7754</v>
      </c>
      <c r="J1909" s="53">
        <f t="shared" ca="1" si="268"/>
        <v>1093513466261.7428</v>
      </c>
      <c r="K1909" s="54">
        <f t="shared" ca="1" si="269"/>
        <v>8.9800130919533832</v>
      </c>
    </row>
    <row r="1910" spans="2:11" ht="15" customHeight="1" x14ac:dyDescent="0.35">
      <c r="B1910" s="5">
        <v>1889</v>
      </c>
      <c r="C1910" s="52">
        <f t="shared" ca="1" si="261"/>
        <v>3.1377342753860673</v>
      </c>
      <c r="D1910" s="53">
        <f t="shared" ca="1" si="262"/>
        <v>6169573957.5980692</v>
      </c>
      <c r="E1910" s="53">
        <f t="shared" ca="1" si="263"/>
        <v>39569325528809.133</v>
      </c>
      <c r="F1910" s="53">
        <f t="shared" ca="1" si="264"/>
        <v>2126155384070.6875</v>
      </c>
      <c r="G1910" s="53">
        <f t="shared" ca="1" si="265"/>
        <v>18021388864827.527</v>
      </c>
      <c r="H1910" s="53">
        <f t="shared" ca="1" si="266"/>
        <v>18021388864827.527</v>
      </c>
      <c r="I1910" s="53">
        <f t="shared" ca="1" si="267"/>
        <v>2507336581121.5361</v>
      </c>
      <c r="J1910" s="53">
        <f t="shared" ca="1" si="268"/>
        <v>792555074702.89832</v>
      </c>
      <c r="K1910" s="54">
        <f t="shared" ca="1" si="269"/>
        <v>3.1636117932390384</v>
      </c>
    </row>
    <row r="1911" spans="2:11" ht="15" customHeight="1" x14ac:dyDescent="0.35">
      <c r="B1911" s="5">
        <v>1890</v>
      </c>
      <c r="C1911" s="52">
        <f t="shared" ca="1" si="261"/>
        <v>2.6199388807936232</v>
      </c>
      <c r="D1911" s="53">
        <f t="shared" ca="1" si="262"/>
        <v>2345090796.2715516</v>
      </c>
      <c r="E1911" s="53">
        <f t="shared" ca="1" si="263"/>
        <v>8367213348969.3799</v>
      </c>
      <c r="F1911" s="53">
        <f t="shared" ca="1" si="264"/>
        <v>6634287077205.8242</v>
      </c>
      <c r="G1911" s="53">
        <f t="shared" ca="1" si="265"/>
        <v>11269568023780.016</v>
      </c>
      <c r="H1911" s="53">
        <f t="shared" ca="1" si="266"/>
        <v>11269568023780.016</v>
      </c>
      <c r="I1911" s="53">
        <f t="shared" ca="1" si="267"/>
        <v>6261192354947.2695</v>
      </c>
      <c r="J1911" s="53">
        <f t="shared" ca="1" si="268"/>
        <v>898449372356.77344</v>
      </c>
      <c r="K1911" s="54">
        <f t="shared" ca="1" si="269"/>
        <v>6.9688872268040898</v>
      </c>
    </row>
    <row r="1912" spans="2:11" ht="15" customHeight="1" x14ac:dyDescent="0.35">
      <c r="B1912" s="5">
        <v>1891</v>
      </c>
      <c r="C1912" s="52">
        <f t="shared" ca="1" si="261"/>
        <v>3.2019367768328357</v>
      </c>
      <c r="D1912" s="53">
        <f t="shared" ca="1" si="262"/>
        <v>5938699655.6970196</v>
      </c>
      <c r="E1912" s="53">
        <f t="shared" ca="1" si="263"/>
        <v>30208602679799.922</v>
      </c>
      <c r="F1912" s="53">
        <f t="shared" ca="1" si="264"/>
        <v>3883713347502.8555</v>
      </c>
      <c r="G1912" s="53">
        <f t="shared" ca="1" si="265"/>
        <v>36964552464150.469</v>
      </c>
      <c r="H1912" s="53">
        <f t="shared" ca="1" si="266"/>
        <v>36964552464150.469</v>
      </c>
      <c r="I1912" s="53">
        <f t="shared" ca="1" si="267"/>
        <v>14441308969314.51</v>
      </c>
      <c r="J1912" s="53">
        <f t="shared" ca="1" si="268"/>
        <v>1023997146917.6489</v>
      </c>
      <c r="K1912" s="54">
        <f t="shared" ca="1" si="269"/>
        <v>14.102880083977322</v>
      </c>
    </row>
    <row r="1913" spans="2:11" ht="15" customHeight="1" x14ac:dyDescent="0.35">
      <c r="B1913" s="5">
        <v>1892</v>
      </c>
      <c r="C1913" s="52">
        <f t="shared" ca="1" si="261"/>
        <v>2.8613171678615559</v>
      </c>
      <c r="D1913" s="53">
        <f t="shared" ca="1" si="262"/>
        <v>4129185640.2089777</v>
      </c>
      <c r="E1913" s="53">
        <f t="shared" ca="1" si="263"/>
        <v>20653296570358.418</v>
      </c>
      <c r="F1913" s="53">
        <f t="shared" ca="1" si="264"/>
        <v>8626387357600.3066</v>
      </c>
      <c r="G1913" s="53">
        <f t="shared" ca="1" si="265"/>
        <v>13432363214685.139</v>
      </c>
      <c r="H1913" s="53">
        <f t="shared" ca="1" si="266"/>
        <v>20653296570358.418</v>
      </c>
      <c r="I1913" s="53">
        <f t="shared" ca="1" si="267"/>
        <v>4127870540332.2246</v>
      </c>
      <c r="J1913" s="53">
        <f t="shared" ca="1" si="268"/>
        <v>836885346891.90063</v>
      </c>
      <c r="K1913" s="54">
        <f t="shared" ca="1" si="269"/>
        <v>4.9324206185024959</v>
      </c>
    </row>
    <row r="1914" spans="2:11" ht="15" customHeight="1" x14ac:dyDescent="0.35">
      <c r="B1914" s="5">
        <v>1893</v>
      </c>
      <c r="C1914" s="52">
        <f t="shared" ca="1" si="261"/>
        <v>3.2532461857713133</v>
      </c>
      <c r="D1914" s="53">
        <f t="shared" ca="1" si="262"/>
        <v>7363708580.5264416</v>
      </c>
      <c r="E1914" s="53">
        <f t="shared" ca="1" si="263"/>
        <v>322179038526945.94</v>
      </c>
      <c r="F1914" s="53">
        <f t="shared" ca="1" si="264"/>
        <v>2237404342825.2251</v>
      </c>
      <c r="G1914" s="53">
        <f t="shared" ca="1" si="265"/>
        <v>436205132807.97009</v>
      </c>
      <c r="H1914" s="53">
        <f t="shared" ca="1" si="266"/>
        <v>2237404342825.2251</v>
      </c>
      <c r="I1914" s="53">
        <f t="shared" ca="1" si="267"/>
        <v>6175534748145.6045</v>
      </c>
      <c r="J1914" s="53">
        <f t="shared" ca="1" si="268"/>
        <v>1082620566468.7461</v>
      </c>
      <c r="K1914" s="54">
        <f t="shared" ca="1" si="269"/>
        <v>5.704246657985399</v>
      </c>
    </row>
    <row r="1915" spans="2:11" ht="15" customHeight="1" x14ac:dyDescent="0.35">
      <c r="B1915" s="5">
        <v>1894</v>
      </c>
      <c r="C1915" s="52">
        <f t="shared" ca="1" si="261"/>
        <v>2.6612265823437822</v>
      </c>
      <c r="D1915" s="53">
        <f t="shared" ca="1" si="262"/>
        <v>2994400536.0849471</v>
      </c>
      <c r="E1915" s="53">
        <f t="shared" ca="1" si="263"/>
        <v>20447857504896.551</v>
      </c>
      <c r="F1915" s="53">
        <f t="shared" ca="1" si="264"/>
        <v>1565540598485.3777</v>
      </c>
      <c r="G1915" s="53">
        <f t="shared" ca="1" si="265"/>
        <v>4394695660552.668</v>
      </c>
      <c r="H1915" s="53">
        <f t="shared" ca="1" si="266"/>
        <v>20447857504896.551</v>
      </c>
      <c r="I1915" s="53">
        <f t="shared" ca="1" si="267"/>
        <v>7674404732836.8242</v>
      </c>
      <c r="J1915" s="53">
        <f t="shared" ca="1" si="268"/>
        <v>1499987349049.3022</v>
      </c>
      <c r="K1915" s="54">
        <f t="shared" ca="1" si="269"/>
        <v>5.1163129727066643</v>
      </c>
    </row>
    <row r="1916" spans="2:11" ht="15" customHeight="1" x14ac:dyDescent="0.35">
      <c r="B1916" s="5">
        <v>1895</v>
      </c>
      <c r="C1916" s="52">
        <f t="shared" ca="1" si="261"/>
        <v>2.7675057543027024</v>
      </c>
      <c r="D1916" s="53">
        <f t="shared" ca="1" si="262"/>
        <v>3695432648.4508204</v>
      </c>
      <c r="E1916" s="53">
        <f t="shared" ca="1" si="263"/>
        <v>5786039305280.0068</v>
      </c>
      <c r="F1916" s="53">
        <f t="shared" ca="1" si="264"/>
        <v>3323747661151.8408</v>
      </c>
      <c r="G1916" s="53">
        <f t="shared" ca="1" si="265"/>
        <v>1760047704888.615</v>
      </c>
      <c r="H1916" s="53">
        <f t="shared" ca="1" si="266"/>
        <v>1760047704888.615</v>
      </c>
      <c r="I1916" s="53">
        <f t="shared" ca="1" si="267"/>
        <v>101077282848.5081</v>
      </c>
      <c r="J1916" s="53">
        <f t="shared" ca="1" si="268"/>
        <v>796827878062.62878</v>
      </c>
      <c r="K1916" s="54">
        <f t="shared" ca="1" si="269"/>
        <v>0.12684958148585718</v>
      </c>
    </row>
    <row r="1917" spans="2:11" ht="15" customHeight="1" x14ac:dyDescent="0.35">
      <c r="B1917" s="5">
        <v>1896</v>
      </c>
      <c r="C1917" s="52">
        <f t="shared" ca="1" si="261"/>
        <v>3.3665550905093586</v>
      </c>
      <c r="D1917" s="53">
        <f t="shared" ca="1" si="262"/>
        <v>10286276645.10677</v>
      </c>
      <c r="E1917" s="53">
        <f t="shared" ca="1" si="263"/>
        <v>32185215245008.563</v>
      </c>
      <c r="F1917" s="53">
        <f t="shared" ca="1" si="264"/>
        <v>5296907696705.1729</v>
      </c>
      <c r="G1917" s="53">
        <f t="shared" ca="1" si="265"/>
        <v>3321123512024.3652</v>
      </c>
      <c r="H1917" s="53">
        <f t="shared" ca="1" si="266"/>
        <v>5296907696705.1729</v>
      </c>
      <c r="I1917" s="53">
        <f t="shared" ca="1" si="267"/>
        <v>13152454981090.918</v>
      </c>
      <c r="J1917" s="53">
        <f t="shared" ca="1" si="268"/>
        <v>1375999427258.2834</v>
      </c>
      <c r="K1917" s="54">
        <f t="shared" ca="1" si="269"/>
        <v>9.5584741683341718</v>
      </c>
    </row>
    <row r="1918" spans="2:11" ht="15" customHeight="1" x14ac:dyDescent="0.35">
      <c r="B1918" s="5">
        <v>1897</v>
      </c>
      <c r="C1918" s="52">
        <f t="shared" ca="1" si="261"/>
        <v>3.0607170171574589</v>
      </c>
      <c r="D1918" s="53">
        <f t="shared" ca="1" si="262"/>
        <v>6203639962.4487267</v>
      </c>
      <c r="E1918" s="53">
        <f t="shared" ca="1" si="263"/>
        <v>29836440214594.121</v>
      </c>
      <c r="F1918" s="53">
        <f t="shared" ca="1" si="264"/>
        <v>1315535046492.3184</v>
      </c>
      <c r="G1918" s="53">
        <f t="shared" ca="1" si="265"/>
        <v>4209866905103.4521</v>
      </c>
      <c r="H1918" s="53">
        <f t="shared" ca="1" si="266"/>
        <v>4209866905103.4521</v>
      </c>
      <c r="I1918" s="53">
        <f t="shared" ca="1" si="267"/>
        <v>5446095183020.332</v>
      </c>
      <c r="J1918" s="53">
        <f t="shared" ca="1" si="268"/>
        <v>811247590915.55029</v>
      </c>
      <c r="K1918" s="54">
        <f t="shared" ca="1" si="269"/>
        <v>6.7132343368490357</v>
      </c>
    </row>
    <row r="1919" spans="2:11" ht="15" customHeight="1" x14ac:dyDescent="0.35">
      <c r="B1919" s="5">
        <v>1898</v>
      </c>
      <c r="C1919" s="52">
        <f t="shared" ca="1" si="261"/>
        <v>3.5094503081714739</v>
      </c>
      <c r="D1919" s="53">
        <f t="shared" ca="1" si="262"/>
        <v>8957412735.8655605</v>
      </c>
      <c r="E1919" s="53">
        <f t="shared" ca="1" si="263"/>
        <v>58867145039002.5</v>
      </c>
      <c r="F1919" s="53">
        <f t="shared" ca="1" si="264"/>
        <v>437867206530.9549</v>
      </c>
      <c r="G1919" s="53">
        <f t="shared" ca="1" si="265"/>
        <v>4943950033293.2422</v>
      </c>
      <c r="H1919" s="53">
        <f t="shared" ca="1" si="266"/>
        <v>437867206530.9549</v>
      </c>
      <c r="I1919" s="53">
        <f t="shared" ca="1" si="267"/>
        <v>576729560920.94861</v>
      </c>
      <c r="J1919" s="53">
        <f t="shared" ca="1" si="268"/>
        <v>688326911195.3208</v>
      </c>
      <c r="K1919" s="54">
        <f t="shared" ca="1" si="269"/>
        <v>0.83787158621972702</v>
      </c>
    </row>
    <row r="1920" spans="2:11" ht="15" customHeight="1" x14ac:dyDescent="0.35">
      <c r="B1920" s="5">
        <v>1899</v>
      </c>
      <c r="C1920" s="52">
        <f t="shared" ca="1" si="261"/>
        <v>2.8429391245475539</v>
      </c>
      <c r="D1920" s="53">
        <f t="shared" ca="1" si="262"/>
        <v>3929281460.1759882</v>
      </c>
      <c r="E1920" s="53">
        <f t="shared" ca="1" si="263"/>
        <v>10943166321001.313</v>
      </c>
      <c r="F1920" s="53">
        <f t="shared" ca="1" si="264"/>
        <v>5827718403983.3877</v>
      </c>
      <c r="G1920" s="53">
        <f t="shared" ca="1" si="265"/>
        <v>70102034369349.695</v>
      </c>
      <c r="H1920" s="53">
        <f t="shared" ca="1" si="266"/>
        <v>5827718403983.3877</v>
      </c>
      <c r="I1920" s="53">
        <f t="shared" ca="1" si="267"/>
        <v>41043888961146.445</v>
      </c>
      <c r="J1920" s="53">
        <f t="shared" ca="1" si="268"/>
        <v>1234916573906.3481</v>
      </c>
      <c r="K1920" s="54">
        <f t="shared" ca="1" si="269"/>
        <v>33.23616333961283</v>
      </c>
    </row>
    <row r="1921" spans="2:11" ht="15" customHeight="1" x14ac:dyDescent="0.35">
      <c r="B1921" s="5">
        <v>1900</v>
      </c>
      <c r="C1921" s="52">
        <f t="shared" ca="1" si="261"/>
        <v>2.4380076591443776</v>
      </c>
      <c r="D1921" s="53">
        <f t="shared" ca="1" si="262"/>
        <v>1657351918.9036598</v>
      </c>
      <c r="E1921" s="53">
        <f t="shared" ca="1" si="263"/>
        <v>3758243068871.6416</v>
      </c>
      <c r="F1921" s="53">
        <f t="shared" ca="1" si="264"/>
        <v>1576101665110.3657</v>
      </c>
      <c r="G1921" s="53">
        <f t="shared" ca="1" si="265"/>
        <v>10614887706951.113</v>
      </c>
      <c r="H1921" s="53">
        <f t="shared" ca="1" si="266"/>
        <v>1576101665110.3657</v>
      </c>
      <c r="I1921" s="53">
        <f t="shared" ca="1" si="267"/>
        <v>88904118407123.922</v>
      </c>
      <c r="J1921" s="53">
        <f t="shared" ca="1" si="268"/>
        <v>1166207144716.0591</v>
      </c>
      <c r="K1921" s="54">
        <f t="shared" ca="1" si="269"/>
        <v>76.233556628372185</v>
      </c>
    </row>
    <row r="1922" spans="2:11" ht="15" customHeight="1" x14ac:dyDescent="0.35">
      <c r="B1922" s="5">
        <v>1901</v>
      </c>
      <c r="C1922" s="52">
        <f t="shared" ca="1" si="261"/>
        <v>2.6631217960541012</v>
      </c>
      <c r="D1922" s="53">
        <f t="shared" ca="1" si="262"/>
        <v>2945985325.8577375</v>
      </c>
      <c r="E1922" s="53">
        <f t="shared" ca="1" si="263"/>
        <v>11099881416496.4</v>
      </c>
      <c r="F1922" s="53">
        <f t="shared" ca="1" si="264"/>
        <v>8596299891010.5068</v>
      </c>
      <c r="G1922" s="53">
        <f t="shared" ca="1" si="265"/>
        <v>11005472687248.58</v>
      </c>
      <c r="H1922" s="53">
        <f t="shared" ca="1" si="266"/>
        <v>8596299891010.5068</v>
      </c>
      <c r="I1922" s="53">
        <f t="shared" ca="1" si="267"/>
        <v>6168744432464.8779</v>
      </c>
      <c r="J1922" s="53">
        <f t="shared" ca="1" si="268"/>
        <v>1159955829626.7517</v>
      </c>
      <c r="K1922" s="54">
        <f t="shared" ca="1" si="269"/>
        <v>5.3180856330105639</v>
      </c>
    </row>
    <row r="1923" spans="2:11" ht="15" customHeight="1" x14ac:dyDescent="0.35">
      <c r="B1923" s="5">
        <v>1902</v>
      </c>
      <c r="C1923" s="52">
        <f t="shared" ca="1" si="261"/>
        <v>2.5414234900460615</v>
      </c>
      <c r="D1923" s="53">
        <f t="shared" ca="1" si="262"/>
        <v>2376664426.4419928</v>
      </c>
      <c r="E1923" s="53">
        <f t="shared" ca="1" si="263"/>
        <v>7828388204726.6094</v>
      </c>
      <c r="F1923" s="53">
        <f t="shared" ca="1" si="264"/>
        <v>3554013353912.9971</v>
      </c>
      <c r="G1923" s="53">
        <f t="shared" ca="1" si="265"/>
        <v>7578799873405.7939</v>
      </c>
      <c r="H1923" s="53">
        <f t="shared" ca="1" si="266"/>
        <v>7828388204726.6094</v>
      </c>
      <c r="I1923" s="53">
        <f t="shared" ca="1" si="267"/>
        <v>8641102779549.8984</v>
      </c>
      <c r="J1923" s="53">
        <f t="shared" ca="1" si="268"/>
        <v>672047929029.74072</v>
      </c>
      <c r="K1923" s="54">
        <f t="shared" ca="1" si="269"/>
        <v>12.857866837005751</v>
      </c>
    </row>
    <row r="1924" spans="2:11" ht="15" customHeight="1" x14ac:dyDescent="0.35">
      <c r="B1924" s="5">
        <v>1903</v>
      </c>
      <c r="C1924" s="52">
        <f t="shared" ca="1" si="261"/>
        <v>3.8635125516617044</v>
      </c>
      <c r="D1924" s="53">
        <f t="shared" ca="1" si="262"/>
        <v>15946523316.443827</v>
      </c>
      <c r="E1924" s="53">
        <f t="shared" ca="1" si="263"/>
        <v>44971005123194.18</v>
      </c>
      <c r="F1924" s="53">
        <f t="shared" ca="1" si="264"/>
        <v>14893557873796.186</v>
      </c>
      <c r="G1924" s="53">
        <f t="shared" ca="1" si="265"/>
        <v>4861490602326.5293</v>
      </c>
      <c r="H1924" s="53">
        <f t="shared" ca="1" si="266"/>
        <v>44971005123194.18</v>
      </c>
      <c r="I1924" s="53">
        <f t="shared" ca="1" si="267"/>
        <v>154728386949356.22</v>
      </c>
      <c r="J1924" s="53">
        <f t="shared" ca="1" si="268"/>
        <v>1202268081538.0745</v>
      </c>
      <c r="K1924" s="54">
        <f t="shared" ca="1" si="269"/>
        <v>128.69707623894541</v>
      </c>
    </row>
    <row r="1925" spans="2:11" ht="15" customHeight="1" x14ac:dyDescent="0.35">
      <c r="B1925" s="5">
        <v>1904</v>
      </c>
      <c r="C1925" s="52">
        <f t="shared" ca="1" si="261"/>
        <v>2.3260909078300864</v>
      </c>
      <c r="D1925" s="53">
        <f t="shared" ca="1" si="262"/>
        <v>1558871807.8074687</v>
      </c>
      <c r="E1925" s="53">
        <f t="shared" ca="1" si="263"/>
        <v>2691638597042.2017</v>
      </c>
      <c r="F1925" s="53">
        <f t="shared" ca="1" si="264"/>
        <v>14470588558470.033</v>
      </c>
      <c r="G1925" s="53">
        <f t="shared" ca="1" si="265"/>
        <v>2589691665695.9038</v>
      </c>
      <c r="H1925" s="53">
        <f t="shared" ca="1" si="266"/>
        <v>14470588558470.033</v>
      </c>
      <c r="I1925" s="53">
        <f t="shared" ca="1" si="267"/>
        <v>7476293038118.0605</v>
      </c>
      <c r="J1925" s="53">
        <f t="shared" ca="1" si="268"/>
        <v>1538911203487.179</v>
      </c>
      <c r="K1925" s="54">
        <f t="shared" ca="1" si="269"/>
        <v>4.8581705176859789</v>
      </c>
    </row>
    <row r="1926" spans="2:11" ht="15" customHeight="1" x14ac:dyDescent="0.35">
      <c r="B1926" s="5">
        <v>1905</v>
      </c>
      <c r="C1926" s="52">
        <f t="shared" ca="1" si="261"/>
        <v>2.831403051085545</v>
      </c>
      <c r="D1926" s="53">
        <f t="shared" ca="1" si="262"/>
        <v>3250233594.4581938</v>
      </c>
      <c r="E1926" s="53">
        <f t="shared" ca="1" si="263"/>
        <v>4175413092904.4482</v>
      </c>
      <c r="F1926" s="53">
        <f t="shared" ca="1" si="264"/>
        <v>1726153242640.9629</v>
      </c>
      <c r="G1926" s="53">
        <f t="shared" ca="1" si="265"/>
        <v>28155904423261.328</v>
      </c>
      <c r="H1926" s="53">
        <f t="shared" ca="1" si="266"/>
        <v>28155904423261.328</v>
      </c>
      <c r="I1926" s="53">
        <f t="shared" ca="1" si="267"/>
        <v>75627589837109.734</v>
      </c>
      <c r="J1926" s="53">
        <f t="shared" ca="1" si="268"/>
        <v>1447889643745.884</v>
      </c>
      <c r="K1926" s="54">
        <f t="shared" ca="1" si="269"/>
        <v>52.232979332216956</v>
      </c>
    </row>
    <row r="1927" spans="2:11" ht="15" customHeight="1" x14ac:dyDescent="0.35">
      <c r="B1927" s="5">
        <v>1906</v>
      </c>
      <c r="C1927" s="52">
        <f t="shared" ca="1" si="261"/>
        <v>2.1939609107804632</v>
      </c>
      <c r="D1927" s="53">
        <f t="shared" ca="1" si="262"/>
        <v>953594597.73436487</v>
      </c>
      <c r="E1927" s="53">
        <f t="shared" ca="1" si="263"/>
        <v>3684491591816.0117</v>
      </c>
      <c r="F1927" s="53">
        <f t="shared" ca="1" si="264"/>
        <v>830212470230.88257</v>
      </c>
      <c r="G1927" s="53">
        <f t="shared" ca="1" si="265"/>
        <v>10195985430246.641</v>
      </c>
      <c r="H1927" s="53">
        <f t="shared" ca="1" si="266"/>
        <v>830212470230.88257</v>
      </c>
      <c r="I1927" s="53">
        <f t="shared" ca="1" si="267"/>
        <v>18031895492258.141</v>
      </c>
      <c r="J1927" s="53">
        <f t="shared" ca="1" si="268"/>
        <v>1224018831468.9177</v>
      </c>
      <c r="K1927" s="54">
        <f t="shared" ca="1" si="269"/>
        <v>14.731714111472014</v>
      </c>
    </row>
    <row r="1928" spans="2:11" ht="15" customHeight="1" x14ac:dyDescent="0.35">
      <c r="B1928" s="5">
        <v>1907</v>
      </c>
      <c r="C1928" s="52">
        <f t="shared" ca="1" si="261"/>
        <v>3.3892615601338387</v>
      </c>
      <c r="D1928" s="53">
        <f t="shared" ca="1" si="262"/>
        <v>9852404088.9462929</v>
      </c>
      <c r="E1928" s="53">
        <f t="shared" ca="1" si="263"/>
        <v>31831444123525.754</v>
      </c>
      <c r="F1928" s="53">
        <f t="shared" ca="1" si="264"/>
        <v>9786321588394.3438</v>
      </c>
      <c r="G1928" s="53">
        <f t="shared" ca="1" si="265"/>
        <v>742594313022.5636</v>
      </c>
      <c r="H1928" s="53">
        <f t="shared" ca="1" si="266"/>
        <v>9786321588394.3438</v>
      </c>
      <c r="I1928" s="53">
        <f t="shared" ca="1" si="267"/>
        <v>8998324865291.6758</v>
      </c>
      <c r="J1928" s="53">
        <f t="shared" ca="1" si="268"/>
        <v>1551956091707.4824</v>
      </c>
      <c r="K1928" s="54">
        <f t="shared" ca="1" si="269"/>
        <v>5.7980537679977795</v>
      </c>
    </row>
    <row r="1929" spans="2:11" ht="15" customHeight="1" x14ac:dyDescent="0.35">
      <c r="B1929" s="5">
        <v>1908</v>
      </c>
      <c r="C1929" s="52">
        <f t="shared" ca="1" si="261"/>
        <v>3.0397544834476244</v>
      </c>
      <c r="D1929" s="53">
        <f t="shared" ca="1" si="262"/>
        <v>5539241992.5579309</v>
      </c>
      <c r="E1929" s="53">
        <f t="shared" ca="1" si="263"/>
        <v>50821432844035.219</v>
      </c>
      <c r="F1929" s="53">
        <f t="shared" ca="1" si="264"/>
        <v>612844481535.29907</v>
      </c>
      <c r="G1929" s="53">
        <f t="shared" ca="1" si="265"/>
        <v>45807054029120.102</v>
      </c>
      <c r="H1929" s="53">
        <f t="shared" ca="1" si="266"/>
        <v>50821432844035.219</v>
      </c>
      <c r="I1929" s="53">
        <f t="shared" ca="1" si="267"/>
        <v>1008985066891.7363</v>
      </c>
      <c r="J1929" s="53">
        <f t="shared" ca="1" si="268"/>
        <v>1615041446130.1462</v>
      </c>
      <c r="K1929" s="54">
        <f t="shared" ca="1" si="269"/>
        <v>0.62474252243457806</v>
      </c>
    </row>
    <row r="1930" spans="2:11" ht="15" customHeight="1" x14ac:dyDescent="0.35">
      <c r="B1930" s="5">
        <v>1909</v>
      </c>
      <c r="C1930" s="52">
        <f t="shared" ca="1" si="261"/>
        <v>2.951915514139547</v>
      </c>
      <c r="D1930" s="53">
        <f t="shared" ca="1" si="262"/>
        <v>3685390645.0984197</v>
      </c>
      <c r="E1930" s="53">
        <f t="shared" ca="1" si="263"/>
        <v>8446592258696.3652</v>
      </c>
      <c r="F1930" s="53">
        <f t="shared" ca="1" si="264"/>
        <v>3369778866045.1104</v>
      </c>
      <c r="G1930" s="53">
        <f t="shared" ca="1" si="265"/>
        <v>11673907666250.262</v>
      </c>
      <c r="H1930" s="53">
        <f t="shared" ca="1" si="266"/>
        <v>3369778866045.1104</v>
      </c>
      <c r="I1930" s="53">
        <f t="shared" ca="1" si="267"/>
        <v>6416519491131.7021</v>
      </c>
      <c r="J1930" s="53">
        <f t="shared" ca="1" si="268"/>
        <v>546100557073.90997</v>
      </c>
      <c r="K1930" s="54">
        <f t="shared" ca="1" si="269"/>
        <v>11.74970325156303</v>
      </c>
    </row>
    <row r="1931" spans="2:11" ht="15" customHeight="1" x14ac:dyDescent="0.35">
      <c r="B1931" s="5">
        <v>1910</v>
      </c>
      <c r="C1931" s="52">
        <f t="shared" ca="1" si="261"/>
        <v>3.0314399834572883</v>
      </c>
      <c r="D1931" s="53">
        <f t="shared" ca="1" si="262"/>
        <v>5496789566.903059</v>
      </c>
      <c r="E1931" s="53">
        <f t="shared" ca="1" si="263"/>
        <v>18701516420820.809</v>
      </c>
      <c r="F1931" s="53">
        <f t="shared" ca="1" si="264"/>
        <v>3359434346177.7681</v>
      </c>
      <c r="G1931" s="53">
        <f t="shared" ca="1" si="265"/>
        <v>533096064447.26422</v>
      </c>
      <c r="H1931" s="53">
        <f t="shared" ca="1" si="266"/>
        <v>18701516420820.809</v>
      </c>
      <c r="I1931" s="53">
        <f t="shared" ca="1" si="267"/>
        <v>17406519478051.066</v>
      </c>
      <c r="J1931" s="53">
        <f t="shared" ca="1" si="268"/>
        <v>589043172347.28271</v>
      </c>
      <c r="K1931" s="54">
        <f t="shared" ca="1" si="269"/>
        <v>29.550498664958109</v>
      </c>
    </row>
    <row r="1932" spans="2:11" ht="15" customHeight="1" x14ac:dyDescent="0.35">
      <c r="B1932" s="5">
        <v>1911</v>
      </c>
      <c r="C1932" s="52">
        <f t="shared" ca="1" si="261"/>
        <v>2.9681663192683336</v>
      </c>
      <c r="D1932" s="53">
        <f t="shared" ca="1" si="262"/>
        <v>5003658608.6558409</v>
      </c>
      <c r="E1932" s="53">
        <f t="shared" ca="1" si="263"/>
        <v>22894648989484.133</v>
      </c>
      <c r="F1932" s="53">
        <f t="shared" ca="1" si="264"/>
        <v>587202054301.23083</v>
      </c>
      <c r="G1932" s="53">
        <f t="shared" ca="1" si="265"/>
        <v>87424220344087.141</v>
      </c>
      <c r="H1932" s="53">
        <f t="shared" ca="1" si="266"/>
        <v>87424220344087.141</v>
      </c>
      <c r="I1932" s="53">
        <f t="shared" ca="1" si="267"/>
        <v>3309517258503.8701</v>
      </c>
      <c r="J1932" s="53">
        <f t="shared" ca="1" si="268"/>
        <v>790779094795.91748</v>
      </c>
      <c r="K1932" s="54">
        <f t="shared" ca="1" si="269"/>
        <v>4.1851349893840872</v>
      </c>
    </row>
    <row r="1933" spans="2:11" ht="15" customHeight="1" x14ac:dyDescent="0.35">
      <c r="B1933" s="5">
        <v>1912</v>
      </c>
      <c r="C1933" s="52">
        <f t="shared" ca="1" si="261"/>
        <v>2.939426388525828</v>
      </c>
      <c r="D1933" s="53">
        <f t="shared" ca="1" si="262"/>
        <v>5012091046.1162243</v>
      </c>
      <c r="E1933" s="53">
        <f t="shared" ca="1" si="263"/>
        <v>36245190450860.625</v>
      </c>
      <c r="F1933" s="53">
        <f t="shared" ca="1" si="264"/>
        <v>10834680468015.762</v>
      </c>
      <c r="G1933" s="53">
        <f t="shared" ca="1" si="265"/>
        <v>1350760622430.958</v>
      </c>
      <c r="H1933" s="53">
        <f t="shared" ca="1" si="266"/>
        <v>1350760622430.958</v>
      </c>
      <c r="I1933" s="53">
        <f t="shared" ca="1" si="267"/>
        <v>13792285020200.514</v>
      </c>
      <c r="J1933" s="53">
        <f t="shared" ca="1" si="268"/>
        <v>1301588326877.8289</v>
      </c>
      <c r="K1933" s="54">
        <f t="shared" ca="1" si="269"/>
        <v>10.596503314749764</v>
      </c>
    </row>
    <row r="1934" spans="2:11" ht="15" customHeight="1" x14ac:dyDescent="0.35">
      <c r="B1934" s="5">
        <v>1913</v>
      </c>
      <c r="C1934" s="52">
        <f t="shared" ca="1" si="261"/>
        <v>3.0330481933353779</v>
      </c>
      <c r="D1934" s="53">
        <f t="shared" ca="1" si="262"/>
        <v>4265575784.1506629</v>
      </c>
      <c r="E1934" s="53">
        <f t="shared" ca="1" si="263"/>
        <v>33471060421174.914</v>
      </c>
      <c r="F1934" s="53">
        <f t="shared" ca="1" si="264"/>
        <v>7254348901769.9111</v>
      </c>
      <c r="G1934" s="53">
        <f t="shared" ca="1" si="265"/>
        <v>456167574339.34473</v>
      </c>
      <c r="H1934" s="53">
        <f t="shared" ca="1" si="266"/>
        <v>456167574339.34473</v>
      </c>
      <c r="I1934" s="53">
        <f t="shared" ca="1" si="267"/>
        <v>66566298554100.164</v>
      </c>
      <c r="J1934" s="53">
        <f t="shared" ca="1" si="268"/>
        <v>763478535050.92957</v>
      </c>
      <c r="K1934" s="54">
        <f t="shared" ca="1" si="269"/>
        <v>87.1881729453726</v>
      </c>
    </row>
    <row r="1935" spans="2:11" ht="15" customHeight="1" x14ac:dyDescent="0.35">
      <c r="B1935" s="5">
        <v>1914</v>
      </c>
      <c r="C1935" s="52">
        <f t="shared" ca="1" si="261"/>
        <v>3.3870236492388144</v>
      </c>
      <c r="D1935" s="53">
        <f t="shared" ca="1" si="262"/>
        <v>8955274476.3228931</v>
      </c>
      <c r="E1935" s="53">
        <f t="shared" ca="1" si="263"/>
        <v>13696854770482.504</v>
      </c>
      <c r="F1935" s="53">
        <f t="shared" ca="1" si="264"/>
        <v>18016156984464.895</v>
      </c>
      <c r="G1935" s="53">
        <f t="shared" ca="1" si="265"/>
        <v>877040398951.604</v>
      </c>
      <c r="H1935" s="53">
        <f t="shared" ca="1" si="266"/>
        <v>13696854770482.504</v>
      </c>
      <c r="I1935" s="53">
        <f t="shared" ca="1" si="267"/>
        <v>8123677997380.3262</v>
      </c>
      <c r="J1935" s="53">
        <f t="shared" ca="1" si="268"/>
        <v>1153324717708.0776</v>
      </c>
      <c r="K1935" s="54">
        <f t="shared" ca="1" si="269"/>
        <v>7.0437040606603398</v>
      </c>
    </row>
    <row r="1936" spans="2:11" ht="15" customHeight="1" x14ac:dyDescent="0.35">
      <c r="B1936" s="5">
        <v>1915</v>
      </c>
      <c r="C1936" s="52">
        <f t="shared" ca="1" si="261"/>
        <v>2.9515520617730937</v>
      </c>
      <c r="D1936" s="53">
        <f t="shared" ca="1" si="262"/>
        <v>5295656224.7060947</v>
      </c>
      <c r="E1936" s="53">
        <f t="shared" ca="1" si="263"/>
        <v>72564814629901.188</v>
      </c>
      <c r="F1936" s="53">
        <f t="shared" ca="1" si="264"/>
        <v>1524503526185.1709</v>
      </c>
      <c r="G1936" s="53">
        <f t="shared" ca="1" si="265"/>
        <v>30376703847634.258</v>
      </c>
      <c r="H1936" s="53">
        <f t="shared" ca="1" si="266"/>
        <v>30376703847634.258</v>
      </c>
      <c r="I1936" s="53">
        <f t="shared" ca="1" si="267"/>
        <v>3082275392772.8315</v>
      </c>
      <c r="J1936" s="53">
        <f t="shared" ca="1" si="268"/>
        <v>1464114050752.7759</v>
      </c>
      <c r="K1936" s="54">
        <f t="shared" ca="1" si="269"/>
        <v>2.105215362961701</v>
      </c>
    </row>
    <row r="1937" spans="2:11" ht="15" customHeight="1" x14ac:dyDescent="0.35">
      <c r="B1937" s="5">
        <v>1916</v>
      </c>
      <c r="C1937" s="52">
        <f t="shared" ca="1" si="261"/>
        <v>2.3669064321813296</v>
      </c>
      <c r="D1937" s="53">
        <f t="shared" ca="1" si="262"/>
        <v>1483747042.6904707</v>
      </c>
      <c r="E1937" s="53">
        <f t="shared" ca="1" si="263"/>
        <v>5996676753512.4287</v>
      </c>
      <c r="F1937" s="53">
        <f t="shared" ca="1" si="264"/>
        <v>16390031887078.736</v>
      </c>
      <c r="G1937" s="53">
        <f t="shared" ca="1" si="265"/>
        <v>19470153023802.207</v>
      </c>
      <c r="H1937" s="53">
        <f t="shared" ca="1" si="266"/>
        <v>16390031887078.736</v>
      </c>
      <c r="I1937" s="53">
        <f t="shared" ca="1" si="267"/>
        <v>24413322264364.922</v>
      </c>
      <c r="J1937" s="53">
        <f t="shared" ca="1" si="268"/>
        <v>1310599429891.4463</v>
      </c>
      <c r="K1937" s="54">
        <f t="shared" ca="1" si="269"/>
        <v>18.627600247305935</v>
      </c>
    </row>
    <row r="1938" spans="2:11" ht="15" customHeight="1" x14ac:dyDescent="0.35">
      <c r="B1938" s="5">
        <v>1917</v>
      </c>
      <c r="C1938" s="52">
        <f t="shared" ca="1" si="261"/>
        <v>2.8560839190562586</v>
      </c>
      <c r="D1938" s="53">
        <f t="shared" ca="1" si="262"/>
        <v>4149305339.5747542</v>
      </c>
      <c r="E1938" s="53">
        <f t="shared" ca="1" si="263"/>
        <v>13354009875597.32</v>
      </c>
      <c r="F1938" s="53">
        <f t="shared" ca="1" si="264"/>
        <v>679541409179.4624</v>
      </c>
      <c r="G1938" s="53">
        <f t="shared" ca="1" si="265"/>
        <v>4949603892448.5859</v>
      </c>
      <c r="H1938" s="53">
        <f t="shared" ca="1" si="266"/>
        <v>13354009875597.32</v>
      </c>
      <c r="I1938" s="53">
        <f t="shared" ca="1" si="267"/>
        <v>41806960183555.273</v>
      </c>
      <c r="J1938" s="53">
        <f t="shared" ca="1" si="268"/>
        <v>966567480814.28076</v>
      </c>
      <c r="K1938" s="54">
        <f t="shared" ca="1" si="269"/>
        <v>43.253017521689408</v>
      </c>
    </row>
    <row r="1939" spans="2:11" ht="15" customHeight="1" x14ac:dyDescent="0.35">
      <c r="B1939" s="5">
        <v>1918</v>
      </c>
      <c r="C1939" s="52">
        <f t="shared" ca="1" si="261"/>
        <v>2.7252638993237666</v>
      </c>
      <c r="D1939" s="53">
        <f t="shared" ca="1" si="262"/>
        <v>2606071098.0901971</v>
      </c>
      <c r="E1939" s="53">
        <f t="shared" ca="1" si="263"/>
        <v>4603821519112.8633</v>
      </c>
      <c r="F1939" s="53">
        <f t="shared" ca="1" si="264"/>
        <v>4388559445529.2754</v>
      </c>
      <c r="G1939" s="53">
        <f t="shared" ca="1" si="265"/>
        <v>4480163079072.8047</v>
      </c>
      <c r="H1939" s="53">
        <f t="shared" ca="1" si="266"/>
        <v>4388559445529.2754</v>
      </c>
      <c r="I1939" s="53">
        <f t="shared" ca="1" si="267"/>
        <v>54597421564847.023</v>
      </c>
      <c r="J1939" s="53">
        <f t="shared" ca="1" si="268"/>
        <v>875147470227.91956</v>
      </c>
      <c r="K1939" s="54">
        <f t="shared" ca="1" si="269"/>
        <v>62.386538751723648</v>
      </c>
    </row>
    <row r="1940" spans="2:11" ht="15" customHeight="1" x14ac:dyDescent="0.35">
      <c r="B1940" s="5">
        <v>1919</v>
      </c>
      <c r="C1940" s="52">
        <f t="shared" ca="1" si="261"/>
        <v>2.8300795904159841</v>
      </c>
      <c r="D1940" s="53">
        <f t="shared" ca="1" si="262"/>
        <v>3831291759.8715229</v>
      </c>
      <c r="E1940" s="53">
        <f t="shared" ca="1" si="263"/>
        <v>14251430583105.857</v>
      </c>
      <c r="F1940" s="53">
        <f t="shared" ca="1" si="264"/>
        <v>900633599298.74182</v>
      </c>
      <c r="G1940" s="53">
        <f t="shared" ca="1" si="265"/>
        <v>3311841086058.7251</v>
      </c>
      <c r="H1940" s="53">
        <f t="shared" ca="1" si="266"/>
        <v>3311841086058.7251</v>
      </c>
      <c r="I1940" s="53">
        <f t="shared" ca="1" si="267"/>
        <v>10410505379129.637</v>
      </c>
      <c r="J1940" s="53">
        <f t="shared" ca="1" si="268"/>
        <v>1009899011413.5905</v>
      </c>
      <c r="K1940" s="54">
        <f t="shared" ca="1" si="269"/>
        <v>10.308461798133353</v>
      </c>
    </row>
    <row r="1941" spans="2:11" ht="15" customHeight="1" x14ac:dyDescent="0.35">
      <c r="B1941" s="5">
        <v>1920</v>
      </c>
      <c r="C1941" s="52">
        <f t="shared" ca="1" si="261"/>
        <v>3.1050841453611815</v>
      </c>
      <c r="D1941" s="53">
        <f t="shared" ca="1" si="262"/>
        <v>6578271743.6577892</v>
      </c>
      <c r="E1941" s="53">
        <f t="shared" ca="1" si="263"/>
        <v>7558076192712.1934</v>
      </c>
      <c r="F1941" s="53">
        <f t="shared" ca="1" si="264"/>
        <v>2436211704032.0874</v>
      </c>
      <c r="G1941" s="53">
        <f t="shared" ca="1" si="265"/>
        <v>52819004942707.336</v>
      </c>
      <c r="H1941" s="53">
        <f t="shared" ca="1" si="266"/>
        <v>7558076192712.1934</v>
      </c>
      <c r="I1941" s="53">
        <f t="shared" ca="1" si="267"/>
        <v>3370633422268.666</v>
      </c>
      <c r="J1941" s="53">
        <f t="shared" ca="1" si="268"/>
        <v>1716685943858.2107</v>
      </c>
      <c r="K1941" s="54">
        <f t="shared" ca="1" si="269"/>
        <v>1.9634537314922309</v>
      </c>
    </row>
    <row r="1942" spans="2:11" ht="15" customHeight="1" x14ac:dyDescent="0.35">
      <c r="B1942" s="5">
        <v>1921</v>
      </c>
      <c r="C1942" s="52">
        <f t="shared" ref="C1942:C2005" ca="1" si="270">MEDIAN(1.8,NORMINV(RAND(),$C$7,$D$7),4.5)</f>
        <v>2.2296891880251359</v>
      </c>
      <c r="D1942" s="53">
        <f t="shared" ref="D1942:D2005" ca="1" si="271">($C$8+RAND()*($D$8-$C$8))*C1942^5</f>
        <v>1058003037.8936565</v>
      </c>
      <c r="E1942" s="53">
        <f t="shared" ref="E1942:E2005" ca="1" si="272">D1942*($C$10+RAND()*($D$10-$C$10))*EXP(NORMINV(RAND(),$C$9,$D$9))*($C$11+RAND()*($D$11-$C$11))</f>
        <v>5941528484101.8408</v>
      </c>
      <c r="F1942" s="53">
        <f t="shared" ref="F1942:F2005" ca="1" si="273">EXP(NORMINV(RAND(),$C$12,$D$12))*EXP(NORMINV(RAND(),$C$13,$D$13))</f>
        <v>5634397232445.3945</v>
      </c>
      <c r="G1942" s="53">
        <f t="shared" ref="G1942:G2005" ca="1" si="274">EXP(NORMINV(RAND(),$C$14,$D$14))*($C$15+RAND()*($D$15-$C$15))*EXP(NORMINV(RAND(),$C$16,$D$16))/1000000*31536000</f>
        <v>538638887932.14148</v>
      </c>
      <c r="H1942" s="53">
        <f t="shared" ref="H1942:H2005" ca="1" si="275">CHOOSE(RANDBETWEEN(1,3),E1942,F1942,G1942)</f>
        <v>5634397232445.3945</v>
      </c>
      <c r="I1942" s="53">
        <f t="shared" ref="I1942:I2005" ca="1" si="276">EXP(NORMINV(RAND(),$C$14,$D$14))*($C$15+RAND()*($D$15-$C$15))*60</f>
        <v>31704634073451.492</v>
      </c>
      <c r="J1942" s="53">
        <f t="shared" ref="J1942:J2005" ca="1" si="277">($C$17+RAND()*($D$17-$C$17))*($C$18+RAND()*($D$18-$C$18))</f>
        <v>923715646006.12048</v>
      </c>
      <c r="K1942" s="54">
        <f t="shared" ref="K1942:K2005" ca="1" si="278">I1942/J1942</f>
        <v>34.322937162029426</v>
      </c>
    </row>
    <row r="1943" spans="2:11" ht="15" customHeight="1" x14ac:dyDescent="0.35">
      <c r="B1943" s="5">
        <v>1922</v>
      </c>
      <c r="C1943" s="52">
        <f t="shared" ca="1" si="270"/>
        <v>2.9587978572685705</v>
      </c>
      <c r="D1943" s="53">
        <f t="shared" ca="1" si="271"/>
        <v>4034254101.8728566</v>
      </c>
      <c r="E1943" s="53">
        <f t="shared" ca="1" si="272"/>
        <v>50104680346072.195</v>
      </c>
      <c r="F1943" s="53">
        <f t="shared" ca="1" si="273"/>
        <v>1982872013611.8689</v>
      </c>
      <c r="G1943" s="53">
        <f t="shared" ca="1" si="274"/>
        <v>23142126419342.906</v>
      </c>
      <c r="H1943" s="53">
        <f t="shared" ca="1" si="275"/>
        <v>50104680346072.195</v>
      </c>
      <c r="I1943" s="53">
        <f t="shared" ca="1" si="276"/>
        <v>26757157737045.391</v>
      </c>
      <c r="J1943" s="53">
        <f t="shared" ca="1" si="277"/>
        <v>789753194136.81604</v>
      </c>
      <c r="K1943" s="54">
        <f t="shared" ca="1" si="278"/>
        <v>33.880404581700255</v>
      </c>
    </row>
    <row r="1944" spans="2:11" ht="15" customHeight="1" x14ac:dyDescent="0.35">
      <c r="B1944" s="5">
        <v>1923</v>
      </c>
      <c r="C1944" s="52">
        <f t="shared" ca="1" si="270"/>
        <v>3.4070620739198851</v>
      </c>
      <c r="D1944" s="53">
        <f t="shared" ca="1" si="271"/>
        <v>7830348212.1060314</v>
      </c>
      <c r="E1944" s="53">
        <f t="shared" ca="1" si="272"/>
        <v>26755264676704.797</v>
      </c>
      <c r="F1944" s="53">
        <f t="shared" ca="1" si="273"/>
        <v>1636568902645.9363</v>
      </c>
      <c r="G1944" s="53">
        <f t="shared" ca="1" si="274"/>
        <v>4927638420721.3652</v>
      </c>
      <c r="H1944" s="53">
        <f t="shared" ca="1" si="275"/>
        <v>26755264676704.797</v>
      </c>
      <c r="I1944" s="53">
        <f t="shared" ca="1" si="276"/>
        <v>6802505667509.8613</v>
      </c>
      <c r="J1944" s="53">
        <f t="shared" ca="1" si="277"/>
        <v>1239030897341.9304</v>
      </c>
      <c r="K1944" s="54">
        <f t="shared" ca="1" si="278"/>
        <v>5.4901824337901086</v>
      </c>
    </row>
    <row r="1945" spans="2:11" ht="15" customHeight="1" x14ac:dyDescent="0.35">
      <c r="B1945" s="5">
        <v>1924</v>
      </c>
      <c r="C1945" s="52">
        <f t="shared" ca="1" si="270"/>
        <v>2.4145360614513449</v>
      </c>
      <c r="D1945" s="53">
        <f t="shared" ca="1" si="271"/>
        <v>1442294373.2902977</v>
      </c>
      <c r="E1945" s="53">
        <f t="shared" ca="1" si="272"/>
        <v>1715823131341.7495</v>
      </c>
      <c r="F1945" s="53">
        <f t="shared" ca="1" si="273"/>
        <v>8552028437434.0049</v>
      </c>
      <c r="G1945" s="53">
        <f t="shared" ca="1" si="274"/>
        <v>6318921335505.1973</v>
      </c>
      <c r="H1945" s="53">
        <f t="shared" ca="1" si="275"/>
        <v>1715823131341.7495</v>
      </c>
      <c r="I1945" s="53">
        <f t="shared" ca="1" si="276"/>
        <v>20429897155194.738</v>
      </c>
      <c r="J1945" s="53">
        <f t="shared" ca="1" si="277"/>
        <v>1195893245036.7588</v>
      </c>
      <c r="K1945" s="54">
        <f t="shared" ca="1" si="278"/>
        <v>17.083378671117732</v>
      </c>
    </row>
    <row r="1946" spans="2:11" ht="15" customHeight="1" x14ac:dyDescent="0.35">
      <c r="B1946" s="5">
        <v>1925</v>
      </c>
      <c r="C1946" s="52">
        <f t="shared" ca="1" si="270"/>
        <v>2.3835689708432386</v>
      </c>
      <c r="D1946" s="53">
        <f t="shared" ca="1" si="271"/>
        <v>1254435770.0936677</v>
      </c>
      <c r="E1946" s="53">
        <f t="shared" ca="1" si="272"/>
        <v>19651334081892.613</v>
      </c>
      <c r="F1946" s="53">
        <f t="shared" ca="1" si="273"/>
        <v>5365840215330.1016</v>
      </c>
      <c r="G1946" s="53">
        <f t="shared" ca="1" si="274"/>
        <v>18687479559820.352</v>
      </c>
      <c r="H1946" s="53">
        <f t="shared" ca="1" si="275"/>
        <v>18687479559820.352</v>
      </c>
      <c r="I1946" s="53">
        <f t="shared" ca="1" si="276"/>
        <v>19674496362023.762</v>
      </c>
      <c r="J1946" s="53">
        <f t="shared" ca="1" si="277"/>
        <v>798837020183.03198</v>
      </c>
      <c r="K1946" s="54">
        <f t="shared" ca="1" si="278"/>
        <v>24.62892412962519</v>
      </c>
    </row>
    <row r="1947" spans="2:11" ht="15" customHeight="1" x14ac:dyDescent="0.35">
      <c r="B1947" s="5">
        <v>1926</v>
      </c>
      <c r="C1947" s="52">
        <f t="shared" ca="1" si="270"/>
        <v>2.687696775602193</v>
      </c>
      <c r="D1947" s="53">
        <f t="shared" ca="1" si="271"/>
        <v>2566835466.3796668</v>
      </c>
      <c r="E1947" s="53">
        <f t="shared" ca="1" si="272"/>
        <v>10601277878980.906</v>
      </c>
      <c r="F1947" s="53">
        <f t="shared" ca="1" si="273"/>
        <v>7188914133376.1797</v>
      </c>
      <c r="G1947" s="53">
        <f t="shared" ca="1" si="274"/>
        <v>7400660852374.7637</v>
      </c>
      <c r="H1947" s="53">
        <f t="shared" ca="1" si="275"/>
        <v>7188914133376.1797</v>
      </c>
      <c r="I1947" s="53">
        <f t="shared" ca="1" si="276"/>
        <v>6934959525965.3105</v>
      </c>
      <c r="J1947" s="53">
        <f t="shared" ca="1" si="277"/>
        <v>685235074758.9834</v>
      </c>
      <c r="K1947" s="54">
        <f t="shared" ca="1" si="278"/>
        <v>10.12055538517863</v>
      </c>
    </row>
    <row r="1948" spans="2:11" ht="15" customHeight="1" x14ac:dyDescent="0.35">
      <c r="B1948" s="5">
        <v>1927</v>
      </c>
      <c r="C1948" s="52">
        <f t="shared" ca="1" si="270"/>
        <v>3.231993730895983</v>
      </c>
      <c r="D1948" s="53">
        <f t="shared" ca="1" si="271"/>
        <v>6004598323.2503471</v>
      </c>
      <c r="E1948" s="53">
        <f t="shared" ca="1" si="272"/>
        <v>43597607703583.836</v>
      </c>
      <c r="F1948" s="53">
        <f t="shared" ca="1" si="273"/>
        <v>3519461468056.4268</v>
      </c>
      <c r="G1948" s="53">
        <f t="shared" ca="1" si="274"/>
        <v>7420089288432.3975</v>
      </c>
      <c r="H1948" s="53">
        <f t="shared" ca="1" si="275"/>
        <v>3519461468056.4268</v>
      </c>
      <c r="I1948" s="53">
        <f t="shared" ca="1" si="276"/>
        <v>48165161524967.586</v>
      </c>
      <c r="J1948" s="53">
        <f t="shared" ca="1" si="277"/>
        <v>1701883558807.7896</v>
      </c>
      <c r="K1948" s="54">
        <f t="shared" ca="1" si="278"/>
        <v>28.301091032754581</v>
      </c>
    </row>
    <row r="1949" spans="2:11" ht="15" customHeight="1" x14ac:dyDescent="0.35">
      <c r="B1949" s="5">
        <v>1928</v>
      </c>
      <c r="C1949" s="52">
        <f t="shared" ca="1" si="270"/>
        <v>2.87702025845521</v>
      </c>
      <c r="D1949" s="53">
        <f t="shared" ca="1" si="271"/>
        <v>4373614397.4659243</v>
      </c>
      <c r="E1949" s="53">
        <f t="shared" ca="1" si="272"/>
        <v>13510356803230.221</v>
      </c>
      <c r="F1949" s="53">
        <f t="shared" ca="1" si="273"/>
        <v>3969713903344.9893</v>
      </c>
      <c r="G1949" s="53">
        <f t="shared" ca="1" si="274"/>
        <v>9309130708516.4844</v>
      </c>
      <c r="H1949" s="53">
        <f t="shared" ca="1" si="275"/>
        <v>9309130708516.4844</v>
      </c>
      <c r="I1949" s="53">
        <f t="shared" ca="1" si="276"/>
        <v>27259075233430.918</v>
      </c>
      <c r="J1949" s="53">
        <f t="shared" ca="1" si="277"/>
        <v>717574633155.74329</v>
      </c>
      <c r="K1949" s="54">
        <f t="shared" ca="1" si="278"/>
        <v>37.987791058821578</v>
      </c>
    </row>
    <row r="1950" spans="2:11" ht="15" customHeight="1" x14ac:dyDescent="0.35">
      <c r="B1950" s="5">
        <v>1929</v>
      </c>
      <c r="C1950" s="52">
        <f t="shared" ca="1" si="270"/>
        <v>3.3483207331210223</v>
      </c>
      <c r="D1950" s="53">
        <f t="shared" ca="1" si="271"/>
        <v>8260803712.9585304</v>
      </c>
      <c r="E1950" s="53">
        <f t="shared" ca="1" si="272"/>
        <v>11361561068701.25</v>
      </c>
      <c r="F1950" s="53">
        <f t="shared" ca="1" si="273"/>
        <v>11240304713227.691</v>
      </c>
      <c r="G1950" s="53">
        <f t="shared" ca="1" si="274"/>
        <v>17582741662207.375</v>
      </c>
      <c r="H1950" s="53">
        <f t="shared" ca="1" si="275"/>
        <v>11361561068701.25</v>
      </c>
      <c r="I1950" s="53">
        <f t="shared" ca="1" si="276"/>
        <v>16782730970287.047</v>
      </c>
      <c r="J1950" s="53">
        <f t="shared" ca="1" si="277"/>
        <v>626464454536.00452</v>
      </c>
      <c r="K1950" s="54">
        <f t="shared" ca="1" si="278"/>
        <v>26.78959811489592</v>
      </c>
    </row>
    <row r="1951" spans="2:11" ht="15" customHeight="1" x14ac:dyDescent="0.35">
      <c r="B1951" s="5">
        <v>1930</v>
      </c>
      <c r="C1951" s="52">
        <f t="shared" ca="1" si="270"/>
        <v>3.0447696392254864</v>
      </c>
      <c r="D1951" s="53">
        <f t="shared" ca="1" si="271"/>
        <v>4806357377.7246656</v>
      </c>
      <c r="E1951" s="53">
        <f t="shared" ca="1" si="272"/>
        <v>5449688498415.2568</v>
      </c>
      <c r="F1951" s="53">
        <f t="shared" ca="1" si="273"/>
        <v>7193546522292.9766</v>
      </c>
      <c r="G1951" s="53">
        <f t="shared" ca="1" si="274"/>
        <v>5450685047304.8643</v>
      </c>
      <c r="H1951" s="53">
        <f t="shared" ca="1" si="275"/>
        <v>5449688498415.2568</v>
      </c>
      <c r="I1951" s="53">
        <f t="shared" ca="1" si="276"/>
        <v>4156977234729.0474</v>
      </c>
      <c r="J1951" s="53">
        <f t="shared" ca="1" si="277"/>
        <v>687911151300.09009</v>
      </c>
      <c r="K1951" s="54">
        <f t="shared" ca="1" si="278"/>
        <v>6.0428984569776709</v>
      </c>
    </row>
    <row r="1952" spans="2:11" ht="15" customHeight="1" x14ac:dyDescent="0.35">
      <c r="B1952" s="5">
        <v>1931</v>
      </c>
      <c r="C1952" s="52">
        <f t="shared" ca="1" si="270"/>
        <v>3.0008789974039165</v>
      </c>
      <c r="D1952" s="53">
        <f t="shared" ca="1" si="271"/>
        <v>5832063675.009326</v>
      </c>
      <c r="E1952" s="53">
        <f t="shared" ca="1" si="272"/>
        <v>11173293464509.971</v>
      </c>
      <c r="F1952" s="53">
        <f t="shared" ca="1" si="273"/>
        <v>4691325476787.1045</v>
      </c>
      <c r="G1952" s="53">
        <f t="shared" ca="1" si="274"/>
        <v>1766942769780.8047</v>
      </c>
      <c r="H1952" s="53">
        <f t="shared" ca="1" si="275"/>
        <v>11173293464509.971</v>
      </c>
      <c r="I1952" s="53">
        <f t="shared" ca="1" si="276"/>
        <v>2646484172185.7935</v>
      </c>
      <c r="J1952" s="53">
        <f t="shared" ca="1" si="277"/>
        <v>1427564216411.9016</v>
      </c>
      <c r="K1952" s="54">
        <f t="shared" ca="1" si="278"/>
        <v>1.8538459718733882</v>
      </c>
    </row>
    <row r="1953" spans="2:11" ht="15" customHeight="1" x14ac:dyDescent="0.35">
      <c r="B1953" s="5">
        <v>1932</v>
      </c>
      <c r="C1953" s="52">
        <f t="shared" ca="1" si="270"/>
        <v>3.0935450245118767</v>
      </c>
      <c r="D1953" s="53">
        <f t="shared" ca="1" si="271"/>
        <v>6668603731.6166735</v>
      </c>
      <c r="E1953" s="53">
        <f t="shared" ca="1" si="272"/>
        <v>44131360030301.43</v>
      </c>
      <c r="F1953" s="53">
        <f t="shared" ca="1" si="273"/>
        <v>5213168544609.0381</v>
      </c>
      <c r="G1953" s="53">
        <f t="shared" ca="1" si="274"/>
        <v>102250642191222.64</v>
      </c>
      <c r="H1953" s="53">
        <f t="shared" ca="1" si="275"/>
        <v>5213168544609.0381</v>
      </c>
      <c r="I1953" s="53">
        <f t="shared" ca="1" si="276"/>
        <v>45598593411230.984</v>
      </c>
      <c r="J1953" s="53">
        <f t="shared" ca="1" si="277"/>
        <v>931142062507.4613</v>
      </c>
      <c r="K1953" s="54">
        <f t="shared" ca="1" si="278"/>
        <v>48.970608511056923</v>
      </c>
    </row>
    <row r="1954" spans="2:11" ht="15" customHeight="1" x14ac:dyDescent="0.35">
      <c r="B1954" s="5">
        <v>1933</v>
      </c>
      <c r="C1954" s="52">
        <f t="shared" ca="1" si="270"/>
        <v>2.8525895630102376</v>
      </c>
      <c r="D1954" s="53">
        <f t="shared" ca="1" si="271"/>
        <v>3737890024.703455</v>
      </c>
      <c r="E1954" s="53">
        <f t="shared" ca="1" si="272"/>
        <v>6126619843459.2324</v>
      </c>
      <c r="F1954" s="53">
        <f t="shared" ca="1" si="273"/>
        <v>3167163361774.8555</v>
      </c>
      <c r="G1954" s="53">
        <f t="shared" ca="1" si="274"/>
        <v>26102286925935.512</v>
      </c>
      <c r="H1954" s="53">
        <f t="shared" ca="1" si="275"/>
        <v>6126619843459.2324</v>
      </c>
      <c r="I1954" s="53">
        <f t="shared" ca="1" si="276"/>
        <v>17458232996417.535</v>
      </c>
      <c r="J1954" s="53">
        <f t="shared" ca="1" si="277"/>
        <v>1079195479740.4716</v>
      </c>
      <c r="K1954" s="54">
        <f t="shared" ca="1" si="278"/>
        <v>16.177081283379678</v>
      </c>
    </row>
    <row r="1955" spans="2:11" ht="15" customHeight="1" x14ac:dyDescent="0.35">
      <c r="B1955" s="5">
        <v>1934</v>
      </c>
      <c r="C1955" s="52">
        <f t="shared" ca="1" si="270"/>
        <v>2.4413434674699834</v>
      </c>
      <c r="D1955" s="53">
        <f t="shared" ca="1" si="271"/>
        <v>1731481802.4359305</v>
      </c>
      <c r="E1955" s="53">
        <f t="shared" ca="1" si="272"/>
        <v>5973287688025.1289</v>
      </c>
      <c r="F1955" s="53">
        <f t="shared" ca="1" si="273"/>
        <v>2206594007640.5059</v>
      </c>
      <c r="G1955" s="53">
        <f t="shared" ca="1" si="274"/>
        <v>1333895268409.9736</v>
      </c>
      <c r="H1955" s="53">
        <f t="shared" ca="1" si="275"/>
        <v>5973287688025.1289</v>
      </c>
      <c r="I1955" s="53">
        <f t="shared" ca="1" si="276"/>
        <v>22813763589326.66</v>
      </c>
      <c r="J1955" s="53">
        <f t="shared" ca="1" si="277"/>
        <v>792388430708.41833</v>
      </c>
      <c r="K1955" s="54">
        <f t="shared" ca="1" si="278"/>
        <v>28.791136651162979</v>
      </c>
    </row>
    <row r="1956" spans="2:11" ht="15" customHeight="1" x14ac:dyDescent="0.35">
      <c r="B1956" s="5">
        <v>1935</v>
      </c>
      <c r="C1956" s="52">
        <f t="shared" ca="1" si="270"/>
        <v>2.7745498163846642</v>
      </c>
      <c r="D1956" s="53">
        <f t="shared" ca="1" si="271"/>
        <v>3683804450.9291644</v>
      </c>
      <c r="E1956" s="53">
        <f t="shared" ca="1" si="272"/>
        <v>4329392685168.1973</v>
      </c>
      <c r="F1956" s="53">
        <f t="shared" ca="1" si="273"/>
        <v>1633489916966.6218</v>
      </c>
      <c r="G1956" s="53">
        <f t="shared" ca="1" si="274"/>
        <v>8527893215798.3535</v>
      </c>
      <c r="H1956" s="53">
        <f t="shared" ca="1" si="275"/>
        <v>4329392685168.1973</v>
      </c>
      <c r="I1956" s="53">
        <f t="shared" ca="1" si="276"/>
        <v>6476341788432.5791</v>
      </c>
      <c r="J1956" s="53">
        <f t="shared" ca="1" si="277"/>
        <v>959765161176.24841</v>
      </c>
      <c r="K1956" s="54">
        <f t="shared" ca="1" si="278"/>
        <v>6.7478400450537741</v>
      </c>
    </row>
    <row r="1957" spans="2:11" ht="15" customHeight="1" x14ac:dyDescent="0.35">
      <c r="B1957" s="5">
        <v>1936</v>
      </c>
      <c r="C1957" s="52">
        <f t="shared" ca="1" si="270"/>
        <v>2.9611970575104105</v>
      </c>
      <c r="D1957" s="53">
        <f t="shared" ca="1" si="271"/>
        <v>4931418370.4278097</v>
      </c>
      <c r="E1957" s="53">
        <f t="shared" ca="1" si="272"/>
        <v>28331849302104.473</v>
      </c>
      <c r="F1957" s="53">
        <f t="shared" ca="1" si="273"/>
        <v>503256890929.54504</v>
      </c>
      <c r="G1957" s="53">
        <f t="shared" ca="1" si="274"/>
        <v>2125341871452.3179</v>
      </c>
      <c r="H1957" s="53">
        <f t="shared" ca="1" si="275"/>
        <v>503256890929.54504</v>
      </c>
      <c r="I1957" s="53">
        <f t="shared" ca="1" si="276"/>
        <v>1645391032975.9263</v>
      </c>
      <c r="J1957" s="53">
        <f t="shared" ca="1" si="277"/>
        <v>626491422508.68787</v>
      </c>
      <c r="K1957" s="54">
        <f t="shared" ca="1" si="278"/>
        <v>2.6263584366202695</v>
      </c>
    </row>
    <row r="1958" spans="2:11" ht="15" customHeight="1" x14ac:dyDescent="0.35">
      <c r="B1958" s="5">
        <v>1937</v>
      </c>
      <c r="C1958" s="52">
        <f t="shared" ca="1" si="270"/>
        <v>2.6945147869791564</v>
      </c>
      <c r="D1958" s="53">
        <f t="shared" ca="1" si="271"/>
        <v>2405503603.7833109</v>
      </c>
      <c r="E1958" s="53">
        <f t="shared" ca="1" si="272"/>
        <v>11218650858810.604</v>
      </c>
      <c r="F1958" s="53">
        <f t="shared" ca="1" si="273"/>
        <v>908784701509.55469</v>
      </c>
      <c r="G1958" s="53">
        <f t="shared" ca="1" si="274"/>
        <v>14692469207282.473</v>
      </c>
      <c r="H1958" s="53">
        <f t="shared" ca="1" si="275"/>
        <v>11218650858810.604</v>
      </c>
      <c r="I1958" s="53">
        <f t="shared" ca="1" si="276"/>
        <v>3259494016732.6895</v>
      </c>
      <c r="J1958" s="53">
        <f t="shared" ca="1" si="277"/>
        <v>1450172249972.1963</v>
      </c>
      <c r="K1958" s="54">
        <f t="shared" ca="1" si="278"/>
        <v>2.247659901639397</v>
      </c>
    </row>
    <row r="1959" spans="2:11" ht="15" customHeight="1" x14ac:dyDescent="0.35">
      <c r="B1959" s="5">
        <v>1938</v>
      </c>
      <c r="C1959" s="52">
        <f t="shared" ca="1" si="270"/>
        <v>3.3911335702031096</v>
      </c>
      <c r="D1959" s="53">
        <f t="shared" ca="1" si="271"/>
        <v>8272215967.8792639</v>
      </c>
      <c r="E1959" s="53">
        <f t="shared" ca="1" si="272"/>
        <v>22924875044287.367</v>
      </c>
      <c r="F1959" s="53">
        <f t="shared" ca="1" si="273"/>
        <v>20242986269571.309</v>
      </c>
      <c r="G1959" s="53">
        <f t="shared" ca="1" si="274"/>
        <v>7779013506223.2881</v>
      </c>
      <c r="H1959" s="53">
        <f t="shared" ca="1" si="275"/>
        <v>22924875044287.367</v>
      </c>
      <c r="I1959" s="53">
        <f t="shared" ca="1" si="276"/>
        <v>14533742364706.539</v>
      </c>
      <c r="J1959" s="53">
        <f t="shared" ca="1" si="277"/>
        <v>899135177152.55139</v>
      </c>
      <c r="K1959" s="54">
        <f t="shared" ca="1" si="278"/>
        <v>16.164134975491763</v>
      </c>
    </row>
    <row r="1960" spans="2:11" ht="15" customHeight="1" x14ac:dyDescent="0.35">
      <c r="B1960" s="5">
        <v>1939</v>
      </c>
      <c r="C1960" s="52">
        <f t="shared" ca="1" si="270"/>
        <v>3.0003672303187954</v>
      </c>
      <c r="D1960" s="53">
        <f t="shared" ca="1" si="271"/>
        <v>5827903327.399169</v>
      </c>
      <c r="E1960" s="53">
        <f t="shared" ca="1" si="272"/>
        <v>40724100362554.523</v>
      </c>
      <c r="F1960" s="53">
        <f t="shared" ca="1" si="273"/>
        <v>17305495501262.84</v>
      </c>
      <c r="G1960" s="53">
        <f t="shared" ca="1" si="274"/>
        <v>249754837294.95975</v>
      </c>
      <c r="H1960" s="53">
        <f t="shared" ca="1" si="275"/>
        <v>249754837294.95975</v>
      </c>
      <c r="I1960" s="53">
        <f t="shared" ca="1" si="276"/>
        <v>950941269417.39417</v>
      </c>
      <c r="J1960" s="53">
        <f t="shared" ca="1" si="277"/>
        <v>584732649351.89453</v>
      </c>
      <c r="K1960" s="54">
        <f t="shared" ca="1" si="278"/>
        <v>1.6262838589078232</v>
      </c>
    </row>
    <row r="1961" spans="2:11" ht="15" customHeight="1" x14ac:dyDescent="0.35">
      <c r="B1961" s="5">
        <v>1940</v>
      </c>
      <c r="C1961" s="52">
        <f t="shared" ca="1" si="270"/>
        <v>2.5549979894651931</v>
      </c>
      <c r="D1961" s="53">
        <f t="shared" ca="1" si="271"/>
        <v>2541829745.221117</v>
      </c>
      <c r="E1961" s="53">
        <f t="shared" ca="1" si="272"/>
        <v>1195380489728.6882</v>
      </c>
      <c r="F1961" s="53">
        <f t="shared" ca="1" si="273"/>
        <v>2866259203179.8818</v>
      </c>
      <c r="G1961" s="53">
        <f t="shared" ca="1" si="274"/>
        <v>13077848191402.785</v>
      </c>
      <c r="H1961" s="53">
        <f t="shared" ca="1" si="275"/>
        <v>13077848191402.785</v>
      </c>
      <c r="I1961" s="53">
        <f t="shared" ca="1" si="276"/>
        <v>2806252929920.9878</v>
      </c>
      <c r="J1961" s="53">
        <f t="shared" ca="1" si="277"/>
        <v>1421733611714.9673</v>
      </c>
      <c r="K1961" s="54">
        <f t="shared" ca="1" si="278"/>
        <v>1.9738247072431121</v>
      </c>
    </row>
    <row r="1962" spans="2:11" ht="15" customHeight="1" x14ac:dyDescent="0.35">
      <c r="B1962" s="5">
        <v>1941</v>
      </c>
      <c r="C1962" s="52">
        <f t="shared" ca="1" si="270"/>
        <v>3.2131742283627913</v>
      </c>
      <c r="D1962" s="53">
        <f t="shared" ca="1" si="271"/>
        <v>7270986252.664156</v>
      </c>
      <c r="E1962" s="53">
        <f t="shared" ca="1" si="272"/>
        <v>33473417937262.434</v>
      </c>
      <c r="F1962" s="53">
        <f t="shared" ca="1" si="273"/>
        <v>2680083653029.2241</v>
      </c>
      <c r="G1962" s="53">
        <f t="shared" ca="1" si="274"/>
        <v>4117554452311.5674</v>
      </c>
      <c r="H1962" s="53">
        <f t="shared" ca="1" si="275"/>
        <v>4117554452311.5674</v>
      </c>
      <c r="I1962" s="53">
        <f t="shared" ca="1" si="276"/>
        <v>2491768143753.5313</v>
      </c>
      <c r="J1962" s="53">
        <f t="shared" ca="1" si="277"/>
        <v>1226667015746.21</v>
      </c>
      <c r="K1962" s="54">
        <f t="shared" ca="1" si="278"/>
        <v>2.0313321478182331</v>
      </c>
    </row>
    <row r="1963" spans="2:11" ht="15" customHeight="1" x14ac:dyDescent="0.35">
      <c r="B1963" s="5">
        <v>1942</v>
      </c>
      <c r="C1963" s="52">
        <f t="shared" ca="1" si="270"/>
        <v>2.6522344951760295</v>
      </c>
      <c r="D1963" s="53">
        <f t="shared" ca="1" si="271"/>
        <v>2936505959.1782079</v>
      </c>
      <c r="E1963" s="53">
        <f t="shared" ca="1" si="272"/>
        <v>2229960606703.2852</v>
      </c>
      <c r="F1963" s="53">
        <f t="shared" ca="1" si="273"/>
        <v>221021178050.71695</v>
      </c>
      <c r="G1963" s="53">
        <f t="shared" ca="1" si="274"/>
        <v>12378984961692.053</v>
      </c>
      <c r="H1963" s="53">
        <f t="shared" ca="1" si="275"/>
        <v>12378984961692.053</v>
      </c>
      <c r="I1963" s="53">
        <f t="shared" ca="1" si="276"/>
        <v>29402955215321.25</v>
      </c>
      <c r="J1963" s="53">
        <f t="shared" ca="1" si="277"/>
        <v>1171475792099.4207</v>
      </c>
      <c r="K1963" s="54">
        <f t="shared" ca="1" si="278"/>
        <v>25.099071968553222</v>
      </c>
    </row>
    <row r="1964" spans="2:11" ht="15" customHeight="1" x14ac:dyDescent="0.35">
      <c r="B1964" s="5">
        <v>1943</v>
      </c>
      <c r="C1964" s="52">
        <f t="shared" ca="1" si="270"/>
        <v>2.7624279334942869</v>
      </c>
      <c r="D1964" s="53">
        <f t="shared" ca="1" si="271"/>
        <v>3770394159.6009774</v>
      </c>
      <c r="E1964" s="53">
        <f t="shared" ca="1" si="272"/>
        <v>10838355608238.193</v>
      </c>
      <c r="F1964" s="53">
        <f t="shared" ca="1" si="273"/>
        <v>795690840383.28821</v>
      </c>
      <c r="G1964" s="53">
        <f t="shared" ca="1" si="274"/>
        <v>7423158245433.5459</v>
      </c>
      <c r="H1964" s="53">
        <f t="shared" ca="1" si="275"/>
        <v>7423158245433.5459</v>
      </c>
      <c r="I1964" s="53">
        <f t="shared" ca="1" si="276"/>
        <v>57852069654201.797</v>
      </c>
      <c r="J1964" s="53">
        <f t="shared" ca="1" si="277"/>
        <v>1546571717047.8625</v>
      </c>
      <c r="K1964" s="54">
        <f t="shared" ca="1" si="278"/>
        <v>37.406651768229267</v>
      </c>
    </row>
    <row r="1965" spans="2:11" ht="15" customHeight="1" x14ac:dyDescent="0.35">
      <c r="B1965" s="5">
        <v>1944</v>
      </c>
      <c r="C1965" s="52">
        <f t="shared" ca="1" si="270"/>
        <v>3.1999010441163338</v>
      </c>
      <c r="D1965" s="53">
        <f t="shared" ca="1" si="271"/>
        <v>6001993030.7253246</v>
      </c>
      <c r="E1965" s="53">
        <f t="shared" ca="1" si="272"/>
        <v>6717311682596.0703</v>
      </c>
      <c r="F1965" s="53">
        <f t="shared" ca="1" si="273"/>
        <v>918415407689.4552</v>
      </c>
      <c r="G1965" s="53">
        <f t="shared" ca="1" si="274"/>
        <v>31259201046227.078</v>
      </c>
      <c r="H1965" s="53">
        <f t="shared" ca="1" si="275"/>
        <v>918415407689.4552</v>
      </c>
      <c r="I1965" s="53">
        <f t="shared" ca="1" si="276"/>
        <v>18899236780661.465</v>
      </c>
      <c r="J1965" s="53">
        <f t="shared" ca="1" si="277"/>
        <v>518370825502.1618</v>
      </c>
      <c r="K1965" s="54">
        <f t="shared" ca="1" si="278"/>
        <v>36.458912907286383</v>
      </c>
    </row>
    <row r="1966" spans="2:11" ht="15" customHeight="1" x14ac:dyDescent="0.35">
      <c r="B1966" s="5">
        <v>1945</v>
      </c>
      <c r="C1966" s="52">
        <f t="shared" ca="1" si="270"/>
        <v>2.4689590756919202</v>
      </c>
      <c r="D1966" s="53">
        <f t="shared" ca="1" si="271"/>
        <v>1793708594.2927935</v>
      </c>
      <c r="E1966" s="53">
        <f t="shared" ca="1" si="272"/>
        <v>680179420383.11938</v>
      </c>
      <c r="F1966" s="53">
        <f t="shared" ca="1" si="273"/>
        <v>1787610369149.0205</v>
      </c>
      <c r="G1966" s="53">
        <f t="shared" ca="1" si="274"/>
        <v>15168062181974.436</v>
      </c>
      <c r="H1966" s="53">
        <f t="shared" ca="1" si="275"/>
        <v>15168062181974.436</v>
      </c>
      <c r="I1966" s="53">
        <f t="shared" ca="1" si="276"/>
        <v>14879995311423.432</v>
      </c>
      <c r="J1966" s="53">
        <f t="shared" ca="1" si="277"/>
        <v>583778486293.15674</v>
      </c>
      <c r="K1966" s="54">
        <f t="shared" ca="1" si="278"/>
        <v>25.489112156063811</v>
      </c>
    </row>
    <row r="1967" spans="2:11" ht="15" customHeight="1" x14ac:dyDescent="0.35">
      <c r="B1967" s="5">
        <v>1946</v>
      </c>
      <c r="C1967" s="52">
        <f t="shared" ca="1" si="270"/>
        <v>2.8168324986562165</v>
      </c>
      <c r="D1967" s="53">
        <f t="shared" ca="1" si="271"/>
        <v>4248559201.3076134</v>
      </c>
      <c r="E1967" s="53">
        <f t="shared" ca="1" si="272"/>
        <v>52096640692718.211</v>
      </c>
      <c r="F1967" s="53">
        <f t="shared" ca="1" si="273"/>
        <v>2441588503756.1753</v>
      </c>
      <c r="G1967" s="53">
        <f t="shared" ca="1" si="274"/>
        <v>10660800846213.088</v>
      </c>
      <c r="H1967" s="53">
        <f t="shared" ca="1" si="275"/>
        <v>2441588503756.1753</v>
      </c>
      <c r="I1967" s="53">
        <f t="shared" ca="1" si="276"/>
        <v>27083947940443.23</v>
      </c>
      <c r="J1967" s="53">
        <f t="shared" ca="1" si="277"/>
        <v>754503854059.68188</v>
      </c>
      <c r="K1967" s="54">
        <f t="shared" ca="1" si="278"/>
        <v>35.89636791742732</v>
      </c>
    </row>
    <row r="1968" spans="2:11" ht="15" customHeight="1" x14ac:dyDescent="0.35">
      <c r="B1968" s="5">
        <v>1947</v>
      </c>
      <c r="C1968" s="52">
        <f t="shared" ca="1" si="270"/>
        <v>2.2181181072313292</v>
      </c>
      <c r="D1968" s="53">
        <f t="shared" ca="1" si="271"/>
        <v>898478693.63501227</v>
      </c>
      <c r="E1968" s="53">
        <f t="shared" ca="1" si="272"/>
        <v>3448798282945.1538</v>
      </c>
      <c r="F1968" s="53">
        <f t="shared" ca="1" si="273"/>
        <v>672229264625.76489</v>
      </c>
      <c r="G1968" s="53">
        <f t="shared" ca="1" si="274"/>
        <v>84784582140911.078</v>
      </c>
      <c r="H1968" s="53">
        <f t="shared" ca="1" si="275"/>
        <v>3448798282945.1538</v>
      </c>
      <c r="I1968" s="53">
        <f t="shared" ca="1" si="276"/>
        <v>2136274889947.1892</v>
      </c>
      <c r="J1968" s="53">
        <f t="shared" ca="1" si="277"/>
        <v>899937314920.87463</v>
      </c>
      <c r="K1968" s="54">
        <f t="shared" ca="1" si="278"/>
        <v>2.373804102272409</v>
      </c>
    </row>
    <row r="1969" spans="2:11" ht="15" customHeight="1" x14ac:dyDescent="0.35">
      <c r="B1969" s="5">
        <v>1948</v>
      </c>
      <c r="C1969" s="52">
        <f t="shared" ca="1" si="270"/>
        <v>2.7790618170982682</v>
      </c>
      <c r="D1969" s="53">
        <f t="shared" ca="1" si="271"/>
        <v>2894505634.7735076</v>
      </c>
      <c r="E1969" s="53">
        <f t="shared" ca="1" si="272"/>
        <v>23663460686818.434</v>
      </c>
      <c r="F1969" s="53">
        <f t="shared" ca="1" si="273"/>
        <v>13175816715591.275</v>
      </c>
      <c r="G1969" s="53">
        <f t="shared" ca="1" si="274"/>
        <v>43825534988313.469</v>
      </c>
      <c r="H1969" s="53">
        <f t="shared" ca="1" si="275"/>
        <v>43825534988313.469</v>
      </c>
      <c r="I1969" s="53">
        <f t="shared" ca="1" si="276"/>
        <v>26110231001204.531</v>
      </c>
      <c r="J1969" s="53">
        <f t="shared" ca="1" si="277"/>
        <v>927199083967.7627</v>
      </c>
      <c r="K1969" s="54">
        <f t="shared" ca="1" si="278"/>
        <v>28.160328728401055</v>
      </c>
    </row>
    <row r="1970" spans="2:11" ht="15" customHeight="1" x14ac:dyDescent="0.35">
      <c r="B1970" s="5">
        <v>1949</v>
      </c>
      <c r="C1970" s="52">
        <f t="shared" ca="1" si="270"/>
        <v>3.0949046794979305</v>
      </c>
      <c r="D1970" s="53">
        <f t="shared" ca="1" si="271"/>
        <v>6284222577.0749302</v>
      </c>
      <c r="E1970" s="53">
        <f t="shared" ca="1" si="272"/>
        <v>9437741968559.4063</v>
      </c>
      <c r="F1970" s="53">
        <f t="shared" ca="1" si="273"/>
        <v>3357660571020.9155</v>
      </c>
      <c r="G1970" s="53">
        <f t="shared" ca="1" si="274"/>
        <v>6308444427127.4395</v>
      </c>
      <c r="H1970" s="53">
        <f t="shared" ca="1" si="275"/>
        <v>9437741968559.4063</v>
      </c>
      <c r="I1970" s="53">
        <f t="shared" ca="1" si="276"/>
        <v>51082082590107.789</v>
      </c>
      <c r="J1970" s="53">
        <f t="shared" ca="1" si="277"/>
        <v>783127648743.53296</v>
      </c>
      <c r="K1970" s="54">
        <f t="shared" ca="1" si="278"/>
        <v>65.228296653891604</v>
      </c>
    </row>
    <row r="1971" spans="2:11" ht="15" customHeight="1" x14ac:dyDescent="0.35">
      <c r="B1971" s="5">
        <v>1950</v>
      </c>
      <c r="C1971" s="52">
        <f t="shared" ca="1" si="270"/>
        <v>2.9687380954921063</v>
      </c>
      <c r="D1971" s="53">
        <f t="shared" ca="1" si="271"/>
        <v>5018507191.3824968</v>
      </c>
      <c r="E1971" s="53">
        <f t="shared" ca="1" si="272"/>
        <v>111204127289946.91</v>
      </c>
      <c r="F1971" s="53">
        <f t="shared" ca="1" si="273"/>
        <v>4146922346374.8892</v>
      </c>
      <c r="G1971" s="53">
        <f t="shared" ca="1" si="274"/>
        <v>1643543729068.093</v>
      </c>
      <c r="H1971" s="53">
        <f t="shared" ca="1" si="275"/>
        <v>1643543729068.093</v>
      </c>
      <c r="I1971" s="53">
        <f t="shared" ca="1" si="276"/>
        <v>10666763483995.084</v>
      </c>
      <c r="J1971" s="53">
        <f t="shared" ca="1" si="277"/>
        <v>1439365152325.6833</v>
      </c>
      <c r="K1971" s="54">
        <f t="shared" ca="1" si="278"/>
        <v>7.4107417890172238</v>
      </c>
    </row>
    <row r="1972" spans="2:11" ht="15" customHeight="1" x14ac:dyDescent="0.35">
      <c r="B1972" s="5">
        <v>1951</v>
      </c>
      <c r="C1972" s="52">
        <f t="shared" ca="1" si="270"/>
        <v>3.0700501213883129</v>
      </c>
      <c r="D1972" s="53">
        <f t="shared" ca="1" si="271"/>
        <v>5136782413.9275084</v>
      </c>
      <c r="E1972" s="53">
        <f t="shared" ca="1" si="272"/>
        <v>42852874750646.016</v>
      </c>
      <c r="F1972" s="53">
        <f t="shared" ca="1" si="273"/>
        <v>22586198889799.852</v>
      </c>
      <c r="G1972" s="53">
        <f t="shared" ca="1" si="274"/>
        <v>4876736174248.4336</v>
      </c>
      <c r="H1972" s="53">
        <f t="shared" ca="1" si="275"/>
        <v>42852874750646.016</v>
      </c>
      <c r="I1972" s="53">
        <f t="shared" ca="1" si="276"/>
        <v>11684651404514.248</v>
      </c>
      <c r="J1972" s="53">
        <f t="shared" ca="1" si="277"/>
        <v>885494004124.24121</v>
      </c>
      <c r="K1972" s="54">
        <f t="shared" ca="1" si="278"/>
        <v>13.195630179416559</v>
      </c>
    </row>
    <row r="1973" spans="2:11" ht="15" customHeight="1" x14ac:dyDescent="0.35">
      <c r="B1973" s="5">
        <v>1952</v>
      </c>
      <c r="C1973" s="52">
        <f t="shared" ca="1" si="270"/>
        <v>3.6460749911843835</v>
      </c>
      <c r="D1973" s="53">
        <f t="shared" ca="1" si="271"/>
        <v>13541813792.012001</v>
      </c>
      <c r="E1973" s="53">
        <f t="shared" ca="1" si="272"/>
        <v>74316957260525.313</v>
      </c>
      <c r="F1973" s="53">
        <f t="shared" ca="1" si="273"/>
        <v>10746245377388.498</v>
      </c>
      <c r="G1973" s="53">
        <f t="shared" ca="1" si="274"/>
        <v>1238915808930.4868</v>
      </c>
      <c r="H1973" s="53">
        <f t="shared" ca="1" si="275"/>
        <v>1238915808930.4868</v>
      </c>
      <c r="I1973" s="53">
        <f t="shared" ca="1" si="276"/>
        <v>4745184387572.1846</v>
      </c>
      <c r="J1973" s="53">
        <f t="shared" ca="1" si="277"/>
        <v>1573197216901.804</v>
      </c>
      <c r="K1973" s="54">
        <f t="shared" ca="1" si="278"/>
        <v>3.0162679774613217</v>
      </c>
    </row>
    <row r="1974" spans="2:11" ht="15" customHeight="1" x14ac:dyDescent="0.35">
      <c r="B1974" s="5">
        <v>1953</v>
      </c>
      <c r="C1974" s="52">
        <f t="shared" ca="1" si="270"/>
        <v>3.1820465136633072</v>
      </c>
      <c r="D1974" s="53">
        <f t="shared" ca="1" si="271"/>
        <v>7352471796.5273714</v>
      </c>
      <c r="E1974" s="53">
        <f t="shared" ca="1" si="272"/>
        <v>84616937937192.406</v>
      </c>
      <c r="F1974" s="53">
        <f t="shared" ca="1" si="273"/>
        <v>1426592868961.6323</v>
      </c>
      <c r="G1974" s="53">
        <f t="shared" ca="1" si="274"/>
        <v>6225278550518.7803</v>
      </c>
      <c r="H1974" s="53">
        <f t="shared" ca="1" si="275"/>
        <v>6225278550518.7803</v>
      </c>
      <c r="I1974" s="53">
        <f t="shared" ca="1" si="276"/>
        <v>2369667924242.1558</v>
      </c>
      <c r="J1974" s="53">
        <f t="shared" ca="1" si="277"/>
        <v>1082490548006.5748</v>
      </c>
      <c r="K1974" s="54">
        <f t="shared" ca="1" si="278"/>
        <v>2.18908879029562</v>
      </c>
    </row>
    <row r="1975" spans="2:11" ht="15" customHeight="1" x14ac:dyDescent="0.35">
      <c r="B1975" s="5">
        <v>1954</v>
      </c>
      <c r="C1975" s="52">
        <f t="shared" ca="1" si="270"/>
        <v>3.3122434643908418</v>
      </c>
      <c r="D1975" s="53">
        <f t="shared" ca="1" si="271"/>
        <v>8533735976.970788</v>
      </c>
      <c r="E1975" s="53">
        <f t="shared" ca="1" si="272"/>
        <v>35460165457579.047</v>
      </c>
      <c r="F1975" s="53">
        <f t="shared" ca="1" si="273"/>
        <v>2983308023954.3628</v>
      </c>
      <c r="G1975" s="53">
        <f t="shared" ca="1" si="274"/>
        <v>6363973411180.3359</v>
      </c>
      <c r="H1975" s="53">
        <f t="shared" ca="1" si="275"/>
        <v>2983308023954.3628</v>
      </c>
      <c r="I1975" s="53">
        <f t="shared" ca="1" si="276"/>
        <v>40877714601371.781</v>
      </c>
      <c r="J1975" s="53">
        <f t="shared" ca="1" si="277"/>
        <v>1399975126373.751</v>
      </c>
      <c r="K1975" s="54">
        <f t="shared" ca="1" si="278"/>
        <v>29.198886345398304</v>
      </c>
    </row>
    <row r="1976" spans="2:11" ht="15" customHeight="1" x14ac:dyDescent="0.35">
      <c r="B1976" s="5">
        <v>1955</v>
      </c>
      <c r="C1976" s="52">
        <f t="shared" ca="1" si="270"/>
        <v>3.1268644020118139</v>
      </c>
      <c r="D1976" s="53">
        <f t="shared" ca="1" si="271"/>
        <v>5416317144.9945621</v>
      </c>
      <c r="E1976" s="53">
        <f t="shared" ca="1" si="272"/>
        <v>19208035035072.59</v>
      </c>
      <c r="F1976" s="53">
        <f t="shared" ca="1" si="273"/>
        <v>10295077829103.969</v>
      </c>
      <c r="G1976" s="53">
        <f t="shared" ca="1" si="274"/>
        <v>16955306527251.746</v>
      </c>
      <c r="H1976" s="53">
        <f t="shared" ca="1" si="275"/>
        <v>16955306527251.746</v>
      </c>
      <c r="I1976" s="53">
        <f t="shared" ca="1" si="276"/>
        <v>6995520058500.543</v>
      </c>
      <c r="J1976" s="53">
        <f t="shared" ca="1" si="277"/>
        <v>994691331477.42493</v>
      </c>
      <c r="K1976" s="54">
        <f t="shared" ca="1" si="278"/>
        <v>7.0328551552872458</v>
      </c>
    </row>
    <row r="1977" spans="2:11" ht="15" customHeight="1" x14ac:dyDescent="0.35">
      <c r="B1977" s="5">
        <v>1956</v>
      </c>
      <c r="C1977" s="52">
        <f t="shared" ca="1" si="270"/>
        <v>2.8290472620202483</v>
      </c>
      <c r="D1977" s="53">
        <f t="shared" ca="1" si="271"/>
        <v>4190229236.1244116</v>
      </c>
      <c r="E1977" s="53">
        <f t="shared" ca="1" si="272"/>
        <v>28886283452344.914</v>
      </c>
      <c r="F1977" s="53">
        <f t="shared" ca="1" si="273"/>
        <v>18789059436846.16</v>
      </c>
      <c r="G1977" s="53">
        <f t="shared" ca="1" si="274"/>
        <v>22471633198450.711</v>
      </c>
      <c r="H1977" s="53">
        <f t="shared" ca="1" si="275"/>
        <v>18789059436846.16</v>
      </c>
      <c r="I1977" s="53">
        <f t="shared" ca="1" si="276"/>
        <v>7057737751828.4316</v>
      </c>
      <c r="J1977" s="53">
        <f t="shared" ca="1" si="277"/>
        <v>1183603401318.6604</v>
      </c>
      <c r="K1977" s="54">
        <f t="shared" ca="1" si="278"/>
        <v>5.9629245268857449</v>
      </c>
    </row>
    <row r="1978" spans="2:11" ht="15" customHeight="1" x14ac:dyDescent="0.35">
      <c r="B1978" s="5">
        <v>1957</v>
      </c>
      <c r="C1978" s="52">
        <f t="shared" ca="1" si="270"/>
        <v>3.2174074124247802</v>
      </c>
      <c r="D1978" s="53">
        <f t="shared" ca="1" si="271"/>
        <v>8215057168.9845572</v>
      </c>
      <c r="E1978" s="53">
        <f t="shared" ca="1" si="272"/>
        <v>13464760104166.58</v>
      </c>
      <c r="F1978" s="53">
        <f t="shared" ca="1" si="273"/>
        <v>4268920987332.1924</v>
      </c>
      <c r="G1978" s="53">
        <f t="shared" ca="1" si="274"/>
        <v>27095128836698.074</v>
      </c>
      <c r="H1978" s="53">
        <f t="shared" ca="1" si="275"/>
        <v>13464760104166.58</v>
      </c>
      <c r="I1978" s="53">
        <f t="shared" ca="1" si="276"/>
        <v>1538486499117.0464</v>
      </c>
      <c r="J1978" s="53">
        <f t="shared" ca="1" si="277"/>
        <v>977994336708.68713</v>
      </c>
      <c r="K1978" s="54">
        <f t="shared" ca="1" si="278"/>
        <v>1.5731036892244414</v>
      </c>
    </row>
    <row r="1979" spans="2:11" ht="15" customHeight="1" x14ac:dyDescent="0.35">
      <c r="B1979" s="5">
        <v>1958</v>
      </c>
      <c r="C1979" s="52">
        <f t="shared" ca="1" si="270"/>
        <v>2.8348662558971403</v>
      </c>
      <c r="D1979" s="53">
        <f t="shared" ca="1" si="271"/>
        <v>3841325949.2240696</v>
      </c>
      <c r="E1979" s="53">
        <f t="shared" ca="1" si="272"/>
        <v>10290569372119.371</v>
      </c>
      <c r="F1979" s="53">
        <f t="shared" ca="1" si="273"/>
        <v>2500435992430</v>
      </c>
      <c r="G1979" s="53">
        <f t="shared" ca="1" si="274"/>
        <v>8982730804028.9961</v>
      </c>
      <c r="H1979" s="53">
        <f t="shared" ca="1" si="275"/>
        <v>8982730804028.9961</v>
      </c>
      <c r="I1979" s="53">
        <f t="shared" ca="1" si="276"/>
        <v>24422895687067.887</v>
      </c>
      <c r="J1979" s="53">
        <f t="shared" ca="1" si="277"/>
        <v>1571467097776.8057</v>
      </c>
      <c r="K1979" s="54">
        <f t="shared" ca="1" si="278"/>
        <v>15.541461683556452</v>
      </c>
    </row>
    <row r="1980" spans="2:11" ht="15" customHeight="1" x14ac:dyDescent="0.35">
      <c r="B1980" s="5">
        <v>1959</v>
      </c>
      <c r="C1980" s="52">
        <f t="shared" ca="1" si="270"/>
        <v>2.7591384163340549</v>
      </c>
      <c r="D1980" s="53">
        <f t="shared" ca="1" si="271"/>
        <v>2656527209.0519075</v>
      </c>
      <c r="E1980" s="53">
        <f t="shared" ca="1" si="272"/>
        <v>8292715499988</v>
      </c>
      <c r="F1980" s="53">
        <f t="shared" ca="1" si="273"/>
        <v>1619491059161.1829</v>
      </c>
      <c r="G1980" s="53">
        <f t="shared" ca="1" si="274"/>
        <v>3061176143430.9482</v>
      </c>
      <c r="H1980" s="53">
        <f t="shared" ca="1" si="275"/>
        <v>3061176143430.9482</v>
      </c>
      <c r="I1980" s="53">
        <f t="shared" ca="1" si="276"/>
        <v>10375757463778.848</v>
      </c>
      <c r="J1980" s="53">
        <f t="shared" ca="1" si="277"/>
        <v>861487656753.15369</v>
      </c>
      <c r="K1980" s="54">
        <f t="shared" ca="1" si="278"/>
        <v>12.044000146077385</v>
      </c>
    </row>
    <row r="1981" spans="2:11" ht="15" customHeight="1" x14ac:dyDescent="0.35">
      <c r="B1981" s="5">
        <v>1960</v>
      </c>
      <c r="C1981" s="52">
        <f t="shared" ca="1" si="270"/>
        <v>3.2111030834468437</v>
      </c>
      <c r="D1981" s="53">
        <f t="shared" ca="1" si="271"/>
        <v>6920965282.484519</v>
      </c>
      <c r="E1981" s="53">
        <f t="shared" ca="1" si="272"/>
        <v>40404359797188.711</v>
      </c>
      <c r="F1981" s="53">
        <f t="shared" ca="1" si="273"/>
        <v>1885114816641.4187</v>
      </c>
      <c r="G1981" s="53">
        <f t="shared" ca="1" si="274"/>
        <v>14332585230546.654</v>
      </c>
      <c r="H1981" s="53">
        <f t="shared" ca="1" si="275"/>
        <v>40404359797188.711</v>
      </c>
      <c r="I1981" s="53">
        <f t="shared" ca="1" si="276"/>
        <v>49466135741936.813</v>
      </c>
      <c r="J1981" s="53">
        <f t="shared" ca="1" si="277"/>
        <v>1514118093041.1477</v>
      </c>
      <c r="K1981" s="54">
        <f t="shared" ca="1" si="278"/>
        <v>32.669932397797801</v>
      </c>
    </row>
    <row r="1982" spans="2:11" ht="15" customHeight="1" x14ac:dyDescent="0.35">
      <c r="B1982" s="5">
        <v>1961</v>
      </c>
      <c r="C1982" s="52">
        <f t="shared" ca="1" si="270"/>
        <v>2.350265848682723</v>
      </c>
      <c r="D1982" s="53">
        <f t="shared" ca="1" si="271"/>
        <v>1595011376.6353409</v>
      </c>
      <c r="E1982" s="53">
        <f t="shared" ca="1" si="272"/>
        <v>1296653872837.1299</v>
      </c>
      <c r="F1982" s="53">
        <f t="shared" ca="1" si="273"/>
        <v>543862643961.83771</v>
      </c>
      <c r="G1982" s="53">
        <f t="shared" ca="1" si="274"/>
        <v>1935133134908.6736</v>
      </c>
      <c r="H1982" s="53">
        <f t="shared" ca="1" si="275"/>
        <v>1935133134908.6736</v>
      </c>
      <c r="I1982" s="53">
        <f t="shared" ca="1" si="276"/>
        <v>2131366128903.4331</v>
      </c>
      <c r="J1982" s="53">
        <f t="shared" ca="1" si="277"/>
        <v>1003574758815.3219</v>
      </c>
      <c r="K1982" s="54">
        <f t="shared" ca="1" si="278"/>
        <v>2.1237741485441721</v>
      </c>
    </row>
    <row r="1983" spans="2:11" ht="15" customHeight="1" x14ac:dyDescent="0.35">
      <c r="B1983" s="5">
        <v>1962</v>
      </c>
      <c r="C1983" s="52">
        <f t="shared" ca="1" si="270"/>
        <v>3.5181601278263699</v>
      </c>
      <c r="D1983" s="53">
        <f t="shared" ca="1" si="271"/>
        <v>12385885741.305761</v>
      </c>
      <c r="E1983" s="53">
        <f t="shared" ca="1" si="272"/>
        <v>37848693078482.352</v>
      </c>
      <c r="F1983" s="53">
        <f t="shared" ca="1" si="273"/>
        <v>1392949251242.915</v>
      </c>
      <c r="G1983" s="53">
        <f t="shared" ca="1" si="274"/>
        <v>411574930034.6272</v>
      </c>
      <c r="H1983" s="53">
        <f t="shared" ca="1" si="275"/>
        <v>411574930034.6272</v>
      </c>
      <c r="I1983" s="53">
        <f t="shared" ca="1" si="276"/>
        <v>180943218280211.84</v>
      </c>
      <c r="J1983" s="53">
        <f t="shared" ca="1" si="277"/>
        <v>812044370622.56323</v>
      </c>
      <c r="K1983" s="54">
        <f t="shared" ca="1" si="278"/>
        <v>222.8242997873252</v>
      </c>
    </row>
    <row r="1984" spans="2:11" ht="15" customHeight="1" x14ac:dyDescent="0.35">
      <c r="B1984" s="5">
        <v>1963</v>
      </c>
      <c r="C1984" s="52">
        <f t="shared" ca="1" si="270"/>
        <v>2.444645650652745</v>
      </c>
      <c r="D1984" s="53">
        <f t="shared" ca="1" si="271"/>
        <v>1669072724.4629319</v>
      </c>
      <c r="E1984" s="53">
        <f t="shared" ca="1" si="272"/>
        <v>3269735474879.4727</v>
      </c>
      <c r="F1984" s="53">
        <f t="shared" ca="1" si="273"/>
        <v>10411464878772.264</v>
      </c>
      <c r="G1984" s="53">
        <f t="shared" ca="1" si="274"/>
        <v>34506447895517.988</v>
      </c>
      <c r="H1984" s="53">
        <f t="shared" ca="1" si="275"/>
        <v>34506447895517.988</v>
      </c>
      <c r="I1984" s="53">
        <f t="shared" ca="1" si="276"/>
        <v>185476632865246.81</v>
      </c>
      <c r="J1984" s="53">
        <f t="shared" ca="1" si="277"/>
        <v>1011433833490.4063</v>
      </c>
      <c r="K1984" s="54">
        <f t="shared" ca="1" si="278"/>
        <v>183.37989765002865</v>
      </c>
    </row>
    <row r="1985" spans="2:11" ht="15" customHeight="1" x14ac:dyDescent="0.35">
      <c r="B1985" s="5">
        <v>1964</v>
      </c>
      <c r="C1985" s="52">
        <f t="shared" ca="1" si="270"/>
        <v>2.2351955225909386</v>
      </c>
      <c r="D1985" s="53">
        <f t="shared" ca="1" si="271"/>
        <v>1044217045.9456624</v>
      </c>
      <c r="E1985" s="53">
        <f t="shared" ca="1" si="272"/>
        <v>4357929845920.5811</v>
      </c>
      <c r="F1985" s="53">
        <f t="shared" ca="1" si="273"/>
        <v>3331567041712.9263</v>
      </c>
      <c r="G1985" s="53">
        <f t="shared" ca="1" si="274"/>
        <v>11228695308076.66</v>
      </c>
      <c r="H1985" s="53">
        <f t="shared" ca="1" si="275"/>
        <v>11228695308076.66</v>
      </c>
      <c r="I1985" s="53">
        <f t="shared" ca="1" si="276"/>
        <v>23616540554229.707</v>
      </c>
      <c r="J1985" s="53">
        <f t="shared" ca="1" si="277"/>
        <v>1082619566971.9241</v>
      </c>
      <c r="K1985" s="54">
        <f t="shared" ca="1" si="278"/>
        <v>21.814256156744822</v>
      </c>
    </row>
    <row r="1986" spans="2:11" ht="15" customHeight="1" x14ac:dyDescent="0.35">
      <c r="B1986" s="5">
        <v>1965</v>
      </c>
      <c r="C1986" s="52">
        <f t="shared" ca="1" si="270"/>
        <v>3.0929263629811725</v>
      </c>
      <c r="D1986" s="53">
        <f t="shared" ca="1" si="271"/>
        <v>5170317557.3383188</v>
      </c>
      <c r="E1986" s="53">
        <f t="shared" ca="1" si="272"/>
        <v>11032245501232.109</v>
      </c>
      <c r="F1986" s="53">
        <f t="shared" ca="1" si="273"/>
        <v>303690156841.03284</v>
      </c>
      <c r="G1986" s="53">
        <f t="shared" ca="1" si="274"/>
        <v>88607361266753.344</v>
      </c>
      <c r="H1986" s="53">
        <f t="shared" ca="1" si="275"/>
        <v>303690156841.03284</v>
      </c>
      <c r="I1986" s="53">
        <f t="shared" ca="1" si="276"/>
        <v>5880964260879.1592</v>
      </c>
      <c r="J1986" s="53">
        <f t="shared" ca="1" si="277"/>
        <v>973022863709.60608</v>
      </c>
      <c r="K1986" s="54">
        <f t="shared" ca="1" si="278"/>
        <v>6.0440144627827621</v>
      </c>
    </row>
    <row r="1987" spans="2:11" ht="15" customHeight="1" x14ac:dyDescent="0.35">
      <c r="B1987" s="5">
        <v>1966</v>
      </c>
      <c r="C1987" s="52">
        <f t="shared" ca="1" si="270"/>
        <v>3.0923533769946996</v>
      </c>
      <c r="D1987" s="53">
        <f t="shared" ca="1" si="271"/>
        <v>5889764263.271409</v>
      </c>
      <c r="E1987" s="53">
        <f t="shared" ca="1" si="272"/>
        <v>12780567467584.84</v>
      </c>
      <c r="F1987" s="53">
        <f t="shared" ca="1" si="273"/>
        <v>1872728082977.2122</v>
      </c>
      <c r="G1987" s="53">
        <f t="shared" ca="1" si="274"/>
        <v>5590952425921.2119</v>
      </c>
      <c r="H1987" s="53">
        <f t="shared" ca="1" si="275"/>
        <v>12780567467584.84</v>
      </c>
      <c r="I1987" s="53">
        <f t="shared" ca="1" si="276"/>
        <v>1252091750051.8137</v>
      </c>
      <c r="J1987" s="53">
        <f t="shared" ca="1" si="277"/>
        <v>658853988196.76306</v>
      </c>
      <c r="K1987" s="54">
        <f t="shared" ca="1" si="278"/>
        <v>1.9004085464803828</v>
      </c>
    </row>
    <row r="1988" spans="2:11" ht="15" customHeight="1" x14ac:dyDescent="0.35">
      <c r="B1988" s="5">
        <v>1967</v>
      </c>
      <c r="C1988" s="52">
        <f t="shared" ca="1" si="270"/>
        <v>3.3297843801505498</v>
      </c>
      <c r="D1988" s="53">
        <f t="shared" ca="1" si="271"/>
        <v>7434949508.1590166</v>
      </c>
      <c r="E1988" s="53">
        <f t="shared" ca="1" si="272"/>
        <v>24322048162618.723</v>
      </c>
      <c r="F1988" s="53">
        <f t="shared" ca="1" si="273"/>
        <v>2174870915527.844</v>
      </c>
      <c r="G1988" s="53">
        <f t="shared" ca="1" si="274"/>
        <v>265339481991.42035</v>
      </c>
      <c r="H1988" s="53">
        <f t="shared" ca="1" si="275"/>
        <v>24322048162618.723</v>
      </c>
      <c r="I1988" s="53">
        <f t="shared" ca="1" si="276"/>
        <v>13802782963629.619</v>
      </c>
      <c r="J1988" s="53">
        <f t="shared" ca="1" si="277"/>
        <v>996462191075.60706</v>
      </c>
      <c r="K1988" s="54">
        <f t="shared" ca="1" si="278"/>
        <v>13.85178794263186</v>
      </c>
    </row>
    <row r="1989" spans="2:11" ht="15" customHeight="1" x14ac:dyDescent="0.35">
      <c r="B1989" s="5">
        <v>1968</v>
      </c>
      <c r="C1989" s="52">
        <f t="shared" ca="1" si="270"/>
        <v>3.2672705142354221</v>
      </c>
      <c r="D1989" s="53">
        <f t="shared" ca="1" si="271"/>
        <v>6109885055.7384272</v>
      </c>
      <c r="E1989" s="53">
        <f t="shared" ca="1" si="272"/>
        <v>18589571263713.395</v>
      </c>
      <c r="F1989" s="53">
        <f t="shared" ca="1" si="273"/>
        <v>1966155946152.1101</v>
      </c>
      <c r="G1989" s="53">
        <f t="shared" ca="1" si="274"/>
        <v>2127637782838.6428</v>
      </c>
      <c r="H1989" s="53">
        <f t="shared" ca="1" si="275"/>
        <v>18589571263713.395</v>
      </c>
      <c r="I1989" s="53">
        <f t="shared" ca="1" si="276"/>
        <v>76365183756596.172</v>
      </c>
      <c r="J1989" s="53">
        <f t="shared" ca="1" si="277"/>
        <v>1423226882706.6077</v>
      </c>
      <c r="K1989" s="54">
        <f t="shared" ca="1" si="278"/>
        <v>53.656366869187742</v>
      </c>
    </row>
    <row r="1990" spans="2:11" ht="15" customHeight="1" x14ac:dyDescent="0.35">
      <c r="B1990" s="5">
        <v>1969</v>
      </c>
      <c r="C1990" s="52">
        <f t="shared" ca="1" si="270"/>
        <v>3.1816160224537366</v>
      </c>
      <c r="D1990" s="53">
        <f t="shared" ca="1" si="271"/>
        <v>5664195405.5257893</v>
      </c>
      <c r="E1990" s="53">
        <f t="shared" ca="1" si="272"/>
        <v>35467288735144.867</v>
      </c>
      <c r="F1990" s="53">
        <f t="shared" ca="1" si="273"/>
        <v>2732636645962.2432</v>
      </c>
      <c r="G1990" s="53">
        <f t="shared" ca="1" si="274"/>
        <v>22494353538384.387</v>
      </c>
      <c r="H1990" s="53">
        <f t="shared" ca="1" si="275"/>
        <v>2732636645962.2432</v>
      </c>
      <c r="I1990" s="53">
        <f t="shared" ca="1" si="276"/>
        <v>5505489500538.1367</v>
      </c>
      <c r="J1990" s="53">
        <f t="shared" ca="1" si="277"/>
        <v>851591066988.67273</v>
      </c>
      <c r="K1990" s="54">
        <f t="shared" ca="1" si="278"/>
        <v>6.4649451056434897</v>
      </c>
    </row>
    <row r="1991" spans="2:11" ht="15" customHeight="1" x14ac:dyDescent="0.35">
      <c r="B1991" s="5">
        <v>1970</v>
      </c>
      <c r="C1991" s="52">
        <f t="shared" ca="1" si="270"/>
        <v>2.4170747829153161</v>
      </c>
      <c r="D1991" s="53">
        <f t="shared" ca="1" si="271"/>
        <v>1971520431.2492809</v>
      </c>
      <c r="E1991" s="53">
        <f t="shared" ca="1" si="272"/>
        <v>5265370778376.0732</v>
      </c>
      <c r="F1991" s="53">
        <f t="shared" ca="1" si="273"/>
        <v>3146310041621.3408</v>
      </c>
      <c r="G1991" s="53">
        <f t="shared" ca="1" si="274"/>
        <v>8485360288465.1416</v>
      </c>
      <c r="H1991" s="53">
        <f t="shared" ca="1" si="275"/>
        <v>3146310041621.3408</v>
      </c>
      <c r="I1991" s="53">
        <f t="shared" ca="1" si="276"/>
        <v>12498808672108.207</v>
      </c>
      <c r="J1991" s="53">
        <f t="shared" ca="1" si="277"/>
        <v>616738801931.50342</v>
      </c>
      <c r="K1991" s="54">
        <f t="shared" ca="1" si="278"/>
        <v>20.26596775322782</v>
      </c>
    </row>
    <row r="1992" spans="2:11" ht="15" customHeight="1" x14ac:dyDescent="0.35">
      <c r="B1992" s="5">
        <v>1971</v>
      </c>
      <c r="C1992" s="52">
        <f t="shared" ca="1" si="270"/>
        <v>2.7825068523717582</v>
      </c>
      <c r="D1992" s="53">
        <f t="shared" ca="1" si="271"/>
        <v>3038669618.0000153</v>
      </c>
      <c r="E1992" s="53">
        <f t="shared" ca="1" si="272"/>
        <v>10573334336006.369</v>
      </c>
      <c r="F1992" s="53">
        <f t="shared" ca="1" si="273"/>
        <v>3980993795164.0239</v>
      </c>
      <c r="G1992" s="53">
        <f t="shared" ca="1" si="274"/>
        <v>5278059687530.3379</v>
      </c>
      <c r="H1992" s="53">
        <f t="shared" ca="1" si="275"/>
        <v>5278059687530.3379</v>
      </c>
      <c r="I1992" s="53">
        <f t="shared" ca="1" si="276"/>
        <v>3418296915129.2939</v>
      </c>
      <c r="J1992" s="53">
        <f t="shared" ca="1" si="277"/>
        <v>1223925851637.3875</v>
      </c>
      <c r="K1992" s="54">
        <f t="shared" ca="1" si="278"/>
        <v>2.7928954279021414</v>
      </c>
    </row>
    <row r="1993" spans="2:11" ht="15" customHeight="1" x14ac:dyDescent="0.35">
      <c r="B1993" s="5">
        <v>1972</v>
      </c>
      <c r="C1993" s="52">
        <f t="shared" ca="1" si="270"/>
        <v>2.0592338939397861</v>
      </c>
      <c r="D1993" s="53">
        <f t="shared" ca="1" si="271"/>
        <v>705219730.97416914</v>
      </c>
      <c r="E1993" s="53">
        <f t="shared" ca="1" si="272"/>
        <v>2894321266653.9277</v>
      </c>
      <c r="F1993" s="53">
        <f t="shared" ca="1" si="273"/>
        <v>6508245493026.541</v>
      </c>
      <c r="G1993" s="53">
        <f t="shared" ca="1" si="274"/>
        <v>60544032595939.75</v>
      </c>
      <c r="H1993" s="53">
        <f t="shared" ca="1" si="275"/>
        <v>60544032595939.75</v>
      </c>
      <c r="I1993" s="53">
        <f t="shared" ca="1" si="276"/>
        <v>20505268823464.25</v>
      </c>
      <c r="J1993" s="53">
        <f t="shared" ca="1" si="277"/>
        <v>732636270335.37903</v>
      </c>
      <c r="K1993" s="54">
        <f t="shared" ca="1" si="278"/>
        <v>27.9883342577041</v>
      </c>
    </row>
    <row r="1994" spans="2:11" ht="15" customHeight="1" x14ac:dyDescent="0.35">
      <c r="B1994" s="5">
        <v>1973</v>
      </c>
      <c r="C1994" s="52">
        <f t="shared" ca="1" si="270"/>
        <v>2.944336960134351</v>
      </c>
      <c r="D1994" s="53">
        <f t="shared" ca="1" si="271"/>
        <v>3755457080.3889518</v>
      </c>
      <c r="E1994" s="53">
        <f t="shared" ca="1" si="272"/>
        <v>40231021224395.258</v>
      </c>
      <c r="F1994" s="53">
        <f t="shared" ca="1" si="273"/>
        <v>379367462748.37299</v>
      </c>
      <c r="G1994" s="53">
        <f t="shared" ca="1" si="274"/>
        <v>4443540213932.123</v>
      </c>
      <c r="H1994" s="53">
        <f t="shared" ca="1" si="275"/>
        <v>379367462748.37299</v>
      </c>
      <c r="I1994" s="53">
        <f t="shared" ca="1" si="276"/>
        <v>1195963237938.1619</v>
      </c>
      <c r="J1994" s="53">
        <f t="shared" ca="1" si="277"/>
        <v>807320410738.34143</v>
      </c>
      <c r="K1994" s="54">
        <f t="shared" ca="1" si="278"/>
        <v>1.4813984906493123</v>
      </c>
    </row>
    <row r="1995" spans="2:11" ht="15" customHeight="1" x14ac:dyDescent="0.35">
      <c r="B1995" s="5">
        <v>1974</v>
      </c>
      <c r="C1995" s="52">
        <f t="shared" ca="1" si="270"/>
        <v>2.8757560533917106</v>
      </c>
      <c r="D1995" s="53">
        <f t="shared" ca="1" si="271"/>
        <v>3175849356.6955924</v>
      </c>
      <c r="E1995" s="53">
        <f t="shared" ca="1" si="272"/>
        <v>8714311217315.5596</v>
      </c>
      <c r="F1995" s="53">
        <f t="shared" ca="1" si="273"/>
        <v>4933391546574.6318</v>
      </c>
      <c r="G1995" s="53">
        <f t="shared" ca="1" si="274"/>
        <v>10524704889817.773</v>
      </c>
      <c r="H1995" s="53">
        <f t="shared" ca="1" si="275"/>
        <v>4933391546574.6318</v>
      </c>
      <c r="I1995" s="53">
        <f t="shared" ca="1" si="276"/>
        <v>3030748194302.3335</v>
      </c>
      <c r="J1995" s="53">
        <f t="shared" ca="1" si="277"/>
        <v>675874368576.02368</v>
      </c>
      <c r="K1995" s="54">
        <f t="shared" ca="1" si="278"/>
        <v>4.4841886824140289</v>
      </c>
    </row>
    <row r="1996" spans="2:11" ht="15" customHeight="1" x14ac:dyDescent="0.35">
      <c r="B1996" s="5">
        <v>1975</v>
      </c>
      <c r="C1996" s="52">
        <f t="shared" ca="1" si="270"/>
        <v>3.0086863033057618</v>
      </c>
      <c r="D1996" s="53">
        <f t="shared" ca="1" si="271"/>
        <v>4966526797.3674936</v>
      </c>
      <c r="E1996" s="53">
        <f t="shared" ca="1" si="272"/>
        <v>39308609005419.82</v>
      </c>
      <c r="F1996" s="53">
        <f t="shared" ca="1" si="273"/>
        <v>1519893407147.2148</v>
      </c>
      <c r="G1996" s="53">
        <f t="shared" ca="1" si="274"/>
        <v>884756016889.76965</v>
      </c>
      <c r="H1996" s="53">
        <f t="shared" ca="1" si="275"/>
        <v>884756016889.76965</v>
      </c>
      <c r="I1996" s="53">
        <f t="shared" ca="1" si="276"/>
        <v>7846159785539.8672</v>
      </c>
      <c r="J1996" s="53">
        <f t="shared" ca="1" si="277"/>
        <v>1041187847119.2853</v>
      </c>
      <c r="K1996" s="54">
        <f t="shared" ca="1" si="278"/>
        <v>7.5357773405138104</v>
      </c>
    </row>
    <row r="1997" spans="2:11" ht="15" customHeight="1" x14ac:dyDescent="0.35">
      <c r="B1997" s="5">
        <v>1976</v>
      </c>
      <c r="C1997" s="52">
        <f t="shared" ca="1" si="270"/>
        <v>2.950958609213207</v>
      </c>
      <c r="D1997" s="53">
        <f t="shared" ca="1" si="271"/>
        <v>4873646495.0837011</v>
      </c>
      <c r="E1997" s="53">
        <f t="shared" ca="1" si="272"/>
        <v>33539713510245.32</v>
      </c>
      <c r="F1997" s="53">
        <f t="shared" ca="1" si="273"/>
        <v>23520304171154.809</v>
      </c>
      <c r="G1997" s="53">
        <f t="shared" ca="1" si="274"/>
        <v>13187547917452.803</v>
      </c>
      <c r="H1997" s="53">
        <f t="shared" ca="1" si="275"/>
        <v>33539713510245.32</v>
      </c>
      <c r="I1997" s="53">
        <f t="shared" ca="1" si="276"/>
        <v>2748128180345.4717</v>
      </c>
      <c r="J1997" s="53">
        <f t="shared" ca="1" si="277"/>
        <v>857026121065.09851</v>
      </c>
      <c r="K1997" s="54">
        <f t="shared" ca="1" si="278"/>
        <v>3.2065862554225784</v>
      </c>
    </row>
    <row r="1998" spans="2:11" ht="15" customHeight="1" x14ac:dyDescent="0.35">
      <c r="B1998" s="5">
        <v>1977</v>
      </c>
      <c r="C1998" s="52">
        <f t="shared" ca="1" si="270"/>
        <v>3.3525902189092802</v>
      </c>
      <c r="D1998" s="53">
        <f t="shared" ca="1" si="271"/>
        <v>8216089636.4054585</v>
      </c>
      <c r="E1998" s="53">
        <f t="shared" ca="1" si="272"/>
        <v>97609456516884.094</v>
      </c>
      <c r="F1998" s="53">
        <f t="shared" ca="1" si="273"/>
        <v>2629538873331.2861</v>
      </c>
      <c r="G1998" s="53">
        <f t="shared" ca="1" si="274"/>
        <v>3962452331444.7515</v>
      </c>
      <c r="H1998" s="53">
        <f t="shared" ca="1" si="275"/>
        <v>3962452331444.7515</v>
      </c>
      <c r="I1998" s="53">
        <f t="shared" ca="1" si="276"/>
        <v>26043788389835.027</v>
      </c>
      <c r="J1998" s="53">
        <f t="shared" ca="1" si="277"/>
        <v>1071699421296.6057</v>
      </c>
      <c r="K1998" s="54">
        <f t="shared" ca="1" si="278"/>
        <v>24.301392603464976</v>
      </c>
    </row>
    <row r="1999" spans="2:11" ht="15" customHeight="1" x14ac:dyDescent="0.35">
      <c r="B1999" s="5">
        <v>1978</v>
      </c>
      <c r="C1999" s="52">
        <f t="shared" ca="1" si="270"/>
        <v>3.135791161019176</v>
      </c>
      <c r="D1999" s="53">
        <f t="shared" ca="1" si="271"/>
        <v>5114791337.0484676</v>
      </c>
      <c r="E1999" s="53">
        <f t="shared" ca="1" si="272"/>
        <v>17167299142771.275</v>
      </c>
      <c r="F1999" s="53">
        <f t="shared" ca="1" si="273"/>
        <v>7636930439076.7773</v>
      </c>
      <c r="G1999" s="53">
        <f t="shared" ca="1" si="274"/>
        <v>47677851367078.273</v>
      </c>
      <c r="H1999" s="53">
        <f t="shared" ca="1" si="275"/>
        <v>47677851367078.273</v>
      </c>
      <c r="I1999" s="53">
        <f t="shared" ca="1" si="276"/>
        <v>12176608103651.588</v>
      </c>
      <c r="J1999" s="53">
        <f t="shared" ca="1" si="277"/>
        <v>802475273208.54553</v>
      </c>
      <c r="K1999" s="54">
        <f t="shared" ca="1" si="278"/>
        <v>15.173810969857955</v>
      </c>
    </row>
    <row r="2000" spans="2:11" ht="15" customHeight="1" x14ac:dyDescent="0.35">
      <c r="B2000" s="5">
        <v>1979</v>
      </c>
      <c r="C2000" s="52">
        <f t="shared" ca="1" si="270"/>
        <v>3.2503729679969631</v>
      </c>
      <c r="D2000" s="53">
        <f t="shared" ca="1" si="271"/>
        <v>7121130735.0899324</v>
      </c>
      <c r="E2000" s="53">
        <f t="shared" ca="1" si="272"/>
        <v>28049460735693.75</v>
      </c>
      <c r="F2000" s="53">
        <f t="shared" ca="1" si="273"/>
        <v>880402338217.90576</v>
      </c>
      <c r="G2000" s="53">
        <f t="shared" ca="1" si="274"/>
        <v>2788915999839.3491</v>
      </c>
      <c r="H2000" s="53">
        <f t="shared" ca="1" si="275"/>
        <v>28049460735693.75</v>
      </c>
      <c r="I2000" s="53">
        <f t="shared" ca="1" si="276"/>
        <v>7171508324392.9609</v>
      </c>
      <c r="J2000" s="53">
        <f t="shared" ca="1" si="277"/>
        <v>1169528090691.2795</v>
      </c>
      <c r="K2000" s="54">
        <f t="shared" ca="1" si="278"/>
        <v>6.1319675700598664</v>
      </c>
    </row>
    <row r="2001" spans="2:11" ht="15" customHeight="1" x14ac:dyDescent="0.35">
      <c r="B2001" s="5">
        <v>1980</v>
      </c>
      <c r="C2001" s="52">
        <f t="shared" ca="1" si="270"/>
        <v>3.068401321040072</v>
      </c>
      <c r="D2001" s="53">
        <f t="shared" ca="1" si="271"/>
        <v>4774570037.8440723</v>
      </c>
      <c r="E2001" s="53">
        <f t="shared" ca="1" si="272"/>
        <v>21991732516538.719</v>
      </c>
      <c r="F2001" s="53">
        <f t="shared" ca="1" si="273"/>
        <v>1507282331839.6594</v>
      </c>
      <c r="G2001" s="53">
        <f t="shared" ca="1" si="274"/>
        <v>2277423334665.5425</v>
      </c>
      <c r="H2001" s="53">
        <f t="shared" ca="1" si="275"/>
        <v>21991732516538.719</v>
      </c>
      <c r="I2001" s="53">
        <f t="shared" ca="1" si="276"/>
        <v>10557512770401.109</v>
      </c>
      <c r="J2001" s="53">
        <f t="shared" ca="1" si="277"/>
        <v>1144983429330.7795</v>
      </c>
      <c r="K2001" s="54">
        <f t="shared" ca="1" si="278"/>
        <v>9.2206686140180825</v>
      </c>
    </row>
    <row r="2002" spans="2:11" ht="15" customHeight="1" x14ac:dyDescent="0.35">
      <c r="B2002" s="5">
        <v>1981</v>
      </c>
      <c r="C2002" s="52">
        <f t="shared" ca="1" si="270"/>
        <v>3.190372632427553</v>
      </c>
      <c r="D2002" s="53">
        <f t="shared" ca="1" si="271"/>
        <v>7422307555.6059637</v>
      </c>
      <c r="E2002" s="53">
        <f t="shared" ca="1" si="272"/>
        <v>28636334831499.867</v>
      </c>
      <c r="F2002" s="53">
        <f t="shared" ca="1" si="273"/>
        <v>2309638260735.8403</v>
      </c>
      <c r="G2002" s="53">
        <f t="shared" ca="1" si="274"/>
        <v>19392839300538.977</v>
      </c>
      <c r="H2002" s="53">
        <f t="shared" ca="1" si="275"/>
        <v>19392839300538.977</v>
      </c>
      <c r="I2002" s="53">
        <f t="shared" ca="1" si="276"/>
        <v>61724664857671.508</v>
      </c>
      <c r="J2002" s="53">
        <f t="shared" ca="1" si="277"/>
        <v>826735508706.8927</v>
      </c>
      <c r="K2002" s="54">
        <f t="shared" ca="1" si="278"/>
        <v>74.660715800408553</v>
      </c>
    </row>
    <row r="2003" spans="2:11" ht="15" customHeight="1" x14ac:dyDescent="0.35">
      <c r="B2003" s="5">
        <v>1982</v>
      </c>
      <c r="C2003" s="52">
        <f t="shared" ca="1" si="270"/>
        <v>2.8556289955894774</v>
      </c>
      <c r="D2003" s="53">
        <f t="shared" ca="1" si="271"/>
        <v>4017994383.2679596</v>
      </c>
      <c r="E2003" s="53">
        <f t="shared" ca="1" si="272"/>
        <v>13024851026299.352</v>
      </c>
      <c r="F2003" s="53">
        <f t="shared" ca="1" si="273"/>
        <v>2411884410147.3647</v>
      </c>
      <c r="G2003" s="53">
        <f t="shared" ca="1" si="274"/>
        <v>31239836660383.965</v>
      </c>
      <c r="H2003" s="53">
        <f t="shared" ca="1" si="275"/>
        <v>13024851026299.352</v>
      </c>
      <c r="I2003" s="53">
        <f t="shared" ca="1" si="276"/>
        <v>13427040119957.656</v>
      </c>
      <c r="J2003" s="53">
        <f t="shared" ca="1" si="277"/>
        <v>1581479056157.1077</v>
      </c>
      <c r="K2003" s="54">
        <f t="shared" ca="1" si="278"/>
        <v>8.4901789041610822</v>
      </c>
    </row>
    <row r="2004" spans="2:11" ht="15" customHeight="1" x14ac:dyDescent="0.35">
      <c r="B2004" s="5">
        <v>1983</v>
      </c>
      <c r="C2004" s="52">
        <f t="shared" ca="1" si="270"/>
        <v>3.2571086086153693</v>
      </c>
      <c r="D2004" s="53">
        <f t="shared" ca="1" si="271"/>
        <v>8606796670.686882</v>
      </c>
      <c r="E2004" s="53">
        <f t="shared" ca="1" si="272"/>
        <v>12016890291799.137</v>
      </c>
      <c r="F2004" s="53">
        <f t="shared" ca="1" si="273"/>
        <v>1321507318182.7734</v>
      </c>
      <c r="G2004" s="53">
        <f t="shared" ca="1" si="274"/>
        <v>2452134386229.2256</v>
      </c>
      <c r="H2004" s="53">
        <f t="shared" ca="1" si="275"/>
        <v>1321507318182.7734</v>
      </c>
      <c r="I2004" s="53">
        <f t="shared" ca="1" si="276"/>
        <v>3486875229398.561</v>
      </c>
      <c r="J2004" s="53">
        <f t="shared" ca="1" si="277"/>
        <v>730314796625.83777</v>
      </c>
      <c r="K2004" s="54">
        <f t="shared" ca="1" si="278"/>
        <v>4.7744825183721318</v>
      </c>
    </row>
    <row r="2005" spans="2:11" ht="15" customHeight="1" x14ac:dyDescent="0.35">
      <c r="B2005" s="5">
        <v>1984</v>
      </c>
      <c r="C2005" s="52">
        <f t="shared" ca="1" si="270"/>
        <v>3.2712284057062906</v>
      </c>
      <c r="D2005" s="53">
        <f t="shared" ca="1" si="271"/>
        <v>7700221172.2503233</v>
      </c>
      <c r="E2005" s="53">
        <f t="shared" ca="1" si="272"/>
        <v>54575610064861.398</v>
      </c>
      <c r="F2005" s="53">
        <f t="shared" ca="1" si="273"/>
        <v>576380121412.89917</v>
      </c>
      <c r="G2005" s="53">
        <f t="shared" ca="1" si="274"/>
        <v>32829106010326.098</v>
      </c>
      <c r="H2005" s="53">
        <f t="shared" ca="1" si="275"/>
        <v>32829106010326.098</v>
      </c>
      <c r="I2005" s="53">
        <f t="shared" ca="1" si="276"/>
        <v>46284231967402.016</v>
      </c>
      <c r="J2005" s="53">
        <f t="shared" ca="1" si="277"/>
        <v>912440009577.90796</v>
      </c>
      <c r="K2005" s="54">
        <f t="shared" ca="1" si="278"/>
        <v>50.725780853048043</v>
      </c>
    </row>
    <row r="2006" spans="2:11" ht="15" customHeight="1" x14ac:dyDescent="0.35">
      <c r="B2006" s="5">
        <v>1985</v>
      </c>
      <c r="C2006" s="52">
        <f t="shared" ref="C2006:C2021" ca="1" si="279">MEDIAN(1.8,NORMINV(RAND(),$C$7,$D$7),4.5)</f>
        <v>2.2429596258728273</v>
      </c>
      <c r="D2006" s="53">
        <f t="shared" ref="D2006:D2069" ca="1" si="280">($C$8+RAND()*($D$8-$C$8))*C2006^5</f>
        <v>1287192326.8046257</v>
      </c>
      <c r="E2006" s="53">
        <f t="shared" ref="E2006:E2069" ca="1" si="281">D2006*($C$10+RAND()*($D$10-$C$10))*EXP(NORMINV(RAND(),$C$9,$D$9))*($C$11+RAND()*($D$11-$C$11))</f>
        <v>2042478397166.0334</v>
      </c>
      <c r="F2006" s="53">
        <f t="shared" ref="F2006:F2021" ca="1" si="282">EXP(NORMINV(RAND(),$C$12,$D$12))*EXP(NORMINV(RAND(),$C$13,$D$13))</f>
        <v>2695669525942.9912</v>
      </c>
      <c r="G2006" s="53">
        <f t="shared" ref="G2006:G2021" ca="1" si="283">EXP(NORMINV(RAND(),$C$14,$D$14))*($C$15+RAND()*($D$15-$C$15))*EXP(NORMINV(RAND(),$C$16,$D$16))/1000000*31536000</f>
        <v>1027377161140.3845</v>
      </c>
      <c r="H2006" s="53">
        <f t="shared" ref="H2006:H2069" ca="1" si="284">CHOOSE(RANDBETWEEN(1,3),E2006,F2006,G2006)</f>
        <v>1027377161140.3845</v>
      </c>
      <c r="I2006" s="53">
        <f t="shared" ref="I2006:I2021" ca="1" si="285">EXP(NORMINV(RAND(),$C$14,$D$14))*($C$15+RAND()*($D$15-$C$15))*60</f>
        <v>16057781395544.086</v>
      </c>
      <c r="J2006" s="53">
        <f t="shared" ref="J2006:J2021" ca="1" si="286">($C$17+RAND()*($D$17-$C$17))*($C$18+RAND()*($D$18-$C$18))</f>
        <v>685656280610.03162</v>
      </c>
      <c r="K2006" s="54">
        <f t="shared" ref="K2006:K2069" ca="1" si="287">I2006/J2006</f>
        <v>23.419578948882961</v>
      </c>
    </row>
    <row r="2007" spans="2:11" ht="15" customHeight="1" x14ac:dyDescent="0.35">
      <c r="B2007" s="5">
        <v>1986</v>
      </c>
      <c r="C2007" s="52">
        <f t="shared" ca="1" si="279"/>
        <v>3.0878074597929621</v>
      </c>
      <c r="D2007" s="53">
        <f t="shared" ca="1" si="280"/>
        <v>5816805216.8685522</v>
      </c>
      <c r="E2007" s="53">
        <f t="shared" ca="1" si="281"/>
        <v>12964972526291.535</v>
      </c>
      <c r="F2007" s="53">
        <f t="shared" ca="1" si="282"/>
        <v>315162082769.13879</v>
      </c>
      <c r="G2007" s="53">
        <f t="shared" ca="1" si="283"/>
        <v>9339703150896.6934</v>
      </c>
      <c r="H2007" s="53">
        <f t="shared" ca="1" si="284"/>
        <v>315162082769.13879</v>
      </c>
      <c r="I2007" s="53">
        <f t="shared" ca="1" si="285"/>
        <v>32431692367277.73</v>
      </c>
      <c r="J2007" s="53">
        <f t="shared" ca="1" si="286"/>
        <v>1110891557898.8318</v>
      </c>
      <c r="K2007" s="54">
        <f t="shared" ca="1" si="287"/>
        <v>29.194291861052442</v>
      </c>
    </row>
    <row r="2008" spans="2:11" ht="15" customHeight="1" x14ac:dyDescent="0.35">
      <c r="B2008" s="5">
        <v>1987</v>
      </c>
      <c r="C2008" s="52">
        <f t="shared" ca="1" si="279"/>
        <v>3.3561698272914908</v>
      </c>
      <c r="D2008" s="53">
        <f t="shared" ca="1" si="280"/>
        <v>8646336347.7506962</v>
      </c>
      <c r="E2008" s="53">
        <f t="shared" ca="1" si="281"/>
        <v>9049616268546.4688</v>
      </c>
      <c r="F2008" s="53">
        <f t="shared" ca="1" si="282"/>
        <v>7926546642995.4736</v>
      </c>
      <c r="G2008" s="53">
        <f t="shared" ca="1" si="283"/>
        <v>8399438706772.9863</v>
      </c>
      <c r="H2008" s="53">
        <f t="shared" ca="1" si="284"/>
        <v>8399438706772.9863</v>
      </c>
      <c r="I2008" s="53">
        <f t="shared" ca="1" si="285"/>
        <v>417054684480.81616</v>
      </c>
      <c r="J2008" s="53">
        <f t="shared" ca="1" si="286"/>
        <v>1073376600333.705</v>
      </c>
      <c r="K2008" s="54">
        <f t="shared" ca="1" si="287"/>
        <v>0.38854460247331357</v>
      </c>
    </row>
    <row r="2009" spans="2:11" ht="15" customHeight="1" x14ac:dyDescent="0.35">
      <c r="B2009" s="5">
        <v>1988</v>
      </c>
      <c r="C2009" s="52">
        <f t="shared" ca="1" si="279"/>
        <v>3.2556846823301004</v>
      </c>
      <c r="D2009" s="53">
        <f t="shared" ca="1" si="280"/>
        <v>8368988927.0710459</v>
      </c>
      <c r="E2009" s="53">
        <f t="shared" ca="1" si="281"/>
        <v>83544271721305.5</v>
      </c>
      <c r="F2009" s="53">
        <f t="shared" ca="1" si="282"/>
        <v>2820253299539.9219</v>
      </c>
      <c r="G2009" s="53">
        <f t="shared" ca="1" si="283"/>
        <v>5161325952892.2217</v>
      </c>
      <c r="H2009" s="53">
        <f t="shared" ca="1" si="284"/>
        <v>2820253299539.9219</v>
      </c>
      <c r="I2009" s="53">
        <f t="shared" ca="1" si="285"/>
        <v>28431465459925.422</v>
      </c>
      <c r="J2009" s="53">
        <f t="shared" ca="1" si="286"/>
        <v>1380259843813.2437</v>
      </c>
      <c r="K2009" s="54">
        <f t="shared" ca="1" si="287"/>
        <v>20.598632632372915</v>
      </c>
    </row>
    <row r="2010" spans="2:11" ht="15" customHeight="1" x14ac:dyDescent="0.35">
      <c r="B2010" s="5">
        <v>1989</v>
      </c>
      <c r="C2010" s="52">
        <f t="shared" ca="1" si="279"/>
        <v>2.8176664283431934</v>
      </c>
      <c r="D2010" s="53">
        <f t="shared" ca="1" si="280"/>
        <v>3349232133.2039104</v>
      </c>
      <c r="E2010" s="53">
        <f t="shared" ca="1" si="281"/>
        <v>3475400998202.4609</v>
      </c>
      <c r="F2010" s="53">
        <f t="shared" ca="1" si="282"/>
        <v>1070470290861.3558</v>
      </c>
      <c r="G2010" s="53">
        <f t="shared" ca="1" si="283"/>
        <v>2081696265840.6543</v>
      </c>
      <c r="H2010" s="53">
        <f t="shared" ca="1" si="284"/>
        <v>1070470290861.3558</v>
      </c>
      <c r="I2010" s="53">
        <f t="shared" ca="1" si="285"/>
        <v>10588813477546.582</v>
      </c>
      <c r="J2010" s="53">
        <f t="shared" ca="1" si="286"/>
        <v>705491665973.10608</v>
      </c>
      <c r="K2010" s="54">
        <f t="shared" ca="1" si="287"/>
        <v>15.009126242393112</v>
      </c>
    </row>
    <row r="2011" spans="2:11" ht="15" customHeight="1" x14ac:dyDescent="0.35">
      <c r="B2011" s="5">
        <v>1990</v>
      </c>
      <c r="C2011" s="52">
        <f t="shared" ca="1" si="279"/>
        <v>2.8622804293763759</v>
      </c>
      <c r="D2011" s="53">
        <f t="shared" ca="1" si="280"/>
        <v>3323794706.0685186</v>
      </c>
      <c r="E2011" s="53">
        <f t="shared" ca="1" si="281"/>
        <v>2590594245722.9595</v>
      </c>
      <c r="F2011" s="53">
        <f t="shared" ca="1" si="282"/>
        <v>25875628956745.711</v>
      </c>
      <c r="G2011" s="53">
        <f t="shared" ca="1" si="283"/>
        <v>8164868523355.5596</v>
      </c>
      <c r="H2011" s="53">
        <f t="shared" ca="1" si="284"/>
        <v>2590594245722.9595</v>
      </c>
      <c r="I2011" s="53">
        <f t="shared" ca="1" si="285"/>
        <v>406700155794.02374</v>
      </c>
      <c r="J2011" s="53">
        <f t="shared" ca="1" si="286"/>
        <v>808175144973.42346</v>
      </c>
      <c r="K2011" s="54">
        <f t="shared" ca="1" si="287"/>
        <v>0.50323269445189123</v>
      </c>
    </row>
    <row r="2012" spans="2:11" ht="15" customHeight="1" x14ac:dyDescent="0.35">
      <c r="B2012" s="5">
        <v>1991</v>
      </c>
      <c r="C2012" s="52">
        <f t="shared" ca="1" si="279"/>
        <v>2.3339057088534307</v>
      </c>
      <c r="D2012" s="53">
        <f t="shared" ca="1" si="280"/>
        <v>1382177428.8757179</v>
      </c>
      <c r="E2012" s="53">
        <f t="shared" ca="1" si="281"/>
        <v>20066857683065.684</v>
      </c>
      <c r="F2012" s="53">
        <f t="shared" ca="1" si="282"/>
        <v>5461319001023.9414</v>
      </c>
      <c r="G2012" s="53">
        <f t="shared" ca="1" si="283"/>
        <v>999063376904.33313</v>
      </c>
      <c r="H2012" s="53">
        <f t="shared" ca="1" si="284"/>
        <v>20066857683065.684</v>
      </c>
      <c r="I2012" s="53">
        <f t="shared" ca="1" si="285"/>
        <v>1906159986959.2048</v>
      </c>
      <c r="J2012" s="53">
        <f t="shared" ca="1" si="286"/>
        <v>1370375764107.9219</v>
      </c>
      <c r="K2012" s="54">
        <f t="shared" ca="1" si="287"/>
        <v>1.3909761372641205</v>
      </c>
    </row>
    <row r="2013" spans="2:11" ht="15" customHeight="1" x14ac:dyDescent="0.35">
      <c r="B2013" s="5">
        <v>1992</v>
      </c>
      <c r="C2013" s="52">
        <f t="shared" ca="1" si="279"/>
        <v>3.7360341903390788</v>
      </c>
      <c r="D2013" s="53">
        <f t="shared" ca="1" si="280"/>
        <v>13886282090.895552</v>
      </c>
      <c r="E2013" s="53">
        <f t="shared" ca="1" si="281"/>
        <v>43515659829179.82</v>
      </c>
      <c r="F2013" s="53">
        <f t="shared" ca="1" si="282"/>
        <v>2135977392835.2107</v>
      </c>
      <c r="G2013" s="53">
        <f t="shared" ca="1" si="283"/>
        <v>2854258008976.0146</v>
      </c>
      <c r="H2013" s="53">
        <f t="shared" ca="1" si="284"/>
        <v>2854258008976.0146</v>
      </c>
      <c r="I2013" s="53">
        <f t="shared" ca="1" si="285"/>
        <v>2866694539844.2681</v>
      </c>
      <c r="J2013" s="53">
        <f t="shared" ca="1" si="286"/>
        <v>1152838941129.2339</v>
      </c>
      <c r="K2013" s="54">
        <f t="shared" ca="1" si="287"/>
        <v>2.4866392325681423</v>
      </c>
    </row>
    <row r="2014" spans="2:11" ht="15" customHeight="1" x14ac:dyDescent="0.35">
      <c r="B2014" s="5">
        <v>1993</v>
      </c>
      <c r="C2014" s="52">
        <f t="shared" ca="1" si="279"/>
        <v>3.4902859059948375</v>
      </c>
      <c r="D2014" s="53">
        <f t="shared" ca="1" si="280"/>
        <v>9234576482.198679</v>
      </c>
      <c r="E2014" s="53">
        <f t="shared" ca="1" si="281"/>
        <v>26849361251456.273</v>
      </c>
      <c r="F2014" s="53">
        <f t="shared" ca="1" si="282"/>
        <v>5170821967973.2266</v>
      </c>
      <c r="G2014" s="53">
        <f t="shared" ca="1" si="283"/>
        <v>311359499383.28876</v>
      </c>
      <c r="H2014" s="53">
        <f t="shared" ca="1" si="284"/>
        <v>311359499383.28876</v>
      </c>
      <c r="I2014" s="53">
        <f t="shared" ca="1" si="285"/>
        <v>4029863927133.8716</v>
      </c>
      <c r="J2014" s="53">
        <f t="shared" ca="1" si="286"/>
        <v>1670474641277.3818</v>
      </c>
      <c r="K2014" s="54">
        <f t="shared" ca="1" si="287"/>
        <v>2.412406526597918</v>
      </c>
    </row>
    <row r="2015" spans="2:11" ht="15" customHeight="1" x14ac:dyDescent="0.35">
      <c r="B2015" s="5">
        <v>1994</v>
      </c>
      <c r="C2015" s="52">
        <f t="shared" ca="1" si="279"/>
        <v>2.9289266748135314</v>
      </c>
      <c r="D2015" s="53">
        <f t="shared" ca="1" si="280"/>
        <v>3991085831.8447003</v>
      </c>
      <c r="E2015" s="53">
        <f t="shared" ca="1" si="281"/>
        <v>17707931682529.848</v>
      </c>
      <c r="F2015" s="53">
        <f t="shared" ca="1" si="282"/>
        <v>6170026269353.2061</v>
      </c>
      <c r="G2015" s="53">
        <f t="shared" ca="1" si="283"/>
        <v>4730968196822.4023</v>
      </c>
      <c r="H2015" s="53">
        <f t="shared" ca="1" si="284"/>
        <v>4730968196822.4023</v>
      </c>
      <c r="I2015" s="53">
        <f t="shared" ca="1" si="285"/>
        <v>69676492723572.594</v>
      </c>
      <c r="J2015" s="53">
        <f t="shared" ca="1" si="286"/>
        <v>1066437226245.7421</v>
      </c>
      <c r="K2015" s="54">
        <f t="shared" ca="1" si="287"/>
        <v>65.335765677329093</v>
      </c>
    </row>
    <row r="2016" spans="2:11" ht="15" customHeight="1" x14ac:dyDescent="0.35">
      <c r="B2016" s="5">
        <v>1995</v>
      </c>
      <c r="C2016" s="52">
        <f t="shared" ca="1" si="279"/>
        <v>3.1960647009767782</v>
      </c>
      <c r="D2016" s="53">
        <f t="shared" ca="1" si="280"/>
        <v>7288930217.9486818</v>
      </c>
      <c r="E2016" s="53">
        <f t="shared" ca="1" si="281"/>
        <v>6017099629626.458</v>
      </c>
      <c r="F2016" s="53">
        <f t="shared" ca="1" si="282"/>
        <v>4818805407623.4492</v>
      </c>
      <c r="G2016" s="53">
        <f t="shared" ca="1" si="283"/>
        <v>52015185099982.203</v>
      </c>
      <c r="H2016" s="53">
        <f t="shared" ca="1" si="284"/>
        <v>6017099629626.458</v>
      </c>
      <c r="I2016" s="53">
        <f t="shared" ca="1" si="285"/>
        <v>162295449203402.34</v>
      </c>
      <c r="J2016" s="53">
        <f t="shared" ca="1" si="286"/>
        <v>1290246074571.3818</v>
      </c>
      <c r="K2016" s="54">
        <f t="shared" ca="1" si="287"/>
        <v>125.78643128778104</v>
      </c>
    </row>
    <row r="2017" spans="2:11" ht="15" customHeight="1" x14ac:dyDescent="0.35">
      <c r="B2017" s="5">
        <v>1996</v>
      </c>
      <c r="C2017" s="52">
        <f t="shared" ca="1" si="279"/>
        <v>3.0669211900923834</v>
      </c>
      <c r="D2017" s="53">
        <f t="shared" ca="1" si="280"/>
        <v>5758817699.7123852</v>
      </c>
      <c r="E2017" s="53">
        <f t="shared" ca="1" si="281"/>
        <v>35511856822635.063</v>
      </c>
      <c r="F2017" s="53">
        <f t="shared" ca="1" si="282"/>
        <v>1617885925094.2356</v>
      </c>
      <c r="G2017" s="53">
        <f t="shared" ca="1" si="283"/>
        <v>28820279105651.555</v>
      </c>
      <c r="H2017" s="53">
        <f t="shared" ca="1" si="284"/>
        <v>28820279105651.555</v>
      </c>
      <c r="I2017" s="53">
        <f t="shared" ca="1" si="285"/>
        <v>5483590561171.0576</v>
      </c>
      <c r="J2017" s="53">
        <f t="shared" ca="1" si="286"/>
        <v>1168333097723.3599</v>
      </c>
      <c r="K2017" s="54">
        <f t="shared" ca="1" si="287"/>
        <v>4.6935164054296719</v>
      </c>
    </row>
    <row r="2018" spans="2:11" ht="15" customHeight="1" x14ac:dyDescent="0.35">
      <c r="B2018" s="5">
        <v>1997</v>
      </c>
      <c r="C2018" s="52">
        <f t="shared" ca="1" si="279"/>
        <v>2.8659072791347624</v>
      </c>
      <c r="D2018" s="53">
        <f t="shared" ca="1" si="280"/>
        <v>3157432269.7582736</v>
      </c>
      <c r="E2018" s="53">
        <f t="shared" ca="1" si="281"/>
        <v>21533291144501.688</v>
      </c>
      <c r="F2018" s="53">
        <f t="shared" ca="1" si="282"/>
        <v>2471620437902.0903</v>
      </c>
      <c r="G2018" s="53">
        <f t="shared" ca="1" si="283"/>
        <v>36568692474331.094</v>
      </c>
      <c r="H2018" s="53">
        <f t="shared" ca="1" si="284"/>
        <v>36568692474331.094</v>
      </c>
      <c r="I2018" s="53">
        <f t="shared" ca="1" si="285"/>
        <v>27555920421980.93</v>
      </c>
      <c r="J2018" s="53">
        <f t="shared" ca="1" si="286"/>
        <v>740097054268.29663</v>
      </c>
      <c r="K2018" s="54">
        <f t="shared" ca="1" si="287"/>
        <v>37.232847047640703</v>
      </c>
    </row>
    <row r="2019" spans="2:11" ht="15" customHeight="1" x14ac:dyDescent="0.35">
      <c r="B2019" s="5">
        <v>1998</v>
      </c>
      <c r="C2019" s="52">
        <f t="shared" ca="1" si="279"/>
        <v>3.2352715235481821</v>
      </c>
      <c r="D2019" s="53">
        <f t="shared" ca="1" si="280"/>
        <v>8398470308.5881424</v>
      </c>
      <c r="E2019" s="53">
        <f t="shared" ca="1" si="281"/>
        <v>12027218516667.467</v>
      </c>
      <c r="F2019" s="53">
        <f t="shared" ca="1" si="282"/>
        <v>3651631530229.7471</v>
      </c>
      <c r="G2019" s="53">
        <f t="shared" ca="1" si="283"/>
        <v>1447531426995.0532</v>
      </c>
      <c r="H2019" s="53">
        <f t="shared" ca="1" si="284"/>
        <v>3651631530229.7471</v>
      </c>
      <c r="I2019" s="53">
        <f t="shared" ca="1" si="285"/>
        <v>2073740439691.2295</v>
      </c>
      <c r="J2019" s="53">
        <f t="shared" ca="1" si="286"/>
        <v>814553612419.59045</v>
      </c>
      <c r="K2019" s="54">
        <f t="shared" ca="1" si="287"/>
        <v>2.5458612030843346</v>
      </c>
    </row>
    <row r="2020" spans="2:11" ht="15" customHeight="1" x14ac:dyDescent="0.35">
      <c r="B2020" s="5">
        <v>1999</v>
      </c>
      <c r="C2020" s="52">
        <f t="shared" ca="1" si="279"/>
        <v>3.5448271682897641</v>
      </c>
      <c r="D2020" s="53">
        <f t="shared" ca="1" si="280"/>
        <v>11721826829.870287</v>
      </c>
      <c r="E2020" s="53">
        <f t="shared" ca="1" si="281"/>
        <v>95750519890792.359</v>
      </c>
      <c r="F2020" s="53">
        <f t="shared" ca="1" si="282"/>
        <v>2152686552853.8823</v>
      </c>
      <c r="G2020" s="53">
        <f t="shared" ca="1" si="283"/>
        <v>8827820324102.1035</v>
      </c>
      <c r="H2020" s="53">
        <f t="shared" ca="1" si="284"/>
        <v>95750519890792.359</v>
      </c>
      <c r="I2020" s="53">
        <f t="shared" ca="1" si="285"/>
        <v>8400809559460.2871</v>
      </c>
      <c r="J2020" s="53">
        <f t="shared" ca="1" si="286"/>
        <v>1423159345973.4773</v>
      </c>
      <c r="K2020" s="54">
        <f t="shared" ca="1" si="287"/>
        <v>5.9029296917654142</v>
      </c>
    </row>
    <row r="2021" spans="2:11" ht="15" customHeight="1" x14ac:dyDescent="0.35">
      <c r="B2021" s="5">
        <v>2000</v>
      </c>
      <c r="C2021" s="52">
        <f t="shared" ca="1" si="279"/>
        <v>2.1272511022819094</v>
      </c>
      <c r="D2021" s="53">
        <f t="shared" ca="1" si="280"/>
        <v>778504570.21954334</v>
      </c>
      <c r="E2021" s="53">
        <f t="shared" ca="1" si="281"/>
        <v>3825849919710.5493</v>
      </c>
      <c r="F2021" s="53">
        <f t="shared" ca="1" si="282"/>
        <v>2577083906784.9468</v>
      </c>
      <c r="G2021" s="53">
        <f t="shared" ca="1" si="283"/>
        <v>32068845616929.695</v>
      </c>
      <c r="H2021" s="53">
        <f t="shared" ca="1" si="284"/>
        <v>2577083906784.9468</v>
      </c>
      <c r="I2021" s="53">
        <f t="shared" ca="1" si="285"/>
        <v>11802674582386.041</v>
      </c>
      <c r="J2021" s="53">
        <f t="shared" ca="1" si="286"/>
        <v>420188445180.82306</v>
      </c>
      <c r="K2021" s="54">
        <f t="shared" ca="1" si="287"/>
        <v>28.089003202615203</v>
      </c>
    </row>
  </sheetData>
  <mergeCells count="13">
    <mergeCell ref="F18:I18"/>
    <mergeCell ref="F12:I12"/>
    <mergeCell ref="F13:I13"/>
    <mergeCell ref="F14:I14"/>
    <mergeCell ref="F15:I15"/>
    <mergeCell ref="F16:I16"/>
    <mergeCell ref="F17:I17"/>
    <mergeCell ref="F6:I6"/>
    <mergeCell ref="F7:I7"/>
    <mergeCell ref="F8:I8"/>
    <mergeCell ref="F9:I9"/>
    <mergeCell ref="F10:I10"/>
    <mergeCell ref="F11:I11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tabSelected="1" zoomScaleNormal="100" workbookViewId="0">
      <selection activeCell="C10" sqref="C10"/>
    </sheetView>
  </sheetViews>
  <sheetFormatPr defaultColWidth="8.6328125" defaultRowHeight="14.5" x14ac:dyDescent="0.35"/>
  <cols>
    <col min="1" max="1" width="2" customWidth="1"/>
    <col min="2" max="2" width="26" customWidth="1"/>
    <col min="3" max="3" width="22.90625" customWidth="1"/>
    <col min="4" max="4" width="17.1796875" customWidth="1"/>
    <col min="5" max="5" width="21.26953125" customWidth="1"/>
    <col min="6" max="6" width="21.36328125" customWidth="1"/>
    <col min="7" max="7" width="26.453125" customWidth="1"/>
    <col min="8" max="8" width="16" customWidth="1"/>
  </cols>
  <sheetData>
    <row r="1" spans="1:11" ht="18" customHeight="1" x14ac:dyDescent="0.4">
      <c r="A1" s="11" t="s">
        <v>355</v>
      </c>
    </row>
    <row r="2" spans="1:11" ht="15" customHeight="1" x14ac:dyDescent="0.35">
      <c r="A2" s="2" t="s">
        <v>356</v>
      </c>
    </row>
    <row r="3" spans="1:11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1" ht="15" customHeight="1" x14ac:dyDescent="0.35">
      <c r="A5" s="3" t="s">
        <v>357</v>
      </c>
      <c r="B5" s="4"/>
      <c r="C5" s="4"/>
      <c r="D5" s="4"/>
      <c r="E5" s="4"/>
      <c r="F5" s="4"/>
      <c r="G5" s="4"/>
      <c r="H5" s="4"/>
    </row>
    <row r="6" spans="1:11" ht="15" customHeight="1" x14ac:dyDescent="0.35">
      <c r="B6" s="5" t="s">
        <v>358</v>
      </c>
      <c r="C6" s="26">
        <v>1000000000000</v>
      </c>
    </row>
    <row r="7" spans="1:11" ht="15" customHeight="1" x14ac:dyDescent="0.35">
      <c r="B7" s="5" t="s">
        <v>359</v>
      </c>
      <c r="C7" s="55">
        <v>0.1</v>
      </c>
    </row>
    <row r="8" spans="1:11" ht="15" customHeight="1" x14ac:dyDescent="0.35">
      <c r="B8" s="5" t="s">
        <v>360</v>
      </c>
      <c r="C8" s="56">
        <v>0.83</v>
      </c>
    </row>
    <row r="9" spans="1:11" ht="15" customHeight="1" x14ac:dyDescent="0.35">
      <c r="B9" s="6" t="s">
        <v>361</v>
      </c>
      <c r="C9" s="42">
        <f>C6*C7*C8/1000000*31536000</f>
        <v>2617488000000</v>
      </c>
    </row>
    <row r="11" spans="1:11" ht="15" customHeight="1" x14ac:dyDescent="0.35">
      <c r="A11" s="3" t="s">
        <v>362</v>
      </c>
      <c r="B11" s="4"/>
      <c r="C11" s="4"/>
      <c r="D11" s="4"/>
      <c r="E11" s="4"/>
      <c r="F11" s="4"/>
      <c r="G11" s="4"/>
      <c r="H11" s="4"/>
    </row>
    <row r="12" spans="1:11" ht="15" customHeight="1" x14ac:dyDescent="0.35">
      <c r="B12" s="51" t="s">
        <v>363</v>
      </c>
      <c r="C12" s="51" t="s">
        <v>364</v>
      </c>
      <c r="D12" s="51" t="s">
        <v>365</v>
      </c>
      <c r="E12" s="51" t="s">
        <v>366</v>
      </c>
      <c r="F12" s="51" t="s">
        <v>367</v>
      </c>
      <c r="G12" s="51" t="s">
        <v>368</v>
      </c>
    </row>
    <row r="13" spans="1:11" ht="15" customHeight="1" x14ac:dyDescent="0.35">
      <c r="B13" s="5" t="s">
        <v>358</v>
      </c>
      <c r="C13" s="57">
        <v>300000000000</v>
      </c>
      <c r="D13" s="57">
        <v>2000000000000</v>
      </c>
      <c r="E13" s="58">
        <f>C13*$C$7*$C$8/1000000*31536000</f>
        <v>785246400000</v>
      </c>
      <c r="F13" s="58">
        <f>D13*$C$7*$C$8/1000000*31536000</f>
        <v>5234976000000</v>
      </c>
      <c r="G13" s="58">
        <f>ABS(F13-E13)</f>
        <v>4449729600000</v>
      </c>
    </row>
    <row r="14" spans="1:11" ht="15" customHeight="1" x14ac:dyDescent="0.35">
      <c r="B14" s="5" t="s">
        <v>359</v>
      </c>
      <c r="C14" s="59">
        <v>0.05</v>
      </c>
      <c r="D14" s="59">
        <v>0.3</v>
      </c>
      <c r="E14" s="58">
        <f>$C$6*C14*$C$8/1000000*31536000</f>
        <v>1308744000000</v>
      </c>
      <c r="F14" s="58">
        <f>$C$6*D14*$C$8/1000000*31536000</f>
        <v>7852464000000</v>
      </c>
      <c r="G14" s="58">
        <f>ABS(F14-E14)</f>
        <v>6543720000000</v>
      </c>
    </row>
    <row r="15" spans="1:11" ht="15" customHeight="1" x14ac:dyDescent="0.35">
      <c r="B15" s="5" t="s">
        <v>360</v>
      </c>
      <c r="C15" s="60">
        <v>0.4</v>
      </c>
      <c r="D15" s="60">
        <v>3.5</v>
      </c>
      <c r="E15" s="58">
        <f>$C$6*$C$7*C15/1000000*31536000</f>
        <v>1261440000000</v>
      </c>
      <c r="F15" s="58">
        <f>$C$6*$C$7*D15/1000000*31536000</f>
        <v>11037600000000</v>
      </c>
      <c r="G15" s="58">
        <f>ABS(F15-E15)</f>
        <v>9776160000000</v>
      </c>
    </row>
    <row r="17" spans="2:2" ht="15" customHeight="1" x14ac:dyDescent="0.35">
      <c r="B17" s="10" t="s">
        <v>369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Inputs &amp; Sources</vt:lpstr>
      <vt:lpstr>Derivations</vt:lpstr>
      <vt:lpstr>2026 Baseline</vt:lpstr>
      <vt:lpstr>2031 Projection</vt:lpstr>
      <vt:lpstr>Scale &amp; Human</vt:lpstr>
      <vt:lpstr>Monte Carlo</vt:lpstr>
      <vt:lpstr>Scenario L-B-H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Olive</cp:lastModifiedBy>
  <cp:revision>2</cp:revision>
  <dcterms:created xsi:type="dcterms:W3CDTF">2026-06-14T02:03:34Z</dcterms:created>
  <dcterms:modified xsi:type="dcterms:W3CDTF">2026-06-14T20:33:59Z</dcterms:modified>
  <dc:language>en-US</dc:language>
</cp:coreProperties>
</file>