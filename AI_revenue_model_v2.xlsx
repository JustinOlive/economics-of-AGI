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\Claude\Projects\economics of AGI\"/>
    </mc:Choice>
  </mc:AlternateContent>
  <xr:revisionPtr revIDLastSave="0" documentId="13_ncr:1_{D71CC247-773A-4321-BC14-45ADF5A88BA8}" xr6:coauthVersionLast="47" xr6:coauthVersionMax="47" xr10:uidLastSave="{00000000-0000-0000-0000-000000000000}"/>
  <bookViews>
    <workbookView xWindow="-11360" yWindow="-21710" windowWidth="38620" windowHeight="21100" tabRatio="500" activeTab="2" xr2:uid="{00000000-000D-0000-FFFF-FFFF00000000}"/>
  </bookViews>
  <sheets>
    <sheet name="Cover" sheetId="1" r:id="rId1"/>
    <sheet name="Raw data" sheetId="2" r:id="rId2"/>
    <sheet name="Resul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  <c r="D44" i="2"/>
  <c r="D42" i="2"/>
  <c r="D43" i="2" s="1"/>
  <c r="D40" i="2"/>
  <c r="D41" i="2" s="1"/>
  <c r="C7" i="3" s="1"/>
  <c r="D39" i="2"/>
  <c r="D38" i="2"/>
  <c r="D37" i="2"/>
  <c r="D45" i="2" s="1"/>
  <c r="D36" i="2"/>
  <c r="D46" i="2" l="1"/>
  <c r="C6" i="3" l="1"/>
  <c r="D47" i="2"/>
  <c r="C8" i="3" s="1"/>
</calcChain>
</file>

<file path=xl/sharedStrings.xml><?xml version="1.0" encoding="utf-8"?>
<sst xmlns="http://schemas.openxmlformats.org/spreadsheetml/2006/main" count="220" uniqueCount="167">
  <si>
    <t>The Economics of Transformative AI</t>
  </si>
  <si>
    <t>2031 frontier-AI revenue model - cleaned, single Raw-data sheet, generated from parameters.csv</t>
  </si>
  <si>
    <t>How to edit</t>
  </si>
  <si>
    <t>- Change any blue value on the Raw data sheet; all derived cells and the deterministic methods update.</t>
  </si>
  <si>
    <t>- The authoritative, editable Monte-Carlo lives in the Quarto report (report.qmd) which reads the same parameters.csv.</t>
  </si>
  <si>
    <t>- Blue = input you can change. Black = formula. Green = link to Raw data. The Monte-Carlo summary here is a static snapshot.</t>
  </si>
  <si>
    <t>Sheets: Raw data (parameters + derived + sources) | Results (4 methods + MC summary + chart)</t>
  </si>
  <si>
    <t>Note: the Excel methods use CENTRAL values; the low/high/dist columns drive the Monte-Carlo in report.qmd.</t>
  </si>
  <si>
    <t>Raw data</t>
  </si>
  <si>
    <t>Every primitive with range, distribution and source. Derived quantities (formulas) at the bottom. Blue = editable.</t>
  </si>
  <si>
    <t>Group</t>
  </si>
  <si>
    <t>Parameter</t>
  </si>
  <si>
    <t>Value</t>
  </si>
  <si>
    <t>Low</t>
  </si>
  <si>
    <t>High</t>
  </si>
  <si>
    <t>Dist</t>
  </si>
  <si>
    <t>Unit</t>
  </si>
  <si>
    <t>Source</t>
  </si>
  <si>
    <t>Note</t>
  </si>
  <si>
    <t>Hardware</t>
  </si>
  <si>
    <t>H100 peak compute (FP8, dense)</t>
  </si>
  <si>
    <t>FLOP/s</t>
  </si>
  <si>
    <t>NVIDIA H100 datasheet</t>
  </si>
  <si>
    <t>Peak dense FP8; used only to sanity-check throughput, not in headline revenue.</t>
  </si>
  <si>
    <t>GPU memory per chip</t>
  </si>
  <si>
    <t>bytes</t>
  </si>
  <si>
    <t>NVIDIA H100 80GB</t>
  </si>
  <si>
    <t>Drives GPUs-per-copy via model size.</t>
  </si>
  <si>
    <t>Bytes per parameter (FP8)</t>
  </si>
  <si>
    <t>FP8 convention</t>
  </si>
  <si>
    <t>1 byte/param at FP8.</t>
  </si>
  <si>
    <t>Model</t>
  </si>
  <si>
    <t>DeepSeek V4 total parameters</t>
  </si>
  <si>
    <t>params</t>
  </si>
  <si>
    <t>OpenRouter / Morph</t>
  </si>
  <si>
    <t>1.6T MoE; the open-weight frontier reference model.</t>
  </si>
  <si>
    <t>DeepSeek V4 active parameters</t>
  </si>
  <si>
    <t>DeepSeek V3/V4 architecture</t>
  </si>
  <si>
    <t>~37B active/token. Reference: used for the FLOP throughput cross-check, not the headline.</t>
  </si>
  <si>
    <t>Memory overhead factor</t>
  </si>
  <si>
    <t>triangular</t>
  </si>
  <si>
    <t>x</t>
  </si>
  <si>
    <t>Engineering estimate</t>
  </si>
  <si>
    <t>Weights + KV cache + activations vs raw weights.</t>
  </si>
  <si>
    <t>2031 frontier model total params</t>
  </si>
  <si>
    <t>lognormal</t>
  </si>
  <si>
    <t>Assumption (~8x 1.6T)</t>
  </si>
  <si>
    <t>TOP SENSITIVITY. ~8x the 1.6T; lognormal P5/P95 = 4x-16x. Drives GPUs-per-copy in two methods.</t>
  </si>
  <si>
    <t>Throughput</t>
  </si>
  <si>
    <t>Single-stream output speed (OpenRouter, NovitaAI)</t>
  </si>
  <si>
    <t>tok/s</t>
  </si>
  <si>
    <t>OpenRouter DeepSeek V4 providers</t>
  </si>
  <si>
    <t>NovitaAI ~66-68; mode 62 (less degenerate than 66-vs-68). Downside to ~45 for slower providers. p90 decode, ONE request.</t>
  </si>
  <si>
    <t>Effective parallel streams per inference GPU</t>
  </si>
  <si>
    <t>streams</t>
  </si>
  <si>
    <t>Derived from data points (see note)</t>
  </si>
  <si>
    <t>Avg concurrent streams over the year (folds in batching + idle). Data points: Epoch 2031 capacity implies ~3; our FLOP throughput implies ~32; production batch 8-128. THE key swing.</t>
  </si>
  <si>
    <t>Pricing</t>
  </si>
  <si>
    <t>Input price (first-party)</t>
  </si>
  <si>
    <t>$/Mtok</t>
  </si>
  <si>
    <t>DeepSeek API</t>
  </si>
  <si>
    <t>Reference only (first-party floor). Headline methods use MARKET prices.</t>
  </si>
  <si>
    <t>Output price (first-party)</t>
  </si>
  <si>
    <t>Input price (3rd-party median)</t>
  </si>
  <si>
    <t>OpenRouter providers</t>
  </si>
  <si>
    <t>Median of 8 resellers; reflects rented-GPU economics + margin.</t>
  </si>
  <si>
    <t>Output price (3rd-party median)</t>
  </si>
  <si>
    <t>Median of 8 resellers; range 1.52-3.48.</t>
  </si>
  <si>
    <t>Input : output token ratio</t>
  </si>
  <si>
    <t>Typical workload</t>
  </si>
  <si>
    <t>Used to blend input/output prices.</t>
  </si>
  <si>
    <t>Utilisation</t>
  </si>
  <si>
    <t>Fraction of 2031 fleet doing inference</t>
  </si>
  <si>
    <t>frac</t>
  </si>
  <si>
    <t>Epoch (~44% today); user range 20-50%</t>
  </si>
  <si>
    <t>Applied to GPU-DeepSeek, model-based, and Epoch-token methods.</t>
  </si>
  <si>
    <t>Anthropic 2026 inference share</t>
  </si>
  <si>
    <t>Epoch (~44% OpenAI)</t>
  </si>
  <si>
    <t>Aligned to Epoch's ~44% inference share (was 0.5). For Anthropic revenue-per-inference-chip.</t>
  </si>
  <si>
    <t>Revenue 2026</t>
  </si>
  <si>
    <t>Anthropic ARR</t>
  </si>
  <si>
    <t>$/yr</t>
  </si>
  <si>
    <t>Willison / SemiAnalysis</t>
  </si>
  <si>
    <t>Run-rate ~$44-47B (May 2026).</t>
  </si>
  <si>
    <t>OpenAI ARR</t>
  </si>
  <si>
    <t>Sacra</t>
  </si>
  <si>
    <t>~$25B run-rate.</t>
  </si>
  <si>
    <t>Other LLM revenue (Google/MSFT/xAI...)</t>
  </si>
  <si>
    <t>Estimate</t>
  </si>
  <si>
    <t>Gap to industry total; least certain.</t>
  </si>
  <si>
    <t>Anthropic total compute fleet</t>
  </si>
  <si>
    <t>H100e</t>
  </si>
  <si>
    <t>Epoch chip owners</t>
  </si>
  <si>
    <t>1.3M Trn2 + 1M TPUv7 + ~220k GPU.</t>
  </si>
  <si>
    <t>Compute</t>
  </si>
  <si>
    <t>Global compute stock 2026</t>
  </si>
  <si>
    <t>uniform</t>
  </si>
  <si>
    <t>Epoch (~16.5M end-2025)</t>
  </si>
  <si>
    <t>H100e = H100-equivalent (TPUs/Trainium normalised to H100 compute). Epoch ~16.5M end-2025; 20M for mid-2026 at 3.3x/yr.</t>
  </si>
  <si>
    <t>Compute growth rate</t>
  </si>
  <si>
    <t>x/yr</t>
  </si>
  <si>
    <t>Epoch 3.3x; Dario ~3x</t>
  </si>
  <si>
    <t>Central 3.0 = Dario's round figure (deliberately conservative); Epoch's measured 3.3x is within the 2-4 range.</t>
  </si>
  <si>
    <t>Projection horizon</t>
  </si>
  <si>
    <t>yr</t>
  </si>
  <si>
    <t>2026-&gt;2031</t>
  </si>
  <si>
    <t>Five years.</t>
  </si>
  <si>
    <t>Epoch</t>
  </si>
  <si>
    <t>Token capacity 2031 (full-fleet inference)</t>
  </si>
  <si>
    <t>Epoch compute crunch</t>
  </si>
  <si>
    <t>Lognormal with value=1e12 as the MEDIAN; low/high approximate P5/P95. Inference fraction applied separately.</t>
  </si>
  <si>
    <t>Scale</t>
  </si>
  <si>
    <t>Total internet size</t>
  </si>
  <si>
    <t>tokens</t>
  </si>
  <si>
    <t>EducatingSilicon</t>
  </si>
  <si>
    <t>Order-of-magnitude.</t>
  </si>
  <si>
    <t>White-collar workers 2031</t>
  </si>
  <si>
    <t>workers</t>
  </si>
  <si>
    <t>Forrester ~1.25B (2018)</t>
  </si>
  <si>
    <t>Triangular so the central 1.5B is the mode (uniform would imply 1.3B mean). Forrester ~1.25B (2018).</t>
  </si>
  <si>
    <t>Human cognition rate</t>
  </si>
  <si>
    <t>tok/min</t>
  </si>
  <si>
    <t>Epoch ~500 (380 wpm)</t>
  </si>
  <si>
    <t>Doc basis 1000; Epoch basis ~500.</t>
  </si>
  <si>
    <t>Global human wages</t>
  </si>
  <si>
    <t>Dario (Dwarkesh)</t>
  </si>
  <si>
    <t>For revenue-as-%-of-wages.</t>
  </si>
  <si>
    <t>Constant</t>
  </si>
  <si>
    <t>Seconds per year</t>
  </si>
  <si>
    <t>s</t>
  </si>
  <si>
    <t>365*24*3600</t>
  </si>
  <si>
    <t>Constant.</t>
  </si>
  <si>
    <t>DERIVED (formulas)</t>
  </si>
  <si>
    <t>Compute stock 2031</t>
  </si>
  <si>
    <t>GPUs per copy 2026</t>
  </si>
  <si>
    <t>GPUs per copy 2031</t>
  </si>
  <si>
    <t>Blended market price $/Mtok</t>
  </si>
  <si>
    <t>Industry revenue 2026</t>
  </si>
  <si>
    <t>Macro revenue / GPU</t>
  </si>
  <si>
    <t>Output tokens / inf GPU / yr</t>
  </si>
  <si>
    <t>DeepSeek revenue / inf GPU</t>
  </si>
  <si>
    <t>Anthropic inference fleet</t>
  </si>
  <si>
    <t>Anthropic revenue / model</t>
  </si>
  <si>
    <t>Inference GPUs 2031</t>
  </si>
  <si>
    <t>Concurrent copies 2031</t>
  </si>
  <si>
    <t>Results - 2031 revenue</t>
  </si>
  <si>
    <t>Four methods (live formulas, link to Raw data) + a Monte-Carlo summary snapshot (full live MC in report.qmd).</t>
  </si>
  <si>
    <t>Method (deterministic, central)</t>
  </si>
  <si>
    <t>Revenue/yr</t>
  </si>
  <si>
    <t>DeepSeek bottom-up (GPU=token)</t>
  </si>
  <si>
    <t>hot - upper bound</t>
  </si>
  <si>
    <t>GPU macro average</t>
  </si>
  <si>
    <t>all GPUs x $5k</t>
  </si>
  <si>
    <t>Anthropic model-based</t>
  </si>
  <si>
    <t>credible</t>
  </si>
  <si>
    <t>Epoch token-capacity</t>
  </si>
  <si>
    <t>Monte-Carlo summary (US$ trillions)</t>
  </si>
  <si>
    <t>Method</t>
  </si>
  <si>
    <t>P5</t>
  </si>
  <si>
    <t>P25</t>
  </si>
  <si>
    <t>P50</t>
  </si>
  <si>
    <t>P75</t>
  </si>
  <si>
    <t>P95</t>
  </si>
  <si>
    <t>DeepSeek bottom-up</t>
  </si>
  <si>
    <t>GPU macro</t>
  </si>
  <si>
    <t>POOLED (model+Epoch)</t>
  </si>
  <si>
    <t>Pooled median ~$17T (P5-P95 $3-99T). Edit parameters.csv / Raw data to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</si>
</sst>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#,##0.0"/>
  </numFmts>
  <fonts count="14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8"/>
      <color rgb="FF808080"/>
      <name val="Arial"/>
      <charset val="1"/>
    </font>
    <font>
      <i/>
      <sz val="9"/>
      <color rgb="FF7030A0"/>
      <name val="Arial"/>
      <charset val="1"/>
    </font>
    <font>
      <b/>
      <sz val="15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u/>
      <sz val="9"/>
      <color rgb="FF0563C1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9"/>
      <color rgb="FF7030A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/>
    <xf numFmtId="0" fontId="8" fillId="2" borderId="0" xfId="0" applyFont="1" applyFill="1" applyAlignment="1">
      <alignment horizontal="center"/>
    </xf>
    <xf numFmtId="0" fontId="4" fillId="0" borderId="2" xfId="0" applyFont="1" applyBorder="1"/>
    <xf numFmtId="11" fontId="9" fillId="3" borderId="2" xfId="0" applyNumberFormat="1" applyFont="1" applyFill="1" applyBorder="1"/>
    <xf numFmtId="0" fontId="0" fillId="0" borderId="2" xfId="0" applyBorder="1"/>
    <xf numFmtId="0" fontId="10" fillId="0" borderId="2" xfId="0" applyFont="1" applyBorder="1"/>
    <xf numFmtId="0" fontId="5" fillId="0" borderId="2" xfId="0" applyFont="1" applyBorder="1" applyAlignment="1">
      <alignment vertical="top" wrapText="1"/>
    </xf>
    <xf numFmtId="3" fontId="9" fillId="3" borderId="2" xfId="0" applyNumberFormat="1" applyFont="1" applyFill="1" applyBorder="1"/>
    <xf numFmtId="0" fontId="5" fillId="0" borderId="2" xfId="0" applyFont="1" applyBorder="1"/>
    <xf numFmtId="3" fontId="4" fillId="0" borderId="2" xfId="0" applyNumberFormat="1" applyFont="1" applyBorder="1"/>
    <xf numFmtId="0" fontId="11" fillId="0" borderId="2" xfId="0" applyFont="1" applyBorder="1" applyAlignment="1">
      <alignment horizontal="center"/>
    </xf>
    <xf numFmtId="11" fontId="4" fillId="0" borderId="2" xfId="0" applyNumberFormat="1" applyFont="1" applyBorder="1"/>
    <xf numFmtId="0" fontId="0" fillId="4" borderId="0" xfId="0" applyFill="1"/>
    <xf numFmtId="0" fontId="3" fillId="4" borderId="0" xfId="0" applyFont="1" applyFill="1"/>
    <xf numFmtId="3" fontId="12" fillId="0" borderId="0" xfId="0" applyNumberFormat="1" applyFont="1"/>
    <xf numFmtId="0" fontId="5" fillId="0" borderId="0" xfId="0" applyFont="1" applyAlignment="1">
      <alignment vertical="top" wrapText="1"/>
    </xf>
    <xf numFmtId="164" fontId="12" fillId="0" borderId="0" xfId="0" applyNumberFormat="1" applyFont="1"/>
    <xf numFmtId="165" fontId="12" fillId="0" borderId="0" xfId="0" applyNumberFormat="1" applyFont="1"/>
    <xf numFmtId="0" fontId="8" fillId="2" borderId="0" xfId="0" applyFont="1" applyFill="1"/>
    <xf numFmtId="166" fontId="4" fillId="0" borderId="0" xfId="0" applyNumberFormat="1" applyFont="1"/>
    <xf numFmtId="0" fontId="11" fillId="0" borderId="0" xfId="0" applyFont="1"/>
    <xf numFmtId="166" fontId="11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346320</xdr:colOff>
      <xdr:row>31</xdr:row>
      <xdr:rowOff>132840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120" y="3848040"/>
          <a:ext cx="5333400" cy="2228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rphllm.com/deepseek-v4" TargetMode="External"/><Relationship Id="rId13" Type="http://schemas.openxmlformats.org/officeDocument/2006/relationships/hyperlink" Target="https://simonwillison.net/2026/May/29/anthropic/" TargetMode="External"/><Relationship Id="rId18" Type="http://schemas.openxmlformats.org/officeDocument/2006/relationships/hyperlink" Target="https://epoch.ai/gradient-updates/is-a-compute-crunch-coming" TargetMode="External"/><Relationship Id="rId3" Type="http://schemas.openxmlformats.org/officeDocument/2006/relationships/hyperlink" Target="https://www.morphllm.com/deepseek-v4" TargetMode="External"/><Relationship Id="rId21" Type="http://schemas.openxmlformats.org/officeDocument/2006/relationships/hyperlink" Target="https://epoch.ai/gradient-updates/how-many-digital-workers-could-openai-deploy" TargetMode="External"/><Relationship Id="rId7" Type="http://schemas.openxmlformats.org/officeDocument/2006/relationships/hyperlink" Target="https://www.morphllm.com/deepseek-v4" TargetMode="External"/><Relationship Id="rId12" Type="http://schemas.openxmlformats.org/officeDocument/2006/relationships/hyperlink" Target="https://epoch.ai/data/ai-companies" TargetMode="External"/><Relationship Id="rId17" Type="http://schemas.openxmlformats.org/officeDocument/2006/relationships/hyperlink" Target="https://epoch.ai/data-insights/ai-chip-production" TargetMode="External"/><Relationship Id="rId2" Type="http://schemas.openxmlformats.org/officeDocument/2006/relationships/hyperlink" Target="https://www.nvidia.com/en-us/data-center/h100/" TargetMode="External"/><Relationship Id="rId16" Type="http://schemas.openxmlformats.org/officeDocument/2006/relationships/hyperlink" Target="https://epoch.ai/data/ai-chip-sales" TargetMode="External"/><Relationship Id="rId20" Type="http://schemas.openxmlformats.org/officeDocument/2006/relationships/hyperlink" Target="https://www.forrester.com/blogs/the-global-information-worker-population-swells-to-1-25-billion-in-2018" TargetMode="External"/><Relationship Id="rId1" Type="http://schemas.openxmlformats.org/officeDocument/2006/relationships/hyperlink" Target="https://www.nvidia.com/en-us/data-center/h100/" TargetMode="External"/><Relationship Id="rId6" Type="http://schemas.openxmlformats.org/officeDocument/2006/relationships/hyperlink" Target="https://epoch.ai/gradient-updates/is-a-compute-crunch-coming" TargetMode="External"/><Relationship Id="rId11" Type="http://schemas.openxmlformats.org/officeDocument/2006/relationships/hyperlink" Target="https://epoch.ai/data/ai-companies" TargetMode="External"/><Relationship Id="rId5" Type="http://schemas.openxmlformats.org/officeDocument/2006/relationships/hyperlink" Target="https://openrouter.ai/deepseek/deepseek-v4-pro" TargetMode="External"/><Relationship Id="rId15" Type="http://schemas.openxmlformats.org/officeDocument/2006/relationships/hyperlink" Target="https://epoch.ai/data/ai-chip-owners" TargetMode="External"/><Relationship Id="rId10" Type="http://schemas.openxmlformats.org/officeDocument/2006/relationships/hyperlink" Target="https://openrouter.ai/deepseek/deepseek-v4-pro" TargetMode="External"/><Relationship Id="rId19" Type="http://schemas.openxmlformats.org/officeDocument/2006/relationships/hyperlink" Target="https://www.educatingsilicon.com/2024/05/09/how-much-llm-training-data-is-there-in-the-limit/" TargetMode="External"/><Relationship Id="rId4" Type="http://schemas.openxmlformats.org/officeDocument/2006/relationships/hyperlink" Target="https://www.morphllm.com/deepseek-v4" TargetMode="External"/><Relationship Id="rId9" Type="http://schemas.openxmlformats.org/officeDocument/2006/relationships/hyperlink" Target="https://openrouter.ai/deepseek/deepseek-v4-pro" TargetMode="External"/><Relationship Id="rId14" Type="http://schemas.openxmlformats.org/officeDocument/2006/relationships/hyperlink" Target="https://sacra.com/c/openai/" TargetMode="External"/><Relationship Id="rId22" Type="http://schemas.openxmlformats.org/officeDocument/2006/relationships/hyperlink" Target="https://www.dwarkesh.com/p/dario-amodei-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24" customWidth="1"/>
    <col min="3" max="3" width="90" customWidth="1"/>
    <col min="4" max="5" width="12" customWidth="1"/>
  </cols>
  <sheetData>
    <row r="2" spans="2:2" ht="21.75" customHeight="1" x14ac:dyDescent="0.5">
      <c r="B2" s="1" t="s">
        <v>0</v>
      </c>
    </row>
    <row r="3" spans="2:2" ht="15" customHeight="1" x14ac:dyDescent="0.35">
      <c r="B3" s="2" t="s">
        <v>1</v>
      </c>
    </row>
    <row r="5" spans="2:2" ht="15" customHeight="1" x14ac:dyDescent="0.35">
      <c r="B5" s="3" t="s">
        <v>2</v>
      </c>
    </row>
    <row r="6" spans="2:2" ht="15" customHeight="1" x14ac:dyDescent="0.35">
      <c r="B6" s="4" t="s">
        <v>3</v>
      </c>
    </row>
    <row r="7" spans="2:2" ht="15" customHeight="1" x14ac:dyDescent="0.35">
      <c r="B7" s="4" t="s">
        <v>4</v>
      </c>
    </row>
    <row r="8" spans="2:2" ht="15" customHeight="1" x14ac:dyDescent="0.35">
      <c r="B8" s="4" t="s">
        <v>5</v>
      </c>
    </row>
    <row r="10" spans="2:2" ht="15" customHeight="1" x14ac:dyDescent="0.35">
      <c r="B10" s="5" t="s">
        <v>6</v>
      </c>
    </row>
    <row r="12" spans="2:2" x14ac:dyDescent="0.35">
      <c r="B12" s="6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ColWidth="8.6328125" defaultRowHeight="14.5" x14ac:dyDescent="0.35"/>
  <cols>
    <col min="1" max="1" width="2" customWidth="1"/>
    <col min="2" max="2" width="14" customWidth="1"/>
    <col min="3" max="3" width="34" customWidth="1"/>
    <col min="4" max="4" width="15" customWidth="1"/>
    <col min="5" max="5" width="16.26953125" customWidth="1"/>
    <col min="6" max="6" width="16.90625" customWidth="1"/>
    <col min="7" max="7" width="16.36328125" customWidth="1"/>
    <col min="8" max="8" width="14.7265625" customWidth="1"/>
    <col min="9" max="9" width="28" customWidth="1"/>
    <col min="10" max="10" width="40" customWidth="1"/>
  </cols>
  <sheetData>
    <row r="1" spans="1:10" ht="18" customHeight="1" x14ac:dyDescent="0.4">
      <c r="A1" s="7" t="s">
        <v>8</v>
      </c>
    </row>
    <row r="2" spans="1:10" ht="15" customHeight="1" x14ac:dyDescent="0.35">
      <c r="A2" s="2" t="s">
        <v>9</v>
      </c>
    </row>
    <row r="3" spans="1:10" ht="15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15" customHeight="1" x14ac:dyDescent="0.35">
      <c r="A4" s="9"/>
      <c r="B4" s="9" t="s">
        <v>10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</row>
    <row r="5" spans="1:10" ht="18.75" customHeight="1" x14ac:dyDescent="0.35">
      <c r="B5" s="10" t="s">
        <v>19</v>
      </c>
      <c r="C5" s="10" t="s">
        <v>20</v>
      </c>
      <c r="D5" s="11">
        <v>1979000000000000</v>
      </c>
      <c r="E5" s="12"/>
      <c r="F5" s="12"/>
      <c r="G5" s="12"/>
      <c r="H5" s="10" t="s">
        <v>21</v>
      </c>
      <c r="I5" s="13" t="s">
        <v>22</v>
      </c>
      <c r="J5" s="14" t="s">
        <v>23</v>
      </c>
    </row>
    <row r="6" spans="1:10" ht="15" customHeight="1" x14ac:dyDescent="0.35">
      <c r="B6" s="10" t="s">
        <v>19</v>
      </c>
      <c r="C6" s="10" t="s">
        <v>24</v>
      </c>
      <c r="D6" s="15">
        <v>80000000000</v>
      </c>
      <c r="E6" s="12"/>
      <c r="F6" s="12"/>
      <c r="G6" s="12"/>
      <c r="H6" s="10" t="s">
        <v>25</v>
      </c>
      <c r="I6" s="13" t="s">
        <v>26</v>
      </c>
      <c r="J6" s="14" t="s">
        <v>27</v>
      </c>
    </row>
    <row r="7" spans="1:10" ht="15" customHeight="1" x14ac:dyDescent="0.35">
      <c r="B7" s="10" t="s">
        <v>19</v>
      </c>
      <c r="C7" s="10" t="s">
        <v>28</v>
      </c>
      <c r="D7" s="15">
        <v>1</v>
      </c>
      <c r="E7" s="12"/>
      <c r="F7" s="12"/>
      <c r="G7" s="12"/>
      <c r="H7" s="10" t="s">
        <v>25</v>
      </c>
      <c r="I7" s="16" t="s">
        <v>29</v>
      </c>
      <c r="J7" s="14" t="s">
        <v>30</v>
      </c>
    </row>
    <row r="8" spans="1:10" ht="15" customHeight="1" x14ac:dyDescent="0.35">
      <c r="B8" s="10" t="s">
        <v>31</v>
      </c>
      <c r="C8" s="10" t="s">
        <v>32</v>
      </c>
      <c r="D8" s="11">
        <v>1600000000000</v>
      </c>
      <c r="E8" s="12"/>
      <c r="F8" s="12"/>
      <c r="G8" s="12"/>
      <c r="H8" s="10" t="s">
        <v>33</v>
      </c>
      <c r="I8" s="13" t="s">
        <v>34</v>
      </c>
      <c r="J8" s="14" t="s">
        <v>35</v>
      </c>
    </row>
    <row r="9" spans="1:10" ht="18.75" customHeight="1" x14ac:dyDescent="0.35">
      <c r="B9" s="10" t="s">
        <v>31</v>
      </c>
      <c r="C9" s="10" t="s">
        <v>36</v>
      </c>
      <c r="D9" s="15">
        <v>37000000000</v>
      </c>
      <c r="E9" s="12"/>
      <c r="F9" s="12"/>
      <c r="G9" s="12"/>
      <c r="H9" s="10" t="s">
        <v>33</v>
      </c>
      <c r="I9" s="13" t="s">
        <v>37</v>
      </c>
      <c r="J9" s="14" t="s">
        <v>38</v>
      </c>
    </row>
    <row r="10" spans="1:10" ht="15" customHeight="1" x14ac:dyDescent="0.35">
      <c r="B10" s="10" t="s">
        <v>31</v>
      </c>
      <c r="C10" s="10" t="s">
        <v>39</v>
      </c>
      <c r="D10" s="15">
        <v>1.2</v>
      </c>
      <c r="E10" s="17">
        <v>1.1000000000000001</v>
      </c>
      <c r="F10" s="17">
        <v>1.5</v>
      </c>
      <c r="G10" s="18" t="s">
        <v>40</v>
      </c>
      <c r="H10" s="10" t="s">
        <v>41</v>
      </c>
      <c r="I10" s="16" t="s">
        <v>42</v>
      </c>
      <c r="J10" s="14" t="s">
        <v>43</v>
      </c>
    </row>
    <row r="11" spans="1:10" ht="18.75" customHeight="1" x14ac:dyDescent="0.35">
      <c r="B11" s="10" t="s">
        <v>31</v>
      </c>
      <c r="C11" s="10" t="s">
        <v>44</v>
      </c>
      <c r="D11" s="11">
        <v>12800000000000</v>
      </c>
      <c r="E11" s="19">
        <v>6400000000000</v>
      </c>
      <c r="F11" s="19">
        <v>25600000000000</v>
      </c>
      <c r="G11" s="18" t="s">
        <v>45</v>
      </c>
      <c r="H11" s="10" t="s">
        <v>33</v>
      </c>
      <c r="I11" s="16" t="s">
        <v>46</v>
      </c>
      <c r="J11" s="14" t="s">
        <v>47</v>
      </c>
    </row>
    <row r="12" spans="1:10" ht="27.75" customHeight="1" x14ac:dyDescent="0.35">
      <c r="B12" s="10" t="s">
        <v>48</v>
      </c>
      <c r="C12" s="10" t="s">
        <v>49</v>
      </c>
      <c r="D12" s="15">
        <v>62</v>
      </c>
      <c r="E12" s="17">
        <v>45</v>
      </c>
      <c r="F12" s="17">
        <v>68</v>
      </c>
      <c r="G12" s="18" t="s">
        <v>40</v>
      </c>
      <c r="H12" s="10" t="s">
        <v>50</v>
      </c>
      <c r="I12" s="13" t="s">
        <v>51</v>
      </c>
      <c r="J12" s="14" t="s">
        <v>52</v>
      </c>
    </row>
    <row r="13" spans="1:10" ht="36.75" customHeight="1" x14ac:dyDescent="0.35">
      <c r="B13" s="10" t="s">
        <v>48</v>
      </c>
      <c r="C13" s="10" t="s">
        <v>53</v>
      </c>
      <c r="D13" s="15">
        <v>12</v>
      </c>
      <c r="E13" s="17">
        <v>3</v>
      </c>
      <c r="F13" s="17">
        <v>40</v>
      </c>
      <c r="G13" s="18" t="s">
        <v>40</v>
      </c>
      <c r="H13" s="10" t="s">
        <v>54</v>
      </c>
      <c r="I13" s="13" t="s">
        <v>55</v>
      </c>
      <c r="J13" s="14" t="s">
        <v>56</v>
      </c>
    </row>
    <row r="14" spans="1:10" ht="18.75" customHeight="1" x14ac:dyDescent="0.35">
      <c r="B14" s="10" t="s">
        <v>57</v>
      </c>
      <c r="C14" s="10" t="s">
        <v>58</v>
      </c>
      <c r="D14" s="15">
        <v>0.435</v>
      </c>
      <c r="E14" s="12"/>
      <c r="F14" s="12"/>
      <c r="G14" s="12"/>
      <c r="H14" s="10" t="s">
        <v>59</v>
      </c>
      <c r="I14" s="13" t="s">
        <v>60</v>
      </c>
      <c r="J14" s="14" t="s">
        <v>61</v>
      </c>
    </row>
    <row r="15" spans="1:10" ht="18.75" customHeight="1" x14ac:dyDescent="0.35">
      <c r="B15" s="10" t="s">
        <v>57</v>
      </c>
      <c r="C15" s="10" t="s">
        <v>62</v>
      </c>
      <c r="D15" s="15">
        <v>0.87</v>
      </c>
      <c r="E15" s="12"/>
      <c r="F15" s="12"/>
      <c r="G15" s="12"/>
      <c r="H15" s="10" t="s">
        <v>59</v>
      </c>
      <c r="I15" s="13" t="s">
        <v>60</v>
      </c>
      <c r="J15" s="14" t="s">
        <v>61</v>
      </c>
    </row>
    <row r="16" spans="1:10" ht="18.75" customHeight="1" x14ac:dyDescent="0.35">
      <c r="B16" s="10" t="s">
        <v>57</v>
      </c>
      <c r="C16" s="10" t="s">
        <v>63</v>
      </c>
      <c r="D16" s="15">
        <v>1.6</v>
      </c>
      <c r="E16" s="17">
        <v>0.76</v>
      </c>
      <c r="F16" s="17">
        <v>1.74</v>
      </c>
      <c r="G16" s="18" t="s">
        <v>40</v>
      </c>
      <c r="H16" s="10" t="s">
        <v>59</v>
      </c>
      <c r="I16" s="13" t="s">
        <v>64</v>
      </c>
      <c r="J16" s="14" t="s">
        <v>65</v>
      </c>
    </row>
    <row r="17" spans="2:10" ht="15" customHeight="1" x14ac:dyDescent="0.35">
      <c r="B17" s="10" t="s">
        <v>57</v>
      </c>
      <c r="C17" s="10" t="s">
        <v>66</v>
      </c>
      <c r="D17" s="15">
        <v>3.17</v>
      </c>
      <c r="E17" s="17">
        <v>1.52</v>
      </c>
      <c r="F17" s="17">
        <v>3.48</v>
      </c>
      <c r="G17" s="18" t="s">
        <v>40</v>
      </c>
      <c r="H17" s="10" t="s">
        <v>59</v>
      </c>
      <c r="I17" s="13" t="s">
        <v>64</v>
      </c>
      <c r="J17" s="14" t="s">
        <v>67</v>
      </c>
    </row>
    <row r="18" spans="2:10" ht="15" customHeight="1" x14ac:dyDescent="0.35">
      <c r="B18" s="10" t="s">
        <v>57</v>
      </c>
      <c r="C18" s="10" t="s">
        <v>68</v>
      </c>
      <c r="D18" s="15">
        <v>3</v>
      </c>
      <c r="E18" s="17">
        <v>2</v>
      </c>
      <c r="F18" s="17">
        <v>5</v>
      </c>
      <c r="G18" s="18" t="s">
        <v>40</v>
      </c>
      <c r="H18" s="10" t="s">
        <v>41</v>
      </c>
      <c r="I18" s="16" t="s">
        <v>69</v>
      </c>
      <c r="J18" s="14" t="s">
        <v>70</v>
      </c>
    </row>
    <row r="19" spans="2:10" ht="18.75" customHeight="1" x14ac:dyDescent="0.35">
      <c r="B19" s="10" t="s">
        <v>71</v>
      </c>
      <c r="C19" s="10" t="s">
        <v>72</v>
      </c>
      <c r="D19" s="15">
        <v>0.35</v>
      </c>
      <c r="E19" s="17">
        <v>0.2</v>
      </c>
      <c r="F19" s="17">
        <v>0.5</v>
      </c>
      <c r="G19" s="18" t="s">
        <v>40</v>
      </c>
      <c r="H19" s="10" t="s">
        <v>73</v>
      </c>
      <c r="I19" s="13" t="s">
        <v>74</v>
      </c>
      <c r="J19" s="14" t="s">
        <v>75</v>
      </c>
    </row>
    <row r="20" spans="2:10" ht="18.75" customHeight="1" x14ac:dyDescent="0.35">
      <c r="B20" s="10" t="s">
        <v>71</v>
      </c>
      <c r="C20" s="10" t="s">
        <v>76</v>
      </c>
      <c r="D20" s="15">
        <v>0.44</v>
      </c>
      <c r="E20" s="17">
        <v>0.4</v>
      </c>
      <c r="F20" s="17">
        <v>0.55000000000000004</v>
      </c>
      <c r="G20" s="18" t="s">
        <v>40</v>
      </c>
      <c r="H20" s="10" t="s">
        <v>73</v>
      </c>
      <c r="I20" s="13" t="s">
        <v>77</v>
      </c>
      <c r="J20" s="14" t="s">
        <v>78</v>
      </c>
    </row>
    <row r="21" spans="2:10" ht="15" customHeight="1" x14ac:dyDescent="0.35">
      <c r="B21" s="10" t="s">
        <v>79</v>
      </c>
      <c r="C21" s="10" t="s">
        <v>80</v>
      </c>
      <c r="D21" s="15">
        <v>45000000000</v>
      </c>
      <c r="E21" s="17">
        <v>30000000000</v>
      </c>
      <c r="F21" s="17">
        <v>60000000000</v>
      </c>
      <c r="G21" s="18" t="s">
        <v>40</v>
      </c>
      <c r="H21" s="10" t="s">
        <v>81</v>
      </c>
      <c r="I21" s="13" t="s">
        <v>82</v>
      </c>
      <c r="J21" s="14" t="s">
        <v>83</v>
      </c>
    </row>
    <row r="22" spans="2:10" ht="15" customHeight="1" x14ac:dyDescent="0.35">
      <c r="B22" s="10" t="s">
        <v>79</v>
      </c>
      <c r="C22" s="10" t="s">
        <v>84</v>
      </c>
      <c r="D22" s="15">
        <v>25000000000</v>
      </c>
      <c r="E22" s="17">
        <v>10000000000</v>
      </c>
      <c r="F22" s="17">
        <v>50000000000</v>
      </c>
      <c r="G22" s="18" t="s">
        <v>40</v>
      </c>
      <c r="H22" s="10" t="s">
        <v>81</v>
      </c>
      <c r="I22" s="13" t="s">
        <v>85</v>
      </c>
      <c r="J22" s="14" t="s">
        <v>86</v>
      </c>
    </row>
    <row r="23" spans="2:10" ht="15" customHeight="1" x14ac:dyDescent="0.35">
      <c r="B23" s="10" t="s">
        <v>79</v>
      </c>
      <c r="C23" s="10" t="s">
        <v>87</v>
      </c>
      <c r="D23" s="15">
        <v>20000000000</v>
      </c>
      <c r="E23" s="17">
        <v>5000000000</v>
      </c>
      <c r="F23" s="17">
        <v>30000000000</v>
      </c>
      <c r="G23" s="18" t="s">
        <v>40</v>
      </c>
      <c r="H23" s="10" t="s">
        <v>81</v>
      </c>
      <c r="I23" s="16" t="s">
        <v>88</v>
      </c>
      <c r="J23" s="14" t="s">
        <v>89</v>
      </c>
    </row>
    <row r="24" spans="2:10" ht="15" customHeight="1" x14ac:dyDescent="0.35">
      <c r="B24" s="10" t="s">
        <v>79</v>
      </c>
      <c r="C24" s="10" t="s">
        <v>90</v>
      </c>
      <c r="D24" s="15">
        <v>2000000</v>
      </c>
      <c r="E24" s="17">
        <v>1500000</v>
      </c>
      <c r="F24" s="17">
        <v>2500000</v>
      </c>
      <c r="G24" s="18" t="s">
        <v>40</v>
      </c>
      <c r="H24" s="10" t="s">
        <v>91</v>
      </c>
      <c r="I24" s="13" t="s">
        <v>92</v>
      </c>
      <c r="J24" s="14" t="s">
        <v>93</v>
      </c>
    </row>
    <row r="25" spans="2:10" ht="27.75" customHeight="1" x14ac:dyDescent="0.35">
      <c r="B25" s="10" t="s">
        <v>94</v>
      </c>
      <c r="C25" s="10" t="s">
        <v>95</v>
      </c>
      <c r="D25" s="15">
        <v>20000000</v>
      </c>
      <c r="E25" s="17">
        <v>16000000</v>
      </c>
      <c r="F25" s="17">
        <v>24000000</v>
      </c>
      <c r="G25" s="18" t="s">
        <v>96</v>
      </c>
      <c r="H25" s="10" t="s">
        <v>91</v>
      </c>
      <c r="I25" s="13" t="s">
        <v>97</v>
      </c>
      <c r="J25" s="14" t="s">
        <v>98</v>
      </c>
    </row>
    <row r="26" spans="2:10" ht="27.75" customHeight="1" x14ac:dyDescent="0.35">
      <c r="B26" s="10" t="s">
        <v>94</v>
      </c>
      <c r="C26" s="10" t="s">
        <v>99</v>
      </c>
      <c r="D26" s="15">
        <v>3</v>
      </c>
      <c r="E26" s="17">
        <v>2</v>
      </c>
      <c r="F26" s="17">
        <v>4</v>
      </c>
      <c r="G26" s="18" t="s">
        <v>40</v>
      </c>
      <c r="H26" s="10" t="s">
        <v>100</v>
      </c>
      <c r="I26" s="13" t="s">
        <v>101</v>
      </c>
      <c r="J26" s="14" t="s">
        <v>102</v>
      </c>
    </row>
    <row r="27" spans="2:10" ht="15" customHeight="1" x14ac:dyDescent="0.35">
      <c r="B27" s="10" t="s">
        <v>94</v>
      </c>
      <c r="C27" s="10" t="s">
        <v>103</v>
      </c>
      <c r="D27" s="15">
        <v>5</v>
      </c>
      <c r="E27" s="12"/>
      <c r="F27" s="12"/>
      <c r="G27" s="12"/>
      <c r="H27" s="10" t="s">
        <v>104</v>
      </c>
      <c r="I27" s="16" t="s">
        <v>105</v>
      </c>
      <c r="J27" s="14" t="s">
        <v>106</v>
      </c>
    </row>
    <row r="28" spans="2:10" ht="27.75" customHeight="1" x14ac:dyDescent="0.35">
      <c r="B28" s="10" t="s">
        <v>107</v>
      </c>
      <c r="C28" s="10" t="s">
        <v>108</v>
      </c>
      <c r="D28" s="11">
        <v>1000000000000</v>
      </c>
      <c r="E28" s="19">
        <v>300000000000</v>
      </c>
      <c r="F28" s="19">
        <v>6000000000000</v>
      </c>
      <c r="G28" s="18" t="s">
        <v>45</v>
      </c>
      <c r="H28" s="10" t="s">
        <v>50</v>
      </c>
      <c r="I28" s="13" t="s">
        <v>109</v>
      </c>
      <c r="J28" s="14" t="s">
        <v>110</v>
      </c>
    </row>
    <row r="29" spans="2:10" ht="15" customHeight="1" x14ac:dyDescent="0.35">
      <c r="B29" s="10" t="s">
        <v>111</v>
      </c>
      <c r="C29" s="10" t="s">
        <v>112</v>
      </c>
      <c r="D29" s="11">
        <v>500000000000000</v>
      </c>
      <c r="E29" s="12"/>
      <c r="F29" s="12"/>
      <c r="G29" s="12"/>
      <c r="H29" s="10" t="s">
        <v>113</v>
      </c>
      <c r="I29" s="13" t="s">
        <v>114</v>
      </c>
      <c r="J29" s="14" t="s">
        <v>115</v>
      </c>
    </row>
    <row r="30" spans="2:10" ht="18.75" customHeight="1" x14ac:dyDescent="0.35">
      <c r="B30" s="10" t="s">
        <v>111</v>
      </c>
      <c r="C30" s="10" t="s">
        <v>116</v>
      </c>
      <c r="D30" s="15">
        <v>1500000000</v>
      </c>
      <c r="E30" s="17">
        <v>1000000000</v>
      </c>
      <c r="F30" s="17">
        <v>1600000000</v>
      </c>
      <c r="G30" s="18" t="s">
        <v>40</v>
      </c>
      <c r="H30" s="10" t="s">
        <v>117</v>
      </c>
      <c r="I30" s="13" t="s">
        <v>118</v>
      </c>
      <c r="J30" s="14" t="s">
        <v>119</v>
      </c>
    </row>
    <row r="31" spans="2:10" ht="15" customHeight="1" x14ac:dyDescent="0.35">
      <c r="B31" s="10" t="s">
        <v>111</v>
      </c>
      <c r="C31" s="10" t="s">
        <v>120</v>
      </c>
      <c r="D31" s="15">
        <v>1000</v>
      </c>
      <c r="E31" s="17">
        <v>400</v>
      </c>
      <c r="F31" s="17">
        <v>1200</v>
      </c>
      <c r="G31" s="18" t="s">
        <v>40</v>
      </c>
      <c r="H31" s="10" t="s">
        <v>121</v>
      </c>
      <c r="I31" s="13" t="s">
        <v>122</v>
      </c>
      <c r="J31" s="14" t="s">
        <v>123</v>
      </c>
    </row>
    <row r="32" spans="2:10" ht="15" customHeight="1" x14ac:dyDescent="0.35">
      <c r="B32" s="10" t="s">
        <v>111</v>
      </c>
      <c r="C32" s="10" t="s">
        <v>124</v>
      </c>
      <c r="D32" s="11">
        <v>50000000000000</v>
      </c>
      <c r="E32" s="12"/>
      <c r="F32" s="12"/>
      <c r="G32" s="12"/>
      <c r="H32" s="10" t="s">
        <v>81</v>
      </c>
      <c r="I32" s="13" t="s">
        <v>125</v>
      </c>
      <c r="J32" s="14" t="s">
        <v>126</v>
      </c>
    </row>
    <row r="33" spans="1:10" ht="15" customHeight="1" x14ac:dyDescent="0.35">
      <c r="B33" s="10" t="s">
        <v>127</v>
      </c>
      <c r="C33" s="10" t="s">
        <v>128</v>
      </c>
      <c r="D33" s="15">
        <v>31536000</v>
      </c>
      <c r="E33" s="12"/>
      <c r="F33" s="12"/>
      <c r="G33" s="12"/>
      <c r="H33" s="10" t="s">
        <v>129</v>
      </c>
      <c r="I33" s="16" t="s">
        <v>130</v>
      </c>
      <c r="J33" s="14" t="s">
        <v>131</v>
      </c>
    </row>
    <row r="35" spans="1:10" ht="15" customHeight="1" x14ac:dyDescent="0.35">
      <c r="A35" s="20"/>
      <c r="B35" s="21" t="s">
        <v>132</v>
      </c>
      <c r="C35" s="20"/>
      <c r="D35" s="20"/>
      <c r="E35" s="20"/>
      <c r="F35" s="20"/>
      <c r="G35" s="20"/>
      <c r="H35" s="20"/>
      <c r="I35" s="20"/>
      <c r="J35" s="20"/>
    </row>
    <row r="36" spans="1:10" ht="15" customHeight="1" x14ac:dyDescent="0.35">
      <c r="C36" s="4" t="s">
        <v>133</v>
      </c>
      <c r="D36" s="22">
        <f>$D$25*$D$26^$D$27</f>
        <v>4860000000</v>
      </c>
      <c r="J36" s="23"/>
    </row>
    <row r="37" spans="1:10" ht="15" customHeight="1" x14ac:dyDescent="0.35">
      <c r="C37" s="4" t="s">
        <v>134</v>
      </c>
      <c r="D37" s="22">
        <f>CEILING($D$8*$D$7*$D$10/$D$6,1)</f>
        <v>24</v>
      </c>
      <c r="J37" s="23"/>
    </row>
    <row r="38" spans="1:10" ht="15" customHeight="1" x14ac:dyDescent="0.35">
      <c r="C38" s="4" t="s">
        <v>135</v>
      </c>
      <c r="D38" s="22">
        <f>CEILING($D$11*$D$7*$D$10/$D$6,1)</f>
        <v>192</v>
      </c>
      <c r="J38" s="23"/>
    </row>
    <row r="39" spans="1:10" ht="15" customHeight="1" x14ac:dyDescent="0.35">
      <c r="C39" s="4" t="s">
        <v>136</v>
      </c>
      <c r="D39" s="24">
        <f>($D$16*$D$18+$D$17)/($D$18+1)</f>
        <v>1.9925000000000002</v>
      </c>
      <c r="J39" s="23"/>
    </row>
    <row r="40" spans="1:10" ht="15" customHeight="1" x14ac:dyDescent="0.35">
      <c r="C40" s="4" t="s">
        <v>137</v>
      </c>
      <c r="D40" s="25">
        <f>$D$21+$D$22+$D$23</f>
        <v>90000000000</v>
      </c>
      <c r="J40" s="23"/>
    </row>
    <row r="41" spans="1:10" ht="15" customHeight="1" x14ac:dyDescent="0.35">
      <c r="C41" s="4" t="s">
        <v>138</v>
      </c>
      <c r="D41" s="25">
        <f>$D$40/$D$25</f>
        <v>4500</v>
      </c>
      <c r="J41" s="23"/>
    </row>
    <row r="42" spans="1:10" ht="15" customHeight="1" x14ac:dyDescent="0.35">
      <c r="C42" s="4" t="s">
        <v>139</v>
      </c>
      <c r="D42" s="22">
        <f>$D$12*$D$13*$D$33</f>
        <v>23462784000</v>
      </c>
      <c r="J42" s="23"/>
    </row>
    <row r="43" spans="1:10" ht="15" customHeight="1" x14ac:dyDescent="0.35">
      <c r="C43" s="4" t="s">
        <v>140</v>
      </c>
      <c r="D43" s="25">
        <f>$D$42/1000000*$D$17</f>
        <v>74377.025280000002</v>
      </c>
      <c r="J43" s="23"/>
    </row>
    <row r="44" spans="1:10" ht="15" customHeight="1" x14ac:dyDescent="0.35">
      <c r="C44" s="4" t="s">
        <v>141</v>
      </c>
      <c r="D44" s="22">
        <f>$D$24*$D$20</f>
        <v>880000</v>
      </c>
      <c r="J44" s="23"/>
    </row>
    <row r="45" spans="1:10" ht="15" customHeight="1" x14ac:dyDescent="0.35">
      <c r="C45" s="4" t="s">
        <v>142</v>
      </c>
      <c r="D45" s="25">
        <f>$D$21/($D$44/$D$37)</f>
        <v>1227272.7272727273</v>
      </c>
      <c r="J45" s="23"/>
    </row>
    <row r="46" spans="1:10" ht="15" customHeight="1" x14ac:dyDescent="0.35">
      <c r="C46" s="4" t="s">
        <v>143</v>
      </c>
      <c r="D46" s="22">
        <f>$D$36*$D$19</f>
        <v>1701000000</v>
      </c>
      <c r="J46" s="23"/>
    </row>
    <row r="47" spans="1:10" ht="15" customHeight="1" x14ac:dyDescent="0.35">
      <c r="C47" s="4" t="s">
        <v>144</v>
      </c>
      <c r="D47" s="22">
        <f>$D$46/$D$38</f>
        <v>8859375</v>
      </c>
      <c r="J47" s="23"/>
    </row>
  </sheetData>
  <hyperlinks>
    <hyperlink ref="I5" r:id="rId1" xr:uid="{00000000-0004-0000-0100-000000000000}"/>
    <hyperlink ref="I6" r:id="rId2" xr:uid="{00000000-0004-0000-0100-000001000000}"/>
    <hyperlink ref="I8" r:id="rId3" xr:uid="{00000000-0004-0000-0100-000002000000}"/>
    <hyperlink ref="I9" r:id="rId4" xr:uid="{00000000-0004-0000-0100-000003000000}"/>
    <hyperlink ref="I12" r:id="rId5" xr:uid="{00000000-0004-0000-0100-000004000000}"/>
    <hyperlink ref="I13" r:id="rId6" xr:uid="{00000000-0004-0000-0100-000005000000}"/>
    <hyperlink ref="I14" r:id="rId7" xr:uid="{00000000-0004-0000-0100-000006000000}"/>
    <hyperlink ref="I15" r:id="rId8" xr:uid="{00000000-0004-0000-0100-000007000000}"/>
    <hyperlink ref="I16" r:id="rId9" xr:uid="{00000000-0004-0000-0100-000008000000}"/>
    <hyperlink ref="I17" r:id="rId10" xr:uid="{00000000-0004-0000-0100-000009000000}"/>
    <hyperlink ref="I19" r:id="rId11" xr:uid="{00000000-0004-0000-0100-00000A000000}"/>
    <hyperlink ref="I20" r:id="rId12" xr:uid="{00000000-0004-0000-0100-00000B000000}"/>
    <hyperlink ref="I21" r:id="rId13" xr:uid="{00000000-0004-0000-0100-00000C000000}"/>
    <hyperlink ref="I22" r:id="rId14" xr:uid="{00000000-0004-0000-0100-00000D000000}"/>
    <hyperlink ref="I24" r:id="rId15" xr:uid="{00000000-0004-0000-0100-00000E000000}"/>
    <hyperlink ref="I25" r:id="rId16" xr:uid="{00000000-0004-0000-0100-00000F000000}"/>
    <hyperlink ref="I26" r:id="rId17" xr:uid="{00000000-0004-0000-0100-000010000000}"/>
    <hyperlink ref="I28" r:id="rId18" xr:uid="{00000000-0004-0000-0100-000011000000}"/>
    <hyperlink ref="I29" r:id="rId19" xr:uid="{00000000-0004-0000-0100-000012000000}"/>
    <hyperlink ref="I30" r:id="rId20" xr:uid="{00000000-0004-0000-0100-000013000000}"/>
    <hyperlink ref="I31" r:id="rId21" xr:uid="{00000000-0004-0000-0100-000014000000}"/>
    <hyperlink ref="I32" r:id="rId22" xr:uid="{00000000-0004-0000-0100-00001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zoomScaleNormal="100" workbookViewId="0">
      <selection activeCell="D15" sqref="D15"/>
    </sheetView>
  </sheetViews>
  <sheetFormatPr defaultColWidth="8.6328125" defaultRowHeight="14.5" x14ac:dyDescent="0.35"/>
  <cols>
    <col min="1" max="1" width="2" customWidth="1"/>
    <col min="2" max="2" width="34" customWidth="1"/>
    <col min="3" max="3" width="24.7265625" customWidth="1"/>
    <col min="4" max="7" width="12" customWidth="1"/>
  </cols>
  <sheetData>
    <row r="1" spans="1:7" ht="18" customHeight="1" x14ac:dyDescent="0.4">
      <c r="A1" s="7" t="s">
        <v>145</v>
      </c>
    </row>
    <row r="2" spans="1:7" ht="15" customHeight="1" x14ac:dyDescent="0.35">
      <c r="A2" s="2" t="s">
        <v>146</v>
      </c>
    </row>
    <row r="3" spans="1:7" ht="15" customHeight="1" x14ac:dyDescent="0.35">
      <c r="A3" s="8"/>
      <c r="B3" s="8"/>
      <c r="C3" s="8"/>
      <c r="D3" s="8"/>
      <c r="E3" s="8"/>
      <c r="F3" s="8"/>
      <c r="G3" s="8"/>
    </row>
    <row r="5" spans="1:7" ht="15" customHeight="1" x14ac:dyDescent="0.35">
      <c r="B5" s="26" t="s">
        <v>147</v>
      </c>
      <c r="C5" s="26" t="s">
        <v>148</v>
      </c>
    </row>
    <row r="6" spans="1:7" ht="15" customHeight="1" x14ac:dyDescent="0.35">
      <c r="B6" s="4" t="s">
        <v>149</v>
      </c>
      <c r="C6" s="25">
        <f>'Raw data'!$D$46*'Raw data'!$D$43</f>
        <v>126515320001280</v>
      </c>
      <c r="D6" s="5" t="s">
        <v>150</v>
      </c>
    </row>
    <row r="7" spans="1:7" ht="15" customHeight="1" x14ac:dyDescent="0.35">
      <c r="B7" s="4" t="s">
        <v>151</v>
      </c>
      <c r="C7" s="25">
        <f>'Raw data'!$D$36*'Raw data'!$D$41</f>
        <v>21870000000000</v>
      </c>
      <c r="D7" s="5" t="s">
        <v>152</v>
      </c>
    </row>
    <row r="8" spans="1:7" ht="15" customHeight="1" x14ac:dyDescent="0.35">
      <c r="B8" s="4" t="s">
        <v>153</v>
      </c>
      <c r="C8" s="25">
        <f>'Raw data'!$D$47*'Raw data'!$D$45</f>
        <v>10872869318181.818</v>
      </c>
      <c r="D8" s="5" t="s">
        <v>154</v>
      </c>
    </row>
    <row r="9" spans="1:7" ht="15" customHeight="1" x14ac:dyDescent="0.35">
      <c r="B9" s="4" t="s">
        <v>155</v>
      </c>
      <c r="C9" s="25">
        <f>'Raw data'!$D$28*'Raw data'!$D$19*'Raw data'!$D$33*'Raw data'!$D$17/1000000</f>
        <v>34989192000000</v>
      </c>
      <c r="D9" s="5" t="s">
        <v>154</v>
      </c>
    </row>
    <row r="11" spans="1:7" ht="15" customHeight="1" x14ac:dyDescent="0.35">
      <c r="B11" s="3" t="s">
        <v>156</v>
      </c>
    </row>
    <row r="12" spans="1:7" ht="15" customHeight="1" x14ac:dyDescent="0.35">
      <c r="B12" s="9" t="s">
        <v>157</v>
      </c>
      <c r="C12" s="9" t="s">
        <v>158</v>
      </c>
      <c r="D12" s="9" t="s">
        <v>159</v>
      </c>
      <c r="E12" s="9" t="s">
        <v>160</v>
      </c>
      <c r="F12" s="9" t="s">
        <v>161</v>
      </c>
      <c r="G12" s="9" t="s">
        <v>162</v>
      </c>
    </row>
    <row r="13" spans="1:7" ht="15" customHeight="1" x14ac:dyDescent="0.35">
      <c r="B13" s="4" t="s">
        <v>163</v>
      </c>
      <c r="C13" s="27">
        <v>28.23</v>
      </c>
      <c r="D13" s="27">
        <v>71.180000000000007</v>
      </c>
      <c r="E13" s="27">
        <v>134.41999999999999</v>
      </c>
      <c r="F13" s="27">
        <v>243.61</v>
      </c>
      <c r="G13" s="27">
        <v>521.34</v>
      </c>
    </row>
    <row r="14" spans="1:7" ht="15" customHeight="1" x14ac:dyDescent="0.35">
      <c r="B14" s="4" t="s">
        <v>164</v>
      </c>
      <c r="C14" s="27">
        <v>6.75</v>
      </c>
      <c r="D14" s="27">
        <v>14.81</v>
      </c>
      <c r="E14" s="27">
        <v>24.82</v>
      </c>
      <c r="F14" s="27">
        <v>39.6</v>
      </c>
      <c r="G14" s="27">
        <v>69.52</v>
      </c>
    </row>
    <row r="15" spans="1:7" ht="15" customHeight="1" x14ac:dyDescent="0.35">
      <c r="B15" s="4" t="s">
        <v>153</v>
      </c>
      <c r="C15" s="27">
        <v>2.2999999999999998</v>
      </c>
      <c r="D15" s="27">
        <v>5.56</v>
      </c>
      <c r="E15" s="27">
        <v>10.16</v>
      </c>
      <c r="F15" s="27">
        <v>17.89</v>
      </c>
      <c r="G15" s="27">
        <v>37.93</v>
      </c>
    </row>
    <row r="16" spans="1:7" ht="15" customHeight="1" x14ac:dyDescent="0.35">
      <c r="B16" s="4" t="s">
        <v>155</v>
      </c>
      <c r="C16" s="27">
        <v>6.2</v>
      </c>
      <c r="D16" s="27">
        <v>15.46</v>
      </c>
      <c r="E16" s="27">
        <v>29.35</v>
      </c>
      <c r="F16" s="27">
        <v>55.34</v>
      </c>
      <c r="G16" s="27">
        <v>137.72999999999999</v>
      </c>
    </row>
    <row r="17" spans="2:7" ht="15" customHeight="1" x14ac:dyDescent="0.35">
      <c r="B17" s="28" t="s">
        <v>165</v>
      </c>
      <c r="C17" s="29">
        <v>3.03</v>
      </c>
      <c r="D17" s="29">
        <v>8.31</v>
      </c>
      <c r="E17" s="29">
        <v>16.73</v>
      </c>
      <c r="F17" s="29">
        <v>34.229999999999997</v>
      </c>
      <c r="G17" s="29">
        <v>98.53</v>
      </c>
    </row>
    <row r="19" spans="2:7" ht="15" customHeight="1" x14ac:dyDescent="0.35">
      <c r="B19" s="30" t="s">
        <v>166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Raw 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Olive</cp:lastModifiedBy>
  <cp:revision>0</cp:revision>
  <dcterms:created xsi:type="dcterms:W3CDTF">2026-06-14T22:45:52Z</dcterms:created>
  <dcterms:modified xsi:type="dcterms:W3CDTF">2026-06-15T11:08:38Z</dcterms:modified>
  <dc:language>en-US</dc:language>
</cp:coreProperties>
</file>